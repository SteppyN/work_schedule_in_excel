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80610A8E-5010-04F8-B4C4-4C4527662162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Аналитика\Для портфолио\"/>
    </mc:Choice>
  </mc:AlternateContent>
  <xr:revisionPtr revIDLastSave="0" documentId="13_ncr:1_{CF3762E7-6569-4E77-A48C-4A6D55165039}" xr6:coauthVersionLast="47" xr6:coauthVersionMax="47" xr10:uidLastSave="{00000000-0000-0000-0000-000000000000}"/>
  <bookViews>
    <workbookView xWindow="0" yWindow="0" windowWidth="28800" windowHeight="15600" tabRatio="802" activeTab="10" xr2:uid="{00000000-000D-0000-FFFF-FFFF00000000}"/>
  </bookViews>
  <sheets>
    <sheet name="Январь" sheetId="17" r:id="rId1"/>
    <sheet name="Февраль" sheetId="18" r:id="rId2"/>
    <sheet name="Март" sheetId="19" r:id="rId3"/>
    <sheet name="Апрель" sheetId="20" r:id="rId4"/>
    <sheet name="Май" sheetId="21" r:id="rId5"/>
    <sheet name="Июнь" sheetId="22" r:id="rId6"/>
    <sheet name="Д1" sheetId="5" r:id="rId7"/>
    <sheet name="Д2" sheetId="6" r:id="rId8"/>
    <sheet name="Д3" sheetId="7" r:id="rId9"/>
    <sheet name="Д4" sheetId="8" r:id="rId10"/>
    <sheet name="Сводный годовой график" sheetId="3" r:id="rId11"/>
    <sheet name="Подключения" sheetId="12" r:id="rId12"/>
  </sheets>
  <definedNames>
    <definedName name="_xleta.AND" hidden="1" xlm="1">#NAME?</definedName>
    <definedName name="_xlnm._FilterDatabase" localSheetId="3" hidden="1">Апрель!$AP$8:$AX$48</definedName>
    <definedName name="_xlnm._FilterDatabase" localSheetId="7" hidden="1">Д2!$B$2:$AR$128</definedName>
    <definedName name="_xlnm._FilterDatabase" localSheetId="5" hidden="1">Июнь!$AP$8:$AX$48</definedName>
    <definedName name="_xlnm._FilterDatabase" localSheetId="4" hidden="1">Май!$AP$8:$AX$48</definedName>
    <definedName name="_xlnm._FilterDatabase" localSheetId="2" hidden="1">Март!$AP$8:$AX$48</definedName>
    <definedName name="_xlnm._FilterDatabase" localSheetId="1" hidden="1">Февраль!$AP$8:$AX$48</definedName>
    <definedName name="_xlnm._FilterDatabase" localSheetId="0" hidden="1">Январь!$AP$8:$AX$48</definedName>
    <definedName name="ExternalData_2" localSheetId="11" hidden="1">Подключения!$A$2:$A$106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112" i="6" l="1"/>
  <c r="O10" i="3"/>
  <c r="C38" i="3" l="1"/>
  <c r="D38" i="3"/>
  <c r="E38" i="3"/>
  <c r="F38" i="3"/>
  <c r="G38" i="3"/>
  <c r="H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R1" i="22"/>
  <c r="AR4" i="22" s="1"/>
  <c r="AH6" i="22" s="1"/>
  <c r="AR1" i="21"/>
  <c r="AR1" i="20"/>
  <c r="AR4" i="20" s="1"/>
  <c r="AF6" i="20" s="1"/>
  <c r="AR1" i="19"/>
  <c r="AR4" i="19" s="1"/>
  <c r="AG6" i="19" s="1"/>
  <c r="AR1" i="18"/>
  <c r="AR4" i="18" s="1"/>
  <c r="AI6" i="18" s="1"/>
  <c r="AR1" i="17"/>
  <c r="AR4" i="17" s="1"/>
  <c r="AH6" i="17" s="1"/>
  <c r="B36" i="3"/>
  <c r="B35" i="3"/>
  <c r="B34" i="3"/>
  <c r="B33" i="3"/>
  <c r="B32" i="3"/>
  <c r="B31" i="3"/>
  <c r="B30" i="3"/>
  <c r="B29" i="3"/>
  <c r="B28" i="3"/>
  <c r="B27" i="3"/>
  <c r="B26" i="3"/>
  <c r="B25" i="3"/>
  <c r="B60" i="22"/>
  <c r="B59" i="22"/>
  <c r="B58" i="22"/>
  <c r="B57" i="22"/>
  <c r="B55" i="22"/>
  <c r="B54" i="22"/>
  <c r="B53" i="22"/>
  <c r="B52" i="22"/>
  <c r="B60" i="21"/>
  <c r="B59" i="21"/>
  <c r="B58" i="21"/>
  <c r="B57" i="21"/>
  <c r="B55" i="21"/>
  <c r="B54" i="21"/>
  <c r="B53" i="21"/>
  <c r="B52" i="21"/>
  <c r="E8" i="21"/>
  <c r="AR4" i="21"/>
  <c r="AH6" i="21" s="1"/>
  <c r="AI60" i="20"/>
  <c r="B60" i="20"/>
  <c r="AI59" i="20"/>
  <c r="B59" i="20"/>
  <c r="B58" i="20"/>
  <c r="B57" i="20"/>
  <c r="AI55" i="20"/>
  <c r="B55" i="20"/>
  <c r="AI54" i="20"/>
  <c r="B54" i="20"/>
  <c r="B53" i="20"/>
  <c r="B52" i="20"/>
  <c r="B60" i="19"/>
  <c r="B59" i="19"/>
  <c r="B58" i="19"/>
  <c r="B57" i="19"/>
  <c r="B55" i="19"/>
  <c r="B54" i="19"/>
  <c r="B53" i="19"/>
  <c r="B52" i="19"/>
  <c r="B60" i="18"/>
  <c r="B59" i="18"/>
  <c r="B58" i="18"/>
  <c r="B57" i="18"/>
  <c r="B55" i="18"/>
  <c r="B54" i="18"/>
  <c r="B53" i="18"/>
  <c r="B52" i="18"/>
  <c r="B60" i="17"/>
  <c r="B59" i="17"/>
  <c r="B58" i="17"/>
  <c r="B57" i="17"/>
  <c r="B55" i="17"/>
  <c r="B54" i="17"/>
  <c r="B53" i="17"/>
  <c r="B52" i="17"/>
  <c r="E8" i="17"/>
  <c r="E8" i="20" l="1"/>
  <c r="E8" i="22"/>
  <c r="E8" i="19"/>
  <c r="E8" i="18"/>
  <c r="F8" i="20"/>
  <c r="G8" i="20" s="1"/>
  <c r="H8" i="20" s="1"/>
  <c r="I8" i="20" s="1"/>
  <c r="J8" i="20" s="1"/>
  <c r="K8" i="20" s="1"/>
  <c r="L8" i="20" s="1"/>
  <c r="M8" i="20" s="1"/>
  <c r="N8" i="20" s="1"/>
  <c r="O8" i="20" s="1"/>
  <c r="P8" i="20" s="1"/>
  <c r="Q8" i="20" s="1"/>
  <c r="R8" i="20" s="1"/>
  <c r="S8" i="20" s="1"/>
  <c r="T8" i="20" s="1"/>
  <c r="U8" i="20" s="1"/>
  <c r="V8" i="20" s="1"/>
  <c r="W8" i="20" s="1"/>
  <c r="X8" i="20" s="1"/>
  <c r="Y8" i="20" s="1"/>
  <c r="Z8" i="20" s="1"/>
  <c r="AA8" i="20" s="1"/>
  <c r="AB8" i="20" s="1"/>
  <c r="AC8" i="20" s="1"/>
  <c r="AD8" i="20" s="1"/>
  <c r="AE8" i="20" s="1"/>
  <c r="AF8" i="20" s="1"/>
  <c r="AG8" i="20" s="1"/>
  <c r="AH8" i="20" s="1"/>
  <c r="AI8" i="20" s="1"/>
  <c r="F8" i="17"/>
  <c r="G8" i="17" s="1"/>
  <c r="H8" i="17" s="1"/>
  <c r="I8" i="17" s="1"/>
  <c r="J8" i="17" s="1"/>
  <c r="K8" i="17" s="1"/>
  <c r="L8" i="17" s="1"/>
  <c r="M8" i="17" s="1"/>
  <c r="N8" i="17" s="1"/>
  <c r="O8" i="17" s="1"/>
  <c r="P8" i="17" s="1"/>
  <c r="Q8" i="17" s="1"/>
  <c r="R8" i="17" s="1"/>
  <c r="S8" i="17" s="1"/>
  <c r="T8" i="17" s="1"/>
  <c r="U8" i="17" s="1"/>
  <c r="V8" i="17" s="1"/>
  <c r="W8" i="17" s="1"/>
  <c r="X8" i="17" s="1"/>
  <c r="Y8" i="17" s="1"/>
  <c r="Z8" i="17" s="1"/>
  <c r="AA8" i="17" s="1"/>
  <c r="AB8" i="17" s="1"/>
  <c r="AC8" i="17" s="1"/>
  <c r="AD8" i="17" s="1"/>
  <c r="AE8" i="17" s="1"/>
  <c r="AF8" i="17" s="1"/>
  <c r="AG8" i="17" s="1"/>
  <c r="AH8" i="17" s="1"/>
  <c r="AI8" i="17" s="1"/>
  <c r="AR3" i="17"/>
  <c r="F8" i="21"/>
  <c r="G8" i="21" s="1"/>
  <c r="H8" i="21" s="1"/>
  <c r="I8" i="21" s="1"/>
  <c r="J8" i="21" s="1"/>
  <c r="K8" i="21" s="1"/>
  <c r="L8" i="21" s="1"/>
  <c r="M8" i="21" s="1"/>
  <c r="N8" i="21" s="1"/>
  <c r="O8" i="21" s="1"/>
  <c r="P8" i="21" s="1"/>
  <c r="Q8" i="21" s="1"/>
  <c r="R8" i="21" s="1"/>
  <c r="S8" i="21" s="1"/>
  <c r="T8" i="21" s="1"/>
  <c r="U8" i="21" s="1"/>
  <c r="V8" i="21" s="1"/>
  <c r="W8" i="21" s="1"/>
  <c r="X8" i="21" s="1"/>
  <c r="Y8" i="21" s="1"/>
  <c r="Z8" i="21" s="1"/>
  <c r="AA8" i="21" s="1"/>
  <c r="AB8" i="21" s="1"/>
  <c r="AC8" i="21" s="1"/>
  <c r="AD8" i="21" s="1"/>
  <c r="AE8" i="21" s="1"/>
  <c r="AF8" i="21" s="1"/>
  <c r="AG8" i="21" s="1"/>
  <c r="AH8" i="21" s="1"/>
  <c r="AI8" i="21" s="1"/>
  <c r="AR3" i="21"/>
  <c r="AE6" i="22"/>
  <c r="O6" i="22"/>
  <c r="M6" i="20"/>
  <c r="AC6" i="20"/>
  <c r="K6" i="22"/>
  <c r="AA6" i="22"/>
  <c r="S6" i="22"/>
  <c r="AI6" i="22"/>
  <c r="G6" i="22"/>
  <c r="W6" i="22"/>
  <c r="H6" i="22"/>
  <c r="L6" i="22"/>
  <c r="P6" i="22"/>
  <c r="T6" i="22"/>
  <c r="X6" i="22"/>
  <c r="AB6" i="22"/>
  <c r="AF6" i="22"/>
  <c r="E6" i="22"/>
  <c r="I6" i="22"/>
  <c r="M6" i="22"/>
  <c r="Q6" i="22"/>
  <c r="U6" i="22"/>
  <c r="Y6" i="22"/>
  <c r="AC6" i="22"/>
  <c r="AG6" i="22"/>
  <c r="F6" i="22"/>
  <c r="J6" i="22"/>
  <c r="N6" i="22"/>
  <c r="R6" i="22"/>
  <c r="V6" i="22"/>
  <c r="Z6" i="22"/>
  <c r="AD6" i="22"/>
  <c r="I6" i="21"/>
  <c r="Q6" i="21"/>
  <c r="Y6" i="21"/>
  <c r="AG6" i="21"/>
  <c r="K6" i="21"/>
  <c r="S6" i="21"/>
  <c r="AA6" i="21"/>
  <c r="AI6" i="21"/>
  <c r="E6" i="21"/>
  <c r="M6" i="21"/>
  <c r="U6" i="21"/>
  <c r="AC6" i="21"/>
  <c r="G6" i="21"/>
  <c r="O6" i="21"/>
  <c r="W6" i="21"/>
  <c r="AE6" i="21"/>
  <c r="H6" i="21"/>
  <c r="L6" i="21"/>
  <c r="P6" i="21"/>
  <c r="T6" i="21"/>
  <c r="X6" i="21"/>
  <c r="AB6" i="21"/>
  <c r="AF6" i="21"/>
  <c r="F6" i="21"/>
  <c r="J6" i="21"/>
  <c r="N6" i="21"/>
  <c r="R6" i="21"/>
  <c r="V6" i="21"/>
  <c r="Z6" i="21"/>
  <c r="AD6" i="21"/>
  <c r="Q6" i="20"/>
  <c r="AG6" i="20"/>
  <c r="E6" i="20"/>
  <c r="U6" i="20"/>
  <c r="I6" i="20"/>
  <c r="Y6" i="20"/>
  <c r="F6" i="20"/>
  <c r="J6" i="20"/>
  <c r="N6" i="20"/>
  <c r="R6" i="20"/>
  <c r="V6" i="20"/>
  <c r="Z6" i="20"/>
  <c r="AD6" i="20"/>
  <c r="AH6" i="20"/>
  <c r="G6" i="20"/>
  <c r="K6" i="20"/>
  <c r="O6" i="20"/>
  <c r="S6" i="20"/>
  <c r="W6" i="20"/>
  <c r="AA6" i="20"/>
  <c r="AE6" i="20"/>
  <c r="AI6" i="20"/>
  <c r="H6" i="20"/>
  <c r="L6" i="20"/>
  <c r="P6" i="20"/>
  <c r="T6" i="20"/>
  <c r="X6" i="20"/>
  <c r="AB6" i="20"/>
  <c r="G6" i="19"/>
  <c r="O6" i="19"/>
  <c r="W6" i="19"/>
  <c r="AE6" i="19"/>
  <c r="J6" i="19"/>
  <c r="R6" i="19"/>
  <c r="Z6" i="19"/>
  <c r="AH6" i="19"/>
  <c r="K6" i="19"/>
  <c r="S6" i="19"/>
  <c r="AA6" i="19"/>
  <c r="AI6" i="19"/>
  <c r="F6" i="19"/>
  <c r="N6" i="19"/>
  <c r="V6" i="19"/>
  <c r="AD6" i="19"/>
  <c r="H6" i="19"/>
  <c r="L6" i="19"/>
  <c r="P6" i="19"/>
  <c r="T6" i="19"/>
  <c r="X6" i="19"/>
  <c r="AB6" i="19"/>
  <c r="AF6" i="19"/>
  <c r="E6" i="19"/>
  <c r="I6" i="19"/>
  <c r="M6" i="19"/>
  <c r="Q6" i="19"/>
  <c r="U6" i="19"/>
  <c r="Y6" i="19"/>
  <c r="AC6" i="19"/>
  <c r="H6" i="18"/>
  <c r="T6" i="18"/>
  <c r="AF6" i="18"/>
  <c r="E6" i="18"/>
  <c r="I6" i="18"/>
  <c r="M6" i="18"/>
  <c r="Q6" i="18"/>
  <c r="U6" i="18"/>
  <c r="Y6" i="18"/>
  <c r="AC6" i="18"/>
  <c r="AG6" i="18"/>
  <c r="L6" i="18"/>
  <c r="P6" i="18"/>
  <c r="X6" i="18"/>
  <c r="AB6" i="18"/>
  <c r="F6" i="18"/>
  <c r="J6" i="18"/>
  <c r="N6" i="18"/>
  <c r="R6" i="18"/>
  <c r="V6" i="18"/>
  <c r="Z6" i="18"/>
  <c r="AD6" i="18"/>
  <c r="AH6" i="18"/>
  <c r="G6" i="18"/>
  <c r="K6" i="18"/>
  <c r="O6" i="18"/>
  <c r="S6" i="18"/>
  <c r="W6" i="18"/>
  <c r="AA6" i="18"/>
  <c r="AE6" i="18"/>
  <c r="AA6" i="17"/>
  <c r="K6" i="17"/>
  <c r="G6" i="17"/>
  <c r="W6" i="17"/>
  <c r="O6" i="17"/>
  <c r="AE6" i="17"/>
  <c r="S6" i="17"/>
  <c r="AI6" i="17"/>
  <c r="H6" i="17"/>
  <c r="L6" i="17"/>
  <c r="P6" i="17"/>
  <c r="T6" i="17"/>
  <c r="X6" i="17"/>
  <c r="AB6" i="17"/>
  <c r="AF6" i="17"/>
  <c r="E6" i="17"/>
  <c r="I6" i="17"/>
  <c r="M6" i="17"/>
  <c r="Q6" i="17"/>
  <c r="U6" i="17"/>
  <c r="Y6" i="17"/>
  <c r="AC6" i="17"/>
  <c r="AG6" i="17"/>
  <c r="F6" i="17"/>
  <c r="J6" i="17"/>
  <c r="N6" i="17"/>
  <c r="R6" i="17"/>
  <c r="V6" i="17"/>
  <c r="Z6" i="17"/>
  <c r="AD6" i="17"/>
  <c r="AR3" i="22" l="1"/>
  <c r="AR3" i="20"/>
  <c r="AR3" i="18"/>
  <c r="AR3" i="19"/>
  <c r="F8" i="18"/>
  <c r="G8" i="18" s="1"/>
  <c r="H8" i="18" s="1"/>
  <c r="I8" i="18" s="1"/>
  <c r="J8" i="18" s="1"/>
  <c r="K8" i="18" s="1"/>
  <c r="L8" i="18" s="1"/>
  <c r="M8" i="18" s="1"/>
  <c r="N8" i="18" s="1"/>
  <c r="O8" i="18" s="1"/>
  <c r="P8" i="18" s="1"/>
  <c r="Q8" i="18" s="1"/>
  <c r="R8" i="18" s="1"/>
  <c r="S8" i="18" s="1"/>
  <c r="T8" i="18" s="1"/>
  <c r="U8" i="18" s="1"/>
  <c r="V8" i="18" s="1"/>
  <c r="W8" i="18" s="1"/>
  <c r="X8" i="18" s="1"/>
  <c r="Y8" i="18" s="1"/>
  <c r="Z8" i="18" s="1"/>
  <c r="AA8" i="18" s="1"/>
  <c r="AB8" i="18" s="1"/>
  <c r="AC8" i="18" s="1"/>
  <c r="AD8" i="18" s="1"/>
  <c r="AE8" i="18" s="1"/>
  <c r="AF8" i="18" s="1"/>
  <c r="AG8" i="18" s="1"/>
  <c r="AH8" i="18" s="1"/>
  <c r="AI8" i="18" s="1"/>
  <c r="F8" i="19"/>
  <c r="G8" i="19" s="1"/>
  <c r="H8" i="19" s="1"/>
  <c r="I8" i="19" s="1"/>
  <c r="J8" i="19" s="1"/>
  <c r="K8" i="19" s="1"/>
  <c r="L8" i="19" s="1"/>
  <c r="M8" i="19" s="1"/>
  <c r="N8" i="19" s="1"/>
  <c r="O8" i="19" s="1"/>
  <c r="P8" i="19" s="1"/>
  <c r="Q8" i="19" s="1"/>
  <c r="R8" i="19" s="1"/>
  <c r="S8" i="19" s="1"/>
  <c r="T8" i="19" s="1"/>
  <c r="U8" i="19" s="1"/>
  <c r="V8" i="19" s="1"/>
  <c r="W8" i="19" s="1"/>
  <c r="X8" i="19" s="1"/>
  <c r="Y8" i="19" s="1"/>
  <c r="Z8" i="19" s="1"/>
  <c r="AA8" i="19" s="1"/>
  <c r="AB8" i="19" s="1"/>
  <c r="AC8" i="19" s="1"/>
  <c r="AD8" i="19" s="1"/>
  <c r="AE8" i="19" s="1"/>
  <c r="AF8" i="19" s="1"/>
  <c r="AG8" i="19" s="1"/>
  <c r="AH8" i="19" s="1"/>
  <c r="AI8" i="19" s="1"/>
  <c r="F8" i="22"/>
  <c r="G8" i="22" s="1"/>
  <c r="H8" i="22" s="1"/>
  <c r="I8" i="22" s="1"/>
  <c r="J8" i="22" s="1"/>
  <c r="K8" i="22" s="1"/>
  <c r="L8" i="22" s="1"/>
  <c r="M8" i="22" s="1"/>
  <c r="N8" i="22" s="1"/>
  <c r="O8" i="22" s="1"/>
  <c r="P8" i="22" s="1"/>
  <c r="Q8" i="22" s="1"/>
  <c r="R8" i="22" s="1"/>
  <c r="S8" i="22" s="1"/>
  <c r="T8" i="22" s="1"/>
  <c r="U8" i="22" s="1"/>
  <c r="V8" i="22" s="1"/>
  <c r="W8" i="22" s="1"/>
  <c r="X8" i="22" s="1"/>
  <c r="Y8" i="22" s="1"/>
  <c r="Z8" i="22" s="1"/>
  <c r="AA8" i="22" s="1"/>
  <c r="AB8" i="22" s="1"/>
  <c r="AC8" i="22" s="1"/>
  <c r="AD8" i="22" s="1"/>
  <c r="AE8" i="22" s="1"/>
  <c r="AF8" i="22" s="1"/>
  <c r="AG8" i="22" s="1"/>
  <c r="AH8" i="22" s="1"/>
  <c r="AI8" i="22" s="1"/>
  <c r="AH57" i="18"/>
  <c r="AH52" i="18"/>
  <c r="AI58" i="18"/>
  <c r="AI53" i="18"/>
  <c r="AH59" i="18"/>
  <c r="AH54" i="18"/>
  <c r="AI60" i="18"/>
  <c r="AI55" i="18"/>
  <c r="AG60" i="18"/>
  <c r="AG55" i="18"/>
  <c r="AG59" i="18"/>
  <c r="AG54" i="18"/>
  <c r="AG57" i="18"/>
  <c r="AG52" i="18"/>
  <c r="AH58" i="18"/>
  <c r="AH53" i="18"/>
  <c r="AG58" i="18"/>
  <c r="AG53" i="18"/>
  <c r="AI57" i="18"/>
  <c r="AI52" i="18"/>
  <c r="AI59" i="18"/>
  <c r="AI54" i="18"/>
  <c r="AH60" i="18"/>
  <c r="AH55" i="18"/>
  <c r="AI57" i="22" l="1"/>
  <c r="AI52" i="22"/>
  <c r="AI58" i="22"/>
  <c r="AI53" i="22"/>
  <c r="AI59" i="22"/>
  <c r="AI54" i="22"/>
  <c r="AI60" i="22"/>
  <c r="AI55" i="22"/>
  <c r="AI57" i="20"/>
  <c r="AI52" i="20"/>
  <c r="AI58" i="20"/>
  <c r="AI53" i="20"/>
  <c r="AV64" i="5"/>
  <c r="B13" i="3" l="1"/>
  <c r="B15" i="3"/>
  <c r="B14" i="3"/>
  <c r="B12" i="3"/>
  <c r="B11" i="3"/>
  <c r="B10" i="3"/>
  <c r="B9" i="3"/>
  <c r="B8" i="3"/>
  <c r="B7" i="3"/>
  <c r="B6" i="3"/>
  <c r="B5" i="3"/>
  <c r="B16" i="3"/>
  <c r="AY8" i="3"/>
  <c r="AY7" i="3"/>
  <c r="AY6" i="3"/>
  <c r="AY5" i="3"/>
  <c r="H10" i="3" l="1"/>
  <c r="I10" i="3"/>
  <c r="J10" i="3" s="1"/>
  <c r="K10" i="3" s="1"/>
  <c r="L10" i="3" s="1"/>
  <c r="M10" i="3" s="1"/>
  <c r="N10" i="3" s="1"/>
  <c r="P10" i="3" s="1"/>
  <c r="Q10" i="3" s="1"/>
  <c r="R10" i="3" s="1"/>
  <c r="S10" i="3" s="1"/>
  <c r="T10" i="3" s="1"/>
  <c r="U10" i="3" s="1"/>
  <c r="V10" i="3" s="1"/>
  <c r="W10" i="3" s="1"/>
  <c r="D7" i="3"/>
  <c r="E7" i="3" s="1"/>
  <c r="F7" i="3" s="1"/>
  <c r="G7" i="3" s="1"/>
  <c r="H7" i="3" s="1"/>
  <c r="I7" i="3" s="1"/>
  <c r="J7" i="3" s="1"/>
  <c r="K7" i="3" s="1"/>
  <c r="L7" i="3" s="1"/>
  <c r="M7" i="3" s="1"/>
  <c r="N7" i="3" s="1"/>
  <c r="O7" i="3" s="1"/>
  <c r="P7" i="3" s="1"/>
  <c r="Q7" i="3" s="1"/>
  <c r="R7" i="3" s="1"/>
  <c r="S7" i="3" s="1"/>
  <c r="T7" i="3" s="1"/>
  <c r="U7" i="3" s="1"/>
  <c r="V7" i="3" s="1"/>
  <c r="W7" i="3" s="1"/>
  <c r="X7" i="3" s="1"/>
  <c r="Y7" i="3" s="1"/>
  <c r="Z7" i="3" s="1"/>
  <c r="AA7" i="3" s="1"/>
  <c r="AB7" i="3" s="1"/>
  <c r="AC7" i="3" s="1"/>
  <c r="AD7" i="3" s="1"/>
  <c r="AE7" i="3" s="1"/>
  <c r="AF7" i="3" s="1"/>
  <c r="AG7" i="3" s="1"/>
  <c r="AH7" i="3" s="1"/>
  <c r="D8" i="3"/>
  <c r="E8" i="3" s="1"/>
  <c r="F8" i="3" s="1"/>
  <c r="G8" i="3" s="1"/>
  <c r="H8" i="3" s="1"/>
  <c r="I8" i="3" s="1"/>
  <c r="J8" i="3" s="1"/>
  <c r="K8" i="3" s="1"/>
  <c r="L8" i="3" s="1"/>
  <c r="M8" i="3" s="1"/>
  <c r="N8" i="3" s="1"/>
  <c r="O8" i="3" s="1"/>
  <c r="P8" i="3" s="1"/>
  <c r="Q8" i="3" s="1"/>
  <c r="R8" i="3" s="1"/>
  <c r="S8" i="3" s="1"/>
  <c r="T8" i="3" s="1"/>
  <c r="U8" i="3" s="1"/>
  <c r="V8" i="3" s="1"/>
  <c r="W8" i="3" s="1"/>
  <c r="X8" i="3" s="1"/>
  <c r="Y8" i="3" s="1"/>
  <c r="Z8" i="3" s="1"/>
  <c r="AA8" i="3" s="1"/>
  <c r="AB8" i="3" s="1"/>
  <c r="AC8" i="3" s="1"/>
  <c r="AD8" i="3" s="1"/>
  <c r="AE8" i="3" s="1"/>
  <c r="AF8" i="3" s="1"/>
  <c r="C8" i="3"/>
  <c r="I5" i="3"/>
  <c r="J5" i="3" s="1"/>
  <c r="K5" i="3" s="1"/>
  <c r="L5" i="3" s="1"/>
  <c r="M5" i="3" s="1"/>
  <c r="N5" i="3" s="1"/>
  <c r="O5" i="3" s="1"/>
  <c r="P5" i="3" s="1"/>
  <c r="Q5" i="3" s="1"/>
  <c r="R5" i="3" s="1"/>
  <c r="S5" i="3" s="1"/>
  <c r="T5" i="3" s="1"/>
  <c r="U5" i="3" s="1"/>
  <c r="V5" i="3" s="1"/>
  <c r="W5" i="3" s="1"/>
  <c r="X5" i="3" s="1"/>
  <c r="Y5" i="3" s="1"/>
  <c r="Z5" i="3" s="1"/>
  <c r="AA5" i="3" s="1"/>
  <c r="AB5" i="3" s="1"/>
  <c r="AC5" i="3" s="1"/>
  <c r="AD5" i="3" s="1"/>
  <c r="AE5" i="3" s="1"/>
  <c r="AF5" i="3" s="1"/>
  <c r="AG5" i="3" s="1"/>
  <c r="AH5" i="3" s="1"/>
  <c r="AI5" i="3" s="1"/>
  <c r="AJ5" i="3" s="1"/>
  <c r="AK5" i="3" s="1"/>
  <c r="AL5" i="3" s="1"/>
  <c r="AM5" i="3" s="1"/>
  <c r="I9" i="3"/>
  <c r="J9" i="3" s="1"/>
  <c r="K9" i="3" s="1"/>
  <c r="L9" i="3" s="1"/>
  <c r="M9" i="3" s="1"/>
  <c r="N9" i="3" s="1"/>
  <c r="O9" i="3" s="1"/>
  <c r="P9" i="3" s="1"/>
  <c r="Q9" i="3" s="1"/>
  <c r="R9" i="3" s="1"/>
  <c r="S9" i="3" s="1"/>
  <c r="T9" i="3" s="1"/>
  <c r="U9" i="3" s="1"/>
  <c r="V9" i="3" s="1"/>
  <c r="W9" i="3" s="1"/>
  <c r="X9" i="3" s="1"/>
  <c r="Y9" i="3" s="1"/>
  <c r="Z9" i="3" s="1"/>
  <c r="AA9" i="3" s="1"/>
  <c r="AB9" i="3" s="1"/>
  <c r="AC9" i="3" s="1"/>
  <c r="AD9" i="3" s="1"/>
  <c r="AE9" i="3" s="1"/>
  <c r="AF9" i="3" s="1"/>
  <c r="AG9" i="3" s="1"/>
  <c r="AH9" i="3" s="1"/>
  <c r="AI9" i="3" s="1"/>
  <c r="AJ9" i="3" s="1"/>
  <c r="AK9" i="3" s="1"/>
  <c r="AL9" i="3" s="1"/>
  <c r="AM9" i="3" s="1"/>
  <c r="I6" i="3"/>
  <c r="J6" i="3" s="1"/>
  <c r="K6" i="3" s="1"/>
  <c r="L6" i="3" s="1"/>
  <c r="M6" i="3" s="1"/>
  <c r="N6" i="3" s="1"/>
  <c r="O6" i="3" s="1"/>
  <c r="P6" i="3" s="1"/>
  <c r="Q6" i="3" s="1"/>
  <c r="R6" i="3" s="1"/>
  <c r="S6" i="3" s="1"/>
  <c r="T6" i="3" s="1"/>
  <c r="U6" i="3" s="1"/>
  <c r="V6" i="3" s="1"/>
  <c r="W6" i="3" s="1"/>
  <c r="X6" i="3" s="1"/>
  <c r="Y6" i="3" s="1"/>
  <c r="Z6" i="3" s="1"/>
  <c r="AA6" i="3" s="1"/>
  <c r="AB6" i="3" s="1"/>
  <c r="AC6" i="3" s="1"/>
  <c r="AD6" i="3" s="1"/>
  <c r="AE6" i="3" s="1"/>
  <c r="AF6" i="3" s="1"/>
  <c r="AG6" i="3" s="1"/>
  <c r="AH6" i="3" s="1"/>
  <c r="AI6" i="3" s="1"/>
  <c r="H6" i="3"/>
  <c r="AY4" i="3"/>
  <c r="X10" i="3" l="1"/>
  <c r="AV1" i="8"/>
  <c r="AV1" i="7"/>
  <c r="AV1" i="6"/>
  <c r="AV1" i="5"/>
  <c r="AR128" i="8"/>
  <c r="AQ128" i="8"/>
  <c r="AO128" i="8"/>
  <c r="AR127" i="8"/>
  <c r="AQ127" i="8"/>
  <c r="AO127" i="8"/>
  <c r="AR126" i="8"/>
  <c r="AQ126" i="8"/>
  <c r="AO126" i="8"/>
  <c r="AR125" i="8"/>
  <c r="AQ125" i="8"/>
  <c r="AO125" i="8"/>
  <c r="AR124" i="8"/>
  <c r="AQ124" i="8"/>
  <c r="AO124" i="8"/>
  <c r="AM112" i="8"/>
  <c r="AM62" i="8"/>
  <c r="AM52" i="8"/>
  <c r="AM32" i="8"/>
  <c r="AM22" i="8"/>
  <c r="AM12" i="8"/>
  <c r="AT7" i="8"/>
  <c r="F3" i="8"/>
  <c r="AR128" i="7"/>
  <c r="AQ128" i="7"/>
  <c r="AO128" i="7"/>
  <c r="AR127" i="7"/>
  <c r="AQ127" i="7"/>
  <c r="AO127" i="7"/>
  <c r="AR126" i="7"/>
  <c r="AQ126" i="7"/>
  <c r="AO126" i="7"/>
  <c r="AR125" i="7"/>
  <c r="AQ125" i="7"/>
  <c r="AO125" i="7"/>
  <c r="AR124" i="7"/>
  <c r="AQ124" i="7"/>
  <c r="AO124" i="7"/>
  <c r="AM112" i="7"/>
  <c r="AM62" i="7"/>
  <c r="AM52" i="7"/>
  <c r="AM32" i="7"/>
  <c r="AM22" i="7"/>
  <c r="AM12" i="7"/>
  <c r="AT7" i="7"/>
  <c r="F3" i="7"/>
  <c r="AR128" i="6"/>
  <c r="AQ128" i="6"/>
  <c r="AO128" i="6"/>
  <c r="AR127" i="6"/>
  <c r="AQ127" i="6"/>
  <c r="AO127" i="6"/>
  <c r="AR126" i="6"/>
  <c r="AQ126" i="6"/>
  <c r="AO126" i="6"/>
  <c r="AR125" i="6"/>
  <c r="AQ125" i="6"/>
  <c r="AO125" i="6"/>
  <c r="AR124" i="6"/>
  <c r="AQ124" i="6"/>
  <c r="AO124" i="6"/>
  <c r="AM62" i="6"/>
  <c r="AM52" i="6"/>
  <c r="AM32" i="6"/>
  <c r="AM22" i="6"/>
  <c r="AM12" i="6"/>
  <c r="F3" i="6"/>
  <c r="AR128" i="5"/>
  <c r="AQ128" i="5"/>
  <c r="AO128" i="5"/>
  <c r="AR127" i="5"/>
  <c r="AQ127" i="5"/>
  <c r="AO127" i="5"/>
  <c r="AR126" i="5"/>
  <c r="AQ126" i="5"/>
  <c r="AO126" i="5"/>
  <c r="AR125" i="5"/>
  <c r="AQ125" i="5"/>
  <c r="AO125" i="5"/>
  <c r="AR124" i="5"/>
  <c r="AQ124" i="5"/>
  <c r="AO124" i="5"/>
  <c r="AM112" i="5"/>
  <c r="AM62" i="5"/>
  <c r="AM52" i="5"/>
  <c r="AM32" i="5"/>
  <c r="AM22" i="5"/>
  <c r="AM12" i="5"/>
  <c r="F3" i="5"/>
  <c r="B64" i="6" l="1"/>
  <c r="B74" i="6"/>
  <c r="B84" i="6"/>
  <c r="B94" i="6"/>
  <c r="B104" i="6"/>
  <c r="B114" i="6"/>
  <c r="Y10" i="3"/>
  <c r="Z10" i="3" s="1"/>
  <c r="AA10" i="3" s="1"/>
  <c r="AB10" i="3" s="1"/>
  <c r="AC10" i="3" s="1"/>
  <c r="AD10" i="3" s="1"/>
  <c r="AE10" i="3" s="1"/>
  <c r="AF10" i="3" s="1"/>
  <c r="AG10" i="3" s="1"/>
  <c r="AH10" i="3" s="1"/>
  <c r="B104" i="7"/>
  <c r="B94" i="8"/>
  <c r="CK97" i="8" s="1"/>
  <c r="E97" i="8" s="1"/>
  <c r="G3" i="5"/>
  <c r="B114" i="8"/>
  <c r="CK117" i="8" s="1"/>
  <c r="E117" i="8" s="1"/>
  <c r="B84" i="7"/>
  <c r="B64" i="7"/>
  <c r="B14" i="7"/>
  <c r="B4" i="6"/>
  <c r="G3" i="8"/>
  <c r="AM128" i="8"/>
  <c r="B74" i="7"/>
  <c r="B24" i="7"/>
  <c r="B4" i="8"/>
  <c r="B14" i="8"/>
  <c r="B84" i="8"/>
  <c r="B54" i="7"/>
  <c r="B114" i="7"/>
  <c r="B44" i="8"/>
  <c r="B4" i="5"/>
  <c r="B54" i="8"/>
  <c r="B114" i="5"/>
  <c r="B94" i="5"/>
  <c r="B54" i="5"/>
  <c r="B84" i="5"/>
  <c r="B64" i="5"/>
  <c r="B14" i="5"/>
  <c r="B24" i="6"/>
  <c r="B14" i="6"/>
  <c r="B44" i="6"/>
  <c r="B34" i="7"/>
  <c r="B94" i="7"/>
  <c r="B24" i="8"/>
  <c r="B64" i="8"/>
  <c r="B104" i="8"/>
  <c r="B34" i="8"/>
  <c r="B74" i="8"/>
  <c r="B4" i="7"/>
  <c r="B44" i="7"/>
  <c r="B54" i="6"/>
  <c r="B34" i="6"/>
  <c r="B24" i="5"/>
  <c r="B44" i="5"/>
  <c r="B104" i="5"/>
  <c r="B34" i="5"/>
  <c r="B74" i="5"/>
  <c r="G3" i="7"/>
  <c r="AM128" i="7"/>
  <c r="AM128" i="6"/>
  <c r="G3" i="6"/>
  <c r="AM128" i="5"/>
  <c r="AJ114" i="6" l="1"/>
  <c r="CK115" i="6"/>
  <c r="CL115" i="6"/>
  <c r="CM115" i="6"/>
  <c r="CM117" i="6"/>
  <c r="CK117" i="6"/>
  <c r="CL117" i="6"/>
  <c r="CM119" i="6"/>
  <c r="CL119" i="6"/>
  <c r="CK119" i="6"/>
  <c r="CL121" i="6"/>
  <c r="CM121" i="6"/>
  <c r="CK123" i="6"/>
  <c r="CK121" i="6"/>
  <c r="CM123" i="6"/>
  <c r="CL123" i="6"/>
  <c r="AJ104" i="6"/>
  <c r="CK105" i="6"/>
  <c r="CL105" i="6"/>
  <c r="CM105" i="6"/>
  <c r="CL107" i="6"/>
  <c r="CM107" i="6"/>
  <c r="CK107" i="6"/>
  <c r="CL109" i="6"/>
  <c r="CM109" i="6"/>
  <c r="CK109" i="6"/>
  <c r="CL111" i="6"/>
  <c r="CM113" i="6"/>
  <c r="CM111" i="6"/>
  <c r="CK113" i="6"/>
  <c r="CL113" i="6"/>
  <c r="CK111" i="6"/>
  <c r="CM65" i="6"/>
  <c r="AJ64" i="6"/>
  <c r="CK65" i="6"/>
  <c r="CL65" i="6"/>
  <c r="CK67" i="6"/>
  <c r="CL67" i="6"/>
  <c r="CM67" i="6"/>
  <c r="CN69" i="6"/>
  <c r="CK69" i="6"/>
  <c r="CL69" i="6"/>
  <c r="CM69" i="6"/>
  <c r="CL71" i="6"/>
  <c r="CL73" i="6"/>
  <c r="CK71" i="6"/>
  <c r="CM73" i="6"/>
  <c r="CM71" i="6"/>
  <c r="CK73" i="6"/>
  <c r="AJ74" i="6"/>
  <c r="CK75" i="6"/>
  <c r="CM75" i="6"/>
  <c r="CN75" i="6"/>
  <c r="CL75" i="6"/>
  <c r="CK77" i="6"/>
  <c r="CL77" i="6"/>
  <c r="CM77" i="6"/>
  <c r="CL79" i="6"/>
  <c r="CM79" i="6"/>
  <c r="CK79" i="6"/>
  <c r="CL81" i="6"/>
  <c r="CM81" i="6"/>
  <c r="CK83" i="6"/>
  <c r="CL83" i="6"/>
  <c r="CK81" i="6"/>
  <c r="CM83" i="6"/>
  <c r="AJ94" i="6"/>
  <c r="CK95" i="6"/>
  <c r="CL95" i="6"/>
  <c r="CM95" i="6"/>
  <c r="CM97" i="6"/>
  <c r="CK97" i="6"/>
  <c r="CL97" i="6"/>
  <c r="CK99" i="6"/>
  <c r="CL99" i="6"/>
  <c r="CM99" i="6"/>
  <c r="CL101" i="6"/>
  <c r="CM101" i="6"/>
  <c r="CK103" i="6"/>
  <c r="CL103" i="6"/>
  <c r="CK101" i="6"/>
  <c r="CM103" i="6"/>
  <c r="CK85" i="6"/>
  <c r="AJ84" i="6"/>
  <c r="CL85" i="6"/>
  <c r="CM85" i="6"/>
  <c r="CK87" i="6"/>
  <c r="CL87" i="6"/>
  <c r="CM87" i="6"/>
  <c r="CK89" i="6"/>
  <c r="CL89" i="6"/>
  <c r="CM89" i="6"/>
  <c r="CM91" i="6"/>
  <c r="CL93" i="6"/>
  <c r="CN91" i="6"/>
  <c r="CM93" i="6"/>
  <c r="CK91" i="6"/>
  <c r="CK93" i="6"/>
  <c r="CN93" i="6"/>
  <c r="CL91" i="6"/>
  <c r="CL95" i="8"/>
  <c r="CL97" i="8"/>
  <c r="F97" i="8" s="1"/>
  <c r="CK99" i="8"/>
  <c r="E99" i="8" s="1"/>
  <c r="CM23" i="7"/>
  <c r="G23" i="7" s="1"/>
  <c r="CK115" i="8"/>
  <c r="E115" i="8" s="1"/>
  <c r="CL99" i="8"/>
  <c r="F99" i="8" s="1"/>
  <c r="CM103" i="8"/>
  <c r="G103" i="8" s="1"/>
  <c r="CL103" i="8"/>
  <c r="F103" i="8" s="1"/>
  <c r="CL113" i="7"/>
  <c r="F113" i="7" s="1"/>
  <c r="AI10" i="3"/>
  <c r="CK95" i="8"/>
  <c r="E95" i="8" s="1"/>
  <c r="CK121" i="8"/>
  <c r="E121" i="8" s="1"/>
  <c r="CL101" i="8"/>
  <c r="F101" i="8" s="1"/>
  <c r="CK103" i="8"/>
  <c r="E103" i="8" s="1"/>
  <c r="CK101" i="8"/>
  <c r="E101" i="8" s="1"/>
  <c r="CK107" i="7"/>
  <c r="E107" i="7" s="1"/>
  <c r="CK113" i="7"/>
  <c r="E113" i="7" s="1"/>
  <c r="CK109" i="7"/>
  <c r="E109" i="7" s="1"/>
  <c r="CL109" i="7"/>
  <c r="F109" i="7" s="1"/>
  <c r="CL105" i="7"/>
  <c r="F105" i="7" s="1"/>
  <c r="CM107" i="7"/>
  <c r="G107" i="7" s="1"/>
  <c r="CL121" i="8"/>
  <c r="F121" i="8" s="1"/>
  <c r="CL111" i="7"/>
  <c r="F111" i="7" s="1"/>
  <c r="CK105" i="7"/>
  <c r="E105" i="7" s="1"/>
  <c r="CK111" i="7"/>
  <c r="E111" i="7" s="1"/>
  <c r="CM113" i="7"/>
  <c r="G113" i="7" s="1"/>
  <c r="CL107" i="7"/>
  <c r="F107" i="7" s="1"/>
  <c r="CM105" i="7"/>
  <c r="G105" i="7" s="1"/>
  <c r="CM109" i="7"/>
  <c r="G109" i="7" s="1"/>
  <c r="CM111" i="7"/>
  <c r="G111" i="7" s="1"/>
  <c r="AJ24" i="5"/>
  <c r="AJ24" i="8"/>
  <c r="AJ114" i="5"/>
  <c r="AJ114" i="7"/>
  <c r="AJ14" i="8"/>
  <c r="F95" i="8"/>
  <c r="AJ74" i="8"/>
  <c r="AJ64" i="5"/>
  <c r="AJ84" i="7"/>
  <c r="AJ34" i="5"/>
  <c r="AJ54" i="6"/>
  <c r="AJ34" i="8"/>
  <c r="AJ94" i="7"/>
  <c r="AJ14" i="6"/>
  <c r="AJ84" i="5"/>
  <c r="AJ54" i="8"/>
  <c r="AJ54" i="7"/>
  <c r="AJ4" i="8"/>
  <c r="CL11" i="6"/>
  <c r="F11" i="6" s="1"/>
  <c r="AJ4" i="6"/>
  <c r="CL115" i="8"/>
  <c r="AJ114" i="8"/>
  <c r="AJ34" i="7"/>
  <c r="AJ14" i="7"/>
  <c r="AJ94" i="8"/>
  <c r="AJ74" i="5"/>
  <c r="AJ104" i="5"/>
  <c r="AJ44" i="7"/>
  <c r="AJ104" i="8"/>
  <c r="AJ24" i="6"/>
  <c r="AJ54" i="5"/>
  <c r="AJ4" i="5"/>
  <c r="AJ24" i="7"/>
  <c r="AJ44" i="5"/>
  <c r="AJ34" i="6"/>
  <c r="AJ4" i="7"/>
  <c r="AJ64" i="8"/>
  <c r="AJ44" i="6"/>
  <c r="AJ14" i="5"/>
  <c r="AJ94" i="5"/>
  <c r="AJ44" i="8"/>
  <c r="AJ84" i="8"/>
  <c r="AJ74" i="7"/>
  <c r="AJ64" i="7"/>
  <c r="AJ104" i="7"/>
  <c r="CL117" i="8"/>
  <c r="CK123" i="8"/>
  <c r="E123" i="8" s="1"/>
  <c r="CL123" i="8"/>
  <c r="CM87" i="7"/>
  <c r="CL17" i="7"/>
  <c r="F17" i="7" s="1"/>
  <c r="CK119" i="8"/>
  <c r="E119" i="8" s="1"/>
  <c r="CL119" i="8"/>
  <c r="CM65" i="7"/>
  <c r="CK67" i="7"/>
  <c r="CM71" i="7"/>
  <c r="CK73" i="7"/>
  <c r="CL69" i="7"/>
  <c r="CM67" i="7"/>
  <c r="G67" i="7" s="1"/>
  <c r="CK71" i="7"/>
  <c r="CM69" i="7"/>
  <c r="CK65" i="7"/>
  <c r="CL67" i="7"/>
  <c r="CK21" i="7"/>
  <c r="E21" i="7" s="1"/>
  <c r="CL23" i="7"/>
  <c r="F23" i="7" s="1"/>
  <c r="CM15" i="7"/>
  <c r="G15" i="7" s="1"/>
  <c r="CK15" i="7"/>
  <c r="E15" i="7" s="1"/>
  <c r="CM19" i="7"/>
  <c r="G19" i="7" s="1"/>
  <c r="CL15" i="7"/>
  <c r="F15" i="7" s="1"/>
  <c r="CM17" i="7"/>
  <c r="G17" i="7" s="1"/>
  <c r="CK17" i="7"/>
  <c r="E17" i="7" s="1"/>
  <c r="CM21" i="7"/>
  <c r="G21" i="7" s="1"/>
  <c r="CK19" i="7"/>
  <c r="E19" i="7" s="1"/>
  <c r="CL21" i="7"/>
  <c r="F21" i="7" s="1"/>
  <c r="CL19" i="7"/>
  <c r="F19" i="7" s="1"/>
  <c r="CL61" i="6"/>
  <c r="F61" i="6" s="1"/>
  <c r="CL21" i="6"/>
  <c r="F21" i="6" s="1"/>
  <c r="CL31" i="6"/>
  <c r="F31" i="6" s="1"/>
  <c r="CL43" i="6"/>
  <c r="CL45" i="6"/>
  <c r="F45" i="6" s="1"/>
  <c r="CL13" i="6"/>
  <c r="F13" i="6" s="1"/>
  <c r="H3" i="5"/>
  <c r="CN113" i="5" s="1"/>
  <c r="H113" i="5" s="1"/>
  <c r="CL85" i="7"/>
  <c r="CK93" i="7"/>
  <c r="E93" i="7" s="1"/>
  <c r="CM85" i="7"/>
  <c r="CK91" i="7"/>
  <c r="CL93" i="7"/>
  <c r="CK85" i="7"/>
  <c r="CL87" i="7"/>
  <c r="CM89" i="7"/>
  <c r="CK87" i="7"/>
  <c r="CL89" i="7"/>
  <c r="CM91" i="7"/>
  <c r="CK89" i="7"/>
  <c r="CL91" i="7"/>
  <c r="CM93" i="7"/>
  <c r="CM73" i="7"/>
  <c r="G73" i="7" s="1"/>
  <c r="CL71" i="7"/>
  <c r="F71" i="7" s="1"/>
  <c r="CK69" i="7"/>
  <c r="E69" i="7" s="1"/>
  <c r="CL65" i="7"/>
  <c r="F65" i="7" s="1"/>
  <c r="CL73" i="7"/>
  <c r="F73" i="7" s="1"/>
  <c r="CK23" i="7"/>
  <c r="CL5" i="6"/>
  <c r="F5" i="6" s="1"/>
  <c r="CL7" i="6"/>
  <c r="F7" i="6" s="1"/>
  <c r="CL9" i="6"/>
  <c r="F9" i="6" s="1"/>
  <c r="CL57" i="6"/>
  <c r="F57" i="6" s="1"/>
  <c r="CL59" i="6"/>
  <c r="F59" i="6" s="1"/>
  <c r="CL51" i="6"/>
  <c r="F51" i="6" s="1"/>
  <c r="CL33" i="6"/>
  <c r="CL63" i="6"/>
  <c r="CL37" i="6"/>
  <c r="F37" i="6" s="1"/>
  <c r="CM113" i="5"/>
  <c r="G113" i="5" s="1"/>
  <c r="CM109" i="5"/>
  <c r="G109" i="5" s="1"/>
  <c r="CL111" i="5"/>
  <c r="F111" i="5" s="1"/>
  <c r="CM107" i="5"/>
  <c r="G107" i="5" s="1"/>
  <c r="CL105" i="5"/>
  <c r="F105" i="5" s="1"/>
  <c r="CK107" i="5"/>
  <c r="E107" i="5" s="1"/>
  <c r="CL113" i="5"/>
  <c r="F113" i="5" s="1"/>
  <c r="CN109" i="5"/>
  <c r="H109" i="5" s="1"/>
  <c r="CL107" i="5"/>
  <c r="F107" i="5" s="1"/>
  <c r="CK113" i="5"/>
  <c r="E113" i="5" s="1"/>
  <c r="CK105" i="5"/>
  <c r="E105" i="5" s="1"/>
  <c r="CN111" i="5"/>
  <c r="H111" i="5" s="1"/>
  <c r="CL109" i="5"/>
  <c r="F109" i="5" s="1"/>
  <c r="CN105" i="5"/>
  <c r="H105" i="5" s="1"/>
  <c r="CK111" i="5"/>
  <c r="E111" i="5" s="1"/>
  <c r="CM111" i="5"/>
  <c r="G111" i="5" s="1"/>
  <c r="CN107" i="5"/>
  <c r="H107" i="5" s="1"/>
  <c r="CM105" i="5"/>
  <c r="G105" i="5" s="1"/>
  <c r="CK109" i="5"/>
  <c r="E109" i="5" s="1"/>
  <c r="CL73" i="5"/>
  <c r="F73" i="5" s="1"/>
  <c r="CN71" i="5"/>
  <c r="H71" i="5" s="1"/>
  <c r="CL69" i="5"/>
  <c r="F69" i="5" s="1"/>
  <c r="CN67" i="5"/>
  <c r="H67" i="5" s="1"/>
  <c r="CL65" i="5"/>
  <c r="F65" i="5" s="1"/>
  <c r="CK67" i="5"/>
  <c r="E67" i="5" s="1"/>
  <c r="CM71" i="5"/>
  <c r="G71" i="5" s="1"/>
  <c r="CM67" i="5"/>
  <c r="G67" i="5" s="1"/>
  <c r="CK73" i="5"/>
  <c r="E73" i="5" s="1"/>
  <c r="CK65" i="5"/>
  <c r="E65" i="5" s="1"/>
  <c r="CN73" i="5"/>
  <c r="H73" i="5" s="1"/>
  <c r="CL71" i="5"/>
  <c r="F71" i="5" s="1"/>
  <c r="CN69" i="5"/>
  <c r="H69" i="5" s="1"/>
  <c r="CL67" i="5"/>
  <c r="F67" i="5" s="1"/>
  <c r="CN65" i="5"/>
  <c r="H65" i="5" s="1"/>
  <c r="CK71" i="5"/>
  <c r="E71" i="5" s="1"/>
  <c r="CM73" i="5"/>
  <c r="G73" i="5" s="1"/>
  <c r="CM69" i="5"/>
  <c r="G69" i="5" s="1"/>
  <c r="CM65" i="5"/>
  <c r="G65" i="5" s="1"/>
  <c r="CK69" i="5"/>
  <c r="E69" i="5" s="1"/>
  <c r="CM123" i="7"/>
  <c r="CL121" i="7"/>
  <c r="CK119" i="7"/>
  <c r="CM115" i="7"/>
  <c r="CL123" i="7"/>
  <c r="CK121" i="7"/>
  <c r="CM117" i="7"/>
  <c r="CL115" i="7"/>
  <c r="CK123" i="7"/>
  <c r="CM119" i="7"/>
  <c r="CL117" i="7"/>
  <c r="CK115" i="7"/>
  <c r="CM121" i="7"/>
  <c r="CL119" i="7"/>
  <c r="CK117" i="7"/>
  <c r="CM83" i="5"/>
  <c r="G83" i="5" s="1"/>
  <c r="CM79" i="5"/>
  <c r="G79" i="5" s="1"/>
  <c r="CM75" i="5"/>
  <c r="G75" i="5" s="1"/>
  <c r="CK79" i="5"/>
  <c r="E79" i="5" s="1"/>
  <c r="CL83" i="5"/>
  <c r="F83" i="5" s="1"/>
  <c r="CN81" i="5"/>
  <c r="H81" i="5" s="1"/>
  <c r="CL79" i="5"/>
  <c r="F79" i="5" s="1"/>
  <c r="CN77" i="5"/>
  <c r="H77" i="5" s="1"/>
  <c r="CL75" i="5"/>
  <c r="F75" i="5" s="1"/>
  <c r="CK77" i="5"/>
  <c r="E77" i="5" s="1"/>
  <c r="CM81" i="5"/>
  <c r="G81" i="5" s="1"/>
  <c r="CM77" i="5"/>
  <c r="G77" i="5" s="1"/>
  <c r="CK83" i="5"/>
  <c r="E83" i="5" s="1"/>
  <c r="CK75" i="5"/>
  <c r="E75" i="5" s="1"/>
  <c r="CN83" i="5"/>
  <c r="H83" i="5" s="1"/>
  <c r="CL81" i="5"/>
  <c r="F81" i="5" s="1"/>
  <c r="CN79" i="5"/>
  <c r="H79" i="5" s="1"/>
  <c r="CL77" i="5"/>
  <c r="F77" i="5" s="1"/>
  <c r="CN75" i="5"/>
  <c r="H75" i="5" s="1"/>
  <c r="CK81" i="5"/>
  <c r="E81" i="5" s="1"/>
  <c r="CL33" i="5"/>
  <c r="CN33" i="5"/>
  <c r="CM33" i="5"/>
  <c r="CM29" i="5"/>
  <c r="G29" i="5" s="1"/>
  <c r="CM25" i="5"/>
  <c r="G25" i="5" s="1"/>
  <c r="CK29" i="5"/>
  <c r="E29" i="5" s="1"/>
  <c r="CN29" i="5"/>
  <c r="H29" i="5" s="1"/>
  <c r="CL27" i="5"/>
  <c r="F27" i="5" s="1"/>
  <c r="CK31" i="5"/>
  <c r="E31" i="5" s="1"/>
  <c r="CN31" i="5"/>
  <c r="H31" i="5" s="1"/>
  <c r="CL29" i="5"/>
  <c r="F29" i="5" s="1"/>
  <c r="CN25" i="5"/>
  <c r="H25" i="5" s="1"/>
  <c r="CK27" i="5"/>
  <c r="E27" i="5" s="1"/>
  <c r="CM31" i="5"/>
  <c r="G31" i="5" s="1"/>
  <c r="CN27" i="5"/>
  <c r="H27" i="5" s="1"/>
  <c r="CL25" i="5"/>
  <c r="F25" i="5" s="1"/>
  <c r="CK25" i="5"/>
  <c r="E25" i="5" s="1"/>
  <c r="CL31" i="5"/>
  <c r="F31" i="5" s="1"/>
  <c r="CM27" i="5"/>
  <c r="G27" i="5" s="1"/>
  <c r="CK33" i="5"/>
  <c r="CK51" i="6"/>
  <c r="E51" i="6" s="1"/>
  <c r="CK47" i="6"/>
  <c r="E47" i="6" s="1"/>
  <c r="CK53" i="6"/>
  <c r="CK45" i="6"/>
  <c r="E45" i="6" s="1"/>
  <c r="CK49" i="6"/>
  <c r="E49" i="6" s="1"/>
  <c r="CM61" i="5"/>
  <c r="G61" i="5" s="1"/>
  <c r="CM57" i="5"/>
  <c r="G57" i="5" s="1"/>
  <c r="CK63" i="5"/>
  <c r="CK55" i="5"/>
  <c r="E55" i="5" s="1"/>
  <c r="CN63" i="5"/>
  <c r="CL61" i="5"/>
  <c r="F61" i="5" s="1"/>
  <c r="CN59" i="5"/>
  <c r="H59" i="5" s="1"/>
  <c r="CL57" i="5"/>
  <c r="F57" i="5" s="1"/>
  <c r="CN55" i="5"/>
  <c r="H55" i="5" s="1"/>
  <c r="CK61" i="5"/>
  <c r="E61" i="5" s="1"/>
  <c r="CM63" i="5"/>
  <c r="CM59" i="5"/>
  <c r="G59" i="5" s="1"/>
  <c r="CM55" i="5"/>
  <c r="G55" i="5" s="1"/>
  <c r="CK59" i="5"/>
  <c r="E59" i="5" s="1"/>
  <c r="CL63" i="5"/>
  <c r="CN61" i="5"/>
  <c r="H61" i="5" s="1"/>
  <c r="CL59" i="5"/>
  <c r="F59" i="5" s="1"/>
  <c r="CN57" i="5"/>
  <c r="H57" i="5" s="1"/>
  <c r="CL55" i="5"/>
  <c r="F55" i="5" s="1"/>
  <c r="CK57" i="5"/>
  <c r="E57" i="5" s="1"/>
  <c r="CN13" i="5"/>
  <c r="H13" i="5" s="1"/>
  <c r="CK13" i="5"/>
  <c r="CL9" i="5"/>
  <c r="F9" i="5" s="1"/>
  <c r="CL7" i="5"/>
  <c r="F7" i="5" s="1"/>
  <c r="CN5" i="5"/>
  <c r="H5" i="5" s="1"/>
  <c r="CK5" i="5"/>
  <c r="CM13" i="5"/>
  <c r="G13" i="5" s="1"/>
  <c r="CN11" i="5"/>
  <c r="H11" i="5" s="1"/>
  <c r="CK9" i="5"/>
  <c r="E9" i="5" s="1"/>
  <c r="CL5" i="5"/>
  <c r="F5" i="5" s="1"/>
  <c r="CK11" i="5"/>
  <c r="E11" i="5" s="1"/>
  <c r="CN7" i="5"/>
  <c r="H7" i="5" s="1"/>
  <c r="CM5" i="5"/>
  <c r="G5" i="5" s="1"/>
  <c r="CL11" i="5"/>
  <c r="F11" i="5" s="1"/>
  <c r="CM9" i="5"/>
  <c r="G9" i="5" s="1"/>
  <c r="CM7" i="5"/>
  <c r="G7" i="5" s="1"/>
  <c r="CL13" i="5"/>
  <c r="F13" i="5" s="1"/>
  <c r="CM11" i="5"/>
  <c r="G11" i="5" s="1"/>
  <c r="CN9" i="5"/>
  <c r="H9" i="5" s="1"/>
  <c r="CK7" i="5"/>
  <c r="E7" i="5" s="1"/>
  <c r="CL33" i="7"/>
  <c r="CK31" i="7"/>
  <c r="E31" i="7" s="1"/>
  <c r="CM27" i="7"/>
  <c r="G27" i="7" s="1"/>
  <c r="CL25" i="7"/>
  <c r="F25" i="7" s="1"/>
  <c r="CK33" i="7"/>
  <c r="CM29" i="7"/>
  <c r="G29" i="7" s="1"/>
  <c r="CL27" i="7"/>
  <c r="F27" i="7" s="1"/>
  <c r="CK25" i="7"/>
  <c r="E25" i="7" s="1"/>
  <c r="CM31" i="7"/>
  <c r="G31" i="7" s="1"/>
  <c r="CL29" i="7"/>
  <c r="F29" i="7" s="1"/>
  <c r="CK27" i="7"/>
  <c r="E27" i="7" s="1"/>
  <c r="CM33" i="7"/>
  <c r="CL31" i="7"/>
  <c r="F31" i="7" s="1"/>
  <c r="CK29" i="7"/>
  <c r="E29" i="7" s="1"/>
  <c r="CM25" i="7"/>
  <c r="G25" i="7" s="1"/>
  <c r="CL47" i="6"/>
  <c r="F47" i="6" s="1"/>
  <c r="CL35" i="6"/>
  <c r="F35" i="6" s="1"/>
  <c r="CL17" i="6"/>
  <c r="F17" i="6" s="1"/>
  <c r="CL23" i="6"/>
  <c r="F23" i="6" s="1"/>
  <c r="CL41" i="6"/>
  <c r="F41" i="6" s="1"/>
  <c r="CM51" i="7"/>
  <c r="G51" i="7" s="1"/>
  <c r="CL49" i="7"/>
  <c r="F49" i="7" s="1"/>
  <c r="CK47" i="7"/>
  <c r="E47" i="7" s="1"/>
  <c r="CM53" i="7"/>
  <c r="CL51" i="7"/>
  <c r="F51" i="7" s="1"/>
  <c r="CK49" i="7"/>
  <c r="E49" i="7" s="1"/>
  <c r="CM45" i="7"/>
  <c r="G45" i="7" s="1"/>
  <c r="CL53" i="7"/>
  <c r="CK51" i="7"/>
  <c r="E51" i="7" s="1"/>
  <c r="CM47" i="7"/>
  <c r="G47" i="7" s="1"/>
  <c r="CL45" i="7"/>
  <c r="F45" i="7" s="1"/>
  <c r="CK53" i="7"/>
  <c r="CM49" i="7"/>
  <c r="G49" i="7" s="1"/>
  <c r="CL47" i="7"/>
  <c r="F47" i="7" s="1"/>
  <c r="CK45" i="7"/>
  <c r="E45" i="7" s="1"/>
  <c r="CM43" i="5"/>
  <c r="CM39" i="5"/>
  <c r="G39" i="5" s="1"/>
  <c r="CM35" i="5"/>
  <c r="G35" i="5" s="1"/>
  <c r="CK39" i="5"/>
  <c r="E39" i="5" s="1"/>
  <c r="CL43" i="5"/>
  <c r="CM41" i="5"/>
  <c r="G41" i="5" s="1"/>
  <c r="CM37" i="5"/>
  <c r="G37" i="5" s="1"/>
  <c r="CK43" i="5"/>
  <c r="CK35" i="5"/>
  <c r="E35" i="5" s="1"/>
  <c r="CN43" i="5"/>
  <c r="CL41" i="5"/>
  <c r="F41" i="5" s="1"/>
  <c r="CN39" i="5"/>
  <c r="H39" i="5" s="1"/>
  <c r="CL37" i="5"/>
  <c r="F37" i="5" s="1"/>
  <c r="CN35" i="5"/>
  <c r="H35" i="5" s="1"/>
  <c r="CK41" i="5"/>
  <c r="E41" i="5" s="1"/>
  <c r="CN37" i="5"/>
  <c r="H37" i="5" s="1"/>
  <c r="CL35" i="5"/>
  <c r="F35" i="5" s="1"/>
  <c r="CN41" i="5"/>
  <c r="H41" i="5" s="1"/>
  <c r="CL39" i="5"/>
  <c r="F39" i="5" s="1"/>
  <c r="CK37" i="5"/>
  <c r="E37" i="5" s="1"/>
  <c r="CK59" i="6"/>
  <c r="E59" i="6" s="1"/>
  <c r="CK63" i="6"/>
  <c r="CK55" i="6"/>
  <c r="E55" i="6" s="1"/>
  <c r="CK61" i="6"/>
  <c r="E61" i="6" s="1"/>
  <c r="CK57" i="6"/>
  <c r="E57" i="6" s="1"/>
  <c r="CK103" i="7"/>
  <c r="CM99" i="7"/>
  <c r="CL97" i="7"/>
  <c r="CK95" i="7"/>
  <c r="CM103" i="7"/>
  <c r="CL103" i="7"/>
  <c r="CK101" i="7"/>
  <c r="CM97" i="7"/>
  <c r="CL95" i="7"/>
  <c r="CM95" i="7"/>
  <c r="CM101" i="7"/>
  <c r="CL99" i="7"/>
  <c r="CK97" i="7"/>
  <c r="CL101" i="7"/>
  <c r="CK99" i="7"/>
  <c r="CL23" i="5"/>
  <c r="F23" i="5" s="1"/>
  <c r="CN21" i="5"/>
  <c r="H21" i="5" s="1"/>
  <c r="CL19" i="5"/>
  <c r="F19" i="5" s="1"/>
  <c r="CN17" i="5"/>
  <c r="H17" i="5" s="1"/>
  <c r="CL15" i="5"/>
  <c r="F15" i="5" s="1"/>
  <c r="CK17" i="5"/>
  <c r="E17" i="5" s="1"/>
  <c r="CM23" i="5"/>
  <c r="G23" i="5" s="1"/>
  <c r="CN19" i="5"/>
  <c r="H19" i="5" s="1"/>
  <c r="CL17" i="5"/>
  <c r="F17" i="5" s="1"/>
  <c r="CK21" i="5"/>
  <c r="E21" i="5" s="1"/>
  <c r="CM19" i="5"/>
  <c r="G19" i="5" s="1"/>
  <c r="CN15" i="5"/>
  <c r="H15" i="5" s="1"/>
  <c r="CK19" i="5"/>
  <c r="E19" i="5" s="1"/>
  <c r="CM21" i="5"/>
  <c r="G21" i="5" s="1"/>
  <c r="CM15" i="5"/>
  <c r="G15" i="5" s="1"/>
  <c r="CK15" i="5"/>
  <c r="E15" i="5" s="1"/>
  <c r="CN23" i="5"/>
  <c r="H23" i="5" s="1"/>
  <c r="CL21" i="5"/>
  <c r="F21" i="5" s="1"/>
  <c r="CM17" i="5"/>
  <c r="G17" i="5" s="1"/>
  <c r="CK23" i="5"/>
  <c r="CM101" i="5"/>
  <c r="G101" i="5" s="1"/>
  <c r="CM97" i="5"/>
  <c r="G97" i="5" s="1"/>
  <c r="CK103" i="5"/>
  <c r="E103" i="5" s="1"/>
  <c r="CK95" i="5"/>
  <c r="E95" i="5" s="1"/>
  <c r="CN103" i="5"/>
  <c r="H103" i="5" s="1"/>
  <c r="CL101" i="5"/>
  <c r="F101" i="5" s="1"/>
  <c r="CN99" i="5"/>
  <c r="H99" i="5" s="1"/>
  <c r="CL97" i="5"/>
  <c r="F97" i="5" s="1"/>
  <c r="CN95" i="5"/>
  <c r="H95" i="5" s="1"/>
  <c r="CK101" i="5"/>
  <c r="E101" i="5" s="1"/>
  <c r="CM103" i="5"/>
  <c r="G103" i="5" s="1"/>
  <c r="CM99" i="5"/>
  <c r="G99" i="5" s="1"/>
  <c r="CM95" i="5"/>
  <c r="G95" i="5" s="1"/>
  <c r="CK99" i="5"/>
  <c r="E99" i="5" s="1"/>
  <c r="CL103" i="5"/>
  <c r="F103" i="5" s="1"/>
  <c r="CN101" i="5"/>
  <c r="H101" i="5" s="1"/>
  <c r="CL99" i="5"/>
  <c r="F99" i="5" s="1"/>
  <c r="CN97" i="5"/>
  <c r="H97" i="5" s="1"/>
  <c r="CL95" i="5"/>
  <c r="F95" i="5" s="1"/>
  <c r="CK97" i="5"/>
  <c r="E97" i="5" s="1"/>
  <c r="CM81" i="7"/>
  <c r="CL79" i="7"/>
  <c r="CK77" i="7"/>
  <c r="CK83" i="7"/>
  <c r="E83" i="7" s="1"/>
  <c r="CM77" i="7"/>
  <c r="CL75" i="7"/>
  <c r="CM79" i="7"/>
  <c r="CL77" i="7"/>
  <c r="CK75" i="7"/>
  <c r="CM83" i="7"/>
  <c r="CL81" i="7"/>
  <c r="CK79" i="7"/>
  <c r="CL83" i="7"/>
  <c r="CK81" i="7"/>
  <c r="CM75" i="7"/>
  <c r="CL25" i="6"/>
  <c r="F25" i="6" s="1"/>
  <c r="CL49" i="6"/>
  <c r="F49" i="6" s="1"/>
  <c r="CL55" i="6"/>
  <c r="F55" i="6" s="1"/>
  <c r="CM43" i="7"/>
  <c r="CL41" i="7"/>
  <c r="F41" i="7" s="1"/>
  <c r="CK39" i="7"/>
  <c r="E39" i="7" s="1"/>
  <c r="CM35" i="7"/>
  <c r="G35" i="7" s="1"/>
  <c r="CL43" i="7"/>
  <c r="CK41" i="7"/>
  <c r="E41" i="7" s="1"/>
  <c r="CM37" i="7"/>
  <c r="G37" i="7" s="1"/>
  <c r="CL35" i="7"/>
  <c r="F35" i="7" s="1"/>
  <c r="CK43" i="7"/>
  <c r="CM39" i="7"/>
  <c r="G39" i="7" s="1"/>
  <c r="CL37" i="7"/>
  <c r="F37" i="7" s="1"/>
  <c r="CK35" i="7"/>
  <c r="E35" i="7" s="1"/>
  <c r="CM41" i="7"/>
  <c r="G41" i="7" s="1"/>
  <c r="CL39" i="7"/>
  <c r="F39" i="7" s="1"/>
  <c r="CK37" i="7"/>
  <c r="E37" i="7" s="1"/>
  <c r="CK11" i="6"/>
  <c r="E11" i="6" s="1"/>
  <c r="CK7" i="6"/>
  <c r="E7" i="6" s="1"/>
  <c r="CK13" i="6"/>
  <c r="CK5" i="6"/>
  <c r="E5" i="6" s="1"/>
  <c r="CK9" i="6"/>
  <c r="E9" i="6" s="1"/>
  <c r="CK19" i="6"/>
  <c r="E19" i="6" s="1"/>
  <c r="CK23" i="6"/>
  <c r="CK15" i="6"/>
  <c r="E15" i="6" s="1"/>
  <c r="CK21" i="6"/>
  <c r="E21" i="6" s="1"/>
  <c r="CK17" i="6"/>
  <c r="E17" i="6" s="1"/>
  <c r="CM121" i="5"/>
  <c r="G121" i="5" s="1"/>
  <c r="CM117" i="5"/>
  <c r="G117" i="5" s="1"/>
  <c r="CN115" i="5"/>
  <c r="H115" i="5" s="1"/>
  <c r="CK121" i="5"/>
  <c r="E121" i="5" s="1"/>
  <c r="CN123" i="5"/>
  <c r="H123" i="5" s="1"/>
  <c r="CL121" i="5"/>
  <c r="F121" i="5" s="1"/>
  <c r="CN117" i="5"/>
  <c r="H117" i="5" s="1"/>
  <c r="CK123" i="5"/>
  <c r="E123" i="5" s="1"/>
  <c r="CM123" i="5"/>
  <c r="G123" i="5" s="1"/>
  <c r="CN119" i="5"/>
  <c r="H119" i="5" s="1"/>
  <c r="CL117" i="5"/>
  <c r="F117" i="5" s="1"/>
  <c r="CK119" i="5"/>
  <c r="E119" i="5" s="1"/>
  <c r="CL123" i="5"/>
  <c r="F123" i="5" s="1"/>
  <c r="CM119" i="5"/>
  <c r="G119" i="5" s="1"/>
  <c r="CM115" i="5"/>
  <c r="G115" i="5" s="1"/>
  <c r="CK117" i="5"/>
  <c r="E117" i="5" s="1"/>
  <c r="CN121" i="5"/>
  <c r="H121" i="5" s="1"/>
  <c r="CL119" i="5"/>
  <c r="F119" i="5" s="1"/>
  <c r="CL115" i="5"/>
  <c r="F115" i="5" s="1"/>
  <c r="CK115" i="5"/>
  <c r="E115" i="5" s="1"/>
  <c r="CL19" i="6"/>
  <c r="F19" i="6" s="1"/>
  <c r="CN53" i="5"/>
  <c r="CL51" i="5"/>
  <c r="F51" i="5" s="1"/>
  <c r="CN49" i="5"/>
  <c r="H49" i="5" s="1"/>
  <c r="CL47" i="5"/>
  <c r="F47" i="5" s="1"/>
  <c r="CN45" i="5"/>
  <c r="H45" i="5" s="1"/>
  <c r="CK51" i="5"/>
  <c r="E51" i="5" s="1"/>
  <c r="CM53" i="5"/>
  <c r="CM49" i="5"/>
  <c r="G49" i="5" s="1"/>
  <c r="CM45" i="5"/>
  <c r="G45" i="5" s="1"/>
  <c r="CK49" i="5"/>
  <c r="E49" i="5" s="1"/>
  <c r="CL53" i="5"/>
  <c r="CN51" i="5"/>
  <c r="H51" i="5" s="1"/>
  <c r="CL49" i="5"/>
  <c r="F49" i="5" s="1"/>
  <c r="CN47" i="5"/>
  <c r="H47" i="5" s="1"/>
  <c r="CL45" i="5"/>
  <c r="F45" i="5" s="1"/>
  <c r="CK47" i="5"/>
  <c r="E47" i="5" s="1"/>
  <c r="CM51" i="5"/>
  <c r="G51" i="5" s="1"/>
  <c r="CM47" i="5"/>
  <c r="G47" i="5" s="1"/>
  <c r="CK53" i="5"/>
  <c r="CK45" i="5"/>
  <c r="E45" i="5" s="1"/>
  <c r="CK43" i="6"/>
  <c r="CK35" i="6"/>
  <c r="E35" i="6" s="1"/>
  <c r="CK39" i="6"/>
  <c r="E39" i="6" s="1"/>
  <c r="CK37" i="6"/>
  <c r="E37" i="6" s="1"/>
  <c r="CK41" i="6"/>
  <c r="E41" i="6" s="1"/>
  <c r="CM11" i="7"/>
  <c r="G11" i="7" s="1"/>
  <c r="CL9" i="7"/>
  <c r="F9" i="7" s="1"/>
  <c r="CK7" i="7"/>
  <c r="E7" i="7" s="1"/>
  <c r="CM13" i="7"/>
  <c r="G13" i="7" s="1"/>
  <c r="CL11" i="7"/>
  <c r="F11" i="7" s="1"/>
  <c r="CK9" i="7"/>
  <c r="E9" i="7" s="1"/>
  <c r="CM5" i="7"/>
  <c r="G5" i="7" s="1"/>
  <c r="CL13" i="7"/>
  <c r="F13" i="7" s="1"/>
  <c r="CK11" i="7"/>
  <c r="E11" i="7" s="1"/>
  <c r="CM7" i="7"/>
  <c r="G7" i="7" s="1"/>
  <c r="CL5" i="7"/>
  <c r="F5" i="7" s="1"/>
  <c r="CK13" i="7"/>
  <c r="CM9" i="7"/>
  <c r="G9" i="7" s="1"/>
  <c r="CL7" i="7"/>
  <c r="F7" i="7" s="1"/>
  <c r="CK5" i="7"/>
  <c r="E5" i="7" s="1"/>
  <c r="CK27" i="6"/>
  <c r="E27" i="6" s="1"/>
  <c r="CK31" i="6"/>
  <c r="E31" i="6" s="1"/>
  <c r="CK29" i="6"/>
  <c r="E29" i="6" s="1"/>
  <c r="CK33" i="6"/>
  <c r="CK25" i="6"/>
  <c r="E25" i="6" s="1"/>
  <c r="CN93" i="5"/>
  <c r="H93" i="5" s="1"/>
  <c r="CL91" i="5"/>
  <c r="F91" i="5" s="1"/>
  <c r="CN89" i="5"/>
  <c r="H89" i="5" s="1"/>
  <c r="CL87" i="5"/>
  <c r="F87" i="5" s="1"/>
  <c r="CN85" i="5"/>
  <c r="H85" i="5" s="1"/>
  <c r="CK91" i="5"/>
  <c r="E91" i="5" s="1"/>
  <c r="CM93" i="5"/>
  <c r="G93" i="5" s="1"/>
  <c r="CM89" i="5"/>
  <c r="G89" i="5" s="1"/>
  <c r="CM85" i="5"/>
  <c r="G85" i="5" s="1"/>
  <c r="CK89" i="5"/>
  <c r="E89" i="5" s="1"/>
  <c r="CL93" i="5"/>
  <c r="F93" i="5" s="1"/>
  <c r="CN91" i="5"/>
  <c r="H91" i="5" s="1"/>
  <c r="CL89" i="5"/>
  <c r="F89" i="5" s="1"/>
  <c r="CN87" i="5"/>
  <c r="H87" i="5" s="1"/>
  <c r="CL85" i="5"/>
  <c r="F85" i="5" s="1"/>
  <c r="CK87" i="5"/>
  <c r="E87" i="5" s="1"/>
  <c r="CM91" i="5"/>
  <c r="G91" i="5" s="1"/>
  <c r="CM87" i="5"/>
  <c r="G87" i="5" s="1"/>
  <c r="CK93" i="5"/>
  <c r="E93" i="5" s="1"/>
  <c r="CK85" i="5"/>
  <c r="E85" i="5" s="1"/>
  <c r="CL63" i="7"/>
  <c r="CK61" i="7"/>
  <c r="E61" i="7" s="1"/>
  <c r="CK63" i="7"/>
  <c r="CL57" i="7"/>
  <c r="F57" i="7" s="1"/>
  <c r="CK55" i="7"/>
  <c r="E55" i="7" s="1"/>
  <c r="CM59" i="7"/>
  <c r="G59" i="7" s="1"/>
  <c r="CK57" i="7"/>
  <c r="E57" i="7" s="1"/>
  <c r="CM61" i="7"/>
  <c r="G61" i="7" s="1"/>
  <c r="CL59" i="7"/>
  <c r="F59" i="7" s="1"/>
  <c r="CM55" i="7"/>
  <c r="G55" i="7" s="1"/>
  <c r="CM63" i="7"/>
  <c r="CL61" i="7"/>
  <c r="F61" i="7" s="1"/>
  <c r="CK59" i="7"/>
  <c r="E59" i="7" s="1"/>
  <c r="CM57" i="7"/>
  <c r="G57" i="7" s="1"/>
  <c r="CL55" i="7"/>
  <c r="F55" i="7" s="1"/>
  <c r="CL29" i="6"/>
  <c r="F29" i="6" s="1"/>
  <c r="CL27" i="6"/>
  <c r="F27" i="6" s="1"/>
  <c r="CL39" i="6"/>
  <c r="F39" i="6" s="1"/>
  <c r="CL15" i="6"/>
  <c r="F15" i="6" s="1"/>
  <c r="CL53" i="6"/>
  <c r="CM117" i="8"/>
  <c r="CM101" i="8"/>
  <c r="CK53" i="8"/>
  <c r="E53" i="8" s="1"/>
  <c r="CM49" i="8"/>
  <c r="G49" i="8" s="1"/>
  <c r="CL47" i="8"/>
  <c r="F47" i="8" s="1"/>
  <c r="CK45" i="8"/>
  <c r="E45" i="8" s="1"/>
  <c r="CM47" i="8"/>
  <c r="G47" i="8" s="1"/>
  <c r="CL45" i="8"/>
  <c r="F45" i="8" s="1"/>
  <c r="CM51" i="8"/>
  <c r="G51" i="8" s="1"/>
  <c r="CL49" i="8"/>
  <c r="F49" i="8" s="1"/>
  <c r="CK47" i="8"/>
  <c r="E47" i="8" s="1"/>
  <c r="CM53" i="8"/>
  <c r="CL51" i="8"/>
  <c r="F51" i="8" s="1"/>
  <c r="CK49" i="8"/>
  <c r="E49" i="8" s="1"/>
  <c r="CL53" i="8"/>
  <c r="CK51" i="8"/>
  <c r="E51" i="8" s="1"/>
  <c r="CM45" i="8"/>
  <c r="G45" i="8" s="1"/>
  <c r="CM121" i="8"/>
  <c r="CM119" i="8"/>
  <c r="CM97" i="8"/>
  <c r="CM41" i="8"/>
  <c r="G41" i="8" s="1"/>
  <c r="CL39" i="8"/>
  <c r="F39" i="8" s="1"/>
  <c r="CK37" i="8"/>
  <c r="E37" i="8" s="1"/>
  <c r="CK43" i="8"/>
  <c r="E43" i="8" s="1"/>
  <c r="CM37" i="8"/>
  <c r="G37" i="8" s="1"/>
  <c r="CL35" i="8"/>
  <c r="F35" i="8" s="1"/>
  <c r="CM39" i="8"/>
  <c r="G39" i="8" s="1"/>
  <c r="CL37" i="8"/>
  <c r="F37" i="8" s="1"/>
  <c r="CK35" i="8"/>
  <c r="E35" i="8" s="1"/>
  <c r="CM43" i="8"/>
  <c r="CL41" i="8"/>
  <c r="F41" i="8" s="1"/>
  <c r="CK39" i="8"/>
  <c r="E39" i="8" s="1"/>
  <c r="CL43" i="8"/>
  <c r="CK41" i="8"/>
  <c r="E41" i="8" s="1"/>
  <c r="CM35" i="8"/>
  <c r="G35" i="8" s="1"/>
  <c r="CM91" i="8"/>
  <c r="G91" i="8" s="1"/>
  <c r="CL89" i="8"/>
  <c r="F89" i="8" s="1"/>
  <c r="CK87" i="8"/>
  <c r="E87" i="8" s="1"/>
  <c r="CL93" i="8"/>
  <c r="F93" i="8" s="1"/>
  <c r="CK91" i="8"/>
  <c r="E91" i="8" s="1"/>
  <c r="CM87" i="8"/>
  <c r="G87" i="8" s="1"/>
  <c r="CL85" i="8"/>
  <c r="F85" i="8" s="1"/>
  <c r="CK93" i="8"/>
  <c r="E93" i="8" s="1"/>
  <c r="CM89" i="8"/>
  <c r="G89" i="8" s="1"/>
  <c r="CL87" i="8"/>
  <c r="F87" i="8" s="1"/>
  <c r="CK85" i="8"/>
  <c r="E85" i="8" s="1"/>
  <c r="CM85" i="8"/>
  <c r="G85" i="8" s="1"/>
  <c r="CM93" i="8"/>
  <c r="G93" i="8" s="1"/>
  <c r="CL91" i="8"/>
  <c r="F91" i="8" s="1"/>
  <c r="CK89" i="8"/>
  <c r="E89" i="8" s="1"/>
  <c r="CK113" i="8"/>
  <c r="E113" i="8" s="1"/>
  <c r="CM109" i="8"/>
  <c r="CL107" i="8"/>
  <c r="CK105" i="8"/>
  <c r="E105" i="8" s="1"/>
  <c r="CM111" i="8"/>
  <c r="CL109" i="8"/>
  <c r="CK107" i="8"/>
  <c r="E107" i="8" s="1"/>
  <c r="CM105" i="8"/>
  <c r="CM113" i="8"/>
  <c r="CL111" i="8"/>
  <c r="CK109" i="8"/>
  <c r="E109" i="8" s="1"/>
  <c r="CL113" i="8"/>
  <c r="CK111" i="8"/>
  <c r="E111" i="8" s="1"/>
  <c r="CM107" i="8"/>
  <c r="CL105" i="8"/>
  <c r="CM21" i="8"/>
  <c r="G21" i="8" s="1"/>
  <c r="CL19" i="8"/>
  <c r="F19" i="8" s="1"/>
  <c r="CK17" i="8"/>
  <c r="E17" i="8" s="1"/>
  <c r="CL23" i="8"/>
  <c r="CK21" i="8"/>
  <c r="E21" i="8" s="1"/>
  <c r="CM17" i="8"/>
  <c r="G17" i="8" s="1"/>
  <c r="CL15" i="8"/>
  <c r="F15" i="8" s="1"/>
  <c r="CK23" i="8"/>
  <c r="E23" i="8" s="1"/>
  <c r="CM19" i="8"/>
  <c r="G19" i="8" s="1"/>
  <c r="CM15" i="8"/>
  <c r="G15" i="8" s="1"/>
  <c r="CL17" i="8"/>
  <c r="F17" i="8" s="1"/>
  <c r="CK15" i="8"/>
  <c r="E15" i="8" s="1"/>
  <c r="CM23" i="8"/>
  <c r="CL21" i="8"/>
  <c r="F21" i="8" s="1"/>
  <c r="CK19" i="8"/>
  <c r="E19" i="8" s="1"/>
  <c r="H3" i="8"/>
  <c r="CN105" i="8" s="1"/>
  <c r="H105" i="8" s="1"/>
  <c r="CL73" i="8"/>
  <c r="F73" i="8" s="1"/>
  <c r="CK71" i="8"/>
  <c r="E71" i="8" s="1"/>
  <c r="CM67" i="8"/>
  <c r="G67" i="8" s="1"/>
  <c r="CM73" i="8"/>
  <c r="G73" i="8" s="1"/>
  <c r="CL71" i="8"/>
  <c r="F71" i="8" s="1"/>
  <c r="CK69" i="8"/>
  <c r="E69" i="8" s="1"/>
  <c r="CM65" i="8"/>
  <c r="G65" i="8" s="1"/>
  <c r="CK73" i="8"/>
  <c r="E73" i="8" s="1"/>
  <c r="CK65" i="8"/>
  <c r="E65" i="8" s="1"/>
  <c r="CM69" i="8"/>
  <c r="G69" i="8" s="1"/>
  <c r="CL67" i="8"/>
  <c r="F67" i="8" s="1"/>
  <c r="CM71" i="8"/>
  <c r="G71" i="8" s="1"/>
  <c r="CL69" i="8"/>
  <c r="F69" i="8" s="1"/>
  <c r="CK67" i="8"/>
  <c r="E67" i="8" s="1"/>
  <c r="CL65" i="8"/>
  <c r="F65" i="8" s="1"/>
  <c r="CL63" i="8"/>
  <c r="CK61" i="8"/>
  <c r="E61" i="8" s="1"/>
  <c r="CM57" i="8"/>
  <c r="G57" i="8" s="1"/>
  <c r="CL55" i="8"/>
  <c r="F55" i="8" s="1"/>
  <c r="CM59" i="8"/>
  <c r="G59" i="8" s="1"/>
  <c r="CL57" i="8"/>
  <c r="F57" i="8" s="1"/>
  <c r="CK55" i="8"/>
  <c r="E55" i="8" s="1"/>
  <c r="CM61" i="8"/>
  <c r="G61" i="8" s="1"/>
  <c r="CL59" i="8"/>
  <c r="F59" i="8" s="1"/>
  <c r="CK57" i="8"/>
  <c r="E57" i="8" s="1"/>
  <c r="CM63" i="8"/>
  <c r="CL61" i="8"/>
  <c r="F61" i="8" s="1"/>
  <c r="CK59" i="8"/>
  <c r="E59" i="8" s="1"/>
  <c r="CK63" i="8"/>
  <c r="E63" i="8" s="1"/>
  <c r="CM55" i="8"/>
  <c r="G55" i="8" s="1"/>
  <c r="CM13" i="8"/>
  <c r="CL11" i="8"/>
  <c r="F11" i="8" s="1"/>
  <c r="CK9" i="8"/>
  <c r="E9" i="8" s="1"/>
  <c r="CM5" i="8"/>
  <c r="G5" i="8" s="1"/>
  <c r="CK13" i="8"/>
  <c r="E13" i="8" s="1"/>
  <c r="CM9" i="8"/>
  <c r="G9" i="8" s="1"/>
  <c r="CL7" i="8"/>
  <c r="F7" i="8" s="1"/>
  <c r="CK5" i="8"/>
  <c r="E5" i="8" s="1"/>
  <c r="CM11" i="8"/>
  <c r="G11" i="8" s="1"/>
  <c r="CL9" i="8"/>
  <c r="F9" i="8" s="1"/>
  <c r="CK7" i="8"/>
  <c r="E7" i="8" s="1"/>
  <c r="CL13" i="8"/>
  <c r="CK11" i="8"/>
  <c r="E11" i="8" s="1"/>
  <c r="CM7" i="8"/>
  <c r="G7" i="8" s="1"/>
  <c r="CL5" i="8"/>
  <c r="F5" i="8" s="1"/>
  <c r="CM83" i="8"/>
  <c r="G83" i="8" s="1"/>
  <c r="CL81" i="8"/>
  <c r="F81" i="8" s="1"/>
  <c r="CK79" i="8"/>
  <c r="E79" i="8" s="1"/>
  <c r="CM75" i="8"/>
  <c r="G75" i="8" s="1"/>
  <c r="CK83" i="8"/>
  <c r="E83" i="8" s="1"/>
  <c r="CN81" i="8"/>
  <c r="H81" i="8" s="1"/>
  <c r="CM79" i="8"/>
  <c r="G79" i="8" s="1"/>
  <c r="CL77" i="8"/>
  <c r="F77" i="8" s="1"/>
  <c r="CK75" i="8"/>
  <c r="E75" i="8" s="1"/>
  <c r="CN83" i="8"/>
  <c r="H83" i="8" s="1"/>
  <c r="CM81" i="8"/>
  <c r="G81" i="8" s="1"/>
  <c r="CL79" i="8"/>
  <c r="F79" i="8" s="1"/>
  <c r="CK77" i="8"/>
  <c r="E77" i="8" s="1"/>
  <c r="CN75" i="8"/>
  <c r="H75" i="8" s="1"/>
  <c r="CM77" i="8"/>
  <c r="G77" i="8" s="1"/>
  <c r="CL75" i="8"/>
  <c r="F75" i="8" s="1"/>
  <c r="CL83" i="8"/>
  <c r="F83" i="8" s="1"/>
  <c r="CK81" i="8"/>
  <c r="E81" i="8" s="1"/>
  <c r="CK33" i="8"/>
  <c r="E33" i="8" s="1"/>
  <c r="CM29" i="8"/>
  <c r="G29" i="8" s="1"/>
  <c r="CL27" i="8"/>
  <c r="F27" i="8" s="1"/>
  <c r="CK25" i="8"/>
  <c r="E25" i="8" s="1"/>
  <c r="CM31" i="8"/>
  <c r="G31" i="8" s="1"/>
  <c r="CL29" i="8"/>
  <c r="F29" i="8" s="1"/>
  <c r="CM33" i="8"/>
  <c r="CL31" i="8"/>
  <c r="F31" i="8" s="1"/>
  <c r="CK29" i="8"/>
  <c r="E29" i="8" s="1"/>
  <c r="CM25" i="8"/>
  <c r="G25" i="8" s="1"/>
  <c r="CL33" i="8"/>
  <c r="CK31" i="8"/>
  <c r="E31" i="8" s="1"/>
  <c r="CM27" i="8"/>
  <c r="G27" i="8" s="1"/>
  <c r="CL25" i="8"/>
  <c r="F25" i="8" s="1"/>
  <c r="CK27" i="8"/>
  <c r="E27" i="8" s="1"/>
  <c r="CM115" i="8"/>
  <c r="CM123" i="8"/>
  <c r="CM99" i="8"/>
  <c r="CM95" i="8"/>
  <c r="CM63" i="6"/>
  <c r="CM55" i="6"/>
  <c r="G55" i="6" s="1"/>
  <c r="CM57" i="6"/>
  <c r="G57" i="6" s="1"/>
  <c r="CM59" i="6"/>
  <c r="G59" i="6" s="1"/>
  <c r="CM51" i="6"/>
  <c r="G51" i="6" s="1"/>
  <c r="CM43" i="6"/>
  <c r="CM39" i="6"/>
  <c r="G39" i="6" s="1"/>
  <c r="CM33" i="6"/>
  <c r="CM25" i="6"/>
  <c r="G25" i="6" s="1"/>
  <c r="CM17" i="6"/>
  <c r="G17" i="6" s="1"/>
  <c r="CM61" i="6"/>
  <c r="G61" i="6" s="1"/>
  <c r="CM41" i="6"/>
  <c r="G41" i="6" s="1"/>
  <c r="CM35" i="6"/>
  <c r="G35" i="6" s="1"/>
  <c r="CM27" i="6"/>
  <c r="G27" i="6" s="1"/>
  <c r="CM19" i="6"/>
  <c r="G19" i="6" s="1"/>
  <c r="CM49" i="6"/>
  <c r="G49" i="6" s="1"/>
  <c r="CM47" i="6"/>
  <c r="G47" i="6" s="1"/>
  <c r="CM45" i="6"/>
  <c r="G45" i="6" s="1"/>
  <c r="CM37" i="6"/>
  <c r="G37" i="6" s="1"/>
  <c r="CM29" i="6"/>
  <c r="G29" i="6" s="1"/>
  <c r="CM21" i="6"/>
  <c r="G21" i="6" s="1"/>
  <c r="CM13" i="6"/>
  <c r="G13" i="6" s="1"/>
  <c r="CM53" i="6"/>
  <c r="CM9" i="6"/>
  <c r="G9" i="6" s="1"/>
  <c r="CM23" i="6"/>
  <c r="G23" i="6" s="1"/>
  <c r="CM15" i="6"/>
  <c r="G15" i="6" s="1"/>
  <c r="CM7" i="6"/>
  <c r="G7" i="6" s="1"/>
  <c r="CM11" i="6"/>
  <c r="G11" i="6" s="1"/>
  <c r="CM5" i="6"/>
  <c r="G5" i="6" s="1"/>
  <c r="CM31" i="6"/>
  <c r="G31" i="6" s="1"/>
  <c r="H3" i="7"/>
  <c r="CN39" i="7" s="1"/>
  <c r="H39" i="7" s="1"/>
  <c r="H3" i="6"/>
  <c r="G108" i="5"/>
  <c r="F104" i="5"/>
  <c r="E106" i="7"/>
  <c r="H104" i="5"/>
  <c r="G106" i="7"/>
  <c r="F104" i="7"/>
  <c r="E108" i="5"/>
  <c r="G106" i="5"/>
  <c r="E106" i="8"/>
  <c r="G50" i="5"/>
  <c r="H48" i="5"/>
  <c r="F70" i="5"/>
  <c r="G48" i="5"/>
  <c r="F46" i="6"/>
  <c r="F44" i="5"/>
  <c r="H44" i="5"/>
  <c r="G70" i="5"/>
  <c r="F50" i="5"/>
  <c r="G48" i="8"/>
  <c r="E46" i="7"/>
  <c r="E44" i="6"/>
  <c r="H46" i="5"/>
  <c r="E46" i="8"/>
  <c r="F48" i="6"/>
  <c r="H66" i="5"/>
  <c r="E50" i="8"/>
  <c r="E48" i="7"/>
  <c r="G50" i="8"/>
  <c r="H56" i="5"/>
  <c r="F110" i="7"/>
  <c r="F106" i="5"/>
  <c r="E104" i="7"/>
  <c r="G104" i="5"/>
  <c r="E110" i="7"/>
  <c r="F110" i="5"/>
  <c r="E104" i="8"/>
  <c r="H108" i="5"/>
  <c r="E108" i="8"/>
  <c r="E48" i="5"/>
  <c r="F46" i="5"/>
  <c r="G48" i="6"/>
  <c r="F44" i="7"/>
  <c r="G68" i="5"/>
  <c r="F48" i="5"/>
  <c r="F54" i="5"/>
  <c r="H74" i="5"/>
  <c r="H60" i="5"/>
  <c r="H70" i="5"/>
  <c r="H64" i="5"/>
  <c r="H54" i="5"/>
  <c r="E50" i="7"/>
  <c r="G48" i="7"/>
  <c r="H58" i="5"/>
  <c r="F48" i="7"/>
  <c r="F46" i="8"/>
  <c r="F60" i="5"/>
  <c r="G50" i="6"/>
  <c r="F106" i="7"/>
  <c r="F108" i="5"/>
  <c r="G104" i="7"/>
  <c r="E110" i="8"/>
  <c r="G108" i="7"/>
  <c r="E104" i="5"/>
  <c r="E108" i="7"/>
  <c r="H110" i="5"/>
  <c r="G60" i="5"/>
  <c r="F50" i="7"/>
  <c r="G44" i="7"/>
  <c r="E44" i="7"/>
  <c r="E50" i="6"/>
  <c r="G44" i="6"/>
  <c r="G74" i="5"/>
  <c r="G58" i="5"/>
  <c r="E44" i="8"/>
  <c r="H50" i="5"/>
  <c r="G46" i="5"/>
  <c r="G66" i="5"/>
  <c r="G46" i="6"/>
  <c r="G46" i="7"/>
  <c r="H68" i="5"/>
  <c r="F56" i="5"/>
  <c r="G56" i="5"/>
  <c r="F48" i="8"/>
  <c r="F68" i="5"/>
  <c r="F74" i="5"/>
  <c r="H106" i="5"/>
  <c r="E106" i="5"/>
  <c r="H104" i="8"/>
  <c r="F108" i="7"/>
  <c r="E110" i="5"/>
  <c r="G110" i="7"/>
  <c r="G110" i="5"/>
  <c r="E48" i="8"/>
  <c r="F66" i="5"/>
  <c r="G64" i="5"/>
  <c r="F50" i="8"/>
  <c r="E50" i="5"/>
  <c r="F44" i="8"/>
  <c r="E44" i="5"/>
  <c r="F64" i="5"/>
  <c r="G44" i="5"/>
  <c r="G50" i="7"/>
  <c r="F46" i="7"/>
  <c r="G44" i="8"/>
  <c r="G46" i="8"/>
  <c r="G54" i="5"/>
  <c r="E46" i="5"/>
  <c r="F58" i="5"/>
  <c r="F50" i="6"/>
  <c r="E48" i="6"/>
  <c r="F44" i="6"/>
  <c r="E46" i="6"/>
  <c r="CN115" i="6" l="1"/>
  <c r="CN117" i="6"/>
  <c r="CN121" i="6"/>
  <c r="CN105" i="6"/>
  <c r="CN109" i="6"/>
  <c r="CN111" i="6"/>
  <c r="CN67" i="6"/>
  <c r="CN123" i="6"/>
  <c r="CN113" i="6"/>
  <c r="CN79" i="6"/>
  <c r="CN81" i="6"/>
  <c r="CN77" i="6"/>
  <c r="CN97" i="6"/>
  <c r="CN103" i="6"/>
  <c r="CN107" i="6"/>
  <c r="CN73" i="6"/>
  <c r="CN95" i="6"/>
  <c r="CN99" i="6"/>
  <c r="CN89" i="6"/>
  <c r="CN85" i="6"/>
  <c r="CN71" i="6"/>
  <c r="AK84" i="6"/>
  <c r="AK86" i="6"/>
  <c r="AK88" i="6"/>
  <c r="AK90" i="6"/>
  <c r="AK92" i="6"/>
  <c r="CN101" i="6"/>
  <c r="CN83" i="6"/>
  <c r="CN119" i="6"/>
  <c r="CN87" i="6"/>
  <c r="AK94" i="6"/>
  <c r="AK96" i="6"/>
  <c r="AK98" i="6"/>
  <c r="AK100" i="6"/>
  <c r="AK102" i="6"/>
  <c r="CN65" i="6"/>
  <c r="AK64" i="6"/>
  <c r="AK66" i="6"/>
  <c r="AK68" i="6"/>
  <c r="AK70" i="6"/>
  <c r="AK72" i="6"/>
  <c r="AK74" i="6"/>
  <c r="AK76" i="6"/>
  <c r="AK78" i="6"/>
  <c r="AK80" i="6"/>
  <c r="AK82" i="6"/>
  <c r="AK104" i="6"/>
  <c r="AK106" i="6"/>
  <c r="AK108" i="6"/>
  <c r="AK110" i="6"/>
  <c r="AK112" i="6"/>
  <c r="AK114" i="6"/>
  <c r="AK116" i="6"/>
  <c r="AK118" i="6"/>
  <c r="AK120" i="6"/>
  <c r="AK122" i="6"/>
  <c r="CN33" i="8"/>
  <c r="CN31" i="8"/>
  <c r="H31" i="8" s="1"/>
  <c r="CN5" i="8"/>
  <c r="H5" i="8" s="1"/>
  <c r="CN55" i="8"/>
  <c r="H55" i="8" s="1"/>
  <c r="CN59" i="8"/>
  <c r="H59" i="8" s="1"/>
  <c r="CN65" i="8"/>
  <c r="H65" i="8" s="1"/>
  <c r="CN69" i="8"/>
  <c r="H69" i="8" s="1"/>
  <c r="CN7" i="8"/>
  <c r="H7" i="8" s="1"/>
  <c r="I3" i="8"/>
  <c r="CO65" i="8" s="1"/>
  <c r="I65" i="8" s="1"/>
  <c r="CN25" i="8"/>
  <c r="H25" i="8" s="1"/>
  <c r="CN29" i="8"/>
  <c r="H29" i="8" s="1"/>
  <c r="CN27" i="8"/>
  <c r="H27" i="8" s="1"/>
  <c r="CN79" i="8"/>
  <c r="H79" i="8" s="1"/>
  <c r="CN77" i="8"/>
  <c r="H77" i="8" s="1"/>
  <c r="CN13" i="8"/>
  <c r="CN11" i="8"/>
  <c r="H11" i="8" s="1"/>
  <c r="CN57" i="8"/>
  <c r="H57" i="8" s="1"/>
  <c r="CN71" i="8"/>
  <c r="H71" i="8" s="1"/>
  <c r="CN67" i="8"/>
  <c r="H67" i="8" s="1"/>
  <c r="CN73" i="8"/>
  <c r="H73" i="8" s="1"/>
  <c r="CN21" i="8"/>
  <c r="H21" i="8" s="1"/>
  <c r="CN19" i="8"/>
  <c r="H19" i="8" s="1"/>
  <c r="CN37" i="8"/>
  <c r="H37" i="8" s="1"/>
  <c r="AJ10" i="3"/>
  <c r="CO31" i="8"/>
  <c r="I31" i="8" s="1"/>
  <c r="CN9" i="8"/>
  <c r="H9" i="8" s="1"/>
  <c r="CN63" i="8"/>
  <c r="H63" i="8" s="1"/>
  <c r="CN61" i="8"/>
  <c r="H61" i="8" s="1"/>
  <c r="CN57" i="7"/>
  <c r="H57" i="7" s="1"/>
  <c r="CN55" i="7"/>
  <c r="H55" i="7" s="1"/>
  <c r="CO27" i="8"/>
  <c r="I27" i="8" s="1"/>
  <c r="CN107" i="8"/>
  <c r="H107" i="8" s="1"/>
  <c r="CN91" i="8"/>
  <c r="H91" i="8" s="1"/>
  <c r="CN61" i="7"/>
  <c r="H61" i="7" s="1"/>
  <c r="CN7" i="7"/>
  <c r="H7" i="7" s="1"/>
  <c r="CN109" i="7"/>
  <c r="H109" i="7" s="1"/>
  <c r="CN107" i="7"/>
  <c r="H107" i="7" s="1"/>
  <c r="CN105" i="7"/>
  <c r="CN113" i="7"/>
  <c r="H113" i="7" s="1"/>
  <c r="CN111" i="7"/>
  <c r="H111" i="7" s="1"/>
  <c r="CN21" i="7"/>
  <c r="H21" i="7" s="1"/>
  <c r="CN71" i="7"/>
  <c r="H71" i="7" s="1"/>
  <c r="CN89" i="7"/>
  <c r="H89" i="7" s="1"/>
  <c r="CN73" i="7"/>
  <c r="H73" i="7" s="1"/>
  <c r="CN67" i="7"/>
  <c r="CN17" i="7"/>
  <c r="H17" i="7" s="1"/>
  <c r="CN23" i="7"/>
  <c r="H23" i="7" s="1"/>
  <c r="CN91" i="7"/>
  <c r="H91" i="7" s="1"/>
  <c r="CN85" i="7"/>
  <c r="H85" i="7" s="1"/>
  <c r="H105" i="7"/>
  <c r="CN19" i="7"/>
  <c r="H19" i="7" s="1"/>
  <c r="CN87" i="7"/>
  <c r="H87" i="7" s="1"/>
  <c r="CN93" i="7"/>
  <c r="H93" i="7" s="1"/>
  <c r="CN69" i="7"/>
  <c r="H69" i="7" s="1"/>
  <c r="CN121" i="7"/>
  <c r="H121" i="7" s="1"/>
  <c r="CN25" i="7"/>
  <c r="H25" i="7" s="1"/>
  <c r="CN45" i="7"/>
  <c r="H45" i="7" s="1"/>
  <c r="CN97" i="7"/>
  <c r="H97" i="7" s="1"/>
  <c r="CN15" i="7"/>
  <c r="H15" i="7" s="1"/>
  <c r="CN119" i="7"/>
  <c r="H119" i="7" s="1"/>
  <c r="CN33" i="7"/>
  <c r="H33" i="7" s="1"/>
  <c r="CN53" i="7"/>
  <c r="CN51" i="7"/>
  <c r="H51" i="7" s="1"/>
  <c r="CN103" i="7"/>
  <c r="H103" i="7" s="1"/>
  <c r="CN99" i="7"/>
  <c r="H99" i="7" s="1"/>
  <c r="CN117" i="7"/>
  <c r="H117" i="7" s="1"/>
  <c r="CN115" i="7"/>
  <c r="H115" i="7" s="1"/>
  <c r="CN31" i="7"/>
  <c r="H31" i="7" s="1"/>
  <c r="CN49" i="7"/>
  <c r="H49" i="7" s="1"/>
  <c r="CN101" i="7"/>
  <c r="H101" i="7" s="1"/>
  <c r="CN65" i="7"/>
  <c r="H65" i="7" s="1"/>
  <c r="CN123" i="7"/>
  <c r="H123" i="7" s="1"/>
  <c r="CN95" i="7"/>
  <c r="H95" i="7" s="1"/>
  <c r="CN83" i="7"/>
  <c r="H83" i="7" s="1"/>
  <c r="CN79" i="7"/>
  <c r="H79" i="7" s="1"/>
  <c r="CN81" i="7"/>
  <c r="H81" i="7" s="1"/>
  <c r="CN29" i="7"/>
  <c r="H29" i="7" s="1"/>
  <c r="CN27" i="7"/>
  <c r="H27" i="7" s="1"/>
  <c r="CN37" i="7"/>
  <c r="H37" i="7" s="1"/>
  <c r="CN35" i="7"/>
  <c r="H35" i="7" s="1"/>
  <c r="CN5" i="7"/>
  <c r="H5" i="7" s="1"/>
  <c r="CN47" i="7"/>
  <c r="H47" i="7" s="1"/>
  <c r="CN77" i="7"/>
  <c r="H77" i="7" s="1"/>
  <c r="CN43" i="7"/>
  <c r="H43" i="7" s="1"/>
  <c r="CN13" i="7"/>
  <c r="H13" i="7" s="1"/>
  <c r="CN11" i="7"/>
  <c r="H11" i="7" s="1"/>
  <c r="CN63" i="7"/>
  <c r="H63" i="7" s="1"/>
  <c r="CN59" i="7"/>
  <c r="H59" i="7" s="1"/>
  <c r="CN9" i="7"/>
  <c r="H9" i="7" s="1"/>
  <c r="CN41" i="7"/>
  <c r="H41" i="7" s="1"/>
  <c r="CN75" i="7"/>
  <c r="H75" i="7" s="1"/>
  <c r="G95" i="8"/>
  <c r="F113" i="8"/>
  <c r="G109" i="8"/>
  <c r="G53" i="6"/>
  <c r="G99" i="8"/>
  <c r="G33" i="8"/>
  <c r="G13" i="8"/>
  <c r="F105" i="8"/>
  <c r="G117" i="8"/>
  <c r="G123" i="8"/>
  <c r="G23" i="8"/>
  <c r="G107" i="8"/>
  <c r="F111" i="8"/>
  <c r="G97" i="8"/>
  <c r="G53" i="8"/>
  <c r="G63" i="7"/>
  <c r="E13" i="6"/>
  <c r="E43" i="7"/>
  <c r="G75" i="7"/>
  <c r="E79" i="7"/>
  <c r="G83" i="7"/>
  <c r="F77" i="7"/>
  <c r="F75" i="7"/>
  <c r="E77" i="7"/>
  <c r="F79" i="7"/>
  <c r="G81" i="7"/>
  <c r="E101" i="7"/>
  <c r="F103" i="7"/>
  <c r="G103" i="7"/>
  <c r="E95" i="7"/>
  <c r="F97" i="7"/>
  <c r="G99" i="7"/>
  <c r="F43" i="5"/>
  <c r="G43" i="5"/>
  <c r="E53" i="7"/>
  <c r="G33" i="7"/>
  <c r="F33" i="7"/>
  <c r="H63" i="5"/>
  <c r="G33" i="5"/>
  <c r="E115" i="7"/>
  <c r="F117" i="7"/>
  <c r="G119" i="7"/>
  <c r="F63" i="6"/>
  <c r="F91" i="7"/>
  <c r="F43" i="6"/>
  <c r="E65" i="7"/>
  <c r="F119" i="8"/>
  <c r="G87" i="7"/>
  <c r="F117" i="8"/>
  <c r="AJ124" i="5"/>
  <c r="F115" i="8"/>
  <c r="G63" i="8"/>
  <c r="G105" i="8"/>
  <c r="G43" i="6"/>
  <c r="F23" i="8"/>
  <c r="E63" i="7"/>
  <c r="G33" i="6"/>
  <c r="G115" i="8"/>
  <c r="F13" i="8"/>
  <c r="H13" i="8"/>
  <c r="G113" i="8"/>
  <c r="F107" i="8"/>
  <c r="G119" i="8"/>
  <c r="F53" i="8"/>
  <c r="F53" i="6"/>
  <c r="F63" i="7"/>
  <c r="E13" i="7"/>
  <c r="E43" i="6"/>
  <c r="H53" i="5"/>
  <c r="E81" i="7"/>
  <c r="E99" i="7"/>
  <c r="F101" i="7"/>
  <c r="F95" i="7"/>
  <c r="G97" i="7"/>
  <c r="E43" i="5"/>
  <c r="H53" i="7"/>
  <c r="E33" i="7"/>
  <c r="H33" i="5"/>
  <c r="E117" i="7"/>
  <c r="F119" i="7"/>
  <c r="G121" i="7"/>
  <c r="E119" i="7"/>
  <c r="F121" i="7"/>
  <c r="G123" i="7"/>
  <c r="F33" i="6"/>
  <c r="E23" i="7"/>
  <c r="E89" i="7"/>
  <c r="F89" i="7"/>
  <c r="G89" i="7"/>
  <c r="E85" i="7"/>
  <c r="F85" i="7"/>
  <c r="H67" i="7"/>
  <c r="E71" i="7"/>
  <c r="G71" i="7"/>
  <c r="AJ124" i="6"/>
  <c r="AJ124" i="8"/>
  <c r="G63" i="6"/>
  <c r="F33" i="8"/>
  <c r="F109" i="8"/>
  <c r="G121" i="8"/>
  <c r="E33" i="6"/>
  <c r="G43" i="7"/>
  <c r="F81" i="7"/>
  <c r="E75" i="7"/>
  <c r="G79" i="7"/>
  <c r="G77" i="7"/>
  <c r="G95" i="7"/>
  <c r="E63" i="6"/>
  <c r="G53" i="7"/>
  <c r="F63" i="5"/>
  <c r="G63" i="5"/>
  <c r="E63" i="5"/>
  <c r="F33" i="5"/>
  <c r="E121" i="7"/>
  <c r="F123" i="7"/>
  <c r="G115" i="7"/>
  <c r="F93" i="7"/>
  <c r="G85" i="7"/>
  <c r="G65" i="7"/>
  <c r="F123" i="8"/>
  <c r="H33" i="8"/>
  <c r="G43" i="8"/>
  <c r="G101" i="8"/>
  <c r="F63" i="8"/>
  <c r="G111" i="8"/>
  <c r="F43" i="8"/>
  <c r="E53" i="5"/>
  <c r="F53" i="5"/>
  <c r="G53" i="5"/>
  <c r="E23" i="6"/>
  <c r="F43" i="7"/>
  <c r="F83" i="7"/>
  <c r="E23" i="5"/>
  <c r="E97" i="7"/>
  <c r="F99" i="7"/>
  <c r="G101" i="7"/>
  <c r="E103" i="7"/>
  <c r="H43" i="5"/>
  <c r="F53" i="7"/>
  <c r="E5" i="5"/>
  <c r="E13" i="5"/>
  <c r="E53" i="6"/>
  <c r="E33" i="5"/>
  <c r="E123" i="7"/>
  <c r="F115" i="7"/>
  <c r="G117" i="7"/>
  <c r="G93" i="7"/>
  <c r="G91" i="7"/>
  <c r="E87" i="7"/>
  <c r="F87" i="7"/>
  <c r="E91" i="7"/>
  <c r="F67" i="7"/>
  <c r="G69" i="7"/>
  <c r="F69" i="7"/>
  <c r="E73" i="7"/>
  <c r="E67" i="7"/>
  <c r="AJ124" i="7"/>
  <c r="I3" i="5"/>
  <c r="CO123" i="5" s="1"/>
  <c r="I123" i="5" s="1"/>
  <c r="J3" i="5"/>
  <c r="CO13" i="8"/>
  <c r="CO9" i="8"/>
  <c r="I9" i="8" s="1"/>
  <c r="CO25" i="8"/>
  <c r="I25" i="8" s="1"/>
  <c r="CO33" i="8"/>
  <c r="CO61" i="8"/>
  <c r="I61" i="8" s="1"/>
  <c r="CO103" i="8"/>
  <c r="CO117" i="8"/>
  <c r="CO119" i="8"/>
  <c r="CO99" i="8"/>
  <c r="CO95" i="8"/>
  <c r="CO115" i="8"/>
  <c r="CO97" i="8"/>
  <c r="CO101" i="8"/>
  <c r="CO123" i="8"/>
  <c r="CO121" i="8"/>
  <c r="CO45" i="8"/>
  <c r="I45" i="8" s="1"/>
  <c r="CO51" i="8"/>
  <c r="I51" i="8" s="1"/>
  <c r="CO85" i="8"/>
  <c r="I85" i="8" s="1"/>
  <c r="CO113" i="8"/>
  <c r="CO55" i="8"/>
  <c r="I55" i="8" s="1"/>
  <c r="CO5" i="8"/>
  <c r="I5" i="8" s="1"/>
  <c r="CO75" i="8"/>
  <c r="I75" i="8" s="1"/>
  <c r="CO53" i="8"/>
  <c r="CO49" i="8"/>
  <c r="I49" i="8" s="1"/>
  <c r="CO93" i="8"/>
  <c r="I93" i="8" s="1"/>
  <c r="CO89" i="8"/>
  <c r="I89" i="8" s="1"/>
  <c r="CO23" i="8"/>
  <c r="CO19" i="8"/>
  <c r="I19" i="8" s="1"/>
  <c r="CO47" i="8"/>
  <c r="I47" i="8" s="1"/>
  <c r="CO41" i="8"/>
  <c r="I41" i="8" s="1"/>
  <c r="CO91" i="8"/>
  <c r="I91" i="8" s="1"/>
  <c r="CO107" i="8"/>
  <c r="CO109" i="8"/>
  <c r="CO21" i="8"/>
  <c r="I21" i="8" s="1"/>
  <c r="CO15" i="8"/>
  <c r="I15" i="8" s="1"/>
  <c r="CO37" i="8"/>
  <c r="I37" i="8" s="1"/>
  <c r="CO43" i="8"/>
  <c r="CO35" i="8"/>
  <c r="I35" i="8" s="1"/>
  <c r="CO39" i="8"/>
  <c r="I39" i="8" s="1"/>
  <c r="CO87" i="8"/>
  <c r="I87" i="8" s="1"/>
  <c r="CO105" i="8"/>
  <c r="CO111" i="8"/>
  <c r="CO17" i="8"/>
  <c r="I17" i="8" s="1"/>
  <c r="CO63" i="8"/>
  <c r="CO57" i="8"/>
  <c r="I57" i="8" s="1"/>
  <c r="CO7" i="8"/>
  <c r="I7" i="8" s="1"/>
  <c r="CO11" i="8"/>
  <c r="I11" i="8" s="1"/>
  <c r="CO77" i="8"/>
  <c r="I77" i="8" s="1"/>
  <c r="CO81" i="8"/>
  <c r="I81" i="8" s="1"/>
  <c r="CO29" i="8"/>
  <c r="I29" i="8" s="1"/>
  <c r="CO83" i="8"/>
  <c r="I83" i="8" s="1"/>
  <c r="CO79" i="8"/>
  <c r="I79" i="8" s="1"/>
  <c r="CO59" i="8"/>
  <c r="I59" i="8" s="1"/>
  <c r="CO67" i="8"/>
  <c r="I67" i="8" s="1"/>
  <c r="CO69" i="8"/>
  <c r="I69" i="8" s="1"/>
  <c r="CO73" i="8"/>
  <c r="I73" i="8" s="1"/>
  <c r="CO71" i="8"/>
  <c r="I71" i="8" s="1"/>
  <c r="CN101" i="8"/>
  <c r="CN115" i="8"/>
  <c r="CN117" i="8"/>
  <c r="CN123" i="8"/>
  <c r="CN97" i="8"/>
  <c r="CN99" i="8"/>
  <c r="CN95" i="8"/>
  <c r="CN121" i="8"/>
  <c r="CN103" i="8"/>
  <c r="CN119" i="8"/>
  <c r="CN17" i="8"/>
  <c r="H17" i="8" s="1"/>
  <c r="CN15" i="8"/>
  <c r="H15" i="8" s="1"/>
  <c r="CN113" i="8"/>
  <c r="CN87" i="8"/>
  <c r="H87" i="8" s="1"/>
  <c r="CN85" i="8"/>
  <c r="H85" i="8" s="1"/>
  <c r="CN47" i="8"/>
  <c r="H47" i="8" s="1"/>
  <c r="CN89" i="8"/>
  <c r="H89" i="8" s="1"/>
  <c r="CN35" i="8"/>
  <c r="H35" i="8" s="1"/>
  <c r="CN49" i="8"/>
  <c r="H49" i="8" s="1"/>
  <c r="CN41" i="8"/>
  <c r="H41" i="8" s="1"/>
  <c r="CN51" i="8"/>
  <c r="H51" i="8" s="1"/>
  <c r="CN23" i="8"/>
  <c r="CN109" i="8"/>
  <c r="CN111" i="8"/>
  <c r="CN93" i="8"/>
  <c r="H93" i="8" s="1"/>
  <c r="CN39" i="8"/>
  <c r="H39" i="8" s="1"/>
  <c r="CN43" i="8"/>
  <c r="CN45" i="8"/>
  <c r="H45" i="8" s="1"/>
  <c r="CN53" i="8"/>
  <c r="CN57" i="6"/>
  <c r="H57" i="6" s="1"/>
  <c r="CN49" i="6"/>
  <c r="H49" i="6" s="1"/>
  <c r="CN59" i="6"/>
  <c r="H59" i="6" s="1"/>
  <c r="CN51" i="6"/>
  <c r="H51" i="6" s="1"/>
  <c r="CN61" i="6"/>
  <c r="H61" i="6" s="1"/>
  <c r="CN53" i="6"/>
  <c r="CN45" i="6"/>
  <c r="H45" i="6" s="1"/>
  <c r="CN63" i="6"/>
  <c r="CN41" i="6"/>
  <c r="H41" i="6" s="1"/>
  <c r="CN35" i="6"/>
  <c r="H35" i="6" s="1"/>
  <c r="CN27" i="6"/>
  <c r="H27" i="6" s="1"/>
  <c r="CN19" i="6"/>
  <c r="H19" i="6" s="1"/>
  <c r="CN47" i="6"/>
  <c r="H47" i="6" s="1"/>
  <c r="CN43" i="6"/>
  <c r="CN37" i="6"/>
  <c r="H37" i="6" s="1"/>
  <c r="CN29" i="6"/>
  <c r="H29" i="6" s="1"/>
  <c r="CN21" i="6"/>
  <c r="H21" i="6" s="1"/>
  <c r="CN55" i="6"/>
  <c r="H55" i="6" s="1"/>
  <c r="CN31" i="6"/>
  <c r="H31" i="6" s="1"/>
  <c r="CN23" i="6"/>
  <c r="H23" i="6" s="1"/>
  <c r="CN15" i="6"/>
  <c r="H15" i="6" s="1"/>
  <c r="CN25" i="6"/>
  <c r="H25" i="6" s="1"/>
  <c r="CN13" i="6"/>
  <c r="H13" i="6" s="1"/>
  <c r="CN9" i="6"/>
  <c r="H9" i="6" s="1"/>
  <c r="CN11" i="6"/>
  <c r="H11" i="6" s="1"/>
  <c r="CN5" i="6"/>
  <c r="H5" i="6" s="1"/>
  <c r="CN39" i="6"/>
  <c r="H39" i="6" s="1"/>
  <c r="CN33" i="6"/>
  <c r="CN17" i="6"/>
  <c r="H17" i="6" s="1"/>
  <c r="CN7" i="6"/>
  <c r="H7" i="6" s="1"/>
  <c r="J3" i="8"/>
  <c r="I3" i="7"/>
  <c r="I3" i="6"/>
  <c r="H106" i="8"/>
  <c r="F106" i="8"/>
  <c r="H104" i="7"/>
  <c r="F110" i="8"/>
  <c r="G110" i="8"/>
  <c r="G54" i="7"/>
  <c r="F36" i="7"/>
  <c r="H30" i="8"/>
  <c r="F34" i="6"/>
  <c r="H40" i="6"/>
  <c r="H4" i="8"/>
  <c r="E24" i="8"/>
  <c r="E30" i="5"/>
  <c r="E56" i="5"/>
  <c r="H36" i="5"/>
  <c r="H18" i="7"/>
  <c r="F20" i="6"/>
  <c r="G36" i="8"/>
  <c r="E8" i="7"/>
  <c r="F26" i="8"/>
  <c r="F10" i="5"/>
  <c r="F24" i="8"/>
  <c r="G14" i="6"/>
  <c r="E30" i="8"/>
  <c r="H38" i="6"/>
  <c r="G4" i="7"/>
  <c r="H8" i="5"/>
  <c r="E26" i="5"/>
  <c r="F6" i="5"/>
  <c r="G36" i="6"/>
  <c r="H20" i="5"/>
  <c r="E24" i="6"/>
  <c r="G18" i="8"/>
  <c r="E10" i="6"/>
  <c r="F14" i="5"/>
  <c r="F6" i="8"/>
  <c r="H14" i="8"/>
  <c r="E28" i="5"/>
  <c r="G38" i="8"/>
  <c r="F30" i="5"/>
  <c r="E6" i="6"/>
  <c r="G20" i="8"/>
  <c r="G58" i="8"/>
  <c r="G14" i="7"/>
  <c r="E56" i="6"/>
  <c r="H16" i="6"/>
  <c r="H4" i="6"/>
  <c r="E6" i="7"/>
  <c r="F4" i="7"/>
  <c r="G34" i="8"/>
  <c r="E26" i="8"/>
  <c r="E8" i="6"/>
  <c r="G10" i="5"/>
  <c r="F18" i="6"/>
  <c r="F34" i="7"/>
  <c r="G20" i="5"/>
  <c r="G40" i="8"/>
  <c r="E60" i="6"/>
  <c r="E4" i="8"/>
  <c r="F8" i="5"/>
  <c r="G26" i="8"/>
  <c r="E28" i="8"/>
  <c r="E34" i="5"/>
  <c r="G38" i="5"/>
  <c r="G8" i="7"/>
  <c r="E10" i="5"/>
  <c r="H34" i="6"/>
  <c r="H50" i="7"/>
  <c r="H24" i="8"/>
  <c r="E30" i="6"/>
  <c r="F34" i="8"/>
  <c r="H56" i="7"/>
  <c r="I38" i="8"/>
  <c r="F10" i="7"/>
  <c r="G4" i="5"/>
  <c r="F58" i="6"/>
  <c r="I18" i="8"/>
  <c r="G28" i="7"/>
  <c r="F36" i="5"/>
  <c r="E4" i="5"/>
  <c r="F56" i="7"/>
  <c r="F24" i="5"/>
  <c r="H36" i="6"/>
  <c r="I58" i="8"/>
  <c r="H40" i="7"/>
  <c r="G10" i="7"/>
  <c r="F6" i="7"/>
  <c r="E20" i="5"/>
  <c r="H54" i="7"/>
  <c r="G58" i="6"/>
  <c r="H4" i="5"/>
  <c r="G108" i="8"/>
  <c r="I20" i="8"/>
  <c r="G30" i="6"/>
  <c r="G6" i="7"/>
  <c r="I44" i="8"/>
  <c r="E26" i="7"/>
  <c r="E38" i="5"/>
  <c r="E18" i="5"/>
  <c r="F30" i="8"/>
  <c r="G40" i="5"/>
  <c r="G20" i="7"/>
  <c r="F60" i="6"/>
  <c r="E60" i="8"/>
  <c r="H38" i="8"/>
  <c r="H6" i="8"/>
  <c r="E16" i="5"/>
  <c r="H50" i="6"/>
  <c r="G6" i="8"/>
  <c r="H30" i="7"/>
  <c r="G10" i="6"/>
  <c r="F20" i="5"/>
  <c r="E4" i="7"/>
  <c r="F38" i="7"/>
  <c r="I8" i="8"/>
  <c r="E40" i="6"/>
  <c r="G24" i="6"/>
  <c r="H10" i="8"/>
  <c r="H46" i="8"/>
  <c r="F28" i="6"/>
  <c r="H108" i="7"/>
  <c r="F104" i="8"/>
  <c r="H48" i="8"/>
  <c r="F26" i="5"/>
  <c r="E34" i="6"/>
  <c r="H36" i="7"/>
  <c r="H10" i="7"/>
  <c r="H38" i="7"/>
  <c r="G36" i="7"/>
  <c r="E34" i="7"/>
  <c r="I40" i="8"/>
  <c r="E36" i="7"/>
  <c r="E16" i="6"/>
  <c r="G34" i="5"/>
  <c r="E28" i="7"/>
  <c r="F36" i="6"/>
  <c r="F4" i="5"/>
  <c r="E4" i="6"/>
  <c r="H60" i="7"/>
  <c r="E16" i="7"/>
  <c r="I14" i="8"/>
  <c r="F16" i="7"/>
  <c r="E20" i="7"/>
  <c r="I16" i="8"/>
  <c r="E60" i="7"/>
  <c r="E54" i="5"/>
  <c r="H6" i="7"/>
  <c r="H16" i="7"/>
  <c r="G30" i="8"/>
  <c r="H48" i="7"/>
  <c r="E40" i="7"/>
  <c r="H10" i="6"/>
  <c r="E18" i="8"/>
  <c r="I36" i="8"/>
  <c r="F14" i="6"/>
  <c r="G8" i="5"/>
  <c r="F28" i="7"/>
  <c r="H18" i="6"/>
  <c r="G18" i="6"/>
  <c r="H14" i="7"/>
  <c r="F56" i="6"/>
  <c r="E18" i="6"/>
  <c r="F30" i="6"/>
  <c r="G34" i="6"/>
  <c r="H48" i="6"/>
  <c r="G54" i="8"/>
  <c r="I60" i="8"/>
  <c r="F60" i="7"/>
  <c r="E54" i="8"/>
  <c r="E58" i="7"/>
  <c r="H4" i="7"/>
  <c r="G28" i="5"/>
  <c r="H18" i="8"/>
  <c r="F18" i="5"/>
  <c r="E6" i="8"/>
  <c r="F38" i="6"/>
  <c r="F54" i="8"/>
  <c r="G24" i="7"/>
  <c r="G60" i="6"/>
  <c r="I26" i="8"/>
  <c r="E14" i="6"/>
  <c r="F8" i="6"/>
  <c r="F24" i="7"/>
  <c r="F26" i="6"/>
  <c r="G4" i="8"/>
  <c r="G4" i="6"/>
  <c r="E18" i="7"/>
  <c r="H56" i="6"/>
  <c r="G30" i="5"/>
  <c r="F36" i="8"/>
  <c r="F16" i="6"/>
  <c r="F26" i="7"/>
  <c r="H44" i="7"/>
  <c r="G14" i="5"/>
  <c r="E6" i="5"/>
  <c r="H14" i="6"/>
  <c r="F54" i="6"/>
  <c r="F60" i="8"/>
  <c r="H34" i="7"/>
  <c r="H38" i="5"/>
  <c r="I56" i="8"/>
  <c r="F14" i="8"/>
  <c r="E38" i="7"/>
  <c r="F24" i="6"/>
  <c r="H54" i="6"/>
  <c r="H34" i="5"/>
  <c r="E26" i="6"/>
  <c r="F20" i="7"/>
  <c r="G104" i="8"/>
  <c r="H26" i="5"/>
  <c r="H14" i="5"/>
  <c r="G54" i="6"/>
  <c r="E36" i="8"/>
  <c r="H40" i="8"/>
  <c r="G16" i="6"/>
  <c r="G38" i="7"/>
  <c r="H34" i="8"/>
  <c r="F18" i="8"/>
  <c r="F56" i="8"/>
  <c r="E40" i="8"/>
  <c r="H26" i="7"/>
  <c r="I6" i="8"/>
  <c r="E8" i="5"/>
  <c r="H58" i="7"/>
  <c r="H24" i="7"/>
  <c r="H44" i="6"/>
  <c r="G60" i="7"/>
  <c r="E36" i="5"/>
  <c r="G14" i="8"/>
  <c r="H50" i="8"/>
  <c r="G6" i="5"/>
  <c r="F16" i="5"/>
  <c r="E8" i="8"/>
  <c r="G24" i="8"/>
  <c r="E30" i="7"/>
  <c r="I10" i="8"/>
  <c r="H8" i="7"/>
  <c r="I34" i="8"/>
  <c r="H110" i="7"/>
  <c r="H106" i="7"/>
  <c r="G106" i="8"/>
  <c r="H28" i="7"/>
  <c r="F40" i="5"/>
  <c r="G6" i="6"/>
  <c r="E54" i="7"/>
  <c r="G20" i="6"/>
  <c r="H20" i="7"/>
  <c r="E10" i="7"/>
  <c r="H46" i="7"/>
  <c r="F28" i="8"/>
  <c r="E58" i="5"/>
  <c r="H6" i="6"/>
  <c r="E20" i="6"/>
  <c r="E36" i="6"/>
  <c r="E60" i="5"/>
  <c r="E54" i="6"/>
  <c r="G56" i="8"/>
  <c r="E40" i="5"/>
  <c r="H28" i="8"/>
  <c r="I28" i="8"/>
  <c r="F14" i="7"/>
  <c r="H20" i="6"/>
  <c r="F16" i="8"/>
  <c r="H30" i="5"/>
  <c r="F10" i="6"/>
  <c r="G24" i="5"/>
  <c r="G30" i="7"/>
  <c r="I30" i="8"/>
  <c r="G28" i="6"/>
  <c r="G8" i="8"/>
  <c r="H36" i="8"/>
  <c r="G16" i="7"/>
  <c r="H58" i="8"/>
  <c r="F4" i="6"/>
  <c r="F58" i="8"/>
  <c r="E56" i="7"/>
  <c r="G36" i="5"/>
  <c r="H26" i="6"/>
  <c r="G8" i="6"/>
  <c r="G16" i="8"/>
  <c r="F30" i="7"/>
  <c r="F38" i="8"/>
  <c r="E28" i="6"/>
  <c r="H16" i="5"/>
  <c r="E24" i="5"/>
  <c r="F28" i="5"/>
  <c r="G10" i="8"/>
  <c r="E24" i="7"/>
  <c r="F20" i="8"/>
  <c r="G34" i="7"/>
  <c r="I50" i="8"/>
  <c r="H8" i="8"/>
  <c r="F40" i="6"/>
  <c r="E16" i="8"/>
  <c r="H56" i="8"/>
  <c r="H20" i="8"/>
  <c r="H28" i="5"/>
  <c r="I24" i="8"/>
  <c r="G58" i="7"/>
  <c r="E38" i="8"/>
  <c r="E38" i="6"/>
  <c r="I48" i="8"/>
  <c r="G40" i="7"/>
  <c r="H18" i="5"/>
  <c r="F10" i="8"/>
  <c r="I54" i="8"/>
  <c r="G16" i="5"/>
  <c r="F40" i="8"/>
  <c r="E58" i="6"/>
  <c r="H24" i="6"/>
  <c r="I4" i="8"/>
  <c r="F4" i="8"/>
  <c r="G56" i="6"/>
  <c r="G60" i="8"/>
  <c r="F18" i="7"/>
  <c r="E14" i="7"/>
  <c r="I46" i="8"/>
  <c r="H58" i="6"/>
  <c r="E10" i="8"/>
  <c r="H16" i="8"/>
  <c r="F8" i="7"/>
  <c r="F58" i="7"/>
  <c r="H54" i="8"/>
  <c r="F54" i="7"/>
  <c r="E14" i="8"/>
  <c r="E56" i="8"/>
  <c r="E14" i="5"/>
  <c r="H60" i="6"/>
  <c r="E20" i="8"/>
  <c r="H60" i="8"/>
  <c r="G18" i="5"/>
  <c r="H6" i="5"/>
  <c r="H10" i="5"/>
  <c r="E58" i="8"/>
  <c r="H44" i="8"/>
  <c r="H8" i="6"/>
  <c r="G26" i="7"/>
  <c r="H28" i="6"/>
  <c r="G28" i="8"/>
  <c r="H46" i="6"/>
  <c r="G26" i="6"/>
  <c r="H40" i="5"/>
  <c r="F40" i="7"/>
  <c r="F38" i="5"/>
  <c r="H30" i="6"/>
  <c r="H24" i="5"/>
  <c r="G40" i="6"/>
  <c r="F8" i="8"/>
  <c r="G56" i="7"/>
  <c r="H26" i="8"/>
  <c r="G26" i="5"/>
  <c r="F6" i="6"/>
  <c r="G18" i="7"/>
  <c r="E34" i="8"/>
  <c r="F34" i="5"/>
  <c r="G38" i="6"/>
  <c r="AM108" i="6" l="1"/>
  <c r="AM104" i="6"/>
  <c r="AM106" i="6"/>
  <c r="AM110" i="6"/>
  <c r="CO119" i="6"/>
  <c r="CO123" i="6"/>
  <c r="CO111" i="6"/>
  <c r="CO65" i="6"/>
  <c r="CO67" i="6"/>
  <c r="CO115" i="6"/>
  <c r="CO105" i="6"/>
  <c r="CO107" i="6"/>
  <c r="CO113" i="6"/>
  <c r="CO79" i="6"/>
  <c r="CO81" i="6"/>
  <c r="CO121" i="6"/>
  <c r="CO71" i="6"/>
  <c r="CO77" i="6"/>
  <c r="CO95" i="6"/>
  <c r="CO103" i="6"/>
  <c r="CO109" i="6"/>
  <c r="CO69" i="6"/>
  <c r="CO73" i="6"/>
  <c r="CO97" i="6"/>
  <c r="CO99" i="6"/>
  <c r="CO85" i="6"/>
  <c r="CO93" i="6"/>
  <c r="CO101" i="6"/>
  <c r="CO87" i="6"/>
  <c r="CO117" i="6"/>
  <c r="CO83" i="6"/>
  <c r="CO89" i="6"/>
  <c r="CO75" i="6"/>
  <c r="CO91" i="6"/>
  <c r="CO57" i="5"/>
  <c r="I57" i="5" s="1"/>
  <c r="CO83" i="5"/>
  <c r="I83" i="5" s="1"/>
  <c r="CO81" i="5"/>
  <c r="I81" i="5" s="1"/>
  <c r="CO85" i="5"/>
  <c r="I85" i="5" s="1"/>
  <c r="AK10" i="3"/>
  <c r="CO111" i="7"/>
  <c r="I111" i="7" s="1"/>
  <c r="CO109" i="7"/>
  <c r="I109" i="7" s="1"/>
  <c r="CO105" i="7"/>
  <c r="I105" i="7" s="1"/>
  <c r="CO113" i="7"/>
  <c r="I113" i="7" s="1"/>
  <c r="CO107" i="7"/>
  <c r="I107" i="7" s="1"/>
  <c r="CO91" i="7"/>
  <c r="I91" i="7" s="1"/>
  <c r="CO71" i="7"/>
  <c r="I71" i="7" s="1"/>
  <c r="CO17" i="7"/>
  <c r="I17" i="7" s="1"/>
  <c r="CO69" i="7"/>
  <c r="I69" i="7" s="1"/>
  <c r="CO65" i="7"/>
  <c r="I65" i="7" s="1"/>
  <c r="CO67" i="7"/>
  <c r="I67" i="7" s="1"/>
  <c r="CO23" i="7"/>
  <c r="I23" i="7" s="1"/>
  <c r="CO21" i="7"/>
  <c r="I21" i="7" s="1"/>
  <c r="CO15" i="7"/>
  <c r="I15" i="7" s="1"/>
  <c r="CO85" i="7"/>
  <c r="I85" i="7" s="1"/>
  <c r="CO19" i="7"/>
  <c r="I19" i="7" s="1"/>
  <c r="CO93" i="7"/>
  <c r="I93" i="7" s="1"/>
  <c r="CO73" i="7"/>
  <c r="I73" i="7" s="1"/>
  <c r="CO89" i="7"/>
  <c r="I89" i="7" s="1"/>
  <c r="CO87" i="7"/>
  <c r="I87" i="7" s="1"/>
  <c r="CO123" i="7"/>
  <c r="I123" i="7" s="1"/>
  <c r="CO27" i="7"/>
  <c r="I27" i="7" s="1"/>
  <c r="CO47" i="7"/>
  <c r="I47" i="7" s="1"/>
  <c r="CO45" i="7"/>
  <c r="I45" i="7" s="1"/>
  <c r="CO99" i="7"/>
  <c r="I99" i="7" s="1"/>
  <c r="CO121" i="7"/>
  <c r="I121" i="7" s="1"/>
  <c r="CO25" i="7"/>
  <c r="I25" i="7" s="1"/>
  <c r="CO53" i="7"/>
  <c r="I53" i="7" s="1"/>
  <c r="CO95" i="7"/>
  <c r="I95" i="7" s="1"/>
  <c r="CO101" i="7"/>
  <c r="I101" i="7" s="1"/>
  <c r="CO119" i="7"/>
  <c r="I119" i="7" s="1"/>
  <c r="CO117" i="7"/>
  <c r="I117" i="7" s="1"/>
  <c r="CO33" i="7"/>
  <c r="I33" i="7" s="1"/>
  <c r="CO51" i="7"/>
  <c r="I51" i="7" s="1"/>
  <c r="CO103" i="7"/>
  <c r="I103" i="7" s="1"/>
  <c r="CO115" i="7"/>
  <c r="I115" i="7" s="1"/>
  <c r="CO97" i="7"/>
  <c r="CO39" i="7"/>
  <c r="I39" i="7" s="1"/>
  <c r="CO37" i="7"/>
  <c r="I37" i="7" s="1"/>
  <c r="CO7" i="7"/>
  <c r="I7" i="7" s="1"/>
  <c r="CO5" i="7"/>
  <c r="I5" i="7" s="1"/>
  <c r="CO31" i="7"/>
  <c r="I31" i="7" s="1"/>
  <c r="CO29" i="7"/>
  <c r="I29" i="7" s="1"/>
  <c r="CO81" i="7"/>
  <c r="I81" i="7" s="1"/>
  <c r="CO83" i="7"/>
  <c r="I83" i="7" s="1"/>
  <c r="CO35" i="7"/>
  <c r="I35" i="7" s="1"/>
  <c r="CO13" i="7"/>
  <c r="I13" i="7" s="1"/>
  <c r="CO49" i="7"/>
  <c r="I49" i="7" s="1"/>
  <c r="CO41" i="7"/>
  <c r="I41" i="7" s="1"/>
  <c r="CO43" i="7"/>
  <c r="I43" i="7" s="1"/>
  <c r="CO9" i="7"/>
  <c r="I9" i="7" s="1"/>
  <c r="CO11" i="7"/>
  <c r="I11" i="7" s="1"/>
  <c r="CO55" i="7"/>
  <c r="I55" i="7" s="1"/>
  <c r="CO77" i="7"/>
  <c r="I77" i="7" s="1"/>
  <c r="CO75" i="7"/>
  <c r="I75" i="7" s="1"/>
  <c r="CO63" i="7"/>
  <c r="I63" i="7" s="1"/>
  <c r="CO61" i="7"/>
  <c r="I61" i="7" s="1"/>
  <c r="CO59" i="7"/>
  <c r="I59" i="7" s="1"/>
  <c r="CO57" i="7"/>
  <c r="I57" i="7" s="1"/>
  <c r="CO79" i="7"/>
  <c r="I79" i="7" s="1"/>
  <c r="I97" i="7"/>
  <c r="CO9" i="5"/>
  <c r="I9" i="5" s="1"/>
  <c r="H115" i="8"/>
  <c r="I105" i="8"/>
  <c r="H23" i="8"/>
  <c r="H119" i="8"/>
  <c r="I109" i="8"/>
  <c r="I99" i="8"/>
  <c r="H53" i="6"/>
  <c r="H97" i="8"/>
  <c r="I119" i="8"/>
  <c r="H43" i="6"/>
  <c r="I13" i="8"/>
  <c r="H113" i="8"/>
  <c r="H101" i="8"/>
  <c r="I63" i="8"/>
  <c r="I107" i="8"/>
  <c r="I97" i="8"/>
  <c r="H63" i="6"/>
  <c r="I53" i="8"/>
  <c r="I121" i="8"/>
  <c r="H99" i="8"/>
  <c r="I43" i="8"/>
  <c r="I101" i="8"/>
  <c r="H53" i="8"/>
  <c r="H103" i="8"/>
  <c r="I33" i="8"/>
  <c r="H111" i="8"/>
  <c r="H121" i="8"/>
  <c r="H123" i="8"/>
  <c r="I23" i="8"/>
  <c r="I113" i="8"/>
  <c r="I115" i="8"/>
  <c r="I117" i="8"/>
  <c r="H33" i="6"/>
  <c r="H43" i="8"/>
  <c r="H109" i="8"/>
  <c r="H95" i="8"/>
  <c r="H117" i="8"/>
  <c r="I111" i="8"/>
  <c r="I123" i="8"/>
  <c r="I95" i="8"/>
  <c r="I103" i="8"/>
  <c r="CO5" i="5"/>
  <c r="I5" i="5" s="1"/>
  <c r="CO99" i="5"/>
  <c r="I99" i="5" s="1"/>
  <c r="CO53" i="5"/>
  <c r="CO71" i="5"/>
  <c r="I71" i="5" s="1"/>
  <c r="CO107" i="5"/>
  <c r="I107" i="5" s="1"/>
  <c r="CO75" i="5"/>
  <c r="I75" i="5" s="1"/>
  <c r="CO21" i="5"/>
  <c r="I21" i="5" s="1"/>
  <c r="CO45" i="5"/>
  <c r="I45" i="5" s="1"/>
  <c r="CO33" i="5"/>
  <c r="CO13" i="5"/>
  <c r="I13" i="5" s="1"/>
  <c r="CO119" i="5"/>
  <c r="I119" i="5" s="1"/>
  <c r="CO27" i="5"/>
  <c r="I27" i="5" s="1"/>
  <c r="CO63" i="5"/>
  <c r="CO95" i="5"/>
  <c r="I95" i="5" s="1"/>
  <c r="CO65" i="5"/>
  <c r="I65" i="5" s="1"/>
  <c r="CO31" i="5"/>
  <c r="I31" i="5" s="1"/>
  <c r="CO23" i="5"/>
  <c r="I23" i="5" s="1"/>
  <c r="CO89" i="5"/>
  <c r="I89" i="5" s="1"/>
  <c r="CO59" i="5"/>
  <c r="I59" i="5" s="1"/>
  <c r="CO37" i="5"/>
  <c r="I37" i="5" s="1"/>
  <c r="CO51" i="5"/>
  <c r="I51" i="5" s="1"/>
  <c r="CO15" i="5"/>
  <c r="I15" i="5" s="1"/>
  <c r="CO39" i="5"/>
  <c r="I39" i="5" s="1"/>
  <c r="CO67" i="5"/>
  <c r="I67" i="5" s="1"/>
  <c r="CO25" i="5"/>
  <c r="I25" i="5" s="1"/>
  <c r="CO115" i="5"/>
  <c r="I115" i="5" s="1"/>
  <c r="CO113" i="5"/>
  <c r="I113" i="5" s="1"/>
  <c r="CO61" i="5"/>
  <c r="I61" i="5" s="1"/>
  <c r="CO43" i="5"/>
  <c r="CO105" i="5"/>
  <c r="I105" i="5" s="1"/>
  <c r="CO49" i="5"/>
  <c r="I49" i="5" s="1"/>
  <c r="CO41" i="5"/>
  <c r="I41" i="5" s="1"/>
  <c r="CO35" i="5"/>
  <c r="I35" i="5" s="1"/>
  <c r="CO117" i="5"/>
  <c r="I117" i="5" s="1"/>
  <c r="CO69" i="5"/>
  <c r="I69" i="5" s="1"/>
  <c r="CO11" i="5"/>
  <c r="I11" i="5" s="1"/>
  <c r="CO93" i="5"/>
  <c r="I93" i="5" s="1"/>
  <c r="CO7" i="5"/>
  <c r="I7" i="5" s="1"/>
  <c r="CO47" i="5"/>
  <c r="I47" i="5" s="1"/>
  <c r="CO91" i="5"/>
  <c r="I91" i="5" s="1"/>
  <c r="CO101" i="5"/>
  <c r="I101" i="5" s="1"/>
  <c r="CO87" i="5"/>
  <c r="I87" i="5" s="1"/>
  <c r="CO79" i="5"/>
  <c r="I79" i="5" s="1"/>
  <c r="CO17" i="5"/>
  <c r="I17" i="5" s="1"/>
  <c r="CO73" i="5"/>
  <c r="I73" i="5" s="1"/>
  <c r="CO97" i="5"/>
  <c r="I97" i="5" s="1"/>
  <c r="CO29" i="5"/>
  <c r="I29" i="5" s="1"/>
  <c r="CO55" i="5"/>
  <c r="I55" i="5" s="1"/>
  <c r="CO19" i="5"/>
  <c r="I19" i="5" s="1"/>
  <c r="CO103" i="5"/>
  <c r="I103" i="5" s="1"/>
  <c r="CO121" i="5"/>
  <c r="I121" i="5" s="1"/>
  <c r="CO111" i="5"/>
  <c r="I111" i="5" s="1"/>
  <c r="CO109" i="5"/>
  <c r="I109" i="5" s="1"/>
  <c r="CO77" i="5"/>
  <c r="I77" i="5" s="1"/>
  <c r="K3" i="5"/>
  <c r="CP111" i="5"/>
  <c r="J111" i="5" s="1"/>
  <c r="CP107" i="5"/>
  <c r="J107" i="5" s="1"/>
  <c r="CP105" i="5"/>
  <c r="J105" i="5" s="1"/>
  <c r="CP73" i="5"/>
  <c r="J73" i="5" s="1"/>
  <c r="CP69" i="5"/>
  <c r="J69" i="5" s="1"/>
  <c r="CP65" i="5"/>
  <c r="J65" i="5" s="1"/>
  <c r="CP109" i="5"/>
  <c r="J109" i="5" s="1"/>
  <c r="CP113" i="5"/>
  <c r="J113" i="5" s="1"/>
  <c r="CP71" i="5"/>
  <c r="J71" i="5" s="1"/>
  <c r="CP67" i="5"/>
  <c r="J67" i="5" s="1"/>
  <c r="CP83" i="5"/>
  <c r="J83" i="5" s="1"/>
  <c r="CP79" i="5"/>
  <c r="J79" i="5" s="1"/>
  <c r="CP75" i="5"/>
  <c r="J75" i="5" s="1"/>
  <c r="CP31" i="5"/>
  <c r="J31" i="5" s="1"/>
  <c r="CP29" i="5"/>
  <c r="J29" i="5" s="1"/>
  <c r="CP25" i="5"/>
  <c r="J25" i="5" s="1"/>
  <c r="CP63" i="5"/>
  <c r="CP59" i="5"/>
  <c r="J59" i="5" s="1"/>
  <c r="CP55" i="5"/>
  <c r="J55" i="5" s="1"/>
  <c r="CP9" i="5"/>
  <c r="J9" i="5" s="1"/>
  <c r="CP11" i="5"/>
  <c r="J11" i="5" s="1"/>
  <c r="CP17" i="5"/>
  <c r="J17" i="5" s="1"/>
  <c r="CP81" i="5"/>
  <c r="J81" i="5" s="1"/>
  <c r="CP77" i="5"/>
  <c r="J77" i="5" s="1"/>
  <c r="CP7" i="5"/>
  <c r="J7" i="5" s="1"/>
  <c r="CP13" i="5"/>
  <c r="J13" i="5" s="1"/>
  <c r="CP43" i="5"/>
  <c r="CP39" i="5"/>
  <c r="J39" i="5" s="1"/>
  <c r="CP21" i="5"/>
  <c r="J21" i="5" s="1"/>
  <c r="CP33" i="5"/>
  <c r="CP61" i="5"/>
  <c r="J61" i="5" s="1"/>
  <c r="CP57" i="5"/>
  <c r="J57" i="5" s="1"/>
  <c r="CP41" i="5"/>
  <c r="J41" i="5" s="1"/>
  <c r="CP37" i="5"/>
  <c r="J37" i="5" s="1"/>
  <c r="CP23" i="5"/>
  <c r="J23" i="5" s="1"/>
  <c r="CP19" i="5"/>
  <c r="J19" i="5" s="1"/>
  <c r="CP15" i="5"/>
  <c r="J15" i="5" s="1"/>
  <c r="CP101" i="5"/>
  <c r="J101" i="5" s="1"/>
  <c r="CP97" i="5"/>
  <c r="J97" i="5" s="1"/>
  <c r="CP123" i="5"/>
  <c r="J123" i="5" s="1"/>
  <c r="CP119" i="5"/>
  <c r="J119" i="5" s="1"/>
  <c r="CP115" i="5"/>
  <c r="J115" i="5" s="1"/>
  <c r="CP121" i="5"/>
  <c r="J121" i="5" s="1"/>
  <c r="CP93" i="5"/>
  <c r="J93" i="5" s="1"/>
  <c r="CP89" i="5"/>
  <c r="J89" i="5" s="1"/>
  <c r="CP85" i="5"/>
  <c r="J85" i="5" s="1"/>
  <c r="CP5" i="5"/>
  <c r="J5" i="5" s="1"/>
  <c r="CP117" i="5"/>
  <c r="J117" i="5" s="1"/>
  <c r="CP91" i="5"/>
  <c r="J91" i="5" s="1"/>
  <c r="CP87" i="5"/>
  <c r="J87" i="5" s="1"/>
  <c r="CP27" i="5"/>
  <c r="J27" i="5" s="1"/>
  <c r="CP35" i="5"/>
  <c r="J35" i="5" s="1"/>
  <c r="CP103" i="5"/>
  <c r="J103" i="5" s="1"/>
  <c r="CP99" i="5"/>
  <c r="J99" i="5" s="1"/>
  <c r="CP95" i="5"/>
  <c r="J95" i="5" s="1"/>
  <c r="CP53" i="5"/>
  <c r="CP49" i="5"/>
  <c r="J49" i="5" s="1"/>
  <c r="CP45" i="5"/>
  <c r="J45" i="5" s="1"/>
  <c r="CP51" i="5"/>
  <c r="J51" i="5" s="1"/>
  <c r="CP47" i="5"/>
  <c r="J47" i="5" s="1"/>
  <c r="CP119" i="8"/>
  <c r="CP121" i="8"/>
  <c r="CP101" i="8"/>
  <c r="CP95" i="8"/>
  <c r="CP117" i="8"/>
  <c r="CP99" i="8"/>
  <c r="CP103" i="8"/>
  <c r="CP97" i="8"/>
  <c r="CP115" i="8"/>
  <c r="CP123" i="8"/>
  <c r="CP47" i="8"/>
  <c r="J47" i="8" s="1"/>
  <c r="CP49" i="8"/>
  <c r="J49" i="8" s="1"/>
  <c r="CP43" i="8"/>
  <c r="CP35" i="8"/>
  <c r="J35" i="8" s="1"/>
  <c r="CP87" i="8"/>
  <c r="J87" i="8" s="1"/>
  <c r="CP105" i="8"/>
  <c r="CP67" i="8"/>
  <c r="J67" i="8" s="1"/>
  <c r="CP61" i="8"/>
  <c r="J61" i="8" s="1"/>
  <c r="CP7" i="8"/>
  <c r="J7" i="8" s="1"/>
  <c r="CP5" i="8"/>
  <c r="J5" i="8" s="1"/>
  <c r="CP77" i="8"/>
  <c r="J77" i="8" s="1"/>
  <c r="CP41" i="8"/>
  <c r="J41" i="8" s="1"/>
  <c r="CP85" i="8"/>
  <c r="J85" i="8" s="1"/>
  <c r="CP15" i="8"/>
  <c r="J15" i="8" s="1"/>
  <c r="CP53" i="8"/>
  <c r="CP93" i="8"/>
  <c r="J93" i="8" s="1"/>
  <c r="CP109" i="8"/>
  <c r="CP111" i="8"/>
  <c r="CP113" i="8"/>
  <c r="CP23" i="8"/>
  <c r="CP17" i="8"/>
  <c r="J17" i="8" s="1"/>
  <c r="CP45" i="8"/>
  <c r="J45" i="8" s="1"/>
  <c r="CP51" i="8"/>
  <c r="J51" i="8" s="1"/>
  <c r="CP39" i="8"/>
  <c r="J39" i="8" s="1"/>
  <c r="CP37" i="8"/>
  <c r="J37" i="8" s="1"/>
  <c r="CP89" i="8"/>
  <c r="J89" i="8" s="1"/>
  <c r="CP91" i="8"/>
  <c r="J91" i="8" s="1"/>
  <c r="CP107" i="8"/>
  <c r="CP19" i="8"/>
  <c r="J19" i="8" s="1"/>
  <c r="CP21" i="8"/>
  <c r="J21" i="8" s="1"/>
  <c r="CP65" i="8"/>
  <c r="J65" i="8" s="1"/>
  <c r="CP9" i="8"/>
  <c r="J9" i="8" s="1"/>
  <c r="CP13" i="8"/>
  <c r="CP79" i="8"/>
  <c r="J79" i="8" s="1"/>
  <c r="CP71" i="8"/>
  <c r="J71" i="8" s="1"/>
  <c r="CP57" i="8"/>
  <c r="J57" i="8" s="1"/>
  <c r="CP81" i="8"/>
  <c r="J81" i="8" s="1"/>
  <c r="CP27" i="8"/>
  <c r="J27" i="8" s="1"/>
  <c r="CP33" i="8"/>
  <c r="CP63" i="8"/>
  <c r="CP59" i="8"/>
  <c r="J59" i="8" s="1"/>
  <c r="CP31" i="8"/>
  <c r="J31" i="8" s="1"/>
  <c r="CP29" i="8"/>
  <c r="J29" i="8" s="1"/>
  <c r="CP25" i="8"/>
  <c r="J25" i="8" s="1"/>
  <c r="CP55" i="8"/>
  <c r="J55" i="8" s="1"/>
  <c r="CP11" i="8"/>
  <c r="J11" i="8" s="1"/>
  <c r="CP83" i="8"/>
  <c r="J83" i="8" s="1"/>
  <c r="CP75" i="8"/>
  <c r="J75" i="8" s="1"/>
  <c r="CP73" i="8"/>
  <c r="J73" i="8" s="1"/>
  <c r="CP69" i="8"/>
  <c r="J69" i="8" s="1"/>
  <c r="CO59" i="6"/>
  <c r="I59" i="6" s="1"/>
  <c r="CO51" i="6"/>
  <c r="I51" i="6" s="1"/>
  <c r="CO61" i="6"/>
  <c r="I61" i="6" s="1"/>
  <c r="CO53" i="6"/>
  <c r="CO63" i="6"/>
  <c r="CO55" i="6"/>
  <c r="I55" i="6" s="1"/>
  <c r="CO47" i="6"/>
  <c r="I47" i="6" s="1"/>
  <c r="CO39" i="6"/>
  <c r="I39" i="6" s="1"/>
  <c r="CO43" i="6"/>
  <c r="CO37" i="6"/>
  <c r="I37" i="6" s="1"/>
  <c r="CO29" i="6"/>
  <c r="I29" i="6" s="1"/>
  <c r="CO21" i="6"/>
  <c r="I21" i="6" s="1"/>
  <c r="CO13" i="6"/>
  <c r="I13" i="6" s="1"/>
  <c r="CO49" i="6"/>
  <c r="I49" i="6" s="1"/>
  <c r="CO45" i="6"/>
  <c r="I45" i="6" s="1"/>
  <c r="CO31" i="6"/>
  <c r="I31" i="6" s="1"/>
  <c r="CO23" i="6"/>
  <c r="I23" i="6" s="1"/>
  <c r="CO57" i="6"/>
  <c r="I57" i="6" s="1"/>
  <c r="CO33" i="6"/>
  <c r="CO25" i="6"/>
  <c r="I25" i="6" s="1"/>
  <c r="CO17" i="6"/>
  <c r="I17" i="6" s="1"/>
  <c r="CO27" i="6"/>
  <c r="I27" i="6" s="1"/>
  <c r="CO15" i="6"/>
  <c r="I15" i="6" s="1"/>
  <c r="CO11" i="6"/>
  <c r="I11" i="6" s="1"/>
  <c r="CO5" i="6"/>
  <c r="I5" i="6" s="1"/>
  <c r="CO41" i="6"/>
  <c r="I41" i="6" s="1"/>
  <c r="CO7" i="6"/>
  <c r="I7" i="6" s="1"/>
  <c r="CO35" i="6"/>
  <c r="I35" i="6" s="1"/>
  <c r="CO19" i="6"/>
  <c r="I19" i="6" s="1"/>
  <c r="CO9" i="6"/>
  <c r="I9" i="6" s="1"/>
  <c r="K3" i="8"/>
  <c r="J3" i="7"/>
  <c r="J3" i="6"/>
  <c r="H110" i="8"/>
  <c r="I110" i="5"/>
  <c r="I110" i="8"/>
  <c r="I104" i="7"/>
  <c r="I104" i="5"/>
  <c r="I50" i="5"/>
  <c r="I30" i="7"/>
  <c r="I48" i="7"/>
  <c r="J54" i="5"/>
  <c r="I24" i="5"/>
  <c r="I44" i="5"/>
  <c r="I30" i="5"/>
  <c r="I66" i="5"/>
  <c r="I24" i="6"/>
  <c r="I26" i="6"/>
  <c r="I44" i="6"/>
  <c r="I60" i="5"/>
  <c r="I28" i="7"/>
  <c r="I16" i="7"/>
  <c r="J64" i="5"/>
  <c r="J10" i="5"/>
  <c r="I40" i="5"/>
  <c r="J54" i="8"/>
  <c r="J70" i="5"/>
  <c r="J44" i="8"/>
  <c r="I36" i="5"/>
  <c r="J46" i="5"/>
  <c r="I60" i="7"/>
  <c r="J28" i="8"/>
  <c r="I26" i="7"/>
  <c r="I28" i="6"/>
  <c r="J50" i="8"/>
  <c r="J14" i="8"/>
  <c r="I46" i="7"/>
  <c r="J36" i="8"/>
  <c r="J48" i="5"/>
  <c r="I26" i="5"/>
  <c r="I56" i="5"/>
  <c r="I110" i="7"/>
  <c r="J110" i="5"/>
  <c r="I106" i="5"/>
  <c r="J104" i="5"/>
  <c r="J46" i="8"/>
  <c r="I8" i="6"/>
  <c r="I40" i="7"/>
  <c r="I34" i="7"/>
  <c r="I56" i="7"/>
  <c r="J66" i="5"/>
  <c r="J14" i="5"/>
  <c r="I46" i="5"/>
  <c r="J28" i="5"/>
  <c r="I18" i="7"/>
  <c r="I8" i="5"/>
  <c r="J44" i="5"/>
  <c r="J6" i="8"/>
  <c r="I10" i="7"/>
  <c r="I50" i="6"/>
  <c r="J34" i="8"/>
  <c r="J68" i="5"/>
  <c r="J6" i="5"/>
  <c r="I10" i="6"/>
  <c r="I4" i="6"/>
  <c r="I38" i="7"/>
  <c r="J38" i="8"/>
  <c r="J16" i="5"/>
  <c r="J60" i="8"/>
  <c r="J8" i="8"/>
  <c r="I8" i="7"/>
  <c r="I44" i="7"/>
  <c r="I4" i="5"/>
  <c r="I58" i="6"/>
  <c r="J26" i="8"/>
  <c r="I104" i="8"/>
  <c r="I106" i="7"/>
  <c r="I108" i="7"/>
  <c r="I108" i="5"/>
  <c r="J108" i="5"/>
  <c r="I36" i="6"/>
  <c r="J24" i="5"/>
  <c r="I56" i="6"/>
  <c r="J8" i="5"/>
  <c r="J50" i="5"/>
  <c r="I48" i="6"/>
  <c r="J40" i="8"/>
  <c r="I38" i="6"/>
  <c r="I58" i="7"/>
  <c r="I18" i="5"/>
  <c r="I54" i="7"/>
  <c r="I64" i="5"/>
  <c r="I6" i="5"/>
  <c r="I20" i="7"/>
  <c r="I14" i="7"/>
  <c r="I30" i="6"/>
  <c r="I48" i="5"/>
  <c r="I36" i="7"/>
  <c r="J30" i="8"/>
  <c r="I14" i="6"/>
  <c r="J56" i="8"/>
  <c r="J16" i="8"/>
  <c r="J18" i="5"/>
  <c r="I54" i="5"/>
  <c r="I16" i="6"/>
  <c r="I34" i="5"/>
  <c r="I20" i="6"/>
  <c r="I10" i="5"/>
  <c r="I16" i="5"/>
  <c r="J30" i="5"/>
  <c r="I108" i="8"/>
  <c r="I106" i="8"/>
  <c r="J106" i="5"/>
  <c r="H108" i="8"/>
  <c r="I50" i="7"/>
  <c r="J26" i="5"/>
  <c r="I6" i="6"/>
  <c r="J48" i="8"/>
  <c r="I54" i="6"/>
  <c r="J24" i="8"/>
  <c r="J4" i="5"/>
  <c r="I4" i="7"/>
  <c r="I24" i="7"/>
  <c r="J10" i="8"/>
  <c r="J58" i="5"/>
  <c r="J40" i="5"/>
  <c r="I18" i="6"/>
  <c r="I34" i="6"/>
  <c r="I70" i="5"/>
  <c r="J20" i="8"/>
  <c r="I28" i="5"/>
  <c r="I6" i="7"/>
  <c r="J20" i="5"/>
  <c r="I14" i="5"/>
  <c r="J60" i="5"/>
  <c r="J74" i="5"/>
  <c r="I38" i="5"/>
  <c r="J4" i="8"/>
  <c r="I58" i="5"/>
  <c r="I40" i="6"/>
  <c r="J34" i="5"/>
  <c r="I20" i="5"/>
  <c r="J18" i="8"/>
  <c r="I68" i="5"/>
  <c r="J38" i="5"/>
  <c r="I60" i="6"/>
  <c r="J56" i="5"/>
  <c r="I74" i="5"/>
  <c r="I46" i="6"/>
  <c r="J58" i="8"/>
  <c r="J36" i="5"/>
  <c r="CP123" i="6" l="1"/>
  <c r="CP109" i="6"/>
  <c r="CP117" i="6"/>
  <c r="CP105" i="6"/>
  <c r="CP107" i="6"/>
  <c r="CP113" i="6"/>
  <c r="CP65" i="6"/>
  <c r="CP115" i="6"/>
  <c r="CP119" i="6"/>
  <c r="CP121" i="6"/>
  <c r="CP111" i="6"/>
  <c r="CP71" i="6"/>
  <c r="CP81" i="6"/>
  <c r="CP83" i="6"/>
  <c r="CP67" i="6"/>
  <c r="CP69" i="6"/>
  <c r="CP73" i="6"/>
  <c r="CP77" i="6"/>
  <c r="CP79" i="6"/>
  <c r="CP97" i="6"/>
  <c r="CP99" i="6"/>
  <c r="CP101" i="6"/>
  <c r="CP93" i="6"/>
  <c r="CP103" i="6"/>
  <c r="CP91" i="6"/>
  <c r="CP75" i="6"/>
  <c r="CP89" i="6"/>
  <c r="CP95" i="6"/>
  <c r="CP85" i="6"/>
  <c r="CP87" i="6"/>
  <c r="CP113" i="7"/>
  <c r="J113" i="7" s="1"/>
  <c r="CP111" i="7"/>
  <c r="J111" i="7" s="1"/>
  <c r="CP109" i="7"/>
  <c r="J109" i="7" s="1"/>
  <c r="CP107" i="7"/>
  <c r="J107" i="7" s="1"/>
  <c r="CP105" i="7"/>
  <c r="J105" i="7" s="1"/>
  <c r="CP15" i="7"/>
  <c r="J15" i="7" s="1"/>
  <c r="CP85" i="7"/>
  <c r="J85" i="7" s="1"/>
  <c r="CP69" i="7"/>
  <c r="J69" i="7" s="1"/>
  <c r="CP71" i="7"/>
  <c r="J71" i="7" s="1"/>
  <c r="CP93" i="7"/>
  <c r="J93" i="7" s="1"/>
  <c r="CP21" i="7"/>
  <c r="J21" i="7" s="1"/>
  <c r="CP91" i="7"/>
  <c r="J91" i="7" s="1"/>
  <c r="CP65" i="7"/>
  <c r="J65" i="7" s="1"/>
  <c r="CP89" i="7"/>
  <c r="J89" i="7" s="1"/>
  <c r="CP19" i="7"/>
  <c r="J19" i="7" s="1"/>
  <c r="CP23" i="7"/>
  <c r="J23" i="7" s="1"/>
  <c r="CP67" i="7"/>
  <c r="J67" i="7" s="1"/>
  <c r="CP17" i="7"/>
  <c r="J17" i="7" s="1"/>
  <c r="CP115" i="7"/>
  <c r="J115" i="7" s="1"/>
  <c r="CP29" i="7"/>
  <c r="J29" i="7" s="1"/>
  <c r="CP49" i="7"/>
  <c r="J49" i="7" s="1"/>
  <c r="CP47" i="7"/>
  <c r="J47" i="7" s="1"/>
  <c r="CP95" i="7"/>
  <c r="J95" i="7" s="1"/>
  <c r="CP101" i="7"/>
  <c r="J101" i="7" s="1"/>
  <c r="CP123" i="7"/>
  <c r="J123" i="7" s="1"/>
  <c r="CP27" i="7"/>
  <c r="J27" i="7" s="1"/>
  <c r="CP45" i="7"/>
  <c r="J45" i="7" s="1"/>
  <c r="CP97" i="7"/>
  <c r="J97" i="7" s="1"/>
  <c r="CP103" i="7"/>
  <c r="J103" i="7" s="1"/>
  <c r="CP87" i="7"/>
  <c r="J87" i="7" s="1"/>
  <c r="CP121" i="7"/>
  <c r="J121" i="7" s="1"/>
  <c r="CP119" i="7"/>
  <c r="J119" i="7" s="1"/>
  <c r="CP25" i="7"/>
  <c r="J25" i="7" s="1"/>
  <c r="CP53" i="7"/>
  <c r="J53" i="7" s="1"/>
  <c r="CP51" i="7"/>
  <c r="J51" i="7" s="1"/>
  <c r="CP83" i="7"/>
  <c r="J83" i="7" s="1"/>
  <c r="CP75" i="7"/>
  <c r="J75" i="7" s="1"/>
  <c r="CP77" i="7"/>
  <c r="J77" i="7" s="1"/>
  <c r="CP41" i="7"/>
  <c r="J41" i="7" s="1"/>
  <c r="CP39" i="7"/>
  <c r="J39" i="7" s="1"/>
  <c r="CP9" i="7"/>
  <c r="J9" i="7" s="1"/>
  <c r="CP7" i="7"/>
  <c r="J7" i="7" s="1"/>
  <c r="CP117" i="7"/>
  <c r="J117" i="7" s="1"/>
  <c r="CP99" i="7"/>
  <c r="J99" i="7" s="1"/>
  <c r="CP81" i="7"/>
  <c r="J81" i="7" s="1"/>
  <c r="CP37" i="7"/>
  <c r="J37" i="7" s="1"/>
  <c r="CP5" i="7"/>
  <c r="J5" i="7" s="1"/>
  <c r="CP31" i="7"/>
  <c r="J31" i="7" s="1"/>
  <c r="CP35" i="7"/>
  <c r="J35" i="7" s="1"/>
  <c r="CP13" i="7"/>
  <c r="J13" i="7" s="1"/>
  <c r="CP63" i="7"/>
  <c r="J63" i="7" s="1"/>
  <c r="CP61" i="7"/>
  <c r="J61" i="7" s="1"/>
  <c r="CP55" i="7"/>
  <c r="J55" i="7" s="1"/>
  <c r="CP33" i="7"/>
  <c r="J33" i="7" s="1"/>
  <c r="CP79" i="7"/>
  <c r="J79" i="7" s="1"/>
  <c r="CP57" i="7"/>
  <c r="J57" i="7" s="1"/>
  <c r="CP73" i="7"/>
  <c r="J73" i="7" s="1"/>
  <c r="CP43" i="7"/>
  <c r="J43" i="7" s="1"/>
  <c r="CP11" i="7"/>
  <c r="J11" i="7" s="1"/>
  <c r="CP59" i="7"/>
  <c r="J59" i="7" s="1"/>
  <c r="I33" i="6"/>
  <c r="J113" i="8"/>
  <c r="J115" i="8"/>
  <c r="I53" i="5"/>
  <c r="J111" i="8"/>
  <c r="J105" i="8"/>
  <c r="J97" i="8"/>
  <c r="J95" i="8"/>
  <c r="J43" i="5"/>
  <c r="I43" i="6"/>
  <c r="I53" i="6"/>
  <c r="J33" i="8"/>
  <c r="J53" i="8"/>
  <c r="J43" i="8"/>
  <c r="J117" i="8"/>
  <c r="J119" i="8"/>
  <c r="J53" i="5"/>
  <c r="I63" i="6"/>
  <c r="J13" i="8"/>
  <c r="J109" i="8"/>
  <c r="J103" i="8"/>
  <c r="J101" i="8"/>
  <c r="J33" i="5"/>
  <c r="I43" i="5"/>
  <c r="I63" i="5"/>
  <c r="I33" i="5"/>
  <c r="J63" i="8"/>
  <c r="J107" i="8"/>
  <c r="J23" i="8"/>
  <c r="J123" i="8"/>
  <c r="J99" i="8"/>
  <c r="J121" i="8"/>
  <c r="J63" i="5"/>
  <c r="L3" i="5"/>
  <c r="CQ109" i="5"/>
  <c r="K109" i="5" s="1"/>
  <c r="CQ107" i="5"/>
  <c r="K107" i="5" s="1"/>
  <c r="CQ67" i="5"/>
  <c r="K67" i="5" s="1"/>
  <c r="CQ73" i="5"/>
  <c r="K73" i="5" s="1"/>
  <c r="CQ75" i="5"/>
  <c r="K75" i="5" s="1"/>
  <c r="CQ113" i="5"/>
  <c r="K113" i="5" s="1"/>
  <c r="CQ71" i="5"/>
  <c r="K71" i="5" s="1"/>
  <c r="CQ79" i="5"/>
  <c r="K79" i="5" s="1"/>
  <c r="CQ105" i="5"/>
  <c r="K105" i="5" s="1"/>
  <c r="CQ111" i="5"/>
  <c r="K111" i="5" s="1"/>
  <c r="CQ69" i="5"/>
  <c r="K69" i="5" s="1"/>
  <c r="CQ81" i="5"/>
  <c r="K81" i="5" s="1"/>
  <c r="CQ27" i="5"/>
  <c r="K27" i="5" s="1"/>
  <c r="CQ61" i="5"/>
  <c r="K61" i="5" s="1"/>
  <c r="CQ5" i="5"/>
  <c r="K5" i="5" s="1"/>
  <c r="CQ43" i="5"/>
  <c r="CQ41" i="5"/>
  <c r="K41" i="5" s="1"/>
  <c r="CQ15" i="5"/>
  <c r="K15" i="5" s="1"/>
  <c r="CQ101" i="5"/>
  <c r="K101" i="5" s="1"/>
  <c r="CQ65" i="5"/>
  <c r="K65" i="5" s="1"/>
  <c r="CQ25" i="5"/>
  <c r="K25" i="5" s="1"/>
  <c r="CQ55" i="5"/>
  <c r="K55" i="5" s="1"/>
  <c r="CQ9" i="5"/>
  <c r="K9" i="5" s="1"/>
  <c r="CQ13" i="5"/>
  <c r="K13" i="5" s="1"/>
  <c r="CQ7" i="5"/>
  <c r="K7" i="5" s="1"/>
  <c r="CQ17" i="5"/>
  <c r="K17" i="5" s="1"/>
  <c r="CQ19" i="5"/>
  <c r="K19" i="5" s="1"/>
  <c r="CQ83" i="5"/>
  <c r="K83" i="5" s="1"/>
  <c r="CQ77" i="5"/>
  <c r="K77" i="5" s="1"/>
  <c r="CQ29" i="5"/>
  <c r="K29" i="5" s="1"/>
  <c r="CQ31" i="5"/>
  <c r="K31" i="5" s="1"/>
  <c r="CQ59" i="5"/>
  <c r="K59" i="5" s="1"/>
  <c r="CQ11" i="5"/>
  <c r="K11" i="5" s="1"/>
  <c r="CQ35" i="5"/>
  <c r="K35" i="5" s="1"/>
  <c r="CQ99" i="5"/>
  <c r="K99" i="5" s="1"/>
  <c r="CQ95" i="5"/>
  <c r="K95" i="5" s="1"/>
  <c r="CQ45" i="5"/>
  <c r="K45" i="5" s="1"/>
  <c r="CQ91" i="5"/>
  <c r="K91" i="5" s="1"/>
  <c r="CQ39" i="5"/>
  <c r="K39" i="5" s="1"/>
  <c r="CQ57" i="5"/>
  <c r="K57" i="5" s="1"/>
  <c r="CQ37" i="5"/>
  <c r="K37" i="5" s="1"/>
  <c r="CQ21" i="5"/>
  <c r="K21" i="5" s="1"/>
  <c r="CQ97" i="5"/>
  <c r="K97" i="5" s="1"/>
  <c r="CQ121" i="5"/>
  <c r="K121" i="5" s="1"/>
  <c r="CQ115" i="5"/>
  <c r="K115" i="5" s="1"/>
  <c r="CQ53" i="5"/>
  <c r="CQ47" i="5"/>
  <c r="K47" i="5" s="1"/>
  <c r="CQ89" i="5"/>
  <c r="K89" i="5" s="1"/>
  <c r="CQ33" i="5"/>
  <c r="CQ63" i="5"/>
  <c r="CQ23" i="5"/>
  <c r="K23" i="5" s="1"/>
  <c r="CQ103" i="5"/>
  <c r="K103" i="5" s="1"/>
  <c r="CQ51" i="5"/>
  <c r="K51" i="5" s="1"/>
  <c r="CQ93" i="5"/>
  <c r="K93" i="5" s="1"/>
  <c r="CQ87" i="5"/>
  <c r="K87" i="5" s="1"/>
  <c r="CQ117" i="5"/>
  <c r="K117" i="5" s="1"/>
  <c r="CQ49" i="5"/>
  <c r="K49" i="5" s="1"/>
  <c r="CQ119" i="5"/>
  <c r="K119" i="5" s="1"/>
  <c r="CQ85" i="5"/>
  <c r="K85" i="5" s="1"/>
  <c r="CQ123" i="5"/>
  <c r="K123" i="5" s="1"/>
  <c r="CQ121" i="8"/>
  <c r="CQ103" i="8"/>
  <c r="CQ99" i="8"/>
  <c r="CQ119" i="8"/>
  <c r="CQ101" i="8"/>
  <c r="CQ117" i="8"/>
  <c r="CQ115" i="8"/>
  <c r="CQ97" i="8"/>
  <c r="CQ95" i="8"/>
  <c r="CQ123" i="8"/>
  <c r="CQ49" i="8"/>
  <c r="K49" i="8" s="1"/>
  <c r="CQ37" i="8"/>
  <c r="K37" i="8" s="1"/>
  <c r="CQ89" i="8"/>
  <c r="K89" i="8" s="1"/>
  <c r="CQ107" i="8"/>
  <c r="CQ19" i="8"/>
  <c r="K19" i="8" s="1"/>
  <c r="CQ15" i="8"/>
  <c r="K15" i="8" s="1"/>
  <c r="CQ69" i="8"/>
  <c r="K69" i="8" s="1"/>
  <c r="CQ59" i="8"/>
  <c r="K59" i="8" s="1"/>
  <c r="CQ9" i="8"/>
  <c r="K9" i="8" s="1"/>
  <c r="CQ79" i="8"/>
  <c r="K79" i="8" s="1"/>
  <c r="CQ45" i="8"/>
  <c r="K45" i="8" s="1"/>
  <c r="CQ47" i="8"/>
  <c r="K47" i="8" s="1"/>
  <c r="CQ53" i="8"/>
  <c r="CQ39" i="8"/>
  <c r="K39" i="8" s="1"/>
  <c r="CQ87" i="8"/>
  <c r="K87" i="8" s="1"/>
  <c r="CQ93" i="8"/>
  <c r="K93" i="8" s="1"/>
  <c r="CQ105" i="8"/>
  <c r="CQ17" i="8"/>
  <c r="K17" i="8" s="1"/>
  <c r="CQ23" i="8"/>
  <c r="CQ51" i="8"/>
  <c r="K51" i="8" s="1"/>
  <c r="CQ111" i="8"/>
  <c r="CQ113" i="8"/>
  <c r="CQ41" i="8"/>
  <c r="K41" i="8" s="1"/>
  <c r="CQ43" i="8"/>
  <c r="CQ35" i="8"/>
  <c r="K35" i="8" s="1"/>
  <c r="CQ91" i="8"/>
  <c r="K91" i="8" s="1"/>
  <c r="CQ85" i="8"/>
  <c r="K85" i="8" s="1"/>
  <c r="CQ109" i="8"/>
  <c r="CQ21" i="8"/>
  <c r="K21" i="8" s="1"/>
  <c r="CQ61" i="8"/>
  <c r="K61" i="8" s="1"/>
  <c r="CQ7" i="8"/>
  <c r="K7" i="8" s="1"/>
  <c r="CQ11" i="8"/>
  <c r="K11" i="8" s="1"/>
  <c r="CQ81" i="8"/>
  <c r="K81" i="8" s="1"/>
  <c r="CQ67" i="8"/>
  <c r="K67" i="8" s="1"/>
  <c r="CQ25" i="8"/>
  <c r="K25" i="8" s="1"/>
  <c r="CQ65" i="8"/>
  <c r="K65" i="8" s="1"/>
  <c r="CQ71" i="8"/>
  <c r="K71" i="8" s="1"/>
  <c r="CQ13" i="8"/>
  <c r="CQ75" i="8"/>
  <c r="K75" i="8" s="1"/>
  <c r="CQ77" i="8"/>
  <c r="K77" i="8" s="1"/>
  <c r="CQ31" i="8"/>
  <c r="K31" i="8" s="1"/>
  <c r="CQ57" i="8"/>
  <c r="K57" i="8" s="1"/>
  <c r="CQ55" i="8"/>
  <c r="K55" i="8" s="1"/>
  <c r="CQ63" i="8"/>
  <c r="CQ29" i="8"/>
  <c r="K29" i="8" s="1"/>
  <c r="CQ33" i="8"/>
  <c r="CQ73" i="8"/>
  <c r="K73" i="8" s="1"/>
  <c r="CQ5" i="8"/>
  <c r="K5" i="8" s="1"/>
  <c r="CQ83" i="8"/>
  <c r="K83" i="8" s="1"/>
  <c r="CQ27" i="8"/>
  <c r="K27" i="8" s="1"/>
  <c r="CP61" i="6"/>
  <c r="J61" i="6" s="1"/>
  <c r="CP53" i="6"/>
  <c r="CP63" i="6"/>
  <c r="CP55" i="6"/>
  <c r="J55" i="6" s="1"/>
  <c r="CP57" i="6"/>
  <c r="J57" i="6" s="1"/>
  <c r="CP49" i="6"/>
  <c r="J49" i="6" s="1"/>
  <c r="CP41" i="6"/>
  <c r="J41" i="6" s="1"/>
  <c r="CP47" i="6"/>
  <c r="J47" i="6" s="1"/>
  <c r="CP45" i="6"/>
  <c r="J45" i="6" s="1"/>
  <c r="CP31" i="6"/>
  <c r="J31" i="6" s="1"/>
  <c r="CP23" i="6"/>
  <c r="J23" i="6" s="1"/>
  <c r="CP15" i="6"/>
  <c r="J15" i="6" s="1"/>
  <c r="CP59" i="6"/>
  <c r="J59" i="6" s="1"/>
  <c r="CP33" i="6"/>
  <c r="CP25" i="6"/>
  <c r="J25" i="6" s="1"/>
  <c r="CP17" i="6"/>
  <c r="J17" i="6" s="1"/>
  <c r="CP39" i="6"/>
  <c r="J39" i="6" s="1"/>
  <c r="CP35" i="6"/>
  <c r="J35" i="6" s="1"/>
  <c r="CP27" i="6"/>
  <c r="J27" i="6" s="1"/>
  <c r="CP19" i="6"/>
  <c r="J19" i="6" s="1"/>
  <c r="CP11" i="6"/>
  <c r="J11" i="6" s="1"/>
  <c r="CP7" i="6"/>
  <c r="J7" i="6" s="1"/>
  <c r="CP5" i="6"/>
  <c r="J5" i="6" s="1"/>
  <c r="CP43" i="6"/>
  <c r="CP37" i="6"/>
  <c r="J37" i="6" s="1"/>
  <c r="CP21" i="6"/>
  <c r="J21" i="6" s="1"/>
  <c r="CP9" i="6"/>
  <c r="J9" i="6" s="1"/>
  <c r="CP51" i="6"/>
  <c r="J51" i="6" s="1"/>
  <c r="CP29" i="6"/>
  <c r="J29" i="6" s="1"/>
  <c r="CP13" i="6"/>
  <c r="J13" i="6" s="1"/>
  <c r="L3" i="8"/>
  <c r="K3" i="7"/>
  <c r="K3" i="6"/>
  <c r="J104" i="7"/>
  <c r="J108" i="8"/>
  <c r="J110" i="8"/>
  <c r="J106" i="7"/>
  <c r="J46" i="6"/>
  <c r="K30" i="8"/>
  <c r="K36" i="5"/>
  <c r="K20" i="8"/>
  <c r="J50" i="7"/>
  <c r="K4" i="8"/>
  <c r="K10" i="8"/>
  <c r="J50" i="6"/>
  <c r="J10" i="7"/>
  <c r="J54" i="6"/>
  <c r="K20" i="5"/>
  <c r="J58" i="6"/>
  <c r="J60" i="7"/>
  <c r="K28" i="5"/>
  <c r="J16" i="7"/>
  <c r="J26" i="6"/>
  <c r="J38" i="7"/>
  <c r="K28" i="8"/>
  <c r="J28" i="6"/>
  <c r="J6" i="7"/>
  <c r="J54" i="7"/>
  <c r="K44" i="8"/>
  <c r="K108" i="5"/>
  <c r="J106" i="8"/>
  <c r="J104" i="8"/>
  <c r="K6" i="5"/>
  <c r="K56" i="8"/>
  <c r="K10" i="5"/>
  <c r="K58" i="8"/>
  <c r="J60" i="6"/>
  <c r="J20" i="6"/>
  <c r="J44" i="6"/>
  <c r="J8" i="7"/>
  <c r="J56" i="6"/>
  <c r="K18" i="8"/>
  <c r="K24" i="8"/>
  <c r="K58" i="5"/>
  <c r="K34" i="5"/>
  <c r="K18" i="5"/>
  <c r="K54" i="5"/>
  <c r="J40" i="7"/>
  <c r="J28" i="7"/>
  <c r="J24" i="6"/>
  <c r="J38" i="6"/>
  <c r="J24" i="7"/>
  <c r="K34" i="8"/>
  <c r="K40" i="8"/>
  <c r="J110" i="7"/>
  <c r="K104" i="5"/>
  <c r="K106" i="5"/>
  <c r="J56" i="7"/>
  <c r="K38" i="5"/>
  <c r="K8" i="5"/>
  <c r="K36" i="8"/>
  <c r="K14" i="5"/>
  <c r="K74" i="5"/>
  <c r="K54" i="8"/>
  <c r="J58" i="7"/>
  <c r="K16" i="5"/>
  <c r="J18" i="7"/>
  <c r="J4" i="6"/>
  <c r="K26" i="8"/>
  <c r="J48" i="6"/>
  <c r="J36" i="7"/>
  <c r="J44" i="7"/>
  <c r="K24" i="5"/>
  <c r="J48" i="7"/>
  <c r="K4" i="5"/>
  <c r="J40" i="6"/>
  <c r="J4" i="7"/>
  <c r="K6" i="8"/>
  <c r="J108" i="7"/>
  <c r="K110" i="5"/>
  <c r="K60" i="5"/>
  <c r="K8" i="8"/>
  <c r="K64" i="5"/>
  <c r="J34" i="6"/>
  <c r="K46" i="8"/>
  <c r="J18" i="6"/>
  <c r="K16" i="8"/>
  <c r="K38" i="8"/>
  <c r="K48" i="8"/>
  <c r="J14" i="6"/>
  <c r="K40" i="5"/>
  <c r="J20" i="7"/>
  <c r="K30" i="5"/>
  <c r="K44" i="5"/>
  <c r="J30" i="6"/>
  <c r="J36" i="6"/>
  <c r="J30" i="7"/>
  <c r="K48" i="5"/>
  <c r="J10" i="6"/>
  <c r="K70" i="5"/>
  <c r="K50" i="5"/>
  <c r="K46" i="5"/>
  <c r="J46" i="7"/>
  <c r="K68" i="5"/>
  <c r="J8" i="6"/>
  <c r="J14" i="7"/>
  <c r="K56" i="5"/>
  <c r="J16" i="6"/>
  <c r="J34" i="7"/>
  <c r="K50" i="8"/>
  <c r="K14" i="8"/>
  <c r="K26" i="5"/>
  <c r="K60" i="8"/>
  <c r="J6" i="6"/>
  <c r="J26" i="7"/>
  <c r="K66" i="5"/>
  <c r="CQ119" i="6" l="1"/>
  <c r="CQ121" i="6"/>
  <c r="CQ117" i="6"/>
  <c r="CQ105" i="6"/>
  <c r="CQ107" i="6"/>
  <c r="CQ113" i="6"/>
  <c r="CQ65" i="6"/>
  <c r="CQ109" i="6"/>
  <c r="CQ123" i="6"/>
  <c r="CQ111" i="6"/>
  <c r="CQ69" i="6"/>
  <c r="CQ71" i="6"/>
  <c r="CQ75" i="6"/>
  <c r="CQ79" i="6"/>
  <c r="CQ83" i="6"/>
  <c r="CQ115" i="6"/>
  <c r="CQ73" i="6"/>
  <c r="CQ77" i="6"/>
  <c r="CQ95" i="6"/>
  <c r="CQ101" i="6"/>
  <c r="CQ97" i="6"/>
  <c r="CQ99" i="6"/>
  <c r="CQ103" i="6"/>
  <c r="CQ67" i="6"/>
  <c r="CQ91" i="6"/>
  <c r="CQ85" i="6"/>
  <c r="CQ93" i="6"/>
  <c r="CQ87" i="6"/>
  <c r="CQ89" i="6"/>
  <c r="CQ81" i="6"/>
  <c r="CQ113" i="7"/>
  <c r="K113" i="7" s="1"/>
  <c r="CQ69" i="7"/>
  <c r="K69" i="7" s="1"/>
  <c r="CQ111" i="7"/>
  <c r="K111" i="7" s="1"/>
  <c r="CQ109" i="7"/>
  <c r="K109" i="7" s="1"/>
  <c r="CQ73" i="7"/>
  <c r="K73" i="7" s="1"/>
  <c r="CQ107" i="7"/>
  <c r="K107" i="7" s="1"/>
  <c r="CQ105" i="7"/>
  <c r="K105" i="7" s="1"/>
  <c r="CQ21" i="7"/>
  <c r="K21" i="7" s="1"/>
  <c r="CQ17" i="7"/>
  <c r="K17" i="7" s="1"/>
  <c r="CQ71" i="7"/>
  <c r="K71" i="7" s="1"/>
  <c r="CQ15" i="7"/>
  <c r="K15" i="7" s="1"/>
  <c r="CQ23" i="7"/>
  <c r="K23" i="7" s="1"/>
  <c r="CQ93" i="7"/>
  <c r="K93" i="7" s="1"/>
  <c r="CQ85" i="7"/>
  <c r="K85" i="7" s="1"/>
  <c r="CQ87" i="7"/>
  <c r="CQ89" i="7"/>
  <c r="K89" i="7" s="1"/>
  <c r="CQ67" i="7"/>
  <c r="CQ65" i="7"/>
  <c r="K65" i="7" s="1"/>
  <c r="CQ117" i="7"/>
  <c r="K117" i="7" s="1"/>
  <c r="CQ31" i="7"/>
  <c r="K31" i="7" s="1"/>
  <c r="CQ51" i="7"/>
  <c r="K51" i="7" s="1"/>
  <c r="CQ49" i="7"/>
  <c r="K49" i="7" s="1"/>
  <c r="CQ97" i="7"/>
  <c r="K97" i="7" s="1"/>
  <c r="CQ95" i="7"/>
  <c r="K95" i="7" s="1"/>
  <c r="CQ91" i="7"/>
  <c r="K91" i="7" s="1"/>
  <c r="CQ115" i="7"/>
  <c r="K115" i="7" s="1"/>
  <c r="CQ29" i="7"/>
  <c r="K29" i="7" s="1"/>
  <c r="CQ47" i="7"/>
  <c r="K47" i="7" s="1"/>
  <c r="CQ99" i="7"/>
  <c r="K99" i="7" s="1"/>
  <c r="CQ103" i="7"/>
  <c r="CQ19" i="7"/>
  <c r="K19" i="7" s="1"/>
  <c r="CQ123" i="7"/>
  <c r="K123" i="7" s="1"/>
  <c r="CQ121" i="7"/>
  <c r="K121" i="7" s="1"/>
  <c r="CQ27" i="7"/>
  <c r="K27" i="7" s="1"/>
  <c r="CQ25" i="7"/>
  <c r="K25" i="7" s="1"/>
  <c r="CQ45" i="7"/>
  <c r="K45" i="7" s="1"/>
  <c r="CQ33" i="7"/>
  <c r="K33" i="7" s="1"/>
  <c r="CQ101" i="7"/>
  <c r="K101" i="7" s="1"/>
  <c r="CQ53" i="7"/>
  <c r="K53" i="7" s="1"/>
  <c r="CQ43" i="7"/>
  <c r="K43" i="7" s="1"/>
  <c r="CQ41" i="7"/>
  <c r="K41" i="7" s="1"/>
  <c r="CQ11" i="7"/>
  <c r="K11" i="7" s="1"/>
  <c r="CQ9" i="7"/>
  <c r="K9" i="7" s="1"/>
  <c r="CQ39" i="7"/>
  <c r="K39" i="7" s="1"/>
  <c r="CQ7" i="7"/>
  <c r="K7" i="7" s="1"/>
  <c r="CQ83" i="7"/>
  <c r="K83" i="7" s="1"/>
  <c r="CQ37" i="7"/>
  <c r="K37" i="7" s="1"/>
  <c r="CQ5" i="7"/>
  <c r="K5" i="7" s="1"/>
  <c r="CQ63" i="7"/>
  <c r="K63" i="7" s="1"/>
  <c r="CQ75" i="7"/>
  <c r="K75" i="7" s="1"/>
  <c r="CQ77" i="7"/>
  <c r="K77" i="7" s="1"/>
  <c r="CQ55" i="7"/>
  <c r="K55" i="7" s="1"/>
  <c r="CQ61" i="7"/>
  <c r="K61" i="7" s="1"/>
  <c r="CQ57" i="7"/>
  <c r="K57" i="7" s="1"/>
  <c r="CQ119" i="7"/>
  <c r="K119" i="7" s="1"/>
  <c r="CQ35" i="7"/>
  <c r="K35" i="7" s="1"/>
  <c r="CQ13" i="7"/>
  <c r="K13" i="7" s="1"/>
  <c r="CQ81" i="7"/>
  <c r="K81" i="7" s="1"/>
  <c r="CQ79" i="7"/>
  <c r="K79" i="7" s="1"/>
  <c r="CQ59" i="7"/>
  <c r="K59" i="7" s="1"/>
  <c r="K67" i="7"/>
  <c r="K103" i="7"/>
  <c r="K87" i="7"/>
  <c r="K111" i="8"/>
  <c r="K115" i="8"/>
  <c r="K23" i="8"/>
  <c r="K95" i="8"/>
  <c r="K101" i="8"/>
  <c r="K121" i="8"/>
  <c r="K33" i="5"/>
  <c r="K33" i="8"/>
  <c r="K13" i="8"/>
  <c r="K113" i="8"/>
  <c r="K97" i="8"/>
  <c r="K119" i="8"/>
  <c r="K43" i="5"/>
  <c r="J33" i="6"/>
  <c r="K105" i="8"/>
  <c r="J63" i="6"/>
  <c r="K53" i="8"/>
  <c r="K99" i="8"/>
  <c r="J43" i="6"/>
  <c r="J53" i="6"/>
  <c r="K63" i="8"/>
  <c r="K109" i="8"/>
  <c r="K43" i="8"/>
  <c r="K107" i="8"/>
  <c r="K123" i="8"/>
  <c r="K117" i="8"/>
  <c r="K103" i="8"/>
  <c r="K63" i="5"/>
  <c r="K53" i="5"/>
  <c r="M3" i="5"/>
  <c r="CR107" i="5"/>
  <c r="L107" i="5" s="1"/>
  <c r="CR111" i="5"/>
  <c r="L111" i="5" s="1"/>
  <c r="CR73" i="5"/>
  <c r="L73" i="5" s="1"/>
  <c r="CR69" i="5"/>
  <c r="L69" i="5" s="1"/>
  <c r="CR65" i="5"/>
  <c r="L65" i="5" s="1"/>
  <c r="CR81" i="5"/>
  <c r="L81" i="5" s="1"/>
  <c r="CR77" i="5"/>
  <c r="L77" i="5" s="1"/>
  <c r="CR105" i="5"/>
  <c r="L105" i="5" s="1"/>
  <c r="CR113" i="5"/>
  <c r="L113" i="5" s="1"/>
  <c r="CR109" i="5"/>
  <c r="L109" i="5" s="1"/>
  <c r="CR71" i="5"/>
  <c r="L71" i="5" s="1"/>
  <c r="CR67" i="5"/>
  <c r="L67" i="5" s="1"/>
  <c r="CR25" i="5"/>
  <c r="L25" i="5" s="1"/>
  <c r="CR63" i="5"/>
  <c r="CR59" i="5"/>
  <c r="L59" i="5" s="1"/>
  <c r="CR55" i="5"/>
  <c r="L55" i="5" s="1"/>
  <c r="CR13" i="5"/>
  <c r="L13" i="5" s="1"/>
  <c r="CR5" i="5"/>
  <c r="L5" i="5" s="1"/>
  <c r="CR43" i="5"/>
  <c r="CR39" i="5"/>
  <c r="L39" i="5" s="1"/>
  <c r="CR35" i="5"/>
  <c r="L35" i="5" s="1"/>
  <c r="CR21" i="5"/>
  <c r="L21" i="5" s="1"/>
  <c r="CR17" i="5"/>
  <c r="L17" i="5" s="1"/>
  <c r="CR23" i="5"/>
  <c r="L23" i="5" s="1"/>
  <c r="CR103" i="5"/>
  <c r="L103" i="5" s="1"/>
  <c r="CR99" i="5"/>
  <c r="L99" i="5" s="1"/>
  <c r="CR95" i="5"/>
  <c r="L95" i="5" s="1"/>
  <c r="CR37" i="5"/>
  <c r="L37" i="5" s="1"/>
  <c r="CR15" i="5"/>
  <c r="L15" i="5" s="1"/>
  <c r="CR33" i="5"/>
  <c r="CR29" i="5"/>
  <c r="L29" i="5" s="1"/>
  <c r="CR61" i="5"/>
  <c r="L61" i="5" s="1"/>
  <c r="CR57" i="5"/>
  <c r="L57" i="5" s="1"/>
  <c r="CR7" i="5"/>
  <c r="L7" i="5" s="1"/>
  <c r="CR11" i="5"/>
  <c r="L11" i="5" s="1"/>
  <c r="CR117" i="5"/>
  <c r="L117" i="5" s="1"/>
  <c r="CR123" i="5"/>
  <c r="L123" i="5" s="1"/>
  <c r="CR93" i="5"/>
  <c r="L93" i="5" s="1"/>
  <c r="CR89" i="5"/>
  <c r="L89" i="5" s="1"/>
  <c r="CR85" i="5"/>
  <c r="L85" i="5" s="1"/>
  <c r="CR9" i="5"/>
  <c r="L9" i="5" s="1"/>
  <c r="CR19" i="5"/>
  <c r="L19" i="5" s="1"/>
  <c r="CR101" i="5"/>
  <c r="L101" i="5" s="1"/>
  <c r="CR97" i="5"/>
  <c r="L97" i="5" s="1"/>
  <c r="CR83" i="5"/>
  <c r="L83" i="5" s="1"/>
  <c r="CR27" i="5"/>
  <c r="L27" i="5" s="1"/>
  <c r="CR79" i="5"/>
  <c r="L79" i="5" s="1"/>
  <c r="CR31" i="5"/>
  <c r="L31" i="5" s="1"/>
  <c r="CR115" i="5"/>
  <c r="L115" i="5" s="1"/>
  <c r="CR91" i="5"/>
  <c r="L91" i="5" s="1"/>
  <c r="CR87" i="5"/>
  <c r="L87" i="5" s="1"/>
  <c r="CR75" i="5"/>
  <c r="L75" i="5" s="1"/>
  <c r="CR41" i="5"/>
  <c r="L41" i="5" s="1"/>
  <c r="CR121" i="5"/>
  <c r="L121" i="5" s="1"/>
  <c r="CR53" i="5"/>
  <c r="CR49" i="5"/>
  <c r="L49" i="5" s="1"/>
  <c r="CR45" i="5"/>
  <c r="L45" i="5" s="1"/>
  <c r="CR119" i="5"/>
  <c r="L119" i="5" s="1"/>
  <c r="CR51" i="5"/>
  <c r="L51" i="5" s="1"/>
  <c r="CR47" i="5"/>
  <c r="L47" i="5" s="1"/>
  <c r="CR97" i="8"/>
  <c r="CR101" i="8"/>
  <c r="CR95" i="8"/>
  <c r="CR123" i="8"/>
  <c r="CR121" i="8"/>
  <c r="CR115" i="8"/>
  <c r="CR117" i="8"/>
  <c r="CR103" i="8"/>
  <c r="CR119" i="8"/>
  <c r="CR99" i="8"/>
  <c r="CR51" i="8"/>
  <c r="L51" i="8" s="1"/>
  <c r="CR53" i="8"/>
  <c r="CR45" i="8"/>
  <c r="L45" i="8" s="1"/>
  <c r="CR91" i="8"/>
  <c r="L91" i="8" s="1"/>
  <c r="CR109" i="8"/>
  <c r="CR21" i="8"/>
  <c r="L21" i="8" s="1"/>
  <c r="CR17" i="8"/>
  <c r="L17" i="8" s="1"/>
  <c r="CR71" i="8"/>
  <c r="L71" i="8" s="1"/>
  <c r="CR57" i="8"/>
  <c r="L57" i="8" s="1"/>
  <c r="CR11" i="8"/>
  <c r="L11" i="8" s="1"/>
  <c r="CR5" i="8"/>
  <c r="L5" i="8" s="1"/>
  <c r="CR81" i="8"/>
  <c r="L81" i="8" s="1"/>
  <c r="CR37" i="8"/>
  <c r="L37" i="8" s="1"/>
  <c r="CR35" i="8"/>
  <c r="L35" i="8" s="1"/>
  <c r="CR89" i="8"/>
  <c r="L89" i="8" s="1"/>
  <c r="CR87" i="8"/>
  <c r="L87" i="8" s="1"/>
  <c r="CR105" i="8"/>
  <c r="CR107" i="8"/>
  <c r="CR19" i="8"/>
  <c r="L19" i="8" s="1"/>
  <c r="CR39" i="8"/>
  <c r="L39" i="8" s="1"/>
  <c r="CR85" i="8"/>
  <c r="L85" i="8" s="1"/>
  <c r="CR113" i="8"/>
  <c r="CR15" i="8"/>
  <c r="L15" i="8" s="1"/>
  <c r="CR47" i="8"/>
  <c r="L47" i="8" s="1"/>
  <c r="CR49" i="8"/>
  <c r="L49" i="8" s="1"/>
  <c r="CR43" i="8"/>
  <c r="CR41" i="8"/>
  <c r="L41" i="8" s="1"/>
  <c r="CR93" i="8"/>
  <c r="L93" i="8" s="1"/>
  <c r="CR111" i="8"/>
  <c r="CR23" i="8"/>
  <c r="CR13" i="8"/>
  <c r="CR83" i="8"/>
  <c r="L83" i="8" s="1"/>
  <c r="CR69" i="8"/>
  <c r="L69" i="8" s="1"/>
  <c r="CR73" i="8"/>
  <c r="L73" i="8" s="1"/>
  <c r="CR75" i="8"/>
  <c r="L75" i="8" s="1"/>
  <c r="CR79" i="8"/>
  <c r="L79" i="8" s="1"/>
  <c r="CR31" i="8"/>
  <c r="L31" i="8" s="1"/>
  <c r="CR27" i="8"/>
  <c r="L27" i="8" s="1"/>
  <c r="CR67" i="8"/>
  <c r="L67" i="8" s="1"/>
  <c r="CR61" i="8"/>
  <c r="L61" i="8" s="1"/>
  <c r="CR77" i="8"/>
  <c r="L77" i="8" s="1"/>
  <c r="CR25" i="8"/>
  <c r="L25" i="8" s="1"/>
  <c r="CR33" i="8"/>
  <c r="CR59" i="8"/>
  <c r="L59" i="8" s="1"/>
  <c r="CR63" i="8"/>
  <c r="CR29" i="8"/>
  <c r="L29" i="8" s="1"/>
  <c r="CR65" i="8"/>
  <c r="L65" i="8" s="1"/>
  <c r="CR55" i="8"/>
  <c r="L55" i="8" s="1"/>
  <c r="CR7" i="8"/>
  <c r="L7" i="8" s="1"/>
  <c r="CR9" i="8"/>
  <c r="L9" i="8" s="1"/>
  <c r="CQ63" i="6"/>
  <c r="CQ55" i="6"/>
  <c r="K55" i="6" s="1"/>
  <c r="CQ57" i="6"/>
  <c r="K57" i="6" s="1"/>
  <c r="CQ59" i="6"/>
  <c r="K59" i="6" s="1"/>
  <c r="CQ51" i="6"/>
  <c r="K51" i="6" s="1"/>
  <c r="CQ43" i="6"/>
  <c r="CQ61" i="6"/>
  <c r="K61" i="6" s="1"/>
  <c r="CQ49" i="6"/>
  <c r="K49" i="6" s="1"/>
  <c r="CQ33" i="6"/>
  <c r="CQ25" i="6"/>
  <c r="K25" i="6" s="1"/>
  <c r="CQ17" i="6"/>
  <c r="K17" i="6" s="1"/>
  <c r="CQ39" i="6"/>
  <c r="K39" i="6" s="1"/>
  <c r="CQ35" i="6"/>
  <c r="K35" i="6" s="1"/>
  <c r="CQ27" i="6"/>
  <c r="K27" i="6" s="1"/>
  <c r="CQ19" i="6"/>
  <c r="K19" i="6" s="1"/>
  <c r="CQ53" i="6"/>
  <c r="CQ41" i="6"/>
  <c r="K41" i="6" s="1"/>
  <c r="CQ37" i="6"/>
  <c r="K37" i="6" s="1"/>
  <c r="CQ29" i="6"/>
  <c r="K29" i="6" s="1"/>
  <c r="CQ21" i="6"/>
  <c r="K21" i="6" s="1"/>
  <c r="CQ13" i="6"/>
  <c r="K13" i="6" s="1"/>
  <c r="CQ23" i="6"/>
  <c r="K23" i="6" s="1"/>
  <c r="CQ9" i="6"/>
  <c r="K9" i="6" s="1"/>
  <c r="CQ47" i="6"/>
  <c r="K47" i="6" s="1"/>
  <c r="CQ15" i="6"/>
  <c r="K15" i="6" s="1"/>
  <c r="CQ11" i="6"/>
  <c r="K11" i="6" s="1"/>
  <c r="CQ45" i="6"/>
  <c r="K45" i="6" s="1"/>
  <c r="CQ31" i="6"/>
  <c r="K31" i="6" s="1"/>
  <c r="CQ5" i="6"/>
  <c r="K5" i="6" s="1"/>
  <c r="CQ7" i="6"/>
  <c r="K7" i="6" s="1"/>
  <c r="M3" i="8"/>
  <c r="L3" i="7"/>
  <c r="L3" i="6"/>
  <c r="K104" i="8"/>
  <c r="K110" i="7"/>
  <c r="K108" i="8"/>
  <c r="K26" i="6"/>
  <c r="K26" i="7"/>
  <c r="K8" i="7"/>
  <c r="K46" i="6"/>
  <c r="L56" i="8"/>
  <c r="K18" i="7"/>
  <c r="L10" i="5"/>
  <c r="L66" i="5"/>
  <c r="K48" i="7"/>
  <c r="K38" i="7"/>
  <c r="K50" i="7"/>
  <c r="K44" i="6"/>
  <c r="K58" i="7"/>
  <c r="K14" i="6"/>
  <c r="L40" i="5"/>
  <c r="L24" i="5"/>
  <c r="L26" i="8"/>
  <c r="L46" i="8"/>
  <c r="K28" i="7"/>
  <c r="K44" i="7"/>
  <c r="K38" i="6"/>
  <c r="L34" i="8"/>
  <c r="K4" i="6"/>
  <c r="L106" i="5"/>
  <c r="K106" i="8"/>
  <c r="K104" i="7"/>
  <c r="L104" i="5"/>
  <c r="L38" i="8"/>
  <c r="L70" i="5"/>
  <c r="K8" i="6"/>
  <c r="L8" i="5"/>
  <c r="K40" i="6"/>
  <c r="L60" i="8"/>
  <c r="K60" i="7"/>
  <c r="K24" i="6"/>
  <c r="L6" i="8"/>
  <c r="K56" i="6"/>
  <c r="K36" i="7"/>
  <c r="L10" i="8"/>
  <c r="K6" i="6"/>
  <c r="L28" i="5"/>
  <c r="K34" i="6"/>
  <c r="K20" i="6"/>
  <c r="L74" i="5"/>
  <c r="L30" i="8"/>
  <c r="K106" i="7"/>
  <c r="L110" i="5"/>
  <c r="L50" i="8"/>
  <c r="L16" i="8"/>
  <c r="L64" i="5"/>
  <c r="K58" i="6"/>
  <c r="L58" i="5"/>
  <c r="L18" i="8"/>
  <c r="K10" i="7"/>
  <c r="L6" i="5"/>
  <c r="K16" i="7"/>
  <c r="L8" i="8"/>
  <c r="K10" i="6"/>
  <c r="K56" i="7"/>
  <c r="K14" i="7"/>
  <c r="L26" i="5"/>
  <c r="L14" i="5"/>
  <c r="L38" i="5"/>
  <c r="L14" i="8"/>
  <c r="K46" i="7"/>
  <c r="K20" i="7"/>
  <c r="L30" i="5"/>
  <c r="K36" i="6"/>
  <c r="K110" i="8"/>
  <c r="L108" i="5"/>
  <c r="K108" i="7"/>
  <c r="L44" i="8"/>
  <c r="L20" i="5"/>
  <c r="L20" i="8"/>
  <c r="K6" i="7"/>
  <c r="L56" i="5"/>
  <c r="L36" i="5"/>
  <c r="K30" i="6"/>
  <c r="K54" i="6"/>
  <c r="L54" i="8"/>
  <c r="L4" i="8"/>
  <c r="L34" i="5"/>
  <c r="L46" i="5"/>
  <c r="K4" i="7"/>
  <c r="L48" i="8"/>
  <c r="K24" i="7"/>
  <c r="K30" i="7"/>
  <c r="L36" i="8"/>
  <c r="L58" i="8"/>
  <c r="K60" i="6"/>
  <c r="L68" i="5"/>
  <c r="K54" i="7"/>
  <c r="K48" i="6"/>
  <c r="L28" i="8"/>
  <c r="K18" i="6"/>
  <c r="K40" i="7"/>
  <c r="L48" i="5"/>
  <c r="L16" i="5"/>
  <c r="L40" i="8"/>
  <c r="K50" i="6"/>
  <c r="L24" i="8"/>
  <c r="L18" i="5"/>
  <c r="K16" i="6"/>
  <c r="L44" i="5"/>
  <c r="L50" i="5"/>
  <c r="L60" i="5"/>
  <c r="K34" i="7"/>
  <c r="K28" i="6"/>
  <c r="L54" i="5"/>
  <c r="L4" i="5"/>
  <c r="CR119" i="6" l="1"/>
  <c r="CR107" i="6"/>
  <c r="CR115" i="6"/>
  <c r="CR117" i="6"/>
  <c r="CR121" i="6"/>
  <c r="CR105" i="6"/>
  <c r="CR109" i="6"/>
  <c r="CR65" i="6"/>
  <c r="CR111" i="6"/>
  <c r="CR67" i="6"/>
  <c r="CR69" i="6"/>
  <c r="CR73" i="6"/>
  <c r="CR71" i="6"/>
  <c r="CR75" i="6"/>
  <c r="CR79" i="6"/>
  <c r="CR81" i="6"/>
  <c r="CR97" i="6"/>
  <c r="CR123" i="6"/>
  <c r="CR113" i="6"/>
  <c r="CR77" i="6"/>
  <c r="CR83" i="6"/>
  <c r="CR95" i="6"/>
  <c r="CR91" i="6"/>
  <c r="CR93" i="6"/>
  <c r="CR89" i="6"/>
  <c r="CR103" i="6"/>
  <c r="CR99" i="6"/>
  <c r="CR101" i="6"/>
  <c r="CR87" i="6"/>
  <c r="CR85" i="6"/>
  <c r="CR105" i="7"/>
  <c r="L105" i="7" s="1"/>
  <c r="CR111" i="7"/>
  <c r="L111" i="7" s="1"/>
  <c r="CR109" i="7"/>
  <c r="L109" i="7" s="1"/>
  <c r="CR107" i="7"/>
  <c r="L107" i="7" s="1"/>
  <c r="CR113" i="7"/>
  <c r="L113" i="7" s="1"/>
  <c r="CR87" i="7"/>
  <c r="L87" i="7" s="1"/>
  <c r="CR65" i="7"/>
  <c r="L65" i="7" s="1"/>
  <c r="CR19" i="7"/>
  <c r="L19" i="7" s="1"/>
  <c r="CR73" i="7"/>
  <c r="L73" i="7" s="1"/>
  <c r="CR85" i="7"/>
  <c r="CR23" i="7"/>
  <c r="L23" i="7" s="1"/>
  <c r="CR93" i="7"/>
  <c r="L93" i="7" s="1"/>
  <c r="CR69" i="7"/>
  <c r="L69" i="7" s="1"/>
  <c r="CR67" i="7"/>
  <c r="L67" i="7" s="1"/>
  <c r="CR17" i="7"/>
  <c r="L17" i="7" s="1"/>
  <c r="CR21" i="7"/>
  <c r="L21" i="7" s="1"/>
  <c r="CR89" i="7"/>
  <c r="L89" i="7" s="1"/>
  <c r="CR15" i="7"/>
  <c r="L15" i="7" s="1"/>
  <c r="CR71" i="7"/>
  <c r="L71" i="7" s="1"/>
  <c r="CR119" i="7"/>
  <c r="L119" i="7" s="1"/>
  <c r="CR33" i="7"/>
  <c r="L33" i="7" s="1"/>
  <c r="CR53" i="7"/>
  <c r="L53" i="7" s="1"/>
  <c r="CR51" i="7"/>
  <c r="L51" i="7" s="1"/>
  <c r="CR103" i="7"/>
  <c r="L103" i="7" s="1"/>
  <c r="CR99" i="7"/>
  <c r="L99" i="7" s="1"/>
  <c r="CR97" i="7"/>
  <c r="L97" i="7" s="1"/>
  <c r="CR117" i="7"/>
  <c r="L117" i="7" s="1"/>
  <c r="CR115" i="7"/>
  <c r="L115" i="7" s="1"/>
  <c r="CR31" i="7"/>
  <c r="L31" i="7" s="1"/>
  <c r="CR49" i="7"/>
  <c r="L49" i="7" s="1"/>
  <c r="CR101" i="7"/>
  <c r="L101" i="7" s="1"/>
  <c r="CR123" i="7"/>
  <c r="L123" i="7" s="1"/>
  <c r="CR29" i="7"/>
  <c r="L29" i="7" s="1"/>
  <c r="CR27" i="7"/>
  <c r="L27" i="7" s="1"/>
  <c r="CR47" i="7"/>
  <c r="L47" i="7" s="1"/>
  <c r="CR121" i="7"/>
  <c r="L121" i="7" s="1"/>
  <c r="CR77" i="7"/>
  <c r="L77" i="7" s="1"/>
  <c r="CR79" i="7"/>
  <c r="L79" i="7" s="1"/>
  <c r="CR81" i="7"/>
  <c r="L81" i="7" s="1"/>
  <c r="CR43" i="7"/>
  <c r="L43" i="7" s="1"/>
  <c r="CR13" i="7"/>
  <c r="L13" i="7" s="1"/>
  <c r="CR11" i="7"/>
  <c r="L11" i="7" s="1"/>
  <c r="CR59" i="7"/>
  <c r="L59" i="7" s="1"/>
  <c r="CR25" i="7"/>
  <c r="L25" i="7" s="1"/>
  <c r="CR95" i="7"/>
  <c r="L95" i="7" s="1"/>
  <c r="CR75" i="7"/>
  <c r="L75" i="7" s="1"/>
  <c r="CR41" i="7"/>
  <c r="L41" i="7" s="1"/>
  <c r="CR9" i="7"/>
  <c r="L9" i="7" s="1"/>
  <c r="CR91" i="7"/>
  <c r="L91" i="7" s="1"/>
  <c r="CR45" i="7"/>
  <c r="L45" i="7" s="1"/>
  <c r="CR39" i="7"/>
  <c r="L39" i="7" s="1"/>
  <c r="CR7" i="7"/>
  <c r="L7" i="7" s="1"/>
  <c r="CR83" i="7"/>
  <c r="L83" i="7" s="1"/>
  <c r="CR55" i="7"/>
  <c r="L55" i="7" s="1"/>
  <c r="CR61" i="7"/>
  <c r="L61" i="7" s="1"/>
  <c r="CR57" i="7"/>
  <c r="L57" i="7" s="1"/>
  <c r="CR37" i="7"/>
  <c r="L37" i="7" s="1"/>
  <c r="CR35" i="7"/>
  <c r="L35" i="7" s="1"/>
  <c r="CR5" i="7"/>
  <c r="L5" i="7" s="1"/>
  <c r="CR63" i="7"/>
  <c r="L63" i="7" s="1"/>
  <c r="L85" i="7"/>
  <c r="L33" i="5"/>
  <c r="L63" i="5"/>
  <c r="K53" i="6"/>
  <c r="L115" i="8"/>
  <c r="L33" i="8"/>
  <c r="L13" i="8"/>
  <c r="L119" i="8"/>
  <c r="L97" i="8"/>
  <c r="K33" i="6"/>
  <c r="K43" i="6"/>
  <c r="K63" i="6"/>
  <c r="L23" i="8"/>
  <c r="L43" i="8"/>
  <c r="L113" i="8"/>
  <c r="L107" i="8"/>
  <c r="L53" i="8"/>
  <c r="L103" i="8"/>
  <c r="L123" i="8"/>
  <c r="L99" i="8"/>
  <c r="L101" i="8"/>
  <c r="L121" i="8"/>
  <c r="L63" i="8"/>
  <c r="L111" i="8"/>
  <c r="L105" i="8"/>
  <c r="L109" i="8"/>
  <c r="L117" i="8"/>
  <c r="L95" i="8"/>
  <c r="L53" i="5"/>
  <c r="L43" i="5"/>
  <c r="AM30" i="8"/>
  <c r="AM28" i="8"/>
  <c r="AM24" i="8"/>
  <c r="AM26" i="8"/>
  <c r="AM6" i="5"/>
  <c r="AM4" i="5"/>
  <c r="AM10" i="5"/>
  <c r="AM8" i="5"/>
  <c r="AM28" i="5"/>
  <c r="AM24" i="5"/>
  <c r="AM30" i="5"/>
  <c r="AM26" i="5"/>
  <c r="N3" i="5"/>
  <c r="CS67" i="5"/>
  <c r="M67" i="5" s="1"/>
  <c r="CS107" i="5"/>
  <c r="M107" i="5" s="1"/>
  <c r="CS65" i="5"/>
  <c r="M65" i="5" s="1"/>
  <c r="CS71" i="5"/>
  <c r="M71" i="5" s="1"/>
  <c r="CS111" i="5"/>
  <c r="M111" i="5" s="1"/>
  <c r="CS113" i="5"/>
  <c r="M113" i="5" s="1"/>
  <c r="CS109" i="5"/>
  <c r="M109" i="5" s="1"/>
  <c r="CS105" i="5"/>
  <c r="M105" i="5" s="1"/>
  <c r="CS73" i="5"/>
  <c r="M73" i="5" s="1"/>
  <c r="CS81" i="5"/>
  <c r="M81" i="5" s="1"/>
  <c r="CS77" i="5"/>
  <c r="M77" i="5" s="1"/>
  <c r="CS83" i="5"/>
  <c r="M83" i="5" s="1"/>
  <c r="CS79" i="5"/>
  <c r="M79" i="5" s="1"/>
  <c r="CS31" i="5"/>
  <c r="M31" i="5" s="1"/>
  <c r="CS55" i="5"/>
  <c r="M55" i="5" s="1"/>
  <c r="CS61" i="5"/>
  <c r="M61" i="5" s="1"/>
  <c r="CS37" i="5"/>
  <c r="M37" i="5" s="1"/>
  <c r="CS35" i="5"/>
  <c r="M35" i="5" s="1"/>
  <c r="CS19" i="5"/>
  <c r="M19" i="5" s="1"/>
  <c r="CS21" i="5"/>
  <c r="M21" i="5" s="1"/>
  <c r="CS95" i="5"/>
  <c r="M95" i="5" s="1"/>
  <c r="CS101" i="5"/>
  <c r="M101" i="5" s="1"/>
  <c r="CS69" i="5"/>
  <c r="M69" i="5" s="1"/>
  <c r="CS59" i="5"/>
  <c r="M59" i="5" s="1"/>
  <c r="CS41" i="5"/>
  <c r="M41" i="5" s="1"/>
  <c r="CS39" i="5"/>
  <c r="M39" i="5" s="1"/>
  <c r="CS99" i="5"/>
  <c r="M99" i="5" s="1"/>
  <c r="CS25" i="5"/>
  <c r="M25" i="5" s="1"/>
  <c r="CS63" i="5"/>
  <c r="CS5" i="5"/>
  <c r="M5" i="5" s="1"/>
  <c r="CS43" i="5"/>
  <c r="CS23" i="5"/>
  <c r="M23" i="5" s="1"/>
  <c r="CS103" i="5"/>
  <c r="M103" i="5" s="1"/>
  <c r="CS75" i="5"/>
  <c r="M75" i="5" s="1"/>
  <c r="CS29" i="5"/>
  <c r="M29" i="5" s="1"/>
  <c r="CS15" i="5"/>
  <c r="M15" i="5" s="1"/>
  <c r="CS97" i="5"/>
  <c r="M97" i="5" s="1"/>
  <c r="CS123" i="5"/>
  <c r="M123" i="5" s="1"/>
  <c r="CS121" i="5"/>
  <c r="M121" i="5" s="1"/>
  <c r="CS49" i="5"/>
  <c r="M49" i="5" s="1"/>
  <c r="CS91" i="5"/>
  <c r="M91" i="5" s="1"/>
  <c r="CS85" i="5"/>
  <c r="M85" i="5" s="1"/>
  <c r="CS27" i="5"/>
  <c r="M27" i="5" s="1"/>
  <c r="CS57" i="5"/>
  <c r="M57" i="5" s="1"/>
  <c r="CS33" i="5"/>
  <c r="CS13" i="5"/>
  <c r="M13" i="5" s="1"/>
  <c r="CS17" i="5"/>
  <c r="M17" i="5" s="1"/>
  <c r="CS47" i="5"/>
  <c r="M47" i="5" s="1"/>
  <c r="CS93" i="5"/>
  <c r="M93" i="5" s="1"/>
  <c r="CS9" i="5"/>
  <c r="M9" i="5" s="1"/>
  <c r="CS119" i="5"/>
  <c r="M119" i="5" s="1"/>
  <c r="CS117" i="5"/>
  <c r="M117" i="5" s="1"/>
  <c r="CS51" i="5"/>
  <c r="M51" i="5" s="1"/>
  <c r="CS45" i="5"/>
  <c r="M45" i="5" s="1"/>
  <c r="CS87" i="5"/>
  <c r="M87" i="5" s="1"/>
  <c r="CS11" i="5"/>
  <c r="M11" i="5" s="1"/>
  <c r="CS7" i="5"/>
  <c r="M7" i="5" s="1"/>
  <c r="CS115" i="5"/>
  <c r="M115" i="5" s="1"/>
  <c r="CS53" i="5"/>
  <c r="CS89" i="5"/>
  <c r="M89" i="5" s="1"/>
  <c r="CS99" i="8"/>
  <c r="CS95" i="8"/>
  <c r="CS115" i="8"/>
  <c r="CS123" i="8"/>
  <c r="CS119" i="8"/>
  <c r="CS97" i="8"/>
  <c r="CS117" i="8"/>
  <c r="CS121" i="8"/>
  <c r="CS101" i="8"/>
  <c r="CS103" i="8"/>
  <c r="CS53" i="8"/>
  <c r="CS41" i="8"/>
  <c r="M41" i="8" s="1"/>
  <c r="CS93" i="8"/>
  <c r="M93" i="8" s="1"/>
  <c r="CS111" i="8"/>
  <c r="CS23" i="8"/>
  <c r="CS19" i="8"/>
  <c r="M19" i="8" s="1"/>
  <c r="CS73" i="8"/>
  <c r="M73" i="8" s="1"/>
  <c r="CS63" i="8"/>
  <c r="CS55" i="8"/>
  <c r="M55" i="8" s="1"/>
  <c r="CS13" i="8"/>
  <c r="CS7" i="8"/>
  <c r="M7" i="8" s="1"/>
  <c r="CS83" i="8"/>
  <c r="M83" i="8" s="1"/>
  <c r="CS49" i="8"/>
  <c r="M49" i="8" s="1"/>
  <c r="CS51" i="8"/>
  <c r="M51" i="8" s="1"/>
  <c r="CS43" i="8"/>
  <c r="CS91" i="8"/>
  <c r="M91" i="8" s="1"/>
  <c r="CS107" i="8"/>
  <c r="CS109" i="8"/>
  <c r="CS21" i="8"/>
  <c r="M21" i="8" s="1"/>
  <c r="CS47" i="8"/>
  <c r="M47" i="8" s="1"/>
  <c r="CS37" i="8"/>
  <c r="M37" i="8" s="1"/>
  <c r="CS35" i="8"/>
  <c r="M35" i="8" s="1"/>
  <c r="CS87" i="8"/>
  <c r="M87" i="8" s="1"/>
  <c r="CS105" i="8"/>
  <c r="CS17" i="8"/>
  <c r="M17" i="8" s="1"/>
  <c r="CS45" i="8"/>
  <c r="M45" i="8" s="1"/>
  <c r="CS39" i="8"/>
  <c r="M39" i="8" s="1"/>
  <c r="CS85" i="8"/>
  <c r="M85" i="8" s="1"/>
  <c r="CS89" i="8"/>
  <c r="M89" i="8" s="1"/>
  <c r="CS113" i="8"/>
  <c r="CS15" i="8"/>
  <c r="M15" i="8" s="1"/>
  <c r="CS65" i="8"/>
  <c r="M65" i="8" s="1"/>
  <c r="CS57" i="8"/>
  <c r="M57" i="8" s="1"/>
  <c r="CS5" i="8"/>
  <c r="M5" i="8" s="1"/>
  <c r="CS75" i="8"/>
  <c r="M75" i="8" s="1"/>
  <c r="CS27" i="8"/>
  <c r="M27" i="8" s="1"/>
  <c r="CS69" i="8"/>
  <c r="M69" i="8" s="1"/>
  <c r="CS79" i="8"/>
  <c r="M79" i="8" s="1"/>
  <c r="CS29" i="8"/>
  <c r="M29" i="8" s="1"/>
  <c r="CS61" i="8"/>
  <c r="M61" i="8" s="1"/>
  <c r="CS11" i="8"/>
  <c r="M11" i="8" s="1"/>
  <c r="CS33" i="8"/>
  <c r="CS25" i="8"/>
  <c r="M25" i="8" s="1"/>
  <c r="CS31" i="8"/>
  <c r="M31" i="8" s="1"/>
  <c r="CS67" i="8"/>
  <c r="M67" i="8" s="1"/>
  <c r="CS9" i="8"/>
  <c r="M9" i="8" s="1"/>
  <c r="CS81" i="8"/>
  <c r="M81" i="8" s="1"/>
  <c r="CS71" i="8"/>
  <c r="M71" i="8" s="1"/>
  <c r="CS59" i="8"/>
  <c r="M59" i="8" s="1"/>
  <c r="CS77" i="8"/>
  <c r="M77" i="8" s="1"/>
  <c r="CR57" i="6"/>
  <c r="L57" i="6" s="1"/>
  <c r="CR49" i="6"/>
  <c r="L49" i="6" s="1"/>
  <c r="CR59" i="6"/>
  <c r="L59" i="6" s="1"/>
  <c r="CR51" i="6"/>
  <c r="L51" i="6" s="1"/>
  <c r="CR61" i="6"/>
  <c r="L61" i="6" s="1"/>
  <c r="CR53" i="6"/>
  <c r="CR45" i="6"/>
  <c r="L45" i="6" s="1"/>
  <c r="CR39" i="6"/>
  <c r="L39" i="6" s="1"/>
  <c r="CR35" i="6"/>
  <c r="L35" i="6" s="1"/>
  <c r="CR27" i="6"/>
  <c r="L27" i="6" s="1"/>
  <c r="CR19" i="6"/>
  <c r="L19" i="6" s="1"/>
  <c r="CR55" i="6"/>
  <c r="L55" i="6" s="1"/>
  <c r="CR41" i="6"/>
  <c r="L41" i="6" s="1"/>
  <c r="CR37" i="6"/>
  <c r="L37" i="6" s="1"/>
  <c r="CR29" i="6"/>
  <c r="L29" i="6" s="1"/>
  <c r="CR21" i="6"/>
  <c r="L21" i="6" s="1"/>
  <c r="CR47" i="6"/>
  <c r="L47" i="6" s="1"/>
  <c r="CR43" i="6"/>
  <c r="CR31" i="6"/>
  <c r="L31" i="6" s="1"/>
  <c r="CR23" i="6"/>
  <c r="L23" i="6" s="1"/>
  <c r="CR15" i="6"/>
  <c r="L15" i="6" s="1"/>
  <c r="CR33" i="6"/>
  <c r="CR17" i="6"/>
  <c r="L17" i="6" s="1"/>
  <c r="CR5" i="6"/>
  <c r="L5" i="6" s="1"/>
  <c r="CR63" i="6"/>
  <c r="CR9" i="6"/>
  <c r="L9" i="6" s="1"/>
  <c r="CR13" i="6"/>
  <c r="L13" i="6" s="1"/>
  <c r="CR11" i="6"/>
  <c r="L11" i="6" s="1"/>
  <c r="CR7" i="6"/>
  <c r="L7" i="6" s="1"/>
  <c r="CR25" i="6"/>
  <c r="L25" i="6" s="1"/>
  <c r="N3" i="8"/>
  <c r="M3" i="7"/>
  <c r="M3" i="6"/>
  <c r="L110" i="7"/>
  <c r="L108" i="7"/>
  <c r="M110" i="5"/>
  <c r="M54" i="5"/>
  <c r="M14" i="8"/>
  <c r="M48" i="8"/>
  <c r="L16" i="6"/>
  <c r="M34" i="8"/>
  <c r="L58" i="6"/>
  <c r="M4" i="5"/>
  <c r="L28" i="6"/>
  <c r="L40" i="7"/>
  <c r="M4" i="8"/>
  <c r="M14" i="5"/>
  <c r="M66" i="5"/>
  <c r="M38" i="8"/>
  <c r="M24" i="8"/>
  <c r="M36" i="5"/>
  <c r="M18" i="5"/>
  <c r="M50" i="5"/>
  <c r="M48" i="5"/>
  <c r="L56" i="6"/>
  <c r="L36" i="6"/>
  <c r="L36" i="7"/>
  <c r="M34" i="5"/>
  <c r="L8" i="6"/>
  <c r="M28" i="5"/>
  <c r="M40" i="8"/>
  <c r="L104" i="7"/>
  <c r="L106" i="8"/>
  <c r="L106" i="7"/>
  <c r="L38" i="6"/>
  <c r="L60" i="7"/>
  <c r="M8" i="5"/>
  <c r="L24" i="6"/>
  <c r="L44" i="7"/>
  <c r="L6" i="6"/>
  <c r="M44" i="5"/>
  <c r="L50" i="6"/>
  <c r="M26" i="5"/>
  <c r="M10" i="8"/>
  <c r="M56" i="8"/>
  <c r="M70" i="5"/>
  <c r="M16" i="8"/>
  <c r="L20" i="6"/>
  <c r="L14" i="7"/>
  <c r="L44" i="6"/>
  <c r="L26" i="7"/>
  <c r="L38" i="7"/>
  <c r="M6" i="5"/>
  <c r="M38" i="5"/>
  <c r="L30" i="7"/>
  <c r="M46" i="8"/>
  <c r="M64" i="5"/>
  <c r="M24" i="5"/>
  <c r="L108" i="8"/>
  <c r="L104" i="8"/>
  <c r="L16" i="7"/>
  <c r="L28" i="7"/>
  <c r="M28" i="8"/>
  <c r="L18" i="6"/>
  <c r="M46" i="5"/>
  <c r="M16" i="5"/>
  <c r="L4" i="6"/>
  <c r="L54" i="6"/>
  <c r="L46" i="6"/>
  <c r="L54" i="7"/>
  <c r="M18" i="8"/>
  <c r="M54" i="8"/>
  <c r="L34" i="7"/>
  <c r="L34" i="6"/>
  <c r="L18" i="7"/>
  <c r="L50" i="7"/>
  <c r="L14" i="6"/>
  <c r="M26" i="8"/>
  <c r="L58" i="7"/>
  <c r="L48" i="7"/>
  <c r="L6" i="7"/>
  <c r="M30" i="8"/>
  <c r="M60" i="8"/>
  <c r="L10" i="6"/>
  <c r="M108" i="5"/>
  <c r="M104" i="5"/>
  <c r="L110" i="8"/>
  <c r="M106" i="5"/>
  <c r="L24" i="7"/>
  <c r="L4" i="7"/>
  <c r="M68" i="5"/>
  <c r="M6" i="8"/>
  <c r="L40" i="6"/>
  <c r="M58" i="8"/>
  <c r="L26" i="6"/>
  <c r="M60" i="5"/>
  <c r="M10" i="5"/>
  <c r="L8" i="7"/>
  <c r="M20" i="8"/>
  <c r="L56" i="7"/>
  <c r="L46" i="7"/>
  <c r="M50" i="8"/>
  <c r="M30" i="5"/>
  <c r="L30" i="6"/>
  <c r="M44" i="8"/>
  <c r="L10" i="7"/>
  <c r="M74" i="5"/>
  <c r="M56" i="5"/>
  <c r="M40" i="5"/>
  <c r="L20" i="7"/>
  <c r="M20" i="5"/>
  <c r="M8" i="8"/>
  <c r="L60" i="6"/>
  <c r="M36" i="8"/>
  <c r="M58" i="5"/>
  <c r="L48" i="6"/>
  <c r="CS117" i="6" l="1"/>
  <c r="CS121" i="6"/>
  <c r="CS123" i="6"/>
  <c r="CS113" i="6"/>
  <c r="CS111" i="6"/>
  <c r="CS65" i="6"/>
  <c r="CS67" i="6"/>
  <c r="CS107" i="6"/>
  <c r="CS75" i="6"/>
  <c r="CS83" i="6"/>
  <c r="CS119" i="6"/>
  <c r="CS105" i="6"/>
  <c r="CS79" i="6"/>
  <c r="CS81" i="6"/>
  <c r="CS115" i="6"/>
  <c r="CS71" i="6"/>
  <c r="CS73" i="6"/>
  <c r="CS77" i="6"/>
  <c r="CS95" i="6"/>
  <c r="CS103" i="6"/>
  <c r="CS109" i="6"/>
  <c r="CS99" i="6"/>
  <c r="CS97" i="6"/>
  <c r="CS85" i="6"/>
  <c r="CS91" i="6"/>
  <c r="CS69" i="6"/>
  <c r="CS101" i="6"/>
  <c r="CS87" i="6"/>
  <c r="CS89" i="6"/>
  <c r="CS93" i="6"/>
  <c r="AM4" i="7"/>
  <c r="AM24" i="7"/>
  <c r="AM6" i="7"/>
  <c r="AM8" i="7"/>
  <c r="AM30" i="7"/>
  <c r="AM26" i="7"/>
  <c r="AM10" i="7"/>
  <c r="AM28" i="7"/>
  <c r="CS107" i="7"/>
  <c r="M107" i="7" s="1"/>
  <c r="CS105" i="7"/>
  <c r="CS113" i="7"/>
  <c r="M113" i="7" s="1"/>
  <c r="CS111" i="7"/>
  <c r="M111" i="7" s="1"/>
  <c r="CS109" i="7"/>
  <c r="M109" i="7" s="1"/>
  <c r="CS89" i="7"/>
  <c r="CS21" i="7"/>
  <c r="M21" i="7" s="1"/>
  <c r="CS87" i="7"/>
  <c r="M87" i="7" s="1"/>
  <c r="CS67" i="7"/>
  <c r="M67" i="7" s="1"/>
  <c r="M105" i="7"/>
  <c r="CS85" i="7"/>
  <c r="M85" i="7" s="1"/>
  <c r="CS69" i="7"/>
  <c r="M69" i="7" s="1"/>
  <c r="CS71" i="7"/>
  <c r="M71" i="7" s="1"/>
  <c r="CS73" i="7"/>
  <c r="M73" i="7" s="1"/>
  <c r="CS15" i="7"/>
  <c r="M15" i="7" s="1"/>
  <c r="CS19" i="7"/>
  <c r="M19" i="7" s="1"/>
  <c r="CS17" i="7"/>
  <c r="M17" i="7" s="1"/>
  <c r="CS93" i="7"/>
  <c r="M93" i="7" s="1"/>
  <c r="CS23" i="7"/>
  <c r="M23" i="7" s="1"/>
  <c r="CS121" i="7"/>
  <c r="M121" i="7" s="1"/>
  <c r="CS25" i="7"/>
  <c r="M25" i="7" s="1"/>
  <c r="CS53" i="7"/>
  <c r="M53" i="7" s="1"/>
  <c r="CS95" i="7"/>
  <c r="M95" i="7" s="1"/>
  <c r="CS101" i="7"/>
  <c r="M101" i="7" s="1"/>
  <c r="CS99" i="7"/>
  <c r="M99" i="7" s="1"/>
  <c r="CS91" i="7"/>
  <c r="M91" i="7" s="1"/>
  <c r="CS119" i="7"/>
  <c r="M119" i="7" s="1"/>
  <c r="CS117" i="7"/>
  <c r="M117" i="7" s="1"/>
  <c r="CS33" i="7"/>
  <c r="M33" i="7" s="1"/>
  <c r="CS51" i="7"/>
  <c r="M51" i="7" s="1"/>
  <c r="CS103" i="7"/>
  <c r="M103" i="7" s="1"/>
  <c r="CS65" i="7"/>
  <c r="M65" i="7" s="1"/>
  <c r="CS115" i="7"/>
  <c r="M115" i="7" s="1"/>
  <c r="CS31" i="7"/>
  <c r="M31" i="7" s="1"/>
  <c r="CS29" i="7"/>
  <c r="M29" i="7" s="1"/>
  <c r="CS49" i="7"/>
  <c r="M49" i="7" s="1"/>
  <c r="CS47" i="7"/>
  <c r="M47" i="7" s="1"/>
  <c r="CS45" i="7"/>
  <c r="M45" i="7" s="1"/>
  <c r="CS97" i="7"/>
  <c r="M97" i="7" s="1"/>
  <c r="CS35" i="7"/>
  <c r="M35" i="7" s="1"/>
  <c r="CS13" i="7"/>
  <c r="M13" i="7" s="1"/>
  <c r="CS61" i="7"/>
  <c r="M61" i="7" s="1"/>
  <c r="CS55" i="7"/>
  <c r="M55" i="7" s="1"/>
  <c r="CS57" i="7"/>
  <c r="M57" i="7" s="1"/>
  <c r="CS123" i="7"/>
  <c r="M123" i="7" s="1"/>
  <c r="CS77" i="7"/>
  <c r="M77" i="7" s="1"/>
  <c r="CS43" i="7"/>
  <c r="M43" i="7" s="1"/>
  <c r="CS11" i="7"/>
  <c r="M11" i="7" s="1"/>
  <c r="CS27" i="7"/>
  <c r="M27" i="7" s="1"/>
  <c r="CS83" i="7"/>
  <c r="M83" i="7" s="1"/>
  <c r="CS75" i="7"/>
  <c r="M75" i="7" s="1"/>
  <c r="CS79" i="7"/>
  <c r="M79" i="7" s="1"/>
  <c r="CS81" i="7"/>
  <c r="M81" i="7" s="1"/>
  <c r="CS39" i="7"/>
  <c r="M39" i="7" s="1"/>
  <c r="CS37" i="7"/>
  <c r="M37" i="7" s="1"/>
  <c r="CS7" i="7"/>
  <c r="M7" i="7" s="1"/>
  <c r="CS5" i="7"/>
  <c r="M5" i="7" s="1"/>
  <c r="CS59" i="7"/>
  <c r="M59" i="7" s="1"/>
  <c r="CS41" i="7"/>
  <c r="M41" i="7" s="1"/>
  <c r="CS9" i="7"/>
  <c r="M9" i="7" s="1"/>
  <c r="CS63" i="7"/>
  <c r="M63" i="7" s="1"/>
  <c r="M89" i="7"/>
  <c r="L63" i="6"/>
  <c r="M107" i="8"/>
  <c r="M23" i="8"/>
  <c r="M53" i="8"/>
  <c r="M117" i="8"/>
  <c r="M115" i="8"/>
  <c r="M105" i="8"/>
  <c r="M63" i="8"/>
  <c r="M111" i="8"/>
  <c r="M103" i="8"/>
  <c r="M97" i="8"/>
  <c r="M95" i="8"/>
  <c r="M53" i="5"/>
  <c r="M43" i="5"/>
  <c r="L43" i="6"/>
  <c r="L53" i="6"/>
  <c r="M43" i="8"/>
  <c r="M101" i="8"/>
  <c r="M119" i="8"/>
  <c r="M99" i="8"/>
  <c r="L33" i="6"/>
  <c r="M33" i="8"/>
  <c r="M113" i="8"/>
  <c r="M109" i="8"/>
  <c r="M13" i="8"/>
  <c r="M121" i="8"/>
  <c r="M123" i="8"/>
  <c r="M33" i="5"/>
  <c r="M63" i="5"/>
  <c r="AM8" i="6"/>
  <c r="AM10" i="6"/>
  <c r="AM4" i="6"/>
  <c r="AM26" i="6"/>
  <c r="AM46" i="8"/>
  <c r="AM28" i="6"/>
  <c r="AM44" i="8"/>
  <c r="AM50" i="8"/>
  <c r="AM24" i="6"/>
  <c r="AM30" i="6"/>
  <c r="AM6" i="6"/>
  <c r="AM48" i="8"/>
  <c r="AM46" i="5"/>
  <c r="AM44" i="5"/>
  <c r="AM48" i="5"/>
  <c r="AM50" i="5"/>
  <c r="O3" i="5"/>
  <c r="CT105" i="5"/>
  <c r="N105" i="5" s="1"/>
  <c r="CT113" i="5"/>
  <c r="N113" i="5" s="1"/>
  <c r="CT73" i="5"/>
  <c r="N73" i="5" s="1"/>
  <c r="CT69" i="5"/>
  <c r="N69" i="5" s="1"/>
  <c r="CT65" i="5"/>
  <c r="N65" i="5" s="1"/>
  <c r="CT107" i="5"/>
  <c r="N107" i="5" s="1"/>
  <c r="CT111" i="5"/>
  <c r="N111" i="5" s="1"/>
  <c r="CT109" i="5"/>
  <c r="N109" i="5" s="1"/>
  <c r="CT81" i="5"/>
  <c r="N81" i="5" s="1"/>
  <c r="CT77" i="5"/>
  <c r="N77" i="5" s="1"/>
  <c r="CT25" i="5"/>
  <c r="N25" i="5" s="1"/>
  <c r="CT7" i="5"/>
  <c r="N7" i="5" s="1"/>
  <c r="CT43" i="5"/>
  <c r="CT17" i="5"/>
  <c r="N17" i="5" s="1"/>
  <c r="CT83" i="5"/>
  <c r="N83" i="5" s="1"/>
  <c r="CT79" i="5"/>
  <c r="N79" i="5" s="1"/>
  <c r="CT33" i="5"/>
  <c r="CT31" i="5"/>
  <c r="N31" i="5" s="1"/>
  <c r="CT61" i="5"/>
  <c r="N61" i="5" s="1"/>
  <c r="CT57" i="5"/>
  <c r="N57" i="5" s="1"/>
  <c r="CT9" i="5"/>
  <c r="N9" i="5" s="1"/>
  <c r="CT13" i="5"/>
  <c r="N13" i="5" s="1"/>
  <c r="CT5" i="5"/>
  <c r="N5" i="5" s="1"/>
  <c r="CT41" i="5"/>
  <c r="N41" i="5" s="1"/>
  <c r="CT37" i="5"/>
  <c r="N37" i="5" s="1"/>
  <c r="CT23" i="5"/>
  <c r="N23" i="5" s="1"/>
  <c r="CT19" i="5"/>
  <c r="N19" i="5" s="1"/>
  <c r="CT15" i="5"/>
  <c r="N15" i="5" s="1"/>
  <c r="CT101" i="5"/>
  <c r="N101" i="5" s="1"/>
  <c r="CT29" i="5"/>
  <c r="N29" i="5" s="1"/>
  <c r="CT35" i="5"/>
  <c r="N35" i="5" s="1"/>
  <c r="CT21" i="5"/>
  <c r="N21" i="5" s="1"/>
  <c r="CT11" i="5"/>
  <c r="N11" i="5" s="1"/>
  <c r="CT115" i="5"/>
  <c r="N115" i="5" s="1"/>
  <c r="CT121" i="5"/>
  <c r="N121" i="5" s="1"/>
  <c r="CT51" i="5"/>
  <c r="N51" i="5" s="1"/>
  <c r="CT47" i="5"/>
  <c r="N47" i="5" s="1"/>
  <c r="CT75" i="5"/>
  <c r="N75" i="5" s="1"/>
  <c r="CT27" i="5"/>
  <c r="N27" i="5" s="1"/>
  <c r="CT67" i="5"/>
  <c r="N67" i="5" s="1"/>
  <c r="CT63" i="5"/>
  <c r="CT59" i="5"/>
  <c r="N59" i="5" s="1"/>
  <c r="CT55" i="5"/>
  <c r="N55" i="5" s="1"/>
  <c r="CT39" i="5"/>
  <c r="N39" i="5" s="1"/>
  <c r="CT103" i="5"/>
  <c r="N103" i="5" s="1"/>
  <c r="CT99" i="5"/>
  <c r="N99" i="5" s="1"/>
  <c r="CT95" i="5"/>
  <c r="N95" i="5" s="1"/>
  <c r="CT53" i="5"/>
  <c r="CT49" i="5"/>
  <c r="N49" i="5" s="1"/>
  <c r="CT45" i="5"/>
  <c r="N45" i="5" s="1"/>
  <c r="CT71" i="5"/>
  <c r="N71" i="5" s="1"/>
  <c r="CT97" i="5"/>
  <c r="N97" i="5" s="1"/>
  <c r="CT123" i="5"/>
  <c r="N123" i="5" s="1"/>
  <c r="CT119" i="5"/>
  <c r="N119" i="5" s="1"/>
  <c r="CT93" i="5"/>
  <c r="N93" i="5" s="1"/>
  <c r="CT89" i="5"/>
  <c r="N89" i="5" s="1"/>
  <c r="CT85" i="5"/>
  <c r="N85" i="5" s="1"/>
  <c r="CT117" i="5"/>
  <c r="N117" i="5" s="1"/>
  <c r="CT91" i="5"/>
  <c r="N91" i="5" s="1"/>
  <c r="CT87" i="5"/>
  <c r="N87" i="5" s="1"/>
  <c r="CT101" i="8"/>
  <c r="CT95" i="8"/>
  <c r="CT117" i="8"/>
  <c r="CT99" i="8"/>
  <c r="CT115" i="8"/>
  <c r="CT123" i="8"/>
  <c r="CT119" i="8"/>
  <c r="CT103" i="8"/>
  <c r="CT97" i="8"/>
  <c r="CT121" i="8"/>
  <c r="CT49" i="8"/>
  <c r="N49" i="8" s="1"/>
  <c r="CT37" i="8"/>
  <c r="N37" i="8" s="1"/>
  <c r="CT85" i="8"/>
  <c r="N85" i="8" s="1"/>
  <c r="CT113" i="8"/>
  <c r="CT15" i="8"/>
  <c r="N15" i="8" s="1"/>
  <c r="CT67" i="8"/>
  <c r="N67" i="8" s="1"/>
  <c r="CT55" i="8"/>
  <c r="N55" i="8" s="1"/>
  <c r="CT61" i="8"/>
  <c r="N61" i="8" s="1"/>
  <c r="CT9" i="8"/>
  <c r="N9" i="8" s="1"/>
  <c r="CT41" i="8"/>
  <c r="N41" i="8" s="1"/>
  <c r="CT93" i="8"/>
  <c r="N93" i="8" s="1"/>
  <c r="CT91" i="8"/>
  <c r="N91" i="8" s="1"/>
  <c r="CT109" i="8"/>
  <c r="CT111" i="8"/>
  <c r="CT105" i="8"/>
  <c r="CT23" i="8"/>
  <c r="CT39" i="8"/>
  <c r="N39" i="8" s="1"/>
  <c r="CT43" i="8"/>
  <c r="CT89" i="8"/>
  <c r="N89" i="8" s="1"/>
  <c r="CT107" i="8"/>
  <c r="CT19" i="8"/>
  <c r="N19" i="8" s="1"/>
  <c r="CT21" i="8"/>
  <c r="N21" i="8" s="1"/>
  <c r="CT47" i="8"/>
  <c r="N47" i="8" s="1"/>
  <c r="CT51" i="8"/>
  <c r="N51" i="8" s="1"/>
  <c r="CT53" i="8"/>
  <c r="CT45" i="8"/>
  <c r="N45" i="8" s="1"/>
  <c r="CT35" i="8"/>
  <c r="N35" i="8" s="1"/>
  <c r="CT87" i="8"/>
  <c r="N87" i="8" s="1"/>
  <c r="CT17" i="8"/>
  <c r="N17" i="8" s="1"/>
  <c r="CT7" i="8"/>
  <c r="N7" i="8" s="1"/>
  <c r="CT77" i="8"/>
  <c r="N77" i="8" s="1"/>
  <c r="CT29" i="8"/>
  <c r="N29" i="8" s="1"/>
  <c r="CT63" i="8"/>
  <c r="CT57" i="8"/>
  <c r="N57" i="8" s="1"/>
  <c r="CT59" i="8"/>
  <c r="N59" i="8" s="1"/>
  <c r="CT31" i="8"/>
  <c r="N31" i="8" s="1"/>
  <c r="CT65" i="8"/>
  <c r="N65" i="8" s="1"/>
  <c r="CT11" i="8"/>
  <c r="N11" i="8" s="1"/>
  <c r="CT13" i="8"/>
  <c r="CT83" i="8"/>
  <c r="N83" i="8" s="1"/>
  <c r="CT73" i="8"/>
  <c r="N73" i="8" s="1"/>
  <c r="CT79" i="8"/>
  <c r="N79" i="8" s="1"/>
  <c r="CT25" i="8"/>
  <c r="N25" i="8" s="1"/>
  <c r="CT71" i="8"/>
  <c r="N71" i="8" s="1"/>
  <c r="CT69" i="8"/>
  <c r="N69" i="8" s="1"/>
  <c r="CT5" i="8"/>
  <c r="N5" i="8" s="1"/>
  <c r="CT81" i="8"/>
  <c r="N81" i="8" s="1"/>
  <c r="CT75" i="8"/>
  <c r="N75" i="8" s="1"/>
  <c r="CT27" i="8"/>
  <c r="N27" i="8" s="1"/>
  <c r="CT33" i="8"/>
  <c r="CS59" i="6"/>
  <c r="M59" i="6" s="1"/>
  <c r="CS51" i="6"/>
  <c r="M51" i="6" s="1"/>
  <c r="CS61" i="6"/>
  <c r="M61" i="6" s="1"/>
  <c r="CS53" i="6"/>
  <c r="CS63" i="6"/>
  <c r="CS55" i="6"/>
  <c r="M55" i="6" s="1"/>
  <c r="CS47" i="6"/>
  <c r="M47" i="6" s="1"/>
  <c r="CS39" i="6"/>
  <c r="M39" i="6" s="1"/>
  <c r="CS41" i="6"/>
  <c r="M41" i="6" s="1"/>
  <c r="CS37" i="6"/>
  <c r="M37" i="6" s="1"/>
  <c r="CS29" i="6"/>
  <c r="M29" i="6" s="1"/>
  <c r="CS21" i="6"/>
  <c r="M21" i="6" s="1"/>
  <c r="CS13" i="6"/>
  <c r="M13" i="6" s="1"/>
  <c r="CS57" i="6"/>
  <c r="M57" i="6" s="1"/>
  <c r="CS43" i="6"/>
  <c r="CS31" i="6"/>
  <c r="M31" i="6" s="1"/>
  <c r="CS23" i="6"/>
  <c r="M23" i="6" s="1"/>
  <c r="CS45" i="6"/>
  <c r="M45" i="6" s="1"/>
  <c r="CS33" i="6"/>
  <c r="CS25" i="6"/>
  <c r="M25" i="6" s="1"/>
  <c r="CS17" i="6"/>
  <c r="M17" i="6" s="1"/>
  <c r="CS5" i="6"/>
  <c r="M5" i="6" s="1"/>
  <c r="CS27" i="6"/>
  <c r="M27" i="6" s="1"/>
  <c r="CS35" i="6"/>
  <c r="M35" i="6" s="1"/>
  <c r="CS19" i="6"/>
  <c r="M19" i="6" s="1"/>
  <c r="CS11" i="6"/>
  <c r="M11" i="6" s="1"/>
  <c r="CS7" i="6"/>
  <c r="M7" i="6" s="1"/>
  <c r="CS49" i="6"/>
  <c r="M49" i="6" s="1"/>
  <c r="CS15" i="6"/>
  <c r="M15" i="6" s="1"/>
  <c r="CS9" i="6"/>
  <c r="M9" i="6" s="1"/>
  <c r="O3" i="8"/>
  <c r="N3" i="7"/>
  <c r="N3" i="6"/>
  <c r="M106" i="8"/>
  <c r="M104" i="7"/>
  <c r="M104" i="8"/>
  <c r="N104" i="5"/>
  <c r="M56" i="6"/>
  <c r="N10" i="5"/>
  <c r="M60" i="6"/>
  <c r="N6" i="8"/>
  <c r="M46" i="6"/>
  <c r="N40" i="5"/>
  <c r="N36" i="5"/>
  <c r="M14" i="6"/>
  <c r="M28" i="6"/>
  <c r="N54" i="5"/>
  <c r="N26" i="5"/>
  <c r="M8" i="6"/>
  <c r="M46" i="7"/>
  <c r="N8" i="5"/>
  <c r="N56" i="5"/>
  <c r="M20" i="6"/>
  <c r="M60" i="7"/>
  <c r="M24" i="7"/>
  <c r="M48" i="7"/>
  <c r="N46" i="5"/>
  <c r="N16" i="8"/>
  <c r="N14" i="8"/>
  <c r="N6" i="5"/>
  <c r="M110" i="8"/>
  <c r="N64" i="5"/>
  <c r="N8" i="8"/>
  <c r="M16" i="7"/>
  <c r="N50" i="5"/>
  <c r="M30" i="7"/>
  <c r="M56" i="7"/>
  <c r="N56" i="8"/>
  <c r="N28" i="5"/>
  <c r="M40" i="7"/>
  <c r="N38" i="5"/>
  <c r="N24" i="8"/>
  <c r="N30" i="5"/>
  <c r="N40" i="8"/>
  <c r="N20" i="8"/>
  <c r="M10" i="7"/>
  <c r="N66" i="5"/>
  <c r="N4" i="8"/>
  <c r="N30" i="8"/>
  <c r="M58" i="6"/>
  <c r="M26" i="6"/>
  <c r="M44" i="7"/>
  <c r="N68" i="5"/>
  <c r="M106" i="7"/>
  <c r="M108" i="8"/>
  <c r="N108" i="5"/>
  <c r="M6" i="7"/>
  <c r="M38" i="7"/>
  <c r="N44" i="8"/>
  <c r="N60" i="5"/>
  <c r="N10" i="8"/>
  <c r="M8" i="7"/>
  <c r="N74" i="5"/>
  <c r="N16" i="5"/>
  <c r="N58" i="5"/>
  <c r="M4" i="6"/>
  <c r="M36" i="6"/>
  <c r="N50" i="8"/>
  <c r="M10" i="6"/>
  <c r="M58" i="7"/>
  <c r="N4" i="5"/>
  <c r="M40" i="6"/>
  <c r="M14" i="7"/>
  <c r="M36" i="7"/>
  <c r="M54" i="6"/>
  <c r="M48" i="6"/>
  <c r="N48" i="8"/>
  <c r="M108" i="7"/>
  <c r="N106" i="5"/>
  <c r="N110" i="5"/>
  <c r="M110" i="7"/>
  <c r="M18" i="7"/>
  <c r="N48" i="5"/>
  <c r="N18" i="5"/>
  <c r="M34" i="7"/>
  <c r="N28" i="8"/>
  <c r="N70" i="5"/>
  <c r="N34" i="5"/>
  <c r="M38" i="6"/>
  <c r="M16" i="6"/>
  <c r="M26" i="7"/>
  <c r="N46" i="8"/>
  <c r="M44" i="6"/>
  <c r="M6" i="6"/>
  <c r="N24" i="5"/>
  <c r="N14" i="5"/>
  <c r="M50" i="6"/>
  <c r="M28" i="7"/>
  <c r="M18" i="6"/>
  <c r="N60" i="8"/>
  <c r="N34" i="8"/>
  <c r="M34" i="6"/>
  <c r="M50" i="7"/>
  <c r="M54" i="7"/>
  <c r="N36" i="8"/>
  <c r="N58" i="8"/>
  <c r="M30" i="6"/>
  <c r="N38" i="8"/>
  <c r="N26" i="8"/>
  <c r="N18" i="8"/>
  <c r="M24" i="6"/>
  <c r="N20" i="5"/>
  <c r="N44" i="5"/>
  <c r="M4" i="7"/>
  <c r="M20" i="7"/>
  <c r="N54" i="8"/>
  <c r="CT117" i="6" l="1"/>
  <c r="CT121" i="6"/>
  <c r="CT111" i="6"/>
  <c r="CT119" i="6"/>
  <c r="CT123" i="6"/>
  <c r="CT109" i="6"/>
  <c r="CT105" i="6"/>
  <c r="CT107" i="6"/>
  <c r="CT113" i="6"/>
  <c r="CT65" i="6"/>
  <c r="CT67" i="6"/>
  <c r="CT75" i="6"/>
  <c r="CT115" i="6"/>
  <c r="CT71" i="6"/>
  <c r="CT81" i="6"/>
  <c r="CT83" i="6"/>
  <c r="CT69" i="6"/>
  <c r="CT73" i="6"/>
  <c r="CT77" i="6"/>
  <c r="CT79" i="6"/>
  <c r="CT85" i="6"/>
  <c r="CT95" i="6"/>
  <c r="CT99" i="6"/>
  <c r="CT103" i="6"/>
  <c r="CT87" i="6"/>
  <c r="CT97" i="6"/>
  <c r="CT89" i="6"/>
  <c r="CT93" i="6"/>
  <c r="CT91" i="6"/>
  <c r="CT101" i="6"/>
  <c r="AM44" i="7"/>
  <c r="AM50" i="7"/>
  <c r="AM48" i="7"/>
  <c r="AM46" i="7"/>
  <c r="CT109" i="7"/>
  <c r="N109" i="7" s="1"/>
  <c r="CT107" i="7"/>
  <c r="N107" i="7" s="1"/>
  <c r="CT105" i="7"/>
  <c r="N105" i="7" s="1"/>
  <c r="CT113" i="7"/>
  <c r="N113" i="7" s="1"/>
  <c r="CT111" i="7"/>
  <c r="N111" i="7" s="1"/>
  <c r="CT89" i="7"/>
  <c r="N89" i="7" s="1"/>
  <c r="CT91" i="7"/>
  <c r="N91" i="7" s="1"/>
  <c r="CT85" i="7"/>
  <c r="N85" i="7" s="1"/>
  <c r="CT65" i="7"/>
  <c r="N65" i="7" s="1"/>
  <c r="CT71" i="7"/>
  <c r="N71" i="7" s="1"/>
  <c r="CT23" i="7"/>
  <c r="N23" i="7" s="1"/>
  <c r="CT87" i="7"/>
  <c r="N87" i="7" s="1"/>
  <c r="CT69" i="7"/>
  <c r="CT17" i="7"/>
  <c r="N17" i="7" s="1"/>
  <c r="CT15" i="7"/>
  <c r="N15" i="7" s="1"/>
  <c r="CT93" i="7"/>
  <c r="N93" i="7" s="1"/>
  <c r="CT67" i="7"/>
  <c r="N67" i="7" s="1"/>
  <c r="CT21" i="7"/>
  <c r="N21" i="7" s="1"/>
  <c r="CT73" i="7"/>
  <c r="N73" i="7" s="1"/>
  <c r="CT19" i="7"/>
  <c r="N19" i="7" s="1"/>
  <c r="CT123" i="7"/>
  <c r="N123" i="7" s="1"/>
  <c r="CT27" i="7"/>
  <c r="N27" i="7" s="1"/>
  <c r="CT45" i="7"/>
  <c r="N45" i="7" s="1"/>
  <c r="CT97" i="7"/>
  <c r="N97" i="7" s="1"/>
  <c r="CT103" i="7"/>
  <c r="N103" i="7" s="1"/>
  <c r="CT101" i="7"/>
  <c r="N101" i="7" s="1"/>
  <c r="CT121" i="7"/>
  <c r="N121" i="7" s="1"/>
  <c r="CT119" i="7"/>
  <c r="N119" i="7" s="1"/>
  <c r="CT25" i="7"/>
  <c r="N25" i="7" s="1"/>
  <c r="CT53" i="7"/>
  <c r="N53" i="7" s="1"/>
  <c r="CT117" i="7"/>
  <c r="N117" i="7" s="1"/>
  <c r="CT33" i="7"/>
  <c r="N33" i="7" s="1"/>
  <c r="CT31" i="7"/>
  <c r="N31" i="7" s="1"/>
  <c r="CT51" i="7"/>
  <c r="N51" i="7" s="1"/>
  <c r="CT29" i="7"/>
  <c r="N29" i="7" s="1"/>
  <c r="CT49" i="7"/>
  <c r="N49" i="7" s="1"/>
  <c r="CT47" i="7"/>
  <c r="N47" i="7" s="1"/>
  <c r="CT95" i="7"/>
  <c r="N95" i="7" s="1"/>
  <c r="CT81" i="7"/>
  <c r="N81" i="7" s="1"/>
  <c r="CT83" i="7"/>
  <c r="N83" i="7" s="1"/>
  <c r="CT77" i="7"/>
  <c r="N77" i="7" s="1"/>
  <c r="CT37" i="7"/>
  <c r="N37" i="7" s="1"/>
  <c r="CT5" i="7"/>
  <c r="N5" i="7" s="1"/>
  <c r="CT63" i="7"/>
  <c r="N63" i="7" s="1"/>
  <c r="CT57" i="7"/>
  <c r="N57" i="7" s="1"/>
  <c r="CT61" i="7"/>
  <c r="N61" i="7" s="1"/>
  <c r="CT99" i="7"/>
  <c r="N99" i="7" s="1"/>
  <c r="CT79" i="7"/>
  <c r="N79" i="7" s="1"/>
  <c r="CT75" i="7"/>
  <c r="N75" i="7" s="1"/>
  <c r="CT35" i="7"/>
  <c r="N35" i="7" s="1"/>
  <c r="CT13" i="7"/>
  <c r="N13" i="7" s="1"/>
  <c r="CT41" i="7"/>
  <c r="N41" i="7" s="1"/>
  <c r="CT39" i="7"/>
  <c r="N39" i="7" s="1"/>
  <c r="CT9" i="7"/>
  <c r="N9" i="7" s="1"/>
  <c r="CT7" i="7"/>
  <c r="N7" i="7" s="1"/>
  <c r="CT55" i="7"/>
  <c r="N55" i="7" s="1"/>
  <c r="CT59" i="7"/>
  <c r="N59" i="7" s="1"/>
  <c r="CT43" i="7"/>
  <c r="N43" i="7" s="1"/>
  <c r="CT11" i="7"/>
  <c r="N11" i="7" s="1"/>
  <c r="CT115" i="7"/>
  <c r="N115" i="7" s="1"/>
  <c r="N69" i="7"/>
  <c r="N53" i="8"/>
  <c r="M53" i="6"/>
  <c r="N123" i="8"/>
  <c r="M33" i="6"/>
  <c r="M43" i="6"/>
  <c r="M63" i="6"/>
  <c r="N33" i="8"/>
  <c r="N43" i="8"/>
  <c r="N111" i="8"/>
  <c r="N103" i="8"/>
  <c r="N99" i="8"/>
  <c r="N53" i="5"/>
  <c r="N109" i="8"/>
  <c r="N117" i="8"/>
  <c r="N63" i="8"/>
  <c r="N23" i="8"/>
  <c r="N113" i="8"/>
  <c r="N95" i="8"/>
  <c r="N119" i="8"/>
  <c r="N107" i="8"/>
  <c r="N121" i="8"/>
  <c r="N13" i="8"/>
  <c r="N105" i="8"/>
  <c r="N97" i="8"/>
  <c r="N115" i="8"/>
  <c r="N101" i="8"/>
  <c r="N63" i="5"/>
  <c r="N33" i="5"/>
  <c r="N43" i="5"/>
  <c r="AM44" i="6"/>
  <c r="AM46" i="6"/>
  <c r="AM50" i="6"/>
  <c r="AM48" i="6"/>
  <c r="P3" i="5"/>
  <c r="CU113" i="5"/>
  <c r="O113" i="5" s="1"/>
  <c r="CU71" i="5"/>
  <c r="O71" i="5" s="1"/>
  <c r="CU79" i="5"/>
  <c r="O79" i="5" s="1"/>
  <c r="CU65" i="5"/>
  <c r="O65" i="5" s="1"/>
  <c r="CU83" i="5"/>
  <c r="O83" i="5" s="1"/>
  <c r="CU105" i="5"/>
  <c r="O105" i="5" s="1"/>
  <c r="CU109" i="5"/>
  <c r="O109" i="5" s="1"/>
  <c r="CU111" i="5"/>
  <c r="O111" i="5" s="1"/>
  <c r="CU107" i="5"/>
  <c r="O107" i="5" s="1"/>
  <c r="CU67" i="5"/>
  <c r="O67" i="5" s="1"/>
  <c r="CU73" i="5"/>
  <c r="O73" i="5" s="1"/>
  <c r="CU75" i="5"/>
  <c r="O75" i="5" s="1"/>
  <c r="CU69" i="5"/>
  <c r="O69" i="5" s="1"/>
  <c r="CU81" i="5"/>
  <c r="O81" i="5" s="1"/>
  <c r="CU25" i="5"/>
  <c r="O25" i="5" s="1"/>
  <c r="CU55" i="5"/>
  <c r="O55" i="5" s="1"/>
  <c r="CU5" i="5"/>
  <c r="O5" i="5" s="1"/>
  <c r="CU21" i="5"/>
  <c r="O21" i="5" s="1"/>
  <c r="CU23" i="5"/>
  <c r="O23" i="5" s="1"/>
  <c r="CU95" i="5"/>
  <c r="O95" i="5" s="1"/>
  <c r="CU77" i="5"/>
  <c r="O77" i="5" s="1"/>
  <c r="CU29" i="5"/>
  <c r="O29" i="5" s="1"/>
  <c r="CU59" i="5"/>
  <c r="O59" i="5" s="1"/>
  <c r="CU7" i="5"/>
  <c r="O7" i="5" s="1"/>
  <c r="CU11" i="5"/>
  <c r="O11" i="5" s="1"/>
  <c r="CU35" i="5"/>
  <c r="O35" i="5" s="1"/>
  <c r="CU15" i="5"/>
  <c r="O15" i="5" s="1"/>
  <c r="CU33" i="5"/>
  <c r="CU27" i="5"/>
  <c r="O27" i="5" s="1"/>
  <c r="CU57" i="5"/>
  <c r="O57" i="5" s="1"/>
  <c r="CU63" i="5"/>
  <c r="CU13" i="5"/>
  <c r="O13" i="5" s="1"/>
  <c r="CU39" i="5"/>
  <c r="O39" i="5" s="1"/>
  <c r="CU37" i="5"/>
  <c r="O37" i="5" s="1"/>
  <c r="CU97" i="5"/>
  <c r="O97" i="5" s="1"/>
  <c r="CU103" i="5"/>
  <c r="O103" i="5" s="1"/>
  <c r="CU61" i="5"/>
  <c r="O61" i="5" s="1"/>
  <c r="CU43" i="5"/>
  <c r="CU19" i="5"/>
  <c r="O19" i="5" s="1"/>
  <c r="CU117" i="5"/>
  <c r="O117" i="5" s="1"/>
  <c r="CU49" i="5"/>
  <c r="O49" i="5" s="1"/>
  <c r="CU85" i="5"/>
  <c r="O85" i="5" s="1"/>
  <c r="CU101" i="5"/>
  <c r="O101" i="5" s="1"/>
  <c r="CU9" i="5"/>
  <c r="O9" i="5" s="1"/>
  <c r="CU51" i="5"/>
  <c r="O51" i="5" s="1"/>
  <c r="CU93" i="5"/>
  <c r="O93" i="5" s="1"/>
  <c r="CU87" i="5"/>
  <c r="O87" i="5" s="1"/>
  <c r="CU31" i="5"/>
  <c r="O31" i="5" s="1"/>
  <c r="CU17" i="5"/>
  <c r="O17" i="5" s="1"/>
  <c r="CU119" i="5"/>
  <c r="O119" i="5" s="1"/>
  <c r="CU115" i="5"/>
  <c r="O115" i="5" s="1"/>
  <c r="CU123" i="5"/>
  <c r="O123" i="5" s="1"/>
  <c r="CU45" i="5"/>
  <c r="O45" i="5" s="1"/>
  <c r="CU91" i="5"/>
  <c r="O91" i="5" s="1"/>
  <c r="CU41" i="5"/>
  <c r="O41" i="5" s="1"/>
  <c r="CU99" i="5"/>
  <c r="O99" i="5" s="1"/>
  <c r="CU121" i="5"/>
  <c r="O121" i="5" s="1"/>
  <c r="CU89" i="5"/>
  <c r="O89" i="5" s="1"/>
  <c r="CU47" i="5"/>
  <c r="O47" i="5" s="1"/>
  <c r="CU53" i="5"/>
  <c r="CU103" i="8"/>
  <c r="CU119" i="8"/>
  <c r="CU101" i="8"/>
  <c r="CU97" i="8"/>
  <c r="CU117" i="8"/>
  <c r="CU121" i="8"/>
  <c r="CU95" i="8"/>
  <c r="CU123" i="8"/>
  <c r="CU99" i="8"/>
  <c r="CU115" i="8"/>
  <c r="CU87" i="8"/>
  <c r="O87" i="8" s="1"/>
  <c r="CU85" i="8"/>
  <c r="O85" i="8" s="1"/>
  <c r="CU107" i="8"/>
  <c r="CU17" i="8"/>
  <c r="O17" i="8" s="1"/>
  <c r="CU23" i="8"/>
  <c r="CU67" i="8"/>
  <c r="O67" i="8" s="1"/>
  <c r="CU65" i="8"/>
  <c r="O65" i="8" s="1"/>
  <c r="CU69" i="8"/>
  <c r="O69" i="8" s="1"/>
  <c r="CU57" i="8"/>
  <c r="O57" i="8" s="1"/>
  <c r="CU59" i="8"/>
  <c r="O59" i="8" s="1"/>
  <c r="CU5" i="8"/>
  <c r="O5" i="8" s="1"/>
  <c r="CU11" i="8"/>
  <c r="O11" i="8" s="1"/>
  <c r="CU75" i="8"/>
  <c r="O75" i="8" s="1"/>
  <c r="CU53" i="8"/>
  <c r="CU47" i="8"/>
  <c r="O47" i="8" s="1"/>
  <c r="CU111" i="8"/>
  <c r="CU105" i="8"/>
  <c r="CU113" i="8"/>
  <c r="CU45" i="8"/>
  <c r="O45" i="8" s="1"/>
  <c r="CU51" i="8"/>
  <c r="O51" i="8" s="1"/>
  <c r="CU41" i="8"/>
  <c r="O41" i="8" s="1"/>
  <c r="CU37" i="8"/>
  <c r="O37" i="8" s="1"/>
  <c r="CU39" i="8"/>
  <c r="O39" i="8" s="1"/>
  <c r="CU35" i="8"/>
  <c r="O35" i="8" s="1"/>
  <c r="CU91" i="8"/>
  <c r="O91" i="8" s="1"/>
  <c r="CU109" i="8"/>
  <c r="CU21" i="8"/>
  <c r="O21" i="8" s="1"/>
  <c r="CU15" i="8"/>
  <c r="O15" i="8" s="1"/>
  <c r="CU49" i="8"/>
  <c r="O49" i="8" s="1"/>
  <c r="CU43" i="8"/>
  <c r="CU89" i="8"/>
  <c r="O89" i="8" s="1"/>
  <c r="CU93" i="8"/>
  <c r="O93" i="8" s="1"/>
  <c r="CU19" i="8"/>
  <c r="O19" i="8" s="1"/>
  <c r="CU55" i="8"/>
  <c r="O55" i="8" s="1"/>
  <c r="CU61" i="8"/>
  <c r="O61" i="8" s="1"/>
  <c r="CU9" i="8"/>
  <c r="O9" i="8" s="1"/>
  <c r="CU79" i="8"/>
  <c r="O79" i="8" s="1"/>
  <c r="CU31" i="8"/>
  <c r="O31" i="8" s="1"/>
  <c r="CU71" i="8"/>
  <c r="O71" i="8" s="1"/>
  <c r="CU13" i="8"/>
  <c r="CU7" i="8"/>
  <c r="O7" i="8" s="1"/>
  <c r="CU63" i="8"/>
  <c r="CU81" i="8"/>
  <c r="O81" i="8" s="1"/>
  <c r="CU29" i="8"/>
  <c r="O29" i="8" s="1"/>
  <c r="CU33" i="8"/>
  <c r="CU25" i="8"/>
  <c r="O25" i="8" s="1"/>
  <c r="CU73" i="8"/>
  <c r="O73" i="8" s="1"/>
  <c r="CU83" i="8"/>
  <c r="O83" i="8" s="1"/>
  <c r="CU77" i="8"/>
  <c r="O77" i="8" s="1"/>
  <c r="CU27" i="8"/>
  <c r="O27" i="8" s="1"/>
  <c r="CT61" i="6"/>
  <c r="N61" i="6" s="1"/>
  <c r="CT53" i="6"/>
  <c r="CT63" i="6"/>
  <c r="CT55" i="6"/>
  <c r="N55" i="6" s="1"/>
  <c r="CT57" i="6"/>
  <c r="N57" i="6" s="1"/>
  <c r="CT49" i="6"/>
  <c r="N49" i="6" s="1"/>
  <c r="CT41" i="6"/>
  <c r="N41" i="6" s="1"/>
  <c r="CT59" i="6"/>
  <c r="N59" i="6" s="1"/>
  <c r="CT43" i="6"/>
  <c r="CT31" i="6"/>
  <c r="N31" i="6" s="1"/>
  <c r="CT23" i="6"/>
  <c r="N23" i="6" s="1"/>
  <c r="CT15" i="6"/>
  <c r="N15" i="6" s="1"/>
  <c r="CT47" i="6"/>
  <c r="N47" i="6" s="1"/>
  <c r="CT45" i="6"/>
  <c r="N45" i="6" s="1"/>
  <c r="CT33" i="6"/>
  <c r="CT25" i="6"/>
  <c r="N25" i="6" s="1"/>
  <c r="CT17" i="6"/>
  <c r="N17" i="6" s="1"/>
  <c r="CT51" i="6"/>
  <c r="N51" i="6" s="1"/>
  <c r="CT35" i="6"/>
  <c r="N35" i="6" s="1"/>
  <c r="CT27" i="6"/>
  <c r="N27" i="6" s="1"/>
  <c r="CT19" i="6"/>
  <c r="N19" i="6" s="1"/>
  <c r="CT11" i="6"/>
  <c r="N11" i="6" s="1"/>
  <c r="CT37" i="6"/>
  <c r="N37" i="6" s="1"/>
  <c r="CT21" i="6"/>
  <c r="N21" i="6" s="1"/>
  <c r="CT7" i="6"/>
  <c r="N7" i="6" s="1"/>
  <c r="CT39" i="6"/>
  <c r="N39" i="6" s="1"/>
  <c r="CT13" i="6"/>
  <c r="N13" i="6" s="1"/>
  <c r="CT9" i="6"/>
  <c r="N9" i="6" s="1"/>
  <c r="CT5" i="6"/>
  <c r="N5" i="6" s="1"/>
  <c r="CT29" i="6"/>
  <c r="N29" i="6" s="1"/>
  <c r="P3" i="8"/>
  <c r="O3" i="7"/>
  <c r="O3" i="6"/>
  <c r="N108" i="8"/>
  <c r="N44" i="6"/>
  <c r="O6" i="8"/>
  <c r="N4" i="6"/>
  <c r="N50" i="7"/>
  <c r="O10" i="5"/>
  <c r="O34" i="5"/>
  <c r="N14" i="6"/>
  <c r="O50" i="5"/>
  <c r="O20" i="5"/>
  <c r="O56" i="8"/>
  <c r="O74" i="5"/>
  <c r="N38" i="6"/>
  <c r="N16" i="6"/>
  <c r="O54" i="8"/>
  <c r="O40" i="8"/>
  <c r="N58" i="6"/>
  <c r="O34" i="8"/>
  <c r="N58" i="7"/>
  <c r="O66" i="5"/>
  <c r="N30" i="7"/>
  <c r="O26" i="5"/>
  <c r="N108" i="7"/>
  <c r="N104" i="8"/>
  <c r="O108" i="5"/>
  <c r="O44" i="5"/>
  <c r="N6" i="6"/>
  <c r="O46" i="5"/>
  <c r="O46" i="8"/>
  <c r="N20" i="7"/>
  <c r="N34" i="6"/>
  <c r="O44" i="8"/>
  <c r="N36" i="7"/>
  <c r="O28" i="5"/>
  <c r="O58" i="5"/>
  <c r="N46" i="6"/>
  <c r="O38" i="8"/>
  <c r="N8" i="7"/>
  <c r="N26" i="6"/>
  <c r="O38" i="5"/>
  <c r="N4" i="7"/>
  <c r="O50" i="8"/>
  <c r="O70" i="5"/>
  <c r="O24" i="8"/>
  <c r="O8" i="5"/>
  <c r="O60" i="5"/>
  <c r="O18" i="8"/>
  <c r="N110" i="7"/>
  <c r="O106" i="5"/>
  <c r="O104" i="5"/>
  <c r="N106" i="8"/>
  <c r="N28" i="7"/>
  <c r="N50" i="6"/>
  <c r="O18" i="5"/>
  <c r="N24" i="6"/>
  <c r="O58" i="8"/>
  <c r="N6" i="7"/>
  <c r="O26" i="8"/>
  <c r="N56" i="7"/>
  <c r="N26" i="7"/>
  <c r="N16" i="7"/>
  <c r="N28" i="6"/>
  <c r="O14" i="5"/>
  <c r="O60" i="8"/>
  <c r="N40" i="6"/>
  <c r="N38" i="7"/>
  <c r="N44" i="7"/>
  <c r="O8" i="8"/>
  <c r="O68" i="5"/>
  <c r="O10" i="8"/>
  <c r="N46" i="7"/>
  <c r="N56" i="6"/>
  <c r="N110" i="8"/>
  <c r="N106" i="7"/>
  <c r="N104" i="7"/>
  <c r="O110" i="5"/>
  <c r="O36" i="8"/>
  <c r="N18" i="6"/>
  <c r="N14" i="7"/>
  <c r="O28" i="8"/>
  <c r="O48" i="8"/>
  <c r="O16" i="5"/>
  <c r="N54" i="7"/>
  <c r="N48" i="6"/>
  <c r="N8" i="6"/>
  <c r="O4" i="5"/>
  <c r="O6" i="5"/>
  <c r="N40" i="7"/>
  <c r="O14" i="8"/>
  <c r="N34" i="7"/>
  <c r="O24" i="5"/>
  <c r="O16" i="8"/>
  <c r="N10" i="6"/>
  <c r="N30" i="6"/>
  <c r="N60" i="6"/>
  <c r="N54" i="6"/>
  <c r="N10" i="7"/>
  <c r="N20" i="6"/>
  <c r="O64" i="5"/>
  <c r="O30" i="5"/>
  <c r="N48" i="7"/>
  <c r="N18" i="7"/>
  <c r="O20" i="8"/>
  <c r="O54" i="5"/>
  <c r="O4" i="8"/>
  <c r="O40" i="5"/>
  <c r="N24" i="7"/>
  <c r="O48" i="5"/>
  <c r="O30" i="8"/>
  <c r="N60" i="7"/>
  <c r="N36" i="6"/>
  <c r="O56" i="5"/>
  <c r="O36" i="5"/>
  <c r="CU115" i="6" l="1"/>
  <c r="CU111" i="6"/>
  <c r="CU119" i="6"/>
  <c r="CU117" i="6"/>
  <c r="CU121" i="6"/>
  <c r="CU123" i="6"/>
  <c r="CU105" i="6"/>
  <c r="CU107" i="6"/>
  <c r="CU65" i="6"/>
  <c r="CU71" i="6"/>
  <c r="CU79" i="6"/>
  <c r="CU81" i="6"/>
  <c r="CU109" i="6"/>
  <c r="CU69" i="6"/>
  <c r="CU75" i="6"/>
  <c r="CU83" i="6"/>
  <c r="CU113" i="6"/>
  <c r="CU73" i="6"/>
  <c r="CU77" i="6"/>
  <c r="CU95" i="6"/>
  <c r="CU101" i="6"/>
  <c r="CU103" i="6"/>
  <c r="CU97" i="6"/>
  <c r="CU89" i="6"/>
  <c r="CU93" i="6"/>
  <c r="CU99" i="6"/>
  <c r="CU85" i="6"/>
  <c r="CU87" i="6"/>
  <c r="CU91" i="6"/>
  <c r="CU67" i="6"/>
  <c r="CU109" i="7"/>
  <c r="O109" i="7" s="1"/>
  <c r="CU107" i="7"/>
  <c r="O107" i="7" s="1"/>
  <c r="CU105" i="7"/>
  <c r="O105" i="7" s="1"/>
  <c r="CU113" i="7"/>
  <c r="O113" i="7" s="1"/>
  <c r="CU111" i="7"/>
  <c r="O111" i="7" s="1"/>
  <c r="CU19" i="7"/>
  <c r="O19" i="7" s="1"/>
  <c r="CU15" i="7"/>
  <c r="O15" i="7" s="1"/>
  <c r="CU91" i="7"/>
  <c r="O91" i="7" s="1"/>
  <c r="CU67" i="7"/>
  <c r="O67" i="7" s="1"/>
  <c r="CU65" i="7"/>
  <c r="O65" i="7" s="1"/>
  <c r="CU89" i="7"/>
  <c r="O89" i="7" s="1"/>
  <c r="CU73" i="7"/>
  <c r="O73" i="7" s="1"/>
  <c r="CU21" i="7"/>
  <c r="O21" i="7" s="1"/>
  <c r="CU23" i="7"/>
  <c r="O23" i="7" s="1"/>
  <c r="CU87" i="7"/>
  <c r="O87" i="7" s="1"/>
  <c r="CU85" i="7"/>
  <c r="O85" i="7" s="1"/>
  <c r="CU69" i="7"/>
  <c r="O69" i="7" s="1"/>
  <c r="CU71" i="7"/>
  <c r="O71" i="7" s="1"/>
  <c r="CU17" i="7"/>
  <c r="O17" i="7" s="1"/>
  <c r="CU93" i="7"/>
  <c r="O93" i="7" s="1"/>
  <c r="CU115" i="7"/>
  <c r="O115" i="7" s="1"/>
  <c r="CU29" i="7"/>
  <c r="O29" i="7" s="1"/>
  <c r="CU47" i="7"/>
  <c r="O47" i="7" s="1"/>
  <c r="CU99" i="7"/>
  <c r="O99" i="7" s="1"/>
  <c r="CU103" i="7"/>
  <c r="CU123" i="7"/>
  <c r="O123" i="7" s="1"/>
  <c r="CU121" i="7"/>
  <c r="O121" i="7" s="1"/>
  <c r="CU27" i="7"/>
  <c r="O27" i="7" s="1"/>
  <c r="CU25" i="7"/>
  <c r="O25" i="7" s="1"/>
  <c r="CU45" i="7"/>
  <c r="O45" i="7" s="1"/>
  <c r="CU119" i="7"/>
  <c r="O119" i="7" s="1"/>
  <c r="CU33" i="7"/>
  <c r="O33" i="7" s="1"/>
  <c r="CU53" i="7"/>
  <c r="O53" i="7" s="1"/>
  <c r="CU117" i="7"/>
  <c r="O117" i="7" s="1"/>
  <c r="CU97" i="7"/>
  <c r="O97" i="7" s="1"/>
  <c r="CU101" i="7"/>
  <c r="O101" i="7" s="1"/>
  <c r="CU31" i="7"/>
  <c r="O31" i="7" s="1"/>
  <c r="CU39" i="7"/>
  <c r="O39" i="7" s="1"/>
  <c r="CU7" i="7"/>
  <c r="O7" i="7" s="1"/>
  <c r="CU61" i="7"/>
  <c r="O61" i="7" s="1"/>
  <c r="CU51" i="7"/>
  <c r="O51" i="7" s="1"/>
  <c r="CU49" i="7"/>
  <c r="O49" i="7" s="1"/>
  <c r="CU95" i="7"/>
  <c r="O95" i="7" s="1"/>
  <c r="CU81" i="7"/>
  <c r="O81" i="7" s="1"/>
  <c r="CU37" i="7"/>
  <c r="O37" i="7" s="1"/>
  <c r="CU5" i="7"/>
  <c r="O5" i="7" s="1"/>
  <c r="CU75" i="7"/>
  <c r="O75" i="7" s="1"/>
  <c r="CU63" i="7"/>
  <c r="O63" i="7" s="1"/>
  <c r="CU55" i="7"/>
  <c r="O55" i="7" s="1"/>
  <c r="CU57" i="7"/>
  <c r="O57" i="7" s="1"/>
  <c r="CU83" i="7"/>
  <c r="O83" i="7" s="1"/>
  <c r="CU35" i="7"/>
  <c r="O35" i="7" s="1"/>
  <c r="CU13" i="7"/>
  <c r="O13" i="7" s="1"/>
  <c r="CU77" i="7"/>
  <c r="O77" i="7" s="1"/>
  <c r="CU79" i="7"/>
  <c r="O79" i="7" s="1"/>
  <c r="CU59" i="7"/>
  <c r="O59" i="7" s="1"/>
  <c r="CU43" i="7"/>
  <c r="O43" i="7" s="1"/>
  <c r="CU41" i="7"/>
  <c r="O41" i="7" s="1"/>
  <c r="CU11" i="7"/>
  <c r="O11" i="7" s="1"/>
  <c r="CU9" i="7"/>
  <c r="O9" i="7" s="1"/>
  <c r="O103" i="7"/>
  <c r="N33" i="6"/>
  <c r="O33" i="8"/>
  <c r="O105" i="8"/>
  <c r="O23" i="8"/>
  <c r="O63" i="5"/>
  <c r="O13" i="8"/>
  <c r="O121" i="8"/>
  <c r="N63" i="6"/>
  <c r="O99" i="8"/>
  <c r="O63" i="8"/>
  <c r="O43" i="8"/>
  <c r="O109" i="8"/>
  <c r="O113" i="8"/>
  <c r="O53" i="8"/>
  <c r="O123" i="8"/>
  <c r="O97" i="8"/>
  <c r="O53" i="5"/>
  <c r="O33" i="5"/>
  <c r="N53" i="6"/>
  <c r="O95" i="8"/>
  <c r="N43" i="6"/>
  <c r="O101" i="8"/>
  <c r="O111" i="8"/>
  <c r="O115" i="8"/>
  <c r="O119" i="8"/>
  <c r="O43" i="5"/>
  <c r="O107" i="8"/>
  <c r="O117" i="8"/>
  <c r="O103" i="8"/>
  <c r="Q3" i="5"/>
  <c r="CV105" i="5"/>
  <c r="P105" i="5" s="1"/>
  <c r="CV73" i="5"/>
  <c r="P73" i="5" s="1"/>
  <c r="CV69" i="5"/>
  <c r="P69" i="5" s="1"/>
  <c r="CV65" i="5"/>
  <c r="P65" i="5" s="1"/>
  <c r="CV81" i="5"/>
  <c r="P81" i="5" s="1"/>
  <c r="CV109" i="5"/>
  <c r="P109" i="5" s="1"/>
  <c r="CV111" i="5"/>
  <c r="P111" i="5" s="1"/>
  <c r="CV113" i="5"/>
  <c r="P113" i="5" s="1"/>
  <c r="CV71" i="5"/>
  <c r="P71" i="5" s="1"/>
  <c r="CV67" i="5"/>
  <c r="P67" i="5" s="1"/>
  <c r="CV107" i="5"/>
  <c r="P107" i="5" s="1"/>
  <c r="CV77" i="5"/>
  <c r="P77" i="5" s="1"/>
  <c r="CV7" i="5"/>
  <c r="P7" i="5" s="1"/>
  <c r="CV19" i="5"/>
  <c r="P19" i="5" s="1"/>
  <c r="CV33" i="5"/>
  <c r="CV31" i="5"/>
  <c r="P31" i="5" s="1"/>
  <c r="CV61" i="5"/>
  <c r="P61" i="5" s="1"/>
  <c r="CV57" i="5"/>
  <c r="P57" i="5" s="1"/>
  <c r="CV13" i="5"/>
  <c r="P13" i="5" s="1"/>
  <c r="CV5" i="5"/>
  <c r="P5" i="5" s="1"/>
  <c r="CV37" i="5"/>
  <c r="P37" i="5" s="1"/>
  <c r="CV83" i="5"/>
  <c r="P83" i="5" s="1"/>
  <c r="CV79" i="5"/>
  <c r="P79" i="5" s="1"/>
  <c r="CV75" i="5"/>
  <c r="P75" i="5" s="1"/>
  <c r="CV9" i="5"/>
  <c r="P9" i="5" s="1"/>
  <c r="CV41" i="5"/>
  <c r="P41" i="5" s="1"/>
  <c r="CV23" i="5"/>
  <c r="P23" i="5" s="1"/>
  <c r="CV29" i="5"/>
  <c r="P29" i="5" s="1"/>
  <c r="CV43" i="5"/>
  <c r="CV39" i="5"/>
  <c r="P39" i="5" s="1"/>
  <c r="CV35" i="5"/>
  <c r="P35" i="5" s="1"/>
  <c r="CV21" i="5"/>
  <c r="P21" i="5" s="1"/>
  <c r="CV17" i="5"/>
  <c r="P17" i="5" s="1"/>
  <c r="CV15" i="5"/>
  <c r="P15" i="5" s="1"/>
  <c r="CV103" i="5"/>
  <c r="P103" i="5" s="1"/>
  <c r="CV99" i="5"/>
  <c r="P99" i="5" s="1"/>
  <c r="CV101" i="5"/>
  <c r="P101" i="5" s="1"/>
  <c r="CV97" i="5"/>
  <c r="P97" i="5" s="1"/>
  <c r="CV119" i="5"/>
  <c r="P119" i="5" s="1"/>
  <c r="CV51" i="5"/>
  <c r="P51" i="5" s="1"/>
  <c r="CV47" i="5"/>
  <c r="P47" i="5" s="1"/>
  <c r="CV27" i="5"/>
  <c r="P27" i="5" s="1"/>
  <c r="CV95" i="5"/>
  <c r="P95" i="5" s="1"/>
  <c r="CV123" i="5"/>
  <c r="P123" i="5" s="1"/>
  <c r="CV53" i="5"/>
  <c r="CV49" i="5"/>
  <c r="P49" i="5" s="1"/>
  <c r="CV45" i="5"/>
  <c r="P45" i="5" s="1"/>
  <c r="CV25" i="5"/>
  <c r="P25" i="5" s="1"/>
  <c r="CV63" i="5"/>
  <c r="CV59" i="5"/>
  <c r="P59" i="5" s="1"/>
  <c r="CV55" i="5"/>
  <c r="P55" i="5" s="1"/>
  <c r="CV11" i="5"/>
  <c r="P11" i="5" s="1"/>
  <c r="CV121" i="5"/>
  <c r="P121" i="5" s="1"/>
  <c r="CV93" i="5"/>
  <c r="P93" i="5" s="1"/>
  <c r="CV89" i="5"/>
  <c r="P89" i="5" s="1"/>
  <c r="CV85" i="5"/>
  <c r="P85" i="5" s="1"/>
  <c r="CV115" i="5"/>
  <c r="P115" i="5" s="1"/>
  <c r="CV91" i="5"/>
  <c r="P91" i="5" s="1"/>
  <c r="CV87" i="5"/>
  <c r="P87" i="5" s="1"/>
  <c r="CV117" i="5"/>
  <c r="P117" i="5" s="1"/>
  <c r="CV121" i="8"/>
  <c r="CV103" i="8"/>
  <c r="CV99" i="8"/>
  <c r="CV119" i="8"/>
  <c r="CV123" i="8"/>
  <c r="CV97" i="8"/>
  <c r="CV101" i="8"/>
  <c r="CV95" i="8"/>
  <c r="CV115" i="8"/>
  <c r="CV117" i="8"/>
  <c r="CV45" i="8"/>
  <c r="P45" i="8" s="1"/>
  <c r="CV47" i="8"/>
  <c r="P47" i="8" s="1"/>
  <c r="CV53" i="8"/>
  <c r="CV39" i="8"/>
  <c r="P39" i="8" s="1"/>
  <c r="CV35" i="8"/>
  <c r="P35" i="8" s="1"/>
  <c r="CV41" i="8"/>
  <c r="P41" i="8" s="1"/>
  <c r="CV89" i="8"/>
  <c r="P89" i="8" s="1"/>
  <c r="CV105" i="8"/>
  <c r="CV19" i="8"/>
  <c r="P19" i="8" s="1"/>
  <c r="CV69" i="8"/>
  <c r="P69" i="8" s="1"/>
  <c r="CV73" i="8"/>
  <c r="P73" i="8" s="1"/>
  <c r="CV67" i="8"/>
  <c r="P67" i="8" s="1"/>
  <c r="CV71" i="8"/>
  <c r="P71" i="8" s="1"/>
  <c r="CV59" i="8"/>
  <c r="P59" i="8" s="1"/>
  <c r="CV7" i="8"/>
  <c r="P7" i="8" s="1"/>
  <c r="CV13" i="8"/>
  <c r="CV77" i="8"/>
  <c r="P77" i="8" s="1"/>
  <c r="CV85" i="8"/>
  <c r="P85" i="8" s="1"/>
  <c r="CV113" i="8"/>
  <c r="CV107" i="8"/>
  <c r="CV15" i="8"/>
  <c r="P15" i="8" s="1"/>
  <c r="CV43" i="8"/>
  <c r="CV93" i="8"/>
  <c r="P93" i="8" s="1"/>
  <c r="CV87" i="8"/>
  <c r="P87" i="8" s="1"/>
  <c r="CV111" i="8"/>
  <c r="CV23" i="8"/>
  <c r="CV17" i="8"/>
  <c r="P17" i="8" s="1"/>
  <c r="CV51" i="8"/>
  <c r="P51" i="8" s="1"/>
  <c r="CV49" i="8"/>
  <c r="P49" i="8" s="1"/>
  <c r="CV37" i="8"/>
  <c r="P37" i="8" s="1"/>
  <c r="CV91" i="8"/>
  <c r="P91" i="8" s="1"/>
  <c r="CV109" i="8"/>
  <c r="CV21" i="8"/>
  <c r="P21" i="8" s="1"/>
  <c r="CV11" i="8"/>
  <c r="P11" i="8" s="1"/>
  <c r="CV81" i="8"/>
  <c r="P81" i="8" s="1"/>
  <c r="CV33" i="8"/>
  <c r="CV83" i="8"/>
  <c r="P83" i="8" s="1"/>
  <c r="CV79" i="8"/>
  <c r="P79" i="8" s="1"/>
  <c r="CV25" i="8"/>
  <c r="P25" i="8" s="1"/>
  <c r="CV55" i="8"/>
  <c r="P55" i="8" s="1"/>
  <c r="CV61" i="8"/>
  <c r="P61" i="8" s="1"/>
  <c r="CV63" i="8"/>
  <c r="CV9" i="8"/>
  <c r="P9" i="8" s="1"/>
  <c r="CV5" i="8"/>
  <c r="P5" i="8" s="1"/>
  <c r="CV29" i="8"/>
  <c r="P29" i="8" s="1"/>
  <c r="CV27" i="8"/>
  <c r="P27" i="8" s="1"/>
  <c r="CV65" i="8"/>
  <c r="P65" i="8" s="1"/>
  <c r="CV57" i="8"/>
  <c r="P57" i="8" s="1"/>
  <c r="CV75" i="8"/>
  <c r="P75" i="8" s="1"/>
  <c r="CV31" i="8"/>
  <c r="P31" i="8" s="1"/>
  <c r="CU63" i="6"/>
  <c r="CU55" i="6"/>
  <c r="O55" i="6" s="1"/>
  <c r="CU57" i="6"/>
  <c r="O57" i="6" s="1"/>
  <c r="CU49" i="6"/>
  <c r="O49" i="6" s="1"/>
  <c r="CU59" i="6"/>
  <c r="O59" i="6" s="1"/>
  <c r="CU51" i="6"/>
  <c r="O51" i="6" s="1"/>
  <c r="CU43" i="6"/>
  <c r="CU47" i="6"/>
  <c r="O47" i="6" s="1"/>
  <c r="CU45" i="6"/>
  <c r="O45" i="6" s="1"/>
  <c r="CU33" i="6"/>
  <c r="CU25" i="6"/>
  <c r="O25" i="6" s="1"/>
  <c r="CU17" i="6"/>
  <c r="O17" i="6" s="1"/>
  <c r="CU53" i="6"/>
  <c r="CU35" i="6"/>
  <c r="O35" i="6" s="1"/>
  <c r="CU27" i="6"/>
  <c r="O27" i="6" s="1"/>
  <c r="CU19" i="6"/>
  <c r="O19" i="6" s="1"/>
  <c r="CU39" i="6"/>
  <c r="O39" i="6" s="1"/>
  <c r="CU37" i="6"/>
  <c r="O37" i="6" s="1"/>
  <c r="CU29" i="6"/>
  <c r="O29" i="6" s="1"/>
  <c r="CU21" i="6"/>
  <c r="O21" i="6" s="1"/>
  <c r="CU13" i="6"/>
  <c r="O13" i="6" s="1"/>
  <c r="CU11" i="6"/>
  <c r="O11" i="6" s="1"/>
  <c r="CU9" i="6"/>
  <c r="O9" i="6" s="1"/>
  <c r="CU23" i="6"/>
  <c r="O23" i="6" s="1"/>
  <c r="CU7" i="6"/>
  <c r="O7" i="6" s="1"/>
  <c r="CU31" i="6"/>
  <c r="O31" i="6" s="1"/>
  <c r="CU15" i="6"/>
  <c r="O15" i="6" s="1"/>
  <c r="CU61" i="6"/>
  <c r="O61" i="6" s="1"/>
  <c r="CU41" i="6"/>
  <c r="O41" i="6" s="1"/>
  <c r="CU5" i="6"/>
  <c r="O5" i="6" s="1"/>
  <c r="Q3" i="8"/>
  <c r="P3" i="7"/>
  <c r="P3" i="6"/>
  <c r="O108" i="8"/>
  <c r="P46" i="8"/>
  <c r="P18" i="8"/>
  <c r="O6" i="7"/>
  <c r="P48" i="5"/>
  <c r="O36" i="7"/>
  <c r="P70" i="5"/>
  <c r="P26" i="8"/>
  <c r="O4" i="7"/>
  <c r="O46" i="6"/>
  <c r="O28" i="7"/>
  <c r="O36" i="6"/>
  <c r="P38" i="5"/>
  <c r="O46" i="7"/>
  <c r="P66" i="5"/>
  <c r="O28" i="6"/>
  <c r="P8" i="8"/>
  <c r="P26" i="5"/>
  <c r="O50" i="7"/>
  <c r="O14" i="7"/>
  <c r="P46" i="5"/>
  <c r="P38" i="8"/>
  <c r="O18" i="7"/>
  <c r="P18" i="5"/>
  <c r="O108" i="7"/>
  <c r="O110" i="8"/>
  <c r="P110" i="5"/>
  <c r="O26" i="7"/>
  <c r="O14" i="6"/>
  <c r="P14" i="5"/>
  <c r="O26" i="6"/>
  <c r="P30" i="8"/>
  <c r="P56" i="8"/>
  <c r="O10" i="6"/>
  <c r="P36" i="5"/>
  <c r="P60" i="8"/>
  <c r="O48" i="7"/>
  <c r="P10" i="8"/>
  <c r="O44" i="7"/>
  <c r="P20" i="8"/>
  <c r="O40" i="7"/>
  <c r="P44" i="8"/>
  <c r="O10" i="7"/>
  <c r="P44" i="5"/>
  <c r="P50" i="8"/>
  <c r="O44" i="6"/>
  <c r="O110" i="7"/>
  <c r="P108" i="5"/>
  <c r="P106" i="5"/>
  <c r="O106" i="8"/>
  <c r="P4" i="5"/>
  <c r="O50" i="6"/>
  <c r="O16" i="6"/>
  <c r="P50" i="5"/>
  <c r="O38" i="6"/>
  <c r="P4" i="8"/>
  <c r="P60" i="5"/>
  <c r="P40" i="5"/>
  <c r="O54" i="6"/>
  <c r="P16" i="8"/>
  <c r="O56" i="7"/>
  <c r="P20" i="5"/>
  <c r="O6" i="6"/>
  <c r="O58" i="7"/>
  <c r="P56" i="5"/>
  <c r="P28" i="8"/>
  <c r="P8" i="5"/>
  <c r="P6" i="8"/>
  <c r="P64" i="5"/>
  <c r="O34" i="7"/>
  <c r="O24" i="7"/>
  <c r="P58" i="5"/>
  <c r="O34" i="6"/>
  <c r="P34" i="5"/>
  <c r="O38" i="7"/>
  <c r="O30" i="6"/>
  <c r="P68" i="5"/>
  <c r="P24" i="5"/>
  <c r="O58" i="6"/>
  <c r="P10" i="5"/>
  <c r="O24" i="6"/>
  <c r="P16" i="5"/>
  <c r="O20" i="7"/>
  <c r="P28" i="5"/>
  <c r="O104" i="8"/>
  <c r="O106" i="7"/>
  <c r="O104" i="7"/>
  <c r="P104" i="5"/>
  <c r="O8" i="7"/>
  <c r="P6" i="5"/>
  <c r="P48" i="8"/>
  <c r="P24" i="8"/>
  <c r="O18" i="6"/>
  <c r="P36" i="8"/>
  <c r="P54" i="8"/>
  <c r="P74" i="5"/>
  <c r="O20" i="6"/>
  <c r="O40" i="6"/>
  <c r="O60" i="6"/>
  <c r="P14" i="8"/>
  <c r="P54" i="5"/>
  <c r="O16" i="7"/>
  <c r="O56" i="6"/>
  <c r="O54" i="7"/>
  <c r="P30" i="5"/>
  <c r="O48" i="6"/>
  <c r="O60" i="7"/>
  <c r="O30" i="7"/>
  <c r="O8" i="6"/>
  <c r="P34" i="8"/>
  <c r="P40" i="8"/>
  <c r="O4" i="6"/>
  <c r="P58" i="8"/>
  <c r="CV119" i="6" l="1"/>
  <c r="CV123" i="6"/>
  <c r="CV113" i="6"/>
  <c r="CV117" i="6"/>
  <c r="CV105" i="6"/>
  <c r="CV107" i="6"/>
  <c r="CV121" i="6"/>
  <c r="CV109" i="6"/>
  <c r="CV65" i="6"/>
  <c r="CV71" i="6"/>
  <c r="CV67" i="6"/>
  <c r="CV111" i="6"/>
  <c r="CV69" i="6"/>
  <c r="CV75" i="6"/>
  <c r="CV79" i="6"/>
  <c r="CV83" i="6"/>
  <c r="CV81" i="6"/>
  <c r="CV97" i="6"/>
  <c r="CV101" i="6"/>
  <c r="CV103" i="6"/>
  <c r="CV85" i="6"/>
  <c r="CV115" i="6"/>
  <c r="CV77" i="6"/>
  <c r="CV89" i="6"/>
  <c r="CV93" i="6"/>
  <c r="CV95" i="6"/>
  <c r="CV87" i="6"/>
  <c r="CV91" i="6"/>
  <c r="CV73" i="6"/>
  <c r="CV99" i="6"/>
  <c r="CV113" i="7"/>
  <c r="P113" i="7" s="1"/>
  <c r="CV111" i="7"/>
  <c r="P111" i="7" s="1"/>
  <c r="CV109" i="7"/>
  <c r="CV107" i="7"/>
  <c r="P107" i="7" s="1"/>
  <c r="CV105" i="7"/>
  <c r="P105" i="7" s="1"/>
  <c r="CV67" i="7"/>
  <c r="P67" i="7" s="1"/>
  <c r="P109" i="7"/>
  <c r="CV93" i="7"/>
  <c r="P93" i="7" s="1"/>
  <c r="CV73" i="7"/>
  <c r="P73" i="7" s="1"/>
  <c r="CV65" i="7"/>
  <c r="CV19" i="7"/>
  <c r="P19" i="7" s="1"/>
  <c r="CV85" i="7"/>
  <c r="P85" i="7" s="1"/>
  <c r="CV15" i="7"/>
  <c r="P15" i="7" s="1"/>
  <c r="CV87" i="7"/>
  <c r="P87" i="7" s="1"/>
  <c r="CV17" i="7"/>
  <c r="P17" i="7" s="1"/>
  <c r="CV91" i="7"/>
  <c r="P91" i="7" s="1"/>
  <c r="CV89" i="7"/>
  <c r="P89" i="7" s="1"/>
  <c r="CV71" i="7"/>
  <c r="P71" i="7" s="1"/>
  <c r="CV23" i="7"/>
  <c r="P23" i="7" s="1"/>
  <c r="CV69" i="7"/>
  <c r="P69" i="7" s="1"/>
  <c r="CV117" i="7"/>
  <c r="P117" i="7" s="1"/>
  <c r="CV115" i="7"/>
  <c r="P115" i="7" s="1"/>
  <c r="CV31" i="7"/>
  <c r="P31" i="7" s="1"/>
  <c r="CV49" i="7"/>
  <c r="P49" i="7" s="1"/>
  <c r="CV101" i="7"/>
  <c r="P101" i="7" s="1"/>
  <c r="CV123" i="7"/>
  <c r="P123" i="7" s="1"/>
  <c r="CV29" i="7"/>
  <c r="P29" i="7" s="1"/>
  <c r="CV27" i="7"/>
  <c r="P27" i="7" s="1"/>
  <c r="CV47" i="7"/>
  <c r="P47" i="7" s="1"/>
  <c r="CV95" i="7"/>
  <c r="P95" i="7" s="1"/>
  <c r="CV21" i="7"/>
  <c r="P21" i="7" s="1"/>
  <c r="CV121" i="7"/>
  <c r="P121" i="7" s="1"/>
  <c r="CV25" i="7"/>
  <c r="P25" i="7" s="1"/>
  <c r="CV45" i="7"/>
  <c r="P45" i="7" s="1"/>
  <c r="CV53" i="7"/>
  <c r="P53" i="7" s="1"/>
  <c r="CV51" i="7"/>
  <c r="P51" i="7" s="1"/>
  <c r="CV99" i="7"/>
  <c r="P99" i="7" s="1"/>
  <c r="CV97" i="7"/>
  <c r="P97" i="7" s="1"/>
  <c r="CV75" i="7"/>
  <c r="P75" i="7" s="1"/>
  <c r="CV81" i="7"/>
  <c r="P81" i="7" s="1"/>
  <c r="CV41" i="7"/>
  <c r="P41" i="7" s="1"/>
  <c r="CV9" i="7"/>
  <c r="P9" i="7" s="1"/>
  <c r="CV119" i="7"/>
  <c r="P119" i="7" s="1"/>
  <c r="CV103" i="7"/>
  <c r="P103" i="7" s="1"/>
  <c r="CV83" i="7"/>
  <c r="P83" i="7" s="1"/>
  <c r="CV77" i="7"/>
  <c r="P77" i="7" s="1"/>
  <c r="CV79" i="7"/>
  <c r="P79" i="7" s="1"/>
  <c r="CV39" i="7"/>
  <c r="P39" i="7" s="1"/>
  <c r="CV7" i="7"/>
  <c r="P7" i="7" s="1"/>
  <c r="CV33" i="7"/>
  <c r="P33" i="7" s="1"/>
  <c r="CV55" i="7"/>
  <c r="P55" i="7" s="1"/>
  <c r="CV57" i="7"/>
  <c r="P57" i="7" s="1"/>
  <c r="CV61" i="7"/>
  <c r="P61" i="7" s="1"/>
  <c r="CV37" i="7"/>
  <c r="P37" i="7" s="1"/>
  <c r="CV35" i="7"/>
  <c r="P35" i="7" s="1"/>
  <c r="CV5" i="7"/>
  <c r="P5" i="7" s="1"/>
  <c r="CV43" i="7"/>
  <c r="P43" i="7" s="1"/>
  <c r="CV13" i="7"/>
  <c r="P13" i="7" s="1"/>
  <c r="CV11" i="7"/>
  <c r="P11" i="7" s="1"/>
  <c r="CV59" i="7"/>
  <c r="P59" i="7" s="1"/>
  <c r="CV63" i="7"/>
  <c r="P63" i="7" s="1"/>
  <c r="P65" i="7"/>
  <c r="O33" i="6"/>
  <c r="O63" i="6"/>
  <c r="P43" i="8"/>
  <c r="P63" i="8"/>
  <c r="P23" i="8"/>
  <c r="P95" i="8"/>
  <c r="P119" i="8"/>
  <c r="P111" i="8"/>
  <c r="P101" i="8"/>
  <c r="P99" i="8"/>
  <c r="P33" i="5"/>
  <c r="P33" i="8"/>
  <c r="P107" i="8"/>
  <c r="P13" i="8"/>
  <c r="P105" i="8"/>
  <c r="P117" i="8"/>
  <c r="P97" i="8"/>
  <c r="P103" i="8"/>
  <c r="P109" i="8"/>
  <c r="O53" i="6"/>
  <c r="O43" i="6"/>
  <c r="P113" i="8"/>
  <c r="P53" i="8"/>
  <c r="P115" i="8"/>
  <c r="P123" i="8"/>
  <c r="P121" i="8"/>
  <c r="P63" i="5"/>
  <c r="P53" i="5"/>
  <c r="P43" i="5"/>
  <c r="AM60" i="8"/>
  <c r="AM56" i="8"/>
  <c r="AM54" i="8"/>
  <c r="AM58" i="8"/>
  <c r="AM56" i="5"/>
  <c r="AM60" i="5"/>
  <c r="AM54" i="5"/>
  <c r="AM58" i="5"/>
  <c r="R3" i="5"/>
  <c r="CW107" i="5"/>
  <c r="Q107" i="5" s="1"/>
  <c r="CW65" i="5"/>
  <c r="Q65" i="5" s="1"/>
  <c r="CW71" i="5"/>
  <c r="Q71" i="5" s="1"/>
  <c r="CW111" i="5"/>
  <c r="Q111" i="5" s="1"/>
  <c r="CW105" i="5"/>
  <c r="Q105" i="5" s="1"/>
  <c r="CW69" i="5"/>
  <c r="Q69" i="5" s="1"/>
  <c r="CW77" i="5"/>
  <c r="Q77" i="5" s="1"/>
  <c r="CW113" i="5"/>
  <c r="Q113" i="5" s="1"/>
  <c r="CW109" i="5"/>
  <c r="Q109" i="5" s="1"/>
  <c r="CW67" i="5"/>
  <c r="Q67" i="5" s="1"/>
  <c r="CW79" i="5"/>
  <c r="Q79" i="5" s="1"/>
  <c r="CW81" i="5"/>
  <c r="Q81" i="5" s="1"/>
  <c r="CW59" i="5"/>
  <c r="Q59" i="5" s="1"/>
  <c r="CW11" i="5"/>
  <c r="Q11" i="5" s="1"/>
  <c r="CW9" i="5"/>
  <c r="Q9" i="5" s="1"/>
  <c r="CW41" i="5"/>
  <c r="Q41" i="5" s="1"/>
  <c r="CW39" i="5"/>
  <c r="Q39" i="5" s="1"/>
  <c r="CW17" i="5"/>
  <c r="Q17" i="5" s="1"/>
  <c r="CW15" i="5"/>
  <c r="Q15" i="5" s="1"/>
  <c r="CW99" i="5"/>
  <c r="Q99" i="5" s="1"/>
  <c r="CW73" i="5"/>
  <c r="Q73" i="5" s="1"/>
  <c r="CW29" i="5"/>
  <c r="Q29" i="5" s="1"/>
  <c r="CW33" i="5"/>
  <c r="CW63" i="5"/>
  <c r="CW5" i="5"/>
  <c r="Q5" i="5" s="1"/>
  <c r="CW7" i="5"/>
  <c r="Q7" i="5" s="1"/>
  <c r="CW43" i="5"/>
  <c r="CW103" i="5"/>
  <c r="Q103" i="5" s="1"/>
  <c r="CW75" i="5"/>
  <c r="Q75" i="5" s="1"/>
  <c r="CW27" i="5"/>
  <c r="Q27" i="5" s="1"/>
  <c r="CW57" i="5"/>
  <c r="Q57" i="5" s="1"/>
  <c r="CW13" i="5"/>
  <c r="Q13" i="5" s="1"/>
  <c r="CW19" i="5"/>
  <c r="Q19" i="5" s="1"/>
  <c r="CW21" i="5"/>
  <c r="Q21" i="5" s="1"/>
  <c r="CW97" i="5"/>
  <c r="Q97" i="5" s="1"/>
  <c r="CW83" i="5"/>
  <c r="Q83" i="5" s="1"/>
  <c r="CW35" i="5"/>
  <c r="Q35" i="5" s="1"/>
  <c r="CW95" i="5"/>
  <c r="Q95" i="5" s="1"/>
  <c r="CW53" i="5"/>
  <c r="CW89" i="5"/>
  <c r="Q89" i="5" s="1"/>
  <c r="CW31" i="5"/>
  <c r="Q31" i="5" s="1"/>
  <c r="CW61" i="5"/>
  <c r="Q61" i="5" s="1"/>
  <c r="CW101" i="5"/>
  <c r="Q101" i="5" s="1"/>
  <c r="CW119" i="5"/>
  <c r="Q119" i="5" s="1"/>
  <c r="CW121" i="5"/>
  <c r="Q121" i="5" s="1"/>
  <c r="CW51" i="5"/>
  <c r="Q51" i="5" s="1"/>
  <c r="CW45" i="5"/>
  <c r="Q45" i="5" s="1"/>
  <c r="CW87" i="5"/>
  <c r="Q87" i="5" s="1"/>
  <c r="CW25" i="5"/>
  <c r="Q25" i="5" s="1"/>
  <c r="CW55" i="5"/>
  <c r="Q55" i="5" s="1"/>
  <c r="CW37" i="5"/>
  <c r="Q37" i="5" s="1"/>
  <c r="CW123" i="5"/>
  <c r="Q123" i="5" s="1"/>
  <c r="CW117" i="5"/>
  <c r="Q117" i="5" s="1"/>
  <c r="CW49" i="5"/>
  <c r="Q49" i="5" s="1"/>
  <c r="CW91" i="5"/>
  <c r="Q91" i="5" s="1"/>
  <c r="CW85" i="5"/>
  <c r="Q85" i="5" s="1"/>
  <c r="CW23" i="5"/>
  <c r="Q23" i="5" s="1"/>
  <c r="CW93" i="5"/>
  <c r="Q93" i="5" s="1"/>
  <c r="CW115" i="5"/>
  <c r="Q115" i="5" s="1"/>
  <c r="CW47" i="5"/>
  <c r="Q47" i="5" s="1"/>
  <c r="CW97" i="8"/>
  <c r="CW101" i="8"/>
  <c r="CW121" i="8"/>
  <c r="CW123" i="8"/>
  <c r="CW99" i="8"/>
  <c r="CW95" i="8"/>
  <c r="CW103" i="8"/>
  <c r="CW115" i="8"/>
  <c r="CW117" i="8"/>
  <c r="CW119" i="8"/>
  <c r="CW91" i="8"/>
  <c r="Q91" i="8" s="1"/>
  <c r="CW89" i="8"/>
  <c r="Q89" i="8" s="1"/>
  <c r="CW107" i="8"/>
  <c r="CW21" i="8"/>
  <c r="Q21" i="8" s="1"/>
  <c r="CW71" i="8"/>
  <c r="Q71" i="8" s="1"/>
  <c r="CW69" i="8"/>
  <c r="Q69" i="8" s="1"/>
  <c r="CW65" i="8"/>
  <c r="Q65" i="8" s="1"/>
  <c r="CW61" i="8"/>
  <c r="Q61" i="8" s="1"/>
  <c r="CW63" i="8"/>
  <c r="CW55" i="8"/>
  <c r="Q55" i="8" s="1"/>
  <c r="CW9" i="8"/>
  <c r="Q9" i="8" s="1"/>
  <c r="CW79" i="8"/>
  <c r="Q79" i="8" s="1"/>
  <c r="CW51" i="8"/>
  <c r="Q51" i="8" s="1"/>
  <c r="CW37" i="8"/>
  <c r="Q37" i="8" s="1"/>
  <c r="CW39" i="8"/>
  <c r="Q39" i="8" s="1"/>
  <c r="CW35" i="8"/>
  <c r="Q35" i="8" s="1"/>
  <c r="CW87" i="8"/>
  <c r="Q87" i="8" s="1"/>
  <c r="CW105" i="8"/>
  <c r="CW109" i="8"/>
  <c r="CW17" i="8"/>
  <c r="Q17" i="8" s="1"/>
  <c r="CW15" i="8"/>
  <c r="Q15" i="8" s="1"/>
  <c r="CW45" i="8"/>
  <c r="Q45" i="8" s="1"/>
  <c r="CW47" i="8"/>
  <c r="Q47" i="8" s="1"/>
  <c r="CW49" i="8"/>
  <c r="Q49" i="8" s="1"/>
  <c r="CW41" i="8"/>
  <c r="Q41" i="8" s="1"/>
  <c r="CW43" i="8"/>
  <c r="CW85" i="8"/>
  <c r="Q85" i="8" s="1"/>
  <c r="CW113" i="8"/>
  <c r="CW111" i="8"/>
  <c r="CW53" i="8"/>
  <c r="CW93" i="8"/>
  <c r="Q93" i="8" s="1"/>
  <c r="CW23" i="8"/>
  <c r="CW19" i="8"/>
  <c r="Q19" i="8" s="1"/>
  <c r="CW57" i="8"/>
  <c r="Q57" i="8" s="1"/>
  <c r="CW59" i="8"/>
  <c r="Q59" i="8" s="1"/>
  <c r="CW13" i="8"/>
  <c r="CW83" i="8"/>
  <c r="Q83" i="8" s="1"/>
  <c r="CW25" i="8"/>
  <c r="Q25" i="8" s="1"/>
  <c r="CW67" i="8"/>
  <c r="Q67" i="8" s="1"/>
  <c r="CW7" i="8"/>
  <c r="Q7" i="8" s="1"/>
  <c r="CW75" i="8"/>
  <c r="Q75" i="8" s="1"/>
  <c r="CW33" i="8"/>
  <c r="CW27" i="8"/>
  <c r="Q27" i="8" s="1"/>
  <c r="CW73" i="8"/>
  <c r="Q73" i="8" s="1"/>
  <c r="CW5" i="8"/>
  <c r="Q5" i="8" s="1"/>
  <c r="CW77" i="8"/>
  <c r="Q77" i="8" s="1"/>
  <c r="CW31" i="8"/>
  <c r="Q31" i="8" s="1"/>
  <c r="CW11" i="8"/>
  <c r="Q11" i="8" s="1"/>
  <c r="CW81" i="8"/>
  <c r="Q81" i="8" s="1"/>
  <c r="CW29" i="8"/>
  <c r="Q29" i="8" s="1"/>
  <c r="CV57" i="6"/>
  <c r="P57" i="6" s="1"/>
  <c r="CV49" i="6"/>
  <c r="P49" i="6" s="1"/>
  <c r="CV59" i="6"/>
  <c r="P59" i="6" s="1"/>
  <c r="CV51" i="6"/>
  <c r="P51" i="6" s="1"/>
  <c r="CV61" i="6"/>
  <c r="P61" i="6" s="1"/>
  <c r="CV53" i="6"/>
  <c r="CV45" i="6"/>
  <c r="P45" i="6" s="1"/>
  <c r="CV37" i="6"/>
  <c r="P37" i="6" s="1"/>
  <c r="CV55" i="6"/>
  <c r="P55" i="6" s="1"/>
  <c r="CV35" i="6"/>
  <c r="P35" i="6" s="1"/>
  <c r="CV27" i="6"/>
  <c r="P27" i="6" s="1"/>
  <c r="CV19" i="6"/>
  <c r="P19" i="6" s="1"/>
  <c r="CV39" i="6"/>
  <c r="P39" i="6" s="1"/>
  <c r="CV29" i="6"/>
  <c r="P29" i="6" s="1"/>
  <c r="CV21" i="6"/>
  <c r="P21" i="6" s="1"/>
  <c r="CV63" i="6"/>
  <c r="CV41" i="6"/>
  <c r="P41" i="6" s="1"/>
  <c r="CV31" i="6"/>
  <c r="P31" i="6" s="1"/>
  <c r="CV23" i="6"/>
  <c r="P23" i="6" s="1"/>
  <c r="CV15" i="6"/>
  <c r="P15" i="6" s="1"/>
  <c r="CV43" i="6"/>
  <c r="CV33" i="6"/>
  <c r="CV17" i="6"/>
  <c r="P17" i="6" s="1"/>
  <c r="CV13" i="6"/>
  <c r="P13" i="6" s="1"/>
  <c r="CV11" i="6"/>
  <c r="P11" i="6" s="1"/>
  <c r="CV5" i="6"/>
  <c r="P5" i="6" s="1"/>
  <c r="CV47" i="6"/>
  <c r="P47" i="6" s="1"/>
  <c r="CV25" i="6"/>
  <c r="P25" i="6" s="1"/>
  <c r="CV7" i="6"/>
  <c r="P7" i="6" s="1"/>
  <c r="CV9" i="6"/>
  <c r="P9" i="6" s="1"/>
  <c r="R3" i="8"/>
  <c r="Q3" i="7"/>
  <c r="Q3" i="6"/>
  <c r="P110" i="7"/>
  <c r="Q104" i="5"/>
  <c r="P110" i="8"/>
  <c r="P108" i="8"/>
  <c r="P8" i="6"/>
  <c r="P34" i="6"/>
  <c r="P50" i="6"/>
  <c r="P10" i="6"/>
  <c r="P18" i="6"/>
  <c r="Q24" i="5"/>
  <c r="Q50" i="8"/>
  <c r="Q68" i="5"/>
  <c r="Q10" i="5"/>
  <c r="Q56" i="5"/>
  <c r="P36" i="6"/>
  <c r="Q26" i="8"/>
  <c r="P26" i="7"/>
  <c r="P34" i="7"/>
  <c r="P58" i="6"/>
  <c r="P48" i="6"/>
  <c r="Q46" i="5"/>
  <c r="P4" i="6"/>
  <c r="Q50" i="5"/>
  <c r="Q40" i="5"/>
  <c r="Q34" i="5"/>
  <c r="Q66" i="5"/>
  <c r="P8" i="7"/>
  <c r="P58" i="7"/>
  <c r="P14" i="7"/>
  <c r="P54" i="7"/>
  <c r="Q24" i="8"/>
  <c r="Q46" i="8"/>
  <c r="Q70" i="5"/>
  <c r="P20" i="6"/>
  <c r="Q58" i="5"/>
  <c r="P44" i="6"/>
  <c r="Q28" i="8"/>
  <c r="P104" i="7"/>
  <c r="P108" i="7"/>
  <c r="Q40" i="8"/>
  <c r="Q30" i="8"/>
  <c r="Q48" i="5"/>
  <c r="P38" i="6"/>
  <c r="Q34" i="8"/>
  <c r="P6" i="6"/>
  <c r="P28" i="6"/>
  <c r="Q64" i="5"/>
  <c r="P60" i="7"/>
  <c r="Q38" i="5"/>
  <c r="Q8" i="5"/>
  <c r="P40" i="7"/>
  <c r="P60" i="6"/>
  <c r="Q106" i="5"/>
  <c r="P104" i="8"/>
  <c r="P44" i="7"/>
  <c r="P28" i="7"/>
  <c r="P30" i="7"/>
  <c r="P36" i="7"/>
  <c r="P20" i="7"/>
  <c r="Q14" i="5"/>
  <c r="P16" i="7"/>
  <c r="P48" i="7"/>
  <c r="Q26" i="5"/>
  <c r="Q44" i="5"/>
  <c r="P54" i="6"/>
  <c r="Q56" i="8"/>
  <c r="Q16" i="8"/>
  <c r="P10" i="7"/>
  <c r="Q8" i="8"/>
  <c r="Q36" i="8"/>
  <c r="P16" i="6"/>
  <c r="Q108" i="5"/>
  <c r="P106" i="7"/>
  <c r="P46" i="7"/>
  <c r="P4" i="7"/>
  <c r="Q10" i="8"/>
  <c r="Q4" i="5"/>
  <c r="P56" i="6"/>
  <c r="Q28" i="5"/>
  <c r="Q20" i="8"/>
  <c r="Q60" i="8"/>
  <c r="P50" i="7"/>
  <c r="Q54" i="8"/>
  <c r="Q4" i="8"/>
  <c r="Q30" i="5"/>
  <c r="Q6" i="8"/>
  <c r="Q48" i="8"/>
  <c r="P56" i="7"/>
  <c r="Q38" i="8"/>
  <c r="P6" i="7"/>
  <c r="P38" i="7"/>
  <c r="P106" i="8"/>
  <c r="Q44" i="8"/>
  <c r="P14" i="6"/>
  <c r="Q60" i="5"/>
  <c r="Q6" i="5"/>
  <c r="P18" i="7"/>
  <c r="P26" i="6"/>
  <c r="P46" i="6"/>
  <c r="Q16" i="5"/>
  <c r="Q36" i="5"/>
  <c r="P24" i="7"/>
  <c r="P24" i="6"/>
  <c r="Q58" i="8"/>
  <c r="Q110" i="5"/>
  <c r="Q14" i="8"/>
  <c r="Q18" i="5"/>
  <c r="Q74" i="5"/>
  <c r="P30" i="6"/>
  <c r="Q18" i="8"/>
  <c r="P40" i="6"/>
  <c r="Q20" i="5"/>
  <c r="Q54" i="5"/>
  <c r="CW115" i="6" l="1"/>
  <c r="CW121" i="6"/>
  <c r="CW105" i="6"/>
  <c r="CW107" i="6"/>
  <c r="CW109" i="6"/>
  <c r="CW119" i="6"/>
  <c r="CW123" i="6"/>
  <c r="CW117" i="6"/>
  <c r="CW113" i="6"/>
  <c r="CW111" i="6"/>
  <c r="CW65" i="6"/>
  <c r="CW67" i="6"/>
  <c r="CW69" i="6"/>
  <c r="CW75" i="6"/>
  <c r="CW83" i="6"/>
  <c r="CW73" i="6"/>
  <c r="CW79" i="6"/>
  <c r="CW81" i="6"/>
  <c r="CW85" i="6"/>
  <c r="CW87" i="6"/>
  <c r="CW71" i="6"/>
  <c r="CW99" i="6"/>
  <c r="CW103" i="6"/>
  <c r="CW89" i="6"/>
  <c r="CW91" i="6"/>
  <c r="CW93" i="6"/>
  <c r="CW101" i="6"/>
  <c r="CW95" i="6"/>
  <c r="CW97" i="6"/>
  <c r="CW77" i="6"/>
  <c r="AM54" i="7"/>
  <c r="AM60" i="7"/>
  <c r="AM56" i="7"/>
  <c r="AM58" i="7"/>
  <c r="CW105" i="7"/>
  <c r="Q105" i="7" s="1"/>
  <c r="CW111" i="7"/>
  <c r="Q111" i="7" s="1"/>
  <c r="CW109" i="7"/>
  <c r="Q109" i="7" s="1"/>
  <c r="CW107" i="7"/>
  <c r="Q107" i="7" s="1"/>
  <c r="CW113" i="7"/>
  <c r="Q113" i="7" s="1"/>
  <c r="CW23" i="7"/>
  <c r="Q23" i="7" s="1"/>
  <c r="CW73" i="7"/>
  <c r="Q73" i="7" s="1"/>
  <c r="CW71" i="7"/>
  <c r="Q71" i="7" s="1"/>
  <c r="CW19" i="7"/>
  <c r="Q19" i="7" s="1"/>
  <c r="CW65" i="7"/>
  <c r="Q65" i="7" s="1"/>
  <c r="CW17" i="7"/>
  <c r="Q17" i="7" s="1"/>
  <c r="CW85" i="7"/>
  <c r="Q85" i="7" s="1"/>
  <c r="CW69" i="7"/>
  <c r="Q69" i="7" s="1"/>
  <c r="CW67" i="7"/>
  <c r="Q67" i="7" s="1"/>
  <c r="CW21" i="7"/>
  <c r="Q21" i="7" s="1"/>
  <c r="CW87" i="7"/>
  <c r="Q87" i="7" s="1"/>
  <c r="CW89" i="7"/>
  <c r="CW15" i="7"/>
  <c r="Q15" i="7" s="1"/>
  <c r="CW119" i="7"/>
  <c r="Q119" i="7" s="1"/>
  <c r="CW117" i="7"/>
  <c r="Q117" i="7" s="1"/>
  <c r="CW33" i="7"/>
  <c r="Q33" i="7" s="1"/>
  <c r="CW51" i="7"/>
  <c r="Q51" i="7" s="1"/>
  <c r="CW103" i="7"/>
  <c r="Q103" i="7" s="1"/>
  <c r="CW93" i="7"/>
  <c r="Q93" i="7" s="1"/>
  <c r="CW115" i="7"/>
  <c r="Q115" i="7" s="1"/>
  <c r="CW31" i="7"/>
  <c r="Q31" i="7" s="1"/>
  <c r="CW29" i="7"/>
  <c r="Q29" i="7" s="1"/>
  <c r="CW49" i="7"/>
  <c r="Q49" i="7" s="1"/>
  <c r="CW97" i="7"/>
  <c r="Q97" i="7" s="1"/>
  <c r="CW123" i="7"/>
  <c r="Q123" i="7" s="1"/>
  <c r="CW27" i="7"/>
  <c r="Q27" i="7" s="1"/>
  <c r="CW47" i="7"/>
  <c r="Q47" i="7" s="1"/>
  <c r="CW45" i="7"/>
  <c r="Q45" i="7" s="1"/>
  <c r="CW91" i="7"/>
  <c r="Q91" i="7" s="1"/>
  <c r="CW25" i="7"/>
  <c r="Q25" i="7" s="1"/>
  <c r="CW101" i="7"/>
  <c r="Q101" i="7" s="1"/>
  <c r="CW79" i="7"/>
  <c r="Q79" i="7" s="1"/>
  <c r="CW53" i="7"/>
  <c r="Q53" i="7" s="1"/>
  <c r="CW77" i="7"/>
  <c r="Q77" i="7" s="1"/>
  <c r="CW43" i="7"/>
  <c r="Q43" i="7" s="1"/>
  <c r="CW11" i="7"/>
  <c r="Q11" i="7" s="1"/>
  <c r="CW95" i="7"/>
  <c r="Q95" i="7" s="1"/>
  <c r="CW99" i="7"/>
  <c r="Q99" i="7" s="1"/>
  <c r="CW75" i="7"/>
  <c r="Q75" i="7" s="1"/>
  <c r="CW41" i="7"/>
  <c r="Q41" i="7" s="1"/>
  <c r="CW9" i="7"/>
  <c r="Q9" i="7" s="1"/>
  <c r="CW39" i="7"/>
  <c r="Q39" i="7" s="1"/>
  <c r="CW37" i="7"/>
  <c r="Q37" i="7" s="1"/>
  <c r="CW7" i="7"/>
  <c r="Q7" i="7" s="1"/>
  <c r="CW5" i="7"/>
  <c r="Q5" i="7" s="1"/>
  <c r="CW61" i="7"/>
  <c r="Q61" i="7" s="1"/>
  <c r="CW57" i="7"/>
  <c r="Q57" i="7" s="1"/>
  <c r="CW59" i="7"/>
  <c r="Q59" i="7" s="1"/>
  <c r="CW63" i="7"/>
  <c r="Q63" i="7" s="1"/>
  <c r="CW121" i="7"/>
  <c r="Q121" i="7" s="1"/>
  <c r="CW81" i="7"/>
  <c r="Q81" i="7" s="1"/>
  <c r="CW83" i="7"/>
  <c r="Q83" i="7" s="1"/>
  <c r="CW35" i="7"/>
  <c r="Q35" i="7" s="1"/>
  <c r="CW13" i="7"/>
  <c r="Q13" i="7" s="1"/>
  <c r="CW55" i="7"/>
  <c r="Q55" i="7" s="1"/>
  <c r="Q89" i="7"/>
  <c r="Q109" i="8"/>
  <c r="Q107" i="8"/>
  <c r="P63" i="6"/>
  <c r="P53" i="6"/>
  <c r="Q33" i="8"/>
  <c r="Q53" i="8"/>
  <c r="Q43" i="8"/>
  <c r="Q105" i="8"/>
  <c r="Q115" i="8"/>
  <c r="Q123" i="8"/>
  <c r="Q63" i="5"/>
  <c r="P43" i="6"/>
  <c r="Q97" i="8"/>
  <c r="Q63" i="8"/>
  <c r="Q121" i="8"/>
  <c r="Q53" i="5"/>
  <c r="Q43" i="5"/>
  <c r="Q33" i="5"/>
  <c r="Q117" i="8"/>
  <c r="Q111" i="8"/>
  <c r="Q103" i="8"/>
  <c r="P33" i="6"/>
  <c r="Q13" i="8"/>
  <c r="Q23" i="8"/>
  <c r="Q113" i="8"/>
  <c r="Q119" i="8"/>
  <c r="Q95" i="8"/>
  <c r="Q101" i="8"/>
  <c r="Q99" i="8"/>
  <c r="AM54" i="6"/>
  <c r="AM56" i="6"/>
  <c r="AM60" i="6"/>
  <c r="AM58" i="6"/>
  <c r="S3" i="5"/>
  <c r="CX111" i="5"/>
  <c r="R111" i="5" s="1"/>
  <c r="CX113" i="5"/>
  <c r="R113" i="5" s="1"/>
  <c r="CX71" i="5"/>
  <c r="R71" i="5" s="1"/>
  <c r="CX67" i="5"/>
  <c r="R67" i="5" s="1"/>
  <c r="CX83" i="5"/>
  <c r="R83" i="5" s="1"/>
  <c r="CX79" i="5"/>
  <c r="R79" i="5" s="1"/>
  <c r="CX75" i="5"/>
  <c r="R75" i="5" s="1"/>
  <c r="CX109" i="5"/>
  <c r="R109" i="5" s="1"/>
  <c r="CX105" i="5"/>
  <c r="R105" i="5" s="1"/>
  <c r="CX107" i="5"/>
  <c r="R107" i="5" s="1"/>
  <c r="CX73" i="5"/>
  <c r="R73" i="5" s="1"/>
  <c r="CX69" i="5"/>
  <c r="R69" i="5" s="1"/>
  <c r="CX65" i="5"/>
  <c r="R65" i="5" s="1"/>
  <c r="CX33" i="5"/>
  <c r="CX61" i="5"/>
  <c r="R61" i="5" s="1"/>
  <c r="CX57" i="5"/>
  <c r="R57" i="5" s="1"/>
  <c r="CX13" i="5"/>
  <c r="R13" i="5" s="1"/>
  <c r="CX41" i="5"/>
  <c r="R41" i="5" s="1"/>
  <c r="CX37" i="5"/>
  <c r="R37" i="5" s="1"/>
  <c r="CX39" i="5"/>
  <c r="R39" i="5" s="1"/>
  <c r="CX23" i="5"/>
  <c r="R23" i="5" s="1"/>
  <c r="CX19" i="5"/>
  <c r="R19" i="5" s="1"/>
  <c r="CX15" i="5"/>
  <c r="R15" i="5" s="1"/>
  <c r="CX101" i="5"/>
  <c r="R101" i="5" s="1"/>
  <c r="CX97" i="5"/>
  <c r="R97" i="5" s="1"/>
  <c r="CX25" i="5"/>
  <c r="R25" i="5" s="1"/>
  <c r="CX31" i="5"/>
  <c r="R31" i="5" s="1"/>
  <c r="CX29" i="5"/>
  <c r="R29" i="5" s="1"/>
  <c r="CX27" i="5"/>
  <c r="R27" i="5" s="1"/>
  <c r="CX63" i="5"/>
  <c r="CX59" i="5"/>
  <c r="R59" i="5" s="1"/>
  <c r="CX55" i="5"/>
  <c r="R55" i="5" s="1"/>
  <c r="CX9" i="5"/>
  <c r="R9" i="5" s="1"/>
  <c r="CX35" i="5"/>
  <c r="R35" i="5" s="1"/>
  <c r="CX17" i="5"/>
  <c r="R17" i="5" s="1"/>
  <c r="CX77" i="5"/>
  <c r="R77" i="5" s="1"/>
  <c r="CX7" i="5"/>
  <c r="R7" i="5" s="1"/>
  <c r="CX5" i="5"/>
  <c r="R5" i="5" s="1"/>
  <c r="CX43" i="5"/>
  <c r="CX119" i="5"/>
  <c r="R119" i="5" s="1"/>
  <c r="CX115" i="5"/>
  <c r="R115" i="5" s="1"/>
  <c r="CX91" i="5"/>
  <c r="R91" i="5" s="1"/>
  <c r="CX87" i="5"/>
  <c r="R87" i="5" s="1"/>
  <c r="CX21" i="5"/>
  <c r="R21" i="5" s="1"/>
  <c r="CX103" i="5"/>
  <c r="R103" i="5" s="1"/>
  <c r="CX99" i="5"/>
  <c r="R99" i="5" s="1"/>
  <c r="CX95" i="5"/>
  <c r="R95" i="5" s="1"/>
  <c r="CX123" i="5"/>
  <c r="R123" i="5" s="1"/>
  <c r="CX117" i="5"/>
  <c r="R117" i="5" s="1"/>
  <c r="CX93" i="5"/>
  <c r="R93" i="5" s="1"/>
  <c r="CX89" i="5"/>
  <c r="R89" i="5" s="1"/>
  <c r="CX85" i="5"/>
  <c r="R85" i="5" s="1"/>
  <c r="CX81" i="5"/>
  <c r="R81" i="5" s="1"/>
  <c r="CX121" i="5"/>
  <c r="R121" i="5" s="1"/>
  <c r="CX51" i="5"/>
  <c r="R51" i="5" s="1"/>
  <c r="CX47" i="5"/>
  <c r="R47" i="5" s="1"/>
  <c r="CX11" i="5"/>
  <c r="R11" i="5" s="1"/>
  <c r="CX49" i="5"/>
  <c r="R49" i="5" s="1"/>
  <c r="CX45" i="5"/>
  <c r="R45" i="5" s="1"/>
  <c r="CX53" i="5"/>
  <c r="CX99" i="8"/>
  <c r="CX115" i="8"/>
  <c r="CX123" i="8"/>
  <c r="CX103" i="8"/>
  <c r="CX97" i="8"/>
  <c r="CX101" i="8"/>
  <c r="CX95" i="8"/>
  <c r="CX117" i="8"/>
  <c r="CX119" i="8"/>
  <c r="CX121" i="8"/>
  <c r="CX49" i="8"/>
  <c r="R49" i="8" s="1"/>
  <c r="CX51" i="8"/>
  <c r="R51" i="8" s="1"/>
  <c r="CX37" i="8"/>
  <c r="R37" i="8" s="1"/>
  <c r="CX43" i="8"/>
  <c r="CX93" i="8"/>
  <c r="R93" i="8" s="1"/>
  <c r="CX109" i="8"/>
  <c r="CX23" i="8"/>
  <c r="CX73" i="8"/>
  <c r="R73" i="8" s="1"/>
  <c r="CX71" i="8"/>
  <c r="R71" i="8" s="1"/>
  <c r="CX63" i="8"/>
  <c r="CX11" i="8"/>
  <c r="R11" i="8" s="1"/>
  <c r="CX5" i="8"/>
  <c r="R5" i="8" s="1"/>
  <c r="CX81" i="8"/>
  <c r="R81" i="8" s="1"/>
  <c r="CX83" i="8"/>
  <c r="R83" i="8" s="1"/>
  <c r="CX39" i="8"/>
  <c r="R39" i="8" s="1"/>
  <c r="CX89" i="8"/>
  <c r="R89" i="8" s="1"/>
  <c r="CX107" i="8"/>
  <c r="CX111" i="8"/>
  <c r="CX113" i="8"/>
  <c r="CX19" i="8"/>
  <c r="R19" i="8" s="1"/>
  <c r="CX21" i="8"/>
  <c r="R21" i="8" s="1"/>
  <c r="CX17" i="8"/>
  <c r="R17" i="8" s="1"/>
  <c r="CX47" i="8"/>
  <c r="R47" i="8" s="1"/>
  <c r="CX35" i="8"/>
  <c r="R35" i="8" s="1"/>
  <c r="CX87" i="8"/>
  <c r="R87" i="8" s="1"/>
  <c r="CX91" i="8"/>
  <c r="R91" i="8" s="1"/>
  <c r="CX53" i="8"/>
  <c r="CX45" i="8"/>
  <c r="R45" i="8" s="1"/>
  <c r="CX41" i="8"/>
  <c r="R41" i="8" s="1"/>
  <c r="CX85" i="8"/>
  <c r="R85" i="8" s="1"/>
  <c r="CX105" i="8"/>
  <c r="CX15" i="8"/>
  <c r="R15" i="8" s="1"/>
  <c r="CX67" i="8"/>
  <c r="R67" i="8" s="1"/>
  <c r="CX55" i="8"/>
  <c r="R55" i="8" s="1"/>
  <c r="CX27" i="8"/>
  <c r="R27" i="8" s="1"/>
  <c r="CX61" i="8"/>
  <c r="R61" i="8" s="1"/>
  <c r="CX77" i="8"/>
  <c r="R77" i="8" s="1"/>
  <c r="CX65" i="8"/>
  <c r="R65" i="8" s="1"/>
  <c r="CX13" i="8"/>
  <c r="CX79" i="8"/>
  <c r="R79" i="8" s="1"/>
  <c r="CX75" i="8"/>
  <c r="R75" i="8" s="1"/>
  <c r="CX25" i="8"/>
  <c r="R25" i="8" s="1"/>
  <c r="CX31" i="8"/>
  <c r="R31" i="8" s="1"/>
  <c r="CX69" i="8"/>
  <c r="R69" i="8" s="1"/>
  <c r="CX59" i="8"/>
  <c r="R59" i="8" s="1"/>
  <c r="CX7" i="8"/>
  <c r="R7" i="8" s="1"/>
  <c r="CX9" i="8"/>
  <c r="R9" i="8" s="1"/>
  <c r="CX29" i="8"/>
  <c r="R29" i="8" s="1"/>
  <c r="CX33" i="8"/>
  <c r="CX57" i="8"/>
  <c r="R57" i="8" s="1"/>
  <c r="CW59" i="6"/>
  <c r="Q59" i="6" s="1"/>
  <c r="CW51" i="6"/>
  <c r="Q51" i="6" s="1"/>
  <c r="CW61" i="6"/>
  <c r="Q61" i="6" s="1"/>
  <c r="CW53" i="6"/>
  <c r="CW63" i="6"/>
  <c r="CW55" i="6"/>
  <c r="Q55" i="6" s="1"/>
  <c r="CW47" i="6"/>
  <c r="Q47" i="6" s="1"/>
  <c r="CW39" i="6"/>
  <c r="Q39" i="6" s="1"/>
  <c r="CW57" i="6"/>
  <c r="Q57" i="6" s="1"/>
  <c r="CW29" i="6"/>
  <c r="Q29" i="6" s="1"/>
  <c r="CW21" i="6"/>
  <c r="Q21" i="6" s="1"/>
  <c r="CW13" i="6"/>
  <c r="Q13" i="6" s="1"/>
  <c r="CW41" i="6"/>
  <c r="Q41" i="6" s="1"/>
  <c r="CW37" i="6"/>
  <c r="Q37" i="6" s="1"/>
  <c r="CW31" i="6"/>
  <c r="Q31" i="6" s="1"/>
  <c r="CW23" i="6"/>
  <c r="Q23" i="6" s="1"/>
  <c r="CW15" i="6"/>
  <c r="Q15" i="6" s="1"/>
  <c r="CW49" i="6"/>
  <c r="Q49" i="6" s="1"/>
  <c r="CW43" i="6"/>
  <c r="CW33" i="6"/>
  <c r="CW25" i="6"/>
  <c r="Q25" i="6" s="1"/>
  <c r="CW17" i="6"/>
  <c r="Q17" i="6" s="1"/>
  <c r="CW35" i="6"/>
  <c r="Q35" i="6" s="1"/>
  <c r="CW19" i="6"/>
  <c r="Q19" i="6" s="1"/>
  <c r="CW5" i="6"/>
  <c r="Q5" i="6" s="1"/>
  <c r="CW45" i="6"/>
  <c r="Q45" i="6" s="1"/>
  <c r="CW7" i="6"/>
  <c r="Q7" i="6" s="1"/>
  <c r="CW27" i="6"/>
  <c r="Q27" i="6" s="1"/>
  <c r="CW11" i="6"/>
  <c r="Q11" i="6" s="1"/>
  <c r="CW9" i="6"/>
  <c r="Q9" i="6" s="1"/>
  <c r="S3" i="8"/>
  <c r="R3" i="7"/>
  <c r="R3" i="6"/>
  <c r="R110" i="5"/>
  <c r="R106" i="5"/>
  <c r="Q104" i="8"/>
  <c r="R48" i="5"/>
  <c r="R60" i="8"/>
  <c r="Q54" i="7"/>
  <c r="Q34" i="7"/>
  <c r="Q14" i="6"/>
  <c r="R8" i="5"/>
  <c r="R34" i="5"/>
  <c r="Q40" i="6"/>
  <c r="R40" i="8"/>
  <c r="Q44" i="6"/>
  <c r="Q58" i="7"/>
  <c r="R74" i="5"/>
  <c r="R44" i="5"/>
  <c r="R48" i="8"/>
  <c r="R64" i="5"/>
  <c r="Q60" i="6"/>
  <c r="R14" i="5"/>
  <c r="R40" i="5"/>
  <c r="Q16" i="7"/>
  <c r="R70" i="5"/>
  <c r="R36" i="8"/>
  <c r="Q48" i="7"/>
  <c r="Q104" i="7"/>
  <c r="R104" i="5"/>
  <c r="Q108" i="7"/>
  <c r="R46" i="5"/>
  <c r="Q4" i="7"/>
  <c r="R50" i="5"/>
  <c r="Q18" i="7"/>
  <c r="Q50" i="6"/>
  <c r="R56" i="8"/>
  <c r="Q16" i="6"/>
  <c r="Q60" i="7"/>
  <c r="Q44" i="7"/>
  <c r="R10" i="5"/>
  <c r="R36" i="5"/>
  <c r="Q46" i="6"/>
  <c r="R28" i="5"/>
  <c r="R54" i="8"/>
  <c r="Q14" i="7"/>
  <c r="R26" i="8"/>
  <c r="R26" i="5"/>
  <c r="R66" i="5"/>
  <c r="Q30" i="6"/>
  <c r="Q38" i="6"/>
  <c r="Q10" i="6"/>
  <c r="Q108" i="8"/>
  <c r="Q110" i="7"/>
  <c r="Q106" i="7"/>
  <c r="Q110" i="8"/>
  <c r="Q26" i="6"/>
  <c r="R24" i="5"/>
  <c r="R4" i="8"/>
  <c r="Q6" i="7"/>
  <c r="R56" i="5"/>
  <c r="R6" i="8"/>
  <c r="R10" i="8"/>
  <c r="Q56" i="7"/>
  <c r="R14" i="8"/>
  <c r="R28" i="8"/>
  <c r="R54" i="5"/>
  <c r="Q34" i="6"/>
  <c r="R8" i="8"/>
  <c r="Q48" i="6"/>
  <c r="R24" i="8"/>
  <c r="R46" i="8"/>
  <c r="Q58" i="6"/>
  <c r="Q38" i="7"/>
  <c r="Q24" i="7"/>
  <c r="Q40" i="7"/>
  <c r="R50" i="8"/>
  <c r="Q106" i="8"/>
  <c r="R108" i="5"/>
  <c r="R30" i="8"/>
  <c r="R34" i="8"/>
  <c r="Q26" i="7"/>
  <c r="Q50" i="7"/>
  <c r="R4" i="5"/>
  <c r="Q46" i="7"/>
  <c r="R58" i="5"/>
  <c r="R38" i="8"/>
  <c r="R38" i="5"/>
  <c r="Q6" i="6"/>
  <c r="Q28" i="6"/>
  <c r="R18" i="8"/>
  <c r="Q8" i="6"/>
  <c r="R16" i="5"/>
  <c r="R30" i="5"/>
  <c r="R68" i="5"/>
  <c r="Q56" i="6"/>
  <c r="Q28" i="7"/>
  <c r="Q24" i="6"/>
  <c r="R44" i="8"/>
  <c r="Q18" i="6"/>
  <c r="R20" i="8"/>
  <c r="Q36" i="7"/>
  <c r="R60" i="5"/>
  <c r="Q36" i="6"/>
  <c r="Q20" i="7"/>
  <c r="Q10" i="7"/>
  <c r="Q30" i="7"/>
  <c r="Q8" i="7"/>
  <c r="R18" i="5"/>
  <c r="Q20" i="6"/>
  <c r="Q4" i="6"/>
  <c r="R58" i="8"/>
  <c r="Q54" i="6"/>
  <c r="R16" i="8"/>
  <c r="R20" i="5"/>
  <c r="R6" i="5"/>
  <c r="CX115" i="6" l="1"/>
  <c r="CX121" i="6"/>
  <c r="CX111" i="6"/>
  <c r="CX117" i="6"/>
  <c r="CX123" i="6"/>
  <c r="CX109" i="6"/>
  <c r="CX107" i="6"/>
  <c r="CX113" i="6"/>
  <c r="CX65" i="6"/>
  <c r="CX105" i="6"/>
  <c r="CX75" i="6"/>
  <c r="CX95" i="6"/>
  <c r="CX119" i="6"/>
  <c r="CX67" i="6"/>
  <c r="CX71" i="6"/>
  <c r="CX81" i="6"/>
  <c r="CX83" i="6"/>
  <c r="CX97" i="6"/>
  <c r="CX103" i="6"/>
  <c r="CX87" i="6"/>
  <c r="CX79" i="6"/>
  <c r="CX85" i="6"/>
  <c r="CX91" i="6"/>
  <c r="CX101" i="6"/>
  <c r="CX69" i="6"/>
  <c r="CX73" i="6"/>
  <c r="CX99" i="6"/>
  <c r="CX77" i="6"/>
  <c r="CX89" i="6"/>
  <c r="CX93" i="6"/>
  <c r="CX107" i="7"/>
  <c r="CX105" i="7"/>
  <c r="R105" i="7" s="1"/>
  <c r="CX113" i="7"/>
  <c r="R113" i="7" s="1"/>
  <c r="CX111" i="7"/>
  <c r="R111" i="7" s="1"/>
  <c r="CX109" i="7"/>
  <c r="R109" i="7" s="1"/>
  <c r="CX21" i="7"/>
  <c r="R21" i="7" s="1"/>
  <c r="CX65" i="7"/>
  <c r="R65" i="7" s="1"/>
  <c r="CX73" i="7"/>
  <c r="R73" i="7" s="1"/>
  <c r="R107" i="7"/>
  <c r="CX85" i="7"/>
  <c r="R85" i="7" s="1"/>
  <c r="CX19" i="7"/>
  <c r="R19" i="7" s="1"/>
  <c r="CX23" i="7"/>
  <c r="R23" i="7" s="1"/>
  <c r="CX93" i="7"/>
  <c r="R93" i="7" s="1"/>
  <c r="CX89" i="7"/>
  <c r="R89" i="7" s="1"/>
  <c r="CX15" i="7"/>
  <c r="R15" i="7" s="1"/>
  <c r="CX71" i="7"/>
  <c r="R71" i="7" s="1"/>
  <c r="CX69" i="7"/>
  <c r="R69" i="7" s="1"/>
  <c r="CX87" i="7"/>
  <c r="R87" i="7" s="1"/>
  <c r="CX17" i="7"/>
  <c r="R17" i="7" s="1"/>
  <c r="CX91" i="7"/>
  <c r="R91" i="7" s="1"/>
  <c r="CX67" i="7"/>
  <c r="R67" i="7" s="1"/>
  <c r="CX121" i="7"/>
  <c r="R121" i="7" s="1"/>
  <c r="CX119" i="7"/>
  <c r="R119" i="7" s="1"/>
  <c r="CX25" i="7"/>
  <c r="R25" i="7" s="1"/>
  <c r="CX53" i="7"/>
  <c r="R53" i="7" s="1"/>
  <c r="CX117" i="7"/>
  <c r="R117" i="7" s="1"/>
  <c r="CX33" i="7"/>
  <c r="R33" i="7" s="1"/>
  <c r="CX31" i="7"/>
  <c r="R31" i="7" s="1"/>
  <c r="CX51" i="7"/>
  <c r="R51" i="7" s="1"/>
  <c r="CX99" i="7"/>
  <c r="R99" i="7" s="1"/>
  <c r="CX115" i="7"/>
  <c r="R115" i="7" s="1"/>
  <c r="CX29" i="7"/>
  <c r="R29" i="7" s="1"/>
  <c r="CX49" i="7"/>
  <c r="R49" i="7" s="1"/>
  <c r="CX47" i="7"/>
  <c r="R47" i="7" s="1"/>
  <c r="CX123" i="7"/>
  <c r="R123" i="7" s="1"/>
  <c r="CX103" i="7"/>
  <c r="R103" i="7" s="1"/>
  <c r="CX95" i="7"/>
  <c r="R95" i="7" s="1"/>
  <c r="CX101" i="7"/>
  <c r="R101" i="7" s="1"/>
  <c r="CX77" i="7"/>
  <c r="R77" i="7" s="1"/>
  <c r="CX27" i="7"/>
  <c r="R27" i="7" s="1"/>
  <c r="CX79" i="7"/>
  <c r="R79" i="7" s="1"/>
  <c r="CX35" i="7"/>
  <c r="R35" i="7" s="1"/>
  <c r="CX13" i="7"/>
  <c r="R13" i="7" s="1"/>
  <c r="CX45" i="7"/>
  <c r="R45" i="7" s="1"/>
  <c r="CX81" i="7"/>
  <c r="R81" i="7" s="1"/>
  <c r="CX83" i="7"/>
  <c r="R83" i="7" s="1"/>
  <c r="CX75" i="7"/>
  <c r="R75" i="7" s="1"/>
  <c r="CX43" i="7"/>
  <c r="R43" i="7" s="1"/>
  <c r="CX11" i="7"/>
  <c r="R11" i="7" s="1"/>
  <c r="CX59" i="7"/>
  <c r="R59" i="7" s="1"/>
  <c r="CX61" i="7"/>
  <c r="R61" i="7" s="1"/>
  <c r="CX97" i="7"/>
  <c r="R97" i="7" s="1"/>
  <c r="CX57" i="7"/>
  <c r="R57" i="7" s="1"/>
  <c r="CX41" i="7"/>
  <c r="R41" i="7" s="1"/>
  <c r="CX37" i="7"/>
  <c r="R37" i="7" s="1"/>
  <c r="CX39" i="7"/>
  <c r="R39" i="7" s="1"/>
  <c r="CX9" i="7"/>
  <c r="R9" i="7" s="1"/>
  <c r="CX5" i="7"/>
  <c r="R5" i="7" s="1"/>
  <c r="CX7" i="7"/>
  <c r="R7" i="7" s="1"/>
  <c r="CX63" i="7"/>
  <c r="R63" i="7" s="1"/>
  <c r="CX55" i="7"/>
  <c r="R55" i="7" s="1"/>
  <c r="Q63" i="6"/>
  <c r="R121" i="8"/>
  <c r="R115" i="8"/>
  <c r="R13" i="8"/>
  <c r="R105" i="8"/>
  <c r="Q43" i="6"/>
  <c r="R111" i="8"/>
  <c r="R63" i="8"/>
  <c r="R109" i="8"/>
  <c r="R117" i="8"/>
  <c r="R103" i="8"/>
  <c r="R53" i="5"/>
  <c r="Q53" i="6"/>
  <c r="R33" i="8"/>
  <c r="R107" i="8"/>
  <c r="R95" i="8"/>
  <c r="R123" i="8"/>
  <c r="R43" i="5"/>
  <c r="R43" i="8"/>
  <c r="R101" i="8"/>
  <c r="R63" i="5"/>
  <c r="R33" i="5"/>
  <c r="Q33" i="6"/>
  <c r="R53" i="8"/>
  <c r="R113" i="8"/>
  <c r="R23" i="8"/>
  <c r="R119" i="8"/>
  <c r="R97" i="8"/>
  <c r="R99" i="8"/>
  <c r="T3" i="5"/>
  <c r="Q18" i="22" s="1"/>
  <c r="CY107" i="5"/>
  <c r="S107" i="5" s="1"/>
  <c r="CY65" i="5"/>
  <c r="S65" i="5" s="1"/>
  <c r="CY83" i="5"/>
  <c r="S83" i="5" s="1"/>
  <c r="CY105" i="5"/>
  <c r="S105" i="5" s="1"/>
  <c r="CY111" i="5"/>
  <c r="S111" i="5" s="1"/>
  <c r="CY69" i="5"/>
  <c r="S69" i="5" s="1"/>
  <c r="CY109" i="5"/>
  <c r="S109" i="5" s="1"/>
  <c r="CY113" i="5"/>
  <c r="S113" i="5" s="1"/>
  <c r="CY71" i="5"/>
  <c r="S71" i="5" s="1"/>
  <c r="CY79" i="5"/>
  <c r="CY73" i="5"/>
  <c r="S73" i="5" s="1"/>
  <c r="CY77" i="5"/>
  <c r="S77" i="5" s="1"/>
  <c r="CY29" i="5"/>
  <c r="S29" i="5" s="1"/>
  <c r="CY59" i="5"/>
  <c r="S59" i="5" s="1"/>
  <c r="CY11" i="5"/>
  <c r="S11" i="5" s="1"/>
  <c r="CY9" i="5"/>
  <c r="S9" i="5" s="1"/>
  <c r="CY35" i="5"/>
  <c r="S35" i="5" s="1"/>
  <c r="CY99" i="5"/>
  <c r="CY33" i="5"/>
  <c r="CY57" i="5"/>
  <c r="S57" i="5" s="1"/>
  <c r="CY63" i="5"/>
  <c r="CY39" i="5"/>
  <c r="S39" i="5" s="1"/>
  <c r="CY37" i="5"/>
  <c r="S37" i="5" s="1"/>
  <c r="CY21" i="5"/>
  <c r="S21" i="5" s="1"/>
  <c r="CY23" i="5"/>
  <c r="S23" i="5" s="1"/>
  <c r="CY97" i="5"/>
  <c r="CY75" i="5"/>
  <c r="CY31" i="5"/>
  <c r="S31" i="5" s="1"/>
  <c r="CY27" i="5"/>
  <c r="S27" i="5" s="1"/>
  <c r="CY61" i="5"/>
  <c r="S61" i="5" s="1"/>
  <c r="CY13" i="5"/>
  <c r="S13" i="5" s="1"/>
  <c r="CY7" i="5"/>
  <c r="S7" i="5" s="1"/>
  <c r="CY5" i="5"/>
  <c r="S5" i="5" s="1"/>
  <c r="CY43" i="5"/>
  <c r="CY41" i="5"/>
  <c r="S41" i="5" s="1"/>
  <c r="CY15" i="5"/>
  <c r="S15" i="5" s="1"/>
  <c r="CY101" i="5"/>
  <c r="S101" i="5" s="1"/>
  <c r="CY19" i="5"/>
  <c r="S19" i="5" s="1"/>
  <c r="CY17" i="5"/>
  <c r="S17" i="5" s="1"/>
  <c r="CY121" i="5"/>
  <c r="CY123" i="5"/>
  <c r="S123" i="5" s="1"/>
  <c r="CY53" i="5"/>
  <c r="CY47" i="5"/>
  <c r="S47" i="5" s="1"/>
  <c r="CY89" i="5"/>
  <c r="CY67" i="5"/>
  <c r="S67" i="5" s="1"/>
  <c r="CY81" i="5"/>
  <c r="CY103" i="5"/>
  <c r="S103" i="5" s="1"/>
  <c r="CY119" i="5"/>
  <c r="CY45" i="5"/>
  <c r="S45" i="5" s="1"/>
  <c r="CY91" i="5"/>
  <c r="CY25" i="5"/>
  <c r="S25" i="5" s="1"/>
  <c r="CY55" i="5"/>
  <c r="S55" i="5" s="1"/>
  <c r="CY95" i="5"/>
  <c r="S95" i="5" s="1"/>
  <c r="CY117" i="5"/>
  <c r="CY115" i="5"/>
  <c r="CY49" i="5"/>
  <c r="S49" i="5" s="1"/>
  <c r="CY85" i="5"/>
  <c r="S85" i="5" s="1"/>
  <c r="CY93" i="5"/>
  <c r="S93" i="5" s="1"/>
  <c r="CY87" i="5"/>
  <c r="CY51" i="5"/>
  <c r="S51" i="5" s="1"/>
  <c r="CY101" i="8"/>
  <c r="CY117" i="8"/>
  <c r="CY95" i="8"/>
  <c r="CY99" i="8"/>
  <c r="CY123" i="8"/>
  <c r="CY115" i="8"/>
  <c r="CY97" i="8"/>
  <c r="CY103" i="8"/>
  <c r="CY119" i="8"/>
  <c r="CY121" i="8"/>
  <c r="CY93" i="8"/>
  <c r="S93" i="8" s="1"/>
  <c r="CY111" i="8"/>
  <c r="CY105" i="8"/>
  <c r="CY73" i="8"/>
  <c r="S73" i="8" s="1"/>
  <c r="CY59" i="8"/>
  <c r="S59" i="8" s="1"/>
  <c r="CY13" i="8"/>
  <c r="CY83" i="8"/>
  <c r="S83" i="8" s="1"/>
  <c r="CY77" i="8"/>
  <c r="S77" i="8" s="1"/>
  <c r="CY47" i="8"/>
  <c r="S47" i="8" s="1"/>
  <c r="CY41" i="8"/>
  <c r="S41" i="8" s="1"/>
  <c r="CY43" i="8"/>
  <c r="CY35" i="8"/>
  <c r="S35" i="8" s="1"/>
  <c r="CY91" i="8"/>
  <c r="S91" i="8" s="1"/>
  <c r="CY109" i="8"/>
  <c r="CY113" i="8"/>
  <c r="CY21" i="8"/>
  <c r="S21" i="8" s="1"/>
  <c r="CY49" i="8"/>
  <c r="S49" i="8" s="1"/>
  <c r="CY51" i="8"/>
  <c r="S51" i="8" s="1"/>
  <c r="CY53" i="8"/>
  <c r="CY45" i="8"/>
  <c r="S45" i="8" s="1"/>
  <c r="CY39" i="8"/>
  <c r="S39" i="8" s="1"/>
  <c r="CY89" i="8"/>
  <c r="S89" i="8" s="1"/>
  <c r="CY85" i="8"/>
  <c r="S85" i="8" s="1"/>
  <c r="CY19" i="8"/>
  <c r="S19" i="8" s="1"/>
  <c r="CY37" i="8"/>
  <c r="S37" i="8" s="1"/>
  <c r="CY87" i="8"/>
  <c r="S87" i="8" s="1"/>
  <c r="CY107" i="8"/>
  <c r="CY17" i="8"/>
  <c r="S17" i="8" s="1"/>
  <c r="CY23" i="8"/>
  <c r="CY15" i="8"/>
  <c r="S15" i="8" s="1"/>
  <c r="CY67" i="8"/>
  <c r="S67" i="8" s="1"/>
  <c r="CY71" i="8"/>
  <c r="S71" i="8" s="1"/>
  <c r="CY65" i="8"/>
  <c r="S65" i="8" s="1"/>
  <c r="CY69" i="8"/>
  <c r="S69" i="8" s="1"/>
  <c r="CY57" i="8"/>
  <c r="S57" i="8" s="1"/>
  <c r="CY61" i="8"/>
  <c r="S61" i="8" s="1"/>
  <c r="CY63" i="8"/>
  <c r="CY55" i="8"/>
  <c r="S55" i="8" s="1"/>
  <c r="CY5" i="8"/>
  <c r="S5" i="8" s="1"/>
  <c r="CY75" i="8"/>
  <c r="S75" i="8" s="1"/>
  <c r="CY29" i="8"/>
  <c r="S29" i="8" s="1"/>
  <c r="CY11" i="8"/>
  <c r="S11" i="8" s="1"/>
  <c r="CY79" i="8"/>
  <c r="S79" i="8" s="1"/>
  <c r="CY81" i="8"/>
  <c r="S81" i="8" s="1"/>
  <c r="CY31" i="8"/>
  <c r="S31" i="8" s="1"/>
  <c r="CY33" i="8"/>
  <c r="CY7" i="8"/>
  <c r="S7" i="8" s="1"/>
  <c r="CY27" i="8"/>
  <c r="S27" i="8" s="1"/>
  <c r="CY9" i="8"/>
  <c r="S9" i="8" s="1"/>
  <c r="CY25" i="8"/>
  <c r="S25" i="8" s="1"/>
  <c r="CX61" i="6"/>
  <c r="R61" i="6" s="1"/>
  <c r="CX53" i="6"/>
  <c r="CX63" i="6"/>
  <c r="CX55" i="6"/>
  <c r="R55" i="6" s="1"/>
  <c r="CX57" i="6"/>
  <c r="R57" i="6" s="1"/>
  <c r="CX49" i="6"/>
  <c r="R49" i="6" s="1"/>
  <c r="CX41" i="6"/>
  <c r="R41" i="6" s="1"/>
  <c r="CX39" i="6"/>
  <c r="R39" i="6" s="1"/>
  <c r="CX37" i="6"/>
  <c r="R37" i="6" s="1"/>
  <c r="CX31" i="6"/>
  <c r="R31" i="6" s="1"/>
  <c r="CX23" i="6"/>
  <c r="R23" i="6" s="1"/>
  <c r="CX15" i="6"/>
  <c r="R15" i="6" s="1"/>
  <c r="CX51" i="6"/>
  <c r="R51" i="6" s="1"/>
  <c r="CX43" i="6"/>
  <c r="CX33" i="6"/>
  <c r="CX25" i="6"/>
  <c r="R25" i="6" s="1"/>
  <c r="CX17" i="6"/>
  <c r="R17" i="6" s="1"/>
  <c r="CX47" i="6"/>
  <c r="R47" i="6" s="1"/>
  <c r="CX45" i="6"/>
  <c r="R45" i="6" s="1"/>
  <c r="CX35" i="6"/>
  <c r="R35" i="6" s="1"/>
  <c r="CX27" i="6"/>
  <c r="R27" i="6" s="1"/>
  <c r="CX19" i="6"/>
  <c r="R19" i="6" s="1"/>
  <c r="CX11" i="6"/>
  <c r="R11" i="6" s="1"/>
  <c r="CX7" i="6"/>
  <c r="R7" i="6" s="1"/>
  <c r="CX21" i="6"/>
  <c r="R21" i="6" s="1"/>
  <c r="CX13" i="6"/>
  <c r="R13" i="6" s="1"/>
  <c r="CX59" i="6"/>
  <c r="R59" i="6" s="1"/>
  <c r="CX29" i="6"/>
  <c r="R29" i="6" s="1"/>
  <c r="CX9" i="6"/>
  <c r="R9" i="6" s="1"/>
  <c r="CX5" i="6"/>
  <c r="R5" i="6" s="1"/>
  <c r="T3" i="8"/>
  <c r="S3" i="7"/>
  <c r="S3" i="6"/>
  <c r="R106" i="8"/>
  <c r="S106" i="5"/>
  <c r="S50" i="5"/>
  <c r="S14" i="8"/>
  <c r="S66" i="5"/>
  <c r="S16" i="5"/>
  <c r="R50" i="6"/>
  <c r="S14" i="5"/>
  <c r="S70" i="5"/>
  <c r="S58" i="8"/>
  <c r="S64" i="5"/>
  <c r="R14" i="6"/>
  <c r="R58" i="7"/>
  <c r="R4" i="6"/>
  <c r="R8" i="7"/>
  <c r="S50" i="8"/>
  <c r="S8" i="8"/>
  <c r="S60" i="8"/>
  <c r="S6" i="8"/>
  <c r="R56" i="6"/>
  <c r="S48" i="5"/>
  <c r="R58" i="6"/>
  <c r="R40" i="6"/>
  <c r="R4" i="7"/>
  <c r="R108" i="7"/>
  <c r="S108" i="5"/>
  <c r="S104" i="5"/>
  <c r="S110" i="5"/>
  <c r="S10" i="8"/>
  <c r="S56" i="8"/>
  <c r="S34" i="5"/>
  <c r="S26" i="8"/>
  <c r="S68" i="5"/>
  <c r="R48" i="7"/>
  <c r="R18" i="7"/>
  <c r="R38" i="7"/>
  <c r="R30" i="6"/>
  <c r="R10" i="6"/>
  <c r="S4" i="5"/>
  <c r="S46" i="5"/>
  <c r="S54" i="8"/>
  <c r="S56" i="5"/>
  <c r="S38" i="5"/>
  <c r="R60" i="7"/>
  <c r="R54" i="6"/>
  <c r="R20" i="6"/>
  <c r="S46" i="8"/>
  <c r="R106" i="7"/>
  <c r="R104" i="7"/>
  <c r="R110" i="7"/>
  <c r="R24" i="6"/>
  <c r="S20" i="8"/>
  <c r="R24" i="7"/>
  <c r="S58" i="5"/>
  <c r="R10" i="7"/>
  <c r="R20" i="7"/>
  <c r="R36" i="7"/>
  <c r="R60" i="6"/>
  <c r="S28" i="5"/>
  <c r="R56" i="7"/>
  <c r="S40" i="8"/>
  <c r="R44" i="7"/>
  <c r="R18" i="6"/>
  <c r="R48" i="6"/>
  <c r="R34" i="6"/>
  <c r="S48" i="8"/>
  <c r="S8" i="5"/>
  <c r="R50" i="7"/>
  <c r="S28" i="8"/>
  <c r="S24" i="8"/>
  <c r="R108" i="8"/>
  <c r="R104" i="8"/>
  <c r="R110" i="8"/>
  <c r="R38" i="6"/>
  <c r="R34" i="7"/>
  <c r="S4" i="8"/>
  <c r="S30" i="5"/>
  <c r="S10" i="5"/>
  <c r="R54" i="7"/>
  <c r="R8" i="6"/>
  <c r="S44" i="8"/>
  <c r="R28" i="7"/>
  <c r="S6" i="5"/>
  <c r="R26" i="7"/>
  <c r="S38" i="8"/>
  <c r="S36" i="5"/>
  <c r="S16" i="8"/>
  <c r="R46" i="6"/>
  <c r="R28" i="6"/>
  <c r="S20" i="5"/>
  <c r="S40" i="5"/>
  <c r="R26" i="6"/>
  <c r="S60" i="5"/>
  <c r="R30" i="7"/>
  <c r="S34" i="8"/>
  <c r="S36" i="8"/>
  <c r="R40" i="7"/>
  <c r="S18" i="8"/>
  <c r="S54" i="5"/>
  <c r="R16" i="6"/>
  <c r="R6" i="6"/>
  <c r="S26" i="5"/>
  <c r="R14" i="7"/>
  <c r="S30" i="8"/>
  <c r="S24" i="5"/>
  <c r="R44" i="6"/>
  <c r="R16" i="7"/>
  <c r="S18" i="5"/>
  <c r="R6" i="7"/>
  <c r="R36" i="6"/>
  <c r="R46" i="7"/>
  <c r="S44" i="5"/>
  <c r="CY123" i="6" l="1"/>
  <c r="CY109" i="6"/>
  <c r="CY115" i="6"/>
  <c r="CY121" i="6"/>
  <c r="CY111" i="6"/>
  <c r="CY119" i="6"/>
  <c r="CY113" i="6"/>
  <c r="CY67" i="6"/>
  <c r="CY105" i="6"/>
  <c r="CY65" i="6"/>
  <c r="CY71" i="6"/>
  <c r="CY117" i="6"/>
  <c r="CY79" i="6"/>
  <c r="CY81" i="6"/>
  <c r="CY69" i="6"/>
  <c r="CY75" i="6"/>
  <c r="CY83" i="6"/>
  <c r="CY85" i="6"/>
  <c r="CY107" i="6"/>
  <c r="CY101" i="6"/>
  <c r="CY87" i="6"/>
  <c r="CY89" i="6"/>
  <c r="CY77" i="6"/>
  <c r="CY95" i="6"/>
  <c r="CY97" i="6"/>
  <c r="CY103" i="6"/>
  <c r="CY93" i="6"/>
  <c r="CY99" i="6"/>
  <c r="CY91" i="6"/>
  <c r="CY73" i="6"/>
  <c r="R16" i="20"/>
  <c r="R10" i="20"/>
  <c r="R10" i="18"/>
  <c r="S47" i="22"/>
  <c r="O47" i="22"/>
  <c r="K47" i="22"/>
  <c r="G47" i="22"/>
  <c r="P47" i="21"/>
  <c r="L47" i="21"/>
  <c r="H47" i="21"/>
  <c r="R47" i="22"/>
  <c r="N47" i="22"/>
  <c r="J47" i="22"/>
  <c r="F47" i="22"/>
  <c r="E47" i="22"/>
  <c r="S47" i="21"/>
  <c r="O47" i="21"/>
  <c r="K47" i="21"/>
  <c r="G47" i="21"/>
  <c r="E47" i="21"/>
  <c r="R47" i="20"/>
  <c r="N47" i="20"/>
  <c r="J47" i="20"/>
  <c r="F47" i="20"/>
  <c r="Q47" i="22"/>
  <c r="M47" i="22"/>
  <c r="I47" i="22"/>
  <c r="R47" i="21"/>
  <c r="N47" i="21"/>
  <c r="J47" i="21"/>
  <c r="F47" i="21"/>
  <c r="Q47" i="20"/>
  <c r="M47" i="20"/>
  <c r="I47" i="20"/>
  <c r="P47" i="22"/>
  <c r="L47" i="22"/>
  <c r="H47" i="22"/>
  <c r="Q47" i="21"/>
  <c r="M47" i="21"/>
  <c r="I47" i="21"/>
  <c r="P47" i="20"/>
  <c r="L47" i="20"/>
  <c r="H47" i="20"/>
  <c r="S47" i="20"/>
  <c r="O47" i="20"/>
  <c r="S47" i="19"/>
  <c r="O47" i="19"/>
  <c r="K47" i="19"/>
  <c r="G47" i="19"/>
  <c r="R47" i="18"/>
  <c r="N47" i="18"/>
  <c r="J47" i="18"/>
  <c r="F47" i="18"/>
  <c r="K47" i="20"/>
  <c r="E47" i="20"/>
  <c r="G47" i="20"/>
  <c r="Q47" i="19"/>
  <c r="M47" i="19"/>
  <c r="I47" i="19"/>
  <c r="P47" i="18"/>
  <c r="L47" i="18"/>
  <c r="H47" i="18"/>
  <c r="R47" i="17"/>
  <c r="N47" i="17"/>
  <c r="J47" i="17"/>
  <c r="F47" i="17"/>
  <c r="L47" i="19"/>
  <c r="Q47" i="18"/>
  <c r="I47" i="18"/>
  <c r="S47" i="17"/>
  <c r="M47" i="17"/>
  <c r="H47" i="17"/>
  <c r="E47" i="17"/>
  <c r="R47" i="19"/>
  <c r="J47" i="19"/>
  <c r="E47" i="18"/>
  <c r="O47" i="18"/>
  <c r="G47" i="18"/>
  <c r="Q47" i="17"/>
  <c r="L47" i="17"/>
  <c r="G47" i="17"/>
  <c r="P47" i="19"/>
  <c r="H47" i="19"/>
  <c r="M47" i="18"/>
  <c r="P47" i="17"/>
  <c r="K47" i="17"/>
  <c r="N47" i="19"/>
  <c r="F47" i="19"/>
  <c r="E47" i="19"/>
  <c r="S47" i="18"/>
  <c r="K47" i="18"/>
  <c r="O47" i="17"/>
  <c r="I47" i="17"/>
  <c r="E48" i="20"/>
  <c r="E48" i="17"/>
  <c r="E48" i="18"/>
  <c r="E48" i="19"/>
  <c r="E48" i="22"/>
  <c r="E48" i="21"/>
  <c r="H44" i="19"/>
  <c r="F42" i="20"/>
  <c r="E44" i="19"/>
  <c r="H40" i="17"/>
  <c r="F42" i="17"/>
  <c r="E46" i="22"/>
  <c r="F44" i="20"/>
  <c r="G42" i="18"/>
  <c r="F46" i="19"/>
  <c r="E46" i="17"/>
  <c r="G44" i="17"/>
  <c r="E44" i="17"/>
  <c r="F46" i="21"/>
  <c r="G46" i="19"/>
  <c r="F44" i="18"/>
  <c r="G40" i="18"/>
  <c r="E40" i="18"/>
  <c r="E42" i="21"/>
  <c r="I42" i="19"/>
  <c r="G42" i="17"/>
  <c r="H46" i="19"/>
  <c r="G46" i="18"/>
  <c r="H42" i="18"/>
  <c r="E40" i="22"/>
  <c r="F42" i="22"/>
  <c r="F40" i="19"/>
  <c r="G44" i="19"/>
  <c r="F44" i="17"/>
  <c r="G40" i="17"/>
  <c r="E46" i="20"/>
  <c r="G42" i="21"/>
  <c r="G40" i="19"/>
  <c r="H40" i="19"/>
  <c r="F40" i="18"/>
  <c r="G46" i="17"/>
  <c r="H42" i="17"/>
  <c r="F40" i="22"/>
  <c r="G42" i="20"/>
  <c r="E40" i="21"/>
  <c r="E44" i="20"/>
  <c r="I46" i="19"/>
  <c r="H40" i="18"/>
  <c r="F42" i="18"/>
  <c r="H46" i="22"/>
  <c r="F40" i="20"/>
  <c r="E40" i="19"/>
  <c r="G42" i="19"/>
  <c r="F40" i="17"/>
  <c r="G44" i="18"/>
  <c r="H40" i="22"/>
  <c r="E44" i="18"/>
  <c r="G46" i="20"/>
  <c r="E46" i="18"/>
  <c r="H46" i="18"/>
  <c r="G40" i="20"/>
  <c r="E46" i="19"/>
  <c r="H44" i="18"/>
  <c r="F46" i="18"/>
  <c r="G46" i="22"/>
  <c r="G44" i="20"/>
  <c r="G44" i="21"/>
  <c r="E40" i="20"/>
  <c r="H46" i="17"/>
  <c r="G40" i="21"/>
  <c r="H42" i="19"/>
  <c r="H44" i="17"/>
  <c r="F46" i="17"/>
  <c r="E42" i="18"/>
  <c r="E42" i="20"/>
  <c r="E44" i="21"/>
  <c r="G40" i="22"/>
  <c r="G46" i="21"/>
  <c r="F44" i="19"/>
  <c r="E42" i="17"/>
  <c r="H42" i="22"/>
  <c r="H42" i="20"/>
  <c r="E46" i="21"/>
  <c r="E42" i="22"/>
  <c r="F44" i="21"/>
  <c r="G42" i="22"/>
  <c r="F42" i="21"/>
  <c r="E42" i="19"/>
  <c r="F42" i="19"/>
  <c r="E40" i="17"/>
  <c r="F46" i="22"/>
  <c r="F46" i="20"/>
  <c r="F40" i="21"/>
  <c r="H48" i="17"/>
  <c r="G48" i="19"/>
  <c r="G48" i="18"/>
  <c r="G48" i="22"/>
  <c r="I42" i="18"/>
  <c r="I40" i="18"/>
  <c r="I44" i="17"/>
  <c r="I46" i="18"/>
  <c r="H40" i="21"/>
  <c r="I44" i="21"/>
  <c r="H48" i="19"/>
  <c r="H46" i="20"/>
  <c r="I42" i="22"/>
  <c r="I46" i="21"/>
  <c r="H40" i="20"/>
  <c r="F48" i="21"/>
  <c r="F48" i="18"/>
  <c r="G48" i="21"/>
  <c r="I46" i="20"/>
  <c r="H42" i="21"/>
  <c r="I42" i="21"/>
  <c r="I40" i="19"/>
  <c r="I42" i="20"/>
  <c r="F48" i="22"/>
  <c r="G48" i="17"/>
  <c r="F48" i="17"/>
  <c r="I44" i="20"/>
  <c r="I42" i="17"/>
  <c r="H44" i="21"/>
  <c r="I40" i="17"/>
  <c r="I46" i="17"/>
  <c r="I44" i="19"/>
  <c r="H44" i="20"/>
  <c r="I40" i="22"/>
  <c r="F48" i="20"/>
  <c r="H48" i="22"/>
  <c r="H46" i="21"/>
  <c r="I40" i="20"/>
  <c r="I40" i="21"/>
  <c r="G48" i="20"/>
  <c r="F48" i="19"/>
  <c r="I44" i="18"/>
  <c r="I46" i="22"/>
  <c r="I48" i="18"/>
  <c r="H48" i="20"/>
  <c r="I43" i="19"/>
  <c r="H39" i="20"/>
  <c r="I45" i="22"/>
  <c r="I41" i="18"/>
  <c r="I39" i="18"/>
  <c r="H45" i="21"/>
  <c r="I44" i="22"/>
  <c r="I41" i="21"/>
  <c r="H41" i="17"/>
  <c r="F43" i="18"/>
  <c r="H45" i="18"/>
  <c r="E45" i="17"/>
  <c r="H45" i="22"/>
  <c r="G39" i="19"/>
  <c r="H45" i="19"/>
  <c r="F41" i="22"/>
  <c r="H43" i="17"/>
  <c r="G39" i="18"/>
  <c r="G41" i="20"/>
  <c r="H48" i="21"/>
  <c r="I48" i="19"/>
  <c r="H48" i="18"/>
  <c r="I48" i="20"/>
  <c r="I39" i="22"/>
  <c r="H43" i="20"/>
  <c r="E43" i="22"/>
  <c r="I43" i="17"/>
  <c r="H43" i="21"/>
  <c r="I39" i="20"/>
  <c r="E39" i="18"/>
  <c r="F41" i="17"/>
  <c r="H41" i="18"/>
  <c r="F43" i="17"/>
  <c r="F45" i="19"/>
  <c r="E43" i="18"/>
  <c r="F39" i="19"/>
  <c r="H39" i="18"/>
  <c r="G45" i="20"/>
  <c r="E45" i="22"/>
  <c r="G45" i="18"/>
  <c r="E39" i="20"/>
  <c r="G43" i="19"/>
  <c r="H39" i="22"/>
  <c r="F45" i="22"/>
  <c r="E41" i="21"/>
  <c r="E45" i="21"/>
  <c r="F44" i="22"/>
  <c r="H41" i="22"/>
  <c r="G45" i="22"/>
  <c r="F41" i="19"/>
  <c r="E41" i="17"/>
  <c r="J45" i="18"/>
  <c r="J41" i="18"/>
  <c r="J39" i="19"/>
  <c r="J43" i="20"/>
  <c r="J39" i="21"/>
  <c r="J45" i="21"/>
  <c r="I48" i="22"/>
  <c r="I48" i="21"/>
  <c r="E44" i="22"/>
  <c r="I43" i="18"/>
  <c r="I45" i="18"/>
  <c r="H39" i="21"/>
  <c r="I39" i="21"/>
  <c r="E39" i="19"/>
  <c r="F41" i="18"/>
  <c r="G41" i="18"/>
  <c r="G41" i="19"/>
  <c r="H41" i="20"/>
  <c r="F39" i="20"/>
  <c r="F39" i="22"/>
  <c r="H39" i="17"/>
  <c r="E41" i="22"/>
  <c r="F41" i="20"/>
  <c r="F39" i="17"/>
  <c r="E43" i="19"/>
  <c r="F43" i="19"/>
  <c r="G43" i="22"/>
  <c r="G41" i="22"/>
  <c r="F41" i="21"/>
  <c r="E41" i="20"/>
  <c r="J44" i="22"/>
  <c r="J45" i="20"/>
  <c r="J39" i="18"/>
  <c r="J39" i="22"/>
  <c r="J44" i="18"/>
  <c r="J46" i="22"/>
  <c r="J40" i="21"/>
  <c r="J46" i="21"/>
  <c r="J45" i="17"/>
  <c r="J41" i="17"/>
  <c r="J46" i="19"/>
  <c r="J44" i="20"/>
  <c r="I48" i="17"/>
  <c r="I41" i="22"/>
  <c r="I45" i="19"/>
  <c r="H45" i="17"/>
  <c r="H41" i="21"/>
  <c r="G41" i="21"/>
  <c r="I41" i="17"/>
  <c r="I45" i="17"/>
  <c r="I43" i="21"/>
  <c r="F43" i="21"/>
  <c r="G41" i="17"/>
  <c r="E45" i="18"/>
  <c r="F39" i="21"/>
  <c r="G45" i="19"/>
  <c r="H43" i="18"/>
  <c r="G39" i="17"/>
  <c r="F39" i="18"/>
  <c r="F45" i="17"/>
  <c r="E39" i="17"/>
  <c r="G44" i="22"/>
  <c r="G43" i="21"/>
  <c r="G39" i="22"/>
  <c r="H44" i="22"/>
  <c r="H41" i="19"/>
  <c r="J43" i="22"/>
  <c r="J41" i="22"/>
  <c r="J45" i="22"/>
  <c r="J39" i="17"/>
  <c r="J41" i="20"/>
  <c r="J42" i="18"/>
  <c r="J44" i="17"/>
  <c r="J40" i="20"/>
  <c r="J40" i="18"/>
  <c r="J39" i="20"/>
  <c r="J42" i="17"/>
  <c r="J40" i="19"/>
  <c r="J40" i="22"/>
  <c r="H45" i="20"/>
  <c r="G43" i="17"/>
  <c r="E39" i="22"/>
  <c r="I43" i="22"/>
  <c r="I41" i="19"/>
  <c r="I43" i="20"/>
  <c r="E45" i="20"/>
  <c r="G43" i="18"/>
  <c r="I41" i="20"/>
  <c r="I39" i="19"/>
  <c r="E39" i="21"/>
  <c r="E43" i="20"/>
  <c r="G45" i="17"/>
  <c r="H39" i="19"/>
  <c r="F45" i="21"/>
  <c r="F45" i="18"/>
  <c r="F43" i="22"/>
  <c r="G39" i="21"/>
  <c r="H43" i="22"/>
  <c r="E41" i="18"/>
  <c r="G39" i="20"/>
  <c r="F45" i="20"/>
  <c r="G45" i="21"/>
  <c r="J43" i="18"/>
  <c r="J43" i="21"/>
  <c r="J46" i="18"/>
  <c r="J40" i="17"/>
  <c r="I45" i="21"/>
  <c r="I39" i="17"/>
  <c r="I45" i="20"/>
  <c r="E43" i="21"/>
  <c r="H43" i="19"/>
  <c r="F43" i="20"/>
  <c r="E43" i="17"/>
  <c r="E41" i="19"/>
  <c r="J41" i="21"/>
  <c r="J41" i="19"/>
  <c r="J44" i="21"/>
  <c r="J42" i="21"/>
  <c r="J42" i="19"/>
  <c r="J43" i="17"/>
  <c r="J42" i="20"/>
  <c r="J42" i="22"/>
  <c r="J46" i="17"/>
  <c r="J46" i="20"/>
  <c r="G43" i="20"/>
  <c r="E45" i="19"/>
  <c r="J45" i="19"/>
  <c r="J43" i="19"/>
  <c r="J44" i="19"/>
  <c r="J48" i="20"/>
  <c r="K39" i="20"/>
  <c r="K39" i="17"/>
  <c r="K45" i="21"/>
  <c r="K41" i="17"/>
  <c r="K45" i="22"/>
  <c r="K44" i="18"/>
  <c r="K40" i="17"/>
  <c r="K42" i="21"/>
  <c r="K40" i="22"/>
  <c r="K46" i="20"/>
  <c r="K42" i="19"/>
  <c r="K42" i="20"/>
  <c r="K43" i="22"/>
  <c r="K39" i="21"/>
  <c r="K41" i="22"/>
  <c r="J48" i="21"/>
  <c r="K43" i="18"/>
  <c r="K39" i="18"/>
  <c r="K41" i="21"/>
  <c r="K41" i="18"/>
  <c r="K43" i="20"/>
  <c r="K44" i="19"/>
  <c r="K44" i="17"/>
  <c r="K46" i="18"/>
  <c r="K40" i="19"/>
  <c r="K40" i="21"/>
  <c r="K42" i="22"/>
  <c r="J48" i="22"/>
  <c r="J48" i="18"/>
  <c r="K43" i="21"/>
  <c r="K45" i="17"/>
  <c r="K39" i="19"/>
  <c r="J48" i="19"/>
  <c r="K43" i="19"/>
  <c r="K43" i="17"/>
  <c r="K45" i="18"/>
  <c r="K44" i="22"/>
  <c r="K39" i="22"/>
  <c r="K45" i="20"/>
  <c r="K41" i="19"/>
  <c r="K41" i="20"/>
  <c r="K46" i="19"/>
  <c r="K44" i="21"/>
  <c r="K46" i="17"/>
  <c r="K42" i="18"/>
  <c r="K46" i="22"/>
  <c r="J48" i="17"/>
  <c r="K45" i="19"/>
  <c r="K40" i="20"/>
  <c r="K42" i="17"/>
  <c r="K44" i="20"/>
  <c r="K40" i="18"/>
  <c r="K46" i="21"/>
  <c r="K48" i="19"/>
  <c r="K48" i="20"/>
  <c r="L41" i="17"/>
  <c r="L41" i="20"/>
  <c r="L45" i="22"/>
  <c r="L43" i="19"/>
  <c r="L41" i="19"/>
  <c r="L45" i="17"/>
  <c r="L40" i="17"/>
  <c r="L46" i="19"/>
  <c r="L46" i="21"/>
  <c r="L42" i="21"/>
  <c r="L44" i="19"/>
  <c r="L46" i="18"/>
  <c r="L39" i="18"/>
  <c r="L43" i="21"/>
  <c r="L44" i="22"/>
  <c r="L39" i="21"/>
  <c r="L42" i="22"/>
  <c r="L40" i="20"/>
  <c r="K48" i="22"/>
  <c r="L45" i="19"/>
  <c r="L41" i="22"/>
  <c r="L39" i="22"/>
  <c r="L41" i="21"/>
  <c r="L44" i="21"/>
  <c r="L44" i="20"/>
  <c r="L40" i="19"/>
  <c r="L46" i="17"/>
  <c r="L41" i="18"/>
  <c r="L43" i="17"/>
  <c r="L45" i="18"/>
  <c r="L40" i="18"/>
  <c r="L44" i="17"/>
  <c r="K48" i="21"/>
  <c r="L39" i="17"/>
  <c r="L45" i="21"/>
  <c r="L43" i="22"/>
  <c r="L43" i="20"/>
  <c r="L45" i="20"/>
  <c r="L43" i="18"/>
  <c r="L39" i="19"/>
  <c r="L39" i="20"/>
  <c r="L42" i="18"/>
  <c r="L42" i="20"/>
  <c r="L40" i="22"/>
  <c r="L46" i="20"/>
  <c r="L44" i="18"/>
  <c r="L42" i="19"/>
  <c r="K48" i="17"/>
  <c r="K48" i="18"/>
  <c r="L42" i="17"/>
  <c r="L46" i="22"/>
  <c r="L40" i="21"/>
  <c r="L48" i="21"/>
  <c r="M41" i="21"/>
  <c r="M43" i="20"/>
  <c r="M43" i="17"/>
  <c r="M45" i="20"/>
  <c r="M45" i="17"/>
  <c r="M46" i="19"/>
  <c r="M44" i="19"/>
  <c r="M44" i="17"/>
  <c r="M40" i="20"/>
  <c r="M46" i="18"/>
  <c r="M44" i="21"/>
  <c r="L48" i="20"/>
  <c r="M41" i="19"/>
  <c r="M43" i="18"/>
  <c r="M42" i="17"/>
  <c r="M44" i="18"/>
  <c r="L48" i="18"/>
  <c r="L48" i="17"/>
  <c r="M45" i="19"/>
  <c r="M41" i="17"/>
  <c r="M39" i="17"/>
  <c r="M39" i="20"/>
  <c r="M43" i="22"/>
  <c r="M41" i="22"/>
  <c r="M39" i="22"/>
  <c r="M46" i="22"/>
  <c r="M44" i="20"/>
  <c r="M40" i="18"/>
  <c r="M46" i="21"/>
  <c r="M46" i="17"/>
  <c r="M40" i="22"/>
  <c r="M39" i="21"/>
  <c r="M45" i="18"/>
  <c r="M42" i="21"/>
  <c r="M40" i="19"/>
  <c r="M40" i="21"/>
  <c r="M42" i="20"/>
  <c r="L48" i="19"/>
  <c r="M45" i="22"/>
  <c r="M39" i="19"/>
  <c r="M41" i="18"/>
  <c r="M39" i="18"/>
  <c r="M45" i="21"/>
  <c r="M44" i="22"/>
  <c r="M41" i="20"/>
  <c r="M42" i="19"/>
  <c r="M42" i="18"/>
  <c r="M40" i="17"/>
  <c r="M46" i="20"/>
  <c r="M42" i="22"/>
  <c r="L48" i="22"/>
  <c r="M43" i="19"/>
  <c r="M43" i="21"/>
  <c r="M48" i="17"/>
  <c r="N41" i="19"/>
  <c r="N43" i="21"/>
  <c r="N45" i="19"/>
  <c r="N39" i="20"/>
  <c r="N39" i="17"/>
  <c r="N41" i="22"/>
  <c r="N45" i="20"/>
  <c r="N42" i="19"/>
  <c r="N44" i="21"/>
  <c r="N46" i="21"/>
  <c r="N40" i="20"/>
  <c r="N46" i="17"/>
  <c r="N40" i="21"/>
  <c r="M48" i="22"/>
  <c r="M48" i="19"/>
  <c r="M48" i="21"/>
  <c r="M48" i="18"/>
  <c r="N43" i="20"/>
  <c r="N43" i="19"/>
  <c r="N39" i="19"/>
  <c r="N41" i="21"/>
  <c r="N39" i="18"/>
  <c r="N41" i="17"/>
  <c r="N41" i="20"/>
  <c r="N44" i="20"/>
  <c r="N46" i="22"/>
  <c r="N42" i="21"/>
  <c r="N40" i="18"/>
  <c r="N42" i="22"/>
  <c r="N46" i="20"/>
  <c r="N42" i="17"/>
  <c r="N43" i="18"/>
  <c r="N45" i="21"/>
  <c r="N44" i="22"/>
  <c r="N39" i="22"/>
  <c r="N45" i="18"/>
  <c r="N41" i="18"/>
  <c r="N44" i="18"/>
  <c r="N46" i="19"/>
  <c r="N40" i="22"/>
  <c r="N40" i="17"/>
  <c r="N42" i="18"/>
  <c r="N42" i="20"/>
  <c r="N46" i="18"/>
  <c r="M48" i="20"/>
  <c r="N43" i="17"/>
  <c r="N45" i="22"/>
  <c r="N43" i="22"/>
  <c r="N45" i="17"/>
  <c r="N39" i="21"/>
  <c r="N44" i="17"/>
  <c r="N44" i="19"/>
  <c r="N40" i="19"/>
  <c r="N48" i="20"/>
  <c r="O39" i="21"/>
  <c r="O43" i="19"/>
  <c r="O45" i="21"/>
  <c r="O45" i="22"/>
  <c r="O45" i="19"/>
  <c r="O43" i="22"/>
  <c r="O39" i="17"/>
  <c r="O43" i="21"/>
  <c r="O44" i="18"/>
  <c r="O46" i="18"/>
  <c r="O42" i="21"/>
  <c r="O42" i="19"/>
  <c r="O42" i="20"/>
  <c r="O40" i="17"/>
  <c r="O44" i="21"/>
  <c r="N48" i="19"/>
  <c r="N48" i="21"/>
  <c r="O43" i="17"/>
  <c r="O45" i="18"/>
  <c r="O43" i="20"/>
  <c r="O39" i="22"/>
  <c r="O45" i="20"/>
  <c r="O44" i="17"/>
  <c r="O46" i="17"/>
  <c r="O40" i="19"/>
  <c r="O46" i="20"/>
  <c r="N48" i="22"/>
  <c r="O43" i="18"/>
  <c r="O45" i="17"/>
  <c r="O41" i="21"/>
  <c r="O41" i="19"/>
  <c r="O41" i="20"/>
  <c r="O41" i="17"/>
  <c r="O41" i="22"/>
  <c r="O40" i="20"/>
  <c r="O46" i="22"/>
  <c r="O46" i="19"/>
  <c r="O42" i="18"/>
  <c r="O42" i="22"/>
  <c r="N48" i="17"/>
  <c r="N48" i="18"/>
  <c r="O39" i="20"/>
  <c r="O39" i="19"/>
  <c r="O44" i="22"/>
  <c r="O39" i="18"/>
  <c r="O41" i="18"/>
  <c r="O40" i="21"/>
  <c r="O44" i="19"/>
  <c r="O46" i="21"/>
  <c r="O44" i="20"/>
  <c r="O40" i="22"/>
  <c r="O40" i="18"/>
  <c r="O42" i="17"/>
  <c r="O48" i="22"/>
  <c r="O48" i="19"/>
  <c r="O48" i="18"/>
  <c r="P39" i="19"/>
  <c r="P39" i="18"/>
  <c r="P45" i="21"/>
  <c r="P41" i="18"/>
  <c r="P41" i="19"/>
  <c r="P43" i="22"/>
  <c r="P41" i="21"/>
  <c r="P46" i="22"/>
  <c r="P40" i="17"/>
  <c r="P44" i="18"/>
  <c r="P42" i="19"/>
  <c r="P46" i="20"/>
  <c r="P43" i="21"/>
  <c r="P39" i="17"/>
  <c r="P43" i="20"/>
  <c r="P41" i="17"/>
  <c r="P45" i="18"/>
  <c r="P44" i="22"/>
  <c r="P40" i="19"/>
  <c r="P44" i="21"/>
  <c r="P40" i="22"/>
  <c r="P44" i="17"/>
  <c r="P46" i="18"/>
  <c r="P42" i="21"/>
  <c r="P43" i="19"/>
  <c r="P39" i="20"/>
  <c r="P41" i="22"/>
  <c r="P39" i="22"/>
  <c r="P43" i="18"/>
  <c r="P45" i="17"/>
  <c r="P40" i="20"/>
  <c r="P42" i="22"/>
  <c r="P46" i="21"/>
  <c r="P42" i="18"/>
  <c r="P46" i="17"/>
  <c r="O48" i="21"/>
  <c r="O48" i="17"/>
  <c r="O48" i="20"/>
  <c r="P45" i="22"/>
  <c r="P39" i="21"/>
  <c r="P43" i="17"/>
  <c r="P45" i="19"/>
  <c r="P41" i="20"/>
  <c r="P45" i="20"/>
  <c r="P44" i="19"/>
  <c r="P40" i="21"/>
  <c r="P40" i="18"/>
  <c r="P44" i="20"/>
  <c r="P42" i="17"/>
  <c r="P46" i="19"/>
  <c r="P42" i="20"/>
  <c r="P48" i="21"/>
  <c r="Q43" i="19"/>
  <c r="Q41" i="20"/>
  <c r="Q45" i="20"/>
  <c r="Q41" i="18"/>
  <c r="Q45" i="22"/>
  <c r="Q41" i="19"/>
  <c r="Q43" i="20"/>
  <c r="Q40" i="21"/>
  <c r="Q46" i="21"/>
  <c r="Q42" i="18"/>
  <c r="Q46" i="22"/>
  <c r="Q42" i="21"/>
  <c r="Q39" i="17"/>
  <c r="Q43" i="22"/>
  <c r="Q46" i="18"/>
  <c r="Q40" i="22"/>
  <c r="Q44" i="21"/>
  <c r="Q44" i="18"/>
  <c r="Q41" i="21"/>
  <c r="P48" i="17"/>
  <c r="P48" i="18"/>
  <c r="Q45" i="17"/>
  <c r="Q39" i="19"/>
  <c r="Q39" i="22"/>
  <c r="Q45" i="21"/>
  <c r="Q41" i="17"/>
  <c r="Q44" i="22"/>
  <c r="Q43" i="17"/>
  <c r="Q44" i="19"/>
  <c r="Q42" i="20"/>
  <c r="Q40" i="18"/>
  <c r="Q42" i="17"/>
  <c r="Q44" i="20"/>
  <c r="Q39" i="21"/>
  <c r="Q44" i="17"/>
  <c r="P48" i="22"/>
  <c r="P48" i="19"/>
  <c r="Q45" i="18"/>
  <c r="Q41" i="22"/>
  <c r="Q43" i="21"/>
  <c r="Q43" i="18"/>
  <c r="Q40" i="19"/>
  <c r="Q40" i="17"/>
  <c r="Q46" i="19"/>
  <c r="P48" i="20"/>
  <c r="Q39" i="18"/>
  <c r="Q39" i="20"/>
  <c r="Q45" i="19"/>
  <c r="Q46" i="17"/>
  <c r="Q42" i="22"/>
  <c r="Q46" i="20"/>
  <c r="Q40" i="20"/>
  <c r="Q42" i="19"/>
  <c r="R10" i="19"/>
  <c r="R14" i="21"/>
  <c r="R40" i="21"/>
  <c r="R12" i="20"/>
  <c r="R10" i="21"/>
  <c r="R10" i="22"/>
  <c r="R40" i="22"/>
  <c r="R42" i="22"/>
  <c r="R18" i="18"/>
  <c r="R12" i="18"/>
  <c r="R42" i="20"/>
  <c r="R42" i="21"/>
  <c r="R44" i="18"/>
  <c r="R9" i="17"/>
  <c r="R39" i="18"/>
  <c r="R43" i="19"/>
  <c r="R11" i="20"/>
  <c r="R9" i="21"/>
  <c r="R11" i="22"/>
  <c r="R11" i="21"/>
  <c r="R41" i="17"/>
  <c r="R13" i="17"/>
  <c r="R15" i="17"/>
  <c r="R43" i="20"/>
  <c r="R43" i="17"/>
  <c r="R18" i="22"/>
  <c r="R18" i="20"/>
  <c r="R48" i="19"/>
  <c r="R18" i="21"/>
  <c r="R48" i="22"/>
  <c r="Q48" i="20"/>
  <c r="Q18" i="20"/>
  <c r="Q48" i="19"/>
  <c r="R40" i="17"/>
  <c r="R46" i="22"/>
  <c r="R16" i="19"/>
  <c r="R44" i="21"/>
  <c r="R12" i="22"/>
  <c r="R17" i="18"/>
  <c r="R40" i="19"/>
  <c r="R12" i="19"/>
  <c r="R12" i="17"/>
  <c r="R46" i="17"/>
  <c r="R42" i="19"/>
  <c r="R15" i="20"/>
  <c r="R9" i="18"/>
  <c r="R39" i="20"/>
  <c r="R45" i="20"/>
  <c r="R15" i="19"/>
  <c r="R43" i="21"/>
  <c r="R13" i="20"/>
  <c r="R45" i="21"/>
  <c r="R41" i="18"/>
  <c r="R11" i="18"/>
  <c r="R41" i="20"/>
  <c r="R41" i="21"/>
  <c r="R43" i="18"/>
  <c r="R48" i="18"/>
  <c r="R17" i="22"/>
  <c r="N17" i="22"/>
  <c r="J17" i="22"/>
  <c r="F17" i="22"/>
  <c r="E17" i="22"/>
  <c r="R17" i="21"/>
  <c r="N17" i="21"/>
  <c r="J17" i="21"/>
  <c r="F17" i="21"/>
  <c r="E17" i="21"/>
  <c r="Q17" i="22"/>
  <c r="M17" i="22"/>
  <c r="I17" i="22"/>
  <c r="Q17" i="21"/>
  <c r="M17" i="21"/>
  <c r="I17" i="21"/>
  <c r="P17" i="22"/>
  <c r="L17" i="22"/>
  <c r="H17" i="22"/>
  <c r="P17" i="21"/>
  <c r="L17" i="21"/>
  <c r="H17" i="21"/>
  <c r="S17" i="22"/>
  <c r="O17" i="22"/>
  <c r="K17" i="22"/>
  <c r="G17" i="22"/>
  <c r="S17" i="21"/>
  <c r="O17" i="21"/>
  <c r="K17" i="21"/>
  <c r="G17" i="21"/>
  <c r="S17" i="20"/>
  <c r="O17" i="20"/>
  <c r="K17" i="20"/>
  <c r="G17" i="20"/>
  <c r="R17" i="20"/>
  <c r="N17" i="20"/>
  <c r="J17" i="20"/>
  <c r="F17" i="20"/>
  <c r="E17" i="20"/>
  <c r="R17" i="19"/>
  <c r="N17" i="19"/>
  <c r="J17" i="19"/>
  <c r="F17" i="19"/>
  <c r="E17" i="19"/>
  <c r="E17" i="18"/>
  <c r="P17" i="17"/>
  <c r="L17" i="17"/>
  <c r="H17" i="17"/>
  <c r="Q17" i="20"/>
  <c r="M17" i="20"/>
  <c r="I17" i="20"/>
  <c r="P17" i="20"/>
  <c r="L17" i="20"/>
  <c r="H17" i="20"/>
  <c r="P17" i="19"/>
  <c r="L17" i="19"/>
  <c r="H17" i="19"/>
  <c r="R17" i="17"/>
  <c r="N17" i="17"/>
  <c r="J17" i="17"/>
  <c r="F17" i="17"/>
  <c r="S17" i="19"/>
  <c r="K17" i="19"/>
  <c r="Q17" i="17"/>
  <c r="I17" i="17"/>
  <c r="Q17" i="19"/>
  <c r="I17" i="19"/>
  <c r="O17" i="17"/>
  <c r="G17" i="17"/>
  <c r="O17" i="19"/>
  <c r="G17" i="19"/>
  <c r="M17" i="17"/>
  <c r="E17" i="17"/>
  <c r="M17" i="19"/>
  <c r="S17" i="17"/>
  <c r="K17" i="17"/>
  <c r="G16" i="21"/>
  <c r="F12" i="20"/>
  <c r="G16" i="18"/>
  <c r="F10" i="18"/>
  <c r="E16" i="22"/>
  <c r="G12" i="19"/>
  <c r="F14" i="21"/>
  <c r="E10" i="20"/>
  <c r="G16" i="17"/>
  <c r="F10" i="17"/>
  <c r="F16" i="22"/>
  <c r="H12" i="19"/>
  <c r="G10" i="21"/>
  <c r="F16" i="18"/>
  <c r="H12" i="22"/>
  <c r="G12" i="22"/>
  <c r="F14" i="19"/>
  <c r="H10" i="21"/>
  <c r="F10" i="20"/>
  <c r="F16" i="17"/>
  <c r="E14" i="22"/>
  <c r="H14" i="19"/>
  <c r="H16" i="21"/>
  <c r="G17" i="18"/>
  <c r="H14" i="20"/>
  <c r="G10" i="17"/>
  <c r="H18" i="17"/>
  <c r="H10" i="22"/>
  <c r="H16" i="19"/>
  <c r="H14" i="21"/>
  <c r="E16" i="20"/>
  <c r="E12" i="17"/>
  <c r="H12" i="18"/>
  <c r="F12" i="18"/>
  <c r="F12" i="22"/>
  <c r="E12" i="19"/>
  <c r="H12" i="21"/>
  <c r="E10" i="18"/>
  <c r="G16" i="20"/>
  <c r="H14" i="18"/>
  <c r="E16" i="17"/>
  <c r="F14" i="18"/>
  <c r="G14" i="19"/>
  <c r="G14" i="21"/>
  <c r="E16" i="18"/>
  <c r="E14" i="20"/>
  <c r="F18" i="18"/>
  <c r="E14" i="17"/>
  <c r="H18" i="18"/>
  <c r="G16" i="22"/>
  <c r="E14" i="19"/>
  <c r="E14" i="18"/>
  <c r="F16" i="20"/>
  <c r="G12" i="18"/>
  <c r="H16" i="18"/>
  <c r="E12" i="22"/>
  <c r="E10" i="22"/>
  <c r="E16" i="19"/>
  <c r="E14" i="21"/>
  <c r="G14" i="20"/>
  <c r="H14" i="17"/>
  <c r="G18" i="18"/>
  <c r="F10" i="22"/>
  <c r="F10" i="19"/>
  <c r="E10" i="21"/>
  <c r="F12" i="21"/>
  <c r="E12" i="18"/>
  <c r="E12" i="20"/>
  <c r="F18" i="17"/>
  <c r="H10" i="18"/>
  <c r="F14" i="22"/>
  <c r="F16" i="19"/>
  <c r="G12" i="20"/>
  <c r="G12" i="17"/>
  <c r="H16" i="17"/>
  <c r="H16" i="22"/>
  <c r="G10" i="19"/>
  <c r="E16" i="21"/>
  <c r="H16" i="20"/>
  <c r="G14" i="17"/>
  <c r="G18" i="17"/>
  <c r="H14" i="22"/>
  <c r="H10" i="19"/>
  <c r="E12" i="21"/>
  <c r="F17" i="18"/>
  <c r="H17" i="18"/>
  <c r="H12" i="20"/>
  <c r="G10" i="18"/>
  <c r="H10" i="17"/>
  <c r="G10" i="22"/>
  <c r="G16" i="19"/>
  <c r="F10" i="21"/>
  <c r="F14" i="20"/>
  <c r="G10" i="20"/>
  <c r="H12" i="17"/>
  <c r="F12" i="17"/>
  <c r="G14" i="22"/>
  <c r="E10" i="19"/>
  <c r="G12" i="21"/>
  <c r="F16" i="21"/>
  <c r="H10" i="20"/>
  <c r="G14" i="18"/>
  <c r="F14" i="17"/>
  <c r="F12" i="19"/>
  <c r="E18" i="20"/>
  <c r="E10" i="17"/>
  <c r="I12" i="22"/>
  <c r="I14" i="18"/>
  <c r="E18" i="17"/>
  <c r="G18" i="22"/>
  <c r="H18" i="21"/>
  <c r="H18" i="20"/>
  <c r="G18" i="20"/>
  <c r="F18" i="21"/>
  <c r="E18" i="22"/>
  <c r="E18" i="19"/>
  <c r="E18" i="21"/>
  <c r="E18" i="18"/>
  <c r="G18" i="19"/>
  <c r="F18" i="19"/>
  <c r="H18" i="19"/>
  <c r="H18" i="22"/>
  <c r="I14" i="17"/>
  <c r="F18" i="20"/>
  <c r="F18" i="22"/>
  <c r="G18" i="21"/>
  <c r="G15" i="21"/>
  <c r="E13" i="20"/>
  <c r="I13" i="17"/>
  <c r="F9" i="18"/>
  <c r="G11" i="21"/>
  <c r="G13" i="21"/>
  <c r="E9" i="17"/>
  <c r="H15" i="19"/>
  <c r="F15" i="18"/>
  <c r="H11" i="20"/>
  <c r="E15" i="22"/>
  <c r="E11" i="18"/>
  <c r="G11" i="19"/>
  <c r="F9" i="17"/>
  <c r="H13" i="20"/>
  <c r="E11" i="17"/>
  <c r="G15" i="18"/>
  <c r="E9" i="21"/>
  <c r="G9" i="21"/>
  <c r="H9" i="21"/>
  <c r="E15" i="18"/>
  <c r="F11" i="21"/>
  <c r="E15" i="17"/>
  <c r="E13" i="17"/>
  <c r="H13" i="17"/>
  <c r="H9" i="20"/>
  <c r="E9" i="19"/>
  <c r="H9" i="18"/>
  <c r="E15" i="19"/>
  <c r="F9" i="19"/>
  <c r="F11" i="19"/>
  <c r="E11" i="19"/>
  <c r="G15" i="22"/>
  <c r="G9" i="19"/>
  <c r="E9" i="18"/>
  <c r="H15" i="17"/>
  <c r="J13" i="18"/>
  <c r="J9" i="18"/>
  <c r="J13" i="19"/>
  <c r="J9" i="21"/>
  <c r="I9" i="20"/>
  <c r="I9" i="17"/>
  <c r="I13" i="19"/>
  <c r="J11" i="18"/>
  <c r="I15" i="18"/>
  <c r="F11" i="20"/>
  <c r="E11" i="22"/>
  <c r="E13" i="19"/>
  <c r="E13" i="22"/>
  <c r="F9" i="20"/>
  <c r="F13" i="21"/>
  <c r="G15" i="20"/>
  <c r="G13" i="20"/>
  <c r="G13" i="17"/>
  <c r="G9" i="18"/>
  <c r="F13" i="20"/>
  <c r="F11" i="22"/>
  <c r="F13" i="17"/>
  <c r="G9" i="20"/>
  <c r="G11" i="18"/>
  <c r="J9" i="19"/>
  <c r="J11" i="22"/>
  <c r="J15" i="21"/>
  <c r="J9" i="22"/>
  <c r="J13" i="22"/>
  <c r="I9" i="18"/>
  <c r="J13" i="21"/>
  <c r="J15" i="17"/>
  <c r="I15" i="22"/>
  <c r="I9" i="21"/>
  <c r="J10" i="20"/>
  <c r="J14" i="18"/>
  <c r="J16" i="21"/>
  <c r="J16" i="22"/>
  <c r="I12" i="17"/>
  <c r="J18" i="18"/>
  <c r="I10" i="20"/>
  <c r="I10" i="17"/>
  <c r="I14" i="19"/>
  <c r="J12" i="17"/>
  <c r="I10" i="22"/>
  <c r="I16" i="22"/>
  <c r="I10" i="21"/>
  <c r="G15" i="19"/>
  <c r="I11" i="17"/>
  <c r="I9" i="19"/>
  <c r="I15" i="17"/>
  <c r="J10" i="18"/>
  <c r="J16" i="18"/>
  <c r="I16" i="17"/>
  <c r="H11" i="19"/>
  <c r="I11" i="22"/>
  <c r="H9" i="22"/>
  <c r="E9" i="20"/>
  <c r="G11" i="22"/>
  <c r="F15" i="17"/>
  <c r="E13" i="18"/>
  <c r="H13" i="18"/>
  <c r="H11" i="17"/>
  <c r="F11" i="18"/>
  <c r="E9" i="22"/>
  <c r="G9" i="17"/>
  <c r="F13" i="18"/>
  <c r="H13" i="22"/>
  <c r="G9" i="22"/>
  <c r="H15" i="18"/>
  <c r="I13" i="21"/>
  <c r="J13" i="17"/>
  <c r="J11" i="19"/>
  <c r="I11" i="18"/>
  <c r="J11" i="21"/>
  <c r="J15" i="19"/>
  <c r="J15" i="20"/>
  <c r="I9" i="22"/>
  <c r="I11" i="20"/>
  <c r="J10" i="19"/>
  <c r="J14" i="17"/>
  <c r="J12" i="19"/>
  <c r="J10" i="22"/>
  <c r="I18" i="18"/>
  <c r="J18" i="17"/>
  <c r="I10" i="19"/>
  <c r="I14" i="22"/>
  <c r="J14" i="21"/>
  <c r="J12" i="18"/>
  <c r="I16" i="18"/>
  <c r="I12" i="20"/>
  <c r="G11" i="20"/>
  <c r="H9" i="19"/>
  <c r="I11" i="21"/>
  <c r="J13" i="20"/>
  <c r="I15" i="19"/>
  <c r="I14" i="21"/>
  <c r="I18" i="17"/>
  <c r="J14" i="22"/>
  <c r="J16" i="20"/>
  <c r="F13" i="19"/>
  <c r="H13" i="19"/>
  <c r="H11" i="22"/>
  <c r="G13" i="19"/>
  <c r="F15" i="19"/>
  <c r="G15" i="17"/>
  <c r="F15" i="22"/>
  <c r="E11" i="21"/>
  <c r="H11" i="18"/>
  <c r="G13" i="22"/>
  <c r="F11" i="17"/>
  <c r="F15" i="21"/>
  <c r="H15" i="22"/>
  <c r="H11" i="21"/>
  <c r="H9" i="17"/>
  <c r="F15" i="20"/>
  <c r="E15" i="20"/>
  <c r="H13" i="21"/>
  <c r="J9" i="17"/>
  <c r="J11" i="17"/>
  <c r="I12" i="21"/>
  <c r="J14" i="19"/>
  <c r="J12" i="21"/>
  <c r="J10" i="21"/>
  <c r="I16" i="21"/>
  <c r="I16" i="19"/>
  <c r="I13" i="18"/>
  <c r="E11" i="20"/>
  <c r="F9" i="21"/>
  <c r="E13" i="21"/>
  <c r="J15" i="18"/>
  <c r="I17" i="18"/>
  <c r="J10" i="17"/>
  <c r="J12" i="20"/>
  <c r="J17" i="18"/>
  <c r="J9" i="20"/>
  <c r="J15" i="22"/>
  <c r="I15" i="20"/>
  <c r="J12" i="22"/>
  <c r="I12" i="18"/>
  <c r="J16" i="19"/>
  <c r="J16" i="17"/>
  <c r="I11" i="19"/>
  <c r="G11" i="17"/>
  <c r="H15" i="20"/>
  <c r="I15" i="21"/>
  <c r="I13" i="22"/>
  <c r="J11" i="20"/>
  <c r="I16" i="20"/>
  <c r="F9" i="22"/>
  <c r="F13" i="22"/>
  <c r="I12" i="19"/>
  <c r="G13" i="18"/>
  <c r="H15" i="21"/>
  <c r="I14" i="20"/>
  <c r="I10" i="18"/>
  <c r="E15" i="21"/>
  <c r="I13" i="20"/>
  <c r="J14" i="20"/>
  <c r="J18" i="21"/>
  <c r="I18" i="19"/>
  <c r="K11" i="21"/>
  <c r="K13" i="18"/>
  <c r="K9" i="20"/>
  <c r="K13" i="21"/>
  <c r="K15" i="18"/>
  <c r="K9" i="19"/>
  <c r="K13" i="22"/>
  <c r="K14" i="20"/>
  <c r="K10" i="18"/>
  <c r="K10" i="22"/>
  <c r="K12" i="20"/>
  <c r="K12" i="18"/>
  <c r="K12" i="19"/>
  <c r="K18" i="17"/>
  <c r="K13" i="17"/>
  <c r="K11" i="17"/>
  <c r="I18" i="22"/>
  <c r="K13" i="20"/>
  <c r="K9" i="17"/>
  <c r="K13" i="19"/>
  <c r="K15" i="21"/>
  <c r="K15" i="17"/>
  <c r="K15" i="20"/>
  <c r="K16" i="19"/>
  <c r="K10" i="17"/>
  <c r="K17" i="18"/>
  <c r="K16" i="22"/>
  <c r="K10" i="21"/>
  <c r="K12" i="17"/>
  <c r="K12" i="22"/>
  <c r="J18" i="20"/>
  <c r="K12" i="21"/>
  <c r="J18" i="19"/>
  <c r="I18" i="21"/>
  <c r="J18" i="22"/>
  <c r="K15" i="19"/>
  <c r="K9" i="18"/>
  <c r="K9" i="22"/>
  <c r="K11" i="20"/>
  <c r="K11" i="18"/>
  <c r="K11" i="19"/>
  <c r="K14" i="17"/>
  <c r="K10" i="20"/>
  <c r="K14" i="21"/>
  <c r="K16" i="18"/>
  <c r="K10" i="19"/>
  <c r="K14" i="22"/>
  <c r="I18" i="20"/>
  <c r="K15" i="22"/>
  <c r="K9" i="21"/>
  <c r="K11" i="22"/>
  <c r="K14" i="18"/>
  <c r="K14" i="19"/>
  <c r="K16" i="20"/>
  <c r="K16" i="21"/>
  <c r="K18" i="18"/>
  <c r="K16" i="17"/>
  <c r="K18" i="21"/>
  <c r="L15" i="18"/>
  <c r="L11" i="17"/>
  <c r="L15" i="20"/>
  <c r="L9" i="20"/>
  <c r="L15" i="22"/>
  <c r="L14" i="19"/>
  <c r="L12" i="18"/>
  <c r="L14" i="17"/>
  <c r="L18" i="18"/>
  <c r="L16" i="19"/>
  <c r="L10" i="22"/>
  <c r="L9" i="21"/>
  <c r="L9" i="22"/>
  <c r="L12" i="17"/>
  <c r="L14" i="18"/>
  <c r="L15" i="17"/>
  <c r="L11" i="18"/>
  <c r="L13" i="17"/>
  <c r="L9" i="19"/>
  <c r="L11" i="21"/>
  <c r="L11" i="20"/>
  <c r="L16" i="21"/>
  <c r="L14" i="22"/>
  <c r="L17" i="18"/>
  <c r="L10" i="21"/>
  <c r="L12" i="22"/>
  <c r="L10" i="19"/>
  <c r="L16" i="22"/>
  <c r="L13" i="22"/>
  <c r="L9" i="17"/>
  <c r="L16" i="17"/>
  <c r="L18" i="17"/>
  <c r="L14" i="20"/>
  <c r="K18" i="22"/>
  <c r="K18" i="19"/>
  <c r="L13" i="19"/>
  <c r="L9" i="18"/>
  <c r="L13" i="18"/>
  <c r="L13" i="21"/>
  <c r="L13" i="20"/>
  <c r="L16" i="18"/>
  <c r="L12" i="19"/>
  <c r="L10" i="18"/>
  <c r="L16" i="20"/>
  <c r="L10" i="20"/>
  <c r="L12" i="21"/>
  <c r="L12" i="20"/>
  <c r="K18" i="20"/>
  <c r="L15" i="21"/>
  <c r="L11" i="19"/>
  <c r="L11" i="22"/>
  <c r="L15" i="19"/>
  <c r="L10" i="17"/>
  <c r="L14" i="21"/>
  <c r="M9" i="22"/>
  <c r="M13" i="18"/>
  <c r="M13" i="20"/>
  <c r="M15" i="20"/>
  <c r="M11" i="21"/>
  <c r="M13" i="22"/>
  <c r="M12" i="19"/>
  <c r="M10" i="21"/>
  <c r="M18" i="17"/>
  <c r="M10" i="20"/>
  <c r="M12" i="17"/>
  <c r="M12" i="21"/>
  <c r="M14" i="22"/>
  <c r="L18" i="19"/>
  <c r="M9" i="21"/>
  <c r="M15" i="21"/>
  <c r="M15" i="17"/>
  <c r="M12" i="20"/>
  <c r="M10" i="19"/>
  <c r="L18" i="20"/>
  <c r="L18" i="22"/>
  <c r="M13" i="17"/>
  <c r="M9" i="20"/>
  <c r="M11" i="18"/>
  <c r="M11" i="20"/>
  <c r="M11" i="22"/>
  <c r="M15" i="22"/>
  <c r="M14" i="19"/>
  <c r="M14" i="18"/>
  <c r="M10" i="18"/>
  <c r="M16" i="19"/>
  <c r="M16" i="21"/>
  <c r="M12" i="22"/>
  <c r="M17" i="18"/>
  <c r="L18" i="21"/>
  <c r="M13" i="19"/>
  <c r="M9" i="18"/>
  <c r="M9" i="19"/>
  <c r="M18" i="18"/>
  <c r="M11" i="19"/>
  <c r="M9" i="17"/>
  <c r="M15" i="19"/>
  <c r="M11" i="17"/>
  <c r="M15" i="18"/>
  <c r="M13" i="21"/>
  <c r="M10" i="22"/>
  <c r="M14" i="17"/>
  <c r="M10" i="17"/>
  <c r="M16" i="20"/>
  <c r="M16" i="18"/>
  <c r="M14" i="21"/>
  <c r="M16" i="22"/>
  <c r="M14" i="20"/>
  <c r="M12" i="18"/>
  <c r="M16" i="17"/>
  <c r="N9" i="17"/>
  <c r="N9" i="21"/>
  <c r="N11" i="21"/>
  <c r="N13" i="18"/>
  <c r="N15" i="20"/>
  <c r="N10" i="18"/>
  <c r="N14" i="19"/>
  <c r="N12" i="21"/>
  <c r="N14" i="18"/>
  <c r="N16" i="21"/>
  <c r="N12" i="17"/>
  <c r="N12" i="22"/>
  <c r="M18" i="20"/>
  <c r="N9" i="22"/>
  <c r="N9" i="18"/>
  <c r="N13" i="22"/>
  <c r="N15" i="18"/>
  <c r="N13" i="17"/>
  <c r="N11" i="22"/>
  <c r="N10" i="22"/>
  <c r="N10" i="17"/>
  <c r="N18" i="18"/>
  <c r="N16" i="18"/>
  <c r="N14" i="17"/>
  <c r="N17" i="18"/>
  <c r="N12" i="18"/>
  <c r="N14" i="21"/>
  <c r="M18" i="21"/>
  <c r="N11" i="19"/>
  <c r="N15" i="22"/>
  <c r="N13" i="19"/>
  <c r="N15" i="17"/>
  <c r="N13" i="20"/>
  <c r="N11" i="17"/>
  <c r="N12" i="19"/>
  <c r="N16" i="22"/>
  <c r="N10" i="21"/>
  <c r="N18" i="17"/>
  <c r="N16" i="17"/>
  <c r="N16" i="20"/>
  <c r="N14" i="22"/>
  <c r="N14" i="20"/>
  <c r="M18" i="19"/>
  <c r="M18" i="22"/>
  <c r="N9" i="20"/>
  <c r="N9" i="19"/>
  <c r="N15" i="19"/>
  <c r="N13" i="21"/>
  <c r="N11" i="20"/>
  <c r="N15" i="21"/>
  <c r="N11" i="18"/>
  <c r="N10" i="20"/>
  <c r="N10" i="19"/>
  <c r="N16" i="19"/>
  <c r="N12" i="20"/>
  <c r="O11" i="22"/>
  <c r="O15" i="21"/>
  <c r="O11" i="18"/>
  <c r="O9" i="17"/>
  <c r="O15" i="20"/>
  <c r="O16" i="22"/>
  <c r="O10" i="20"/>
  <c r="O18" i="18"/>
  <c r="O10" i="22"/>
  <c r="O10" i="17"/>
  <c r="O16" i="20"/>
  <c r="O15" i="22"/>
  <c r="O9" i="20"/>
  <c r="O13" i="20"/>
  <c r="O15" i="19"/>
  <c r="O11" i="17"/>
  <c r="O13" i="21"/>
  <c r="O13" i="22"/>
  <c r="O16" i="18"/>
  <c r="O14" i="19"/>
  <c r="O10" i="21"/>
  <c r="O16" i="19"/>
  <c r="O18" i="17"/>
  <c r="O14" i="21"/>
  <c r="O14" i="22"/>
  <c r="N18" i="20"/>
  <c r="O15" i="18"/>
  <c r="O13" i="19"/>
  <c r="O13" i="17"/>
  <c r="O9" i="22"/>
  <c r="O11" i="19"/>
  <c r="O9" i="19"/>
  <c r="O16" i="17"/>
  <c r="O12" i="20"/>
  <c r="O17" i="18"/>
  <c r="O16" i="21"/>
  <c r="O14" i="18"/>
  <c r="O12" i="18"/>
  <c r="O12" i="19"/>
  <c r="O10" i="19"/>
  <c r="N18" i="21"/>
  <c r="N18" i="19"/>
  <c r="N18" i="22"/>
  <c r="O15" i="17"/>
  <c r="O11" i="20"/>
  <c r="O9" i="21"/>
  <c r="O13" i="18"/>
  <c r="O9" i="18"/>
  <c r="O11" i="21"/>
  <c r="O12" i="22"/>
  <c r="O14" i="20"/>
  <c r="O14" i="17"/>
  <c r="O12" i="17"/>
  <c r="O10" i="18"/>
  <c r="O12" i="21"/>
  <c r="O18" i="22"/>
  <c r="P9" i="22"/>
  <c r="P11" i="19"/>
  <c r="P13" i="18"/>
  <c r="P11" i="17"/>
  <c r="P15" i="21"/>
  <c r="P15" i="19"/>
  <c r="P10" i="22"/>
  <c r="P18" i="18"/>
  <c r="P14" i="22"/>
  <c r="P16" i="20"/>
  <c r="P12" i="21"/>
  <c r="P16" i="22"/>
  <c r="P10" i="19"/>
  <c r="P10" i="18"/>
  <c r="P9" i="21"/>
  <c r="P13" i="20"/>
  <c r="P11" i="20"/>
  <c r="P15" i="17"/>
  <c r="P13" i="19"/>
  <c r="P10" i="21"/>
  <c r="P14" i="21"/>
  <c r="P12" i="22"/>
  <c r="P14" i="18"/>
  <c r="P12" i="17"/>
  <c r="P16" i="21"/>
  <c r="P10" i="17"/>
  <c r="O18" i="19"/>
  <c r="P9" i="20"/>
  <c r="P13" i="22"/>
  <c r="P15" i="20"/>
  <c r="P11" i="21"/>
  <c r="P15" i="22"/>
  <c r="P15" i="18"/>
  <c r="P9" i="18"/>
  <c r="P10" i="20"/>
  <c r="P12" i="19"/>
  <c r="P14" i="17"/>
  <c r="P12" i="18"/>
  <c r="P16" i="18"/>
  <c r="P17" i="18"/>
  <c r="P16" i="19"/>
  <c r="O18" i="20"/>
  <c r="O18" i="21"/>
  <c r="P13" i="21"/>
  <c r="P11" i="22"/>
  <c r="P13" i="17"/>
  <c r="P11" i="18"/>
  <c r="P9" i="19"/>
  <c r="P9" i="17"/>
  <c r="P18" i="17"/>
  <c r="P14" i="20"/>
  <c r="P12" i="20"/>
  <c r="P16" i="17"/>
  <c r="P14" i="19"/>
  <c r="P18" i="21"/>
  <c r="Q11" i="22"/>
  <c r="Q15" i="22"/>
  <c r="Q13" i="19"/>
  <c r="Q15" i="19"/>
  <c r="Q13" i="20"/>
  <c r="Q18" i="18"/>
  <c r="Q14" i="18"/>
  <c r="Q16" i="22"/>
  <c r="Q12" i="18"/>
  <c r="Q10" i="19"/>
  <c r="Q10" i="17"/>
  <c r="Q9" i="17"/>
  <c r="Q10" i="21"/>
  <c r="Q12" i="19"/>
  <c r="Q16" i="18"/>
  <c r="Q14" i="22"/>
  <c r="P18" i="22"/>
  <c r="Q15" i="20"/>
  <c r="Q15" i="21"/>
  <c r="Q12" i="22"/>
  <c r="Q16" i="21"/>
  <c r="Q16" i="17"/>
  <c r="Q10" i="18"/>
  <c r="P18" i="20"/>
  <c r="P18" i="19"/>
  <c r="Q13" i="17"/>
  <c r="Q13" i="21"/>
  <c r="Q11" i="19"/>
  <c r="Q15" i="17"/>
  <c r="Q9" i="20"/>
  <c r="Q13" i="22"/>
  <c r="Q18" i="17"/>
  <c r="Q12" i="20"/>
  <c r="Q14" i="17"/>
  <c r="Q14" i="21"/>
  <c r="Q17" i="18"/>
  <c r="Q14" i="19"/>
  <c r="Q16" i="19"/>
  <c r="Q14" i="20"/>
  <c r="Q9" i="21"/>
  <c r="Q11" i="18"/>
  <c r="Q9" i="18"/>
  <c r="Q12" i="21"/>
  <c r="Q11" i="21"/>
  <c r="Q11" i="20"/>
  <c r="Q13" i="18"/>
  <c r="Q9" i="22"/>
  <c r="Q11" i="17"/>
  <c r="Q15" i="18"/>
  <c r="Q16" i="20"/>
  <c r="Q10" i="22"/>
  <c r="Q10" i="20"/>
  <c r="Q9" i="19"/>
  <c r="Q12" i="17"/>
  <c r="R10" i="17"/>
  <c r="R40" i="18"/>
  <c r="R44" i="19"/>
  <c r="R14" i="22"/>
  <c r="R14" i="20"/>
  <c r="R12" i="21"/>
  <c r="R42" i="17"/>
  <c r="R14" i="17"/>
  <c r="R16" i="17"/>
  <c r="R46" i="18"/>
  <c r="R46" i="19"/>
  <c r="R9" i="19"/>
  <c r="R13" i="21"/>
  <c r="R39" i="21"/>
  <c r="R44" i="22"/>
  <c r="R13" i="22"/>
  <c r="R13" i="19"/>
  <c r="R39" i="22"/>
  <c r="R41" i="22"/>
  <c r="R11" i="19"/>
  <c r="R11" i="17"/>
  <c r="R45" i="17"/>
  <c r="R41" i="19"/>
  <c r="R48" i="20"/>
  <c r="Q48" i="22"/>
  <c r="Q48" i="17"/>
  <c r="CY109" i="7"/>
  <c r="S109" i="7" s="1"/>
  <c r="CY107" i="7"/>
  <c r="S107" i="7" s="1"/>
  <c r="CY113" i="7"/>
  <c r="S113" i="7" s="1"/>
  <c r="CY111" i="7"/>
  <c r="S111" i="7" s="1"/>
  <c r="CY105" i="7"/>
  <c r="S105" i="7" s="1"/>
  <c r="CY87" i="7"/>
  <c r="S87" i="7" s="1"/>
  <c r="CY71" i="7"/>
  <c r="S71" i="7" s="1"/>
  <c r="CY67" i="7"/>
  <c r="S67" i="7" s="1"/>
  <c r="CY85" i="7"/>
  <c r="S85" i="7" s="1"/>
  <c r="CY89" i="7"/>
  <c r="S89" i="7" s="1"/>
  <c r="CY93" i="7"/>
  <c r="S93" i="7" s="1"/>
  <c r="CY69" i="7"/>
  <c r="S69" i="7" s="1"/>
  <c r="CY65" i="7"/>
  <c r="S65" i="7" s="1"/>
  <c r="CY73" i="7"/>
  <c r="S73" i="7" s="1"/>
  <c r="CY23" i="7"/>
  <c r="S23" i="7" s="1"/>
  <c r="CY15" i="7"/>
  <c r="S15" i="7" s="1"/>
  <c r="CY91" i="7"/>
  <c r="S91" i="7" s="1"/>
  <c r="CY123" i="7"/>
  <c r="S123" i="7" s="1"/>
  <c r="CY121" i="7"/>
  <c r="S121" i="7" s="1"/>
  <c r="CY27" i="7"/>
  <c r="S27" i="7" s="1"/>
  <c r="CY25" i="7"/>
  <c r="S25" i="7" s="1"/>
  <c r="CY45" i="7"/>
  <c r="S45" i="7" s="1"/>
  <c r="CY119" i="7"/>
  <c r="S119" i="7" s="1"/>
  <c r="CY33" i="7"/>
  <c r="S33" i="7" s="1"/>
  <c r="CY53" i="7"/>
  <c r="S53" i="7" s="1"/>
  <c r="CY101" i="7"/>
  <c r="S101" i="7" s="1"/>
  <c r="CY17" i="7"/>
  <c r="S17" i="7" s="1"/>
  <c r="CY19" i="7"/>
  <c r="S19" i="7" s="1"/>
  <c r="CY117" i="7"/>
  <c r="S117" i="7" s="1"/>
  <c r="CY31" i="7"/>
  <c r="S31" i="7" s="1"/>
  <c r="CY51" i="7"/>
  <c r="S51" i="7" s="1"/>
  <c r="CY49" i="7"/>
  <c r="S49" i="7" s="1"/>
  <c r="CY21" i="7"/>
  <c r="S21" i="7" s="1"/>
  <c r="CY99" i="7"/>
  <c r="S99" i="7" s="1"/>
  <c r="CY83" i="7"/>
  <c r="S83" i="7" s="1"/>
  <c r="CY115" i="7"/>
  <c r="S115" i="7" s="1"/>
  <c r="CY81" i="7"/>
  <c r="S81" i="7" s="1"/>
  <c r="CY75" i="7"/>
  <c r="S75" i="7" s="1"/>
  <c r="CY37" i="7"/>
  <c r="S37" i="7" s="1"/>
  <c r="CY5" i="7"/>
  <c r="S5" i="7" s="1"/>
  <c r="CY29" i="7"/>
  <c r="S29" i="7" s="1"/>
  <c r="CY103" i="7"/>
  <c r="S103" i="7" s="1"/>
  <c r="CY79" i="7"/>
  <c r="S79" i="7" s="1"/>
  <c r="CY35" i="7"/>
  <c r="S35" i="7" s="1"/>
  <c r="CY13" i="7"/>
  <c r="S13" i="7" s="1"/>
  <c r="CY95" i="7"/>
  <c r="S95" i="7" s="1"/>
  <c r="CY57" i="7"/>
  <c r="S57" i="7" s="1"/>
  <c r="CY59" i="7"/>
  <c r="S59" i="7" s="1"/>
  <c r="CY61" i="7"/>
  <c r="S61" i="7" s="1"/>
  <c r="CY77" i="7"/>
  <c r="S77" i="7" s="1"/>
  <c r="CY43" i="7"/>
  <c r="S43" i="7" s="1"/>
  <c r="CY41" i="7"/>
  <c r="S41" i="7" s="1"/>
  <c r="CY11" i="7"/>
  <c r="S11" i="7" s="1"/>
  <c r="CY9" i="7"/>
  <c r="S9" i="7" s="1"/>
  <c r="CY63" i="7"/>
  <c r="S63" i="7" s="1"/>
  <c r="CY47" i="7"/>
  <c r="S47" i="7" s="1"/>
  <c r="CY97" i="7"/>
  <c r="S97" i="7" s="1"/>
  <c r="CY39" i="7"/>
  <c r="S39" i="7" s="1"/>
  <c r="CY7" i="7"/>
  <c r="S7" i="7" s="1"/>
  <c r="CY55" i="7"/>
  <c r="S55" i="7" s="1"/>
  <c r="R40" i="20"/>
  <c r="R46" i="20"/>
  <c r="R16" i="22"/>
  <c r="R16" i="21"/>
  <c r="R14" i="19"/>
  <c r="R46" i="21"/>
  <c r="R42" i="18"/>
  <c r="R18" i="17"/>
  <c r="R14" i="18"/>
  <c r="R16" i="18"/>
  <c r="R44" i="20"/>
  <c r="R44" i="17"/>
  <c r="R9" i="20"/>
  <c r="R39" i="17"/>
  <c r="R45" i="22"/>
  <c r="R43" i="22"/>
  <c r="R15" i="22"/>
  <c r="R15" i="21"/>
  <c r="R9" i="22"/>
  <c r="R39" i="19"/>
  <c r="R13" i="18"/>
  <c r="R15" i="18"/>
  <c r="R45" i="18"/>
  <c r="R45" i="19"/>
  <c r="R48" i="21"/>
  <c r="R18" i="19"/>
  <c r="R48" i="17"/>
  <c r="Q18" i="19"/>
  <c r="Q48" i="21"/>
  <c r="Q18" i="21"/>
  <c r="Q48" i="18"/>
  <c r="S63" i="8"/>
  <c r="S48" i="22" s="1"/>
  <c r="S23" i="8"/>
  <c r="S48" i="18" s="1"/>
  <c r="S89" i="5"/>
  <c r="R43" i="6"/>
  <c r="S97" i="8"/>
  <c r="S95" i="8"/>
  <c r="S119" i="5"/>
  <c r="S121" i="5"/>
  <c r="S121" i="8"/>
  <c r="S115" i="8"/>
  <c r="S117" i="8"/>
  <c r="S87" i="5"/>
  <c r="S115" i="5"/>
  <c r="S75" i="5"/>
  <c r="S33" i="5"/>
  <c r="S18" i="19" s="1"/>
  <c r="S107" i="8"/>
  <c r="S53" i="8"/>
  <c r="S48" i="21" s="1"/>
  <c r="S113" i="8"/>
  <c r="S43" i="8"/>
  <c r="S48" i="20" s="1"/>
  <c r="S105" i="8"/>
  <c r="S119" i="8"/>
  <c r="S123" i="8"/>
  <c r="S101" i="8"/>
  <c r="S117" i="5"/>
  <c r="S91" i="5"/>
  <c r="S81" i="5"/>
  <c r="S53" i="5"/>
  <c r="S18" i="21" s="1"/>
  <c r="S43" i="5"/>
  <c r="S18" i="20" s="1"/>
  <c r="S97" i="5"/>
  <c r="S99" i="5"/>
  <c r="S79" i="5"/>
  <c r="R53" i="6"/>
  <c r="R33" i="6"/>
  <c r="R63" i="6"/>
  <c r="S33" i="8"/>
  <c r="S48" i="19" s="1"/>
  <c r="S109" i="8"/>
  <c r="S13" i="8"/>
  <c r="S48" i="17" s="1"/>
  <c r="S111" i="8"/>
  <c r="S103" i="8"/>
  <c r="S99" i="8"/>
  <c r="S63" i="5"/>
  <c r="S18" i="22" s="1"/>
  <c r="S39" i="19"/>
  <c r="S45" i="18"/>
  <c r="S45" i="17"/>
  <c r="S39" i="22"/>
  <c r="S45" i="21"/>
  <c r="S45" i="20"/>
  <c r="S9" i="21"/>
  <c r="S9" i="18"/>
  <c r="S9" i="17"/>
  <c r="S11" i="19"/>
  <c r="S9" i="20"/>
  <c r="S13" i="19"/>
  <c r="S43" i="18"/>
  <c r="S43" i="17"/>
  <c r="S45" i="19"/>
  <c r="S43" i="19"/>
  <c r="S41" i="20"/>
  <c r="S43" i="20"/>
  <c r="S43" i="21"/>
  <c r="S41" i="21"/>
  <c r="S43" i="22"/>
  <c r="S44" i="22"/>
  <c r="S15" i="21"/>
  <c r="S13" i="21"/>
  <c r="S9" i="22"/>
  <c r="S11" i="18"/>
  <c r="S11" i="17"/>
  <c r="S15" i="19"/>
  <c r="S11" i="22"/>
  <c r="S13" i="18"/>
  <c r="S13" i="17"/>
  <c r="S41" i="19"/>
  <c r="S45" i="22"/>
  <c r="S39" i="21"/>
  <c r="S39" i="20"/>
  <c r="S9" i="19"/>
  <c r="S11" i="21"/>
  <c r="S15" i="20"/>
  <c r="S11" i="20"/>
  <c r="S15" i="18"/>
  <c r="S15" i="17"/>
  <c r="S41" i="18"/>
  <c r="S41" i="17"/>
  <c r="S39" i="18"/>
  <c r="S39" i="17"/>
  <c r="S41" i="22"/>
  <c r="S15" i="22"/>
  <c r="S13" i="20"/>
  <c r="S13" i="22"/>
  <c r="S40" i="19"/>
  <c r="S46" i="18"/>
  <c r="S46" i="17"/>
  <c r="S40" i="22"/>
  <c r="S46" i="21"/>
  <c r="S46" i="20"/>
  <c r="S10" i="21"/>
  <c r="S10" i="18"/>
  <c r="S10" i="17"/>
  <c r="S12" i="19"/>
  <c r="S10" i="20"/>
  <c r="S14" i="19"/>
  <c r="S44" i="18"/>
  <c r="S44" i="17"/>
  <c r="S46" i="19"/>
  <c r="S44" i="19"/>
  <c r="S42" i="20"/>
  <c r="S44" i="20"/>
  <c r="S44" i="21"/>
  <c r="S42" i="21"/>
  <c r="S16" i="21"/>
  <c r="S14" i="21"/>
  <c r="S10" i="22"/>
  <c r="S12" i="18"/>
  <c r="S12" i="17"/>
  <c r="S16" i="19"/>
  <c r="S17" i="18"/>
  <c r="S12" i="22"/>
  <c r="S14" i="18"/>
  <c r="S14" i="17"/>
  <c r="S42" i="19"/>
  <c r="S46" i="22"/>
  <c r="S40" i="21"/>
  <c r="S40" i="20"/>
  <c r="S10" i="19"/>
  <c r="S12" i="21"/>
  <c r="S16" i="20"/>
  <c r="S18" i="18"/>
  <c r="S18" i="17"/>
  <c r="S12" i="20"/>
  <c r="S16" i="18"/>
  <c r="S16" i="17"/>
  <c r="S42" i="18"/>
  <c r="S42" i="17"/>
  <c r="S40" i="18"/>
  <c r="S40" i="17"/>
  <c r="S42" i="22"/>
  <c r="S16" i="22"/>
  <c r="S14" i="20"/>
  <c r="S14" i="22"/>
  <c r="U3" i="5"/>
  <c r="T17" i="21" s="1"/>
  <c r="CZ71" i="5"/>
  <c r="T71" i="5" s="1"/>
  <c r="CZ67" i="5"/>
  <c r="T67" i="5" s="1"/>
  <c r="CZ109" i="5"/>
  <c r="T109" i="5" s="1"/>
  <c r="CZ111" i="5"/>
  <c r="T111" i="5" s="1"/>
  <c r="CZ107" i="5"/>
  <c r="T107" i="5" s="1"/>
  <c r="CZ105" i="5"/>
  <c r="T105" i="5" s="1"/>
  <c r="CZ113" i="5"/>
  <c r="T113" i="5" s="1"/>
  <c r="CZ73" i="5"/>
  <c r="T73" i="5" s="1"/>
  <c r="CZ69" i="5"/>
  <c r="CZ65" i="5"/>
  <c r="T65" i="5" s="1"/>
  <c r="CZ81" i="5"/>
  <c r="T81" i="5" s="1"/>
  <c r="CZ77" i="5"/>
  <c r="T77" i="5" s="1"/>
  <c r="CZ33" i="5"/>
  <c r="CZ31" i="5"/>
  <c r="T31" i="5" s="1"/>
  <c r="CZ61" i="5"/>
  <c r="T61" i="5" s="1"/>
  <c r="CZ57" i="5"/>
  <c r="T57" i="5" s="1"/>
  <c r="CZ9" i="5"/>
  <c r="T9" i="5" s="1"/>
  <c r="CZ7" i="5"/>
  <c r="T7" i="5" s="1"/>
  <c r="CZ15" i="5"/>
  <c r="T15" i="5" s="1"/>
  <c r="CZ83" i="5"/>
  <c r="T83" i="5" s="1"/>
  <c r="CZ79" i="5"/>
  <c r="T79" i="5" s="1"/>
  <c r="CZ75" i="5"/>
  <c r="T75" i="5" s="1"/>
  <c r="CZ27" i="5"/>
  <c r="T27" i="5" s="1"/>
  <c r="CZ29" i="5"/>
  <c r="T29" i="5" s="1"/>
  <c r="CZ41" i="5"/>
  <c r="T41" i="5" s="1"/>
  <c r="CZ37" i="5"/>
  <c r="T37" i="5" s="1"/>
  <c r="CZ63" i="5"/>
  <c r="CZ59" i="5"/>
  <c r="T59" i="5" s="1"/>
  <c r="CZ55" i="5"/>
  <c r="T55" i="5" s="1"/>
  <c r="CZ13" i="5"/>
  <c r="T13" i="5" s="1"/>
  <c r="CZ5" i="5"/>
  <c r="T5" i="5" s="1"/>
  <c r="CZ11" i="5"/>
  <c r="T11" i="5" s="1"/>
  <c r="CZ43" i="5"/>
  <c r="CZ39" i="5"/>
  <c r="T39" i="5" s="1"/>
  <c r="CZ35" i="5"/>
  <c r="T35" i="5" s="1"/>
  <c r="CZ21" i="5"/>
  <c r="T21" i="5" s="1"/>
  <c r="CZ17" i="5"/>
  <c r="T17" i="5" s="1"/>
  <c r="CZ19" i="5"/>
  <c r="T19" i="5" s="1"/>
  <c r="CZ103" i="5"/>
  <c r="T103" i="5" s="1"/>
  <c r="CZ99" i="5"/>
  <c r="T99" i="5" s="1"/>
  <c r="CZ95" i="5"/>
  <c r="T95" i="5" s="1"/>
  <c r="CZ25" i="5"/>
  <c r="T25" i="5" s="1"/>
  <c r="CZ115" i="5"/>
  <c r="T115" i="5" s="1"/>
  <c r="CZ117" i="5"/>
  <c r="T117" i="5" s="1"/>
  <c r="CZ91" i="5"/>
  <c r="T91" i="5" s="1"/>
  <c r="CZ87" i="5"/>
  <c r="T87" i="5" s="1"/>
  <c r="CZ119" i="5"/>
  <c r="T119" i="5" s="1"/>
  <c r="CZ93" i="5"/>
  <c r="T93" i="5" s="1"/>
  <c r="CZ89" i="5"/>
  <c r="T89" i="5" s="1"/>
  <c r="CZ85" i="5"/>
  <c r="T85" i="5" s="1"/>
  <c r="CZ23" i="5"/>
  <c r="T23" i="5" s="1"/>
  <c r="CZ101" i="5"/>
  <c r="T101" i="5" s="1"/>
  <c r="CZ97" i="5"/>
  <c r="T97" i="5" s="1"/>
  <c r="CZ123" i="5"/>
  <c r="T123" i="5" s="1"/>
  <c r="CZ121" i="5"/>
  <c r="T121" i="5" s="1"/>
  <c r="CZ51" i="5"/>
  <c r="T51" i="5" s="1"/>
  <c r="CZ47" i="5"/>
  <c r="T47" i="5" s="1"/>
  <c r="CZ45" i="5"/>
  <c r="T45" i="5" s="1"/>
  <c r="CZ53" i="5"/>
  <c r="CZ49" i="5"/>
  <c r="T49" i="5" s="1"/>
  <c r="CZ103" i="8"/>
  <c r="CZ101" i="8"/>
  <c r="CZ119" i="8"/>
  <c r="CZ115" i="8"/>
  <c r="CZ117" i="8"/>
  <c r="CZ97" i="8"/>
  <c r="CZ99" i="8"/>
  <c r="CZ95" i="8"/>
  <c r="CZ121" i="8"/>
  <c r="CZ123" i="8"/>
  <c r="CZ53" i="8"/>
  <c r="CZ47" i="8"/>
  <c r="T47" i="8" s="1"/>
  <c r="CZ41" i="8"/>
  <c r="T41" i="8" s="1"/>
  <c r="CZ85" i="8"/>
  <c r="T85" i="8" s="1"/>
  <c r="CZ87" i="8"/>
  <c r="T87" i="8" s="1"/>
  <c r="CZ113" i="8"/>
  <c r="CZ107" i="8"/>
  <c r="CZ15" i="8"/>
  <c r="T15" i="8" s="1"/>
  <c r="CZ65" i="8"/>
  <c r="T65" i="8" s="1"/>
  <c r="CZ9" i="8"/>
  <c r="T9" i="8" s="1"/>
  <c r="CZ75" i="8"/>
  <c r="T75" i="8" s="1"/>
  <c r="CZ45" i="8"/>
  <c r="T45" i="8" s="1"/>
  <c r="CZ43" i="8"/>
  <c r="CZ37" i="8"/>
  <c r="T37" i="8" s="1"/>
  <c r="CZ39" i="8"/>
  <c r="T39" i="8" s="1"/>
  <c r="CZ93" i="8"/>
  <c r="T93" i="8" s="1"/>
  <c r="CZ111" i="8"/>
  <c r="CZ23" i="8"/>
  <c r="CZ51" i="8"/>
  <c r="T51" i="8" s="1"/>
  <c r="CZ91" i="8"/>
  <c r="T91" i="8" s="1"/>
  <c r="CZ21" i="8"/>
  <c r="T21" i="8" s="1"/>
  <c r="CZ49" i="8"/>
  <c r="T49" i="8" s="1"/>
  <c r="CZ35" i="8"/>
  <c r="T35" i="8" s="1"/>
  <c r="CZ89" i="8"/>
  <c r="T89" i="8" s="1"/>
  <c r="CZ105" i="8"/>
  <c r="CZ109" i="8"/>
  <c r="CZ19" i="8"/>
  <c r="T19" i="8" s="1"/>
  <c r="CZ17" i="8"/>
  <c r="T17" i="8" s="1"/>
  <c r="CZ69" i="8"/>
  <c r="T69" i="8" s="1"/>
  <c r="CZ73" i="8"/>
  <c r="T73" i="8" s="1"/>
  <c r="CZ67" i="8"/>
  <c r="T67" i="8" s="1"/>
  <c r="CZ59" i="8"/>
  <c r="T59" i="8" s="1"/>
  <c r="CZ7" i="8"/>
  <c r="T7" i="8" s="1"/>
  <c r="CZ5" i="8"/>
  <c r="T5" i="8" s="1"/>
  <c r="CZ77" i="8"/>
  <c r="T77" i="8" s="1"/>
  <c r="CZ31" i="8"/>
  <c r="T31" i="8" s="1"/>
  <c r="CZ71" i="8"/>
  <c r="T71" i="8" s="1"/>
  <c r="CZ63" i="8"/>
  <c r="CZ81" i="8"/>
  <c r="T81" i="8" s="1"/>
  <c r="CZ61" i="8"/>
  <c r="T61" i="8" s="1"/>
  <c r="CZ29" i="8"/>
  <c r="T29" i="8" s="1"/>
  <c r="CZ11" i="8"/>
  <c r="T11" i="8" s="1"/>
  <c r="CZ13" i="8"/>
  <c r="CZ33" i="8"/>
  <c r="CZ27" i="8"/>
  <c r="T27" i="8" s="1"/>
  <c r="CZ25" i="8"/>
  <c r="T25" i="8" s="1"/>
  <c r="CZ55" i="8"/>
  <c r="T55" i="8" s="1"/>
  <c r="CZ57" i="8"/>
  <c r="T57" i="8" s="1"/>
  <c r="CZ83" i="8"/>
  <c r="T83" i="8" s="1"/>
  <c r="CZ79" i="8"/>
  <c r="T79" i="8" s="1"/>
  <c r="CY63" i="6"/>
  <c r="CY55" i="6"/>
  <c r="S55" i="6" s="1"/>
  <c r="CY57" i="6"/>
  <c r="S57" i="6" s="1"/>
  <c r="CY49" i="6"/>
  <c r="S49" i="6" s="1"/>
  <c r="CY59" i="6"/>
  <c r="S59" i="6" s="1"/>
  <c r="CY51" i="6"/>
  <c r="S51" i="6" s="1"/>
  <c r="CY43" i="6"/>
  <c r="CY53" i="6"/>
  <c r="CY41" i="6"/>
  <c r="S41" i="6" s="1"/>
  <c r="CY33" i="6"/>
  <c r="CY25" i="6"/>
  <c r="S25" i="6" s="1"/>
  <c r="CY17" i="6"/>
  <c r="S17" i="6" s="1"/>
  <c r="CY47" i="6"/>
  <c r="S47" i="6" s="1"/>
  <c r="CY45" i="6"/>
  <c r="S45" i="6" s="1"/>
  <c r="CY35" i="6"/>
  <c r="S35" i="6" s="1"/>
  <c r="CY27" i="6"/>
  <c r="S27" i="6" s="1"/>
  <c r="CY19" i="6"/>
  <c r="S19" i="6" s="1"/>
  <c r="CY61" i="6"/>
  <c r="S61" i="6" s="1"/>
  <c r="CY29" i="6"/>
  <c r="S29" i="6" s="1"/>
  <c r="CY21" i="6"/>
  <c r="S21" i="6" s="1"/>
  <c r="CY13" i="6"/>
  <c r="S13" i="6" s="1"/>
  <c r="CY39" i="6"/>
  <c r="S39" i="6" s="1"/>
  <c r="CY31" i="6"/>
  <c r="S31" i="6" s="1"/>
  <c r="CY15" i="6"/>
  <c r="S15" i="6" s="1"/>
  <c r="CY9" i="6"/>
  <c r="S9" i="6" s="1"/>
  <c r="CY37" i="6"/>
  <c r="S37" i="6" s="1"/>
  <c r="CY11" i="6"/>
  <c r="S11" i="6" s="1"/>
  <c r="CY7" i="6"/>
  <c r="S7" i="6" s="1"/>
  <c r="CY23" i="6"/>
  <c r="S23" i="6" s="1"/>
  <c r="CY5" i="6"/>
  <c r="S5" i="6" s="1"/>
  <c r="U3" i="8"/>
  <c r="T47" i="21" s="1"/>
  <c r="T3" i="7"/>
  <c r="T3" i="6"/>
  <c r="S106" i="8"/>
  <c r="S108" i="8"/>
  <c r="S48" i="7"/>
  <c r="S60" i="6"/>
  <c r="S24" i="6"/>
  <c r="T56" i="5"/>
  <c r="S26" i="6"/>
  <c r="S38" i="7"/>
  <c r="S58" i="7"/>
  <c r="T6" i="8"/>
  <c r="T48" i="5"/>
  <c r="S40" i="7"/>
  <c r="T26" i="5"/>
  <c r="S48" i="6"/>
  <c r="S20" i="7"/>
  <c r="S50" i="6"/>
  <c r="T30" i="5"/>
  <c r="T16" i="8"/>
  <c r="T70" i="5"/>
  <c r="S28" i="7"/>
  <c r="T38" i="5"/>
  <c r="T46" i="5"/>
  <c r="T16" i="5"/>
  <c r="T56" i="8"/>
  <c r="T66" i="5"/>
  <c r="S108" i="7"/>
  <c r="S104" i="8"/>
  <c r="T108" i="5"/>
  <c r="S58" i="6"/>
  <c r="S18" i="6"/>
  <c r="T26" i="8"/>
  <c r="T38" i="8"/>
  <c r="S10" i="6"/>
  <c r="T8" i="8"/>
  <c r="S54" i="7"/>
  <c r="S56" i="6"/>
  <c r="T14" i="8"/>
  <c r="S44" i="7"/>
  <c r="T20" i="8"/>
  <c r="S8" i="7"/>
  <c r="S36" i="7"/>
  <c r="T40" i="8"/>
  <c r="T74" i="5"/>
  <c r="T34" i="8"/>
  <c r="S28" i="6"/>
  <c r="S16" i="6"/>
  <c r="T36" i="8"/>
  <c r="T8" i="5"/>
  <c r="S74" i="5"/>
  <c r="T18" i="8"/>
  <c r="T30" i="8"/>
  <c r="S104" i="7"/>
  <c r="T104" i="5"/>
  <c r="T110" i="5"/>
  <c r="S110" i="8"/>
  <c r="T60" i="8"/>
  <c r="S46" i="7"/>
  <c r="T28" i="5"/>
  <c r="S6" i="6"/>
  <c r="T44" i="8"/>
  <c r="T4" i="5"/>
  <c r="T50" i="5"/>
  <c r="S6" i="7"/>
  <c r="T6" i="5"/>
  <c r="T46" i="8"/>
  <c r="S8" i="6"/>
  <c r="S14" i="7"/>
  <c r="S24" i="7"/>
  <c r="S10" i="7"/>
  <c r="S46" i="6"/>
  <c r="S56" i="7"/>
  <c r="S30" i="7"/>
  <c r="T58" i="5"/>
  <c r="T10" i="5"/>
  <c r="T24" i="8"/>
  <c r="T50" i="8"/>
  <c r="T34" i="5"/>
  <c r="S16" i="7"/>
  <c r="T48" i="8"/>
  <c r="S60" i="7"/>
  <c r="S4" i="7"/>
  <c r="S106" i="7"/>
  <c r="S110" i="7"/>
  <c r="T106" i="5"/>
  <c r="S4" i="6"/>
  <c r="T24" i="5"/>
  <c r="S36" i="6"/>
  <c r="T4" i="8"/>
  <c r="T54" i="5"/>
  <c r="T10" i="8"/>
  <c r="S40" i="6"/>
  <c r="S18" i="7"/>
  <c r="T14" i="5"/>
  <c r="T28" i="8"/>
  <c r="S34" i="7"/>
  <c r="S14" i="6"/>
  <c r="T64" i="5"/>
  <c r="S20" i="6"/>
  <c r="T20" i="5"/>
  <c r="T44" i="5"/>
  <c r="S34" i="6"/>
  <c r="S54" i="6"/>
  <c r="S50" i="7"/>
  <c r="T18" i="5"/>
  <c r="S26" i="7"/>
  <c r="T60" i="5"/>
  <c r="S30" i="6"/>
  <c r="T58" i="8"/>
  <c r="T40" i="5"/>
  <c r="T36" i="5"/>
  <c r="S44" i="6"/>
  <c r="S38" i="6"/>
  <c r="T54" i="8"/>
  <c r="CZ111" i="6" l="1"/>
  <c r="CZ119" i="6"/>
  <c r="CZ123" i="6"/>
  <c r="CZ113" i="6"/>
  <c r="CZ115" i="6"/>
  <c r="CZ117" i="6"/>
  <c r="CZ105" i="6"/>
  <c r="CZ107" i="6"/>
  <c r="CZ69" i="6"/>
  <c r="CZ65" i="6"/>
  <c r="CZ77" i="6"/>
  <c r="CZ83" i="6"/>
  <c r="CZ109" i="6"/>
  <c r="CZ67" i="6"/>
  <c r="CZ73" i="6"/>
  <c r="CZ71" i="6"/>
  <c r="CZ95" i="6"/>
  <c r="CZ99" i="6"/>
  <c r="CZ121" i="6"/>
  <c r="CZ75" i="6"/>
  <c r="CZ103" i="6"/>
  <c r="CZ97" i="6"/>
  <c r="CZ85" i="6"/>
  <c r="CZ81" i="6"/>
  <c r="CZ89" i="6"/>
  <c r="CZ93" i="6"/>
  <c r="CZ91" i="6"/>
  <c r="CZ79" i="6"/>
  <c r="CZ101" i="6"/>
  <c r="CZ87" i="6"/>
  <c r="S38" i="22"/>
  <c r="J37" i="21"/>
  <c r="S38" i="20"/>
  <c r="R55" i="18"/>
  <c r="R55" i="20"/>
  <c r="R60" i="20"/>
  <c r="R60" i="18"/>
  <c r="R57" i="19"/>
  <c r="R57" i="22"/>
  <c r="R52" i="19"/>
  <c r="R52" i="22"/>
  <c r="R52" i="21"/>
  <c r="R57" i="18"/>
  <c r="R60" i="19"/>
  <c r="R55" i="22"/>
  <c r="R60" i="21"/>
  <c r="R52" i="18"/>
  <c r="R57" i="20"/>
  <c r="R57" i="21"/>
  <c r="R55" i="19"/>
  <c r="R52" i="20"/>
  <c r="R55" i="21"/>
  <c r="R60" i="22"/>
  <c r="R20" i="22"/>
  <c r="R26" i="20"/>
  <c r="R28" i="18"/>
  <c r="R20" i="21"/>
  <c r="R20" i="18"/>
  <c r="R22" i="17"/>
  <c r="R19" i="22"/>
  <c r="R25" i="20"/>
  <c r="R25" i="19"/>
  <c r="R23" i="20"/>
  <c r="R23" i="22"/>
  <c r="R19" i="19"/>
  <c r="R23" i="18"/>
  <c r="R28" i="22"/>
  <c r="S38" i="21"/>
  <c r="R38" i="19"/>
  <c r="Q28" i="19"/>
  <c r="Q57" i="21"/>
  <c r="Q52" i="21"/>
  <c r="P52" i="21"/>
  <c r="P57" i="21"/>
  <c r="N52" i="19"/>
  <c r="N57" i="19"/>
  <c r="N52" i="22"/>
  <c r="N57" i="22"/>
  <c r="N57" i="21"/>
  <c r="N52" i="21"/>
  <c r="M52" i="18"/>
  <c r="M57" i="18"/>
  <c r="M57" i="22"/>
  <c r="M52" i="22"/>
  <c r="L57" i="19"/>
  <c r="L52" i="19"/>
  <c r="K52" i="18"/>
  <c r="K57" i="18"/>
  <c r="F57" i="22"/>
  <c r="F52" i="22"/>
  <c r="AK13" i="21"/>
  <c r="I57" i="22"/>
  <c r="I52" i="22"/>
  <c r="E57" i="20"/>
  <c r="E52" i="20"/>
  <c r="I52" i="19"/>
  <c r="I57" i="19"/>
  <c r="I52" i="21"/>
  <c r="I57" i="21"/>
  <c r="I52" i="18"/>
  <c r="I57" i="18"/>
  <c r="F57" i="20"/>
  <c r="F52" i="20"/>
  <c r="J52" i="18"/>
  <c r="J57" i="18"/>
  <c r="G52" i="19"/>
  <c r="G57" i="19"/>
  <c r="F57" i="19"/>
  <c r="F52" i="19"/>
  <c r="H57" i="20"/>
  <c r="H52" i="20"/>
  <c r="E57" i="21"/>
  <c r="E52" i="21"/>
  <c r="AK13" i="20"/>
  <c r="T17" i="20"/>
  <c r="R38" i="22"/>
  <c r="Q60" i="21"/>
  <c r="Q55" i="21"/>
  <c r="Q60" i="22"/>
  <c r="Q55" i="22"/>
  <c r="P55" i="21"/>
  <c r="P60" i="21"/>
  <c r="P55" i="22"/>
  <c r="P60" i="22"/>
  <c r="O60" i="19"/>
  <c r="O55" i="19"/>
  <c r="O55" i="22"/>
  <c r="O60" i="22"/>
  <c r="M60" i="18"/>
  <c r="M55" i="18"/>
  <c r="L60" i="20"/>
  <c r="L55" i="20"/>
  <c r="L60" i="22"/>
  <c r="L55" i="22"/>
  <c r="G55" i="20"/>
  <c r="G60" i="20"/>
  <c r="J60" i="18"/>
  <c r="J55" i="18"/>
  <c r="I60" i="21"/>
  <c r="I55" i="21"/>
  <c r="J60" i="21"/>
  <c r="J55" i="21"/>
  <c r="F60" i="19"/>
  <c r="F55" i="19"/>
  <c r="I60" i="22"/>
  <c r="I55" i="22"/>
  <c r="T47" i="17"/>
  <c r="Q27" i="22"/>
  <c r="M27" i="22"/>
  <c r="I27" i="22"/>
  <c r="P27" i="21"/>
  <c r="L27" i="21"/>
  <c r="H27" i="21"/>
  <c r="P27" i="22"/>
  <c r="L27" i="22"/>
  <c r="H27" i="22"/>
  <c r="S27" i="21"/>
  <c r="O27" i="21"/>
  <c r="K27" i="21"/>
  <c r="G27" i="21"/>
  <c r="S27" i="22"/>
  <c r="O27" i="22"/>
  <c r="K27" i="22"/>
  <c r="G27" i="22"/>
  <c r="R27" i="21"/>
  <c r="N27" i="21"/>
  <c r="J27" i="21"/>
  <c r="F27" i="21"/>
  <c r="S27" i="20"/>
  <c r="O27" i="20"/>
  <c r="K27" i="20"/>
  <c r="G27" i="20"/>
  <c r="R27" i="22"/>
  <c r="N27" i="22"/>
  <c r="J27" i="22"/>
  <c r="F27" i="22"/>
  <c r="E27" i="22"/>
  <c r="Q27" i="21"/>
  <c r="M27" i="21"/>
  <c r="I27" i="21"/>
  <c r="E27" i="21"/>
  <c r="R27" i="20"/>
  <c r="M27" i="20"/>
  <c r="H27" i="20"/>
  <c r="E27" i="20"/>
  <c r="Q27" i="20"/>
  <c r="L27" i="20"/>
  <c r="F27" i="20"/>
  <c r="Q27" i="19"/>
  <c r="M27" i="19"/>
  <c r="I27" i="19"/>
  <c r="P27" i="18"/>
  <c r="L27" i="18"/>
  <c r="H27" i="18"/>
  <c r="P27" i="20"/>
  <c r="J27" i="20"/>
  <c r="N27" i="20"/>
  <c r="I27" i="20"/>
  <c r="S27" i="19"/>
  <c r="O27" i="19"/>
  <c r="K27" i="19"/>
  <c r="G27" i="19"/>
  <c r="R27" i="18"/>
  <c r="N27" i="18"/>
  <c r="J27" i="18"/>
  <c r="F27" i="18"/>
  <c r="N27" i="19"/>
  <c r="F27" i="19"/>
  <c r="E27" i="19"/>
  <c r="O27" i="18"/>
  <c r="G27" i="18"/>
  <c r="Q27" i="17"/>
  <c r="M27" i="17"/>
  <c r="I27" i="17"/>
  <c r="L27" i="19"/>
  <c r="M27" i="18"/>
  <c r="P27" i="17"/>
  <c r="L27" i="17"/>
  <c r="H27" i="17"/>
  <c r="R27" i="19"/>
  <c r="J27" i="19"/>
  <c r="E27" i="18"/>
  <c r="S27" i="18"/>
  <c r="K27" i="18"/>
  <c r="S27" i="17"/>
  <c r="O27" i="17"/>
  <c r="K27" i="17"/>
  <c r="G27" i="17"/>
  <c r="E27" i="17"/>
  <c r="P27" i="19"/>
  <c r="H27" i="19"/>
  <c r="Q27" i="18"/>
  <c r="I27" i="18"/>
  <c r="R27" i="17"/>
  <c r="N27" i="17"/>
  <c r="J27" i="17"/>
  <c r="F27" i="17"/>
  <c r="F26" i="17"/>
  <c r="F26" i="18"/>
  <c r="G24" i="22"/>
  <c r="E26" i="18"/>
  <c r="F22" i="22"/>
  <c r="G20" i="20"/>
  <c r="G24" i="17"/>
  <c r="G24" i="20"/>
  <c r="G20" i="22"/>
  <c r="E26" i="19"/>
  <c r="E20" i="17"/>
  <c r="G22" i="18"/>
  <c r="G24" i="19"/>
  <c r="G22" i="22"/>
  <c r="G22" i="21"/>
  <c r="G22" i="17"/>
  <c r="G26" i="19"/>
  <c r="G24" i="21"/>
  <c r="G26" i="22"/>
  <c r="F24" i="20"/>
  <c r="E22" i="20"/>
  <c r="E20" i="21"/>
  <c r="G22" i="20"/>
  <c r="G24" i="18"/>
  <c r="G22" i="19"/>
  <c r="E22" i="22"/>
  <c r="F28" i="18"/>
  <c r="F20" i="22"/>
  <c r="F20" i="20"/>
  <c r="F22" i="18"/>
  <c r="F22" i="19"/>
  <c r="G26" i="17"/>
  <c r="G26" i="20"/>
  <c r="E22" i="18"/>
  <c r="E26" i="21"/>
  <c r="F20" i="17"/>
  <c r="E24" i="20"/>
  <c r="E24" i="22"/>
  <c r="F28" i="17"/>
  <c r="E22" i="17"/>
  <c r="F22" i="17"/>
  <c r="G28" i="18"/>
  <c r="G20" i="19"/>
  <c r="F24" i="19"/>
  <c r="E24" i="19"/>
  <c r="E24" i="18"/>
  <c r="E20" i="22"/>
  <c r="F22" i="21"/>
  <c r="F22" i="20"/>
  <c r="F20" i="21"/>
  <c r="E20" i="19"/>
  <c r="F20" i="19"/>
  <c r="F24" i="18"/>
  <c r="F26" i="22"/>
  <c r="E20" i="20"/>
  <c r="E26" i="22"/>
  <c r="E22" i="21"/>
  <c r="G20" i="18"/>
  <c r="G28" i="17"/>
  <c r="G26" i="21"/>
  <c r="E26" i="20"/>
  <c r="E24" i="17"/>
  <c r="F24" i="22"/>
  <c r="F26" i="19"/>
  <c r="E22" i="19"/>
  <c r="E20" i="18"/>
  <c r="F24" i="17"/>
  <c r="F26" i="20"/>
  <c r="F26" i="21"/>
  <c r="G20" i="17"/>
  <c r="G26" i="18"/>
  <c r="G20" i="21"/>
  <c r="E26" i="17"/>
  <c r="F24" i="21"/>
  <c r="E24" i="21"/>
  <c r="F20" i="18"/>
  <c r="E28" i="18"/>
  <c r="F28" i="19"/>
  <c r="E28" i="17"/>
  <c r="F28" i="20"/>
  <c r="F25" i="18"/>
  <c r="H20" i="17"/>
  <c r="H26" i="17"/>
  <c r="H24" i="21"/>
  <c r="H26" i="21"/>
  <c r="H24" i="18"/>
  <c r="H28" i="18"/>
  <c r="H24" i="22"/>
  <c r="H28" i="17"/>
  <c r="G28" i="19"/>
  <c r="H26" i="20"/>
  <c r="H24" i="19"/>
  <c r="H26" i="19"/>
  <c r="H20" i="22"/>
  <c r="G28" i="20"/>
  <c r="H20" i="18"/>
  <c r="H22" i="17"/>
  <c r="H24" i="20"/>
  <c r="E28" i="21"/>
  <c r="G28" i="21"/>
  <c r="F28" i="22"/>
  <c r="G28" i="22"/>
  <c r="H22" i="21"/>
  <c r="H22" i="22"/>
  <c r="H24" i="17"/>
  <c r="E28" i="22"/>
  <c r="E28" i="20"/>
  <c r="H22" i="20"/>
  <c r="H22" i="18"/>
  <c r="H20" i="20"/>
  <c r="F28" i="21"/>
  <c r="E28" i="19"/>
  <c r="F25" i="17"/>
  <c r="H26" i="18"/>
  <c r="H20" i="19"/>
  <c r="H22" i="19"/>
  <c r="H26" i="22"/>
  <c r="H20" i="21"/>
  <c r="H28" i="21"/>
  <c r="H23" i="22"/>
  <c r="H21" i="22"/>
  <c r="G19" i="22"/>
  <c r="H25" i="19"/>
  <c r="H23" i="19"/>
  <c r="H25" i="18"/>
  <c r="E25" i="19"/>
  <c r="G21" i="17"/>
  <c r="G21" i="22"/>
  <c r="F21" i="22"/>
  <c r="G21" i="21"/>
  <c r="G25" i="19"/>
  <c r="G23" i="22"/>
  <c r="G23" i="18"/>
  <c r="H21" i="20"/>
  <c r="E19" i="21"/>
  <c r="H25" i="22"/>
  <c r="H19" i="22"/>
  <c r="H21" i="19"/>
  <c r="H23" i="21"/>
  <c r="H21" i="18"/>
  <c r="H25" i="17"/>
  <c r="H23" i="17"/>
  <c r="E25" i="18"/>
  <c r="G23" i="21"/>
  <c r="E19" i="19"/>
  <c r="F21" i="18"/>
  <c r="G19" i="18"/>
  <c r="G25" i="18"/>
  <c r="G23" i="17"/>
  <c r="F19" i="20"/>
  <c r="G19" i="20"/>
  <c r="G21" i="19"/>
  <c r="F25" i="19"/>
  <c r="F21" i="21"/>
  <c r="F19" i="21"/>
  <c r="E23" i="18"/>
  <c r="F25" i="22"/>
  <c r="E25" i="22"/>
  <c r="G25" i="20"/>
  <c r="F25" i="21"/>
  <c r="E23" i="17"/>
  <c r="F19" i="17"/>
  <c r="I21" i="19"/>
  <c r="I25" i="21"/>
  <c r="I19" i="21"/>
  <c r="I19" i="18"/>
  <c r="I19" i="20"/>
  <c r="I25" i="17"/>
  <c r="I25" i="19"/>
  <c r="H25" i="20"/>
  <c r="H23" i="20"/>
  <c r="H21" i="17"/>
  <c r="G25" i="22"/>
  <c r="E19" i="18"/>
  <c r="G25" i="17"/>
  <c r="F21" i="19"/>
  <c r="F23" i="17"/>
  <c r="G19" i="19"/>
  <c r="E25" i="17"/>
  <c r="F21" i="20"/>
  <c r="F19" i="18"/>
  <c r="I19" i="22"/>
  <c r="I23" i="21"/>
  <c r="I23" i="22"/>
  <c r="I21" i="18"/>
  <c r="I22" i="19"/>
  <c r="I26" i="21"/>
  <c r="I20" i="21"/>
  <c r="I20" i="17"/>
  <c r="I20" i="20"/>
  <c r="I24" i="20"/>
  <c r="I26" i="18"/>
  <c r="I26" i="19"/>
  <c r="I19" i="19"/>
  <c r="I25" i="18"/>
  <c r="I28" i="18"/>
  <c r="I24" i="17"/>
  <c r="I22" i="18"/>
  <c r="H28" i="20"/>
  <c r="E21" i="19"/>
  <c r="E23" i="20"/>
  <c r="G21" i="18"/>
  <c r="E23" i="22"/>
  <c r="H19" i="20"/>
  <c r="H19" i="21"/>
  <c r="E19" i="17"/>
  <c r="E21" i="17"/>
  <c r="G21" i="20"/>
  <c r="E21" i="22"/>
  <c r="E25" i="20"/>
  <c r="F25" i="20"/>
  <c r="E25" i="21"/>
  <c r="I21" i="22"/>
  <c r="I21" i="20"/>
  <c r="I23" i="18"/>
  <c r="I21" i="21"/>
  <c r="I22" i="22"/>
  <c r="I24" i="19"/>
  <c r="I20" i="22"/>
  <c r="I20" i="18"/>
  <c r="I20" i="19"/>
  <c r="I24" i="22"/>
  <c r="I24" i="18"/>
  <c r="I26" i="17"/>
  <c r="I22" i="21"/>
  <c r="I23" i="17"/>
  <c r="I25" i="22"/>
  <c r="I24" i="21"/>
  <c r="H28" i="19"/>
  <c r="H25" i="21"/>
  <c r="F19" i="19"/>
  <c r="E19" i="22"/>
  <c r="H28" i="22"/>
  <c r="H19" i="17"/>
  <c r="H21" i="21"/>
  <c r="G23" i="19"/>
  <c r="H19" i="19"/>
  <c r="H23" i="18"/>
  <c r="E21" i="20"/>
  <c r="F21" i="17"/>
  <c r="G19" i="17"/>
  <c r="F23" i="20"/>
  <c r="F23" i="22"/>
  <c r="F19" i="22"/>
  <c r="F23" i="19"/>
  <c r="F23" i="21"/>
  <c r="E19" i="20"/>
  <c r="I23" i="19"/>
  <c r="I26" i="22"/>
  <c r="H19" i="18"/>
  <c r="G19" i="21"/>
  <c r="F23" i="18"/>
  <c r="E21" i="18"/>
  <c r="I23" i="20"/>
  <c r="I22" i="20"/>
  <c r="E23" i="21"/>
  <c r="I26" i="20"/>
  <c r="I22" i="17"/>
  <c r="E23" i="19"/>
  <c r="I28" i="17"/>
  <c r="I19" i="17"/>
  <c r="E21" i="21"/>
  <c r="G25" i="21"/>
  <c r="I25" i="20"/>
  <c r="I21" i="17"/>
  <c r="G23" i="20"/>
  <c r="I28" i="22"/>
  <c r="J25" i="21"/>
  <c r="J19" i="21"/>
  <c r="J23" i="19"/>
  <c r="J19" i="20"/>
  <c r="J23" i="20"/>
  <c r="J25" i="18"/>
  <c r="J21" i="21"/>
  <c r="J24" i="17"/>
  <c r="J20" i="17"/>
  <c r="J22" i="20"/>
  <c r="J26" i="20"/>
  <c r="J22" i="22"/>
  <c r="J23" i="17"/>
  <c r="J24" i="18"/>
  <c r="J20" i="20"/>
  <c r="J23" i="22"/>
  <c r="J19" i="17"/>
  <c r="J21" i="20"/>
  <c r="J25" i="20"/>
  <c r="J25" i="22"/>
  <c r="J25" i="19"/>
  <c r="J19" i="22"/>
  <c r="J26" i="21"/>
  <c r="J20" i="21"/>
  <c r="J20" i="18"/>
  <c r="J22" i="17"/>
  <c r="J26" i="18"/>
  <c r="J22" i="19"/>
  <c r="I28" i="21"/>
  <c r="J21" i="18"/>
  <c r="J28" i="17"/>
  <c r="I28" i="20"/>
  <c r="J23" i="18"/>
  <c r="J19" i="18"/>
  <c r="J21" i="17"/>
  <c r="J21" i="22"/>
  <c r="J24" i="22"/>
  <c r="J28" i="18"/>
  <c r="J20" i="19"/>
  <c r="J22" i="18"/>
  <c r="J24" i="21"/>
  <c r="J24" i="20"/>
  <c r="J26" i="17"/>
  <c r="J22" i="21"/>
  <c r="I28" i="19"/>
  <c r="J19" i="19"/>
  <c r="J23" i="21"/>
  <c r="J25" i="17"/>
  <c r="J21" i="19"/>
  <c r="J24" i="19"/>
  <c r="J26" i="22"/>
  <c r="J20" i="22"/>
  <c r="J26" i="19"/>
  <c r="K19" i="21"/>
  <c r="K19" i="17"/>
  <c r="K23" i="21"/>
  <c r="K21" i="21"/>
  <c r="K25" i="19"/>
  <c r="K23" i="18"/>
  <c r="K21" i="18"/>
  <c r="K21" i="20"/>
  <c r="K26" i="22"/>
  <c r="K28" i="17"/>
  <c r="K26" i="21"/>
  <c r="K20" i="19"/>
  <c r="K24" i="17"/>
  <c r="K22" i="18"/>
  <c r="K22" i="20"/>
  <c r="K28" i="18"/>
  <c r="K26" i="17"/>
  <c r="K19" i="22"/>
  <c r="K19" i="18"/>
  <c r="K25" i="21"/>
  <c r="K23" i="19"/>
  <c r="K21" i="19"/>
  <c r="K21" i="17"/>
  <c r="K19" i="20"/>
  <c r="K20" i="21"/>
  <c r="K20" i="18"/>
  <c r="K26" i="20"/>
  <c r="K22" i="22"/>
  <c r="K22" i="21"/>
  <c r="K22" i="19"/>
  <c r="K22" i="17"/>
  <c r="K20" i="20"/>
  <c r="K25" i="22"/>
  <c r="K23" i="17"/>
  <c r="K24" i="21"/>
  <c r="K24" i="19"/>
  <c r="K24" i="18"/>
  <c r="J28" i="21"/>
  <c r="J28" i="22"/>
  <c r="J28" i="20"/>
  <c r="J28" i="19"/>
  <c r="K25" i="20"/>
  <c r="K21" i="22"/>
  <c r="K19" i="19"/>
  <c r="K23" i="22"/>
  <c r="K25" i="17"/>
  <c r="K20" i="22"/>
  <c r="K20" i="17"/>
  <c r="K24" i="20"/>
  <c r="K26" i="19"/>
  <c r="K24" i="22"/>
  <c r="K26" i="18"/>
  <c r="K23" i="20"/>
  <c r="K25" i="18"/>
  <c r="K28" i="20"/>
  <c r="L25" i="18"/>
  <c r="L19" i="18"/>
  <c r="L21" i="19"/>
  <c r="L21" i="22"/>
  <c r="L21" i="18"/>
  <c r="L23" i="21"/>
  <c r="L24" i="18"/>
  <c r="L20" i="18"/>
  <c r="L22" i="19"/>
  <c r="L24" i="19"/>
  <c r="L20" i="20"/>
  <c r="L22" i="17"/>
  <c r="L25" i="21"/>
  <c r="L26" i="20"/>
  <c r="L24" i="21"/>
  <c r="K28" i="21"/>
  <c r="K28" i="19"/>
  <c r="L23" i="17"/>
  <c r="L25" i="17"/>
  <c r="L19" i="22"/>
  <c r="L23" i="20"/>
  <c r="L25" i="19"/>
  <c r="L24" i="17"/>
  <c r="L20" i="17"/>
  <c r="L20" i="21"/>
  <c r="L24" i="20"/>
  <c r="L20" i="19"/>
  <c r="L22" i="20"/>
  <c r="L25" i="20"/>
  <c r="L19" i="19"/>
  <c r="L26" i="17"/>
  <c r="K28" i="22"/>
  <c r="L23" i="18"/>
  <c r="L21" i="21"/>
  <c r="L19" i="21"/>
  <c r="L25" i="22"/>
  <c r="L19" i="20"/>
  <c r="L21" i="20"/>
  <c r="L28" i="18"/>
  <c r="L26" i="18"/>
  <c r="L22" i="21"/>
  <c r="L24" i="22"/>
  <c r="L20" i="22"/>
  <c r="L26" i="22"/>
  <c r="L26" i="19"/>
  <c r="L26" i="21"/>
  <c r="L19" i="17"/>
  <c r="L23" i="22"/>
  <c r="L23" i="19"/>
  <c r="L21" i="17"/>
  <c r="L28" i="17"/>
  <c r="L22" i="22"/>
  <c r="L22" i="18"/>
  <c r="M19" i="21"/>
  <c r="M21" i="21"/>
  <c r="M23" i="19"/>
  <c r="M23" i="22"/>
  <c r="M21" i="18"/>
  <c r="M25" i="22"/>
  <c r="M25" i="18"/>
  <c r="M20" i="20"/>
  <c r="M22" i="21"/>
  <c r="M26" i="19"/>
  <c r="M22" i="17"/>
  <c r="M24" i="18"/>
  <c r="M20" i="18"/>
  <c r="M26" i="20"/>
  <c r="L28" i="20"/>
  <c r="M21" i="19"/>
  <c r="M21" i="17"/>
  <c r="M23" i="17"/>
  <c r="M19" i="17"/>
  <c r="M20" i="21"/>
  <c r="M26" i="21"/>
  <c r="M22" i="20"/>
  <c r="M20" i="19"/>
  <c r="M24" i="17"/>
  <c r="M20" i="17"/>
  <c r="L28" i="22"/>
  <c r="L28" i="19"/>
  <c r="M21" i="22"/>
  <c r="M25" i="21"/>
  <c r="M25" i="19"/>
  <c r="M23" i="21"/>
  <c r="M19" i="19"/>
  <c r="M23" i="18"/>
  <c r="M19" i="18"/>
  <c r="M22" i="22"/>
  <c r="M24" i="19"/>
  <c r="M24" i="22"/>
  <c r="M24" i="21"/>
  <c r="M20" i="22"/>
  <c r="M26" i="18"/>
  <c r="M28" i="18"/>
  <c r="M22" i="18"/>
  <c r="M26" i="17"/>
  <c r="L28" i="21"/>
  <c r="M19" i="20"/>
  <c r="M23" i="20"/>
  <c r="M21" i="20"/>
  <c r="M19" i="22"/>
  <c r="M25" i="17"/>
  <c r="M25" i="20"/>
  <c r="M24" i="20"/>
  <c r="M22" i="19"/>
  <c r="M26" i="22"/>
  <c r="M28" i="17"/>
  <c r="N23" i="18"/>
  <c r="N23" i="22"/>
  <c r="N25" i="18"/>
  <c r="N25" i="19"/>
  <c r="N21" i="17"/>
  <c r="N28" i="17"/>
  <c r="N24" i="17"/>
  <c r="N22" i="22"/>
  <c r="N24" i="19"/>
  <c r="N26" i="21"/>
  <c r="N22" i="17"/>
  <c r="M28" i="21"/>
  <c r="N23" i="17"/>
  <c r="N21" i="22"/>
  <c r="N25" i="17"/>
  <c r="N25" i="20"/>
  <c r="N19" i="18"/>
  <c r="N23" i="21"/>
  <c r="N20" i="20"/>
  <c r="N22" i="19"/>
  <c r="N20" i="22"/>
  <c r="N22" i="20"/>
  <c r="N24" i="20"/>
  <c r="N20" i="19"/>
  <c r="N20" i="18"/>
  <c r="N24" i="21"/>
  <c r="M28" i="19"/>
  <c r="N19" i="20"/>
  <c r="N21" i="19"/>
  <c r="N19" i="22"/>
  <c r="N23" i="19"/>
  <c r="N25" i="21"/>
  <c r="N19" i="17"/>
  <c r="N22" i="21"/>
  <c r="N20" i="21"/>
  <c r="N26" i="22"/>
  <c r="N26" i="18"/>
  <c r="N26" i="19"/>
  <c r="N20" i="17"/>
  <c r="M28" i="22"/>
  <c r="M28" i="20"/>
  <c r="N21" i="21"/>
  <c r="N19" i="21"/>
  <c r="N25" i="22"/>
  <c r="N21" i="20"/>
  <c r="N23" i="20"/>
  <c r="N19" i="19"/>
  <c r="N21" i="18"/>
  <c r="N28" i="18"/>
  <c r="N24" i="18"/>
  <c r="N24" i="22"/>
  <c r="N26" i="17"/>
  <c r="N26" i="20"/>
  <c r="N22" i="18"/>
  <c r="O19" i="20"/>
  <c r="O25" i="18"/>
  <c r="O21" i="18"/>
  <c r="O19" i="21"/>
  <c r="O21" i="21"/>
  <c r="O19" i="19"/>
  <c r="O22" i="22"/>
  <c r="O26" i="19"/>
  <c r="O26" i="20"/>
  <c r="O22" i="19"/>
  <c r="O22" i="21"/>
  <c r="O28" i="18"/>
  <c r="N28" i="20"/>
  <c r="N28" i="19"/>
  <c r="N28" i="21"/>
  <c r="O23" i="17"/>
  <c r="O19" i="18"/>
  <c r="O25" i="17"/>
  <c r="O21" i="17"/>
  <c r="O23" i="22"/>
  <c r="O23" i="21"/>
  <c r="O19" i="22"/>
  <c r="O25" i="22"/>
  <c r="O20" i="20"/>
  <c r="O26" i="18"/>
  <c r="O22" i="18"/>
  <c r="O20" i="21"/>
  <c r="O24" i="21"/>
  <c r="O28" i="17"/>
  <c r="O26" i="22"/>
  <c r="N28" i="22"/>
  <c r="O23" i="18"/>
  <c r="O19" i="17"/>
  <c r="O23" i="19"/>
  <c r="O21" i="20"/>
  <c r="O25" i="21"/>
  <c r="O24" i="18"/>
  <c r="O20" i="18"/>
  <c r="O26" i="17"/>
  <c r="O22" i="17"/>
  <c r="O24" i="22"/>
  <c r="O20" i="19"/>
  <c r="O26" i="21"/>
  <c r="O21" i="22"/>
  <c r="O25" i="19"/>
  <c r="O25" i="20"/>
  <c r="O21" i="19"/>
  <c r="O23" i="20"/>
  <c r="O24" i="17"/>
  <c r="O20" i="17"/>
  <c r="O24" i="19"/>
  <c r="O22" i="20"/>
  <c r="O24" i="20"/>
  <c r="O20" i="22"/>
  <c r="P21" i="20"/>
  <c r="P25" i="18"/>
  <c r="P19" i="22"/>
  <c r="P21" i="18"/>
  <c r="P19" i="18"/>
  <c r="P19" i="20"/>
  <c r="P26" i="19"/>
  <c r="P26" i="18"/>
  <c r="P28" i="18"/>
  <c r="P22" i="22"/>
  <c r="P22" i="17"/>
  <c r="P22" i="21"/>
  <c r="P20" i="21"/>
  <c r="P25" i="20"/>
  <c r="P24" i="20"/>
  <c r="P22" i="19"/>
  <c r="P20" i="18"/>
  <c r="P24" i="19"/>
  <c r="O28" i="20"/>
  <c r="O28" i="19"/>
  <c r="P25" i="22"/>
  <c r="P23" i="19"/>
  <c r="P20" i="19"/>
  <c r="P20" i="22"/>
  <c r="P24" i="22"/>
  <c r="P20" i="20"/>
  <c r="O28" i="22"/>
  <c r="P25" i="21"/>
  <c r="P23" i="17"/>
  <c r="P21" i="17"/>
  <c r="P21" i="19"/>
  <c r="P21" i="21"/>
  <c r="P19" i="21"/>
  <c r="P22" i="20"/>
  <c r="P26" i="17"/>
  <c r="P28" i="17"/>
  <c r="P26" i="22"/>
  <c r="P26" i="20"/>
  <c r="P24" i="21"/>
  <c r="P25" i="19"/>
  <c r="P25" i="17"/>
  <c r="P24" i="17"/>
  <c r="P22" i="18"/>
  <c r="O28" i="21"/>
  <c r="P19" i="19"/>
  <c r="P23" i="18"/>
  <c r="P21" i="22"/>
  <c r="P23" i="22"/>
  <c r="P23" i="21"/>
  <c r="P26" i="21"/>
  <c r="P24" i="18"/>
  <c r="P23" i="20"/>
  <c r="P19" i="17"/>
  <c r="P20" i="17"/>
  <c r="P28" i="21"/>
  <c r="Q19" i="21"/>
  <c r="Q21" i="21"/>
  <c r="Q19" i="22"/>
  <c r="Q19" i="20"/>
  <c r="Q19" i="17"/>
  <c r="Q23" i="19"/>
  <c r="Q24" i="17"/>
  <c r="Q22" i="22"/>
  <c r="Q22" i="18"/>
  <c r="Q28" i="17"/>
  <c r="Q20" i="19"/>
  <c r="Q26" i="22"/>
  <c r="P28" i="22"/>
  <c r="Q25" i="19"/>
  <c r="Q25" i="21"/>
  <c r="Q23" i="22"/>
  <c r="Q25" i="17"/>
  <c r="Q19" i="18"/>
  <c r="Q23" i="20"/>
  <c r="Q20" i="21"/>
  <c r="Q22" i="21"/>
  <c r="Q22" i="17"/>
  <c r="Q24" i="22"/>
  <c r="Q26" i="18"/>
  <c r="Q22" i="19"/>
  <c r="Q22" i="20"/>
  <c r="P28" i="19"/>
  <c r="P28" i="20"/>
  <c r="Q23" i="17"/>
  <c r="Q25" i="20"/>
  <c r="Q21" i="18"/>
  <c r="Q25" i="18"/>
  <c r="Q19" i="19"/>
  <c r="Q25" i="22"/>
  <c r="Q26" i="19"/>
  <c r="Q26" i="21"/>
  <c r="Q20" i="22"/>
  <c r="Q20" i="20"/>
  <c r="Q26" i="17"/>
  <c r="Q20" i="17"/>
  <c r="Q24" i="19"/>
  <c r="Q23" i="18"/>
  <c r="Q21" i="22"/>
  <c r="Q21" i="17"/>
  <c r="Q23" i="21"/>
  <c r="Q21" i="19"/>
  <c r="Q21" i="20"/>
  <c r="Q24" i="18"/>
  <c r="Q26" i="20"/>
  <c r="Q28" i="18"/>
  <c r="Q24" i="21"/>
  <c r="Q20" i="18"/>
  <c r="Q24" i="20"/>
  <c r="R24" i="21"/>
  <c r="R26" i="21"/>
  <c r="R26" i="19"/>
  <c r="R26" i="22"/>
  <c r="R26" i="17"/>
  <c r="R20" i="17"/>
  <c r="R22" i="18"/>
  <c r="R23" i="21"/>
  <c r="R25" i="21"/>
  <c r="R21" i="19"/>
  <c r="R19" i="21"/>
  <c r="R19" i="17"/>
  <c r="R21" i="18"/>
  <c r="R28" i="19"/>
  <c r="Q52" i="22"/>
  <c r="Q57" i="22"/>
  <c r="P57" i="18"/>
  <c r="P52" i="18"/>
  <c r="O52" i="21"/>
  <c r="O57" i="21"/>
  <c r="O57" i="22"/>
  <c r="O52" i="22"/>
  <c r="N57" i="20"/>
  <c r="N52" i="20"/>
  <c r="F57" i="21"/>
  <c r="F52" i="21"/>
  <c r="H52" i="19"/>
  <c r="H57" i="19"/>
  <c r="G52" i="22"/>
  <c r="G57" i="22"/>
  <c r="E52" i="22"/>
  <c r="E57" i="22"/>
  <c r="AK13" i="18"/>
  <c r="H52" i="22"/>
  <c r="H57" i="22"/>
  <c r="J57" i="19"/>
  <c r="J52" i="19"/>
  <c r="AK13" i="22"/>
  <c r="I57" i="20"/>
  <c r="I52" i="20"/>
  <c r="T17" i="19"/>
  <c r="T17" i="22"/>
  <c r="Q28" i="22"/>
  <c r="Q55" i="19"/>
  <c r="Q60" i="19"/>
  <c r="P55" i="18"/>
  <c r="P60" i="18"/>
  <c r="O60" i="20"/>
  <c r="O55" i="20"/>
  <c r="N55" i="19"/>
  <c r="N60" i="19"/>
  <c r="M55" i="21"/>
  <c r="M60" i="21"/>
  <c r="M60" i="20"/>
  <c r="M55" i="20"/>
  <c r="L55" i="19"/>
  <c r="L60" i="19"/>
  <c r="L55" i="18"/>
  <c r="L60" i="18"/>
  <c r="K55" i="22"/>
  <c r="K60" i="22"/>
  <c r="K60" i="19"/>
  <c r="K55" i="19"/>
  <c r="K55" i="18"/>
  <c r="K60" i="18"/>
  <c r="J60" i="20"/>
  <c r="J55" i="20"/>
  <c r="G60" i="22"/>
  <c r="G55" i="22"/>
  <c r="F60" i="22"/>
  <c r="F55" i="22"/>
  <c r="H60" i="21"/>
  <c r="H55" i="21"/>
  <c r="H55" i="22"/>
  <c r="H60" i="22"/>
  <c r="T47" i="19"/>
  <c r="T47" i="20"/>
  <c r="P37" i="22"/>
  <c r="L37" i="22"/>
  <c r="H37" i="22"/>
  <c r="R37" i="21"/>
  <c r="N37" i="21"/>
  <c r="F37" i="21"/>
  <c r="S37" i="22"/>
  <c r="O37" i="22"/>
  <c r="K37" i="22"/>
  <c r="G37" i="22"/>
  <c r="Q37" i="21"/>
  <c r="M37" i="21"/>
  <c r="I37" i="21"/>
  <c r="S37" i="20"/>
  <c r="O37" i="20"/>
  <c r="K37" i="20"/>
  <c r="G37" i="20"/>
  <c r="R37" i="22"/>
  <c r="N37" i="22"/>
  <c r="J37" i="22"/>
  <c r="F37" i="22"/>
  <c r="E37" i="22"/>
  <c r="P37" i="21"/>
  <c r="L37" i="21"/>
  <c r="H37" i="21"/>
  <c r="E37" i="21"/>
  <c r="R37" i="20"/>
  <c r="N37" i="20"/>
  <c r="J37" i="20"/>
  <c r="F37" i="20"/>
  <c r="Q37" i="22"/>
  <c r="M37" i="22"/>
  <c r="I37" i="22"/>
  <c r="S37" i="21"/>
  <c r="O37" i="21"/>
  <c r="K37" i="21"/>
  <c r="G37" i="21"/>
  <c r="Q37" i="20"/>
  <c r="M37" i="20"/>
  <c r="I37" i="20"/>
  <c r="P37" i="20"/>
  <c r="L37" i="20"/>
  <c r="P37" i="19"/>
  <c r="L37" i="19"/>
  <c r="H37" i="19"/>
  <c r="Q37" i="18"/>
  <c r="M37" i="18"/>
  <c r="I37" i="18"/>
  <c r="H37" i="20"/>
  <c r="E37" i="20"/>
  <c r="R37" i="19"/>
  <c r="N37" i="19"/>
  <c r="J37" i="19"/>
  <c r="F37" i="19"/>
  <c r="E37" i="19"/>
  <c r="E37" i="18"/>
  <c r="S37" i="18"/>
  <c r="O37" i="18"/>
  <c r="K37" i="18"/>
  <c r="G37" i="18"/>
  <c r="Q37" i="19"/>
  <c r="I37" i="19"/>
  <c r="L37" i="18"/>
  <c r="S37" i="17"/>
  <c r="O37" i="17"/>
  <c r="K37" i="17"/>
  <c r="G37" i="17"/>
  <c r="O37" i="19"/>
  <c r="G37" i="19"/>
  <c r="R37" i="18"/>
  <c r="J37" i="18"/>
  <c r="R37" i="17"/>
  <c r="N37" i="17"/>
  <c r="J37" i="17"/>
  <c r="F37" i="17"/>
  <c r="E37" i="17"/>
  <c r="M37" i="19"/>
  <c r="P37" i="18"/>
  <c r="H37" i="18"/>
  <c r="Q37" i="17"/>
  <c r="M37" i="17"/>
  <c r="I37" i="17"/>
  <c r="S37" i="19"/>
  <c r="K37" i="19"/>
  <c r="N37" i="18"/>
  <c r="F37" i="18"/>
  <c r="P37" i="17"/>
  <c r="L37" i="17"/>
  <c r="H37" i="17"/>
  <c r="CZ111" i="7"/>
  <c r="T111" i="7" s="1"/>
  <c r="CZ105" i="7"/>
  <c r="T105" i="7" s="1"/>
  <c r="CZ113" i="7"/>
  <c r="T113" i="7" s="1"/>
  <c r="CZ109" i="7"/>
  <c r="T109" i="7" s="1"/>
  <c r="CZ107" i="7"/>
  <c r="T107" i="7" s="1"/>
  <c r="CZ15" i="7"/>
  <c r="T15" i="7" s="1"/>
  <c r="CZ89" i="7"/>
  <c r="T89" i="7" s="1"/>
  <c r="CZ73" i="7"/>
  <c r="T73" i="7" s="1"/>
  <c r="CZ17" i="7"/>
  <c r="T17" i="7" s="1"/>
  <c r="CZ87" i="7"/>
  <c r="T87" i="7" s="1"/>
  <c r="CZ93" i="7"/>
  <c r="T93" i="7" s="1"/>
  <c r="CZ85" i="7"/>
  <c r="T85" i="7" s="1"/>
  <c r="CZ71" i="7"/>
  <c r="T71" i="7" s="1"/>
  <c r="CZ69" i="7"/>
  <c r="T69" i="7" s="1"/>
  <c r="CZ19" i="7"/>
  <c r="T19" i="7" s="1"/>
  <c r="CZ91" i="7"/>
  <c r="T91" i="7" s="1"/>
  <c r="CZ21" i="7"/>
  <c r="T21" i="7" s="1"/>
  <c r="CZ123" i="7"/>
  <c r="T123" i="7" s="1"/>
  <c r="CZ29" i="7"/>
  <c r="T29" i="7" s="1"/>
  <c r="CZ27" i="7"/>
  <c r="T27" i="7" s="1"/>
  <c r="CZ47" i="7"/>
  <c r="T47" i="7" s="1"/>
  <c r="CZ23" i="7"/>
  <c r="T23" i="7" s="1"/>
  <c r="CZ65" i="7"/>
  <c r="T65" i="7" s="1"/>
  <c r="CZ121" i="7"/>
  <c r="T121" i="7" s="1"/>
  <c r="CZ25" i="7"/>
  <c r="T25" i="7" s="1"/>
  <c r="CZ45" i="7"/>
  <c r="T45" i="7" s="1"/>
  <c r="CZ95" i="7"/>
  <c r="T95" i="7" s="1"/>
  <c r="CZ67" i="7"/>
  <c r="T67" i="7" s="1"/>
  <c r="CZ119" i="7"/>
  <c r="T119" i="7" s="1"/>
  <c r="CZ33" i="7"/>
  <c r="T33" i="7" s="1"/>
  <c r="CZ53" i="7"/>
  <c r="T53" i="7" s="1"/>
  <c r="CZ51" i="7"/>
  <c r="T51" i="7" s="1"/>
  <c r="CZ31" i="7"/>
  <c r="T31" i="7" s="1"/>
  <c r="CZ75" i="7"/>
  <c r="T75" i="7" s="1"/>
  <c r="CZ81" i="7"/>
  <c r="T81" i="7" s="1"/>
  <c r="CZ49" i="7"/>
  <c r="T49" i="7" s="1"/>
  <c r="CZ103" i="7"/>
  <c r="T103" i="7" s="1"/>
  <c r="CZ97" i="7"/>
  <c r="T97" i="7" s="1"/>
  <c r="CZ83" i="7"/>
  <c r="T83" i="7" s="1"/>
  <c r="CZ39" i="7"/>
  <c r="T39" i="7" s="1"/>
  <c r="CZ7" i="7"/>
  <c r="T7" i="7" s="1"/>
  <c r="CZ101" i="7"/>
  <c r="T101" i="7" s="1"/>
  <c r="CZ79" i="7"/>
  <c r="T79" i="7" s="1"/>
  <c r="CZ37" i="7"/>
  <c r="T37" i="7" s="1"/>
  <c r="CZ35" i="7"/>
  <c r="T35" i="7" s="1"/>
  <c r="CZ5" i="7"/>
  <c r="T5" i="7" s="1"/>
  <c r="CZ61" i="7"/>
  <c r="T61" i="7" s="1"/>
  <c r="CZ77" i="7"/>
  <c r="T77" i="7" s="1"/>
  <c r="CZ99" i="7"/>
  <c r="T99" i="7" s="1"/>
  <c r="CZ43" i="7"/>
  <c r="T43" i="7" s="1"/>
  <c r="CZ13" i="7"/>
  <c r="T13" i="7" s="1"/>
  <c r="CZ11" i="7"/>
  <c r="T11" i="7" s="1"/>
  <c r="CZ59" i="7"/>
  <c r="T59" i="7" s="1"/>
  <c r="CZ117" i="7"/>
  <c r="T117" i="7" s="1"/>
  <c r="CZ115" i="7"/>
  <c r="T115" i="7" s="1"/>
  <c r="CZ41" i="7"/>
  <c r="T41" i="7" s="1"/>
  <c r="CZ9" i="7"/>
  <c r="T9" i="7" s="1"/>
  <c r="CZ63" i="7"/>
  <c r="T63" i="7" s="1"/>
  <c r="CZ55" i="7"/>
  <c r="T55" i="7" s="1"/>
  <c r="CZ57" i="7"/>
  <c r="T57" i="7" s="1"/>
  <c r="E32" i="18"/>
  <c r="F30" i="22"/>
  <c r="O34" i="22"/>
  <c r="G36" i="22"/>
  <c r="I32" i="22"/>
  <c r="S30" i="17"/>
  <c r="E34" i="17"/>
  <c r="F36" i="17"/>
  <c r="G38" i="17"/>
  <c r="H30" i="17"/>
  <c r="I32" i="17"/>
  <c r="J34" i="17"/>
  <c r="K36" i="17"/>
  <c r="L38" i="17"/>
  <c r="R32" i="21"/>
  <c r="F30" i="19"/>
  <c r="H34" i="19"/>
  <c r="E30" i="18"/>
  <c r="F36" i="22"/>
  <c r="H32" i="22"/>
  <c r="I30" i="22"/>
  <c r="S34" i="22"/>
  <c r="H34" i="22"/>
  <c r="R38" i="18"/>
  <c r="F34" i="20"/>
  <c r="I30" i="20"/>
  <c r="K34" i="20"/>
  <c r="N30" i="20"/>
  <c r="P34" i="20"/>
  <c r="S30" i="20"/>
  <c r="F36" i="20"/>
  <c r="F30" i="21"/>
  <c r="H34" i="21"/>
  <c r="K30" i="21"/>
  <c r="M34" i="21"/>
  <c r="P30" i="21"/>
  <c r="R34" i="21"/>
  <c r="G30" i="19"/>
  <c r="I34" i="19"/>
  <c r="L30" i="19"/>
  <c r="N34" i="19"/>
  <c r="Q30" i="19"/>
  <c r="S34" i="19"/>
  <c r="E36" i="18"/>
  <c r="G32" i="22"/>
  <c r="H30" i="22"/>
  <c r="R34" i="22"/>
  <c r="J36" i="22"/>
  <c r="I30" i="18"/>
  <c r="J32" i="18"/>
  <c r="K34" i="18"/>
  <c r="L36" i="18"/>
  <c r="M38" i="18"/>
  <c r="N30" i="18"/>
  <c r="O32" i="18"/>
  <c r="P34" i="18"/>
  <c r="Q36" i="18"/>
  <c r="R38" i="17"/>
  <c r="Q30" i="21"/>
  <c r="S34" i="21"/>
  <c r="G32" i="19"/>
  <c r="I36" i="19"/>
  <c r="K30" i="22"/>
  <c r="E34" i="18"/>
  <c r="G30" i="22"/>
  <c r="Q34" i="22"/>
  <c r="H36" i="22"/>
  <c r="J32" i="22"/>
  <c r="I36" i="22"/>
  <c r="I30" i="17"/>
  <c r="J32" i="17"/>
  <c r="K34" i="17"/>
  <c r="L36" i="17"/>
  <c r="M38" i="17"/>
  <c r="N30" i="17"/>
  <c r="O32" i="17"/>
  <c r="P34" i="17"/>
  <c r="Q36" i="17"/>
  <c r="S30" i="18"/>
  <c r="F36" i="18"/>
  <c r="G38" i="18"/>
  <c r="H30" i="18"/>
  <c r="I32" i="18"/>
  <c r="J34" i="18"/>
  <c r="K36" i="18"/>
  <c r="L38" i="18"/>
  <c r="E32" i="20"/>
  <c r="G36" i="20"/>
  <c r="J32" i="20"/>
  <c r="L36" i="20"/>
  <c r="O32" i="20"/>
  <c r="Q36" i="20"/>
  <c r="E34" i="20"/>
  <c r="G32" i="21"/>
  <c r="I36" i="21"/>
  <c r="L32" i="21"/>
  <c r="N36" i="21"/>
  <c r="Q32" i="21"/>
  <c r="S36" i="21"/>
  <c r="H32" i="19"/>
  <c r="J36" i="19"/>
  <c r="M32" i="19"/>
  <c r="O36" i="19"/>
  <c r="R32" i="19"/>
  <c r="J30" i="22"/>
  <c r="L36" i="22"/>
  <c r="O36" i="22"/>
  <c r="M36" i="22"/>
  <c r="M30" i="18"/>
  <c r="N32" i="18"/>
  <c r="O34" i="18"/>
  <c r="P36" i="18"/>
  <c r="Q38" i="18"/>
  <c r="H30" i="20"/>
  <c r="J34" i="20"/>
  <c r="M30" i="20"/>
  <c r="O34" i="20"/>
  <c r="R30" i="20"/>
  <c r="E36" i="20"/>
  <c r="H32" i="20"/>
  <c r="J36" i="20"/>
  <c r="F32" i="21"/>
  <c r="H36" i="21"/>
  <c r="K32" i="21"/>
  <c r="M36" i="21"/>
  <c r="P32" i="21"/>
  <c r="R36" i="21"/>
  <c r="R36" i="22"/>
  <c r="G34" i="22"/>
  <c r="Q36" i="22"/>
  <c r="S34" i="18"/>
  <c r="F30" i="17"/>
  <c r="G32" i="17"/>
  <c r="H34" i="17"/>
  <c r="I36" i="17"/>
  <c r="J38" i="17"/>
  <c r="K30" i="17"/>
  <c r="L32" i="17"/>
  <c r="M34" i="17"/>
  <c r="N36" i="17"/>
  <c r="O38" i="17"/>
  <c r="P30" i="17"/>
  <c r="Q32" i="17"/>
  <c r="M32" i="20"/>
  <c r="O36" i="20"/>
  <c r="R32" i="20"/>
  <c r="F30" i="20"/>
  <c r="H34" i="20"/>
  <c r="K30" i="20"/>
  <c r="M34" i="20"/>
  <c r="I30" i="21"/>
  <c r="K34" i="21"/>
  <c r="N30" i="21"/>
  <c r="P34" i="21"/>
  <c r="S30" i="21"/>
  <c r="F34" i="19"/>
  <c r="I30" i="19"/>
  <c r="K34" i="19"/>
  <c r="N30" i="19"/>
  <c r="P34" i="19"/>
  <c r="E34" i="22"/>
  <c r="S30" i="22"/>
  <c r="M34" i="22"/>
  <c r="R36" i="18"/>
  <c r="S38" i="17"/>
  <c r="P30" i="20"/>
  <c r="R34" i="20"/>
  <c r="N32" i="21"/>
  <c r="P36" i="21"/>
  <c r="S32" i="21"/>
  <c r="K32" i="22"/>
  <c r="N32" i="22"/>
  <c r="M30" i="17"/>
  <c r="N32" i="17"/>
  <c r="O34" i="17"/>
  <c r="P36" i="17"/>
  <c r="Q38" i="17"/>
  <c r="S32" i="18"/>
  <c r="F38" i="18"/>
  <c r="G30" i="18"/>
  <c r="H32" i="18"/>
  <c r="I34" i="18"/>
  <c r="J36" i="18"/>
  <c r="K38" i="18"/>
  <c r="L30" i="18"/>
  <c r="M32" i="18"/>
  <c r="N34" i="18"/>
  <c r="O36" i="18"/>
  <c r="P38" i="18"/>
  <c r="F34" i="21"/>
  <c r="K30" i="19"/>
  <c r="M34" i="19"/>
  <c r="P30" i="19"/>
  <c r="R34" i="19"/>
  <c r="E30" i="19"/>
  <c r="G34" i="19"/>
  <c r="J30" i="19"/>
  <c r="L34" i="19"/>
  <c r="P32" i="22"/>
  <c r="P30" i="22"/>
  <c r="R32" i="22"/>
  <c r="R32" i="18"/>
  <c r="S34" i="17"/>
  <c r="S36" i="18"/>
  <c r="F36" i="21"/>
  <c r="I32" i="21"/>
  <c r="K36" i="21"/>
  <c r="O30" i="19"/>
  <c r="Q34" i="19"/>
  <c r="N30" i="22"/>
  <c r="J34" i="22"/>
  <c r="F32" i="22"/>
  <c r="S32" i="22"/>
  <c r="F32" i="18"/>
  <c r="G34" i="18"/>
  <c r="H36" i="18"/>
  <c r="I38" i="18"/>
  <c r="J30" i="18"/>
  <c r="K32" i="18"/>
  <c r="L34" i="18"/>
  <c r="M36" i="18"/>
  <c r="N38" i="18"/>
  <c r="O30" i="18"/>
  <c r="P32" i="18"/>
  <c r="Q34" i="18"/>
  <c r="R36" i="17"/>
  <c r="F32" i="20"/>
  <c r="H36" i="20"/>
  <c r="K32" i="20"/>
  <c r="M36" i="20"/>
  <c r="P32" i="20"/>
  <c r="R36" i="20"/>
  <c r="G30" i="21"/>
  <c r="I34" i="21"/>
  <c r="L30" i="21"/>
  <c r="N34" i="21"/>
  <c r="E34" i="19"/>
  <c r="H30" i="19"/>
  <c r="J34" i="19"/>
  <c r="M30" i="19"/>
  <c r="O34" i="19"/>
  <c r="R30" i="19"/>
  <c r="L32" i="22"/>
  <c r="L30" i="22"/>
  <c r="N36" i="22"/>
  <c r="L34" i="22"/>
  <c r="R30" i="18"/>
  <c r="S32" i="17"/>
  <c r="E36" i="17"/>
  <c r="F38" i="17"/>
  <c r="G30" i="17"/>
  <c r="H32" i="17"/>
  <c r="I34" i="17"/>
  <c r="J36" i="17"/>
  <c r="K38" i="17"/>
  <c r="L30" i="17"/>
  <c r="M32" i="17"/>
  <c r="N34" i="17"/>
  <c r="O36" i="17"/>
  <c r="P38" i="17"/>
  <c r="I32" i="20"/>
  <c r="K36" i="20"/>
  <c r="N32" i="20"/>
  <c r="P36" i="20"/>
  <c r="S32" i="20"/>
  <c r="G30" i="20"/>
  <c r="I34" i="20"/>
  <c r="E30" i="21"/>
  <c r="G34" i="21"/>
  <c r="J30" i="21"/>
  <c r="L34" i="21"/>
  <c r="O30" i="21"/>
  <c r="Q34" i="21"/>
  <c r="F34" i="22"/>
  <c r="S36" i="22"/>
  <c r="I34" i="22"/>
  <c r="P34" i="22"/>
  <c r="Q30" i="18"/>
  <c r="R32" i="17"/>
  <c r="R34" i="18"/>
  <c r="S36" i="17"/>
  <c r="L30" i="20"/>
  <c r="N34" i="20"/>
  <c r="Q30" i="20"/>
  <c r="S34" i="20"/>
  <c r="G32" i="20"/>
  <c r="I36" i="20"/>
  <c r="L32" i="20"/>
  <c r="N36" i="20"/>
  <c r="J32" i="21"/>
  <c r="L36" i="21"/>
  <c r="O32" i="21"/>
  <c r="Q36" i="21"/>
  <c r="E32" i="19"/>
  <c r="G36" i="19"/>
  <c r="J32" i="19"/>
  <c r="L36" i="19"/>
  <c r="O32" i="19"/>
  <c r="Q36" i="19"/>
  <c r="P36" i="22"/>
  <c r="R30" i="22"/>
  <c r="K34" i="22"/>
  <c r="E32" i="22"/>
  <c r="E30" i="17"/>
  <c r="F32" i="17"/>
  <c r="G34" i="17"/>
  <c r="H36" i="17"/>
  <c r="I38" i="17"/>
  <c r="J30" i="17"/>
  <c r="K32" i="17"/>
  <c r="L34" i="17"/>
  <c r="M36" i="17"/>
  <c r="N38" i="17"/>
  <c r="O30" i="17"/>
  <c r="P32" i="17"/>
  <c r="Q34" i="17"/>
  <c r="F34" i="18"/>
  <c r="G36" i="18"/>
  <c r="H38" i="18"/>
  <c r="Q32" i="20"/>
  <c r="S36" i="20"/>
  <c r="M30" i="21"/>
  <c r="O34" i="21"/>
  <c r="R30" i="21"/>
  <c r="S30" i="19"/>
  <c r="E36" i="19"/>
  <c r="K36" i="22"/>
  <c r="M32" i="22"/>
  <c r="M30" i="22"/>
  <c r="R30" i="17"/>
  <c r="E32" i="21"/>
  <c r="G36" i="21"/>
  <c r="L32" i="19"/>
  <c r="N36" i="19"/>
  <c r="Q32" i="19"/>
  <c r="S36" i="19"/>
  <c r="F32" i="19"/>
  <c r="H36" i="19"/>
  <c r="K32" i="19"/>
  <c r="M36" i="19"/>
  <c r="O30" i="22"/>
  <c r="Q32" i="22"/>
  <c r="Q30" i="22"/>
  <c r="Q30" i="17"/>
  <c r="F30" i="18"/>
  <c r="G32" i="18"/>
  <c r="H34" i="18"/>
  <c r="I36" i="18"/>
  <c r="J38" i="18"/>
  <c r="K30" i="18"/>
  <c r="L32" i="18"/>
  <c r="M34" i="18"/>
  <c r="N36" i="18"/>
  <c r="O38" i="18"/>
  <c r="P30" i="18"/>
  <c r="Q32" i="18"/>
  <c r="R34" i="17"/>
  <c r="E34" i="21"/>
  <c r="H30" i="21"/>
  <c r="J34" i="21"/>
  <c r="P32" i="19"/>
  <c r="R36" i="19"/>
  <c r="O32" i="22"/>
  <c r="E30" i="22"/>
  <c r="N34" i="22"/>
  <c r="E36" i="22"/>
  <c r="S38" i="18"/>
  <c r="E32" i="17"/>
  <c r="F34" i="17"/>
  <c r="G36" i="17"/>
  <c r="H38" i="17"/>
  <c r="E30" i="20"/>
  <c r="G34" i="20"/>
  <c r="J30" i="20"/>
  <c r="L34" i="20"/>
  <c r="O30" i="20"/>
  <c r="Q34" i="20"/>
  <c r="E36" i="21"/>
  <c r="H32" i="21"/>
  <c r="J36" i="21"/>
  <c r="M32" i="21"/>
  <c r="O36" i="21"/>
  <c r="F36" i="19"/>
  <c r="I32" i="19"/>
  <c r="K36" i="19"/>
  <c r="N32" i="19"/>
  <c r="P36" i="19"/>
  <c r="S32" i="19"/>
  <c r="F38" i="20"/>
  <c r="H38" i="21"/>
  <c r="E29" i="18"/>
  <c r="G38" i="21"/>
  <c r="H38" i="19"/>
  <c r="H38" i="20"/>
  <c r="F38" i="19"/>
  <c r="G38" i="22"/>
  <c r="E38" i="21"/>
  <c r="E38" i="22"/>
  <c r="F38" i="22"/>
  <c r="E38" i="18"/>
  <c r="E35" i="18"/>
  <c r="G38" i="20"/>
  <c r="E38" i="20"/>
  <c r="E33" i="18"/>
  <c r="E38" i="17"/>
  <c r="G38" i="19"/>
  <c r="H38" i="22"/>
  <c r="F38" i="21"/>
  <c r="E38" i="19"/>
  <c r="E31" i="18"/>
  <c r="I38" i="20"/>
  <c r="K31" i="22"/>
  <c r="K33" i="17"/>
  <c r="L29" i="22"/>
  <c r="S29" i="18"/>
  <c r="N29" i="20"/>
  <c r="M35" i="22"/>
  <c r="P31" i="21"/>
  <c r="I31" i="22"/>
  <c r="S33" i="21"/>
  <c r="J35" i="17"/>
  <c r="H35" i="21"/>
  <c r="I33" i="19"/>
  <c r="G33" i="22"/>
  <c r="I29" i="21"/>
  <c r="F33" i="17"/>
  <c r="M33" i="17"/>
  <c r="L33" i="21"/>
  <c r="I31" i="17"/>
  <c r="I35" i="21"/>
  <c r="N35" i="22"/>
  <c r="K31" i="19"/>
  <c r="E33" i="17"/>
  <c r="P29" i="21"/>
  <c r="J33" i="20"/>
  <c r="S29" i="21"/>
  <c r="Q31" i="20"/>
  <c r="F35" i="21"/>
  <c r="J33" i="19"/>
  <c r="R35" i="19"/>
  <c r="F31" i="18"/>
  <c r="I35" i="22"/>
  <c r="K35" i="17"/>
  <c r="L31" i="21"/>
  <c r="O35" i="18"/>
  <c r="R33" i="21"/>
  <c r="R31" i="20"/>
  <c r="O29" i="20"/>
  <c r="Q29" i="18"/>
  <c r="M29" i="21"/>
  <c r="F35" i="20"/>
  <c r="G35" i="22"/>
  <c r="Q29" i="21"/>
  <c r="I35" i="19"/>
  <c r="I38" i="19"/>
  <c r="K33" i="18"/>
  <c r="R33" i="22"/>
  <c r="H29" i="22"/>
  <c r="G29" i="17"/>
  <c r="F29" i="19"/>
  <c r="N33" i="18"/>
  <c r="G29" i="22"/>
  <c r="F35" i="17"/>
  <c r="G31" i="21"/>
  <c r="K35" i="20"/>
  <c r="F31" i="19"/>
  <c r="J35" i="18"/>
  <c r="E33" i="20"/>
  <c r="S33" i="19"/>
  <c r="M33" i="22"/>
  <c r="G31" i="22"/>
  <c r="F33" i="20"/>
  <c r="S35" i="21"/>
  <c r="M29" i="17"/>
  <c r="E29" i="21"/>
  <c r="J31" i="17"/>
  <c r="M31" i="18"/>
  <c r="L29" i="19"/>
  <c r="H31" i="20"/>
  <c r="M31" i="21"/>
  <c r="E29" i="20"/>
  <c r="E35" i="22"/>
  <c r="P31" i="20"/>
  <c r="L29" i="18"/>
  <c r="I29" i="20"/>
  <c r="H31" i="19"/>
  <c r="O33" i="18"/>
  <c r="L35" i="17"/>
  <c r="E35" i="17"/>
  <c r="O35" i="17"/>
  <c r="H31" i="22"/>
  <c r="H29" i="17"/>
  <c r="O31" i="20"/>
  <c r="N33" i="19"/>
  <c r="P35" i="18"/>
  <c r="M29" i="20"/>
  <c r="Q35" i="22"/>
  <c r="I31" i="19"/>
  <c r="M33" i="20"/>
  <c r="R33" i="19"/>
  <c r="N35" i="21"/>
  <c r="K31" i="21"/>
  <c r="Q35" i="20"/>
  <c r="Q29" i="19"/>
  <c r="O35" i="22"/>
  <c r="O29" i="18"/>
  <c r="J31" i="21"/>
  <c r="G35" i="17"/>
  <c r="L33" i="19"/>
  <c r="O35" i="21"/>
  <c r="F29" i="18"/>
  <c r="R29" i="22"/>
  <c r="Q33" i="18"/>
  <c r="Q33" i="20"/>
  <c r="S35" i="22"/>
  <c r="L35" i="21"/>
  <c r="Q31" i="17"/>
  <c r="H35" i="17"/>
  <c r="F31" i="21"/>
  <c r="M31" i="20"/>
  <c r="R33" i="18"/>
  <c r="P35" i="21"/>
  <c r="E29" i="22"/>
  <c r="O33" i="19"/>
  <c r="M33" i="19"/>
  <c r="S35" i="18"/>
  <c r="S29" i="22"/>
  <c r="R29" i="21"/>
  <c r="P33" i="21"/>
  <c r="F31" i="22"/>
  <c r="J35" i="21"/>
  <c r="K29" i="18"/>
  <c r="L33" i="18"/>
  <c r="P33" i="22"/>
  <c r="Q35" i="21"/>
  <c r="N33" i="22"/>
  <c r="R29" i="19"/>
  <c r="P29" i="19"/>
  <c r="E33" i="21"/>
  <c r="M35" i="18"/>
  <c r="R31" i="21"/>
  <c r="E31" i="21"/>
  <c r="G29" i="18"/>
  <c r="F35" i="18"/>
  <c r="L31" i="22"/>
  <c r="N35" i="19"/>
  <c r="R33" i="20"/>
  <c r="F31" i="20"/>
  <c r="P33" i="20"/>
  <c r="N31" i="20"/>
  <c r="L35" i="22"/>
  <c r="L29" i="17"/>
  <c r="N29" i="18"/>
  <c r="R31" i="19"/>
  <c r="O33" i="17"/>
  <c r="L31" i="19"/>
  <c r="J29" i="22"/>
  <c r="S33" i="22"/>
  <c r="M35" i="21"/>
  <c r="E29" i="17"/>
  <c r="J31" i="19"/>
  <c r="I31" i="20"/>
  <c r="O31" i="17"/>
  <c r="H31" i="18"/>
  <c r="J33" i="17"/>
  <c r="K29" i="21"/>
  <c r="K35" i="22"/>
  <c r="R29" i="20"/>
  <c r="R31" i="17"/>
  <c r="G35" i="18"/>
  <c r="N35" i="18"/>
  <c r="K33" i="19"/>
  <c r="E33" i="22"/>
  <c r="E35" i="21"/>
  <c r="P29" i="17"/>
  <c r="G33" i="18"/>
  <c r="N31" i="21"/>
  <c r="L29" i="20"/>
  <c r="P35" i="22"/>
  <c r="G31" i="17"/>
  <c r="R35" i="18"/>
  <c r="O33" i="21"/>
  <c r="N31" i="18"/>
  <c r="O33" i="20"/>
  <c r="G31" i="20"/>
  <c r="E33" i="19"/>
  <c r="G33" i="19"/>
  <c r="I35" i="17"/>
  <c r="K31" i="17"/>
  <c r="K31" i="20"/>
  <c r="O35" i="20"/>
  <c r="F33" i="19"/>
  <c r="J33" i="22"/>
  <c r="P35" i="19"/>
  <c r="L33" i="20"/>
  <c r="F33" i="22"/>
  <c r="Q29" i="20"/>
  <c r="G35" i="19"/>
  <c r="L29" i="21"/>
  <c r="L31" i="18"/>
  <c r="P33" i="17"/>
  <c r="M31" i="19"/>
  <c r="Q35" i="18"/>
  <c r="M33" i="18"/>
  <c r="I33" i="18"/>
  <c r="I29" i="22"/>
  <c r="K29" i="22"/>
  <c r="E31" i="20"/>
  <c r="P31" i="17"/>
  <c r="R29" i="17"/>
  <c r="H33" i="19"/>
  <c r="S29" i="17"/>
  <c r="F29" i="22"/>
  <c r="M33" i="21"/>
  <c r="L33" i="22"/>
  <c r="F33" i="18"/>
  <c r="N33" i="21"/>
  <c r="S29" i="19"/>
  <c r="N31" i="22"/>
  <c r="Q33" i="22"/>
  <c r="I33" i="20"/>
  <c r="O33" i="22"/>
  <c r="F31" i="17"/>
  <c r="N29" i="17"/>
  <c r="K35" i="18"/>
  <c r="M31" i="22"/>
  <c r="H33" i="21"/>
  <c r="H35" i="19"/>
  <c r="S31" i="22"/>
  <c r="K33" i="20"/>
  <c r="S31" i="20"/>
  <c r="O31" i="18"/>
  <c r="H31" i="17"/>
  <c r="G35" i="21"/>
  <c r="J33" i="18"/>
  <c r="G29" i="19"/>
  <c r="S31" i="18"/>
  <c r="R31" i="18"/>
  <c r="N35" i="17"/>
  <c r="N35" i="20"/>
  <c r="R31" i="22"/>
  <c r="Q33" i="17"/>
  <c r="F33" i="21"/>
  <c r="S33" i="17"/>
  <c r="F29" i="20"/>
  <c r="L35" i="19"/>
  <c r="G29" i="21"/>
  <c r="O29" i="21"/>
  <c r="Q31" i="18"/>
  <c r="J33" i="21"/>
  <c r="R35" i="17"/>
  <c r="N31" i="17"/>
  <c r="J35" i="20"/>
  <c r="N29" i="21"/>
  <c r="H33" i="17"/>
  <c r="J29" i="17"/>
  <c r="J29" i="20"/>
  <c r="I33" i="22"/>
  <c r="N33" i="20"/>
  <c r="E31" i="19"/>
  <c r="S35" i="17"/>
  <c r="K31" i="18"/>
  <c r="I35" i="20"/>
  <c r="P33" i="19"/>
  <c r="K29" i="17"/>
  <c r="N29" i="22"/>
  <c r="L33" i="17"/>
  <c r="S31" i="21"/>
  <c r="K29" i="20"/>
  <c r="Q35" i="19"/>
  <c r="P29" i="20"/>
  <c r="H29" i="19"/>
  <c r="J29" i="19"/>
  <c r="L31" i="17"/>
  <c r="M35" i="20"/>
  <c r="E35" i="20"/>
  <c r="I31" i="18"/>
  <c r="F29" i="21"/>
  <c r="S35" i="19"/>
  <c r="Q33" i="19"/>
  <c r="P33" i="18"/>
  <c r="J35" i="22"/>
  <c r="N33" i="17"/>
  <c r="J31" i="22"/>
  <c r="Q31" i="21"/>
  <c r="G29" i="20"/>
  <c r="Q35" i="17"/>
  <c r="H29" i="20"/>
  <c r="H29" i="21"/>
  <c r="I33" i="17"/>
  <c r="I29" i="18"/>
  <c r="O35" i="19"/>
  <c r="M29" i="18"/>
  <c r="J31" i="18"/>
  <c r="M31" i="17"/>
  <c r="F35" i="22"/>
  <c r="L35" i="20"/>
  <c r="S33" i="20"/>
  <c r="Q29" i="22"/>
  <c r="S29" i="20"/>
  <c r="P35" i="20"/>
  <c r="L35" i="18"/>
  <c r="G31" i="19"/>
  <c r="H29" i="18"/>
  <c r="P35" i="17"/>
  <c r="P31" i="18"/>
  <c r="H35" i="22"/>
  <c r="J35" i="19"/>
  <c r="R29" i="18"/>
  <c r="Q31" i="19"/>
  <c r="H33" i="22"/>
  <c r="G35" i="20"/>
  <c r="S31" i="17"/>
  <c r="R35" i="21"/>
  <c r="L31" i="20"/>
  <c r="S31" i="19"/>
  <c r="K33" i="21"/>
  <c r="S35" i="20"/>
  <c r="F29" i="17"/>
  <c r="S33" i="18"/>
  <c r="M29" i="19"/>
  <c r="K29" i="19"/>
  <c r="O29" i="22"/>
  <c r="H35" i="20"/>
  <c r="H31" i="21"/>
  <c r="H33" i="18"/>
  <c r="J29" i="18"/>
  <c r="H33" i="20"/>
  <c r="O31" i="19"/>
  <c r="I33" i="21"/>
  <c r="G33" i="21"/>
  <c r="P29" i="22"/>
  <c r="O29" i="19"/>
  <c r="I38" i="22"/>
  <c r="I38" i="21"/>
  <c r="J31" i="20"/>
  <c r="I29" i="17"/>
  <c r="E31" i="22"/>
  <c r="Q29" i="17"/>
  <c r="O29" i="17"/>
  <c r="G31" i="18"/>
  <c r="R35" i="20"/>
  <c r="N31" i="19"/>
  <c r="F35" i="19"/>
  <c r="K33" i="22"/>
  <c r="P31" i="19"/>
  <c r="E35" i="19"/>
  <c r="K35" i="19"/>
  <c r="P31" i="22"/>
  <c r="O31" i="21"/>
  <c r="J29" i="21"/>
  <c r="M35" i="17"/>
  <c r="H35" i="18"/>
  <c r="K35" i="21"/>
  <c r="E31" i="17"/>
  <c r="R35" i="22"/>
  <c r="G33" i="17"/>
  <c r="N29" i="19"/>
  <c r="O31" i="22"/>
  <c r="M35" i="19"/>
  <c r="I35" i="18"/>
  <c r="M29" i="22"/>
  <c r="I29" i="19"/>
  <c r="P29" i="18"/>
  <c r="G33" i="20"/>
  <c r="R33" i="17"/>
  <c r="Q33" i="21"/>
  <c r="Q31" i="22"/>
  <c r="I31" i="21"/>
  <c r="E29" i="19"/>
  <c r="J38" i="19"/>
  <c r="J38" i="22"/>
  <c r="J38" i="20"/>
  <c r="J38" i="21"/>
  <c r="K38" i="22"/>
  <c r="K38" i="21"/>
  <c r="K38" i="20"/>
  <c r="K38" i="19"/>
  <c r="L38" i="20"/>
  <c r="L38" i="22"/>
  <c r="L38" i="19"/>
  <c r="L38" i="21"/>
  <c r="M38" i="19"/>
  <c r="M38" i="21"/>
  <c r="M38" i="22"/>
  <c r="M38" i="20"/>
  <c r="N38" i="21"/>
  <c r="N38" i="19"/>
  <c r="N38" i="20"/>
  <c r="N38" i="22"/>
  <c r="O38" i="20"/>
  <c r="O38" i="21"/>
  <c r="O38" i="19"/>
  <c r="O38" i="22"/>
  <c r="P38" i="19"/>
  <c r="P38" i="20"/>
  <c r="P38" i="21"/>
  <c r="P38" i="22"/>
  <c r="Q38" i="20"/>
  <c r="Q38" i="22"/>
  <c r="Q38" i="19"/>
  <c r="Q38" i="21"/>
  <c r="R20" i="20"/>
  <c r="R22" i="19"/>
  <c r="R22" i="22"/>
  <c r="R26" i="18"/>
  <c r="R22" i="20"/>
  <c r="R24" i="17"/>
  <c r="R19" i="20"/>
  <c r="R21" i="21"/>
  <c r="R25" i="22"/>
  <c r="R25" i="17"/>
  <c r="R19" i="18"/>
  <c r="R21" i="17"/>
  <c r="R28" i="20"/>
  <c r="Q28" i="21"/>
  <c r="S38" i="19"/>
  <c r="Q52" i="18"/>
  <c r="Q57" i="18"/>
  <c r="Q57" i="20"/>
  <c r="Q52" i="20"/>
  <c r="P52" i="22"/>
  <c r="P57" i="22"/>
  <c r="O57" i="20"/>
  <c r="O52" i="20"/>
  <c r="M52" i="20"/>
  <c r="M57" i="20"/>
  <c r="M57" i="21"/>
  <c r="M52" i="21"/>
  <c r="L57" i="18"/>
  <c r="L52" i="18"/>
  <c r="L52" i="22"/>
  <c r="L57" i="22"/>
  <c r="K52" i="20"/>
  <c r="K57" i="20"/>
  <c r="J57" i="20"/>
  <c r="J52" i="20"/>
  <c r="J57" i="22"/>
  <c r="J52" i="22"/>
  <c r="AK13" i="19"/>
  <c r="J57" i="21"/>
  <c r="J52" i="21"/>
  <c r="H52" i="18"/>
  <c r="H57" i="18"/>
  <c r="H52" i="21"/>
  <c r="H57" i="21"/>
  <c r="F52" i="18"/>
  <c r="F57" i="18"/>
  <c r="T17" i="17"/>
  <c r="Q60" i="20"/>
  <c r="Q55" i="20"/>
  <c r="P55" i="20"/>
  <c r="P60" i="20"/>
  <c r="P60" i="19"/>
  <c r="P55" i="19"/>
  <c r="O60" i="18"/>
  <c r="O55" i="18"/>
  <c r="N60" i="21"/>
  <c r="N55" i="21"/>
  <c r="N55" i="22"/>
  <c r="N60" i="22"/>
  <c r="M55" i="19"/>
  <c r="M60" i="19"/>
  <c r="M60" i="22"/>
  <c r="M55" i="22"/>
  <c r="L60" i="21"/>
  <c r="L55" i="21"/>
  <c r="K60" i="21"/>
  <c r="K55" i="21"/>
  <c r="E60" i="21"/>
  <c r="E55" i="21"/>
  <c r="F55" i="18"/>
  <c r="F60" i="18"/>
  <c r="F55" i="21"/>
  <c r="F60" i="21"/>
  <c r="F60" i="20"/>
  <c r="F55" i="20"/>
  <c r="J60" i="19"/>
  <c r="J55" i="19"/>
  <c r="E55" i="18"/>
  <c r="E60" i="18"/>
  <c r="G60" i="18"/>
  <c r="G55" i="18"/>
  <c r="G60" i="19"/>
  <c r="G55" i="19"/>
  <c r="H60" i="20"/>
  <c r="H55" i="20"/>
  <c r="T47" i="18"/>
  <c r="R24" i="19"/>
  <c r="R22" i="21"/>
  <c r="R28" i="17"/>
  <c r="R24" i="20"/>
  <c r="R24" i="22"/>
  <c r="R20" i="19"/>
  <c r="R24" i="18"/>
  <c r="R23" i="19"/>
  <c r="R21" i="22"/>
  <c r="R25" i="18"/>
  <c r="R21" i="20"/>
  <c r="R23" i="17"/>
  <c r="R28" i="21"/>
  <c r="R38" i="20"/>
  <c r="Q57" i="19"/>
  <c r="Q52" i="19"/>
  <c r="P57" i="19"/>
  <c r="P52" i="19"/>
  <c r="P52" i="20"/>
  <c r="P57" i="20"/>
  <c r="O57" i="18"/>
  <c r="O52" i="18"/>
  <c r="O57" i="19"/>
  <c r="O52" i="19"/>
  <c r="N52" i="18"/>
  <c r="N57" i="18"/>
  <c r="M52" i="19"/>
  <c r="M57" i="19"/>
  <c r="L57" i="21"/>
  <c r="L52" i="21"/>
  <c r="L57" i="20"/>
  <c r="L52" i="20"/>
  <c r="K52" i="21"/>
  <c r="K57" i="21"/>
  <c r="K57" i="22"/>
  <c r="K52" i="22"/>
  <c r="K57" i="19"/>
  <c r="K52" i="19"/>
  <c r="G52" i="20"/>
  <c r="G57" i="20"/>
  <c r="G57" i="18"/>
  <c r="G52" i="18"/>
  <c r="E52" i="18"/>
  <c r="E57" i="18"/>
  <c r="E52" i="19"/>
  <c r="E57" i="19"/>
  <c r="G52" i="21"/>
  <c r="G57" i="21"/>
  <c r="R38" i="21"/>
  <c r="Q28" i="20"/>
  <c r="Q55" i="18"/>
  <c r="Q60" i="18"/>
  <c r="O60" i="21"/>
  <c r="O55" i="21"/>
  <c r="N55" i="18"/>
  <c r="N60" i="18"/>
  <c r="N55" i="20"/>
  <c r="N60" i="20"/>
  <c r="K60" i="20"/>
  <c r="K55" i="20"/>
  <c r="G55" i="21"/>
  <c r="G60" i="21"/>
  <c r="H60" i="19"/>
  <c r="H55" i="19"/>
  <c r="I55" i="19"/>
  <c r="I60" i="19"/>
  <c r="E55" i="22"/>
  <c r="E60" i="22"/>
  <c r="J60" i="22"/>
  <c r="J55" i="22"/>
  <c r="E60" i="19"/>
  <c r="E55" i="19"/>
  <c r="E55" i="20"/>
  <c r="E60" i="20"/>
  <c r="H55" i="18"/>
  <c r="H60" i="18"/>
  <c r="I60" i="20"/>
  <c r="I55" i="20"/>
  <c r="I60" i="18"/>
  <c r="I55" i="18"/>
  <c r="T47" i="22"/>
  <c r="S53" i="6"/>
  <c r="S28" i="21" s="1"/>
  <c r="T105" i="8"/>
  <c r="T53" i="8"/>
  <c r="T48" i="21" s="1"/>
  <c r="T53" i="5"/>
  <c r="T18" i="21" s="1"/>
  <c r="T63" i="5"/>
  <c r="T18" i="22" s="1"/>
  <c r="T97" i="8"/>
  <c r="T111" i="8"/>
  <c r="T43" i="8"/>
  <c r="T48" i="20" s="1"/>
  <c r="T99" i="8"/>
  <c r="T101" i="8"/>
  <c r="S33" i="6"/>
  <c r="S28" i="19" s="1"/>
  <c r="S43" i="6"/>
  <c r="S28" i="20" s="1"/>
  <c r="T13" i="8"/>
  <c r="T48" i="17" s="1"/>
  <c r="T107" i="8"/>
  <c r="T121" i="8"/>
  <c r="T117" i="8"/>
  <c r="T103" i="8"/>
  <c r="T43" i="5"/>
  <c r="T18" i="20" s="1"/>
  <c r="T33" i="5"/>
  <c r="T18" i="19" s="1"/>
  <c r="T69" i="5"/>
  <c r="T119" i="8"/>
  <c r="S63" i="6"/>
  <c r="S28" i="22" s="1"/>
  <c r="T33" i="8"/>
  <c r="T48" i="19" s="1"/>
  <c r="T123" i="8"/>
  <c r="T63" i="8"/>
  <c r="T48" i="22" s="1"/>
  <c r="T109" i="8"/>
  <c r="T23" i="8"/>
  <c r="T48" i="18" s="1"/>
  <c r="T113" i="8"/>
  <c r="T95" i="8"/>
  <c r="T115" i="8"/>
  <c r="T41" i="22"/>
  <c r="T43" i="22"/>
  <c r="T44" i="22"/>
  <c r="S25" i="17"/>
  <c r="S25" i="18"/>
  <c r="S23" i="19"/>
  <c r="S19" i="17"/>
  <c r="S19" i="18"/>
  <c r="S23" i="17"/>
  <c r="S23" i="18"/>
  <c r="S21" i="19"/>
  <c r="S23" i="22"/>
  <c r="S23" i="21"/>
  <c r="S19" i="22"/>
  <c r="T41" i="19"/>
  <c r="T43" i="19"/>
  <c r="T41" i="17"/>
  <c r="T41" i="18"/>
  <c r="T13" i="21"/>
  <c r="T15" i="21"/>
  <c r="T15" i="17"/>
  <c r="T15" i="18"/>
  <c r="T13" i="22"/>
  <c r="T13" i="19"/>
  <c r="T11" i="22"/>
  <c r="T9" i="20"/>
  <c r="T9" i="18"/>
  <c r="T9" i="17"/>
  <c r="T11" i="19"/>
  <c r="T15" i="22"/>
  <c r="S19" i="19"/>
  <c r="T45" i="19"/>
  <c r="S25" i="19"/>
  <c r="T39" i="22"/>
  <c r="T39" i="20"/>
  <c r="T45" i="21"/>
  <c r="T43" i="20"/>
  <c r="T45" i="20"/>
  <c r="T9" i="21"/>
  <c r="T9" i="19"/>
  <c r="T13" i="20"/>
  <c r="T11" i="20"/>
  <c r="T11" i="18"/>
  <c r="T11" i="17"/>
  <c r="T15" i="19"/>
  <c r="S21" i="18"/>
  <c r="S21" i="17"/>
  <c r="S19" i="20"/>
  <c r="S21" i="22"/>
  <c r="T45" i="22"/>
  <c r="T39" i="21"/>
  <c r="S19" i="21"/>
  <c r="S21" i="20"/>
  <c r="S23" i="20"/>
  <c r="S25" i="22"/>
  <c r="S21" i="21"/>
  <c r="S25" i="20"/>
  <c r="S25" i="21"/>
  <c r="T39" i="19"/>
  <c r="T45" i="18"/>
  <c r="T45" i="17"/>
  <c r="T39" i="17"/>
  <c r="T39" i="18"/>
  <c r="T43" i="21"/>
  <c r="T41" i="20"/>
  <c r="T43" i="18"/>
  <c r="T43" i="17"/>
  <c r="T41" i="21"/>
  <c r="T11" i="21"/>
  <c r="T9" i="22"/>
  <c r="T15" i="20"/>
  <c r="T13" i="18"/>
  <c r="T13" i="17"/>
  <c r="T42" i="22"/>
  <c r="S26" i="18"/>
  <c r="S26" i="17"/>
  <c r="S24" i="19"/>
  <c r="S20" i="18"/>
  <c r="S20" i="17"/>
  <c r="S24" i="18"/>
  <c r="S24" i="17"/>
  <c r="S28" i="18"/>
  <c r="S28" i="17"/>
  <c r="S22" i="19"/>
  <c r="S24" i="22"/>
  <c r="S24" i="21"/>
  <c r="S20" i="22"/>
  <c r="T42" i="19"/>
  <c r="T44" i="19"/>
  <c r="T42" i="18"/>
  <c r="T42" i="17"/>
  <c r="T14" i="21"/>
  <c r="T16" i="21"/>
  <c r="T17" i="18"/>
  <c r="T16" i="18"/>
  <c r="T16" i="17"/>
  <c r="T14" i="22"/>
  <c r="T14" i="19"/>
  <c r="T12" i="22"/>
  <c r="S60" i="18"/>
  <c r="S55" i="18"/>
  <c r="S55" i="21"/>
  <c r="S60" i="21"/>
  <c r="S57" i="22"/>
  <c r="S52" i="22"/>
  <c r="S55" i="19"/>
  <c r="S60" i="19"/>
  <c r="T10" i="20"/>
  <c r="T10" i="18"/>
  <c r="T10" i="17"/>
  <c r="T12" i="19"/>
  <c r="T16" i="22"/>
  <c r="S52" i="18"/>
  <c r="S57" i="18"/>
  <c r="S55" i="22"/>
  <c r="S20" i="19"/>
  <c r="T46" i="19"/>
  <c r="S26" i="19"/>
  <c r="T40" i="22"/>
  <c r="T40" i="20"/>
  <c r="T46" i="21"/>
  <c r="T44" i="20"/>
  <c r="T46" i="20"/>
  <c r="T10" i="21"/>
  <c r="T10" i="19"/>
  <c r="T14" i="20"/>
  <c r="T18" i="17"/>
  <c r="T18" i="18"/>
  <c r="T12" i="20"/>
  <c r="T12" i="17"/>
  <c r="T12" i="18"/>
  <c r="T16" i="19"/>
  <c r="S60" i="22"/>
  <c r="S57" i="19"/>
  <c r="S52" i="19"/>
  <c r="S52" i="20"/>
  <c r="S57" i="20"/>
  <c r="S52" i="21"/>
  <c r="S57" i="21"/>
  <c r="S22" i="18"/>
  <c r="S22" i="17"/>
  <c r="S20" i="20"/>
  <c r="S22" i="22"/>
  <c r="T46" i="22"/>
  <c r="T40" i="21"/>
  <c r="S20" i="21"/>
  <c r="S22" i="20"/>
  <c r="S24" i="20"/>
  <c r="S26" i="22"/>
  <c r="S22" i="21"/>
  <c r="S26" i="20"/>
  <c r="S26" i="21"/>
  <c r="T40" i="19"/>
  <c r="T46" i="18"/>
  <c r="T46" i="17"/>
  <c r="T40" i="18"/>
  <c r="T40" i="17"/>
  <c r="T44" i="21"/>
  <c r="T42" i="20"/>
  <c r="T44" i="18"/>
  <c r="T44" i="17"/>
  <c r="T42" i="21"/>
  <c r="T12" i="21"/>
  <c r="T10" i="22"/>
  <c r="T16" i="20"/>
  <c r="T14" i="18"/>
  <c r="T14" i="17"/>
  <c r="S55" i="20"/>
  <c r="S60" i="20"/>
  <c r="V3" i="5"/>
  <c r="DA111" i="5"/>
  <c r="U111" i="5" s="1"/>
  <c r="DA109" i="5"/>
  <c r="U109" i="5" s="1"/>
  <c r="DA69" i="5"/>
  <c r="U69" i="5" s="1"/>
  <c r="DA77" i="5"/>
  <c r="U77" i="5" s="1"/>
  <c r="DA113" i="5"/>
  <c r="U113" i="5" s="1"/>
  <c r="DA73" i="5"/>
  <c r="U73" i="5" s="1"/>
  <c r="DA81" i="5"/>
  <c r="U81" i="5" s="1"/>
  <c r="DA107" i="5"/>
  <c r="U107" i="5" s="1"/>
  <c r="DA105" i="5"/>
  <c r="U105" i="5" s="1"/>
  <c r="DA65" i="5"/>
  <c r="U65" i="5" s="1"/>
  <c r="DA71" i="5"/>
  <c r="U71" i="5" s="1"/>
  <c r="DA83" i="5"/>
  <c r="U83" i="5" s="1"/>
  <c r="DA63" i="5"/>
  <c r="DA43" i="5"/>
  <c r="DA103" i="5"/>
  <c r="U103" i="5" s="1"/>
  <c r="DA75" i="5"/>
  <c r="U75" i="5" s="1"/>
  <c r="DA27" i="5"/>
  <c r="U27" i="5" s="1"/>
  <c r="DA57" i="5"/>
  <c r="U57" i="5" s="1"/>
  <c r="DA11" i="5"/>
  <c r="U11" i="5" s="1"/>
  <c r="DA5" i="5"/>
  <c r="U5" i="5" s="1"/>
  <c r="DA23" i="5"/>
  <c r="U23" i="5" s="1"/>
  <c r="DA67" i="5"/>
  <c r="U67" i="5" s="1"/>
  <c r="DA31" i="5"/>
  <c r="U31" i="5" s="1"/>
  <c r="DA29" i="5"/>
  <c r="U29" i="5" s="1"/>
  <c r="DA25" i="5"/>
  <c r="U25" i="5" s="1"/>
  <c r="DA55" i="5"/>
  <c r="U55" i="5" s="1"/>
  <c r="DA61" i="5"/>
  <c r="U61" i="5" s="1"/>
  <c r="DA37" i="5"/>
  <c r="U37" i="5" s="1"/>
  <c r="DA35" i="5"/>
  <c r="U35" i="5" s="1"/>
  <c r="DA17" i="5"/>
  <c r="U17" i="5" s="1"/>
  <c r="DA15" i="5"/>
  <c r="U15" i="5" s="1"/>
  <c r="DA95" i="5"/>
  <c r="U95" i="5" s="1"/>
  <c r="DA101" i="5"/>
  <c r="U101" i="5" s="1"/>
  <c r="DA79" i="5"/>
  <c r="U79" i="5" s="1"/>
  <c r="DA9" i="5"/>
  <c r="U9" i="5" s="1"/>
  <c r="DA7" i="5"/>
  <c r="U7" i="5" s="1"/>
  <c r="DA117" i="5"/>
  <c r="U117" i="5" s="1"/>
  <c r="DA47" i="5"/>
  <c r="U47" i="5" s="1"/>
  <c r="DA93" i="5"/>
  <c r="U93" i="5" s="1"/>
  <c r="DA59" i="5"/>
  <c r="U59" i="5" s="1"/>
  <c r="DA41" i="5"/>
  <c r="U41" i="5" s="1"/>
  <c r="DA123" i="5"/>
  <c r="U123" i="5" s="1"/>
  <c r="DA115" i="5"/>
  <c r="U115" i="5" s="1"/>
  <c r="DA121" i="5"/>
  <c r="U121" i="5" s="1"/>
  <c r="DA49" i="5"/>
  <c r="U49" i="5" s="1"/>
  <c r="DA91" i="5"/>
  <c r="U91" i="5" s="1"/>
  <c r="DA85" i="5"/>
  <c r="U85" i="5" s="1"/>
  <c r="DA33" i="5"/>
  <c r="DA39" i="5"/>
  <c r="U39" i="5" s="1"/>
  <c r="DA21" i="5"/>
  <c r="U21" i="5" s="1"/>
  <c r="DA19" i="5"/>
  <c r="U19" i="5" s="1"/>
  <c r="DA99" i="5"/>
  <c r="U99" i="5" s="1"/>
  <c r="DA97" i="5"/>
  <c r="U97" i="5" s="1"/>
  <c r="DA53" i="5"/>
  <c r="DA89" i="5"/>
  <c r="U89" i="5" s="1"/>
  <c r="DA13" i="5"/>
  <c r="U13" i="5" s="1"/>
  <c r="DA119" i="5"/>
  <c r="U119" i="5" s="1"/>
  <c r="DA45" i="5"/>
  <c r="U45" i="5" s="1"/>
  <c r="DA51" i="5"/>
  <c r="U51" i="5" s="1"/>
  <c r="DA87" i="5"/>
  <c r="U87" i="5" s="1"/>
  <c r="DA121" i="8"/>
  <c r="DA117" i="8"/>
  <c r="DA99" i="8"/>
  <c r="DA101" i="8"/>
  <c r="DA95" i="8"/>
  <c r="DA115" i="8"/>
  <c r="DA97" i="8"/>
  <c r="DA103" i="8"/>
  <c r="DA123" i="8"/>
  <c r="DA119" i="8"/>
  <c r="DA37" i="8"/>
  <c r="U37" i="8" s="1"/>
  <c r="DA35" i="8"/>
  <c r="U35" i="8" s="1"/>
  <c r="DA87" i="8"/>
  <c r="U87" i="8" s="1"/>
  <c r="DA105" i="8"/>
  <c r="DA109" i="8"/>
  <c r="DA17" i="8"/>
  <c r="U17" i="8" s="1"/>
  <c r="DA55" i="8"/>
  <c r="U55" i="8" s="1"/>
  <c r="DA57" i="8"/>
  <c r="U57" i="8" s="1"/>
  <c r="DA63" i="8"/>
  <c r="DA11" i="8"/>
  <c r="U11" i="8" s="1"/>
  <c r="DA77" i="8"/>
  <c r="U77" i="8" s="1"/>
  <c r="DA81" i="8"/>
  <c r="U81" i="8" s="1"/>
  <c r="DA45" i="8"/>
  <c r="U45" i="8" s="1"/>
  <c r="DA51" i="8"/>
  <c r="U51" i="8" s="1"/>
  <c r="DA85" i="8"/>
  <c r="U85" i="8" s="1"/>
  <c r="DA113" i="8"/>
  <c r="DA19" i="8"/>
  <c r="U19" i="8" s="1"/>
  <c r="DA53" i="8"/>
  <c r="DA49" i="8"/>
  <c r="U49" i="8" s="1"/>
  <c r="DA43" i="8"/>
  <c r="DA93" i="8"/>
  <c r="U93" i="8" s="1"/>
  <c r="DA89" i="8"/>
  <c r="U89" i="8" s="1"/>
  <c r="DA23" i="8"/>
  <c r="DA15" i="8"/>
  <c r="U15" i="8" s="1"/>
  <c r="DA47" i="8"/>
  <c r="U47" i="8" s="1"/>
  <c r="DA39" i="8"/>
  <c r="U39" i="8" s="1"/>
  <c r="DA41" i="8"/>
  <c r="U41" i="8" s="1"/>
  <c r="DA91" i="8"/>
  <c r="U91" i="8" s="1"/>
  <c r="DA107" i="8"/>
  <c r="DA111" i="8"/>
  <c r="DA21" i="8"/>
  <c r="U21" i="8" s="1"/>
  <c r="DA71" i="8"/>
  <c r="U71" i="8" s="1"/>
  <c r="DA69" i="8"/>
  <c r="U69" i="8" s="1"/>
  <c r="DA73" i="8"/>
  <c r="U73" i="8" s="1"/>
  <c r="DA61" i="8"/>
  <c r="U61" i="8" s="1"/>
  <c r="DA59" i="8"/>
  <c r="U59" i="8" s="1"/>
  <c r="DA9" i="8"/>
  <c r="U9" i="8" s="1"/>
  <c r="DA7" i="8"/>
  <c r="U7" i="8" s="1"/>
  <c r="DA79" i="8"/>
  <c r="U79" i="8" s="1"/>
  <c r="DA33" i="8"/>
  <c r="DA83" i="8"/>
  <c r="U83" i="8" s="1"/>
  <c r="DA25" i="8"/>
  <c r="U25" i="8" s="1"/>
  <c r="DA67" i="8"/>
  <c r="U67" i="8" s="1"/>
  <c r="DA5" i="8"/>
  <c r="U5" i="8" s="1"/>
  <c r="DA31" i="8"/>
  <c r="U31" i="8" s="1"/>
  <c r="DA65" i="8"/>
  <c r="U65" i="8" s="1"/>
  <c r="DA13" i="8"/>
  <c r="DA29" i="8"/>
  <c r="U29" i="8" s="1"/>
  <c r="DA75" i="8"/>
  <c r="U75" i="8" s="1"/>
  <c r="DA27" i="8"/>
  <c r="U27" i="8" s="1"/>
  <c r="CZ57" i="6"/>
  <c r="T57" i="6" s="1"/>
  <c r="CZ49" i="6"/>
  <c r="T49" i="6" s="1"/>
  <c r="CZ59" i="6"/>
  <c r="T59" i="6" s="1"/>
  <c r="CZ51" i="6"/>
  <c r="T51" i="6" s="1"/>
  <c r="CZ61" i="6"/>
  <c r="T61" i="6" s="1"/>
  <c r="CZ53" i="6"/>
  <c r="CZ45" i="6"/>
  <c r="T45" i="6" s="1"/>
  <c r="CZ37" i="6"/>
  <c r="T37" i="6" s="1"/>
  <c r="CZ47" i="6"/>
  <c r="T47" i="6" s="1"/>
  <c r="CZ43" i="6"/>
  <c r="CZ35" i="6"/>
  <c r="T35" i="6" s="1"/>
  <c r="CZ27" i="6"/>
  <c r="T27" i="6" s="1"/>
  <c r="CZ19" i="6"/>
  <c r="T19" i="6" s="1"/>
  <c r="CZ63" i="6"/>
  <c r="CZ29" i="6"/>
  <c r="T29" i="6" s="1"/>
  <c r="CZ21" i="6"/>
  <c r="T21" i="6" s="1"/>
  <c r="CZ39" i="6"/>
  <c r="T39" i="6" s="1"/>
  <c r="CZ31" i="6"/>
  <c r="T31" i="6" s="1"/>
  <c r="CZ23" i="6"/>
  <c r="T23" i="6" s="1"/>
  <c r="CZ15" i="6"/>
  <c r="T15" i="6" s="1"/>
  <c r="CZ11" i="6"/>
  <c r="T11" i="6" s="1"/>
  <c r="CZ33" i="6"/>
  <c r="CZ17" i="6"/>
  <c r="T17" i="6" s="1"/>
  <c r="CZ9" i="6"/>
  <c r="T9" i="6" s="1"/>
  <c r="CZ55" i="6"/>
  <c r="T55" i="6" s="1"/>
  <c r="CZ41" i="6"/>
  <c r="T41" i="6" s="1"/>
  <c r="CZ25" i="6"/>
  <c r="T25" i="6" s="1"/>
  <c r="CZ5" i="6"/>
  <c r="T5" i="6" s="1"/>
  <c r="CZ13" i="6"/>
  <c r="T13" i="6" s="1"/>
  <c r="CZ7" i="6"/>
  <c r="T7" i="6" s="1"/>
  <c r="V3" i="8"/>
  <c r="U3" i="7"/>
  <c r="U3" i="6"/>
  <c r="T108" i="8"/>
  <c r="T110" i="7"/>
  <c r="U104" i="5"/>
  <c r="T34" i="6"/>
  <c r="T34" i="7"/>
  <c r="T6" i="7"/>
  <c r="U46" i="8"/>
  <c r="T38" i="7"/>
  <c r="U36" i="8"/>
  <c r="T44" i="7"/>
  <c r="U46" i="5"/>
  <c r="T18" i="7"/>
  <c r="U56" i="8"/>
  <c r="T58" i="6"/>
  <c r="T10" i="7"/>
  <c r="U74" i="5"/>
  <c r="U18" i="5"/>
  <c r="U58" i="5"/>
  <c r="T8" i="7"/>
  <c r="U44" i="8"/>
  <c r="U14" i="8"/>
  <c r="T54" i="7"/>
  <c r="T46" i="7"/>
  <c r="T20" i="6"/>
  <c r="T68" i="5"/>
  <c r="U26" i="5"/>
  <c r="U68" i="5"/>
  <c r="T56" i="6"/>
  <c r="T50" i="7"/>
  <c r="U18" i="8"/>
  <c r="U108" i="5"/>
  <c r="T108" i="7"/>
  <c r="T106" i="7"/>
  <c r="U50" i="5"/>
  <c r="U8" i="5"/>
  <c r="T50" i="6"/>
  <c r="T30" i="6"/>
  <c r="T30" i="7"/>
  <c r="T26" i="7"/>
  <c r="U4" i="5"/>
  <c r="T18" i="6"/>
  <c r="U54" i="8"/>
  <c r="U28" i="8"/>
  <c r="U20" i="8"/>
  <c r="U70" i="5"/>
  <c r="T24" i="7"/>
  <c r="T38" i="6"/>
  <c r="U40" i="8"/>
  <c r="U10" i="8"/>
  <c r="U30" i="8"/>
  <c r="U16" i="8"/>
  <c r="T10" i="6"/>
  <c r="U28" i="5"/>
  <c r="T46" i="6"/>
  <c r="U24" i="5"/>
  <c r="T28" i="6"/>
  <c r="U38" i="5"/>
  <c r="T104" i="7"/>
  <c r="T104" i="8"/>
  <c r="T106" i="8"/>
  <c r="U48" i="8"/>
  <c r="T14" i="7"/>
  <c r="U48" i="5"/>
  <c r="T54" i="6"/>
  <c r="U6" i="8"/>
  <c r="U66" i="5"/>
  <c r="U38" i="8"/>
  <c r="T58" i="7"/>
  <c r="T40" i="6"/>
  <c r="T20" i="7"/>
  <c r="U34" i="5"/>
  <c r="U54" i="5"/>
  <c r="T36" i="6"/>
  <c r="T60" i="6"/>
  <c r="U10" i="5"/>
  <c r="U6" i="5"/>
  <c r="T4" i="6"/>
  <c r="T6" i="6"/>
  <c r="T48" i="7"/>
  <c r="T56" i="7"/>
  <c r="T36" i="7"/>
  <c r="U60" i="5"/>
  <c r="U30" i="5"/>
  <c r="U58" i="8"/>
  <c r="T4" i="7"/>
  <c r="T110" i="8"/>
  <c r="U106" i="5"/>
  <c r="U110" i="5"/>
  <c r="U16" i="5"/>
  <c r="T60" i="7"/>
  <c r="T26" i="6"/>
  <c r="U14" i="5"/>
  <c r="T16" i="6"/>
  <c r="U56" i="5"/>
  <c r="T16" i="7"/>
  <c r="T48" i="6"/>
  <c r="U60" i="8"/>
  <c r="T44" i="6"/>
  <c r="U36" i="5"/>
  <c r="T8" i="6"/>
  <c r="U40" i="5"/>
  <c r="U4" i="8"/>
  <c r="U44" i="5"/>
  <c r="T14" i="6"/>
  <c r="U8" i="8"/>
  <c r="U20" i="5"/>
  <c r="U50" i="8"/>
  <c r="T40" i="7"/>
  <c r="U34" i="8"/>
  <c r="T24" i="6"/>
  <c r="U24" i="8"/>
  <c r="T28" i="7"/>
  <c r="U26" i="8"/>
  <c r="U64" i="5"/>
  <c r="T27" i="22" l="1"/>
  <c r="DA119" i="6"/>
  <c r="DA115" i="6"/>
  <c r="DA117" i="6"/>
  <c r="DA121" i="6"/>
  <c r="DA105" i="6"/>
  <c r="DA107" i="6"/>
  <c r="DA109" i="6"/>
  <c r="DA69" i="6"/>
  <c r="DA71" i="6"/>
  <c r="DA77" i="6"/>
  <c r="DA111" i="6"/>
  <c r="DA65" i="6"/>
  <c r="DA67" i="6"/>
  <c r="DA97" i="6"/>
  <c r="DA99" i="6"/>
  <c r="DA75" i="6"/>
  <c r="DA83" i="6"/>
  <c r="DA101" i="6"/>
  <c r="DA113" i="6"/>
  <c r="DA73" i="6"/>
  <c r="DA123" i="6"/>
  <c r="DA79" i="6"/>
  <c r="DA81" i="6"/>
  <c r="DA103" i="6"/>
  <c r="DA89" i="6"/>
  <c r="DA91" i="6"/>
  <c r="DA85" i="6"/>
  <c r="DA95" i="6"/>
  <c r="DA87" i="6"/>
  <c r="DA93" i="6"/>
  <c r="R53" i="19"/>
  <c r="R53" i="18"/>
  <c r="R53" i="20"/>
  <c r="R58" i="20"/>
  <c r="R58" i="21"/>
  <c r="R58" i="19"/>
  <c r="R58" i="18"/>
  <c r="R53" i="21"/>
  <c r="R58" i="22"/>
  <c r="R53" i="22"/>
  <c r="DA113" i="7"/>
  <c r="U113" i="7" s="1"/>
  <c r="DA111" i="7"/>
  <c r="U111" i="7" s="1"/>
  <c r="DA107" i="7"/>
  <c r="U107" i="7" s="1"/>
  <c r="DA105" i="7"/>
  <c r="U105" i="7" s="1"/>
  <c r="DA109" i="7"/>
  <c r="U109" i="7" s="1"/>
  <c r="DA71" i="7"/>
  <c r="U71" i="7" s="1"/>
  <c r="DA91" i="7"/>
  <c r="U91" i="7" s="1"/>
  <c r="DA65" i="7"/>
  <c r="U65" i="7" s="1"/>
  <c r="DA93" i="7"/>
  <c r="U93" i="7" s="1"/>
  <c r="DA17" i="7"/>
  <c r="U17" i="7" s="1"/>
  <c r="DA89" i="7"/>
  <c r="U89" i="7" s="1"/>
  <c r="DA87" i="7"/>
  <c r="U87" i="7" s="1"/>
  <c r="DA69" i="7"/>
  <c r="U69" i="7" s="1"/>
  <c r="DA67" i="7"/>
  <c r="U67" i="7" s="1"/>
  <c r="DA19" i="7"/>
  <c r="U19" i="7" s="1"/>
  <c r="DA15" i="7"/>
  <c r="U15" i="7" s="1"/>
  <c r="DA21" i="7"/>
  <c r="U21" i="7" s="1"/>
  <c r="DA23" i="7"/>
  <c r="U23" i="7" s="1"/>
  <c r="DA115" i="7"/>
  <c r="U115" i="7" s="1"/>
  <c r="DA31" i="7"/>
  <c r="U31" i="7" s="1"/>
  <c r="DA29" i="7"/>
  <c r="U29" i="7" s="1"/>
  <c r="DA49" i="7"/>
  <c r="U49" i="7" s="1"/>
  <c r="DA85" i="7"/>
  <c r="U85" i="7" s="1"/>
  <c r="DA123" i="7"/>
  <c r="U123" i="7" s="1"/>
  <c r="DA27" i="7"/>
  <c r="U27" i="7" s="1"/>
  <c r="DA47" i="7"/>
  <c r="U47" i="7" s="1"/>
  <c r="DA45" i="7"/>
  <c r="U45" i="7" s="1"/>
  <c r="DA97" i="7"/>
  <c r="U97" i="7" s="1"/>
  <c r="DA73" i="7"/>
  <c r="U73" i="7" s="1"/>
  <c r="DA121" i="7"/>
  <c r="U121" i="7" s="1"/>
  <c r="DA25" i="7"/>
  <c r="U25" i="7" s="1"/>
  <c r="DA53" i="7"/>
  <c r="U53" i="7" s="1"/>
  <c r="DA95" i="7"/>
  <c r="U95" i="7" s="1"/>
  <c r="DA103" i="7"/>
  <c r="U103" i="7" s="1"/>
  <c r="DA77" i="7"/>
  <c r="U77" i="7" s="1"/>
  <c r="DA119" i="7"/>
  <c r="U119" i="7" s="1"/>
  <c r="DA117" i="7"/>
  <c r="U117" i="7" s="1"/>
  <c r="DA79" i="7"/>
  <c r="U79" i="7" s="1"/>
  <c r="DA41" i="7"/>
  <c r="U41" i="7" s="1"/>
  <c r="DA9" i="7"/>
  <c r="U9" i="7" s="1"/>
  <c r="DA33" i="7"/>
  <c r="U33" i="7" s="1"/>
  <c r="DA99" i="7"/>
  <c r="U99" i="7" s="1"/>
  <c r="DA83" i="7"/>
  <c r="U83" i="7" s="1"/>
  <c r="DA39" i="7"/>
  <c r="U39" i="7" s="1"/>
  <c r="DA37" i="7"/>
  <c r="U37" i="7" s="1"/>
  <c r="DA7" i="7"/>
  <c r="U7" i="7" s="1"/>
  <c r="DA5" i="7"/>
  <c r="U5" i="7" s="1"/>
  <c r="DA101" i="7"/>
  <c r="U101" i="7" s="1"/>
  <c r="DA61" i="7"/>
  <c r="U61" i="7" s="1"/>
  <c r="DA51" i="7"/>
  <c r="U51" i="7" s="1"/>
  <c r="DA59" i="7"/>
  <c r="U59" i="7" s="1"/>
  <c r="DA35" i="7"/>
  <c r="U35" i="7" s="1"/>
  <c r="DA13" i="7"/>
  <c r="U13" i="7" s="1"/>
  <c r="DA63" i="7"/>
  <c r="U63" i="7" s="1"/>
  <c r="DA55" i="7"/>
  <c r="U55" i="7" s="1"/>
  <c r="DA75" i="7"/>
  <c r="U75" i="7" s="1"/>
  <c r="DA81" i="7"/>
  <c r="U81" i="7" s="1"/>
  <c r="DA43" i="7"/>
  <c r="U43" i="7" s="1"/>
  <c r="DA11" i="7"/>
  <c r="U11" i="7" s="1"/>
  <c r="DA57" i="7"/>
  <c r="U57" i="7" s="1"/>
  <c r="T29" i="18"/>
  <c r="P54" i="22"/>
  <c r="P59" i="22"/>
  <c r="M54" i="19"/>
  <c r="M59" i="19"/>
  <c r="T31" i="19"/>
  <c r="H54" i="18"/>
  <c r="H59" i="18"/>
  <c r="M54" i="18"/>
  <c r="M59" i="18"/>
  <c r="P54" i="20"/>
  <c r="P59" i="20"/>
  <c r="T31" i="22"/>
  <c r="G59" i="21"/>
  <c r="G54" i="21"/>
  <c r="G54" i="19"/>
  <c r="G59" i="19"/>
  <c r="T35" i="21"/>
  <c r="T33" i="21"/>
  <c r="T33" i="22"/>
  <c r="K59" i="21"/>
  <c r="K54" i="21"/>
  <c r="G54" i="18"/>
  <c r="G59" i="18"/>
  <c r="R59" i="19"/>
  <c r="R54" i="19"/>
  <c r="T29" i="17"/>
  <c r="R59" i="22"/>
  <c r="R54" i="22"/>
  <c r="T29" i="20"/>
  <c r="I54" i="20"/>
  <c r="I59" i="20"/>
  <c r="M54" i="21"/>
  <c r="M59" i="21"/>
  <c r="O54" i="20"/>
  <c r="O59" i="20"/>
  <c r="T33" i="20"/>
  <c r="N59" i="20"/>
  <c r="N54" i="20"/>
  <c r="L59" i="22"/>
  <c r="L54" i="22"/>
  <c r="T36" i="18"/>
  <c r="T34" i="19"/>
  <c r="T34" i="17"/>
  <c r="T32" i="19"/>
  <c r="T34" i="18"/>
  <c r="T38" i="22"/>
  <c r="T30" i="20"/>
  <c r="T38" i="21"/>
  <c r="Q53" i="21"/>
  <c r="Q58" i="21"/>
  <c r="P53" i="21"/>
  <c r="P58" i="21"/>
  <c r="P53" i="20"/>
  <c r="P58" i="20"/>
  <c r="O53" i="21"/>
  <c r="O58" i="21"/>
  <c r="M53" i="19"/>
  <c r="M58" i="19"/>
  <c r="L53" i="18"/>
  <c r="L58" i="18"/>
  <c r="K58" i="19"/>
  <c r="K53" i="19"/>
  <c r="H58" i="18"/>
  <c r="H53" i="18"/>
  <c r="E58" i="20"/>
  <c r="E53" i="20"/>
  <c r="T27" i="17"/>
  <c r="T27" i="19"/>
  <c r="T27" i="20"/>
  <c r="E54" i="19"/>
  <c r="M59" i="22"/>
  <c r="M54" i="22"/>
  <c r="N59" i="19"/>
  <c r="N54" i="19"/>
  <c r="J54" i="21"/>
  <c r="J59" i="21"/>
  <c r="E59" i="19"/>
  <c r="J59" i="18"/>
  <c r="J54" i="18"/>
  <c r="T29" i="22"/>
  <c r="S54" i="20"/>
  <c r="S59" i="20"/>
  <c r="Q54" i="22"/>
  <c r="Q59" i="22"/>
  <c r="H54" i="21"/>
  <c r="H59" i="21"/>
  <c r="F54" i="21"/>
  <c r="F59" i="21"/>
  <c r="T29" i="21"/>
  <c r="Q59" i="20"/>
  <c r="Q54" i="20"/>
  <c r="L54" i="20"/>
  <c r="J59" i="22"/>
  <c r="J54" i="22"/>
  <c r="T33" i="18"/>
  <c r="T35" i="20"/>
  <c r="S59" i="22"/>
  <c r="S54" i="22"/>
  <c r="E54" i="22"/>
  <c r="E59" i="22"/>
  <c r="T29" i="19"/>
  <c r="Q59" i="19"/>
  <c r="Q54" i="19"/>
  <c r="E54" i="20"/>
  <c r="E59" i="20"/>
  <c r="L59" i="19"/>
  <c r="L54" i="19"/>
  <c r="G59" i="22"/>
  <c r="G54" i="22"/>
  <c r="H54" i="22"/>
  <c r="H59" i="22"/>
  <c r="P59" i="21"/>
  <c r="P54" i="21"/>
  <c r="T34" i="22"/>
  <c r="T32" i="21"/>
  <c r="T30" i="21"/>
  <c r="T30" i="19"/>
  <c r="T32" i="22"/>
  <c r="T38" i="18"/>
  <c r="T36" i="19"/>
  <c r="T32" i="17"/>
  <c r="T32" i="18"/>
  <c r="T38" i="20"/>
  <c r="T38" i="19"/>
  <c r="T37" i="20"/>
  <c r="T37" i="19"/>
  <c r="T37" i="22"/>
  <c r="Q53" i="18"/>
  <c r="Q58" i="18"/>
  <c r="Q58" i="20"/>
  <c r="Q53" i="20"/>
  <c r="P58" i="18"/>
  <c r="P53" i="18"/>
  <c r="O58" i="22"/>
  <c r="O53" i="22"/>
  <c r="N53" i="22"/>
  <c r="N58" i="22"/>
  <c r="M53" i="20"/>
  <c r="M58" i="20"/>
  <c r="L53" i="20"/>
  <c r="L58" i="20"/>
  <c r="K53" i="20"/>
  <c r="K58" i="20"/>
  <c r="J58" i="18"/>
  <c r="J53" i="18"/>
  <c r="J53" i="20"/>
  <c r="J58" i="20"/>
  <c r="E53" i="22"/>
  <c r="E58" i="22"/>
  <c r="H58" i="21"/>
  <c r="H53" i="21"/>
  <c r="I53" i="19"/>
  <c r="I58" i="19"/>
  <c r="I53" i="22"/>
  <c r="I58" i="22"/>
  <c r="G58" i="19"/>
  <c r="G53" i="19"/>
  <c r="E58" i="18"/>
  <c r="E53" i="18"/>
  <c r="I58" i="20"/>
  <c r="I53" i="20"/>
  <c r="F53" i="21"/>
  <c r="F58" i="21"/>
  <c r="G58" i="20"/>
  <c r="G53" i="20"/>
  <c r="G58" i="18"/>
  <c r="G53" i="18"/>
  <c r="E53" i="21"/>
  <c r="E58" i="21"/>
  <c r="T27" i="18"/>
  <c r="P54" i="18"/>
  <c r="P59" i="18"/>
  <c r="O59" i="22"/>
  <c r="O54" i="22"/>
  <c r="R59" i="18"/>
  <c r="R54" i="18"/>
  <c r="J59" i="19"/>
  <c r="J54" i="19"/>
  <c r="N54" i="21"/>
  <c r="N59" i="21"/>
  <c r="T31" i="20"/>
  <c r="K54" i="22"/>
  <c r="K59" i="22"/>
  <c r="I54" i="22"/>
  <c r="I59" i="22"/>
  <c r="L59" i="21"/>
  <c r="L54" i="21"/>
  <c r="R59" i="20"/>
  <c r="R54" i="20"/>
  <c r="T35" i="18"/>
  <c r="M54" i="20"/>
  <c r="M59" i="20"/>
  <c r="T33" i="17"/>
  <c r="Q54" i="21"/>
  <c r="Q59" i="21"/>
  <c r="T33" i="19"/>
  <c r="S54" i="21"/>
  <c r="S59" i="21"/>
  <c r="I54" i="21"/>
  <c r="I59" i="21"/>
  <c r="S54" i="18"/>
  <c r="S59" i="18"/>
  <c r="T36" i="20"/>
  <c r="T30" i="17"/>
  <c r="T30" i="18"/>
  <c r="T32" i="20"/>
  <c r="T36" i="21"/>
  <c r="T37" i="17"/>
  <c r="Q53" i="19"/>
  <c r="Q58" i="19"/>
  <c r="Q53" i="22"/>
  <c r="Q58" i="22"/>
  <c r="O53" i="18"/>
  <c r="O58" i="18"/>
  <c r="O53" i="19"/>
  <c r="O58" i="19"/>
  <c r="N53" i="19"/>
  <c r="N58" i="19"/>
  <c r="N58" i="21"/>
  <c r="N53" i="21"/>
  <c r="N58" i="18"/>
  <c r="N53" i="18"/>
  <c r="M53" i="22"/>
  <c r="M58" i="22"/>
  <c r="M53" i="18"/>
  <c r="M58" i="18"/>
  <c r="M53" i="21"/>
  <c r="M58" i="21"/>
  <c r="L58" i="19"/>
  <c r="L53" i="19"/>
  <c r="L58" i="22"/>
  <c r="L53" i="22"/>
  <c r="K58" i="18"/>
  <c r="K53" i="18"/>
  <c r="J58" i="19"/>
  <c r="J53" i="19"/>
  <c r="J58" i="22"/>
  <c r="J53" i="22"/>
  <c r="H58" i="19"/>
  <c r="H53" i="19"/>
  <c r="F58" i="19"/>
  <c r="F53" i="19"/>
  <c r="H58" i="20"/>
  <c r="H53" i="20"/>
  <c r="F53" i="18"/>
  <c r="F58" i="18"/>
  <c r="I58" i="18"/>
  <c r="I53" i="18"/>
  <c r="F53" i="20"/>
  <c r="F58" i="20"/>
  <c r="G53" i="22"/>
  <c r="G58" i="22"/>
  <c r="T27" i="21"/>
  <c r="I54" i="19"/>
  <c r="I59" i="19"/>
  <c r="O54" i="19"/>
  <c r="O59" i="19"/>
  <c r="K59" i="19"/>
  <c r="K54" i="19"/>
  <c r="I54" i="18"/>
  <c r="I59" i="18"/>
  <c r="H59" i="20"/>
  <c r="H54" i="20"/>
  <c r="G54" i="20"/>
  <c r="G59" i="20"/>
  <c r="T35" i="19"/>
  <c r="H59" i="19"/>
  <c r="H54" i="19"/>
  <c r="K54" i="20"/>
  <c r="K59" i="20"/>
  <c r="N54" i="22"/>
  <c r="N59" i="22"/>
  <c r="J54" i="20"/>
  <c r="J59" i="20"/>
  <c r="T35" i="17"/>
  <c r="O59" i="21"/>
  <c r="O54" i="21"/>
  <c r="F59" i="20"/>
  <c r="F54" i="20"/>
  <c r="S54" i="19"/>
  <c r="S59" i="19"/>
  <c r="F59" i="22"/>
  <c r="F54" i="22"/>
  <c r="T31" i="18"/>
  <c r="L59" i="20"/>
  <c r="N54" i="18"/>
  <c r="N59" i="18"/>
  <c r="P59" i="19"/>
  <c r="P54" i="19"/>
  <c r="K59" i="18"/>
  <c r="K54" i="18"/>
  <c r="R54" i="21"/>
  <c r="R59" i="21"/>
  <c r="F59" i="18"/>
  <c r="F54" i="18"/>
  <c r="O54" i="18"/>
  <c r="O59" i="18"/>
  <c r="L54" i="18"/>
  <c r="L59" i="18"/>
  <c r="T35" i="22"/>
  <c r="E54" i="21"/>
  <c r="E59" i="21"/>
  <c r="F59" i="19"/>
  <c r="F54" i="19"/>
  <c r="Q59" i="18"/>
  <c r="Q54" i="18"/>
  <c r="T31" i="17"/>
  <c r="T31" i="21"/>
  <c r="E59" i="18"/>
  <c r="E54" i="18"/>
  <c r="T34" i="20"/>
  <c r="T34" i="21"/>
  <c r="T30" i="22"/>
  <c r="T38" i="17"/>
  <c r="T36" i="17"/>
  <c r="T36" i="22"/>
  <c r="T37" i="18"/>
  <c r="T37" i="21"/>
  <c r="P58" i="19"/>
  <c r="P53" i="19"/>
  <c r="P53" i="22"/>
  <c r="P58" i="22"/>
  <c r="O53" i="20"/>
  <c r="O58" i="20"/>
  <c r="N58" i="20"/>
  <c r="N53" i="20"/>
  <c r="L58" i="21"/>
  <c r="L53" i="21"/>
  <c r="K53" i="22"/>
  <c r="K58" i="22"/>
  <c r="K58" i="21"/>
  <c r="K53" i="21"/>
  <c r="J53" i="21"/>
  <c r="J58" i="21"/>
  <c r="G53" i="21"/>
  <c r="G58" i="21"/>
  <c r="F58" i="22"/>
  <c r="F53" i="22"/>
  <c r="I53" i="21"/>
  <c r="I58" i="21"/>
  <c r="E58" i="19"/>
  <c r="E53" i="19"/>
  <c r="H53" i="22"/>
  <c r="H58" i="22"/>
  <c r="U33" i="8"/>
  <c r="U43" i="8"/>
  <c r="U113" i="8"/>
  <c r="U105" i="8"/>
  <c r="U119" i="8"/>
  <c r="U115" i="8"/>
  <c r="U117" i="8"/>
  <c r="U121" i="8"/>
  <c r="T33" i="6"/>
  <c r="T28" i="19" s="1"/>
  <c r="U13" i="8"/>
  <c r="U95" i="8"/>
  <c r="U53" i="5"/>
  <c r="T63" i="6"/>
  <c r="T28" i="22" s="1"/>
  <c r="T43" i="6"/>
  <c r="T28" i="20" s="1"/>
  <c r="T53" i="6"/>
  <c r="T28" i="21" s="1"/>
  <c r="U111" i="8"/>
  <c r="U53" i="8"/>
  <c r="U103" i="8"/>
  <c r="U101" i="8"/>
  <c r="U63" i="5"/>
  <c r="U23" i="8"/>
  <c r="U123" i="8"/>
  <c r="U43" i="5"/>
  <c r="U107" i="8"/>
  <c r="U63" i="8"/>
  <c r="U109" i="8"/>
  <c r="U97" i="8"/>
  <c r="U99" i="8"/>
  <c r="U33" i="5"/>
  <c r="T28" i="18"/>
  <c r="T28" i="17"/>
  <c r="T20" i="18"/>
  <c r="T20" i="17"/>
  <c r="T24" i="18"/>
  <c r="T24" i="17"/>
  <c r="T26" i="18"/>
  <c r="T26" i="17"/>
  <c r="T24" i="20"/>
  <c r="T22" i="21"/>
  <c r="T26" i="22"/>
  <c r="S53" i="21"/>
  <c r="S58" i="21"/>
  <c r="S58" i="20"/>
  <c r="S53" i="20"/>
  <c r="T52" i="19"/>
  <c r="T57" i="19"/>
  <c r="S58" i="18"/>
  <c r="S53" i="18"/>
  <c r="T20" i="19"/>
  <c r="T22" i="19"/>
  <c r="T22" i="20"/>
  <c r="T26" i="21"/>
  <c r="T60" i="18"/>
  <c r="T55" i="19"/>
  <c r="T60" i="19"/>
  <c r="T55" i="21"/>
  <c r="T60" i="21"/>
  <c r="T57" i="21"/>
  <c r="T52" i="21"/>
  <c r="T55" i="20"/>
  <c r="T60" i="20"/>
  <c r="S53" i="19"/>
  <c r="S58" i="19"/>
  <c r="T57" i="18"/>
  <c r="T26" i="20"/>
  <c r="T24" i="19"/>
  <c r="T20" i="20"/>
  <c r="T20" i="21"/>
  <c r="T24" i="22"/>
  <c r="T24" i="21"/>
  <c r="T57" i="22"/>
  <c r="T52" i="22"/>
  <c r="T55" i="22"/>
  <c r="T60" i="22"/>
  <c r="T57" i="20"/>
  <c r="T52" i="20"/>
  <c r="T52" i="18"/>
  <c r="T55" i="18"/>
  <c r="S58" i="22"/>
  <c r="S53" i="22"/>
  <c r="T22" i="18"/>
  <c r="T22" i="17"/>
  <c r="T20" i="22"/>
  <c r="T26" i="19"/>
  <c r="T22" i="22"/>
  <c r="W3" i="5"/>
  <c r="DB105" i="5"/>
  <c r="V105" i="5" s="1"/>
  <c r="DB71" i="5"/>
  <c r="V71" i="5" s="1"/>
  <c r="DB67" i="5"/>
  <c r="V67" i="5" s="1"/>
  <c r="DB83" i="5"/>
  <c r="V83" i="5" s="1"/>
  <c r="DB79" i="5"/>
  <c r="V79" i="5" s="1"/>
  <c r="DB111" i="5"/>
  <c r="V111" i="5" s="1"/>
  <c r="DB113" i="5"/>
  <c r="V113" i="5" s="1"/>
  <c r="DB109" i="5"/>
  <c r="V109" i="5" s="1"/>
  <c r="DB107" i="5"/>
  <c r="V107" i="5" s="1"/>
  <c r="DB73" i="5"/>
  <c r="V73" i="5" s="1"/>
  <c r="DB69" i="5"/>
  <c r="V69" i="5" s="1"/>
  <c r="DB65" i="5"/>
  <c r="V65" i="5" s="1"/>
  <c r="DB29" i="5"/>
  <c r="V29" i="5" s="1"/>
  <c r="DB11" i="5"/>
  <c r="V11" i="5" s="1"/>
  <c r="DB35" i="5"/>
  <c r="V35" i="5" s="1"/>
  <c r="DB31" i="5"/>
  <c r="V31" i="5" s="1"/>
  <c r="DB63" i="5"/>
  <c r="DB59" i="5"/>
  <c r="V59" i="5" s="1"/>
  <c r="DB55" i="5"/>
  <c r="V55" i="5" s="1"/>
  <c r="DB21" i="5"/>
  <c r="V21" i="5" s="1"/>
  <c r="DB75" i="5"/>
  <c r="V75" i="5" s="1"/>
  <c r="DB81" i="5"/>
  <c r="V81" i="5" s="1"/>
  <c r="DB77" i="5"/>
  <c r="V77" i="5" s="1"/>
  <c r="DB27" i="5"/>
  <c r="V27" i="5" s="1"/>
  <c r="DB25" i="5"/>
  <c r="V25" i="5" s="1"/>
  <c r="DB7" i="5"/>
  <c r="V7" i="5" s="1"/>
  <c r="DB5" i="5"/>
  <c r="V5" i="5" s="1"/>
  <c r="DB43" i="5"/>
  <c r="DB103" i="5"/>
  <c r="V103" i="5" s="1"/>
  <c r="DB99" i="5"/>
  <c r="V99" i="5" s="1"/>
  <c r="DB95" i="5"/>
  <c r="V95" i="5" s="1"/>
  <c r="DB115" i="5"/>
  <c r="V115" i="5" s="1"/>
  <c r="DB53" i="5"/>
  <c r="DB49" i="5"/>
  <c r="V49" i="5" s="1"/>
  <c r="DB45" i="5"/>
  <c r="V45" i="5" s="1"/>
  <c r="DB123" i="5"/>
  <c r="V123" i="5" s="1"/>
  <c r="DB61" i="5"/>
  <c r="V61" i="5" s="1"/>
  <c r="DB57" i="5"/>
  <c r="V57" i="5" s="1"/>
  <c r="DB33" i="5"/>
  <c r="DB41" i="5"/>
  <c r="V41" i="5" s="1"/>
  <c r="DB37" i="5"/>
  <c r="V37" i="5" s="1"/>
  <c r="DB23" i="5"/>
  <c r="V23" i="5" s="1"/>
  <c r="DB19" i="5"/>
  <c r="V19" i="5" s="1"/>
  <c r="DB15" i="5"/>
  <c r="V15" i="5" s="1"/>
  <c r="DB17" i="5"/>
  <c r="V17" i="5" s="1"/>
  <c r="DB101" i="5"/>
  <c r="V101" i="5" s="1"/>
  <c r="DB97" i="5"/>
  <c r="V97" i="5" s="1"/>
  <c r="DB117" i="5"/>
  <c r="V117" i="5" s="1"/>
  <c r="DB51" i="5"/>
  <c r="V51" i="5" s="1"/>
  <c r="DB47" i="5"/>
  <c r="V47" i="5" s="1"/>
  <c r="DB9" i="5"/>
  <c r="V9" i="5" s="1"/>
  <c r="DB13" i="5"/>
  <c r="V13" i="5" s="1"/>
  <c r="DB39" i="5"/>
  <c r="V39" i="5" s="1"/>
  <c r="DB119" i="5"/>
  <c r="V119" i="5" s="1"/>
  <c r="DB91" i="5"/>
  <c r="V91" i="5" s="1"/>
  <c r="DB87" i="5"/>
  <c r="V87" i="5" s="1"/>
  <c r="DB121" i="5"/>
  <c r="V121" i="5" s="1"/>
  <c r="DB93" i="5"/>
  <c r="V93" i="5" s="1"/>
  <c r="DB89" i="5"/>
  <c r="V89" i="5" s="1"/>
  <c r="DB85" i="5"/>
  <c r="V85" i="5" s="1"/>
  <c r="DB119" i="8"/>
  <c r="DB101" i="8"/>
  <c r="DB103" i="8"/>
  <c r="DB97" i="8"/>
  <c r="DB95" i="8"/>
  <c r="DB117" i="8"/>
  <c r="DB121" i="8"/>
  <c r="DB99" i="8"/>
  <c r="DB115" i="8"/>
  <c r="DB123" i="8"/>
  <c r="DB51" i="8"/>
  <c r="V51" i="8" s="1"/>
  <c r="DB39" i="8"/>
  <c r="V39" i="8" s="1"/>
  <c r="DB89" i="8"/>
  <c r="V89" i="8" s="1"/>
  <c r="DB91" i="8"/>
  <c r="V91" i="8" s="1"/>
  <c r="DB107" i="8"/>
  <c r="DB111" i="8"/>
  <c r="DB105" i="8"/>
  <c r="DB19" i="8"/>
  <c r="V19" i="8" s="1"/>
  <c r="DB13" i="8"/>
  <c r="DB79" i="8"/>
  <c r="V79" i="8" s="1"/>
  <c r="DB75" i="8"/>
  <c r="V75" i="8" s="1"/>
  <c r="DB47" i="8"/>
  <c r="V47" i="8" s="1"/>
  <c r="DB49" i="8"/>
  <c r="V49" i="8" s="1"/>
  <c r="DB35" i="8"/>
  <c r="V35" i="8" s="1"/>
  <c r="DB41" i="8"/>
  <c r="V41" i="8" s="1"/>
  <c r="DB43" i="8"/>
  <c r="DB87" i="8"/>
  <c r="V87" i="8" s="1"/>
  <c r="DB17" i="8"/>
  <c r="V17" i="8" s="1"/>
  <c r="DB37" i="8"/>
  <c r="V37" i="8" s="1"/>
  <c r="DB85" i="8"/>
  <c r="V85" i="8" s="1"/>
  <c r="DB15" i="8"/>
  <c r="V15" i="8" s="1"/>
  <c r="DB45" i="8"/>
  <c r="V45" i="8" s="1"/>
  <c r="DB53" i="8"/>
  <c r="DB93" i="8"/>
  <c r="V93" i="8" s="1"/>
  <c r="DB109" i="8"/>
  <c r="DB113" i="8"/>
  <c r="DB23" i="8"/>
  <c r="DB21" i="8"/>
  <c r="V21" i="8" s="1"/>
  <c r="DB73" i="8"/>
  <c r="V73" i="8" s="1"/>
  <c r="DB71" i="8"/>
  <c r="V71" i="8" s="1"/>
  <c r="DB67" i="8"/>
  <c r="V67" i="8" s="1"/>
  <c r="DB65" i="8"/>
  <c r="V65" i="8" s="1"/>
  <c r="DB63" i="8"/>
  <c r="DB11" i="8"/>
  <c r="V11" i="8" s="1"/>
  <c r="DB9" i="8"/>
  <c r="V9" i="8" s="1"/>
  <c r="DB81" i="8"/>
  <c r="V81" i="8" s="1"/>
  <c r="DB31" i="8"/>
  <c r="V31" i="8" s="1"/>
  <c r="DB59" i="8"/>
  <c r="V59" i="8" s="1"/>
  <c r="DB61" i="8"/>
  <c r="V61" i="8" s="1"/>
  <c r="DB83" i="8"/>
  <c r="V83" i="8" s="1"/>
  <c r="DB25" i="8"/>
  <c r="V25" i="8" s="1"/>
  <c r="DB55" i="8"/>
  <c r="V55" i="8" s="1"/>
  <c r="DB7" i="8"/>
  <c r="V7" i="8" s="1"/>
  <c r="DB29" i="8"/>
  <c r="V29" i="8" s="1"/>
  <c r="DB33" i="8"/>
  <c r="DB69" i="8"/>
  <c r="V69" i="8" s="1"/>
  <c r="DB57" i="8"/>
  <c r="V57" i="8" s="1"/>
  <c r="DB5" i="8"/>
  <c r="V5" i="8" s="1"/>
  <c r="DB27" i="8"/>
  <c r="V27" i="8" s="1"/>
  <c r="DB77" i="8"/>
  <c r="V77" i="8" s="1"/>
  <c r="DA59" i="6"/>
  <c r="U59" i="6" s="1"/>
  <c r="DA51" i="6"/>
  <c r="U51" i="6" s="1"/>
  <c r="DA61" i="6"/>
  <c r="U61" i="6" s="1"/>
  <c r="DA53" i="6"/>
  <c r="DA63" i="6"/>
  <c r="DA55" i="6"/>
  <c r="U55" i="6" s="1"/>
  <c r="DA47" i="6"/>
  <c r="U47" i="6" s="1"/>
  <c r="DA39" i="6"/>
  <c r="U39" i="6" s="1"/>
  <c r="DA45" i="6"/>
  <c r="U45" i="6" s="1"/>
  <c r="DA29" i="6"/>
  <c r="U29" i="6" s="1"/>
  <c r="DA21" i="6"/>
  <c r="U21" i="6" s="1"/>
  <c r="DA13" i="6"/>
  <c r="U13" i="6" s="1"/>
  <c r="DA49" i="6"/>
  <c r="U49" i="6" s="1"/>
  <c r="DA31" i="6"/>
  <c r="U31" i="6" s="1"/>
  <c r="DA23" i="6"/>
  <c r="U23" i="6" s="1"/>
  <c r="DA15" i="6"/>
  <c r="U15" i="6" s="1"/>
  <c r="DA41" i="6"/>
  <c r="U41" i="6" s="1"/>
  <c r="DA37" i="6"/>
  <c r="U37" i="6" s="1"/>
  <c r="DA33" i="6"/>
  <c r="DA25" i="6"/>
  <c r="U25" i="6" s="1"/>
  <c r="DA17" i="6"/>
  <c r="U17" i="6" s="1"/>
  <c r="DA9" i="6"/>
  <c r="U9" i="6" s="1"/>
  <c r="DA5" i="6"/>
  <c r="U5" i="6" s="1"/>
  <c r="DA27" i="6"/>
  <c r="U27" i="6" s="1"/>
  <c r="DA7" i="6"/>
  <c r="U7" i="6" s="1"/>
  <c r="DA35" i="6"/>
  <c r="U35" i="6" s="1"/>
  <c r="DA57" i="6"/>
  <c r="U57" i="6" s="1"/>
  <c r="DA43" i="6"/>
  <c r="DA19" i="6"/>
  <c r="U19" i="6" s="1"/>
  <c r="DA11" i="6"/>
  <c r="U11" i="6" s="1"/>
  <c r="W3" i="8"/>
  <c r="V3" i="7"/>
  <c r="V3" i="6"/>
  <c r="U106" i="8"/>
  <c r="U110" i="7"/>
  <c r="V108" i="5"/>
  <c r="U16" i="7"/>
  <c r="V26" i="8"/>
  <c r="U46" i="7"/>
  <c r="U18" i="7"/>
  <c r="V56" i="8"/>
  <c r="U34" i="6"/>
  <c r="U46" i="6"/>
  <c r="U36" i="6"/>
  <c r="V16" i="8"/>
  <c r="U4" i="7"/>
  <c r="V36" i="8"/>
  <c r="U24" i="7"/>
  <c r="U14" i="6"/>
  <c r="V24" i="5"/>
  <c r="U36" i="7"/>
  <c r="V60" i="8"/>
  <c r="V10" i="8"/>
  <c r="V16" i="5"/>
  <c r="V8" i="5"/>
  <c r="V28" i="5"/>
  <c r="V60" i="5"/>
  <c r="V40" i="5"/>
  <c r="U16" i="6"/>
  <c r="V104" i="5"/>
  <c r="V110" i="5"/>
  <c r="U104" i="8"/>
  <c r="U104" i="7"/>
  <c r="U38" i="7"/>
  <c r="V6" i="5"/>
  <c r="V48" i="8"/>
  <c r="V18" i="8"/>
  <c r="U18" i="6"/>
  <c r="V50" i="5"/>
  <c r="V44" i="5"/>
  <c r="U48" i="7"/>
  <c r="U54" i="7"/>
  <c r="V6" i="8"/>
  <c r="V70" i="5"/>
  <c r="U10" i="6"/>
  <c r="V20" i="5"/>
  <c r="V30" i="5"/>
  <c r="V34" i="5"/>
  <c r="U26" i="6"/>
  <c r="V36" i="5"/>
  <c r="V106" i="5"/>
  <c r="U108" i="7"/>
  <c r="U110" i="8"/>
  <c r="U44" i="7"/>
  <c r="V74" i="5"/>
  <c r="U34" i="7"/>
  <c r="V14" i="5"/>
  <c r="U4" i="6"/>
  <c r="V24" i="8"/>
  <c r="V18" i="5"/>
  <c r="U6" i="6"/>
  <c r="V50" i="8"/>
  <c r="V58" i="8"/>
  <c r="U40" i="7"/>
  <c r="V44" i="8"/>
  <c r="V58" i="5"/>
  <c r="V4" i="8"/>
  <c r="U8" i="6"/>
  <c r="U50" i="7"/>
  <c r="V54" i="8"/>
  <c r="U20" i="7"/>
  <c r="V10" i="5"/>
  <c r="U58" i="7"/>
  <c r="U60" i="7"/>
  <c r="V34" i="8"/>
  <c r="U106" i="7"/>
  <c r="U108" i="8"/>
  <c r="U38" i="6"/>
  <c r="V66" i="5"/>
  <c r="U60" i="6"/>
  <c r="V38" i="5"/>
  <c r="U44" i="6"/>
  <c r="U6" i="7"/>
  <c r="U30" i="7"/>
  <c r="U54" i="6"/>
  <c r="V4" i="5"/>
  <c r="V48" i="5"/>
  <c r="V26" i="5"/>
  <c r="U56" i="6"/>
  <c r="U48" i="6"/>
  <c r="V14" i="8"/>
  <c r="V20" i="8"/>
  <c r="V64" i="5"/>
  <c r="U8" i="7"/>
  <c r="V38" i="8"/>
  <c r="V46" i="5"/>
  <c r="U30" i="6"/>
  <c r="U20" i="6"/>
  <c r="U24" i="6"/>
  <c r="V28" i="8"/>
  <c r="U58" i="6"/>
  <c r="V8" i="8"/>
  <c r="U14" i="7"/>
  <c r="U50" i="6"/>
  <c r="V40" i="8"/>
  <c r="U56" i="7"/>
  <c r="V46" i="8"/>
  <c r="U28" i="6"/>
  <c r="V56" i="5"/>
  <c r="V54" i="5"/>
  <c r="U10" i="7"/>
  <c r="U28" i="7"/>
  <c r="U26" i="7"/>
  <c r="U40" i="6"/>
  <c r="V68" i="5"/>
  <c r="V30" i="8"/>
  <c r="DB105" i="6" l="1"/>
  <c r="DB107" i="6"/>
  <c r="DB115" i="6"/>
  <c r="DB117" i="6"/>
  <c r="DB119" i="6"/>
  <c r="DB121" i="6"/>
  <c r="DB111" i="6"/>
  <c r="DB69" i="6"/>
  <c r="DB123" i="6"/>
  <c r="DB73" i="6"/>
  <c r="DB77" i="6"/>
  <c r="DB79" i="6"/>
  <c r="DB113" i="6"/>
  <c r="DB65" i="6"/>
  <c r="DB99" i="6"/>
  <c r="DB101" i="6"/>
  <c r="DB109" i="6"/>
  <c r="DB75" i="6"/>
  <c r="DB95" i="6"/>
  <c r="DB67" i="6"/>
  <c r="DB81" i="6"/>
  <c r="DB97" i="6"/>
  <c r="DB91" i="6"/>
  <c r="DB71" i="6"/>
  <c r="DB103" i="6"/>
  <c r="DB85" i="6"/>
  <c r="DB87" i="6"/>
  <c r="DB93" i="6"/>
  <c r="DB83" i="6"/>
  <c r="DB89" i="6"/>
  <c r="DB105" i="7"/>
  <c r="V105" i="7" s="1"/>
  <c r="DB111" i="7"/>
  <c r="DB109" i="7"/>
  <c r="V109" i="7" s="1"/>
  <c r="DB107" i="7"/>
  <c r="V107" i="7" s="1"/>
  <c r="DB113" i="7"/>
  <c r="V113" i="7" s="1"/>
  <c r="V111" i="7"/>
  <c r="DB73" i="7"/>
  <c r="V73" i="7" s="1"/>
  <c r="DB65" i="7"/>
  <c r="V65" i="7" s="1"/>
  <c r="DB85" i="7"/>
  <c r="V85" i="7" s="1"/>
  <c r="DB93" i="7"/>
  <c r="V93" i="7" s="1"/>
  <c r="DB21" i="7"/>
  <c r="V21" i="7" s="1"/>
  <c r="DB69" i="7"/>
  <c r="V69" i="7" s="1"/>
  <c r="DB23" i="7"/>
  <c r="V23" i="7" s="1"/>
  <c r="DB87" i="7"/>
  <c r="V87" i="7" s="1"/>
  <c r="DB19" i="7"/>
  <c r="V19" i="7" s="1"/>
  <c r="DB17" i="7"/>
  <c r="V17" i="7" s="1"/>
  <c r="DB91" i="7"/>
  <c r="V91" i="7" s="1"/>
  <c r="DB67" i="7"/>
  <c r="V67" i="7" s="1"/>
  <c r="DB15" i="7"/>
  <c r="V15" i="7" s="1"/>
  <c r="DB89" i="7"/>
  <c r="V89" i="7" s="1"/>
  <c r="DB117" i="7"/>
  <c r="V117" i="7" s="1"/>
  <c r="DB33" i="7"/>
  <c r="DB31" i="7"/>
  <c r="V31" i="7" s="1"/>
  <c r="DB51" i="7"/>
  <c r="V51" i="7" s="1"/>
  <c r="DB115" i="7"/>
  <c r="V115" i="7" s="1"/>
  <c r="DB29" i="7"/>
  <c r="V29" i="7" s="1"/>
  <c r="DB49" i="7"/>
  <c r="V49" i="7" s="1"/>
  <c r="DB47" i="7"/>
  <c r="V47" i="7" s="1"/>
  <c r="DB95" i="7"/>
  <c r="V95" i="7" s="1"/>
  <c r="DB99" i="7"/>
  <c r="V99" i="7" s="1"/>
  <c r="DB123" i="7"/>
  <c r="V123" i="7" s="1"/>
  <c r="DB27" i="7"/>
  <c r="V27" i="7" s="1"/>
  <c r="DB45" i="7"/>
  <c r="V45" i="7" s="1"/>
  <c r="DB97" i="7"/>
  <c r="V97" i="7" s="1"/>
  <c r="DB71" i="7"/>
  <c r="V71" i="7" s="1"/>
  <c r="DB25" i="7"/>
  <c r="V25" i="7" s="1"/>
  <c r="DB79" i="7"/>
  <c r="V79" i="7" s="1"/>
  <c r="DB53" i="7"/>
  <c r="V53" i="7" s="1"/>
  <c r="DB101" i="7"/>
  <c r="V101" i="7" s="1"/>
  <c r="DB75" i="7"/>
  <c r="V75" i="7" s="1"/>
  <c r="DB77" i="7"/>
  <c r="V77" i="7" s="1"/>
  <c r="DB43" i="7"/>
  <c r="V43" i="7" s="1"/>
  <c r="DB11" i="7"/>
  <c r="V11" i="7" s="1"/>
  <c r="DB83" i="7"/>
  <c r="V83" i="7" s="1"/>
  <c r="DB41" i="7"/>
  <c r="V41" i="7" s="1"/>
  <c r="DB39" i="7"/>
  <c r="V39" i="7" s="1"/>
  <c r="DB9" i="7"/>
  <c r="V9" i="7" s="1"/>
  <c r="DB7" i="7"/>
  <c r="V7" i="7" s="1"/>
  <c r="DB121" i="7"/>
  <c r="V121" i="7" s="1"/>
  <c r="DB119" i="7"/>
  <c r="V119" i="7" s="1"/>
  <c r="DB57" i="7"/>
  <c r="V57" i="7" s="1"/>
  <c r="DB59" i="7"/>
  <c r="V59" i="7" s="1"/>
  <c r="DB103" i="7"/>
  <c r="V103" i="7" s="1"/>
  <c r="DB81" i="7"/>
  <c r="V81" i="7" s="1"/>
  <c r="DB37" i="7"/>
  <c r="V37" i="7" s="1"/>
  <c r="DB5" i="7"/>
  <c r="V5" i="7" s="1"/>
  <c r="DB63" i="7"/>
  <c r="V63" i="7" s="1"/>
  <c r="DB55" i="7"/>
  <c r="V55" i="7" s="1"/>
  <c r="DB35" i="7"/>
  <c r="V35" i="7" s="1"/>
  <c r="DB13" i="7"/>
  <c r="V13" i="7" s="1"/>
  <c r="DB61" i="7"/>
  <c r="V61" i="7" s="1"/>
  <c r="V33" i="7"/>
  <c r="T59" i="19"/>
  <c r="T54" i="19"/>
  <c r="T54" i="22"/>
  <c r="T59" i="22"/>
  <c r="T59" i="20"/>
  <c r="T54" i="20"/>
  <c r="T54" i="21"/>
  <c r="T59" i="21"/>
  <c r="T59" i="18"/>
  <c r="T54" i="18"/>
  <c r="V53" i="8"/>
  <c r="V95" i="8"/>
  <c r="V53" i="5"/>
  <c r="V23" i="8"/>
  <c r="V105" i="8"/>
  <c r="V115" i="8"/>
  <c r="V119" i="8"/>
  <c r="V63" i="5"/>
  <c r="U43" i="6"/>
  <c r="V113" i="8"/>
  <c r="V111" i="8"/>
  <c r="V99" i="8"/>
  <c r="V97" i="8"/>
  <c r="V43" i="5"/>
  <c r="V33" i="8"/>
  <c r="V63" i="8"/>
  <c r="V109" i="8"/>
  <c r="V13" i="8"/>
  <c r="V107" i="8"/>
  <c r="V121" i="8"/>
  <c r="V103" i="8"/>
  <c r="V33" i="5"/>
  <c r="U53" i="6"/>
  <c r="U33" i="6"/>
  <c r="U63" i="6"/>
  <c r="V43" i="8"/>
  <c r="V123" i="8"/>
  <c r="V117" i="8"/>
  <c r="V101" i="8"/>
  <c r="X3" i="5"/>
  <c r="DC105" i="5"/>
  <c r="W105" i="5" s="1"/>
  <c r="DC69" i="5"/>
  <c r="W69" i="5" s="1"/>
  <c r="DC109" i="5"/>
  <c r="W109" i="5" s="1"/>
  <c r="DC67" i="5"/>
  <c r="W67" i="5" s="1"/>
  <c r="DC73" i="5"/>
  <c r="W73" i="5" s="1"/>
  <c r="DC75" i="5"/>
  <c r="W75" i="5" s="1"/>
  <c r="DC113" i="5"/>
  <c r="W113" i="5" s="1"/>
  <c r="DC107" i="5"/>
  <c r="W107" i="5" s="1"/>
  <c r="DC111" i="5"/>
  <c r="W111" i="5" s="1"/>
  <c r="DC65" i="5"/>
  <c r="W65" i="5" s="1"/>
  <c r="DC83" i="5"/>
  <c r="W83" i="5" s="1"/>
  <c r="DC33" i="5"/>
  <c r="DC57" i="5"/>
  <c r="W57" i="5" s="1"/>
  <c r="DC63" i="5"/>
  <c r="DC5" i="5"/>
  <c r="W5" i="5" s="1"/>
  <c r="DC7" i="5"/>
  <c r="W7" i="5" s="1"/>
  <c r="DC11" i="5"/>
  <c r="W11" i="5" s="1"/>
  <c r="DC39" i="5"/>
  <c r="W39" i="5" s="1"/>
  <c r="DC37" i="5"/>
  <c r="W37" i="5" s="1"/>
  <c r="DC97" i="5"/>
  <c r="W97" i="5" s="1"/>
  <c r="DC103" i="5"/>
  <c r="W103" i="5" s="1"/>
  <c r="DC27" i="5"/>
  <c r="W27" i="5" s="1"/>
  <c r="DC61" i="5"/>
  <c r="W61" i="5" s="1"/>
  <c r="DC13" i="5"/>
  <c r="W13" i="5" s="1"/>
  <c r="DC9" i="5"/>
  <c r="W9" i="5" s="1"/>
  <c r="DC43" i="5"/>
  <c r="DC41" i="5"/>
  <c r="W41" i="5" s="1"/>
  <c r="DC19" i="5"/>
  <c r="W19" i="5" s="1"/>
  <c r="DC17" i="5"/>
  <c r="W17" i="5" s="1"/>
  <c r="DC101" i="5"/>
  <c r="W101" i="5" s="1"/>
  <c r="DC79" i="5"/>
  <c r="W79" i="5" s="1"/>
  <c r="DC81" i="5"/>
  <c r="W81" i="5" s="1"/>
  <c r="DC25" i="5"/>
  <c r="W25" i="5" s="1"/>
  <c r="DC31" i="5"/>
  <c r="W31" i="5" s="1"/>
  <c r="DC55" i="5"/>
  <c r="W55" i="5" s="1"/>
  <c r="DC23" i="5"/>
  <c r="W23" i="5" s="1"/>
  <c r="DC21" i="5"/>
  <c r="W21" i="5" s="1"/>
  <c r="DC95" i="5"/>
  <c r="W95" i="5" s="1"/>
  <c r="DC99" i="5"/>
  <c r="W99" i="5" s="1"/>
  <c r="DC51" i="5"/>
  <c r="W51" i="5" s="1"/>
  <c r="DC93" i="5"/>
  <c r="W93" i="5" s="1"/>
  <c r="DC87" i="5"/>
  <c r="W87" i="5" s="1"/>
  <c r="DC71" i="5"/>
  <c r="W71" i="5" s="1"/>
  <c r="DC77" i="5"/>
  <c r="W77" i="5" s="1"/>
  <c r="DC15" i="5"/>
  <c r="W15" i="5" s="1"/>
  <c r="DC117" i="5"/>
  <c r="W117" i="5" s="1"/>
  <c r="DC123" i="5"/>
  <c r="W123" i="5" s="1"/>
  <c r="DC49" i="5"/>
  <c r="W49" i="5" s="1"/>
  <c r="DC85" i="5"/>
  <c r="W85" i="5" s="1"/>
  <c r="DC29" i="5"/>
  <c r="W29" i="5" s="1"/>
  <c r="DC59" i="5"/>
  <c r="W59" i="5" s="1"/>
  <c r="DC121" i="5"/>
  <c r="W121" i="5" s="1"/>
  <c r="DC119" i="5"/>
  <c r="W119" i="5" s="1"/>
  <c r="DC115" i="5"/>
  <c r="W115" i="5" s="1"/>
  <c r="DC53" i="5"/>
  <c r="DC47" i="5"/>
  <c r="W47" i="5" s="1"/>
  <c r="DC89" i="5"/>
  <c r="W89" i="5" s="1"/>
  <c r="DC35" i="5"/>
  <c r="W35" i="5" s="1"/>
  <c r="DC45" i="5"/>
  <c r="W45" i="5" s="1"/>
  <c r="DC91" i="5"/>
  <c r="W91" i="5" s="1"/>
  <c r="DC97" i="8"/>
  <c r="DC95" i="8"/>
  <c r="DC123" i="8"/>
  <c r="DC121" i="8"/>
  <c r="DC103" i="8"/>
  <c r="DC99" i="8"/>
  <c r="DC119" i="8"/>
  <c r="DC115" i="8"/>
  <c r="DC101" i="8"/>
  <c r="DC117" i="8"/>
  <c r="DC41" i="8"/>
  <c r="W41" i="8" s="1"/>
  <c r="DC39" i="8"/>
  <c r="W39" i="8" s="1"/>
  <c r="DC35" i="8"/>
  <c r="W35" i="8" s="1"/>
  <c r="DC91" i="8"/>
  <c r="W91" i="8" s="1"/>
  <c r="DC85" i="8"/>
  <c r="W85" i="8" s="1"/>
  <c r="DC109" i="8"/>
  <c r="DC105" i="8"/>
  <c r="DC113" i="8"/>
  <c r="DC21" i="8"/>
  <c r="W21" i="8" s="1"/>
  <c r="DC59" i="8"/>
  <c r="W59" i="8" s="1"/>
  <c r="DC61" i="8"/>
  <c r="W61" i="8" s="1"/>
  <c r="DC81" i="8"/>
  <c r="W81" i="8" s="1"/>
  <c r="DC49" i="8"/>
  <c r="W49" i="8" s="1"/>
  <c r="DC47" i="8"/>
  <c r="W47" i="8" s="1"/>
  <c r="DC89" i="8"/>
  <c r="W89" i="8" s="1"/>
  <c r="DC19" i="8"/>
  <c r="W19" i="8" s="1"/>
  <c r="DC15" i="8"/>
  <c r="W15" i="8" s="1"/>
  <c r="DC23" i="8"/>
  <c r="DC53" i="8"/>
  <c r="DC45" i="8"/>
  <c r="W45" i="8" s="1"/>
  <c r="DC87" i="8"/>
  <c r="W87" i="8" s="1"/>
  <c r="DC93" i="8"/>
  <c r="W93" i="8" s="1"/>
  <c r="DC17" i="8"/>
  <c r="W17" i="8" s="1"/>
  <c r="DC51" i="8"/>
  <c r="W51" i="8" s="1"/>
  <c r="DC37" i="8"/>
  <c r="W37" i="8" s="1"/>
  <c r="DC43" i="8"/>
  <c r="DC111" i="8"/>
  <c r="DC107" i="8"/>
  <c r="DC73" i="8"/>
  <c r="W73" i="8" s="1"/>
  <c r="DC69" i="8"/>
  <c r="W69" i="8" s="1"/>
  <c r="DC63" i="8"/>
  <c r="DC55" i="8"/>
  <c r="W55" i="8" s="1"/>
  <c r="DC13" i="8"/>
  <c r="DC11" i="8"/>
  <c r="W11" i="8" s="1"/>
  <c r="DC83" i="8"/>
  <c r="W83" i="8" s="1"/>
  <c r="DC33" i="8"/>
  <c r="DC65" i="8"/>
  <c r="W65" i="8" s="1"/>
  <c r="DC75" i="8"/>
  <c r="W75" i="8" s="1"/>
  <c r="DC29" i="8"/>
  <c r="W29" i="8" s="1"/>
  <c r="DC27" i="8"/>
  <c r="W27" i="8" s="1"/>
  <c r="DC57" i="8"/>
  <c r="W57" i="8" s="1"/>
  <c r="DC9" i="8"/>
  <c r="W9" i="8" s="1"/>
  <c r="DC77" i="8"/>
  <c r="W77" i="8" s="1"/>
  <c r="DC25" i="8"/>
  <c r="W25" i="8" s="1"/>
  <c r="DC5" i="8"/>
  <c r="W5" i="8" s="1"/>
  <c r="DC31" i="8"/>
  <c r="W31" i="8" s="1"/>
  <c r="DC67" i="8"/>
  <c r="W67" i="8" s="1"/>
  <c r="DC71" i="8"/>
  <c r="W71" i="8" s="1"/>
  <c r="DC7" i="8"/>
  <c r="W7" i="8" s="1"/>
  <c r="DC79" i="8"/>
  <c r="W79" i="8" s="1"/>
  <c r="DB61" i="6"/>
  <c r="V61" i="6" s="1"/>
  <c r="DB53" i="6"/>
  <c r="DB63" i="6"/>
  <c r="DB55" i="6"/>
  <c r="V55" i="6" s="1"/>
  <c r="DB57" i="6"/>
  <c r="V57" i="6" s="1"/>
  <c r="DB49" i="6"/>
  <c r="V49" i="6" s="1"/>
  <c r="DB41" i="6"/>
  <c r="V41" i="6" s="1"/>
  <c r="DB51" i="6"/>
  <c r="V51" i="6" s="1"/>
  <c r="DB31" i="6"/>
  <c r="V31" i="6" s="1"/>
  <c r="DB23" i="6"/>
  <c r="V23" i="6" s="1"/>
  <c r="DB15" i="6"/>
  <c r="V15" i="6" s="1"/>
  <c r="DB39" i="6"/>
  <c r="V39" i="6" s="1"/>
  <c r="DB37" i="6"/>
  <c r="V37" i="6" s="1"/>
  <c r="DB33" i="6"/>
  <c r="DB25" i="6"/>
  <c r="V25" i="6" s="1"/>
  <c r="DB17" i="6"/>
  <c r="V17" i="6" s="1"/>
  <c r="DB59" i="6"/>
  <c r="V59" i="6" s="1"/>
  <c r="DB43" i="6"/>
  <c r="DB35" i="6"/>
  <c r="V35" i="6" s="1"/>
  <c r="DB27" i="6"/>
  <c r="V27" i="6" s="1"/>
  <c r="DB19" i="6"/>
  <c r="V19" i="6" s="1"/>
  <c r="DB11" i="6"/>
  <c r="V11" i="6" s="1"/>
  <c r="DB45" i="6"/>
  <c r="V45" i="6" s="1"/>
  <c r="DB29" i="6"/>
  <c r="V29" i="6" s="1"/>
  <c r="DB7" i="6"/>
  <c r="V7" i="6" s="1"/>
  <c r="DB5" i="6"/>
  <c r="V5" i="6" s="1"/>
  <c r="DB47" i="6"/>
  <c r="V47" i="6" s="1"/>
  <c r="DB13" i="6"/>
  <c r="V13" i="6" s="1"/>
  <c r="DB21" i="6"/>
  <c r="V21" i="6" s="1"/>
  <c r="DB9" i="6"/>
  <c r="V9" i="6" s="1"/>
  <c r="X3" i="8"/>
  <c r="W3" i="7"/>
  <c r="W3" i="6"/>
  <c r="V104" i="7"/>
  <c r="V106" i="8"/>
  <c r="W44" i="5"/>
  <c r="W30" i="8"/>
  <c r="W4" i="5"/>
  <c r="W50" i="8"/>
  <c r="V4" i="6"/>
  <c r="W50" i="5"/>
  <c r="W6" i="8"/>
  <c r="V8" i="6"/>
  <c r="V46" i="6"/>
  <c r="V36" i="7"/>
  <c r="W28" i="5"/>
  <c r="W60" i="8"/>
  <c r="V44" i="6"/>
  <c r="V40" i="6"/>
  <c r="V58" i="7"/>
  <c r="V30" i="7"/>
  <c r="W26" i="8"/>
  <c r="W6" i="5"/>
  <c r="V28" i="6"/>
  <c r="W60" i="5"/>
  <c r="W68" i="5"/>
  <c r="V16" i="6"/>
  <c r="V50" i="6"/>
  <c r="W66" i="5"/>
  <c r="W106" i="5"/>
  <c r="W104" i="5"/>
  <c r="V106" i="7"/>
  <c r="W108" i="5"/>
  <c r="W40" i="8"/>
  <c r="W20" i="8"/>
  <c r="V16" i="7"/>
  <c r="W46" i="5"/>
  <c r="V14" i="6"/>
  <c r="W34" i="8"/>
  <c r="V46" i="7"/>
  <c r="W58" i="8"/>
  <c r="V28" i="7"/>
  <c r="V48" i="6"/>
  <c r="W14" i="8"/>
  <c r="W74" i="5"/>
  <c r="W20" i="5"/>
  <c r="W44" i="8"/>
  <c r="W26" i="5"/>
  <c r="V60" i="7"/>
  <c r="V56" i="6"/>
  <c r="V4" i="7"/>
  <c r="W24" i="5"/>
  <c r="V110" i="7"/>
  <c r="W110" i="5"/>
  <c r="V108" i="8"/>
  <c r="V108" i="7"/>
  <c r="W16" i="8"/>
  <c r="W54" i="5"/>
  <c r="V6" i="6"/>
  <c r="V8" i="7"/>
  <c r="V54" i="7"/>
  <c r="V20" i="6"/>
  <c r="W48" i="8"/>
  <c r="V14" i="7"/>
  <c r="W40" i="5"/>
  <c r="W46" i="8"/>
  <c r="V10" i="6"/>
  <c r="V6" i="7"/>
  <c r="W10" i="5"/>
  <c r="W48" i="5"/>
  <c r="V20" i="7"/>
  <c r="V26" i="7"/>
  <c r="V30" i="6"/>
  <c r="V40" i="7"/>
  <c r="W30" i="5"/>
  <c r="W18" i="8"/>
  <c r="V104" i="8"/>
  <c r="V110" i="8"/>
  <c r="V50" i="7"/>
  <c r="V38" i="7"/>
  <c r="V18" i="6"/>
  <c r="V24" i="7"/>
  <c r="V10" i="7"/>
  <c r="W64" i="5"/>
  <c r="W34" i="5"/>
  <c r="W36" i="5"/>
  <c r="W24" i="8"/>
  <c r="V34" i="6"/>
  <c r="W18" i="5"/>
  <c r="W36" i="8"/>
  <c r="V48" i="7"/>
  <c r="W38" i="5"/>
  <c r="W16" i="5"/>
  <c r="W10" i="8"/>
  <c r="W56" i="8"/>
  <c r="V56" i="7"/>
  <c r="V18" i="7"/>
  <c r="V58" i="6"/>
  <c r="W56" i="5"/>
  <c r="W54" i="8"/>
  <c r="V38" i="6"/>
  <c r="W58" i="5"/>
  <c r="V36" i="6"/>
  <c r="V26" i="6"/>
  <c r="W8" i="8"/>
  <c r="W70" i="5"/>
  <c r="W8" i="5"/>
  <c r="V34" i="7"/>
  <c r="V24" i="6"/>
  <c r="V54" i="6"/>
  <c r="W4" i="8"/>
  <c r="V44" i="7"/>
  <c r="W14" i="5"/>
  <c r="W28" i="8"/>
  <c r="V60" i="6"/>
  <c r="W38" i="8"/>
  <c r="DC117" i="6" l="1"/>
  <c r="DC105" i="6"/>
  <c r="DC107" i="6"/>
  <c r="DC113" i="6"/>
  <c r="DC115" i="6"/>
  <c r="DC123" i="6"/>
  <c r="DC109" i="6"/>
  <c r="DC111" i="6"/>
  <c r="DC69" i="6"/>
  <c r="DC67" i="6"/>
  <c r="DC73" i="6"/>
  <c r="DC77" i="6"/>
  <c r="DC121" i="6"/>
  <c r="DC65" i="6"/>
  <c r="DC71" i="6"/>
  <c r="DC79" i="6"/>
  <c r="DC97" i="6"/>
  <c r="DC99" i="6"/>
  <c r="DC119" i="6"/>
  <c r="DC81" i="6"/>
  <c r="DC87" i="6"/>
  <c r="DC89" i="6"/>
  <c r="DC91" i="6"/>
  <c r="DC101" i="6"/>
  <c r="DC75" i="6"/>
  <c r="DC95" i="6"/>
  <c r="DC103" i="6"/>
  <c r="DC85" i="6"/>
  <c r="DC93" i="6"/>
  <c r="DC83" i="6"/>
  <c r="DC107" i="7"/>
  <c r="W107" i="7" s="1"/>
  <c r="DC105" i="7"/>
  <c r="W105" i="7" s="1"/>
  <c r="DC111" i="7"/>
  <c r="W111" i="7" s="1"/>
  <c r="DC109" i="7"/>
  <c r="W109" i="7" s="1"/>
  <c r="DC113" i="7"/>
  <c r="W113" i="7" s="1"/>
  <c r="DC65" i="7"/>
  <c r="W65" i="7" s="1"/>
  <c r="DC69" i="7"/>
  <c r="W69" i="7" s="1"/>
  <c r="DC67" i="7"/>
  <c r="W67" i="7" s="1"/>
  <c r="DC21" i="7"/>
  <c r="W21" i="7" s="1"/>
  <c r="DC23" i="7"/>
  <c r="W23" i="7" s="1"/>
  <c r="DC87" i="7"/>
  <c r="W87" i="7" s="1"/>
  <c r="DC71" i="7"/>
  <c r="W71" i="7" s="1"/>
  <c r="DC17" i="7"/>
  <c r="W17" i="7" s="1"/>
  <c r="DC19" i="7"/>
  <c r="W19" i="7" s="1"/>
  <c r="DC91" i="7"/>
  <c r="W91" i="7" s="1"/>
  <c r="DC73" i="7"/>
  <c r="W73" i="7" s="1"/>
  <c r="DC89" i="7"/>
  <c r="W89" i="7" s="1"/>
  <c r="DC119" i="7"/>
  <c r="DC33" i="7"/>
  <c r="W33" i="7" s="1"/>
  <c r="DC53" i="7"/>
  <c r="W53" i="7" s="1"/>
  <c r="DC85" i="7"/>
  <c r="W85" i="7" s="1"/>
  <c r="DC117" i="7"/>
  <c r="W117" i="7" s="1"/>
  <c r="DC31" i="7"/>
  <c r="W31" i="7" s="1"/>
  <c r="DC51" i="7"/>
  <c r="W51" i="7" s="1"/>
  <c r="DC49" i="7"/>
  <c r="W49" i="7" s="1"/>
  <c r="DC97" i="7"/>
  <c r="W97" i="7" s="1"/>
  <c r="DC93" i="7"/>
  <c r="W93" i="7" s="1"/>
  <c r="DC115" i="7"/>
  <c r="W115" i="7" s="1"/>
  <c r="DC29" i="7"/>
  <c r="W29" i="7" s="1"/>
  <c r="DC47" i="7"/>
  <c r="W47" i="7" s="1"/>
  <c r="DC99" i="7"/>
  <c r="W99" i="7" s="1"/>
  <c r="DC81" i="7"/>
  <c r="W81" i="7" s="1"/>
  <c r="DC123" i="7"/>
  <c r="W123" i="7" s="1"/>
  <c r="DC121" i="7"/>
  <c r="W121" i="7" s="1"/>
  <c r="DC103" i="7"/>
  <c r="W103" i="7" s="1"/>
  <c r="DC95" i="7"/>
  <c r="W95" i="7" s="1"/>
  <c r="DC83" i="7"/>
  <c r="W83" i="7" s="1"/>
  <c r="DC75" i="7"/>
  <c r="W75" i="7" s="1"/>
  <c r="DC35" i="7"/>
  <c r="W35" i="7" s="1"/>
  <c r="DC13" i="7"/>
  <c r="W13" i="7" s="1"/>
  <c r="DC59" i="7"/>
  <c r="W59" i="7" s="1"/>
  <c r="DC27" i="7"/>
  <c r="W27" i="7" s="1"/>
  <c r="DC25" i="7"/>
  <c r="W25" i="7" s="1"/>
  <c r="DC43" i="7"/>
  <c r="W43" i="7" s="1"/>
  <c r="DC41" i="7"/>
  <c r="W41" i="7" s="1"/>
  <c r="DC11" i="7"/>
  <c r="W11" i="7" s="1"/>
  <c r="DC9" i="7"/>
  <c r="W9" i="7" s="1"/>
  <c r="DC15" i="7"/>
  <c r="W15" i="7" s="1"/>
  <c r="DC101" i="7"/>
  <c r="W101" i="7" s="1"/>
  <c r="DC63" i="7"/>
  <c r="W63" i="7" s="1"/>
  <c r="DC45" i="7"/>
  <c r="W45" i="7" s="1"/>
  <c r="DC77" i="7"/>
  <c r="W77" i="7" s="1"/>
  <c r="DC79" i="7"/>
  <c r="W79" i="7" s="1"/>
  <c r="DC39" i="7"/>
  <c r="W39" i="7" s="1"/>
  <c r="DC7" i="7"/>
  <c r="W7" i="7" s="1"/>
  <c r="DC55" i="7"/>
  <c r="W55" i="7" s="1"/>
  <c r="DC37" i="7"/>
  <c r="W37" i="7" s="1"/>
  <c r="DC5" i="7"/>
  <c r="W5" i="7" s="1"/>
  <c r="DC57" i="7"/>
  <c r="W57" i="7" s="1"/>
  <c r="DC61" i="7"/>
  <c r="W61" i="7" s="1"/>
  <c r="W119" i="7"/>
  <c r="V43" i="6"/>
  <c r="W13" i="8"/>
  <c r="W119" i="8"/>
  <c r="W123" i="8"/>
  <c r="W53" i="5"/>
  <c r="V33" i="6"/>
  <c r="W33" i="8"/>
  <c r="W107" i="8"/>
  <c r="W113" i="8"/>
  <c r="W117" i="8"/>
  <c r="W99" i="8"/>
  <c r="W95" i="8"/>
  <c r="W43" i="5"/>
  <c r="W63" i="5"/>
  <c r="V63" i="6"/>
  <c r="V53" i="6"/>
  <c r="W63" i="8"/>
  <c r="W111" i="8"/>
  <c r="W53" i="8"/>
  <c r="W105" i="8"/>
  <c r="W101" i="8"/>
  <c r="W103" i="8"/>
  <c r="W97" i="8"/>
  <c r="W43" i="8"/>
  <c r="W23" i="8"/>
  <c r="W109" i="8"/>
  <c r="W115" i="8"/>
  <c r="W121" i="8"/>
  <c r="W33" i="5"/>
  <c r="T23" i="20"/>
  <c r="T21" i="20"/>
  <c r="T19" i="20"/>
  <c r="T19" i="22"/>
  <c r="T21" i="21"/>
  <c r="T25" i="20"/>
  <c r="T23" i="21"/>
  <c r="T25" i="21"/>
  <c r="T19" i="21"/>
  <c r="T25" i="19"/>
  <c r="T23" i="22"/>
  <c r="T21" i="22"/>
  <c r="T25" i="18"/>
  <c r="T25" i="17"/>
  <c r="T19" i="19"/>
  <c r="T19" i="18"/>
  <c r="T19" i="17"/>
  <c r="T23" i="17"/>
  <c r="T23" i="18"/>
  <c r="T25" i="22"/>
  <c r="T21" i="19"/>
  <c r="T23" i="19"/>
  <c r="T21" i="18"/>
  <c r="T21" i="17"/>
  <c r="Y3" i="5"/>
  <c r="DD113" i="5"/>
  <c r="X113" i="5" s="1"/>
  <c r="DD111" i="5"/>
  <c r="X111" i="5" s="1"/>
  <c r="DD71" i="5"/>
  <c r="X71" i="5" s="1"/>
  <c r="DD67" i="5"/>
  <c r="X67" i="5" s="1"/>
  <c r="DD109" i="5"/>
  <c r="X109" i="5" s="1"/>
  <c r="DD105" i="5"/>
  <c r="X105" i="5" s="1"/>
  <c r="DD107" i="5"/>
  <c r="X107" i="5" s="1"/>
  <c r="DD83" i="5"/>
  <c r="X83" i="5" s="1"/>
  <c r="DD79" i="5"/>
  <c r="X79" i="5" s="1"/>
  <c r="DD75" i="5"/>
  <c r="X75" i="5" s="1"/>
  <c r="DD25" i="5"/>
  <c r="X25" i="5" s="1"/>
  <c r="DD41" i="5"/>
  <c r="X41" i="5" s="1"/>
  <c r="DD23" i="5"/>
  <c r="X23" i="5" s="1"/>
  <c r="DD73" i="5"/>
  <c r="X73" i="5" s="1"/>
  <c r="DD69" i="5"/>
  <c r="X69" i="5" s="1"/>
  <c r="DD65" i="5"/>
  <c r="X65" i="5" s="1"/>
  <c r="DD31" i="5"/>
  <c r="X31" i="5" s="1"/>
  <c r="DD29" i="5"/>
  <c r="X29" i="5" s="1"/>
  <c r="DD27" i="5"/>
  <c r="X27" i="5" s="1"/>
  <c r="DD63" i="5"/>
  <c r="DD59" i="5"/>
  <c r="X59" i="5" s="1"/>
  <c r="DD55" i="5"/>
  <c r="X55" i="5" s="1"/>
  <c r="DD11" i="5"/>
  <c r="X11" i="5" s="1"/>
  <c r="DD7" i="5"/>
  <c r="X7" i="5" s="1"/>
  <c r="DD9" i="5"/>
  <c r="X9" i="5" s="1"/>
  <c r="DD43" i="5"/>
  <c r="DD39" i="5"/>
  <c r="X39" i="5" s="1"/>
  <c r="DD35" i="5"/>
  <c r="X35" i="5" s="1"/>
  <c r="DD21" i="5"/>
  <c r="X21" i="5" s="1"/>
  <c r="DD17" i="5"/>
  <c r="X17" i="5" s="1"/>
  <c r="DD15" i="5"/>
  <c r="X15" i="5" s="1"/>
  <c r="DD103" i="5"/>
  <c r="X103" i="5" s="1"/>
  <c r="DD99" i="5"/>
  <c r="X99" i="5" s="1"/>
  <c r="DD37" i="5"/>
  <c r="X37" i="5" s="1"/>
  <c r="DD19" i="5"/>
  <c r="X19" i="5" s="1"/>
  <c r="DD81" i="5"/>
  <c r="X81" i="5" s="1"/>
  <c r="DD33" i="5"/>
  <c r="DD61" i="5"/>
  <c r="X61" i="5" s="1"/>
  <c r="DD57" i="5"/>
  <c r="X57" i="5" s="1"/>
  <c r="DD53" i="5"/>
  <c r="DD49" i="5"/>
  <c r="X49" i="5" s="1"/>
  <c r="DD45" i="5"/>
  <c r="X45" i="5" s="1"/>
  <c r="DD13" i="5"/>
  <c r="X13" i="5" s="1"/>
  <c r="DD101" i="5"/>
  <c r="X101" i="5" s="1"/>
  <c r="DD97" i="5"/>
  <c r="X97" i="5" s="1"/>
  <c r="DD121" i="5"/>
  <c r="X121" i="5" s="1"/>
  <c r="DD51" i="5"/>
  <c r="X51" i="5" s="1"/>
  <c r="DD47" i="5"/>
  <c r="X47" i="5" s="1"/>
  <c r="DD77" i="5"/>
  <c r="X77" i="5" s="1"/>
  <c r="DD5" i="5"/>
  <c r="X5" i="5" s="1"/>
  <c r="DD123" i="5"/>
  <c r="X123" i="5" s="1"/>
  <c r="DD115" i="5"/>
  <c r="X115" i="5" s="1"/>
  <c r="DD91" i="5"/>
  <c r="X91" i="5" s="1"/>
  <c r="DD87" i="5"/>
  <c r="X87" i="5" s="1"/>
  <c r="DD95" i="5"/>
  <c r="X95" i="5" s="1"/>
  <c r="DD117" i="5"/>
  <c r="X117" i="5" s="1"/>
  <c r="DD119" i="5"/>
  <c r="X119" i="5" s="1"/>
  <c r="DD93" i="5"/>
  <c r="X93" i="5" s="1"/>
  <c r="DD89" i="5"/>
  <c r="X89" i="5" s="1"/>
  <c r="DD85" i="5"/>
  <c r="X85" i="5" s="1"/>
  <c r="DD99" i="8"/>
  <c r="DD97" i="8"/>
  <c r="DD123" i="8"/>
  <c r="DD95" i="8"/>
  <c r="DD101" i="8"/>
  <c r="DD121" i="8"/>
  <c r="DD115" i="8"/>
  <c r="DD117" i="8"/>
  <c r="DD103" i="8"/>
  <c r="DD119" i="8"/>
  <c r="DD47" i="8"/>
  <c r="X47" i="8" s="1"/>
  <c r="DD43" i="8"/>
  <c r="DD93" i="8"/>
  <c r="X93" i="8" s="1"/>
  <c r="DD111" i="8"/>
  <c r="DD107" i="8"/>
  <c r="DD23" i="8"/>
  <c r="DD83" i="8"/>
  <c r="X83" i="8" s="1"/>
  <c r="DD79" i="8"/>
  <c r="X79" i="8" s="1"/>
  <c r="DD51" i="8"/>
  <c r="X51" i="8" s="1"/>
  <c r="DD53" i="8"/>
  <c r="DD45" i="8"/>
  <c r="X45" i="8" s="1"/>
  <c r="DD39" i="8"/>
  <c r="X39" i="8" s="1"/>
  <c r="DD91" i="8"/>
  <c r="X91" i="8" s="1"/>
  <c r="DD21" i="8"/>
  <c r="X21" i="8" s="1"/>
  <c r="DD41" i="8"/>
  <c r="X41" i="8" s="1"/>
  <c r="DD37" i="8"/>
  <c r="X37" i="8" s="1"/>
  <c r="DD89" i="8"/>
  <c r="X89" i="8" s="1"/>
  <c r="DD87" i="8"/>
  <c r="X87" i="8" s="1"/>
  <c r="DD105" i="8"/>
  <c r="DD109" i="8"/>
  <c r="DD19" i="8"/>
  <c r="X19" i="8" s="1"/>
  <c r="DD17" i="8"/>
  <c r="X17" i="8" s="1"/>
  <c r="DD49" i="8"/>
  <c r="X49" i="8" s="1"/>
  <c r="DD35" i="8"/>
  <c r="X35" i="8" s="1"/>
  <c r="DD85" i="8"/>
  <c r="X85" i="8" s="1"/>
  <c r="DD113" i="8"/>
  <c r="DD15" i="8"/>
  <c r="X15" i="8" s="1"/>
  <c r="DD71" i="8"/>
  <c r="X71" i="8" s="1"/>
  <c r="DD13" i="8"/>
  <c r="DD75" i="8"/>
  <c r="X75" i="8" s="1"/>
  <c r="DD67" i="8"/>
  <c r="X67" i="8" s="1"/>
  <c r="DD65" i="8"/>
  <c r="X65" i="8" s="1"/>
  <c r="DD9" i="8"/>
  <c r="X9" i="8" s="1"/>
  <c r="DD77" i="8"/>
  <c r="X77" i="8" s="1"/>
  <c r="DD29" i="8"/>
  <c r="X29" i="8" s="1"/>
  <c r="DD25" i="8"/>
  <c r="X25" i="8" s="1"/>
  <c r="DD59" i="8"/>
  <c r="X59" i="8" s="1"/>
  <c r="DD63" i="8"/>
  <c r="DD11" i="8"/>
  <c r="X11" i="8" s="1"/>
  <c r="DD5" i="8"/>
  <c r="X5" i="8" s="1"/>
  <c r="DD33" i="8"/>
  <c r="DD27" i="8"/>
  <c r="X27" i="8" s="1"/>
  <c r="DD55" i="8"/>
  <c r="X55" i="8" s="1"/>
  <c r="DD57" i="8"/>
  <c r="X57" i="8" s="1"/>
  <c r="DD7" i="8"/>
  <c r="X7" i="8" s="1"/>
  <c r="DD31" i="8"/>
  <c r="X31" i="8" s="1"/>
  <c r="DD69" i="8"/>
  <c r="X69" i="8" s="1"/>
  <c r="DD73" i="8"/>
  <c r="X73" i="8" s="1"/>
  <c r="DD61" i="8"/>
  <c r="X61" i="8" s="1"/>
  <c r="DD81" i="8"/>
  <c r="X81" i="8" s="1"/>
  <c r="DC63" i="6"/>
  <c r="DC55" i="6"/>
  <c r="W55" i="6" s="1"/>
  <c r="DC57" i="6"/>
  <c r="W57" i="6" s="1"/>
  <c r="DC49" i="6"/>
  <c r="W49" i="6" s="1"/>
  <c r="DC59" i="6"/>
  <c r="W59" i="6" s="1"/>
  <c r="DC51" i="6"/>
  <c r="W51" i="6" s="1"/>
  <c r="DC43" i="6"/>
  <c r="DC39" i="6"/>
  <c r="W39" i="6" s="1"/>
  <c r="DC37" i="6"/>
  <c r="W37" i="6" s="1"/>
  <c r="DC33" i="6"/>
  <c r="DC25" i="6"/>
  <c r="W25" i="6" s="1"/>
  <c r="DC17" i="6"/>
  <c r="W17" i="6" s="1"/>
  <c r="DC61" i="6"/>
  <c r="W61" i="6" s="1"/>
  <c r="DC41" i="6"/>
  <c r="W41" i="6" s="1"/>
  <c r="DC35" i="6"/>
  <c r="W35" i="6" s="1"/>
  <c r="DC27" i="6"/>
  <c r="W27" i="6" s="1"/>
  <c r="DC19" i="6"/>
  <c r="W19" i="6" s="1"/>
  <c r="DC47" i="6"/>
  <c r="W47" i="6" s="1"/>
  <c r="DC45" i="6"/>
  <c r="W45" i="6" s="1"/>
  <c r="DC29" i="6"/>
  <c r="W29" i="6" s="1"/>
  <c r="DC21" i="6"/>
  <c r="W21" i="6" s="1"/>
  <c r="DC13" i="6"/>
  <c r="W13" i="6" s="1"/>
  <c r="DC53" i="6"/>
  <c r="DC23" i="6"/>
  <c r="W23" i="6" s="1"/>
  <c r="DC9" i="6"/>
  <c r="W9" i="6" s="1"/>
  <c r="DC31" i="6"/>
  <c r="W31" i="6" s="1"/>
  <c r="DC11" i="6"/>
  <c r="W11" i="6" s="1"/>
  <c r="DC5" i="6"/>
  <c r="W5" i="6" s="1"/>
  <c r="DC15" i="6"/>
  <c r="W15" i="6" s="1"/>
  <c r="DC7" i="6"/>
  <c r="W7" i="6" s="1"/>
  <c r="Y3" i="8"/>
  <c r="X3" i="7"/>
  <c r="X3" i="6"/>
  <c r="W110" i="8"/>
  <c r="W110" i="7"/>
  <c r="X106" i="5"/>
  <c r="W56" i="7"/>
  <c r="W44" i="6"/>
  <c r="W34" i="7"/>
  <c r="W10" i="7"/>
  <c r="W8" i="7"/>
  <c r="X44" i="8"/>
  <c r="X70" i="5"/>
  <c r="X60" i="5"/>
  <c r="W28" i="7"/>
  <c r="W106" i="7"/>
  <c r="X110" i="5"/>
  <c r="W108" i="7"/>
  <c r="X46" i="5"/>
  <c r="W48" i="7"/>
  <c r="W50" i="6"/>
  <c r="W40" i="7"/>
  <c r="W24" i="7"/>
  <c r="X64" i="5"/>
  <c r="W30" i="7"/>
  <c r="X108" i="5"/>
  <c r="X104" i="5"/>
  <c r="X54" i="5"/>
  <c r="W44" i="7"/>
  <c r="W26" i="7"/>
  <c r="X56" i="5"/>
  <c r="X48" i="5"/>
  <c r="W16" i="7"/>
  <c r="W46" i="7"/>
  <c r="X66" i="5"/>
  <c r="W106" i="8"/>
  <c r="W104" i="7"/>
  <c r="W104" i="8"/>
  <c r="W108" i="8"/>
  <c r="W50" i="7"/>
  <c r="W20" i="7"/>
  <c r="X68" i="5"/>
  <c r="W14" i="7"/>
  <c r="X50" i="5"/>
  <c r="W6" i="7"/>
  <c r="X48" i="8"/>
  <c r="W54" i="7"/>
  <c r="X46" i="8"/>
  <c r="W58" i="7"/>
  <c r="X58" i="5"/>
  <c r="W46" i="6"/>
  <c r="W36" i="7"/>
  <c r="W38" i="7"/>
  <c r="X50" i="8"/>
  <c r="X74" i="5"/>
  <c r="X44" i="5"/>
  <c r="W18" i="7"/>
  <c r="W60" i="7"/>
  <c r="W48" i="6"/>
  <c r="W4" i="7"/>
  <c r="DD115" i="6" l="1"/>
  <c r="DD121" i="6"/>
  <c r="DD109" i="6"/>
  <c r="DD111" i="6"/>
  <c r="DD67" i="6"/>
  <c r="DD119" i="6"/>
  <c r="DD123" i="6"/>
  <c r="DD105" i="6"/>
  <c r="DD113" i="6"/>
  <c r="DD79" i="6"/>
  <c r="DD81" i="6"/>
  <c r="DD83" i="6"/>
  <c r="DD65" i="6"/>
  <c r="DD77" i="6"/>
  <c r="DD69" i="6"/>
  <c r="DD71" i="6"/>
  <c r="DD99" i="6"/>
  <c r="DD103" i="6"/>
  <c r="DD117" i="6"/>
  <c r="DD75" i="6"/>
  <c r="DD101" i="6"/>
  <c r="DD97" i="6"/>
  <c r="DD85" i="6"/>
  <c r="DD93" i="6"/>
  <c r="DD107" i="6"/>
  <c r="DD87" i="6"/>
  <c r="DD89" i="6"/>
  <c r="DD73" i="6"/>
  <c r="DD95" i="6"/>
  <c r="DD91" i="6"/>
  <c r="DD109" i="7"/>
  <c r="X109" i="7" s="1"/>
  <c r="DD107" i="7"/>
  <c r="X107" i="7" s="1"/>
  <c r="DD105" i="7"/>
  <c r="X105" i="7" s="1"/>
  <c r="DD113" i="7"/>
  <c r="X113" i="7" s="1"/>
  <c r="DD111" i="7"/>
  <c r="X111" i="7" s="1"/>
  <c r="DD69" i="7"/>
  <c r="X69" i="7" s="1"/>
  <c r="DD23" i="7"/>
  <c r="X23" i="7" s="1"/>
  <c r="DD87" i="7"/>
  <c r="X87" i="7" s="1"/>
  <c r="DD67" i="7"/>
  <c r="X67" i="7" s="1"/>
  <c r="DD17" i="7"/>
  <c r="X17" i="7" s="1"/>
  <c r="DD21" i="7"/>
  <c r="X21" i="7" s="1"/>
  <c r="DD89" i="7"/>
  <c r="X89" i="7" s="1"/>
  <c r="DD91" i="7"/>
  <c r="X91" i="7" s="1"/>
  <c r="DD73" i="7"/>
  <c r="X73" i="7" s="1"/>
  <c r="DD65" i="7"/>
  <c r="X65" i="7" s="1"/>
  <c r="DD121" i="7"/>
  <c r="X121" i="7" s="1"/>
  <c r="DD25" i="7"/>
  <c r="X25" i="7" s="1"/>
  <c r="DD45" i="7"/>
  <c r="X45" i="7" s="1"/>
  <c r="DD15" i="7"/>
  <c r="X15" i="7" s="1"/>
  <c r="DD119" i="7"/>
  <c r="X119" i="7" s="1"/>
  <c r="DD33" i="7"/>
  <c r="X33" i="7" s="1"/>
  <c r="DD53" i="7"/>
  <c r="X53" i="7" s="1"/>
  <c r="DD51" i="7"/>
  <c r="X51" i="7" s="1"/>
  <c r="DD103" i="7"/>
  <c r="X103" i="7" s="1"/>
  <c r="DD99" i="7"/>
  <c r="X99" i="7" s="1"/>
  <c r="DD19" i="7"/>
  <c r="X19" i="7" s="1"/>
  <c r="DD85" i="7"/>
  <c r="X85" i="7" s="1"/>
  <c r="DD93" i="7"/>
  <c r="X93" i="7" s="1"/>
  <c r="DD71" i="7"/>
  <c r="X71" i="7" s="1"/>
  <c r="DD117" i="7"/>
  <c r="X117" i="7" s="1"/>
  <c r="DD115" i="7"/>
  <c r="X115" i="7" s="1"/>
  <c r="DD31" i="7"/>
  <c r="X31" i="7" s="1"/>
  <c r="DD49" i="7"/>
  <c r="X49" i="7" s="1"/>
  <c r="DD101" i="7"/>
  <c r="X101" i="7" s="1"/>
  <c r="DD29" i="7"/>
  <c r="X29" i="7" s="1"/>
  <c r="DD27" i="7"/>
  <c r="X27" i="7" s="1"/>
  <c r="DD83" i="7"/>
  <c r="X83" i="7" s="1"/>
  <c r="DD47" i="7"/>
  <c r="X47" i="7" s="1"/>
  <c r="DD79" i="7"/>
  <c r="X79" i="7" s="1"/>
  <c r="DD81" i="7"/>
  <c r="X81" i="7" s="1"/>
  <c r="DD37" i="7"/>
  <c r="X37" i="7" s="1"/>
  <c r="DD35" i="7"/>
  <c r="X35" i="7" s="1"/>
  <c r="DD5" i="7"/>
  <c r="X5" i="7" s="1"/>
  <c r="DD43" i="7"/>
  <c r="X43" i="7" s="1"/>
  <c r="DD13" i="7"/>
  <c r="X13" i="7" s="1"/>
  <c r="DD11" i="7"/>
  <c r="X11" i="7" s="1"/>
  <c r="DD97" i="7"/>
  <c r="X97" i="7" s="1"/>
  <c r="DD77" i="7"/>
  <c r="X77" i="7" s="1"/>
  <c r="DD57" i="7"/>
  <c r="X57" i="7" s="1"/>
  <c r="DD59" i="7"/>
  <c r="X59" i="7" s="1"/>
  <c r="DD63" i="7"/>
  <c r="X63" i="7" s="1"/>
  <c r="DD123" i="7"/>
  <c r="X123" i="7" s="1"/>
  <c r="DD95" i="7"/>
  <c r="X95" i="7" s="1"/>
  <c r="DD41" i="7"/>
  <c r="X41" i="7" s="1"/>
  <c r="DD9" i="7"/>
  <c r="X9" i="7" s="1"/>
  <c r="DD55" i="7"/>
  <c r="X55" i="7" s="1"/>
  <c r="DD75" i="7"/>
  <c r="X75" i="7" s="1"/>
  <c r="DD39" i="7"/>
  <c r="X39" i="7" s="1"/>
  <c r="DD7" i="7"/>
  <c r="X7" i="7" s="1"/>
  <c r="DD61" i="7"/>
  <c r="X61" i="7" s="1"/>
  <c r="W43" i="6"/>
  <c r="X101" i="8"/>
  <c r="X33" i="5"/>
  <c r="W53" i="6"/>
  <c r="W63" i="6"/>
  <c r="X63" i="8"/>
  <c r="X113" i="8"/>
  <c r="X53" i="8"/>
  <c r="X23" i="8"/>
  <c r="X43" i="8"/>
  <c r="X117" i="8"/>
  <c r="X95" i="8"/>
  <c r="X53" i="5"/>
  <c r="X63" i="5"/>
  <c r="X103" i="8"/>
  <c r="X99" i="8"/>
  <c r="X33" i="8"/>
  <c r="X13" i="8"/>
  <c r="X107" i="8"/>
  <c r="X115" i="8"/>
  <c r="X123" i="8"/>
  <c r="W33" i="6"/>
  <c r="X109" i="8"/>
  <c r="X111" i="8"/>
  <c r="X119" i="8"/>
  <c r="X121" i="8"/>
  <c r="X97" i="8"/>
  <c r="X43" i="5"/>
  <c r="X105" i="8"/>
  <c r="T58" i="19"/>
  <c r="T58" i="21"/>
  <c r="T53" i="18"/>
  <c r="T58" i="20"/>
  <c r="T58" i="22"/>
  <c r="T53" i="22"/>
  <c r="T53" i="20"/>
  <c r="T53" i="21"/>
  <c r="T58" i="18"/>
  <c r="T53" i="19"/>
  <c r="Z3" i="5"/>
  <c r="DE73" i="5"/>
  <c r="Y73" i="5" s="1"/>
  <c r="DE81" i="5"/>
  <c r="Y81" i="5" s="1"/>
  <c r="DE109" i="5"/>
  <c r="Y109" i="5" s="1"/>
  <c r="DE67" i="5"/>
  <c r="Y67" i="5" s="1"/>
  <c r="DE107" i="5"/>
  <c r="Y107" i="5" s="1"/>
  <c r="DE105" i="5"/>
  <c r="Y105" i="5" s="1"/>
  <c r="DE113" i="5"/>
  <c r="Y113" i="5" s="1"/>
  <c r="DE111" i="5"/>
  <c r="Y111" i="5" s="1"/>
  <c r="DE69" i="5"/>
  <c r="Y69" i="5" s="1"/>
  <c r="DE77" i="5"/>
  <c r="Y77" i="5" s="1"/>
  <c r="DE75" i="5"/>
  <c r="Y75" i="5" s="1"/>
  <c r="DE27" i="5"/>
  <c r="Y27" i="5" s="1"/>
  <c r="DE33" i="5"/>
  <c r="DE29" i="5"/>
  <c r="Y29" i="5" s="1"/>
  <c r="DE57" i="5"/>
  <c r="Y57" i="5" s="1"/>
  <c r="DE21" i="5"/>
  <c r="Y21" i="5" s="1"/>
  <c r="DE97" i="5"/>
  <c r="Y97" i="5" s="1"/>
  <c r="DE65" i="5"/>
  <c r="Y65" i="5" s="1"/>
  <c r="DE31" i="5"/>
  <c r="Y31" i="5" s="1"/>
  <c r="DE55" i="5"/>
  <c r="Y55" i="5" s="1"/>
  <c r="DE61" i="5"/>
  <c r="Y61" i="5" s="1"/>
  <c r="DE9" i="5"/>
  <c r="Y9" i="5" s="1"/>
  <c r="DE37" i="5"/>
  <c r="Y37" i="5" s="1"/>
  <c r="DE35" i="5"/>
  <c r="Y35" i="5" s="1"/>
  <c r="DE19" i="5"/>
  <c r="Y19" i="5" s="1"/>
  <c r="DE95" i="5"/>
  <c r="Y95" i="5" s="1"/>
  <c r="DE71" i="5"/>
  <c r="Y71" i="5" s="1"/>
  <c r="DE83" i="5"/>
  <c r="Y83" i="5" s="1"/>
  <c r="DE79" i="5"/>
  <c r="Y79" i="5" s="1"/>
  <c r="DE25" i="5"/>
  <c r="Y25" i="5" s="1"/>
  <c r="DE59" i="5"/>
  <c r="Y59" i="5" s="1"/>
  <c r="DE11" i="5"/>
  <c r="Y11" i="5" s="1"/>
  <c r="DE41" i="5"/>
  <c r="Y41" i="5" s="1"/>
  <c r="DE39" i="5"/>
  <c r="Y39" i="5" s="1"/>
  <c r="DE23" i="5"/>
  <c r="Y23" i="5" s="1"/>
  <c r="DE17" i="5"/>
  <c r="Y17" i="5" s="1"/>
  <c r="DE99" i="5"/>
  <c r="Y99" i="5" s="1"/>
  <c r="DE7" i="5"/>
  <c r="Y7" i="5" s="1"/>
  <c r="DE15" i="5"/>
  <c r="Y15" i="5" s="1"/>
  <c r="DE119" i="5"/>
  <c r="Y119" i="5" s="1"/>
  <c r="DE51" i="5"/>
  <c r="Y51" i="5" s="1"/>
  <c r="DE45" i="5"/>
  <c r="Y45" i="5" s="1"/>
  <c r="DE87" i="5"/>
  <c r="Y87" i="5" s="1"/>
  <c r="DE101" i="5"/>
  <c r="Y101" i="5" s="1"/>
  <c r="DE115" i="5"/>
  <c r="Y115" i="5" s="1"/>
  <c r="DE123" i="5"/>
  <c r="Y123" i="5" s="1"/>
  <c r="DE63" i="5"/>
  <c r="DE121" i="5"/>
  <c r="Y121" i="5" s="1"/>
  <c r="DE53" i="5"/>
  <c r="DE89" i="5"/>
  <c r="Y89" i="5" s="1"/>
  <c r="DE43" i="5"/>
  <c r="DE103" i="5"/>
  <c r="Y103" i="5" s="1"/>
  <c r="DE117" i="5"/>
  <c r="Y117" i="5" s="1"/>
  <c r="DE47" i="5"/>
  <c r="Y47" i="5" s="1"/>
  <c r="DE93" i="5"/>
  <c r="Y93" i="5" s="1"/>
  <c r="DE13" i="5"/>
  <c r="Y13" i="5" s="1"/>
  <c r="DE5" i="5"/>
  <c r="Y5" i="5" s="1"/>
  <c r="DE49" i="5"/>
  <c r="Y49" i="5" s="1"/>
  <c r="DE85" i="5"/>
  <c r="Y85" i="5" s="1"/>
  <c r="DE91" i="5"/>
  <c r="Y91" i="5" s="1"/>
  <c r="DE101" i="8"/>
  <c r="DE123" i="8"/>
  <c r="DE99" i="8"/>
  <c r="DE95" i="8"/>
  <c r="DE115" i="8"/>
  <c r="DE97" i="8"/>
  <c r="DE103" i="8"/>
  <c r="DE117" i="8"/>
  <c r="DE119" i="8"/>
  <c r="DE121" i="8"/>
  <c r="DE45" i="8"/>
  <c r="Y45" i="8" s="1"/>
  <c r="DE43" i="8"/>
  <c r="DE39" i="8"/>
  <c r="Y39" i="8" s="1"/>
  <c r="DE85" i="8"/>
  <c r="Y85" i="8" s="1"/>
  <c r="DE89" i="8"/>
  <c r="Y89" i="8" s="1"/>
  <c r="DE113" i="8"/>
  <c r="DE109" i="8"/>
  <c r="DE15" i="8"/>
  <c r="Y15" i="8" s="1"/>
  <c r="DE19" i="8"/>
  <c r="Y19" i="8" s="1"/>
  <c r="DE67" i="8"/>
  <c r="Y67" i="8" s="1"/>
  <c r="DE63" i="8"/>
  <c r="DE57" i="8"/>
  <c r="Y57" i="8" s="1"/>
  <c r="DE5" i="8"/>
  <c r="Y5" i="8" s="1"/>
  <c r="DE75" i="8"/>
  <c r="Y75" i="8" s="1"/>
  <c r="DE53" i="8"/>
  <c r="DE51" i="8"/>
  <c r="Y51" i="8" s="1"/>
  <c r="DE93" i="8"/>
  <c r="Y93" i="8" s="1"/>
  <c r="DE111" i="8"/>
  <c r="DE23" i="8"/>
  <c r="DE49" i="8"/>
  <c r="Y49" i="8" s="1"/>
  <c r="DE35" i="8"/>
  <c r="Y35" i="8" s="1"/>
  <c r="DE91" i="8"/>
  <c r="Y91" i="8" s="1"/>
  <c r="DE107" i="8"/>
  <c r="DE21" i="8"/>
  <c r="Y21" i="8" s="1"/>
  <c r="DE47" i="8"/>
  <c r="Y47" i="8" s="1"/>
  <c r="DE37" i="8"/>
  <c r="Y37" i="8" s="1"/>
  <c r="DE41" i="8"/>
  <c r="Y41" i="8" s="1"/>
  <c r="DE87" i="8"/>
  <c r="Y87" i="8" s="1"/>
  <c r="DE105" i="8"/>
  <c r="DE17" i="8"/>
  <c r="Y17" i="8" s="1"/>
  <c r="DE65" i="8"/>
  <c r="Y65" i="8" s="1"/>
  <c r="DE59" i="8"/>
  <c r="Y59" i="8" s="1"/>
  <c r="DE77" i="8"/>
  <c r="Y77" i="8" s="1"/>
  <c r="DE61" i="8"/>
  <c r="Y61" i="8" s="1"/>
  <c r="DE31" i="8"/>
  <c r="Y31" i="8" s="1"/>
  <c r="DE9" i="8"/>
  <c r="Y9" i="8" s="1"/>
  <c r="DE13" i="8"/>
  <c r="DE29" i="8"/>
  <c r="Y29" i="8" s="1"/>
  <c r="DE71" i="8"/>
  <c r="Y71" i="8" s="1"/>
  <c r="DE55" i="8"/>
  <c r="Y55" i="8" s="1"/>
  <c r="DE11" i="8"/>
  <c r="Y11" i="8" s="1"/>
  <c r="DE27" i="8"/>
  <c r="Y27" i="8" s="1"/>
  <c r="DE25" i="8"/>
  <c r="Y25" i="8" s="1"/>
  <c r="DE69" i="8"/>
  <c r="Y69" i="8" s="1"/>
  <c r="DE73" i="8"/>
  <c r="Y73" i="8" s="1"/>
  <c r="DE7" i="8"/>
  <c r="Y7" i="8" s="1"/>
  <c r="DE79" i="8"/>
  <c r="Y79" i="8" s="1"/>
  <c r="DE83" i="8"/>
  <c r="Y83" i="8" s="1"/>
  <c r="DE81" i="8"/>
  <c r="Y81" i="8" s="1"/>
  <c r="DE33" i="8"/>
  <c r="DD57" i="6"/>
  <c r="X57" i="6" s="1"/>
  <c r="DD49" i="6"/>
  <c r="X49" i="6" s="1"/>
  <c r="DD59" i="6"/>
  <c r="X59" i="6" s="1"/>
  <c r="DD51" i="6"/>
  <c r="X51" i="6" s="1"/>
  <c r="DD61" i="6"/>
  <c r="X61" i="6" s="1"/>
  <c r="DD53" i="6"/>
  <c r="DD45" i="6"/>
  <c r="X45" i="6" s="1"/>
  <c r="DD37" i="6"/>
  <c r="X37" i="6" s="1"/>
  <c r="DD63" i="6"/>
  <c r="DD41" i="6"/>
  <c r="X41" i="6" s="1"/>
  <c r="DD35" i="6"/>
  <c r="X35" i="6" s="1"/>
  <c r="DD27" i="6"/>
  <c r="X27" i="6" s="1"/>
  <c r="DD19" i="6"/>
  <c r="X19" i="6" s="1"/>
  <c r="DD47" i="6"/>
  <c r="X47" i="6" s="1"/>
  <c r="DD43" i="6"/>
  <c r="DD29" i="6"/>
  <c r="X29" i="6" s="1"/>
  <c r="DD21" i="6"/>
  <c r="X21" i="6" s="1"/>
  <c r="DD55" i="6"/>
  <c r="X55" i="6" s="1"/>
  <c r="DD31" i="6"/>
  <c r="X31" i="6" s="1"/>
  <c r="DD23" i="6"/>
  <c r="X23" i="6" s="1"/>
  <c r="DD15" i="6"/>
  <c r="X15" i="6" s="1"/>
  <c r="DD25" i="6"/>
  <c r="X25" i="6" s="1"/>
  <c r="DD13" i="6"/>
  <c r="X13" i="6" s="1"/>
  <c r="DD9" i="6"/>
  <c r="X9" i="6" s="1"/>
  <c r="DD11" i="6"/>
  <c r="X11" i="6" s="1"/>
  <c r="DD5" i="6"/>
  <c r="X5" i="6" s="1"/>
  <c r="DD39" i="6"/>
  <c r="X39" i="6" s="1"/>
  <c r="DD33" i="6"/>
  <c r="DD17" i="6"/>
  <c r="X17" i="6" s="1"/>
  <c r="DD7" i="6"/>
  <c r="X7" i="6" s="1"/>
  <c r="Z3" i="8"/>
  <c r="Y3" i="7"/>
  <c r="Y3" i="6"/>
  <c r="X110" i="8"/>
  <c r="X104" i="8"/>
  <c r="Y108" i="5"/>
  <c r="X20" i="7"/>
  <c r="X58" i="7"/>
  <c r="X6" i="7"/>
  <c r="X26" i="7"/>
  <c r="X30" i="7"/>
  <c r="X46" i="6"/>
  <c r="X18" i="7"/>
  <c r="X16" i="7"/>
  <c r="X10" i="7"/>
  <c r="Y110" i="5"/>
  <c r="Y106" i="5"/>
  <c r="Y104" i="5"/>
  <c r="X48" i="7"/>
  <c r="X56" i="7"/>
  <c r="X44" i="7"/>
  <c r="X40" i="7"/>
  <c r="X46" i="7"/>
  <c r="X38" i="7"/>
  <c r="X50" i="6"/>
  <c r="X108" i="7"/>
  <c r="X106" i="7"/>
  <c r="X104" i="7"/>
  <c r="Y66" i="5"/>
  <c r="Y60" i="5"/>
  <c r="Y46" i="8"/>
  <c r="X34" i="7"/>
  <c r="X50" i="7"/>
  <c r="Y70" i="5"/>
  <c r="Y54" i="5"/>
  <c r="X24" i="7"/>
  <c r="X110" i="7"/>
  <c r="X106" i="8"/>
  <c r="X108" i="8"/>
  <c r="X54" i="7"/>
  <c r="Y74" i="5"/>
  <c r="X4" i="7"/>
  <c r="X48" i="6"/>
  <c r="X14" i="7"/>
  <c r="Y50" i="8"/>
  <c r="Y44" i="5"/>
  <c r="X44" i="6"/>
  <c r="Y58" i="5"/>
  <c r="Y50" i="5"/>
  <c r="X36" i="7"/>
  <c r="Y64" i="5"/>
  <c r="X28" i="7"/>
  <c r="X60" i="7"/>
  <c r="Y44" i="8"/>
  <c r="Y48" i="5"/>
  <c r="Y56" i="5"/>
  <c r="X8" i="7"/>
  <c r="Y46" i="5"/>
  <c r="Y48" i="8"/>
  <c r="Y68" i="5"/>
  <c r="DE113" i="6" l="1"/>
  <c r="DE107" i="6"/>
  <c r="DE109" i="6"/>
  <c r="DE111" i="6"/>
  <c r="DE65" i="6"/>
  <c r="DE115" i="6"/>
  <c r="DE119" i="6"/>
  <c r="DE121" i="6"/>
  <c r="DE123" i="6"/>
  <c r="DE105" i="6"/>
  <c r="DE79" i="6"/>
  <c r="DE81" i="6"/>
  <c r="DE117" i="6"/>
  <c r="DE69" i="6"/>
  <c r="DE71" i="6"/>
  <c r="DE77" i="6"/>
  <c r="DE95" i="6"/>
  <c r="DE103" i="6"/>
  <c r="DE67" i="6"/>
  <c r="DE99" i="6"/>
  <c r="DE73" i="6"/>
  <c r="DE75" i="6"/>
  <c r="DE87" i="6"/>
  <c r="DE93" i="6"/>
  <c r="DE89" i="6"/>
  <c r="DE97" i="6"/>
  <c r="DE91" i="6"/>
  <c r="DE83" i="6"/>
  <c r="DE101" i="6"/>
  <c r="DE85" i="6"/>
  <c r="DE111" i="7"/>
  <c r="Y111" i="7" s="1"/>
  <c r="DE107" i="7"/>
  <c r="Y107" i="7" s="1"/>
  <c r="DE105" i="7"/>
  <c r="Y105" i="7" s="1"/>
  <c r="DE113" i="7"/>
  <c r="Y113" i="7" s="1"/>
  <c r="DE109" i="7"/>
  <c r="Y109" i="7" s="1"/>
  <c r="DE67" i="7"/>
  <c r="Y67" i="7" s="1"/>
  <c r="DE69" i="7"/>
  <c r="Y69" i="7" s="1"/>
  <c r="DE65" i="7"/>
  <c r="Y65" i="7" s="1"/>
  <c r="DE87" i="7"/>
  <c r="Y87" i="7" s="1"/>
  <c r="DE21" i="7"/>
  <c r="Y21" i="7" s="1"/>
  <c r="DE89" i="7"/>
  <c r="Y89" i="7" s="1"/>
  <c r="DE23" i="7"/>
  <c r="Y23" i="7" s="1"/>
  <c r="DE71" i="7"/>
  <c r="Y71" i="7" s="1"/>
  <c r="DE91" i="7"/>
  <c r="Y91" i="7" s="1"/>
  <c r="DE85" i="7"/>
  <c r="Y85" i="7" s="1"/>
  <c r="DE19" i="7"/>
  <c r="Y19" i="7" s="1"/>
  <c r="DE15" i="7"/>
  <c r="Y15" i="7" s="1"/>
  <c r="DE123" i="7"/>
  <c r="Y123" i="7" s="1"/>
  <c r="DE27" i="7"/>
  <c r="Y27" i="7" s="1"/>
  <c r="DE47" i="7"/>
  <c r="Y47" i="7" s="1"/>
  <c r="DE45" i="7"/>
  <c r="Y45" i="7" s="1"/>
  <c r="DE93" i="7"/>
  <c r="Y93" i="7" s="1"/>
  <c r="DE121" i="7"/>
  <c r="Y121" i="7" s="1"/>
  <c r="DE25" i="7"/>
  <c r="Y25" i="7" s="1"/>
  <c r="DE53" i="7"/>
  <c r="Y53" i="7" s="1"/>
  <c r="DE95" i="7"/>
  <c r="Y95" i="7" s="1"/>
  <c r="DE101" i="7"/>
  <c r="DE119" i="7"/>
  <c r="Y119" i="7" s="1"/>
  <c r="DE117" i="7"/>
  <c r="Y117" i="7" s="1"/>
  <c r="DE33" i="7"/>
  <c r="Y33" i="7" s="1"/>
  <c r="DE51" i="7"/>
  <c r="Y51" i="7" s="1"/>
  <c r="DE103" i="7"/>
  <c r="Y103" i="7" s="1"/>
  <c r="DE115" i="7"/>
  <c r="Y115" i="7" s="1"/>
  <c r="DE97" i="7"/>
  <c r="Y97" i="7" s="1"/>
  <c r="DE31" i="7"/>
  <c r="Y31" i="7" s="1"/>
  <c r="DE29" i="7"/>
  <c r="Y29" i="7" s="1"/>
  <c r="DE99" i="7"/>
  <c r="DE79" i="7"/>
  <c r="Y79" i="7" s="1"/>
  <c r="DE39" i="7"/>
  <c r="Y39" i="7" s="1"/>
  <c r="DE37" i="7"/>
  <c r="Y37" i="7" s="1"/>
  <c r="DE7" i="7"/>
  <c r="Y7" i="7" s="1"/>
  <c r="DE5" i="7"/>
  <c r="Y5" i="7" s="1"/>
  <c r="DE59" i="7"/>
  <c r="Y59" i="7" s="1"/>
  <c r="DE63" i="7"/>
  <c r="Y63" i="7" s="1"/>
  <c r="DE17" i="7"/>
  <c r="Y17" i="7" s="1"/>
  <c r="DE49" i="7"/>
  <c r="Y49" i="7" s="1"/>
  <c r="DE35" i="7"/>
  <c r="Y35" i="7" s="1"/>
  <c r="DE13" i="7"/>
  <c r="Y13" i="7" s="1"/>
  <c r="DE77" i="7"/>
  <c r="Y77" i="7" s="1"/>
  <c r="DE75" i="7"/>
  <c r="Y75" i="7" s="1"/>
  <c r="DE73" i="7"/>
  <c r="Y73" i="7" s="1"/>
  <c r="DE55" i="7"/>
  <c r="Y55" i="7" s="1"/>
  <c r="DE41" i="7"/>
  <c r="Y41" i="7" s="1"/>
  <c r="DE43" i="7"/>
  <c r="Y43" i="7" s="1"/>
  <c r="DE9" i="7"/>
  <c r="Y9" i="7" s="1"/>
  <c r="DE11" i="7"/>
  <c r="Y11" i="7" s="1"/>
  <c r="DE57" i="7"/>
  <c r="Y57" i="7" s="1"/>
  <c r="DE81" i="7"/>
  <c r="Y81" i="7" s="1"/>
  <c r="DE83" i="7"/>
  <c r="Y83" i="7" s="1"/>
  <c r="DE61" i="7"/>
  <c r="Y61" i="7" s="1"/>
  <c r="Y99" i="7"/>
  <c r="Y101" i="7"/>
  <c r="Y123" i="8"/>
  <c r="Y53" i="8"/>
  <c r="Y63" i="8"/>
  <c r="Y119" i="8"/>
  <c r="Y13" i="8"/>
  <c r="Y105" i="8"/>
  <c r="Y103" i="8"/>
  <c r="Y99" i="8"/>
  <c r="Y43" i="5"/>
  <c r="Y63" i="5"/>
  <c r="Y121" i="8"/>
  <c r="Y107" i="8"/>
  <c r="Y109" i="8"/>
  <c r="Y101" i="8"/>
  <c r="Y33" i="5"/>
  <c r="X33" i="6"/>
  <c r="X43" i="6"/>
  <c r="Y97" i="8"/>
  <c r="X53" i="6"/>
  <c r="Y23" i="8"/>
  <c r="Y115" i="8"/>
  <c r="Y53" i="5"/>
  <c r="X63" i="6"/>
  <c r="Y33" i="8"/>
  <c r="Y111" i="8"/>
  <c r="Y113" i="8"/>
  <c r="Y43" i="8"/>
  <c r="Y117" i="8"/>
  <c r="Y95" i="8"/>
  <c r="AA3" i="5"/>
  <c r="DF113" i="5"/>
  <c r="Z113" i="5" s="1"/>
  <c r="DF111" i="5"/>
  <c r="Z111" i="5" s="1"/>
  <c r="DF107" i="5"/>
  <c r="Z107" i="5" s="1"/>
  <c r="DF73" i="5"/>
  <c r="Z73" i="5" s="1"/>
  <c r="DF69" i="5"/>
  <c r="Z69" i="5" s="1"/>
  <c r="DF65" i="5"/>
  <c r="Z65" i="5" s="1"/>
  <c r="DF105" i="5"/>
  <c r="Z105" i="5" s="1"/>
  <c r="DF109" i="5"/>
  <c r="Z109" i="5" s="1"/>
  <c r="DF71" i="5"/>
  <c r="Z71" i="5" s="1"/>
  <c r="DF67" i="5"/>
  <c r="Z67" i="5" s="1"/>
  <c r="DF83" i="5"/>
  <c r="Z83" i="5" s="1"/>
  <c r="DF79" i="5"/>
  <c r="Z79" i="5" s="1"/>
  <c r="DF75" i="5"/>
  <c r="Z75" i="5" s="1"/>
  <c r="DF31" i="5"/>
  <c r="Z31" i="5" s="1"/>
  <c r="DF27" i="5"/>
  <c r="Z27" i="5" s="1"/>
  <c r="DF63" i="5"/>
  <c r="DF59" i="5"/>
  <c r="Z59" i="5" s="1"/>
  <c r="DF55" i="5"/>
  <c r="Z55" i="5" s="1"/>
  <c r="DF9" i="5"/>
  <c r="Z9" i="5" s="1"/>
  <c r="DF13" i="5"/>
  <c r="Z13" i="5" s="1"/>
  <c r="DF39" i="5"/>
  <c r="Z39" i="5" s="1"/>
  <c r="DF81" i="5"/>
  <c r="Z81" i="5" s="1"/>
  <c r="DF77" i="5"/>
  <c r="Z77" i="5" s="1"/>
  <c r="DF29" i="5"/>
  <c r="Z29" i="5" s="1"/>
  <c r="DF25" i="5"/>
  <c r="Z25" i="5" s="1"/>
  <c r="DF7" i="5"/>
  <c r="Z7" i="5" s="1"/>
  <c r="DF43" i="5"/>
  <c r="DF17" i="5"/>
  <c r="Z17" i="5" s="1"/>
  <c r="DF33" i="5"/>
  <c r="DF61" i="5"/>
  <c r="Z61" i="5" s="1"/>
  <c r="DF57" i="5"/>
  <c r="Z57" i="5" s="1"/>
  <c r="DF5" i="5"/>
  <c r="Z5" i="5" s="1"/>
  <c r="DF41" i="5"/>
  <c r="Z41" i="5" s="1"/>
  <c r="DF37" i="5"/>
  <c r="Z37" i="5" s="1"/>
  <c r="DF35" i="5"/>
  <c r="Z35" i="5" s="1"/>
  <c r="DF23" i="5"/>
  <c r="Z23" i="5" s="1"/>
  <c r="DF19" i="5"/>
  <c r="Z19" i="5" s="1"/>
  <c r="DF15" i="5"/>
  <c r="Z15" i="5" s="1"/>
  <c r="DF21" i="5"/>
  <c r="Z21" i="5" s="1"/>
  <c r="DF101" i="5"/>
  <c r="Z101" i="5" s="1"/>
  <c r="DF97" i="5"/>
  <c r="Z97" i="5" s="1"/>
  <c r="DF123" i="5"/>
  <c r="Z123" i="5" s="1"/>
  <c r="DF93" i="5"/>
  <c r="Z93" i="5" s="1"/>
  <c r="DF89" i="5"/>
  <c r="Z89" i="5" s="1"/>
  <c r="DF85" i="5"/>
  <c r="Z85" i="5" s="1"/>
  <c r="DF11" i="5"/>
  <c r="Z11" i="5" s="1"/>
  <c r="DF115" i="5"/>
  <c r="Z115" i="5" s="1"/>
  <c r="DF91" i="5"/>
  <c r="Z91" i="5" s="1"/>
  <c r="DF87" i="5"/>
  <c r="Z87" i="5" s="1"/>
  <c r="DF103" i="5"/>
  <c r="Z103" i="5" s="1"/>
  <c r="DF99" i="5"/>
  <c r="Z99" i="5" s="1"/>
  <c r="DF95" i="5"/>
  <c r="Z95" i="5" s="1"/>
  <c r="DF117" i="5"/>
  <c r="Z117" i="5" s="1"/>
  <c r="DF53" i="5"/>
  <c r="DF49" i="5"/>
  <c r="Z49" i="5" s="1"/>
  <c r="DF45" i="5"/>
  <c r="Z45" i="5" s="1"/>
  <c r="DF119" i="5"/>
  <c r="Z119" i="5" s="1"/>
  <c r="DF121" i="5"/>
  <c r="Z121" i="5" s="1"/>
  <c r="DF51" i="5"/>
  <c r="Z51" i="5" s="1"/>
  <c r="DF47" i="5"/>
  <c r="Z47" i="5" s="1"/>
  <c r="DF103" i="8"/>
  <c r="DF97" i="8"/>
  <c r="DF101" i="8"/>
  <c r="DF95" i="8"/>
  <c r="DF117" i="8"/>
  <c r="DF99" i="8"/>
  <c r="DF115" i="8"/>
  <c r="DF123" i="8"/>
  <c r="DF119" i="8"/>
  <c r="DF121" i="8"/>
  <c r="DF47" i="8"/>
  <c r="Z47" i="8" s="1"/>
  <c r="DF45" i="8"/>
  <c r="Z45" i="8" s="1"/>
  <c r="DF51" i="8"/>
  <c r="Z51" i="8" s="1"/>
  <c r="DF37" i="8"/>
  <c r="Z37" i="8" s="1"/>
  <c r="DF87" i="8"/>
  <c r="Z87" i="8" s="1"/>
  <c r="DF111" i="8"/>
  <c r="DF113" i="8"/>
  <c r="DF17" i="8"/>
  <c r="Z17" i="8" s="1"/>
  <c r="DF69" i="8"/>
  <c r="Z69" i="8" s="1"/>
  <c r="DF65" i="8"/>
  <c r="Z65" i="8" s="1"/>
  <c r="DF7" i="8"/>
  <c r="Z7" i="8" s="1"/>
  <c r="DF77" i="8"/>
  <c r="Z77" i="8" s="1"/>
  <c r="DF83" i="8"/>
  <c r="Z83" i="8" s="1"/>
  <c r="DF49" i="8"/>
  <c r="Z49" i="8" s="1"/>
  <c r="DF43" i="8"/>
  <c r="DF85" i="8"/>
  <c r="Z85" i="8" s="1"/>
  <c r="DF15" i="8"/>
  <c r="Z15" i="8" s="1"/>
  <c r="DF41" i="8"/>
  <c r="Z41" i="8" s="1"/>
  <c r="DF93" i="8"/>
  <c r="Z93" i="8" s="1"/>
  <c r="DF91" i="8"/>
  <c r="Z91" i="8" s="1"/>
  <c r="DF109" i="8"/>
  <c r="DF105" i="8"/>
  <c r="DF23" i="8"/>
  <c r="DF21" i="8"/>
  <c r="Z21" i="8" s="1"/>
  <c r="DF53" i="8"/>
  <c r="DF39" i="8"/>
  <c r="Z39" i="8" s="1"/>
  <c r="DF35" i="8"/>
  <c r="Z35" i="8" s="1"/>
  <c r="DF89" i="8"/>
  <c r="Z89" i="8" s="1"/>
  <c r="DF107" i="8"/>
  <c r="DF19" i="8"/>
  <c r="Z19" i="8" s="1"/>
  <c r="DF57" i="8"/>
  <c r="Z57" i="8" s="1"/>
  <c r="DF79" i="8"/>
  <c r="Z79" i="8" s="1"/>
  <c r="DF67" i="8"/>
  <c r="Z67" i="8" s="1"/>
  <c r="DF55" i="8"/>
  <c r="Z55" i="8" s="1"/>
  <c r="DF59" i="8"/>
  <c r="Z59" i="8" s="1"/>
  <c r="DF61" i="8"/>
  <c r="Z61" i="8" s="1"/>
  <c r="DF11" i="8"/>
  <c r="Z11" i="8" s="1"/>
  <c r="DF13" i="8"/>
  <c r="DF29" i="8"/>
  <c r="Z29" i="8" s="1"/>
  <c r="DF33" i="8"/>
  <c r="DF73" i="8"/>
  <c r="Z73" i="8" s="1"/>
  <c r="DF9" i="8"/>
  <c r="Z9" i="8" s="1"/>
  <c r="DF27" i="8"/>
  <c r="Z27" i="8" s="1"/>
  <c r="DF71" i="8"/>
  <c r="Z71" i="8" s="1"/>
  <c r="DF5" i="8"/>
  <c r="Z5" i="8" s="1"/>
  <c r="DF81" i="8"/>
  <c r="Z81" i="8" s="1"/>
  <c r="DF75" i="8"/>
  <c r="Z75" i="8" s="1"/>
  <c r="DF31" i="8"/>
  <c r="Z31" i="8" s="1"/>
  <c r="DF25" i="8"/>
  <c r="Z25" i="8" s="1"/>
  <c r="DF63" i="8"/>
  <c r="DE59" i="6"/>
  <c r="Y59" i="6" s="1"/>
  <c r="DE51" i="6"/>
  <c r="Y51" i="6" s="1"/>
  <c r="DE61" i="6"/>
  <c r="Y61" i="6" s="1"/>
  <c r="DE53" i="6"/>
  <c r="DE63" i="6"/>
  <c r="DE55" i="6"/>
  <c r="Y55" i="6" s="1"/>
  <c r="DE47" i="6"/>
  <c r="Y47" i="6" s="1"/>
  <c r="DE39" i="6"/>
  <c r="Y39" i="6" s="1"/>
  <c r="DE49" i="6"/>
  <c r="Y49" i="6" s="1"/>
  <c r="DE43" i="6"/>
  <c r="DE29" i="6"/>
  <c r="Y29" i="6" s="1"/>
  <c r="DE21" i="6"/>
  <c r="Y21" i="6" s="1"/>
  <c r="DE13" i="6"/>
  <c r="Y13" i="6" s="1"/>
  <c r="DE45" i="6"/>
  <c r="Y45" i="6" s="1"/>
  <c r="DE31" i="6"/>
  <c r="Y31" i="6" s="1"/>
  <c r="DE23" i="6"/>
  <c r="Y23" i="6" s="1"/>
  <c r="DE15" i="6"/>
  <c r="Y15" i="6" s="1"/>
  <c r="DE57" i="6"/>
  <c r="Y57" i="6" s="1"/>
  <c r="DE33" i="6"/>
  <c r="DE25" i="6"/>
  <c r="Y25" i="6" s="1"/>
  <c r="DE17" i="6"/>
  <c r="Y17" i="6" s="1"/>
  <c r="DE9" i="6"/>
  <c r="Y9" i="6" s="1"/>
  <c r="DE41" i="6"/>
  <c r="Y41" i="6" s="1"/>
  <c r="DE27" i="6"/>
  <c r="Y27" i="6" s="1"/>
  <c r="DE11" i="6"/>
  <c r="Y11" i="6" s="1"/>
  <c r="DE5" i="6"/>
  <c r="Y5" i="6" s="1"/>
  <c r="DE7" i="6"/>
  <c r="Y7" i="6" s="1"/>
  <c r="DE37" i="6"/>
  <c r="Y37" i="6" s="1"/>
  <c r="DE35" i="6"/>
  <c r="Y35" i="6" s="1"/>
  <c r="DE19" i="6"/>
  <c r="Y19" i="6" s="1"/>
  <c r="AA3" i="8"/>
  <c r="Z3" i="7"/>
  <c r="Z3" i="6"/>
  <c r="Z44" i="8"/>
  <c r="Y48" i="7"/>
  <c r="Z74" i="5"/>
  <c r="Z50" i="5"/>
  <c r="Y44" i="7"/>
  <c r="Z68" i="5"/>
  <c r="Z70" i="5"/>
  <c r="Y104" i="8"/>
  <c r="Z104" i="5"/>
  <c r="Y44" i="6"/>
  <c r="Y48" i="6"/>
  <c r="Z46" i="5"/>
  <c r="Z46" i="8"/>
  <c r="Y110" i="7"/>
  <c r="Y106" i="8"/>
  <c r="Y106" i="7"/>
  <c r="Z54" i="5"/>
  <c r="Z56" i="5"/>
  <c r="Y108" i="7"/>
  <c r="Y110" i="8"/>
  <c r="Y108" i="8"/>
  <c r="Z66" i="5"/>
  <c r="Z44" i="5"/>
  <c r="Y50" i="7"/>
  <c r="Z58" i="5"/>
  <c r="Y46" i="7"/>
  <c r="Y50" i="6"/>
  <c r="Z106" i="5"/>
  <c r="Z108" i="5"/>
  <c r="Z110" i="5"/>
  <c r="Z64" i="5"/>
  <c r="Z50" i="8"/>
  <c r="Z48" i="5"/>
  <c r="Y104" i="7"/>
  <c r="Y46" i="6"/>
  <c r="Z48" i="8"/>
  <c r="Z60" i="5"/>
  <c r="DF119" i="6" l="1"/>
  <c r="DF123" i="6"/>
  <c r="DF109" i="6"/>
  <c r="DF105" i="6"/>
  <c r="DF107" i="6"/>
  <c r="DF113" i="6"/>
  <c r="DF65" i="6"/>
  <c r="DF115" i="6"/>
  <c r="DF67" i="6"/>
  <c r="DF69" i="6"/>
  <c r="DF81" i="6"/>
  <c r="DF83" i="6"/>
  <c r="DF121" i="6"/>
  <c r="DF111" i="6"/>
  <c r="DF73" i="6"/>
  <c r="DF77" i="6"/>
  <c r="DF117" i="6"/>
  <c r="DF99" i="6"/>
  <c r="DF101" i="6"/>
  <c r="DF93" i="6"/>
  <c r="DF75" i="6"/>
  <c r="DF71" i="6"/>
  <c r="DF95" i="6"/>
  <c r="DF91" i="6"/>
  <c r="DF89" i="6"/>
  <c r="DF79" i="6"/>
  <c r="DF97" i="6"/>
  <c r="DF103" i="6"/>
  <c r="DF85" i="6"/>
  <c r="DF87" i="6"/>
  <c r="DF113" i="7"/>
  <c r="Z113" i="7" s="1"/>
  <c r="DF111" i="7"/>
  <c r="Z111" i="7" s="1"/>
  <c r="DF65" i="7"/>
  <c r="Z65" i="7" s="1"/>
  <c r="DF107" i="7"/>
  <c r="Z107" i="7" s="1"/>
  <c r="DF105" i="7"/>
  <c r="Z105" i="7" s="1"/>
  <c r="DF109" i="7"/>
  <c r="Z109" i="7" s="1"/>
  <c r="DF67" i="7"/>
  <c r="DF87" i="7"/>
  <c r="Z87" i="7" s="1"/>
  <c r="DF73" i="7"/>
  <c r="Z73" i="7" s="1"/>
  <c r="DF19" i="7"/>
  <c r="Z19" i="7" s="1"/>
  <c r="DF91" i="7"/>
  <c r="Z91" i="7" s="1"/>
  <c r="DF89" i="7"/>
  <c r="Z89" i="7" s="1"/>
  <c r="DF15" i="7"/>
  <c r="Z15" i="7" s="1"/>
  <c r="DF21" i="7"/>
  <c r="Z21" i="7" s="1"/>
  <c r="DF115" i="7"/>
  <c r="Z115" i="7" s="1"/>
  <c r="DF29" i="7"/>
  <c r="Z29" i="7" s="1"/>
  <c r="DF49" i="7"/>
  <c r="Z49" i="7" s="1"/>
  <c r="DF47" i="7"/>
  <c r="Z47" i="7" s="1"/>
  <c r="DF95" i="7"/>
  <c r="Z95" i="7" s="1"/>
  <c r="DF99" i="7"/>
  <c r="Z99" i="7" s="1"/>
  <c r="DF71" i="7"/>
  <c r="Z71" i="7" s="1"/>
  <c r="DF123" i="7"/>
  <c r="Z123" i="7" s="1"/>
  <c r="DF27" i="7"/>
  <c r="Z27" i="7" s="1"/>
  <c r="DF45" i="7"/>
  <c r="Z45" i="7" s="1"/>
  <c r="DF97" i="7"/>
  <c r="Z97" i="7" s="1"/>
  <c r="DF101" i="7"/>
  <c r="Z101" i="7" s="1"/>
  <c r="DF103" i="7"/>
  <c r="Z103" i="7" s="1"/>
  <c r="DF121" i="7"/>
  <c r="Z121" i="7" s="1"/>
  <c r="DF119" i="7"/>
  <c r="Z119" i="7" s="1"/>
  <c r="DF25" i="7"/>
  <c r="Z25" i="7" s="1"/>
  <c r="DF53" i="7"/>
  <c r="Z53" i="7" s="1"/>
  <c r="DF23" i="7"/>
  <c r="Z23" i="7" s="1"/>
  <c r="DF17" i="7"/>
  <c r="Z17" i="7" s="1"/>
  <c r="DF117" i="7"/>
  <c r="Z117" i="7" s="1"/>
  <c r="DF83" i="7"/>
  <c r="Z83" i="7" s="1"/>
  <c r="DF41" i="7"/>
  <c r="Z41" i="7" s="1"/>
  <c r="DF39" i="7"/>
  <c r="Z39" i="7" s="1"/>
  <c r="DF9" i="7"/>
  <c r="Z9" i="7" s="1"/>
  <c r="DF7" i="7"/>
  <c r="Z7" i="7" s="1"/>
  <c r="DF93" i="7"/>
  <c r="Z93" i="7" s="1"/>
  <c r="DF85" i="7"/>
  <c r="Z85" i="7" s="1"/>
  <c r="DF33" i="7"/>
  <c r="Z33" i="7" s="1"/>
  <c r="DF31" i="7"/>
  <c r="Z31" i="7" s="1"/>
  <c r="DF75" i="7"/>
  <c r="Z75" i="7" s="1"/>
  <c r="DF77" i="7"/>
  <c r="Z77" i="7" s="1"/>
  <c r="DF37" i="7"/>
  <c r="Z37" i="7" s="1"/>
  <c r="DF5" i="7"/>
  <c r="Z5" i="7" s="1"/>
  <c r="DF59" i="7"/>
  <c r="Z59" i="7" s="1"/>
  <c r="DF79" i="7"/>
  <c r="Z79" i="7" s="1"/>
  <c r="DF43" i="7"/>
  <c r="Z43" i="7" s="1"/>
  <c r="DF11" i="7"/>
  <c r="Z11" i="7" s="1"/>
  <c r="DF63" i="7"/>
  <c r="Z63" i="7" s="1"/>
  <c r="DF55" i="7"/>
  <c r="Z55" i="7" s="1"/>
  <c r="DF69" i="7"/>
  <c r="Z69" i="7" s="1"/>
  <c r="DF51" i="7"/>
  <c r="Z51" i="7" s="1"/>
  <c r="DF81" i="7"/>
  <c r="Z81" i="7" s="1"/>
  <c r="DF35" i="7"/>
  <c r="Z35" i="7" s="1"/>
  <c r="DF13" i="7"/>
  <c r="Z13" i="7" s="1"/>
  <c r="DF57" i="7"/>
  <c r="Z57" i="7" s="1"/>
  <c r="DF61" i="7"/>
  <c r="Z61" i="7" s="1"/>
  <c r="Z67" i="7"/>
  <c r="Z121" i="8"/>
  <c r="Z99" i="8"/>
  <c r="Z23" i="8"/>
  <c r="Z43" i="8"/>
  <c r="Z113" i="8"/>
  <c r="Z119" i="8"/>
  <c r="Z117" i="8"/>
  <c r="Z103" i="8"/>
  <c r="Z33" i="5"/>
  <c r="Z97" i="8"/>
  <c r="Z53" i="5"/>
  <c r="Y43" i="6"/>
  <c r="Z63" i="8"/>
  <c r="Z13" i="8"/>
  <c r="Z105" i="8"/>
  <c r="Z111" i="8"/>
  <c r="Z123" i="8"/>
  <c r="Z95" i="8"/>
  <c r="Z63" i="5"/>
  <c r="Z33" i="8"/>
  <c r="Y33" i="6"/>
  <c r="Y63" i="6"/>
  <c r="Y53" i="6"/>
  <c r="Z107" i="8"/>
  <c r="Z53" i="8"/>
  <c r="Z109" i="8"/>
  <c r="Z115" i="8"/>
  <c r="Z101" i="8"/>
  <c r="Z43" i="5"/>
  <c r="AB3" i="5"/>
  <c r="Z10" i="17" s="1"/>
  <c r="DG109" i="5"/>
  <c r="AA109" i="5" s="1"/>
  <c r="DG111" i="5"/>
  <c r="AA111" i="5" s="1"/>
  <c r="DG67" i="5"/>
  <c r="AA67" i="5" s="1"/>
  <c r="DG73" i="5"/>
  <c r="AA73" i="5" s="1"/>
  <c r="DG75" i="5"/>
  <c r="AA75" i="5" s="1"/>
  <c r="DG113" i="5"/>
  <c r="AA113" i="5" s="1"/>
  <c r="DG107" i="5"/>
  <c r="AA107" i="5" s="1"/>
  <c r="DG71" i="5"/>
  <c r="AA71" i="5" s="1"/>
  <c r="DG79" i="5"/>
  <c r="AA79" i="5" s="1"/>
  <c r="DG105" i="5"/>
  <c r="AA105" i="5" s="1"/>
  <c r="DG69" i="5"/>
  <c r="AA69" i="5" s="1"/>
  <c r="DG81" i="5"/>
  <c r="AA81" i="5" s="1"/>
  <c r="DG65" i="5"/>
  <c r="AA65" i="5" s="1"/>
  <c r="DG31" i="5"/>
  <c r="AA31" i="5" s="1"/>
  <c r="DG61" i="5"/>
  <c r="AA61" i="5" s="1"/>
  <c r="DG9" i="5"/>
  <c r="AA9" i="5" s="1"/>
  <c r="DG13" i="5"/>
  <c r="AA13" i="5" s="1"/>
  <c r="DG43" i="5"/>
  <c r="DG41" i="5"/>
  <c r="AA41" i="5" s="1"/>
  <c r="DG23" i="5"/>
  <c r="AA23" i="5" s="1"/>
  <c r="DG21" i="5"/>
  <c r="AA21" i="5" s="1"/>
  <c r="DG101" i="5"/>
  <c r="AA101" i="5" s="1"/>
  <c r="DG83" i="5"/>
  <c r="AA83" i="5" s="1"/>
  <c r="DG25" i="5"/>
  <c r="AA25" i="5" s="1"/>
  <c r="DG27" i="5"/>
  <c r="AA27" i="5" s="1"/>
  <c r="DG55" i="5"/>
  <c r="AA55" i="5" s="1"/>
  <c r="DG11" i="5"/>
  <c r="AA11" i="5" s="1"/>
  <c r="DG15" i="5"/>
  <c r="AA15" i="5" s="1"/>
  <c r="DG77" i="5"/>
  <c r="AA77" i="5" s="1"/>
  <c r="DG29" i="5"/>
  <c r="AA29" i="5" s="1"/>
  <c r="DG59" i="5"/>
  <c r="AA59" i="5" s="1"/>
  <c r="DG7" i="5"/>
  <c r="AA7" i="5" s="1"/>
  <c r="DG35" i="5"/>
  <c r="AA35" i="5" s="1"/>
  <c r="DG17" i="5"/>
  <c r="AA17" i="5" s="1"/>
  <c r="DG19" i="5"/>
  <c r="AA19" i="5" s="1"/>
  <c r="DG99" i="5"/>
  <c r="AA99" i="5" s="1"/>
  <c r="DG57" i="5"/>
  <c r="AA57" i="5" s="1"/>
  <c r="DG39" i="5"/>
  <c r="AA39" i="5" s="1"/>
  <c r="DG45" i="5"/>
  <c r="AA45" i="5" s="1"/>
  <c r="DG91" i="5"/>
  <c r="AA91" i="5" s="1"/>
  <c r="DG37" i="5"/>
  <c r="AA37" i="5" s="1"/>
  <c r="DG97" i="5"/>
  <c r="AA97" i="5" s="1"/>
  <c r="DG33" i="5"/>
  <c r="DG63" i="5"/>
  <c r="DG95" i="5"/>
  <c r="AA95" i="5" s="1"/>
  <c r="DG121" i="5"/>
  <c r="AA121" i="5" s="1"/>
  <c r="DG119" i="5"/>
  <c r="AA119" i="5" s="1"/>
  <c r="DG53" i="5"/>
  <c r="DG47" i="5"/>
  <c r="AA47" i="5" s="1"/>
  <c r="DG89" i="5"/>
  <c r="AA89" i="5" s="1"/>
  <c r="DG5" i="5"/>
  <c r="AA5" i="5" s="1"/>
  <c r="DG51" i="5"/>
  <c r="AA51" i="5" s="1"/>
  <c r="DG93" i="5"/>
  <c r="AA93" i="5" s="1"/>
  <c r="DG87" i="5"/>
  <c r="AA87" i="5" s="1"/>
  <c r="DG103" i="5"/>
  <c r="AA103" i="5" s="1"/>
  <c r="DG117" i="5"/>
  <c r="AA117" i="5" s="1"/>
  <c r="DG123" i="5"/>
  <c r="AA123" i="5" s="1"/>
  <c r="DG115" i="5"/>
  <c r="AA115" i="5" s="1"/>
  <c r="DG85" i="5"/>
  <c r="AA85" i="5" s="1"/>
  <c r="DG49" i="5"/>
  <c r="AA49" i="5" s="1"/>
  <c r="DG95" i="8"/>
  <c r="DG103" i="8"/>
  <c r="DG97" i="8"/>
  <c r="DG119" i="8"/>
  <c r="DG101" i="8"/>
  <c r="DG117" i="8"/>
  <c r="DG121" i="8"/>
  <c r="DG99" i="8"/>
  <c r="DG123" i="8"/>
  <c r="DG115" i="8"/>
  <c r="DG49" i="8"/>
  <c r="AA49" i="8" s="1"/>
  <c r="DG35" i="8"/>
  <c r="AA35" i="8" s="1"/>
  <c r="DG43" i="8"/>
  <c r="DG89" i="8"/>
  <c r="AA89" i="8" s="1"/>
  <c r="DG93" i="8"/>
  <c r="AA93" i="8" s="1"/>
  <c r="DG113" i="8"/>
  <c r="DG19" i="8"/>
  <c r="AA19" i="8" s="1"/>
  <c r="DG23" i="8"/>
  <c r="DG61" i="8"/>
  <c r="AA61" i="8" s="1"/>
  <c r="DG9" i="8"/>
  <c r="AA9" i="8" s="1"/>
  <c r="DG79" i="8"/>
  <c r="AA79" i="8" s="1"/>
  <c r="DG37" i="8"/>
  <c r="AA37" i="8" s="1"/>
  <c r="DG87" i="8"/>
  <c r="AA87" i="8" s="1"/>
  <c r="DG17" i="8"/>
  <c r="AA17" i="8" s="1"/>
  <c r="DG45" i="8"/>
  <c r="AA45" i="8" s="1"/>
  <c r="DG47" i="8"/>
  <c r="AA47" i="8" s="1"/>
  <c r="DG53" i="8"/>
  <c r="DG39" i="8"/>
  <c r="AA39" i="8" s="1"/>
  <c r="DG85" i="8"/>
  <c r="AA85" i="8" s="1"/>
  <c r="DG111" i="8"/>
  <c r="DG107" i="8"/>
  <c r="DG15" i="8"/>
  <c r="AA15" i="8" s="1"/>
  <c r="DG51" i="8"/>
  <c r="AA51" i="8" s="1"/>
  <c r="DG41" i="8"/>
  <c r="AA41" i="8" s="1"/>
  <c r="DG91" i="8"/>
  <c r="AA91" i="8" s="1"/>
  <c r="DG109" i="8"/>
  <c r="DG105" i="8"/>
  <c r="DG21" i="8"/>
  <c r="AA21" i="8" s="1"/>
  <c r="DG55" i="8"/>
  <c r="AA55" i="8" s="1"/>
  <c r="DG63" i="8"/>
  <c r="DG81" i="8"/>
  <c r="AA81" i="8" s="1"/>
  <c r="DG77" i="8"/>
  <c r="AA77" i="8" s="1"/>
  <c r="DG57" i="8"/>
  <c r="AA57" i="8" s="1"/>
  <c r="DG7" i="8"/>
  <c r="AA7" i="8" s="1"/>
  <c r="DG25" i="8"/>
  <c r="AA25" i="8" s="1"/>
  <c r="DG73" i="8"/>
  <c r="AA73" i="8" s="1"/>
  <c r="DG5" i="8"/>
  <c r="AA5" i="8" s="1"/>
  <c r="DG83" i="8"/>
  <c r="AA83" i="8" s="1"/>
  <c r="DG27" i="8"/>
  <c r="AA27" i="8" s="1"/>
  <c r="DG67" i="8"/>
  <c r="AA67" i="8" s="1"/>
  <c r="DG71" i="8"/>
  <c r="AA71" i="8" s="1"/>
  <c r="DG69" i="8"/>
  <c r="AA69" i="8" s="1"/>
  <c r="DG31" i="8"/>
  <c r="AA31" i="8" s="1"/>
  <c r="DG29" i="8"/>
  <c r="AA29" i="8" s="1"/>
  <c r="DG33" i="8"/>
  <c r="DG65" i="8"/>
  <c r="AA65" i="8" s="1"/>
  <c r="DG59" i="8"/>
  <c r="AA59" i="8" s="1"/>
  <c r="DG13" i="8"/>
  <c r="DG11" i="8"/>
  <c r="AA11" i="8" s="1"/>
  <c r="DG75" i="8"/>
  <c r="AA75" i="8" s="1"/>
  <c r="DF61" i="6"/>
  <c r="Z61" i="6" s="1"/>
  <c r="DF53" i="6"/>
  <c r="DF63" i="6"/>
  <c r="DF55" i="6"/>
  <c r="Z55" i="6" s="1"/>
  <c r="DF57" i="6"/>
  <c r="Z57" i="6" s="1"/>
  <c r="DF49" i="6"/>
  <c r="Z49" i="6" s="1"/>
  <c r="DF41" i="6"/>
  <c r="Z41" i="6" s="1"/>
  <c r="DF47" i="6"/>
  <c r="Z47" i="6" s="1"/>
  <c r="DF45" i="6"/>
  <c r="Z45" i="6" s="1"/>
  <c r="DF31" i="6"/>
  <c r="Z31" i="6" s="1"/>
  <c r="DF23" i="6"/>
  <c r="Z23" i="6" s="1"/>
  <c r="DF15" i="6"/>
  <c r="Z15" i="6" s="1"/>
  <c r="DF59" i="6"/>
  <c r="Z59" i="6" s="1"/>
  <c r="DF33" i="6"/>
  <c r="DF25" i="6"/>
  <c r="Z25" i="6" s="1"/>
  <c r="DF17" i="6"/>
  <c r="Z17" i="6" s="1"/>
  <c r="DF39" i="6"/>
  <c r="Z39" i="6" s="1"/>
  <c r="DF37" i="6"/>
  <c r="Z37" i="6" s="1"/>
  <c r="DF35" i="6"/>
  <c r="Z35" i="6" s="1"/>
  <c r="DF27" i="6"/>
  <c r="Z27" i="6" s="1"/>
  <c r="DF19" i="6"/>
  <c r="Z19" i="6" s="1"/>
  <c r="DF11" i="6"/>
  <c r="Z11" i="6" s="1"/>
  <c r="DF7" i="6"/>
  <c r="Z7" i="6" s="1"/>
  <c r="DF29" i="6"/>
  <c r="Z29" i="6" s="1"/>
  <c r="DF21" i="6"/>
  <c r="Z21" i="6" s="1"/>
  <c r="DF13" i="6"/>
  <c r="Z13" i="6" s="1"/>
  <c r="DF9" i="6"/>
  <c r="Z9" i="6" s="1"/>
  <c r="DF5" i="6"/>
  <c r="Z5" i="6" s="1"/>
  <c r="DF51" i="6"/>
  <c r="Z51" i="6" s="1"/>
  <c r="DF43" i="6"/>
  <c r="AB3" i="8"/>
  <c r="Y48" i="20" s="1"/>
  <c r="AA3" i="7"/>
  <c r="AA3" i="6"/>
  <c r="Z110" i="7"/>
  <c r="AA50" i="5"/>
  <c r="AA46" i="5"/>
  <c r="AA104" i="5"/>
  <c r="Z46" i="7"/>
  <c r="AA64" i="5"/>
  <c r="AA50" i="8"/>
  <c r="Z104" i="7"/>
  <c r="Z108" i="7"/>
  <c r="Z106" i="8"/>
  <c r="Z50" i="6"/>
  <c r="AA58" i="5"/>
  <c r="AA70" i="5"/>
  <c r="Z108" i="8"/>
  <c r="Z106" i="7"/>
  <c r="Z50" i="7"/>
  <c r="Z46" i="6"/>
  <c r="AA108" i="5"/>
  <c r="Z104" i="8"/>
  <c r="AA106" i="5"/>
  <c r="AA60" i="5"/>
  <c r="AA56" i="5"/>
  <c r="AA46" i="8"/>
  <c r="AA48" i="5"/>
  <c r="AA68" i="5"/>
  <c r="AA44" i="8"/>
  <c r="Z110" i="8"/>
  <c r="AA110" i="5"/>
  <c r="AA74" i="5"/>
  <c r="AA48" i="8"/>
  <c r="AA44" i="5"/>
  <c r="Z48" i="7"/>
  <c r="AA54" i="5"/>
  <c r="Z48" i="6"/>
  <c r="Z44" i="7"/>
  <c r="AA66" i="5"/>
  <c r="Z44" i="6"/>
  <c r="DG119" i="6" l="1"/>
  <c r="DG117" i="6"/>
  <c r="DG105" i="6"/>
  <c r="DG107" i="6"/>
  <c r="DG65" i="6"/>
  <c r="DG115" i="6"/>
  <c r="DG121" i="6"/>
  <c r="DG109" i="6"/>
  <c r="DG113" i="6"/>
  <c r="DG75" i="6"/>
  <c r="DG83" i="6"/>
  <c r="DG111" i="6"/>
  <c r="DG67" i="6"/>
  <c r="DG73" i="6"/>
  <c r="DG71" i="6"/>
  <c r="DG77" i="6"/>
  <c r="DG95" i="6"/>
  <c r="DG101" i="6"/>
  <c r="DG123" i="6"/>
  <c r="DG79" i="6"/>
  <c r="DG97" i="6"/>
  <c r="DG99" i="6"/>
  <c r="DG81" i="6"/>
  <c r="DG91" i="6"/>
  <c r="DG85" i="6"/>
  <c r="DG87" i="6"/>
  <c r="DG89" i="6"/>
  <c r="DG103" i="6"/>
  <c r="DG93" i="6"/>
  <c r="DG69" i="6"/>
  <c r="Z40" i="18"/>
  <c r="Y48" i="17"/>
  <c r="Z44" i="19"/>
  <c r="Z40" i="21"/>
  <c r="Y48" i="21"/>
  <c r="Z42" i="20"/>
  <c r="Z40" i="22"/>
  <c r="Z42" i="21"/>
  <c r="Z42" i="19"/>
  <c r="Z48" i="18"/>
  <c r="Z16" i="19"/>
  <c r="Y18" i="22"/>
  <c r="Z14" i="20"/>
  <c r="Z16" i="22"/>
  <c r="Z10" i="20"/>
  <c r="Z16" i="20"/>
  <c r="Z18" i="22"/>
  <c r="Z12" i="19"/>
  <c r="DG113" i="7"/>
  <c r="AA113" i="7" s="1"/>
  <c r="DG111" i="7"/>
  <c r="AA111" i="7" s="1"/>
  <c r="DG109" i="7"/>
  <c r="AA109" i="7" s="1"/>
  <c r="DG107" i="7"/>
  <c r="AA107" i="7" s="1"/>
  <c r="DG105" i="7"/>
  <c r="AA105" i="7" s="1"/>
  <c r="DG17" i="7"/>
  <c r="AA17" i="7" s="1"/>
  <c r="DG67" i="7"/>
  <c r="AA67" i="7" s="1"/>
  <c r="DG65" i="7"/>
  <c r="AA65" i="7" s="1"/>
  <c r="DG69" i="7"/>
  <c r="AA69" i="7" s="1"/>
  <c r="DG87" i="7"/>
  <c r="AA87" i="7" s="1"/>
  <c r="DG91" i="7"/>
  <c r="AA91" i="7" s="1"/>
  <c r="DG71" i="7"/>
  <c r="AA71" i="7" s="1"/>
  <c r="DG15" i="7"/>
  <c r="AA15" i="7" s="1"/>
  <c r="DG23" i="7"/>
  <c r="AA23" i="7" s="1"/>
  <c r="DG19" i="7"/>
  <c r="AA19" i="7" s="1"/>
  <c r="DG21" i="7"/>
  <c r="AA21" i="7" s="1"/>
  <c r="DG89" i="7"/>
  <c r="AA89" i="7" s="1"/>
  <c r="DG73" i="7"/>
  <c r="AA73" i="7" s="1"/>
  <c r="DG93" i="7"/>
  <c r="DG117" i="7"/>
  <c r="AA117" i="7" s="1"/>
  <c r="DG31" i="7"/>
  <c r="AA31" i="7" s="1"/>
  <c r="DG51" i="7"/>
  <c r="AA51" i="7" s="1"/>
  <c r="DG49" i="7"/>
  <c r="AA49" i="7" s="1"/>
  <c r="DG97" i="7"/>
  <c r="AA97" i="7" s="1"/>
  <c r="DG115" i="7"/>
  <c r="AA115" i="7" s="1"/>
  <c r="DG29" i="7"/>
  <c r="AA29" i="7" s="1"/>
  <c r="DG47" i="7"/>
  <c r="AA47" i="7" s="1"/>
  <c r="DG99" i="7"/>
  <c r="AA99" i="7" s="1"/>
  <c r="DG103" i="7"/>
  <c r="AA103" i="7" s="1"/>
  <c r="DG101" i="7"/>
  <c r="AA101" i="7" s="1"/>
  <c r="DG85" i="7"/>
  <c r="AA85" i="7" s="1"/>
  <c r="DG123" i="7"/>
  <c r="AA123" i="7" s="1"/>
  <c r="DG121" i="7"/>
  <c r="AA121" i="7" s="1"/>
  <c r="DG27" i="7"/>
  <c r="AA27" i="7" s="1"/>
  <c r="DG25" i="7"/>
  <c r="AA25" i="7" s="1"/>
  <c r="DG45" i="7"/>
  <c r="AA45" i="7" s="1"/>
  <c r="DG53" i="7"/>
  <c r="AA53" i="7" s="1"/>
  <c r="DG75" i="7"/>
  <c r="AA75" i="7" s="1"/>
  <c r="DG77" i="7"/>
  <c r="AA77" i="7" s="1"/>
  <c r="DG83" i="7"/>
  <c r="AA83" i="7" s="1"/>
  <c r="DG43" i="7"/>
  <c r="AA43" i="7" s="1"/>
  <c r="DG41" i="7"/>
  <c r="AA41" i="7" s="1"/>
  <c r="DG11" i="7"/>
  <c r="AA11" i="7" s="1"/>
  <c r="DG9" i="7"/>
  <c r="AA9" i="7" s="1"/>
  <c r="DG57" i="7"/>
  <c r="AA57" i="7" s="1"/>
  <c r="DG63" i="7"/>
  <c r="AA63" i="7" s="1"/>
  <c r="DG119" i="7"/>
  <c r="AA119" i="7" s="1"/>
  <c r="DG95" i="7"/>
  <c r="AA95" i="7" s="1"/>
  <c r="DG39" i="7"/>
  <c r="AA39" i="7" s="1"/>
  <c r="DG7" i="7"/>
  <c r="AA7" i="7" s="1"/>
  <c r="DG35" i="7"/>
  <c r="AA35" i="7" s="1"/>
  <c r="DG13" i="7"/>
  <c r="AA13" i="7" s="1"/>
  <c r="DG59" i="7"/>
  <c r="AA59" i="7" s="1"/>
  <c r="DG55" i="7"/>
  <c r="AA55" i="7" s="1"/>
  <c r="DG33" i="7"/>
  <c r="AA33" i="7" s="1"/>
  <c r="DG81" i="7"/>
  <c r="AA81" i="7" s="1"/>
  <c r="DG79" i="7"/>
  <c r="AA79" i="7" s="1"/>
  <c r="DG37" i="7"/>
  <c r="AA37" i="7" s="1"/>
  <c r="DG5" i="7"/>
  <c r="AA5" i="7" s="1"/>
  <c r="DG61" i="7"/>
  <c r="AA61" i="7" s="1"/>
  <c r="AA93" i="7"/>
  <c r="U17" i="22"/>
  <c r="X17" i="21"/>
  <c r="W17" i="22"/>
  <c r="W17" i="21"/>
  <c r="X17" i="17"/>
  <c r="U17" i="20"/>
  <c r="Z17" i="17"/>
  <c r="Z17" i="22"/>
  <c r="X17" i="22"/>
  <c r="Z17" i="20"/>
  <c r="X17" i="19"/>
  <c r="V17" i="17"/>
  <c r="AA17" i="17"/>
  <c r="V17" i="22"/>
  <c r="Z17" i="21"/>
  <c r="Y17" i="21"/>
  <c r="AA17" i="20"/>
  <c r="V17" i="20"/>
  <c r="Z17" i="19"/>
  <c r="X17" i="20"/>
  <c r="AA17" i="19"/>
  <c r="Y17" i="17"/>
  <c r="Y17" i="19"/>
  <c r="W17" i="17"/>
  <c r="W17" i="19"/>
  <c r="U17" i="17"/>
  <c r="U17" i="19"/>
  <c r="V17" i="21"/>
  <c r="Y17" i="22"/>
  <c r="U17" i="21"/>
  <c r="AA17" i="22"/>
  <c r="AA17" i="21"/>
  <c r="W17" i="20"/>
  <c r="V17" i="19"/>
  <c r="Y17" i="20"/>
  <c r="U14" i="22"/>
  <c r="U14" i="19"/>
  <c r="U14" i="18"/>
  <c r="U16" i="18"/>
  <c r="U10" i="21"/>
  <c r="U12" i="22"/>
  <c r="U10" i="20"/>
  <c r="U12" i="17"/>
  <c r="U10" i="18"/>
  <c r="U14" i="17"/>
  <c r="U16" i="17"/>
  <c r="U17" i="18"/>
  <c r="U14" i="20"/>
  <c r="U10" i="19"/>
  <c r="U18" i="18"/>
  <c r="U12" i="18"/>
  <c r="U10" i="17"/>
  <c r="U16" i="22"/>
  <c r="U12" i="21"/>
  <c r="U14" i="21"/>
  <c r="U12" i="19"/>
  <c r="U18" i="17"/>
  <c r="U12" i="20"/>
  <c r="U16" i="21"/>
  <c r="U16" i="19"/>
  <c r="U10" i="22"/>
  <c r="U16" i="20"/>
  <c r="U18" i="22"/>
  <c r="U18" i="19"/>
  <c r="V16" i="22"/>
  <c r="V16" i="20"/>
  <c r="V14" i="18"/>
  <c r="V10" i="22"/>
  <c r="V12" i="22"/>
  <c r="V14" i="22"/>
  <c r="V14" i="20"/>
  <c r="V10" i="19"/>
  <c r="V12" i="19"/>
  <c r="V10" i="21"/>
  <c r="V10" i="20"/>
  <c r="V14" i="21"/>
  <c r="V16" i="18"/>
  <c r="U18" i="21"/>
  <c r="V16" i="21"/>
  <c r="V14" i="19"/>
  <c r="V18" i="18"/>
  <c r="V17" i="18"/>
  <c r="V10" i="18"/>
  <c r="V12" i="17"/>
  <c r="V16" i="17"/>
  <c r="U18" i="20"/>
  <c r="V12" i="20"/>
  <c r="V18" i="17"/>
  <c r="V16" i="19"/>
  <c r="V14" i="17"/>
  <c r="V10" i="17"/>
  <c r="V12" i="21"/>
  <c r="V12" i="18"/>
  <c r="V18" i="19"/>
  <c r="V18" i="21"/>
  <c r="V18" i="20"/>
  <c r="V9" i="18"/>
  <c r="V13" i="20"/>
  <c r="V13" i="22"/>
  <c r="V9" i="22"/>
  <c r="V11" i="17"/>
  <c r="V15" i="21"/>
  <c r="V9" i="19"/>
  <c r="V15" i="17"/>
  <c r="U9" i="19"/>
  <c r="U15" i="19"/>
  <c r="U11" i="19"/>
  <c r="U13" i="22"/>
  <c r="U15" i="22"/>
  <c r="U13" i="17"/>
  <c r="W11" i="18"/>
  <c r="W9" i="21"/>
  <c r="W15" i="22"/>
  <c r="W15" i="19"/>
  <c r="W15" i="17"/>
  <c r="W12" i="21"/>
  <c r="W18" i="17"/>
  <c r="W16" i="20"/>
  <c r="W10" i="17"/>
  <c r="W12" i="19"/>
  <c r="W17" i="18"/>
  <c r="W16" i="18"/>
  <c r="V18" i="22"/>
  <c r="V9" i="20"/>
  <c r="V9" i="17"/>
  <c r="V13" i="18"/>
  <c r="V11" i="22"/>
  <c r="V11" i="18"/>
  <c r="V9" i="21"/>
  <c r="U13" i="20"/>
  <c r="U15" i="17"/>
  <c r="U9" i="22"/>
  <c r="U11" i="22"/>
  <c r="U11" i="18"/>
  <c r="U11" i="21"/>
  <c r="U9" i="21"/>
  <c r="U9" i="20"/>
  <c r="W11" i="21"/>
  <c r="W11" i="17"/>
  <c r="W13" i="22"/>
  <c r="W11" i="20"/>
  <c r="W11" i="19"/>
  <c r="W9" i="19"/>
  <c r="W15" i="18"/>
  <c r="W14" i="21"/>
  <c r="W12" i="18"/>
  <c r="W10" i="21"/>
  <c r="W16" i="22"/>
  <c r="W10" i="20"/>
  <c r="W14" i="20"/>
  <c r="W10" i="19"/>
  <c r="W16" i="17"/>
  <c r="V13" i="19"/>
  <c r="V11" i="21"/>
  <c r="V13" i="17"/>
  <c r="U11" i="20"/>
  <c r="U15" i="18"/>
  <c r="U13" i="21"/>
  <c r="U15" i="20"/>
  <c r="U11" i="17"/>
  <c r="U13" i="19"/>
  <c r="U9" i="18"/>
  <c r="W13" i="21"/>
  <c r="W9" i="22"/>
  <c r="W9" i="18"/>
  <c r="W9" i="20"/>
  <c r="W13" i="20"/>
  <c r="W13" i="17"/>
  <c r="W11" i="22"/>
  <c r="W16" i="21"/>
  <c r="W12" i="17"/>
  <c r="W14" i="22"/>
  <c r="W12" i="20"/>
  <c r="W14" i="19"/>
  <c r="W14" i="17"/>
  <c r="W12" i="22"/>
  <c r="V15" i="20"/>
  <c r="V11" i="20"/>
  <c r="V15" i="19"/>
  <c r="V11" i="19"/>
  <c r="V13" i="21"/>
  <c r="V15" i="22"/>
  <c r="V15" i="18"/>
  <c r="U15" i="21"/>
  <c r="U13" i="18"/>
  <c r="U9" i="17"/>
  <c r="W15" i="21"/>
  <c r="W15" i="20"/>
  <c r="W9" i="17"/>
  <c r="W13" i="19"/>
  <c r="W13" i="18"/>
  <c r="W18" i="18"/>
  <c r="W10" i="22"/>
  <c r="W10" i="18"/>
  <c r="W16" i="19"/>
  <c r="W14" i="18"/>
  <c r="X17" i="18"/>
  <c r="X16" i="19"/>
  <c r="X12" i="18"/>
  <c r="X16" i="21"/>
  <c r="X14" i="20"/>
  <c r="X10" i="19"/>
  <c r="X10" i="18"/>
  <c r="X10" i="22"/>
  <c r="W18" i="22"/>
  <c r="X14" i="18"/>
  <c r="X12" i="21"/>
  <c r="X16" i="20"/>
  <c r="X18" i="17"/>
  <c r="X16" i="18"/>
  <c r="X10" i="21"/>
  <c r="X14" i="19"/>
  <c r="W18" i="21"/>
  <c r="X14" i="17"/>
  <c r="X10" i="20"/>
  <c r="X18" i="18"/>
  <c r="X16" i="17"/>
  <c r="X16" i="22"/>
  <c r="W18" i="19"/>
  <c r="W18" i="20"/>
  <c r="X14" i="21"/>
  <c r="X14" i="22"/>
  <c r="X12" i="17"/>
  <c r="X12" i="22"/>
  <c r="X12" i="19"/>
  <c r="X10" i="17"/>
  <c r="X12" i="20"/>
  <c r="Y16" i="17"/>
  <c r="Y12" i="19"/>
  <c r="Y14" i="22"/>
  <c r="Y12" i="21"/>
  <c r="Y14" i="20"/>
  <c r="Y14" i="19"/>
  <c r="Y10" i="18"/>
  <c r="Y16" i="22"/>
  <c r="X18" i="20"/>
  <c r="Y18" i="18"/>
  <c r="Y10" i="20"/>
  <c r="Y12" i="20"/>
  <c r="Y10" i="21"/>
  <c r="Y10" i="19"/>
  <c r="Y10" i="17"/>
  <c r="X18" i="19"/>
  <c r="Y18" i="17"/>
  <c r="Y10" i="22"/>
  <c r="Y16" i="19"/>
  <c r="Y12" i="17"/>
  <c r="Y14" i="18"/>
  <c r="Y16" i="21"/>
  <c r="X18" i="22"/>
  <c r="X18" i="21"/>
  <c r="Y16" i="18"/>
  <c r="Y17" i="18"/>
  <c r="Y12" i="22"/>
  <c r="Y14" i="21"/>
  <c r="Y12" i="18"/>
  <c r="Y14" i="17"/>
  <c r="Y16" i="20"/>
  <c r="Z14" i="22"/>
  <c r="Z46" i="21"/>
  <c r="Z10" i="22"/>
  <c r="Z12" i="20"/>
  <c r="Z46" i="22"/>
  <c r="Z14" i="17"/>
  <c r="Z17" i="18"/>
  <c r="Z46" i="17"/>
  <c r="Z40" i="19"/>
  <c r="Z18" i="17"/>
  <c r="Z10" i="18"/>
  <c r="Z44" i="21"/>
  <c r="Z44" i="17"/>
  <c r="Z48" i="17"/>
  <c r="X9" i="21"/>
  <c r="Y9" i="21"/>
  <c r="Y18" i="21"/>
  <c r="W47" i="22"/>
  <c r="V47" i="22"/>
  <c r="AA47" i="21"/>
  <c r="Z47" i="21"/>
  <c r="Y47" i="20"/>
  <c r="X47" i="18"/>
  <c r="V47" i="17"/>
  <c r="Y47" i="18"/>
  <c r="Y47" i="17"/>
  <c r="X47" i="19"/>
  <c r="U47" i="18"/>
  <c r="W47" i="21"/>
  <c r="Z47" i="20"/>
  <c r="Y47" i="22"/>
  <c r="V47" i="21"/>
  <c r="U47" i="20"/>
  <c r="X47" i="20"/>
  <c r="Z47" i="18"/>
  <c r="X47" i="17"/>
  <c r="W47" i="20"/>
  <c r="Y47" i="19"/>
  <c r="V47" i="20"/>
  <c r="U47" i="22"/>
  <c r="Y47" i="21"/>
  <c r="AA47" i="19"/>
  <c r="V47" i="18"/>
  <c r="AA47" i="20"/>
  <c r="U47" i="19"/>
  <c r="Z47" i="19"/>
  <c r="V47" i="19"/>
  <c r="AA47" i="18"/>
  <c r="AA47" i="17"/>
  <c r="AA47" i="22"/>
  <c r="X47" i="21"/>
  <c r="Z47" i="22"/>
  <c r="X47" i="22"/>
  <c r="U47" i="21"/>
  <c r="W47" i="19"/>
  <c r="Z47" i="17"/>
  <c r="W47" i="18"/>
  <c r="W47" i="17"/>
  <c r="U47" i="17"/>
  <c r="U46" i="19"/>
  <c r="U40" i="21"/>
  <c r="U40" i="18"/>
  <c r="U46" i="22"/>
  <c r="U42" i="19"/>
  <c r="U44" i="20"/>
  <c r="U40" i="20"/>
  <c r="U44" i="18"/>
  <c r="U42" i="20"/>
  <c r="U40" i="17"/>
  <c r="U46" i="20"/>
  <c r="U40" i="19"/>
  <c r="U46" i="21"/>
  <c r="U44" i="17"/>
  <c r="U42" i="22"/>
  <c r="U44" i="21"/>
  <c r="U42" i="18"/>
  <c r="U46" i="18"/>
  <c r="U42" i="21"/>
  <c r="U44" i="19"/>
  <c r="U40" i="22"/>
  <c r="U42" i="17"/>
  <c r="U46" i="17"/>
  <c r="U48" i="18"/>
  <c r="U48" i="20"/>
  <c r="V46" i="22"/>
  <c r="V46" i="20"/>
  <c r="V40" i="22"/>
  <c r="V40" i="20"/>
  <c r="V46" i="19"/>
  <c r="V40" i="17"/>
  <c r="U48" i="19"/>
  <c r="U48" i="22"/>
  <c r="V42" i="22"/>
  <c r="V44" i="18"/>
  <c r="V46" i="18"/>
  <c r="V44" i="20"/>
  <c r="V44" i="21"/>
  <c r="V44" i="19"/>
  <c r="U48" i="21"/>
  <c r="U48" i="17"/>
  <c r="V42" i="18"/>
  <c r="V44" i="17"/>
  <c r="V46" i="17"/>
  <c r="V42" i="19"/>
  <c r="V46" i="21"/>
  <c r="V42" i="21"/>
  <c r="V42" i="17"/>
  <c r="V42" i="20"/>
  <c r="V40" i="21"/>
  <c r="V40" i="19"/>
  <c r="V40" i="18"/>
  <c r="V45" i="21"/>
  <c r="V45" i="22"/>
  <c r="V43" i="18"/>
  <c r="V39" i="20"/>
  <c r="V45" i="17"/>
  <c r="V43" i="20"/>
  <c r="V39" i="19"/>
  <c r="U45" i="22"/>
  <c r="U39" i="17"/>
  <c r="U43" i="17"/>
  <c r="U43" i="21"/>
  <c r="U41" i="18"/>
  <c r="W45" i="19"/>
  <c r="W45" i="18"/>
  <c r="W43" i="20"/>
  <c r="W41" i="18"/>
  <c r="W41" i="22"/>
  <c r="W45" i="21"/>
  <c r="W39" i="20"/>
  <c r="W46" i="18"/>
  <c r="W40" i="17"/>
  <c r="W46" i="20"/>
  <c r="W40" i="19"/>
  <c r="W40" i="21"/>
  <c r="V48" i="20"/>
  <c r="V48" i="17"/>
  <c r="V43" i="22"/>
  <c r="V43" i="17"/>
  <c r="V39" i="21"/>
  <c r="V45" i="18"/>
  <c r="V43" i="21"/>
  <c r="V41" i="21"/>
  <c r="U39" i="21"/>
  <c r="U41" i="21"/>
  <c r="U43" i="20"/>
  <c r="U41" i="22"/>
  <c r="W43" i="18"/>
  <c r="W41" i="21"/>
  <c r="W41" i="17"/>
  <c r="W41" i="20"/>
  <c r="W39" i="19"/>
  <c r="W39" i="21"/>
  <c r="W46" i="19"/>
  <c r="W46" i="17"/>
  <c r="W42" i="18"/>
  <c r="W42" i="22"/>
  <c r="W42" i="19"/>
  <c r="V48" i="18"/>
  <c r="V44" i="22"/>
  <c r="V43" i="19"/>
  <c r="V45" i="20"/>
  <c r="V39" i="17"/>
  <c r="V41" i="20"/>
  <c r="V41" i="18"/>
  <c r="U44" i="22"/>
  <c r="U45" i="19"/>
  <c r="U41" i="19"/>
  <c r="U43" i="19"/>
  <c r="U41" i="20"/>
  <c r="U45" i="20"/>
  <c r="U39" i="20"/>
  <c r="U45" i="18"/>
  <c r="W43" i="19"/>
  <c r="W43" i="17"/>
  <c r="W44" i="22"/>
  <c r="W39" i="17"/>
  <c r="W43" i="21"/>
  <c r="W41" i="19"/>
  <c r="W44" i="18"/>
  <c r="W42" i="21"/>
  <c r="W42" i="17"/>
  <c r="W42" i="20"/>
  <c r="W40" i="22"/>
  <c r="W46" i="22"/>
  <c r="V48" i="21"/>
  <c r="V48" i="22"/>
  <c r="V48" i="19"/>
  <c r="V41" i="19"/>
  <c r="V41" i="22"/>
  <c r="V45" i="19"/>
  <c r="V39" i="18"/>
  <c r="V39" i="22"/>
  <c r="V41" i="17"/>
  <c r="U43" i="22"/>
  <c r="U39" i="22"/>
  <c r="U39" i="18"/>
  <c r="U43" i="18"/>
  <c r="U39" i="19"/>
  <c r="U41" i="17"/>
  <c r="U45" i="21"/>
  <c r="U45" i="17"/>
  <c r="W45" i="17"/>
  <c r="W43" i="22"/>
  <c r="W39" i="18"/>
  <c r="W45" i="20"/>
  <c r="W39" i="22"/>
  <c r="W45" i="22"/>
  <c r="W44" i="19"/>
  <c r="W44" i="17"/>
  <c r="W44" i="20"/>
  <c r="W40" i="18"/>
  <c r="W44" i="21"/>
  <c r="W46" i="21"/>
  <c r="W40" i="20"/>
  <c r="W48" i="18"/>
  <c r="W48" i="21"/>
  <c r="W48" i="22"/>
  <c r="W48" i="19"/>
  <c r="X46" i="17"/>
  <c r="X40" i="22"/>
  <c r="X42" i="19"/>
  <c r="X44" i="18"/>
  <c r="X42" i="22"/>
  <c r="X40" i="20"/>
  <c r="X44" i="21"/>
  <c r="X44" i="19"/>
  <c r="X46" i="22"/>
  <c r="X44" i="17"/>
  <c r="X40" i="18"/>
  <c r="X42" i="20"/>
  <c r="W48" i="20"/>
  <c r="X46" i="20"/>
  <c r="X40" i="21"/>
  <c r="X42" i="18"/>
  <c r="X46" i="21"/>
  <c r="X40" i="17"/>
  <c r="X44" i="20"/>
  <c r="W48" i="17"/>
  <c r="X46" i="18"/>
  <c r="X46" i="19"/>
  <c r="X42" i="17"/>
  <c r="X42" i="21"/>
  <c r="X40" i="19"/>
  <c r="X48" i="18"/>
  <c r="Y42" i="17"/>
  <c r="Y42" i="20"/>
  <c r="Y40" i="20"/>
  <c r="Y44" i="21"/>
  <c r="Y40" i="19"/>
  <c r="X48" i="19"/>
  <c r="X48" i="20"/>
  <c r="Y42" i="19"/>
  <c r="Y46" i="18"/>
  <c r="Y40" i="18"/>
  <c r="Y40" i="22"/>
  <c r="Y46" i="21"/>
  <c r="Y46" i="19"/>
  <c r="X48" i="21"/>
  <c r="Y44" i="19"/>
  <c r="Y46" i="17"/>
  <c r="Y40" i="17"/>
  <c r="Y44" i="18"/>
  <c r="Y42" i="22"/>
  <c r="Y46" i="20"/>
  <c r="X48" i="17"/>
  <c r="X48" i="22"/>
  <c r="Y42" i="18"/>
  <c r="Y46" i="22"/>
  <c r="Y42" i="21"/>
  <c r="Y40" i="21"/>
  <c r="Y44" i="17"/>
  <c r="Y44" i="20"/>
  <c r="Z40" i="20"/>
  <c r="Z12" i="18"/>
  <c r="Z16" i="17"/>
  <c r="Z14" i="18"/>
  <c r="Z14" i="21"/>
  <c r="Z46" i="18"/>
  <c r="Z18" i="18"/>
  <c r="Z10" i="21"/>
  <c r="Z46" i="20"/>
  <c r="Z44" i="18"/>
  <c r="Z42" i="17"/>
  <c r="Z46" i="19"/>
  <c r="Y48" i="22"/>
  <c r="Y18" i="20"/>
  <c r="Z18" i="20"/>
  <c r="Z48" i="21"/>
  <c r="Z48" i="19"/>
  <c r="Z48" i="22"/>
  <c r="Z18" i="21"/>
  <c r="Z18" i="19"/>
  <c r="Y18" i="19"/>
  <c r="Y48" i="19"/>
  <c r="Z10" i="19"/>
  <c r="Z42" i="22"/>
  <c r="Z12" i="17"/>
  <c r="Z16" i="18"/>
  <c r="Z12" i="22"/>
  <c r="Z16" i="21"/>
  <c r="Z40" i="17"/>
  <c r="Z14" i="19"/>
  <c r="Z12" i="21"/>
  <c r="Z44" i="20"/>
  <c r="Z42" i="18"/>
  <c r="Z48" i="20"/>
  <c r="Y48" i="18"/>
  <c r="Z9" i="21"/>
  <c r="AA43" i="8"/>
  <c r="AA48" i="20" s="1"/>
  <c r="AA101" i="8"/>
  <c r="AA95" i="8"/>
  <c r="AA33" i="5"/>
  <c r="AA18" i="19" s="1"/>
  <c r="Z43" i="6"/>
  <c r="AA63" i="8"/>
  <c r="AA48" i="22" s="1"/>
  <c r="AA109" i="8"/>
  <c r="AA113" i="8"/>
  <c r="AA99" i="8"/>
  <c r="AA119" i="8"/>
  <c r="AA43" i="5"/>
  <c r="AA18" i="20" s="1"/>
  <c r="AA53" i="8"/>
  <c r="AA48" i="21" s="1"/>
  <c r="AA121" i="8"/>
  <c r="Z33" i="6"/>
  <c r="Z63" i="6"/>
  <c r="Z53" i="6"/>
  <c r="AA33" i="8"/>
  <c r="AA48" i="19" s="1"/>
  <c r="AA107" i="8"/>
  <c r="AA97" i="8"/>
  <c r="AA13" i="8"/>
  <c r="AA48" i="17" s="1"/>
  <c r="AA111" i="8"/>
  <c r="AA23" i="8"/>
  <c r="AA48" i="18" s="1"/>
  <c r="AA115" i="8"/>
  <c r="AA117" i="8"/>
  <c r="AA103" i="8"/>
  <c r="AA53" i="5"/>
  <c r="AA18" i="21" s="1"/>
  <c r="AA63" i="5"/>
  <c r="AA18" i="22" s="1"/>
  <c r="AA105" i="8"/>
  <c r="AA123" i="8"/>
  <c r="AA9" i="21"/>
  <c r="AA46" i="18"/>
  <c r="AA46" i="17"/>
  <c r="AA42" i="22"/>
  <c r="AA40" i="22"/>
  <c r="AA44" i="19"/>
  <c r="AA46" i="20"/>
  <c r="AA42" i="21"/>
  <c r="AA42" i="20"/>
  <c r="AA14" i="21"/>
  <c r="AA16" i="21"/>
  <c r="AA12" i="18"/>
  <c r="AA12" i="17"/>
  <c r="AA10" i="19"/>
  <c r="AA14" i="18"/>
  <c r="AA14" i="17"/>
  <c r="AA46" i="19"/>
  <c r="AA42" i="19"/>
  <c r="AA40" i="19"/>
  <c r="AA46" i="21"/>
  <c r="AA40" i="21"/>
  <c r="AA10" i="18"/>
  <c r="AA10" i="17"/>
  <c r="AA10" i="21"/>
  <c r="AA14" i="22"/>
  <c r="AA16" i="18"/>
  <c r="AA16" i="17"/>
  <c r="AA16" i="20"/>
  <c r="AA16" i="22"/>
  <c r="AA42" i="18"/>
  <c r="AA42" i="17"/>
  <c r="AA44" i="20"/>
  <c r="AA44" i="18"/>
  <c r="AA44" i="17"/>
  <c r="AA40" i="20"/>
  <c r="AA14" i="20"/>
  <c r="AA14" i="19"/>
  <c r="AA10" i="22"/>
  <c r="AA16" i="19"/>
  <c r="AA40" i="18"/>
  <c r="AA40" i="17"/>
  <c r="AA46" i="22"/>
  <c r="AA44" i="21"/>
  <c r="AA12" i="21"/>
  <c r="AA12" i="20"/>
  <c r="AA12" i="22"/>
  <c r="AA10" i="20"/>
  <c r="AA12" i="19"/>
  <c r="AA17" i="18"/>
  <c r="AA18" i="18"/>
  <c r="AA18" i="17"/>
  <c r="DH113" i="5"/>
  <c r="AB113" i="5" s="1"/>
  <c r="DH109" i="5"/>
  <c r="AB109" i="5" s="1"/>
  <c r="DH107" i="5"/>
  <c r="AB107" i="5" s="1"/>
  <c r="DH73" i="5"/>
  <c r="AB73" i="5" s="1"/>
  <c r="DH69" i="5"/>
  <c r="AB69" i="5" s="1"/>
  <c r="DH65" i="5"/>
  <c r="AB65" i="5" s="1"/>
  <c r="DH81" i="5"/>
  <c r="DH77" i="5"/>
  <c r="DH111" i="5"/>
  <c r="AB111" i="5" s="1"/>
  <c r="DH105" i="5"/>
  <c r="AB105" i="5" s="1"/>
  <c r="DH71" i="5"/>
  <c r="AB71" i="5" s="1"/>
  <c r="DH67" i="5"/>
  <c r="DH31" i="5"/>
  <c r="AB31" i="5" s="1"/>
  <c r="DH27" i="5"/>
  <c r="AB27" i="5" s="1"/>
  <c r="DH63" i="5"/>
  <c r="DH59" i="5"/>
  <c r="AB59" i="5" s="1"/>
  <c r="DH55" i="5"/>
  <c r="AB55" i="5" s="1"/>
  <c r="DH13" i="5"/>
  <c r="AB13" i="5" s="1"/>
  <c r="DH5" i="5"/>
  <c r="AB5" i="5" s="1"/>
  <c r="DH43" i="5"/>
  <c r="DH39" i="5"/>
  <c r="AB39" i="5" s="1"/>
  <c r="DH35" i="5"/>
  <c r="AB35" i="5" s="1"/>
  <c r="DH37" i="5"/>
  <c r="AB37" i="5" s="1"/>
  <c r="DH21" i="5"/>
  <c r="AB21" i="5" s="1"/>
  <c r="DH17" i="5"/>
  <c r="AB17" i="5" s="1"/>
  <c r="DH19" i="5"/>
  <c r="AB19" i="5" s="1"/>
  <c r="DH103" i="5"/>
  <c r="AB103" i="5" s="1"/>
  <c r="DH99" i="5"/>
  <c r="AB99" i="5" s="1"/>
  <c r="DH95" i="5"/>
  <c r="AB95" i="5" s="1"/>
  <c r="DH25" i="5"/>
  <c r="AB25" i="5" s="1"/>
  <c r="DH11" i="5"/>
  <c r="AB11" i="5" s="1"/>
  <c r="DH23" i="5"/>
  <c r="AB23" i="5" s="1"/>
  <c r="DH33" i="5"/>
  <c r="DH61" i="5"/>
  <c r="AB61" i="5" s="1"/>
  <c r="DH57" i="5"/>
  <c r="AB57" i="5" s="1"/>
  <c r="DH9" i="5"/>
  <c r="AB9" i="5" s="1"/>
  <c r="DH15" i="5"/>
  <c r="AB15" i="5" s="1"/>
  <c r="DH83" i="5"/>
  <c r="DH121" i="5"/>
  <c r="AB121" i="5" s="1"/>
  <c r="DH93" i="5"/>
  <c r="DH89" i="5"/>
  <c r="AB89" i="5" s="1"/>
  <c r="DH85" i="5"/>
  <c r="DH101" i="5"/>
  <c r="AB101" i="5" s="1"/>
  <c r="DH97" i="5"/>
  <c r="AB97" i="5" s="1"/>
  <c r="DH79" i="5"/>
  <c r="AB79" i="5" s="1"/>
  <c r="DH29" i="5"/>
  <c r="AB29" i="5" s="1"/>
  <c r="DH75" i="5"/>
  <c r="AB75" i="5" s="1"/>
  <c r="DH7" i="5"/>
  <c r="AB7" i="5" s="1"/>
  <c r="DH41" i="5"/>
  <c r="AB41" i="5" s="1"/>
  <c r="DH123" i="5"/>
  <c r="AB123" i="5" s="1"/>
  <c r="DH119" i="5"/>
  <c r="AB119" i="5" s="1"/>
  <c r="DH91" i="5"/>
  <c r="AB91" i="5" s="1"/>
  <c r="DH87" i="5"/>
  <c r="AC3" i="5"/>
  <c r="AB17" i="20" s="1"/>
  <c r="DH115" i="5"/>
  <c r="AB115" i="5" s="1"/>
  <c r="DH53" i="5"/>
  <c r="DH49" i="5"/>
  <c r="AB49" i="5" s="1"/>
  <c r="DH45" i="5"/>
  <c r="AB45" i="5" s="1"/>
  <c r="DH117" i="5"/>
  <c r="AB117" i="5" s="1"/>
  <c r="DH51" i="5"/>
  <c r="AB51" i="5" s="1"/>
  <c r="DH47" i="5"/>
  <c r="AB47" i="5" s="1"/>
  <c r="DH97" i="8"/>
  <c r="DH95" i="8"/>
  <c r="DH99" i="8"/>
  <c r="DH121" i="8"/>
  <c r="DH103" i="8"/>
  <c r="DH101" i="8"/>
  <c r="DH119" i="8"/>
  <c r="DH123" i="8"/>
  <c r="DH117" i="8"/>
  <c r="DH115" i="8"/>
  <c r="DH51" i="8"/>
  <c r="AB51" i="8" s="1"/>
  <c r="DH47" i="8"/>
  <c r="AB47" i="8" s="1"/>
  <c r="DH49" i="8"/>
  <c r="AB49" i="8" s="1"/>
  <c r="DH41" i="8"/>
  <c r="AB41" i="8" s="1"/>
  <c r="DH91" i="8"/>
  <c r="AB91" i="8" s="1"/>
  <c r="DH87" i="8"/>
  <c r="AB87" i="8" s="1"/>
  <c r="DH21" i="8"/>
  <c r="AB21" i="8" s="1"/>
  <c r="DH11" i="8"/>
  <c r="AB11" i="8" s="1"/>
  <c r="DH81" i="8"/>
  <c r="AB81" i="8" s="1"/>
  <c r="DH53" i="8"/>
  <c r="DH45" i="8"/>
  <c r="AB45" i="8" s="1"/>
  <c r="DH89" i="8"/>
  <c r="AB89" i="8" s="1"/>
  <c r="DH105" i="8"/>
  <c r="DH19" i="8"/>
  <c r="AB19" i="8" s="1"/>
  <c r="DH17" i="8"/>
  <c r="AB17" i="8" s="1"/>
  <c r="DH35" i="8"/>
  <c r="AB35" i="8" s="1"/>
  <c r="DH37" i="8"/>
  <c r="AB37" i="8" s="1"/>
  <c r="DH85" i="8"/>
  <c r="AB85" i="8" s="1"/>
  <c r="DH113" i="8"/>
  <c r="DH109" i="8"/>
  <c r="DH15" i="8"/>
  <c r="AB15" i="8" s="1"/>
  <c r="DH43" i="8"/>
  <c r="DH39" i="8"/>
  <c r="AB39" i="8" s="1"/>
  <c r="DH93" i="8"/>
  <c r="AB93" i="8" s="1"/>
  <c r="DH111" i="8"/>
  <c r="DH107" i="8"/>
  <c r="DH23" i="8"/>
  <c r="DH61" i="8"/>
  <c r="AB61" i="8" s="1"/>
  <c r="DH9" i="8"/>
  <c r="AB9" i="8" s="1"/>
  <c r="DH83" i="8"/>
  <c r="AB83" i="8" s="1"/>
  <c r="DH59" i="8"/>
  <c r="AB59" i="8" s="1"/>
  <c r="DH5" i="8"/>
  <c r="AB5" i="8" s="1"/>
  <c r="DH33" i="8"/>
  <c r="DH27" i="8"/>
  <c r="AB27" i="8" s="1"/>
  <c r="DH57" i="8"/>
  <c r="AB57" i="8" s="1"/>
  <c r="DH63" i="8"/>
  <c r="DH7" i="8"/>
  <c r="AB7" i="8" s="1"/>
  <c r="DH13" i="8"/>
  <c r="DH31" i="8"/>
  <c r="AB31" i="8" s="1"/>
  <c r="DH25" i="8"/>
  <c r="AB25" i="8" s="1"/>
  <c r="DH79" i="8"/>
  <c r="AB79" i="8" s="1"/>
  <c r="DH69" i="8"/>
  <c r="AB69" i="8" s="1"/>
  <c r="DH73" i="8"/>
  <c r="AB73" i="8" s="1"/>
  <c r="DH65" i="8"/>
  <c r="AB65" i="8" s="1"/>
  <c r="DH55" i="8"/>
  <c r="AB55" i="8" s="1"/>
  <c r="DH75" i="8"/>
  <c r="AB75" i="8" s="1"/>
  <c r="DH67" i="8"/>
  <c r="AB67" i="8" s="1"/>
  <c r="DH71" i="8"/>
  <c r="AB71" i="8" s="1"/>
  <c r="DH77" i="8"/>
  <c r="AB77" i="8" s="1"/>
  <c r="DH29" i="8"/>
  <c r="AB29" i="8" s="1"/>
  <c r="DG63" i="6"/>
  <c r="DG55" i="6"/>
  <c r="AA55" i="6" s="1"/>
  <c r="DG47" i="6"/>
  <c r="AA47" i="6" s="1"/>
  <c r="DG57" i="6"/>
  <c r="AA57" i="6" s="1"/>
  <c r="DG49" i="6"/>
  <c r="AA49" i="6" s="1"/>
  <c r="DG59" i="6"/>
  <c r="AA59" i="6" s="1"/>
  <c r="DG51" i="6"/>
  <c r="AA51" i="6" s="1"/>
  <c r="DG43" i="6"/>
  <c r="DG61" i="6"/>
  <c r="AA61" i="6" s="1"/>
  <c r="DG33" i="6"/>
  <c r="DG25" i="6"/>
  <c r="AA25" i="6" s="1"/>
  <c r="DG17" i="6"/>
  <c r="AA17" i="6" s="1"/>
  <c r="DG39" i="6"/>
  <c r="AA39" i="6" s="1"/>
  <c r="DG37" i="6"/>
  <c r="AA37" i="6" s="1"/>
  <c r="DG35" i="6"/>
  <c r="AA35" i="6" s="1"/>
  <c r="DG27" i="6"/>
  <c r="AA27" i="6" s="1"/>
  <c r="DG19" i="6"/>
  <c r="AA19" i="6" s="1"/>
  <c r="DG53" i="6"/>
  <c r="DG41" i="6"/>
  <c r="AA41" i="6" s="1"/>
  <c r="DG29" i="6"/>
  <c r="AA29" i="6" s="1"/>
  <c r="DG21" i="6"/>
  <c r="AA21" i="6" s="1"/>
  <c r="DG13" i="6"/>
  <c r="AA13" i="6" s="1"/>
  <c r="DG23" i="6"/>
  <c r="AA23" i="6" s="1"/>
  <c r="DG7" i="6"/>
  <c r="AA7" i="6" s="1"/>
  <c r="DG45" i="6"/>
  <c r="AA45" i="6" s="1"/>
  <c r="DG11" i="6"/>
  <c r="AA11" i="6" s="1"/>
  <c r="DG31" i="6"/>
  <c r="AA31" i="6" s="1"/>
  <c r="DG15" i="6"/>
  <c r="AA15" i="6" s="1"/>
  <c r="DG9" i="6"/>
  <c r="AA9" i="6" s="1"/>
  <c r="DG5" i="6"/>
  <c r="AA5" i="6" s="1"/>
  <c r="AC3" i="8"/>
  <c r="AB47" i="21" s="1"/>
  <c r="AB3" i="7"/>
  <c r="AB3" i="6"/>
  <c r="AB108" i="5"/>
  <c r="AA48" i="6"/>
  <c r="AA44" i="6"/>
  <c r="AB104" i="5"/>
  <c r="AA50" i="6"/>
  <c r="AB64" i="5"/>
  <c r="AA46" i="6"/>
  <c r="AA104" i="7"/>
  <c r="AA48" i="7"/>
  <c r="AB46" i="8"/>
  <c r="AA44" i="7"/>
  <c r="AA108" i="8"/>
  <c r="AA108" i="7"/>
  <c r="AB44" i="8"/>
  <c r="AB70" i="5"/>
  <c r="AB110" i="5"/>
  <c r="AA110" i="8"/>
  <c r="AA106" i="8"/>
  <c r="AA104" i="8"/>
  <c r="AB50" i="8"/>
  <c r="AB54" i="5"/>
  <c r="AB74" i="5"/>
  <c r="AB44" i="5"/>
  <c r="AB56" i="5"/>
  <c r="AB60" i="5"/>
  <c r="AA110" i="7"/>
  <c r="AB106" i="5"/>
  <c r="AB48" i="5"/>
  <c r="AB48" i="8"/>
  <c r="AB46" i="5"/>
  <c r="AB58" i="5"/>
  <c r="AA106" i="7"/>
  <c r="AA46" i="7"/>
  <c r="AB50" i="5"/>
  <c r="AA50" i="7"/>
  <c r="AB68" i="5"/>
  <c r="DH117" i="6" l="1"/>
  <c r="DH107" i="6"/>
  <c r="DH121" i="6"/>
  <c r="DH109" i="6"/>
  <c r="DH65" i="6"/>
  <c r="DH111" i="6"/>
  <c r="DH67" i="6"/>
  <c r="DH73" i="6"/>
  <c r="DH119" i="6"/>
  <c r="DH75" i="6"/>
  <c r="DH79" i="6"/>
  <c r="DH83" i="6"/>
  <c r="DH81" i="6"/>
  <c r="DH95" i="6"/>
  <c r="DH77" i="6"/>
  <c r="DH97" i="6"/>
  <c r="DH87" i="6"/>
  <c r="DH113" i="6"/>
  <c r="DH69" i="6"/>
  <c r="DH99" i="6"/>
  <c r="DH91" i="6"/>
  <c r="DH101" i="6"/>
  <c r="DH115" i="6"/>
  <c r="DH123" i="6"/>
  <c r="DH103" i="6"/>
  <c r="DH85" i="6"/>
  <c r="DH93" i="6"/>
  <c r="DH105" i="6"/>
  <c r="DH71" i="6"/>
  <c r="DH89" i="6"/>
  <c r="Z9" i="22"/>
  <c r="AA11" i="22"/>
  <c r="AA15" i="21"/>
  <c r="AA11" i="21"/>
  <c r="Z11" i="22"/>
  <c r="Z13" i="21"/>
  <c r="Z11" i="21"/>
  <c r="Z41" i="21"/>
  <c r="Z13" i="22"/>
  <c r="AA13" i="22"/>
  <c r="Z45" i="21"/>
  <c r="AA41" i="21"/>
  <c r="AA43" i="21"/>
  <c r="Z43" i="21"/>
  <c r="Z15" i="21"/>
  <c r="AA9" i="22"/>
  <c r="AA15" i="22"/>
  <c r="AA45" i="21"/>
  <c r="AA39" i="21"/>
  <c r="AA13" i="21"/>
  <c r="Z15" i="22"/>
  <c r="Z39" i="21"/>
  <c r="Y13" i="22"/>
  <c r="Y15" i="22"/>
  <c r="Y39" i="21"/>
  <c r="Y43" i="21"/>
  <c r="Y11" i="21"/>
  <c r="Y45" i="21"/>
  <c r="Y15" i="21"/>
  <c r="Y13" i="21"/>
  <c r="Y41" i="21"/>
  <c r="Y11" i="22"/>
  <c r="Y9" i="22"/>
  <c r="X13" i="21"/>
  <c r="X15" i="21"/>
  <c r="X39" i="21"/>
  <c r="X45" i="21"/>
  <c r="X9" i="22"/>
  <c r="X41" i="21"/>
  <c r="X43" i="21"/>
  <c r="X15" i="22"/>
  <c r="X13" i="22"/>
  <c r="X11" i="21"/>
  <c r="X11" i="22"/>
  <c r="X27" i="21"/>
  <c r="AA27" i="20"/>
  <c r="Y27" i="20"/>
  <c r="V27" i="19"/>
  <c r="Z27" i="19"/>
  <c r="AA27" i="18"/>
  <c r="Y27" i="22"/>
  <c r="AA27" i="22"/>
  <c r="Z27" i="21"/>
  <c r="W27" i="20"/>
  <c r="Z27" i="22"/>
  <c r="X27" i="18"/>
  <c r="Z27" i="18"/>
  <c r="W27" i="18"/>
  <c r="AA27" i="17"/>
  <c r="Y27" i="18"/>
  <c r="U27" i="22"/>
  <c r="AA27" i="21"/>
  <c r="X27" i="20"/>
  <c r="W27" i="22"/>
  <c r="V27" i="21"/>
  <c r="V27" i="22"/>
  <c r="Y27" i="21"/>
  <c r="Z27" i="20"/>
  <c r="Y27" i="19"/>
  <c r="V27" i="20"/>
  <c r="U27" i="20"/>
  <c r="AA27" i="19"/>
  <c r="V27" i="18"/>
  <c r="Y27" i="17"/>
  <c r="U27" i="18"/>
  <c r="X27" i="17"/>
  <c r="W27" i="17"/>
  <c r="X27" i="19"/>
  <c r="Z27" i="17"/>
  <c r="X27" i="22"/>
  <c r="W27" i="21"/>
  <c r="U27" i="21"/>
  <c r="U27" i="19"/>
  <c r="W27" i="19"/>
  <c r="U27" i="17"/>
  <c r="V27" i="17"/>
  <c r="U22" i="17"/>
  <c r="U26" i="19"/>
  <c r="U24" i="22"/>
  <c r="U22" i="19"/>
  <c r="U24" i="19"/>
  <c r="U26" i="17"/>
  <c r="U20" i="21"/>
  <c r="U24" i="18"/>
  <c r="U28" i="18"/>
  <c r="U26" i="20"/>
  <c r="U20" i="22"/>
  <c r="U20" i="20"/>
  <c r="U26" i="22"/>
  <c r="U24" i="17"/>
  <c r="U28" i="17"/>
  <c r="U24" i="21"/>
  <c r="U20" i="19"/>
  <c r="U20" i="18"/>
  <c r="U26" i="21"/>
  <c r="U22" i="18"/>
  <c r="U22" i="20"/>
  <c r="U24" i="20"/>
  <c r="U22" i="22"/>
  <c r="U22" i="21"/>
  <c r="U26" i="18"/>
  <c r="U20" i="17"/>
  <c r="U28" i="22"/>
  <c r="U28" i="19"/>
  <c r="U23" i="20"/>
  <c r="U19" i="21"/>
  <c r="U25" i="17"/>
  <c r="U23" i="21"/>
  <c r="V21" i="21"/>
  <c r="V23" i="18"/>
  <c r="V25" i="17"/>
  <c r="V23" i="22"/>
  <c r="V23" i="21"/>
  <c r="V19" i="20"/>
  <c r="V20" i="22"/>
  <c r="V24" i="18"/>
  <c r="V26" i="18"/>
  <c r="V26" i="22"/>
  <c r="V22" i="17"/>
  <c r="V26" i="20"/>
  <c r="V22" i="20"/>
  <c r="U28" i="21"/>
  <c r="U19" i="22"/>
  <c r="U21" i="20"/>
  <c r="U25" i="19"/>
  <c r="U21" i="17"/>
  <c r="U25" i="22"/>
  <c r="U23" i="19"/>
  <c r="V19" i="21"/>
  <c r="V19" i="17"/>
  <c r="V23" i="20"/>
  <c r="V19" i="19"/>
  <c r="V21" i="20"/>
  <c r="V22" i="21"/>
  <c r="V24" i="17"/>
  <c r="V26" i="17"/>
  <c r="V24" i="22"/>
  <c r="V28" i="18"/>
  <c r="V22" i="22"/>
  <c r="U28" i="20"/>
  <c r="U23" i="22"/>
  <c r="U19" i="17"/>
  <c r="U21" i="21"/>
  <c r="U21" i="22"/>
  <c r="U21" i="19"/>
  <c r="U25" i="20"/>
  <c r="U21" i="18"/>
  <c r="U23" i="18"/>
  <c r="U19" i="20"/>
  <c r="V23" i="19"/>
  <c r="V19" i="18"/>
  <c r="V25" i="19"/>
  <c r="V21" i="18"/>
  <c r="V25" i="21"/>
  <c r="V21" i="22"/>
  <c r="V20" i="21"/>
  <c r="V20" i="18"/>
  <c r="V24" i="20"/>
  <c r="V20" i="19"/>
  <c r="V28" i="17"/>
  <c r="V22" i="19"/>
  <c r="U19" i="19"/>
  <c r="U25" i="21"/>
  <c r="U19" i="18"/>
  <c r="U25" i="18"/>
  <c r="U23" i="17"/>
  <c r="V19" i="22"/>
  <c r="V23" i="17"/>
  <c r="V25" i="18"/>
  <c r="V25" i="22"/>
  <c r="V21" i="17"/>
  <c r="V25" i="20"/>
  <c r="V21" i="19"/>
  <c r="V24" i="19"/>
  <c r="V20" i="17"/>
  <c r="V26" i="19"/>
  <c r="V22" i="18"/>
  <c r="V26" i="21"/>
  <c r="V24" i="21"/>
  <c r="V20" i="20"/>
  <c r="V28" i="21"/>
  <c r="W20" i="18"/>
  <c r="W22" i="17"/>
  <c r="W22" i="20"/>
  <c r="W26" i="18"/>
  <c r="W24" i="17"/>
  <c r="W24" i="22"/>
  <c r="W28" i="17"/>
  <c r="V28" i="19"/>
  <c r="W20" i="17"/>
  <c r="W26" i="19"/>
  <c r="W26" i="21"/>
  <c r="W26" i="17"/>
  <c r="W20" i="21"/>
  <c r="W22" i="21"/>
  <c r="V28" i="22"/>
  <c r="W20" i="22"/>
  <c r="W24" i="19"/>
  <c r="W22" i="22"/>
  <c r="W26" i="22"/>
  <c r="W20" i="20"/>
  <c r="W26" i="20"/>
  <c r="V28" i="20"/>
  <c r="W24" i="21"/>
  <c r="W22" i="18"/>
  <c r="W22" i="19"/>
  <c r="W24" i="18"/>
  <c r="W24" i="20"/>
  <c r="W28" i="18"/>
  <c r="W20" i="19"/>
  <c r="W28" i="20"/>
  <c r="X22" i="17"/>
  <c r="X20" i="22"/>
  <c r="X22" i="22"/>
  <c r="X24" i="19"/>
  <c r="X20" i="21"/>
  <c r="X28" i="17"/>
  <c r="W28" i="22"/>
  <c r="X22" i="19"/>
  <c r="X20" i="18"/>
  <c r="X26" i="22"/>
  <c r="X26" i="18"/>
  <c r="X26" i="21"/>
  <c r="X24" i="22"/>
  <c r="X26" i="19"/>
  <c r="W28" i="19"/>
  <c r="W28" i="21"/>
  <c r="X20" i="20"/>
  <c r="X20" i="17"/>
  <c r="X24" i="21"/>
  <c r="X26" i="17"/>
  <c r="X24" i="18"/>
  <c r="X24" i="20"/>
  <c r="X22" i="21"/>
  <c r="X22" i="18"/>
  <c r="X20" i="19"/>
  <c r="X22" i="20"/>
  <c r="X24" i="17"/>
  <c r="X28" i="18"/>
  <c r="X26" i="20"/>
  <c r="X25" i="21"/>
  <c r="X21" i="21"/>
  <c r="W23" i="21"/>
  <c r="Y24" i="20"/>
  <c r="Y28" i="18"/>
  <c r="Y24" i="22"/>
  <c r="Y26" i="19"/>
  <c r="Y24" i="18"/>
  <c r="Y26" i="17"/>
  <c r="Y22" i="17"/>
  <c r="X28" i="22"/>
  <c r="W21" i="21"/>
  <c r="X28" i="19"/>
  <c r="Y20" i="20"/>
  <c r="Y28" i="17"/>
  <c r="Y26" i="20"/>
  <c r="Y26" i="22"/>
  <c r="Y24" i="17"/>
  <c r="Y20" i="21"/>
  <c r="X23" i="21"/>
  <c r="W19" i="21"/>
  <c r="Y22" i="22"/>
  <c r="Y20" i="22"/>
  <c r="Y20" i="18"/>
  <c r="Y26" i="18"/>
  <c r="X28" i="20"/>
  <c r="X19" i="21"/>
  <c r="W25" i="21"/>
  <c r="Y22" i="20"/>
  <c r="Y26" i="21"/>
  <c r="Y22" i="19"/>
  <c r="Y24" i="21"/>
  <c r="Y20" i="17"/>
  <c r="Y22" i="18"/>
  <c r="Y24" i="19"/>
  <c r="Y22" i="21"/>
  <c r="X28" i="21"/>
  <c r="Y20" i="19"/>
  <c r="Z20" i="22"/>
  <c r="Z28" i="18"/>
  <c r="Z24" i="18"/>
  <c r="Z26" i="22"/>
  <c r="Z24" i="20"/>
  <c r="Z22" i="20"/>
  <c r="Z22" i="21"/>
  <c r="Z25" i="21"/>
  <c r="Z28" i="22"/>
  <c r="Y21" i="21"/>
  <c r="W55" i="18"/>
  <c r="W60" i="18"/>
  <c r="U60" i="18"/>
  <c r="U55" i="18"/>
  <c r="V55" i="22"/>
  <c r="V60" i="22"/>
  <c r="W60" i="19"/>
  <c r="W55" i="19"/>
  <c r="U60" i="21"/>
  <c r="U55" i="21"/>
  <c r="V60" i="21"/>
  <c r="V55" i="21"/>
  <c r="V60" i="20"/>
  <c r="V55" i="20"/>
  <c r="AB47" i="22"/>
  <c r="AB47" i="20"/>
  <c r="Y28" i="22"/>
  <c r="Y28" i="19"/>
  <c r="W52" i="18"/>
  <c r="W57" i="18"/>
  <c r="U57" i="20"/>
  <c r="U52" i="20"/>
  <c r="V57" i="21"/>
  <c r="V52" i="21"/>
  <c r="U57" i="19"/>
  <c r="U52" i="19"/>
  <c r="V57" i="18"/>
  <c r="V52" i="18"/>
  <c r="DH105" i="7"/>
  <c r="AB105" i="7" s="1"/>
  <c r="DH113" i="7"/>
  <c r="AB113" i="7" s="1"/>
  <c r="DH111" i="7"/>
  <c r="AB111" i="7" s="1"/>
  <c r="DH109" i="7"/>
  <c r="AB109" i="7" s="1"/>
  <c r="DH107" i="7"/>
  <c r="AB107" i="7" s="1"/>
  <c r="DH71" i="7"/>
  <c r="AB71" i="7" s="1"/>
  <c r="DH93" i="7"/>
  <c r="AB93" i="7" s="1"/>
  <c r="DH19" i="7"/>
  <c r="AB19" i="7" s="1"/>
  <c r="DH69" i="7"/>
  <c r="AB69" i="7" s="1"/>
  <c r="DH67" i="7"/>
  <c r="AB67" i="7" s="1"/>
  <c r="DH91" i="7"/>
  <c r="AB91" i="7" s="1"/>
  <c r="DH65" i="7"/>
  <c r="AB65" i="7" s="1"/>
  <c r="DH73" i="7"/>
  <c r="AB73" i="7" s="1"/>
  <c r="DH21" i="7"/>
  <c r="AB21" i="7" s="1"/>
  <c r="DH23" i="7"/>
  <c r="AB23" i="7" s="1"/>
  <c r="DH89" i="7"/>
  <c r="AB89" i="7" s="1"/>
  <c r="DH85" i="7"/>
  <c r="AB85" i="7" s="1"/>
  <c r="DH17" i="7"/>
  <c r="AB17" i="7" s="1"/>
  <c r="DH119" i="7"/>
  <c r="AB119" i="7" s="1"/>
  <c r="DH33" i="7"/>
  <c r="AB33" i="7" s="1"/>
  <c r="DH53" i="7"/>
  <c r="AB53" i="7" s="1"/>
  <c r="DH51" i="7"/>
  <c r="AB51" i="7" s="1"/>
  <c r="DH103" i="7"/>
  <c r="AB103" i="7" s="1"/>
  <c r="DH99" i="7"/>
  <c r="AB99" i="7" s="1"/>
  <c r="DH95" i="7"/>
  <c r="AB95" i="7" s="1"/>
  <c r="DH87" i="7"/>
  <c r="AB87" i="7" s="1"/>
  <c r="DH15" i="7"/>
  <c r="AB15" i="7" s="1"/>
  <c r="DH117" i="7"/>
  <c r="AB117" i="7" s="1"/>
  <c r="DH115" i="7"/>
  <c r="AB115" i="7" s="1"/>
  <c r="DH31" i="7"/>
  <c r="AB31" i="7" s="1"/>
  <c r="DH49" i="7"/>
  <c r="AB49" i="7" s="1"/>
  <c r="DH101" i="7"/>
  <c r="AB101" i="7" s="1"/>
  <c r="DH123" i="7"/>
  <c r="DH29" i="7"/>
  <c r="AB29" i="7" s="1"/>
  <c r="DH27" i="7"/>
  <c r="AB27" i="7" s="1"/>
  <c r="DH47" i="7"/>
  <c r="AB47" i="7" s="1"/>
  <c r="DH121" i="7"/>
  <c r="AB121" i="7" s="1"/>
  <c r="DH97" i="7"/>
  <c r="AB97" i="7" s="1"/>
  <c r="DH25" i="7"/>
  <c r="AB25" i="7" s="1"/>
  <c r="DH43" i="7"/>
  <c r="AB43" i="7" s="1"/>
  <c r="DH13" i="7"/>
  <c r="AB13" i="7" s="1"/>
  <c r="DH11" i="7"/>
  <c r="AB11" i="7" s="1"/>
  <c r="DH59" i="7"/>
  <c r="AB59" i="7" s="1"/>
  <c r="DH45" i="7"/>
  <c r="AB45" i="7" s="1"/>
  <c r="DH75" i="7"/>
  <c r="AB75" i="7" s="1"/>
  <c r="DH77" i="7"/>
  <c r="AB77" i="7" s="1"/>
  <c r="DH79" i="7"/>
  <c r="AB79" i="7" s="1"/>
  <c r="DH81" i="7"/>
  <c r="AB81" i="7" s="1"/>
  <c r="DH41" i="7"/>
  <c r="AB41" i="7" s="1"/>
  <c r="DH9" i="7"/>
  <c r="AB9" i="7" s="1"/>
  <c r="DH83" i="7"/>
  <c r="AB83" i="7" s="1"/>
  <c r="DH37" i="7"/>
  <c r="AB37" i="7" s="1"/>
  <c r="DH35" i="7"/>
  <c r="AB35" i="7" s="1"/>
  <c r="DH5" i="7"/>
  <c r="AB5" i="7" s="1"/>
  <c r="DH63" i="7"/>
  <c r="AB63" i="7" s="1"/>
  <c r="DH55" i="7"/>
  <c r="AB55" i="7" s="1"/>
  <c r="DH39" i="7"/>
  <c r="AB39" i="7" s="1"/>
  <c r="DH7" i="7"/>
  <c r="AB7" i="7" s="1"/>
  <c r="DH61" i="7"/>
  <c r="AB61" i="7" s="1"/>
  <c r="DH57" i="7"/>
  <c r="AB57" i="7" s="1"/>
  <c r="AB123" i="7"/>
  <c r="Z37" i="21"/>
  <c r="W37" i="22"/>
  <c r="U37" i="21"/>
  <c r="V37" i="20"/>
  <c r="U37" i="22"/>
  <c r="U37" i="18"/>
  <c r="X37" i="20"/>
  <c r="W37" i="18"/>
  <c r="Y37" i="19"/>
  <c r="W37" i="17"/>
  <c r="W37" i="19"/>
  <c r="V37" i="17"/>
  <c r="X37" i="17"/>
  <c r="W30" i="22"/>
  <c r="Z32" i="18"/>
  <c r="X32" i="19"/>
  <c r="Z32" i="17"/>
  <c r="X30" i="18"/>
  <c r="V36" i="17"/>
  <c r="Z34" i="17"/>
  <c r="V34" i="20"/>
  <c r="Y34" i="19"/>
  <c r="Y32" i="22"/>
  <c r="Y36" i="19"/>
  <c r="U36" i="17"/>
  <c r="Y34" i="17"/>
  <c r="V32" i="19"/>
  <c r="X30" i="21"/>
  <c r="W36" i="22"/>
  <c r="U36" i="22"/>
  <c r="X36" i="17"/>
  <c r="V34" i="18"/>
  <c r="Z36" i="21"/>
  <c r="V36" i="19"/>
  <c r="Z34" i="20"/>
  <c r="U36" i="20"/>
  <c r="X36" i="21"/>
  <c r="W32" i="18"/>
  <c r="AA30" i="18"/>
  <c r="V30" i="20"/>
  <c r="Y30" i="21"/>
  <c r="Y30" i="19"/>
  <c r="W36" i="17"/>
  <c r="AA30" i="19"/>
  <c r="U30" i="19"/>
  <c r="U38" i="17"/>
  <c r="Y36" i="17"/>
  <c r="Y32" i="21"/>
  <c r="X36" i="22"/>
  <c r="X36" i="20"/>
  <c r="Z34" i="19"/>
  <c r="Y34" i="22"/>
  <c r="U36" i="18"/>
  <c r="Y34" i="18"/>
  <c r="Y32" i="20"/>
  <c r="W34" i="21"/>
  <c r="AA34" i="22"/>
  <c r="W36" i="19"/>
  <c r="X36" i="18"/>
  <c r="U29" i="19"/>
  <c r="X33" i="22"/>
  <c r="V29" i="19"/>
  <c r="X31" i="20"/>
  <c r="AA33" i="21"/>
  <c r="Y35" i="21"/>
  <c r="U29" i="20"/>
  <c r="V31" i="17"/>
  <c r="V29" i="22"/>
  <c r="U35" i="19"/>
  <c r="V33" i="19"/>
  <c r="V35" i="22"/>
  <c r="Z31" i="21"/>
  <c r="U31" i="18"/>
  <c r="X35" i="17"/>
  <c r="W35" i="18"/>
  <c r="X35" i="21"/>
  <c r="W31" i="19"/>
  <c r="U33" i="22"/>
  <c r="X35" i="19"/>
  <c r="U29" i="22"/>
  <c r="W35" i="21"/>
  <c r="V29" i="18"/>
  <c r="X29" i="19"/>
  <c r="W29" i="17"/>
  <c r="U33" i="21"/>
  <c r="X33" i="20"/>
  <c r="Z33" i="21"/>
  <c r="AA35" i="21"/>
  <c r="X37" i="22"/>
  <c r="V37" i="21"/>
  <c r="AA37" i="20"/>
  <c r="X37" i="19"/>
  <c r="X37" i="18"/>
  <c r="W32" i="22"/>
  <c r="AA34" i="18"/>
  <c r="U32" i="20"/>
  <c r="Z36" i="19"/>
  <c r="AA34" i="17"/>
  <c r="U34" i="18"/>
  <c r="Y32" i="18"/>
  <c r="V30" i="19"/>
  <c r="AA36" i="22"/>
  <c r="Y30" i="22"/>
  <c r="W38" i="17"/>
  <c r="AA36" i="17"/>
  <c r="Y30" i="20"/>
  <c r="V30" i="21"/>
  <c r="V34" i="22"/>
  <c r="V38" i="17"/>
  <c r="Z36" i="17"/>
  <c r="X36" i="19"/>
  <c r="Z34" i="21"/>
  <c r="U30" i="17"/>
  <c r="Y38" i="17"/>
  <c r="W36" i="18"/>
  <c r="U30" i="20"/>
  <c r="Y32" i="19"/>
  <c r="W34" i="22"/>
  <c r="X32" i="20"/>
  <c r="AA32" i="21"/>
  <c r="X34" i="18"/>
  <c r="X34" i="20"/>
  <c r="AA34" i="21"/>
  <c r="AA34" i="19"/>
  <c r="Z34" i="22"/>
  <c r="X38" i="17"/>
  <c r="U34" i="22"/>
  <c r="W34" i="19"/>
  <c r="V30" i="17"/>
  <c r="Z38" i="17"/>
  <c r="AA36" i="21"/>
  <c r="X32" i="22"/>
  <c r="AA32" i="20"/>
  <c r="W30" i="21"/>
  <c r="V38" i="18"/>
  <c r="Z36" i="18"/>
  <c r="AA36" i="20"/>
  <c r="W30" i="20"/>
  <c r="Z30" i="21"/>
  <c r="Z32" i="19"/>
  <c r="V32" i="22"/>
  <c r="U30" i="18"/>
  <c r="Y38" i="18"/>
  <c r="U36" i="19"/>
  <c r="W35" i="20"/>
  <c r="U31" i="20"/>
  <c r="U33" i="17"/>
  <c r="W29" i="18"/>
  <c r="W33" i="21"/>
  <c r="X33" i="21"/>
  <c r="U35" i="17"/>
  <c r="U35" i="21"/>
  <c r="V33" i="21"/>
  <c r="Y33" i="21"/>
  <c r="V31" i="20"/>
  <c r="U29" i="21"/>
  <c r="AA31" i="21"/>
  <c r="V31" i="18"/>
  <c r="Y31" i="21"/>
  <c r="X33" i="17"/>
  <c r="W29" i="20"/>
  <c r="X31" i="21"/>
  <c r="U33" i="19"/>
  <c r="W33" i="18"/>
  <c r="U35" i="20"/>
  <c r="W31" i="17"/>
  <c r="Z29" i="21"/>
  <c r="X35" i="18"/>
  <c r="V33" i="17"/>
  <c r="U31" i="21"/>
  <c r="X29" i="22"/>
  <c r="U29" i="17"/>
  <c r="V33" i="18"/>
  <c r="W37" i="20"/>
  <c r="Z37" i="22"/>
  <c r="AA37" i="21"/>
  <c r="Y37" i="20"/>
  <c r="Z37" i="19"/>
  <c r="U37" i="19"/>
  <c r="Y37" i="17"/>
  <c r="Y36" i="22"/>
  <c r="W36" i="20"/>
  <c r="W32" i="21"/>
  <c r="V36" i="18"/>
  <c r="Z34" i="18"/>
  <c r="X34" i="19"/>
  <c r="Z32" i="22"/>
  <c r="X30" i="17"/>
  <c r="AA34" i="20"/>
  <c r="V36" i="20"/>
  <c r="X34" i="21"/>
  <c r="Z30" i="22"/>
  <c r="W30" i="17"/>
  <c r="AA38" i="17"/>
  <c r="U32" i="21"/>
  <c r="AA32" i="19"/>
  <c r="U30" i="22"/>
  <c r="V32" i="17"/>
  <c r="Z30" i="17"/>
  <c r="X38" i="18"/>
  <c r="W34" i="20"/>
  <c r="U36" i="21"/>
  <c r="AA36" i="19"/>
  <c r="Z36" i="20"/>
  <c r="U38" i="18"/>
  <c r="Y36" i="18"/>
  <c r="AA30" i="20"/>
  <c r="U32" i="17"/>
  <c r="Z30" i="19"/>
  <c r="W32" i="17"/>
  <c r="AA30" i="17"/>
  <c r="Y34" i="21"/>
  <c r="U34" i="19"/>
  <c r="W30" i="18"/>
  <c r="AA38" i="18"/>
  <c r="Y34" i="20"/>
  <c r="W32" i="20"/>
  <c r="Z32" i="21"/>
  <c r="V32" i="18"/>
  <c r="Z30" i="18"/>
  <c r="X29" i="17"/>
  <c r="W31" i="18"/>
  <c r="W31" i="22"/>
  <c r="X31" i="22"/>
  <c r="U33" i="20"/>
  <c r="V35" i="19"/>
  <c r="W33" i="20"/>
  <c r="Y29" i="21"/>
  <c r="W35" i="17"/>
  <c r="V29" i="21"/>
  <c r="U31" i="22"/>
  <c r="AA29" i="21"/>
  <c r="U33" i="18"/>
  <c r="V31" i="21"/>
  <c r="X29" i="20"/>
  <c r="W29" i="22"/>
  <c r="W35" i="19"/>
  <c r="X31" i="19"/>
  <c r="W33" i="19"/>
  <c r="X35" i="22"/>
  <c r="V31" i="22"/>
  <c r="X29" i="21"/>
  <c r="V35" i="18"/>
  <c r="V29" i="17"/>
  <c r="AA37" i="22"/>
  <c r="Y37" i="21"/>
  <c r="V37" i="22"/>
  <c r="X37" i="21"/>
  <c r="Z37" i="20"/>
  <c r="Y37" i="22"/>
  <c r="W37" i="21"/>
  <c r="U37" i="20"/>
  <c r="Y37" i="18"/>
  <c r="V37" i="19"/>
  <c r="AA37" i="18"/>
  <c r="AA37" i="17"/>
  <c r="Z37" i="18"/>
  <c r="Z37" i="17"/>
  <c r="U37" i="17"/>
  <c r="AA37" i="19"/>
  <c r="V37" i="18"/>
  <c r="Y30" i="18"/>
  <c r="Z32" i="20"/>
  <c r="U34" i="20"/>
  <c r="Y36" i="21"/>
  <c r="V30" i="22"/>
  <c r="Y30" i="17"/>
  <c r="W38" i="18"/>
  <c r="AA36" i="18"/>
  <c r="X34" i="22"/>
  <c r="U34" i="17"/>
  <c r="Y32" i="17"/>
  <c r="AA30" i="21"/>
  <c r="W30" i="19"/>
  <c r="X30" i="22"/>
  <c r="W32" i="19"/>
  <c r="X32" i="17"/>
  <c r="W36" i="21"/>
  <c r="U34" i="21"/>
  <c r="Z36" i="22"/>
  <c r="W34" i="17"/>
  <c r="AA32" i="17"/>
  <c r="U32" i="18"/>
  <c r="Z30" i="20"/>
  <c r="X32" i="21"/>
  <c r="AA30" i="22"/>
  <c r="AA32" i="22"/>
  <c r="X30" i="20"/>
  <c r="V32" i="21"/>
  <c r="V30" i="18"/>
  <c r="Z38" i="18"/>
  <c r="V34" i="19"/>
  <c r="U32" i="22"/>
  <c r="V34" i="17"/>
  <c r="V34" i="21"/>
  <c r="X34" i="17"/>
  <c r="V36" i="21"/>
  <c r="V32" i="20"/>
  <c r="X30" i="19"/>
  <c r="X32" i="18"/>
  <c r="U30" i="21"/>
  <c r="Y36" i="20"/>
  <c r="U32" i="19"/>
  <c r="V36" i="22"/>
  <c r="W34" i="18"/>
  <c r="AA32" i="18"/>
  <c r="W33" i="22"/>
  <c r="U35" i="18"/>
  <c r="V35" i="17"/>
  <c r="X29" i="18"/>
  <c r="V33" i="22"/>
  <c r="U29" i="18"/>
  <c r="X31" i="17"/>
  <c r="U31" i="17"/>
  <c r="W29" i="21"/>
  <c r="X35" i="20"/>
  <c r="U35" i="22"/>
  <c r="X33" i="19"/>
  <c r="V29" i="20"/>
  <c r="V35" i="20"/>
  <c r="W31" i="21"/>
  <c r="W31" i="20"/>
  <c r="W35" i="22"/>
  <c r="W29" i="19"/>
  <c r="V33" i="20"/>
  <c r="U31" i="19"/>
  <c r="X31" i="18"/>
  <c r="W33" i="17"/>
  <c r="V31" i="19"/>
  <c r="X33" i="18"/>
  <c r="V35" i="21"/>
  <c r="Z35" i="21"/>
  <c r="U38" i="20"/>
  <c r="U38" i="22"/>
  <c r="U38" i="19"/>
  <c r="U38" i="21"/>
  <c r="V38" i="22"/>
  <c r="V38" i="20"/>
  <c r="V38" i="21"/>
  <c r="V38" i="19"/>
  <c r="W38" i="19"/>
  <c r="W38" i="22"/>
  <c r="W38" i="21"/>
  <c r="W38" i="20"/>
  <c r="X38" i="21"/>
  <c r="X38" i="19"/>
  <c r="X38" i="20"/>
  <c r="X38" i="22"/>
  <c r="Y38" i="19"/>
  <c r="Y38" i="22"/>
  <c r="Y38" i="21"/>
  <c r="Y38" i="20"/>
  <c r="Z22" i="22"/>
  <c r="Z22" i="18"/>
  <c r="Z24" i="21"/>
  <c r="Z24" i="19"/>
  <c r="Z26" i="17"/>
  <c r="Z20" i="20"/>
  <c r="Z21" i="21"/>
  <c r="Z28" i="19"/>
  <c r="Z28" i="20"/>
  <c r="U60" i="22"/>
  <c r="U55" i="22"/>
  <c r="V60" i="18"/>
  <c r="V55" i="18"/>
  <c r="W55" i="20"/>
  <c r="W60" i="20"/>
  <c r="V60" i="19"/>
  <c r="V55" i="19"/>
  <c r="AB47" i="19"/>
  <c r="W57" i="22"/>
  <c r="W52" i="22"/>
  <c r="U57" i="21"/>
  <c r="U52" i="21"/>
  <c r="U52" i="22"/>
  <c r="U57" i="22"/>
  <c r="V52" i="20"/>
  <c r="V57" i="20"/>
  <c r="W57" i="21"/>
  <c r="W52" i="21"/>
  <c r="V57" i="22"/>
  <c r="V52" i="22"/>
  <c r="AB17" i="17"/>
  <c r="AB17" i="19"/>
  <c r="Z20" i="19"/>
  <c r="Z22" i="17"/>
  <c r="Z26" i="19"/>
  <c r="Z20" i="18"/>
  <c r="Z26" i="18"/>
  <c r="Z20" i="21"/>
  <c r="Z23" i="21"/>
  <c r="Y19" i="21"/>
  <c r="Y25" i="21"/>
  <c r="Z38" i="19"/>
  <c r="Z38" i="20"/>
  <c r="Z38" i="22"/>
  <c r="W60" i="22"/>
  <c r="W55" i="22"/>
  <c r="U55" i="19"/>
  <c r="U60" i="19"/>
  <c r="U60" i="20"/>
  <c r="U55" i="20"/>
  <c r="AB47" i="18"/>
  <c r="AB47" i="17"/>
  <c r="W52" i="19"/>
  <c r="W57" i="19"/>
  <c r="V52" i="19"/>
  <c r="V57" i="19"/>
  <c r="AB17" i="21"/>
  <c r="AB17" i="22"/>
  <c r="AA38" i="20"/>
  <c r="Z38" i="21"/>
  <c r="Z26" i="20"/>
  <c r="Z28" i="17"/>
  <c r="Z24" i="17"/>
  <c r="Z24" i="22"/>
  <c r="Z20" i="17"/>
  <c r="Z26" i="21"/>
  <c r="Z22" i="19"/>
  <c r="Z19" i="21"/>
  <c r="Z28" i="21"/>
  <c r="Y23" i="21"/>
  <c r="Y28" i="21"/>
  <c r="Y28" i="20"/>
  <c r="W60" i="21"/>
  <c r="W55" i="21"/>
  <c r="W52" i="20"/>
  <c r="W57" i="20"/>
  <c r="U52" i="18"/>
  <c r="U57" i="18"/>
  <c r="AA38" i="21"/>
  <c r="AA38" i="19"/>
  <c r="AA38" i="22"/>
  <c r="AA63" i="6"/>
  <c r="AB113" i="8"/>
  <c r="AB103" i="8"/>
  <c r="AA33" i="6"/>
  <c r="AA43" i="6"/>
  <c r="AB33" i="8"/>
  <c r="AB111" i="8"/>
  <c r="AB105" i="8"/>
  <c r="AB119" i="8"/>
  <c r="AB99" i="8"/>
  <c r="AB87" i="5"/>
  <c r="AB33" i="5"/>
  <c r="AB63" i="8"/>
  <c r="AB109" i="8"/>
  <c r="AB115" i="8"/>
  <c r="AB101" i="8"/>
  <c r="AB95" i="8"/>
  <c r="AB53" i="5"/>
  <c r="AB93" i="5"/>
  <c r="AB43" i="5"/>
  <c r="AB67" i="5"/>
  <c r="AB77" i="5"/>
  <c r="AB117" i="8"/>
  <c r="AB63" i="5"/>
  <c r="AB81" i="5"/>
  <c r="AA53" i="6"/>
  <c r="AB23" i="8"/>
  <c r="AB97" i="8"/>
  <c r="AB13" i="8"/>
  <c r="AB107" i="8"/>
  <c r="AB43" i="8"/>
  <c r="AB53" i="8"/>
  <c r="AB123" i="8"/>
  <c r="AB121" i="8"/>
  <c r="AB85" i="5"/>
  <c r="AB83" i="5"/>
  <c r="AA21" i="21"/>
  <c r="AA25" i="21"/>
  <c r="AA23" i="21"/>
  <c r="AA19" i="21"/>
  <c r="AB39" i="21"/>
  <c r="AB43" i="21"/>
  <c r="AB11" i="21"/>
  <c r="AB13" i="21"/>
  <c r="AB9" i="22"/>
  <c r="AB41" i="21"/>
  <c r="AB15" i="21"/>
  <c r="AB13" i="22"/>
  <c r="AB45" i="21"/>
  <c r="AB11" i="22"/>
  <c r="AB9" i="21"/>
  <c r="AB15" i="22"/>
  <c r="AA24" i="19"/>
  <c r="AA22" i="21"/>
  <c r="AA26" i="18"/>
  <c r="AA26" i="17"/>
  <c r="AA28" i="18"/>
  <c r="AA28" i="17"/>
  <c r="AA26" i="21"/>
  <c r="AA24" i="21"/>
  <c r="AA20" i="22"/>
  <c r="AA24" i="18"/>
  <c r="AA24" i="17"/>
  <c r="AA20" i="21"/>
  <c r="AA22" i="20"/>
  <c r="AA24" i="22"/>
  <c r="AA22" i="22"/>
  <c r="AB46" i="19"/>
  <c r="AB42" i="22"/>
  <c r="AB44" i="20"/>
  <c r="AB40" i="21"/>
  <c r="AB44" i="21"/>
  <c r="AB12" i="21"/>
  <c r="AB14" i="21"/>
  <c r="AB16" i="20"/>
  <c r="AB14" i="20"/>
  <c r="AB10" i="22"/>
  <c r="AB16" i="19"/>
  <c r="AB44" i="19"/>
  <c r="AB42" i="19"/>
  <c r="AB42" i="21"/>
  <c r="AB16" i="21"/>
  <c r="AB12" i="17"/>
  <c r="AB12" i="18"/>
  <c r="AB14" i="18"/>
  <c r="AB14" i="17"/>
  <c r="AB17" i="18"/>
  <c r="AB14" i="22"/>
  <c r="AA22" i="18"/>
  <c r="AA22" i="17"/>
  <c r="AA20" i="19"/>
  <c r="AA26" i="20"/>
  <c r="AB40" i="22"/>
  <c r="AB42" i="18"/>
  <c r="AB42" i="17"/>
  <c r="AB44" i="18"/>
  <c r="AB44" i="17"/>
  <c r="AB42" i="20"/>
  <c r="AB46" i="21"/>
  <c r="AB12" i="22"/>
  <c r="AB16" i="18"/>
  <c r="AB16" i="17"/>
  <c r="AB12" i="20"/>
  <c r="AB10" i="17"/>
  <c r="AB10" i="18"/>
  <c r="AA24" i="20"/>
  <c r="AA26" i="19"/>
  <c r="AA22" i="19"/>
  <c r="AA20" i="18"/>
  <c r="AA20" i="17"/>
  <c r="AA20" i="20"/>
  <c r="AA26" i="22"/>
  <c r="AB40" i="19"/>
  <c r="AB40" i="18"/>
  <c r="AB40" i="17"/>
  <c r="AB46" i="22"/>
  <c r="AB40" i="20"/>
  <c r="AB46" i="18"/>
  <c r="AB46" i="17"/>
  <c r="AB46" i="20"/>
  <c r="AB10" i="21"/>
  <c r="AB14" i="19"/>
  <c r="AB16" i="22"/>
  <c r="AB10" i="19"/>
  <c r="AB10" i="20"/>
  <c r="AB18" i="17"/>
  <c r="AB18" i="18"/>
  <c r="AB12" i="19"/>
  <c r="DI79" i="5"/>
  <c r="AC79" i="5" s="1"/>
  <c r="DI91" i="5"/>
  <c r="AC91" i="5" s="1"/>
  <c r="DI121" i="5"/>
  <c r="AC121" i="5" s="1"/>
  <c r="DI83" i="5"/>
  <c r="AC83" i="5" s="1"/>
  <c r="DI59" i="5"/>
  <c r="AC59" i="5" s="1"/>
  <c r="DI17" i="5"/>
  <c r="AC17" i="5" s="1"/>
  <c r="DI67" i="5"/>
  <c r="AC67" i="5" s="1"/>
  <c r="DI7" i="5"/>
  <c r="AC7" i="5" s="1"/>
  <c r="DI107" i="5"/>
  <c r="AC107" i="5" s="1"/>
  <c r="DI75" i="5"/>
  <c r="AC75" i="5" s="1"/>
  <c r="DI5" i="5"/>
  <c r="AC5" i="5" s="1"/>
  <c r="DI87" i="5"/>
  <c r="AC87" i="5" s="1"/>
  <c r="DI15" i="5"/>
  <c r="AC15" i="5" s="1"/>
  <c r="DI93" i="5"/>
  <c r="AC93" i="5" s="1"/>
  <c r="DI115" i="5"/>
  <c r="AC115" i="5" s="1"/>
  <c r="DI111" i="5"/>
  <c r="AC111" i="5" s="1"/>
  <c r="DI27" i="5"/>
  <c r="AC27" i="5" s="1"/>
  <c r="DI45" i="5"/>
  <c r="AC45" i="5" s="1"/>
  <c r="DI113" i="5"/>
  <c r="AC113" i="5" s="1"/>
  <c r="DI41" i="5"/>
  <c r="AC41" i="5" s="1"/>
  <c r="DI109" i="5"/>
  <c r="AC109" i="5" s="1"/>
  <c r="DI103" i="5"/>
  <c r="AC103" i="5" s="1"/>
  <c r="DI61" i="5"/>
  <c r="AC61" i="5" s="1"/>
  <c r="DI119" i="5"/>
  <c r="AC119" i="5" s="1"/>
  <c r="DI51" i="5"/>
  <c r="AC51" i="5" s="1"/>
  <c r="DI43" i="5"/>
  <c r="DI65" i="5"/>
  <c r="AC65" i="5" s="1"/>
  <c r="DI89" i="5"/>
  <c r="AC89" i="5" s="1"/>
  <c r="DI49" i="5"/>
  <c r="AC49" i="5" s="1"/>
  <c r="DI117" i="5"/>
  <c r="AC117" i="5" s="1"/>
  <c r="DI31" i="5"/>
  <c r="AC31" i="5" s="1"/>
  <c r="DI11" i="5"/>
  <c r="AC11" i="5" s="1"/>
  <c r="DI99" i="5"/>
  <c r="AC99" i="5" s="1"/>
  <c r="DI77" i="5"/>
  <c r="AC77" i="5" s="1"/>
  <c r="DI9" i="5"/>
  <c r="AC9" i="5" s="1"/>
  <c r="DI105" i="5"/>
  <c r="AC105" i="5" s="1"/>
  <c r="DI25" i="5"/>
  <c r="AC25" i="5" s="1"/>
  <c r="DI35" i="5"/>
  <c r="AC35" i="5" s="1"/>
  <c r="DI47" i="5"/>
  <c r="AC47" i="5" s="1"/>
  <c r="DI37" i="5"/>
  <c r="AC37" i="5" s="1"/>
  <c r="DI97" i="5"/>
  <c r="AC97" i="5" s="1"/>
  <c r="AD3" i="5"/>
  <c r="DI23" i="5"/>
  <c r="AC23" i="5" s="1"/>
  <c r="DI29" i="5"/>
  <c r="AC29" i="5" s="1"/>
  <c r="DI63" i="5"/>
  <c r="DI101" i="5"/>
  <c r="AC101" i="5" s="1"/>
  <c r="DI21" i="5"/>
  <c r="AC21" i="5" s="1"/>
  <c r="DI39" i="5"/>
  <c r="AC39" i="5" s="1"/>
  <c r="DI73" i="5"/>
  <c r="AC73" i="5" s="1"/>
  <c r="DI81" i="5"/>
  <c r="AC81" i="5" s="1"/>
  <c r="DI123" i="5"/>
  <c r="AC123" i="5" s="1"/>
  <c r="DI71" i="5"/>
  <c r="AC71" i="5" s="1"/>
  <c r="DI19" i="5"/>
  <c r="AC19" i="5" s="1"/>
  <c r="DI85" i="5"/>
  <c r="AC85" i="5" s="1"/>
  <c r="DI69" i="5"/>
  <c r="AC69" i="5" s="1"/>
  <c r="DI33" i="5"/>
  <c r="DI57" i="5"/>
  <c r="AC57" i="5" s="1"/>
  <c r="DI13" i="5"/>
  <c r="AC13" i="5" s="1"/>
  <c r="DI95" i="5"/>
  <c r="AC95" i="5" s="1"/>
  <c r="DI53" i="5"/>
  <c r="DI55" i="5"/>
  <c r="AC55" i="5" s="1"/>
  <c r="DI99" i="8"/>
  <c r="DI115" i="8"/>
  <c r="DI97" i="8"/>
  <c r="DI101" i="8"/>
  <c r="DI95" i="8"/>
  <c r="DI103" i="8"/>
  <c r="DI119" i="8"/>
  <c r="DI121" i="8"/>
  <c r="DI123" i="8"/>
  <c r="DI117" i="8"/>
  <c r="DI53" i="8"/>
  <c r="DI39" i="8"/>
  <c r="AC39" i="8" s="1"/>
  <c r="DI93" i="8"/>
  <c r="AC93" i="8" s="1"/>
  <c r="DI23" i="8"/>
  <c r="DI67" i="8"/>
  <c r="AC67" i="8" s="1"/>
  <c r="DI65" i="8"/>
  <c r="AC65" i="8" s="1"/>
  <c r="DI57" i="8"/>
  <c r="AC57" i="8" s="1"/>
  <c r="DI13" i="8"/>
  <c r="DI83" i="8"/>
  <c r="AC83" i="8" s="1"/>
  <c r="DI41" i="8"/>
  <c r="AC41" i="8" s="1"/>
  <c r="DI91" i="8"/>
  <c r="AC91" i="8" s="1"/>
  <c r="DI107" i="8"/>
  <c r="DI21" i="8"/>
  <c r="AC21" i="8" s="1"/>
  <c r="DI15" i="8"/>
  <c r="AC15" i="8" s="1"/>
  <c r="DI49" i="8"/>
  <c r="AC49" i="8" s="1"/>
  <c r="DI51" i="8"/>
  <c r="AC51" i="8" s="1"/>
  <c r="DI37" i="8"/>
  <c r="AC37" i="8" s="1"/>
  <c r="DI43" i="8"/>
  <c r="DI87" i="8"/>
  <c r="AC87" i="8" s="1"/>
  <c r="DI89" i="8"/>
  <c r="AC89" i="8" s="1"/>
  <c r="DI105" i="8"/>
  <c r="DI111" i="8"/>
  <c r="DI17" i="8"/>
  <c r="AC17" i="8" s="1"/>
  <c r="DI45" i="8"/>
  <c r="AC45" i="8" s="1"/>
  <c r="DI47" i="8"/>
  <c r="AC47" i="8" s="1"/>
  <c r="DI35" i="8"/>
  <c r="AC35" i="8" s="1"/>
  <c r="DI85" i="8"/>
  <c r="AC85" i="8" s="1"/>
  <c r="DI113" i="8"/>
  <c r="DI109" i="8"/>
  <c r="DI19" i="8"/>
  <c r="AC19" i="8" s="1"/>
  <c r="DI73" i="8"/>
  <c r="AC73" i="8" s="1"/>
  <c r="DI59" i="8"/>
  <c r="AC59" i="8" s="1"/>
  <c r="DI5" i="8"/>
  <c r="AC5" i="8" s="1"/>
  <c r="DI11" i="8"/>
  <c r="AC11" i="8" s="1"/>
  <c r="DI75" i="8"/>
  <c r="AC75" i="8" s="1"/>
  <c r="DI81" i="8"/>
  <c r="AC81" i="8" s="1"/>
  <c r="DI27" i="8"/>
  <c r="AC27" i="8" s="1"/>
  <c r="DI63" i="8"/>
  <c r="DI9" i="8"/>
  <c r="AC9" i="8" s="1"/>
  <c r="DI29" i="8"/>
  <c r="AC29" i="8" s="1"/>
  <c r="DI71" i="8"/>
  <c r="AC71" i="8" s="1"/>
  <c r="DI55" i="8"/>
  <c r="AC55" i="8" s="1"/>
  <c r="DI77" i="8"/>
  <c r="AC77" i="8" s="1"/>
  <c r="DI69" i="8"/>
  <c r="AC69" i="8" s="1"/>
  <c r="DI7" i="8"/>
  <c r="AC7" i="8" s="1"/>
  <c r="DI79" i="8"/>
  <c r="AC79" i="8" s="1"/>
  <c r="DI33" i="8"/>
  <c r="DI25" i="8"/>
  <c r="AC25" i="8" s="1"/>
  <c r="DI31" i="8"/>
  <c r="AC31" i="8" s="1"/>
  <c r="DI61" i="8"/>
  <c r="AC61" i="8" s="1"/>
  <c r="DH57" i="6"/>
  <c r="AB57" i="6" s="1"/>
  <c r="DH49" i="6"/>
  <c r="AB49" i="6" s="1"/>
  <c r="DH59" i="6"/>
  <c r="AB59" i="6" s="1"/>
  <c r="DH51" i="6"/>
  <c r="AB51" i="6" s="1"/>
  <c r="DH61" i="6"/>
  <c r="AB61" i="6" s="1"/>
  <c r="DH53" i="6"/>
  <c r="DH45" i="6"/>
  <c r="AB45" i="6" s="1"/>
  <c r="DH37" i="6"/>
  <c r="AB37" i="6" s="1"/>
  <c r="DH39" i="6"/>
  <c r="AB39" i="6" s="1"/>
  <c r="DH35" i="6"/>
  <c r="AB35" i="6" s="1"/>
  <c r="DH27" i="6"/>
  <c r="AB27" i="6" s="1"/>
  <c r="DH19" i="6"/>
  <c r="AB19" i="6" s="1"/>
  <c r="DH11" i="6"/>
  <c r="AB11" i="6" s="1"/>
  <c r="DH55" i="6"/>
  <c r="AB55" i="6" s="1"/>
  <c r="DH41" i="6"/>
  <c r="AB41" i="6" s="1"/>
  <c r="DH29" i="6"/>
  <c r="AB29" i="6" s="1"/>
  <c r="DH21" i="6"/>
  <c r="AB21" i="6" s="1"/>
  <c r="DH43" i="6"/>
  <c r="DH31" i="6"/>
  <c r="AB31" i="6" s="1"/>
  <c r="DH23" i="6"/>
  <c r="AB23" i="6" s="1"/>
  <c r="DH15" i="6"/>
  <c r="AB15" i="6" s="1"/>
  <c r="DH47" i="6"/>
  <c r="AB47" i="6" s="1"/>
  <c r="DH33" i="6"/>
  <c r="DH17" i="6"/>
  <c r="AB17" i="6" s="1"/>
  <c r="DH9" i="6"/>
  <c r="AB9" i="6" s="1"/>
  <c r="DH5" i="6"/>
  <c r="AB5" i="6" s="1"/>
  <c r="DH25" i="6"/>
  <c r="AB25" i="6" s="1"/>
  <c r="DH63" i="6"/>
  <c r="DH13" i="6"/>
  <c r="AB13" i="6" s="1"/>
  <c r="DH7" i="6"/>
  <c r="AB7" i="6" s="1"/>
  <c r="AD3" i="8"/>
  <c r="AC3" i="7"/>
  <c r="AC3" i="6"/>
  <c r="AC108" i="5"/>
  <c r="AB106" i="8"/>
  <c r="AB110" i="8"/>
  <c r="AC104" i="5"/>
  <c r="AB108" i="8"/>
  <c r="AB110" i="7"/>
  <c r="AB106" i="7"/>
  <c r="AC110" i="5"/>
  <c r="AC106" i="5"/>
  <c r="AB108" i="7"/>
  <c r="AB104" i="7"/>
  <c r="AB104" i="8"/>
  <c r="AB27" i="18" l="1"/>
  <c r="DI117" i="6"/>
  <c r="DI123" i="6"/>
  <c r="DI109" i="6"/>
  <c r="DI119" i="6"/>
  <c r="DI121" i="6"/>
  <c r="DI113" i="6"/>
  <c r="DI107" i="6"/>
  <c r="DI111" i="6"/>
  <c r="DI65" i="6"/>
  <c r="DI67" i="6"/>
  <c r="DI75" i="6"/>
  <c r="DI83" i="6"/>
  <c r="DI79" i="6"/>
  <c r="DI81" i="6"/>
  <c r="DI105" i="6"/>
  <c r="DI69" i="6"/>
  <c r="DI71" i="6"/>
  <c r="DI77" i="6"/>
  <c r="DI95" i="6"/>
  <c r="DI97" i="6"/>
  <c r="DI103" i="6"/>
  <c r="DI101" i="6"/>
  <c r="DI85" i="6"/>
  <c r="DI73" i="6"/>
  <c r="DI99" i="6"/>
  <c r="DI87" i="6"/>
  <c r="DI115" i="6"/>
  <c r="DI89" i="6"/>
  <c r="DI93" i="6"/>
  <c r="DI91" i="6"/>
  <c r="AB32" i="19"/>
  <c r="AA52" i="22"/>
  <c r="Y57" i="21"/>
  <c r="X57" i="22"/>
  <c r="Z60" i="21"/>
  <c r="X57" i="21"/>
  <c r="AA52" i="21"/>
  <c r="Y57" i="22"/>
  <c r="Z57" i="21"/>
  <c r="AA55" i="21"/>
  <c r="AA57" i="21"/>
  <c r="Z52" i="21"/>
  <c r="Z55" i="21"/>
  <c r="Y52" i="22"/>
  <c r="X52" i="21"/>
  <c r="AA60" i="21"/>
  <c r="X55" i="21"/>
  <c r="Y55" i="21"/>
  <c r="Z52" i="22"/>
  <c r="AA57" i="22"/>
  <c r="X52" i="22"/>
  <c r="Z57" i="22"/>
  <c r="Y52" i="21"/>
  <c r="X60" i="21"/>
  <c r="Y60" i="21"/>
  <c r="Z58" i="21"/>
  <c r="Y58" i="21"/>
  <c r="Z53" i="21"/>
  <c r="Y53" i="21"/>
  <c r="W54" i="19"/>
  <c r="W59" i="19"/>
  <c r="AB36" i="21"/>
  <c r="AB30" i="18"/>
  <c r="AB30" i="21"/>
  <c r="W59" i="22"/>
  <c r="W54" i="22"/>
  <c r="V54" i="21"/>
  <c r="V59" i="21"/>
  <c r="AB34" i="21"/>
  <c r="AB36" i="17"/>
  <c r="AB36" i="18"/>
  <c r="Z54" i="21"/>
  <c r="Z59" i="21"/>
  <c r="AB30" i="19"/>
  <c r="X59" i="19"/>
  <c r="X54" i="19"/>
  <c r="V59" i="22"/>
  <c r="V54" i="22"/>
  <c r="U59" i="19"/>
  <c r="U54" i="19"/>
  <c r="AB34" i="18"/>
  <c r="AB37" i="19"/>
  <c r="U53" i="18"/>
  <c r="U58" i="18"/>
  <c r="V58" i="19"/>
  <c r="V53" i="19"/>
  <c r="V53" i="20"/>
  <c r="V58" i="20"/>
  <c r="U58" i="21"/>
  <c r="U53" i="21"/>
  <c r="AB27" i="17"/>
  <c r="AB27" i="20"/>
  <c r="AB34" i="19"/>
  <c r="X54" i="21"/>
  <c r="X59" i="21"/>
  <c r="X54" i="20"/>
  <c r="X59" i="20"/>
  <c r="AB38" i="17"/>
  <c r="AB36" i="22"/>
  <c r="AB37" i="17"/>
  <c r="AB37" i="21"/>
  <c r="X54" i="22"/>
  <c r="X59" i="22"/>
  <c r="AB37" i="20"/>
  <c r="V54" i="18"/>
  <c r="V59" i="18"/>
  <c r="V59" i="19"/>
  <c r="V54" i="19"/>
  <c r="AB38" i="22"/>
  <c r="X53" i="21"/>
  <c r="X58" i="21"/>
  <c r="V58" i="22"/>
  <c r="V53" i="22"/>
  <c r="V58" i="18"/>
  <c r="V53" i="18"/>
  <c r="U58" i="22"/>
  <c r="U53" i="22"/>
  <c r="AB27" i="21"/>
  <c r="AB27" i="19"/>
  <c r="AB27" i="22"/>
  <c r="DI107" i="7"/>
  <c r="AC107" i="7" s="1"/>
  <c r="DI113" i="7"/>
  <c r="AC113" i="7" s="1"/>
  <c r="DI111" i="7"/>
  <c r="AC111" i="7" s="1"/>
  <c r="DI109" i="7"/>
  <c r="AC109" i="7" s="1"/>
  <c r="DI105" i="7"/>
  <c r="AC105" i="7" s="1"/>
  <c r="DI85" i="7"/>
  <c r="AC85" i="7" s="1"/>
  <c r="DI21" i="7"/>
  <c r="AC21" i="7" s="1"/>
  <c r="DI73" i="7"/>
  <c r="AC73" i="7" s="1"/>
  <c r="DI67" i="7"/>
  <c r="AC67" i="7" s="1"/>
  <c r="DI87" i="7"/>
  <c r="AC87" i="7" s="1"/>
  <c r="DI69" i="7"/>
  <c r="AC69" i="7" s="1"/>
  <c r="DI65" i="7"/>
  <c r="AC65" i="7" s="1"/>
  <c r="DI89" i="7"/>
  <c r="AC89" i="7" s="1"/>
  <c r="DI23" i="7"/>
  <c r="AC23" i="7" s="1"/>
  <c r="DI19" i="7"/>
  <c r="AC19" i="7" s="1"/>
  <c r="DI15" i="7"/>
  <c r="AC15" i="7" s="1"/>
  <c r="DI17" i="7"/>
  <c r="AC17" i="7" s="1"/>
  <c r="DI71" i="7"/>
  <c r="AC71" i="7" s="1"/>
  <c r="DI91" i="7"/>
  <c r="AC91" i="7" s="1"/>
  <c r="DI93" i="7"/>
  <c r="AC93" i="7" s="1"/>
  <c r="DI121" i="7"/>
  <c r="AC121" i="7" s="1"/>
  <c r="DI25" i="7"/>
  <c r="AC25" i="7" s="1"/>
  <c r="DI53" i="7"/>
  <c r="AC53" i="7" s="1"/>
  <c r="DI95" i="7"/>
  <c r="AC95" i="7" s="1"/>
  <c r="DI101" i="7"/>
  <c r="AC101" i="7" s="1"/>
  <c r="DI97" i="7"/>
  <c r="AC97" i="7" s="1"/>
  <c r="DI119" i="7"/>
  <c r="AC119" i="7" s="1"/>
  <c r="DI117" i="7"/>
  <c r="AC117" i="7" s="1"/>
  <c r="DI33" i="7"/>
  <c r="AC33" i="7" s="1"/>
  <c r="DI51" i="7"/>
  <c r="AC51" i="7" s="1"/>
  <c r="DI103" i="7"/>
  <c r="AC103" i="7" s="1"/>
  <c r="DI115" i="7"/>
  <c r="AC115" i="7" s="1"/>
  <c r="DI31" i="7"/>
  <c r="AC31" i="7" s="1"/>
  <c r="DI29" i="7"/>
  <c r="AC29" i="7" s="1"/>
  <c r="DI49" i="7"/>
  <c r="AC49" i="7" s="1"/>
  <c r="DI79" i="7"/>
  <c r="AC79" i="7" s="1"/>
  <c r="DI81" i="7"/>
  <c r="DI123" i="7"/>
  <c r="AC123" i="7" s="1"/>
  <c r="DI99" i="7"/>
  <c r="AC99" i="7" s="1"/>
  <c r="DI35" i="7"/>
  <c r="AC35" i="7" s="1"/>
  <c r="DI13" i="7"/>
  <c r="AC13" i="7" s="1"/>
  <c r="DI61" i="7"/>
  <c r="AC61" i="7" s="1"/>
  <c r="DI55" i="7"/>
  <c r="AC55" i="7" s="1"/>
  <c r="DI27" i="7"/>
  <c r="AC27" i="7" s="1"/>
  <c r="DI77" i="7"/>
  <c r="AC77" i="7" s="1"/>
  <c r="DI43" i="7"/>
  <c r="AC43" i="7" s="1"/>
  <c r="DI11" i="7"/>
  <c r="AC11" i="7" s="1"/>
  <c r="DI63" i="7"/>
  <c r="AC63" i="7" s="1"/>
  <c r="DI41" i="7"/>
  <c r="AC41" i="7" s="1"/>
  <c r="DI9" i="7"/>
  <c r="AC9" i="7" s="1"/>
  <c r="DI47" i="7"/>
  <c r="AC47" i="7" s="1"/>
  <c r="DI45" i="7"/>
  <c r="AC45" i="7" s="1"/>
  <c r="DI83" i="7"/>
  <c r="AC83" i="7" s="1"/>
  <c r="DI75" i="7"/>
  <c r="AC75" i="7" s="1"/>
  <c r="DI39" i="7"/>
  <c r="AC39" i="7" s="1"/>
  <c r="DI37" i="7"/>
  <c r="AC37" i="7" s="1"/>
  <c r="DI7" i="7"/>
  <c r="AC7" i="7" s="1"/>
  <c r="DI5" i="7"/>
  <c r="AC5" i="7" s="1"/>
  <c r="DI57" i="7"/>
  <c r="AC57" i="7" s="1"/>
  <c r="DI59" i="7"/>
  <c r="AC59" i="7" s="1"/>
  <c r="AC81" i="7"/>
  <c r="V59" i="20"/>
  <c r="V54" i="20"/>
  <c r="W59" i="21"/>
  <c r="W54" i="21"/>
  <c r="X59" i="18"/>
  <c r="X54" i="18"/>
  <c r="AB32" i="17"/>
  <c r="AB30" i="17"/>
  <c r="AA59" i="21"/>
  <c r="AA54" i="21"/>
  <c r="AB30" i="20"/>
  <c r="W54" i="20"/>
  <c r="W59" i="20"/>
  <c r="U54" i="21"/>
  <c r="U59" i="21"/>
  <c r="AB32" i="20"/>
  <c r="AB34" i="17"/>
  <c r="AB32" i="21"/>
  <c r="AB37" i="22"/>
  <c r="AB38" i="21"/>
  <c r="W58" i="21"/>
  <c r="W53" i="21"/>
  <c r="U58" i="19"/>
  <c r="U53" i="19"/>
  <c r="U54" i="18"/>
  <c r="U59" i="18"/>
  <c r="AB32" i="22"/>
  <c r="AB37" i="18"/>
  <c r="Y59" i="21"/>
  <c r="Y54" i="21"/>
  <c r="AB36" i="19"/>
  <c r="AB30" i="22"/>
  <c r="W54" i="18"/>
  <c r="W59" i="18"/>
  <c r="AB34" i="22"/>
  <c r="AB32" i="18"/>
  <c r="U59" i="22"/>
  <c r="U54" i="22"/>
  <c r="U59" i="20"/>
  <c r="U54" i="20"/>
  <c r="AB34" i="20"/>
  <c r="AB38" i="18"/>
  <c r="AB36" i="20"/>
  <c r="AB38" i="20"/>
  <c r="AB38" i="19"/>
  <c r="U58" i="20"/>
  <c r="U53" i="20"/>
  <c r="V53" i="21"/>
  <c r="V58" i="21"/>
  <c r="AC107" i="8"/>
  <c r="AC23" i="8"/>
  <c r="AC103" i="8"/>
  <c r="AC33" i="8"/>
  <c r="AC123" i="8"/>
  <c r="AC95" i="8"/>
  <c r="AC99" i="8"/>
  <c r="AC43" i="5"/>
  <c r="AB43" i="6"/>
  <c r="AC113" i="8"/>
  <c r="AC13" i="8"/>
  <c r="AC117" i="8"/>
  <c r="AC115" i="8"/>
  <c r="AB63" i="6"/>
  <c r="AB53" i="6"/>
  <c r="AB28" i="21" s="1"/>
  <c r="AC63" i="8"/>
  <c r="AC111" i="8"/>
  <c r="AC43" i="8"/>
  <c r="AC121" i="8"/>
  <c r="AC101" i="8"/>
  <c r="AC63" i="5"/>
  <c r="AB48" i="20"/>
  <c r="AB48" i="17"/>
  <c r="AB48" i="22"/>
  <c r="AA28" i="20"/>
  <c r="AA28" i="22"/>
  <c r="AB33" i="6"/>
  <c r="AB28" i="19" s="1"/>
  <c r="AC109" i="8"/>
  <c r="AC105" i="8"/>
  <c r="AC53" i="8"/>
  <c r="AC119" i="8"/>
  <c r="AC97" i="8"/>
  <c r="AC53" i="5"/>
  <c r="AC33" i="5"/>
  <c r="AB48" i="21"/>
  <c r="AB60" i="21" s="1"/>
  <c r="AB48" i="18"/>
  <c r="AA28" i="21"/>
  <c r="AA58" i="21" s="1"/>
  <c r="AB18" i="22"/>
  <c r="AB52" i="22" s="1"/>
  <c r="AB18" i="20"/>
  <c r="AB18" i="21"/>
  <c r="AB52" i="21" s="1"/>
  <c r="AB18" i="19"/>
  <c r="AB48" i="19"/>
  <c r="AA28" i="19"/>
  <c r="AB22" i="18"/>
  <c r="AB22" i="17"/>
  <c r="AB20" i="18"/>
  <c r="AB20" i="17"/>
  <c r="AB22" i="21"/>
  <c r="AB20" i="22"/>
  <c r="AB22" i="20"/>
  <c r="AB28" i="18"/>
  <c r="AB28" i="17"/>
  <c r="AB24" i="18"/>
  <c r="AB24" i="17"/>
  <c r="AB22" i="19"/>
  <c r="AB20" i="21"/>
  <c r="AB26" i="21"/>
  <c r="AB24" i="21"/>
  <c r="AB24" i="19"/>
  <c r="AB20" i="20"/>
  <c r="AB24" i="22"/>
  <c r="AB22" i="22"/>
  <c r="AB20" i="19"/>
  <c r="AB26" i="19"/>
  <c r="AB26" i="20"/>
  <c r="AB26" i="18"/>
  <c r="AB26" i="17"/>
  <c r="AB24" i="20"/>
  <c r="AB26" i="22"/>
  <c r="DJ65" i="5"/>
  <c r="AD65" i="5" s="1"/>
  <c r="DJ9" i="5"/>
  <c r="AD9" i="5" s="1"/>
  <c r="DJ111" i="5"/>
  <c r="AD111" i="5" s="1"/>
  <c r="DJ77" i="5"/>
  <c r="AD77" i="5" s="1"/>
  <c r="DJ23" i="5"/>
  <c r="AD23" i="5" s="1"/>
  <c r="DJ29" i="5"/>
  <c r="AD29" i="5" s="1"/>
  <c r="DJ21" i="5"/>
  <c r="AD21" i="5" s="1"/>
  <c r="DJ71" i="5"/>
  <c r="AD71" i="5" s="1"/>
  <c r="DJ115" i="5"/>
  <c r="AD115" i="5" s="1"/>
  <c r="DJ5" i="5"/>
  <c r="AD5" i="5" s="1"/>
  <c r="DJ117" i="5"/>
  <c r="AD117" i="5" s="1"/>
  <c r="DJ123" i="5"/>
  <c r="AD123" i="5" s="1"/>
  <c r="DJ15" i="5"/>
  <c r="AD15" i="5" s="1"/>
  <c r="DJ87" i="5"/>
  <c r="AD87" i="5" s="1"/>
  <c r="DJ51" i="5"/>
  <c r="AD51" i="5" s="1"/>
  <c r="DJ11" i="5"/>
  <c r="AD11" i="5" s="1"/>
  <c r="DJ107" i="5"/>
  <c r="AD107" i="5" s="1"/>
  <c r="DJ33" i="5"/>
  <c r="DJ73" i="5"/>
  <c r="AD73" i="5" s="1"/>
  <c r="DJ17" i="5"/>
  <c r="AD17" i="5" s="1"/>
  <c r="DJ49" i="5"/>
  <c r="AD49" i="5" s="1"/>
  <c r="DJ121" i="5"/>
  <c r="AD121" i="5" s="1"/>
  <c r="DJ53" i="5"/>
  <c r="DJ95" i="5"/>
  <c r="AD95" i="5" s="1"/>
  <c r="DJ31" i="5"/>
  <c r="AD31" i="5" s="1"/>
  <c r="DJ101" i="5"/>
  <c r="AD101" i="5" s="1"/>
  <c r="DJ85" i="5"/>
  <c r="AD85" i="5" s="1"/>
  <c r="DJ79" i="5"/>
  <c r="AD79" i="5" s="1"/>
  <c r="DJ57" i="5"/>
  <c r="AD57" i="5" s="1"/>
  <c r="DJ13" i="5"/>
  <c r="AD13" i="5" s="1"/>
  <c r="DJ91" i="5"/>
  <c r="AD91" i="5" s="1"/>
  <c r="DJ105" i="5"/>
  <c r="AD105" i="5" s="1"/>
  <c r="DJ27" i="5"/>
  <c r="AD27" i="5" s="1"/>
  <c r="DJ39" i="5"/>
  <c r="AD39" i="5" s="1"/>
  <c r="DJ69" i="5"/>
  <c r="AD69" i="5" s="1"/>
  <c r="DJ63" i="5"/>
  <c r="DJ67" i="5"/>
  <c r="AD67" i="5" s="1"/>
  <c r="DJ41" i="5"/>
  <c r="AD41" i="5" s="1"/>
  <c r="DJ75" i="5"/>
  <c r="AD75" i="5" s="1"/>
  <c r="DJ25" i="5"/>
  <c r="AD25" i="5" s="1"/>
  <c r="DJ113" i="5"/>
  <c r="AD113" i="5" s="1"/>
  <c r="DJ59" i="5"/>
  <c r="AD59" i="5" s="1"/>
  <c r="DJ19" i="5"/>
  <c r="AD19" i="5" s="1"/>
  <c r="DJ83" i="5"/>
  <c r="AD83" i="5" s="1"/>
  <c r="DJ37" i="5"/>
  <c r="AD37" i="5" s="1"/>
  <c r="DJ81" i="5"/>
  <c r="AD81" i="5" s="1"/>
  <c r="DJ35" i="5"/>
  <c r="AD35" i="5" s="1"/>
  <c r="DJ109" i="5"/>
  <c r="AD109" i="5" s="1"/>
  <c r="DJ103" i="5"/>
  <c r="AD103" i="5" s="1"/>
  <c r="DJ61" i="5"/>
  <c r="AD61" i="5" s="1"/>
  <c r="DJ55" i="5"/>
  <c r="AD55" i="5" s="1"/>
  <c r="DJ99" i="5"/>
  <c r="AD99" i="5" s="1"/>
  <c r="DJ43" i="5"/>
  <c r="DJ47" i="5"/>
  <c r="AD47" i="5" s="1"/>
  <c r="DJ7" i="5"/>
  <c r="AD7" i="5" s="1"/>
  <c r="AE3" i="5"/>
  <c r="DJ45" i="5"/>
  <c r="AD45" i="5" s="1"/>
  <c r="DJ97" i="5"/>
  <c r="AD97" i="5" s="1"/>
  <c r="DJ89" i="5"/>
  <c r="AD89" i="5" s="1"/>
  <c r="DJ93" i="5"/>
  <c r="AD93" i="5" s="1"/>
  <c r="DJ119" i="5"/>
  <c r="AD119" i="5" s="1"/>
  <c r="DJ101" i="8"/>
  <c r="DJ117" i="8"/>
  <c r="DJ121" i="8"/>
  <c r="DJ99" i="8"/>
  <c r="DJ103" i="8"/>
  <c r="DJ97" i="8"/>
  <c r="DJ115" i="8"/>
  <c r="DJ123" i="8"/>
  <c r="DJ95" i="8"/>
  <c r="DJ119" i="8"/>
  <c r="DJ51" i="8"/>
  <c r="AD51" i="8" s="1"/>
  <c r="DJ53" i="8"/>
  <c r="DJ45" i="8"/>
  <c r="AD45" i="8" s="1"/>
  <c r="DJ85" i="8"/>
  <c r="AD85" i="8" s="1"/>
  <c r="DJ91" i="8"/>
  <c r="AD91" i="8" s="1"/>
  <c r="DJ15" i="8"/>
  <c r="AD15" i="8" s="1"/>
  <c r="DJ69" i="8"/>
  <c r="AD69" i="8" s="1"/>
  <c r="DJ55" i="8"/>
  <c r="AD55" i="8" s="1"/>
  <c r="DJ5" i="8"/>
  <c r="AD5" i="8" s="1"/>
  <c r="DJ49" i="8"/>
  <c r="AD49" i="8" s="1"/>
  <c r="DJ35" i="8"/>
  <c r="AD35" i="8" s="1"/>
  <c r="DJ37" i="8"/>
  <c r="AD37" i="8" s="1"/>
  <c r="DJ93" i="8"/>
  <c r="AD93" i="8" s="1"/>
  <c r="DJ109" i="8"/>
  <c r="DJ23" i="8"/>
  <c r="DJ21" i="8"/>
  <c r="AD21" i="8" s="1"/>
  <c r="DJ39" i="8"/>
  <c r="AD39" i="8" s="1"/>
  <c r="DJ41" i="8"/>
  <c r="AD41" i="8" s="1"/>
  <c r="DJ89" i="8"/>
  <c r="AD89" i="8" s="1"/>
  <c r="DJ107" i="8"/>
  <c r="DJ113" i="8"/>
  <c r="DJ19" i="8"/>
  <c r="AD19" i="8" s="1"/>
  <c r="DJ47" i="8"/>
  <c r="AD47" i="8" s="1"/>
  <c r="DJ43" i="8"/>
  <c r="DJ87" i="8"/>
  <c r="AD87" i="8" s="1"/>
  <c r="DJ111" i="8"/>
  <c r="DJ105" i="8"/>
  <c r="DJ17" i="8"/>
  <c r="AD17" i="8" s="1"/>
  <c r="DJ57" i="8"/>
  <c r="AD57" i="8" s="1"/>
  <c r="DJ7" i="8"/>
  <c r="AD7" i="8" s="1"/>
  <c r="DJ77" i="8"/>
  <c r="AD77" i="8" s="1"/>
  <c r="DJ75" i="8"/>
  <c r="AD75" i="8" s="1"/>
  <c r="DJ29" i="8"/>
  <c r="AD29" i="8" s="1"/>
  <c r="DJ73" i="8"/>
  <c r="AD73" i="8" s="1"/>
  <c r="DJ65" i="8"/>
  <c r="AD65" i="8" s="1"/>
  <c r="DJ9" i="8"/>
  <c r="AD9" i="8" s="1"/>
  <c r="DJ79" i="8"/>
  <c r="AD79" i="8" s="1"/>
  <c r="DJ83" i="8"/>
  <c r="AD83" i="8" s="1"/>
  <c r="DJ27" i="8"/>
  <c r="AD27" i="8" s="1"/>
  <c r="DJ71" i="8"/>
  <c r="AD71" i="8" s="1"/>
  <c r="DJ81" i="8"/>
  <c r="AD81" i="8" s="1"/>
  <c r="DJ31" i="8"/>
  <c r="AD31" i="8" s="1"/>
  <c r="DJ67" i="8"/>
  <c r="AD67" i="8" s="1"/>
  <c r="DJ63" i="8"/>
  <c r="DJ61" i="8"/>
  <c r="AD61" i="8" s="1"/>
  <c r="DJ25" i="8"/>
  <c r="AD25" i="8" s="1"/>
  <c r="DJ33" i="8"/>
  <c r="DJ59" i="8"/>
  <c r="AD59" i="8" s="1"/>
  <c r="DJ11" i="8"/>
  <c r="AD11" i="8" s="1"/>
  <c r="DJ13" i="8"/>
  <c r="DI59" i="6"/>
  <c r="AC59" i="6" s="1"/>
  <c r="DI51" i="6"/>
  <c r="AC51" i="6" s="1"/>
  <c r="DI61" i="6"/>
  <c r="AC61" i="6" s="1"/>
  <c r="DI53" i="6"/>
  <c r="DI63" i="6"/>
  <c r="DI55" i="6"/>
  <c r="AC55" i="6" s="1"/>
  <c r="DI47" i="6"/>
  <c r="AC47" i="6" s="1"/>
  <c r="DI39" i="6"/>
  <c r="AC39" i="6" s="1"/>
  <c r="DI41" i="6"/>
  <c r="AC41" i="6" s="1"/>
  <c r="DI37" i="6"/>
  <c r="AC37" i="6" s="1"/>
  <c r="DI29" i="6"/>
  <c r="AC29" i="6" s="1"/>
  <c r="DI21" i="6"/>
  <c r="AC21" i="6" s="1"/>
  <c r="DI13" i="6"/>
  <c r="AC13" i="6" s="1"/>
  <c r="DI57" i="6"/>
  <c r="AC57" i="6" s="1"/>
  <c r="DI43" i="6"/>
  <c r="DI31" i="6"/>
  <c r="AC31" i="6" s="1"/>
  <c r="DI23" i="6"/>
  <c r="AC23" i="6" s="1"/>
  <c r="DI15" i="6"/>
  <c r="AC15" i="6" s="1"/>
  <c r="DI45" i="6"/>
  <c r="AC45" i="6" s="1"/>
  <c r="DI33" i="6"/>
  <c r="DI25" i="6"/>
  <c r="AC25" i="6" s="1"/>
  <c r="DI17" i="6"/>
  <c r="AC17" i="6" s="1"/>
  <c r="DI9" i="6"/>
  <c r="AC9" i="6" s="1"/>
  <c r="DI5" i="6"/>
  <c r="AC5" i="6" s="1"/>
  <c r="DI49" i="6"/>
  <c r="AC49" i="6" s="1"/>
  <c r="DI35" i="6"/>
  <c r="AC35" i="6" s="1"/>
  <c r="DI19" i="6"/>
  <c r="AC19" i="6" s="1"/>
  <c r="DI7" i="6"/>
  <c r="AC7" i="6" s="1"/>
  <c r="DI11" i="6"/>
  <c r="AC11" i="6" s="1"/>
  <c r="DI27" i="6"/>
  <c r="AC27" i="6" s="1"/>
  <c r="AE3" i="8"/>
  <c r="AD3" i="7"/>
  <c r="AD3" i="6"/>
  <c r="AC110" i="7"/>
  <c r="AD108" i="5"/>
  <c r="AD106" i="5"/>
  <c r="AC106" i="8"/>
  <c r="AC110" i="8"/>
  <c r="AC106" i="7"/>
  <c r="AC108" i="8"/>
  <c r="AD104" i="5"/>
  <c r="AC104" i="8"/>
  <c r="AC104" i="7"/>
  <c r="AD110" i="5"/>
  <c r="AC108" i="7"/>
  <c r="DJ121" i="6" l="1"/>
  <c r="DJ111" i="6"/>
  <c r="DJ119" i="6"/>
  <c r="DJ123" i="6"/>
  <c r="DJ109" i="6"/>
  <c r="DJ117" i="6"/>
  <c r="DJ105" i="6"/>
  <c r="DJ107" i="6"/>
  <c r="DJ113" i="6"/>
  <c r="DJ65" i="6"/>
  <c r="DJ67" i="6"/>
  <c r="DJ71" i="6"/>
  <c r="DJ69" i="6"/>
  <c r="DJ79" i="6"/>
  <c r="DJ81" i="6"/>
  <c r="DJ83" i="6"/>
  <c r="DJ115" i="6"/>
  <c r="DJ73" i="6"/>
  <c r="DJ75" i="6"/>
  <c r="DJ77" i="6"/>
  <c r="DJ85" i="6"/>
  <c r="DJ101" i="6"/>
  <c r="DJ89" i="6"/>
  <c r="DJ97" i="6"/>
  <c r="DJ93" i="6"/>
  <c r="DJ91" i="6"/>
  <c r="DJ103" i="6"/>
  <c r="DJ95" i="6"/>
  <c r="DJ99" i="6"/>
  <c r="DJ87" i="6"/>
  <c r="AB55" i="21"/>
  <c r="AA53" i="21"/>
  <c r="AB57" i="22"/>
  <c r="AB57" i="21"/>
  <c r="DJ109" i="7"/>
  <c r="AD109" i="7" s="1"/>
  <c r="DJ105" i="7"/>
  <c r="AD105" i="7" s="1"/>
  <c r="DJ113" i="7"/>
  <c r="AD113" i="7" s="1"/>
  <c r="DJ111" i="7"/>
  <c r="AD111" i="7" s="1"/>
  <c r="DJ107" i="7"/>
  <c r="AD107" i="7" s="1"/>
  <c r="DJ87" i="7"/>
  <c r="AD87" i="7" s="1"/>
  <c r="DJ65" i="7"/>
  <c r="AD65" i="7" s="1"/>
  <c r="DJ89" i="7"/>
  <c r="AD89" i="7" s="1"/>
  <c r="DJ23" i="7"/>
  <c r="AD23" i="7" s="1"/>
  <c r="DJ71" i="7"/>
  <c r="AD71" i="7" s="1"/>
  <c r="DJ67" i="7"/>
  <c r="AD67" i="7" s="1"/>
  <c r="DJ73" i="7"/>
  <c r="AD73" i="7" s="1"/>
  <c r="DJ17" i="7"/>
  <c r="AD17" i="7" s="1"/>
  <c r="DJ21" i="7"/>
  <c r="AD21" i="7" s="1"/>
  <c r="DJ15" i="7"/>
  <c r="AD15" i="7" s="1"/>
  <c r="DJ91" i="7"/>
  <c r="AD91" i="7" s="1"/>
  <c r="DJ69" i="7"/>
  <c r="AD69" i="7" s="1"/>
  <c r="DJ85" i="7"/>
  <c r="AD85" i="7" s="1"/>
  <c r="DJ123" i="7"/>
  <c r="AD123" i="7" s="1"/>
  <c r="DJ27" i="7"/>
  <c r="AD27" i="7" s="1"/>
  <c r="DJ45" i="7"/>
  <c r="AD45" i="7" s="1"/>
  <c r="DJ97" i="7"/>
  <c r="AD97" i="7" s="1"/>
  <c r="DJ101" i="7"/>
  <c r="AD101" i="7" s="1"/>
  <c r="DJ103" i="7"/>
  <c r="AD103" i="7" s="1"/>
  <c r="DJ99" i="7"/>
  <c r="AD99" i="7" s="1"/>
  <c r="DJ121" i="7"/>
  <c r="AD121" i="7" s="1"/>
  <c r="DJ119" i="7"/>
  <c r="AD119" i="7" s="1"/>
  <c r="DJ25" i="7"/>
  <c r="AD25" i="7" s="1"/>
  <c r="DJ53" i="7"/>
  <c r="AD53" i="7" s="1"/>
  <c r="DJ19" i="7"/>
  <c r="AD19" i="7" s="1"/>
  <c r="DJ117" i="7"/>
  <c r="AD117" i="7" s="1"/>
  <c r="DJ33" i="7"/>
  <c r="AD33" i="7" s="1"/>
  <c r="DJ31" i="7"/>
  <c r="AD31" i="7" s="1"/>
  <c r="DJ51" i="7"/>
  <c r="AD51" i="7" s="1"/>
  <c r="DJ49" i="7"/>
  <c r="AD49" i="7" s="1"/>
  <c r="DJ47" i="7"/>
  <c r="AD47" i="7" s="1"/>
  <c r="DJ37" i="7"/>
  <c r="AD37" i="7" s="1"/>
  <c r="DJ5" i="7"/>
  <c r="AD5" i="7" s="1"/>
  <c r="DJ63" i="7"/>
  <c r="AD63" i="7" s="1"/>
  <c r="DJ93" i="7"/>
  <c r="AD93" i="7" s="1"/>
  <c r="DJ115" i="7"/>
  <c r="DJ79" i="7"/>
  <c r="AD79" i="7" s="1"/>
  <c r="DJ81" i="7"/>
  <c r="AD81" i="7" s="1"/>
  <c r="DJ83" i="7"/>
  <c r="AD83" i="7" s="1"/>
  <c r="DJ77" i="7"/>
  <c r="AD77" i="7" s="1"/>
  <c r="DJ35" i="7"/>
  <c r="AD35" i="7" s="1"/>
  <c r="DJ13" i="7"/>
  <c r="AD13" i="7" s="1"/>
  <c r="DJ43" i="7"/>
  <c r="AD43" i="7" s="1"/>
  <c r="DJ11" i="7"/>
  <c r="AD11" i="7" s="1"/>
  <c r="DJ55" i="7"/>
  <c r="AD55" i="7" s="1"/>
  <c r="DJ95" i="7"/>
  <c r="AD95" i="7" s="1"/>
  <c r="DJ57" i="7"/>
  <c r="AD57" i="7" s="1"/>
  <c r="DJ29" i="7"/>
  <c r="AD29" i="7" s="1"/>
  <c r="DJ41" i="7"/>
  <c r="AD41" i="7" s="1"/>
  <c r="DJ39" i="7"/>
  <c r="AD39" i="7" s="1"/>
  <c r="DJ9" i="7"/>
  <c r="AD9" i="7" s="1"/>
  <c r="DJ7" i="7"/>
  <c r="AD7" i="7" s="1"/>
  <c r="DJ61" i="7"/>
  <c r="AD61" i="7" s="1"/>
  <c r="DJ75" i="7"/>
  <c r="AD75" i="7" s="1"/>
  <c r="DJ59" i="7"/>
  <c r="AD59" i="7" s="1"/>
  <c r="AD115" i="7"/>
  <c r="AD63" i="8"/>
  <c r="AD107" i="8"/>
  <c r="AD119" i="8"/>
  <c r="AD97" i="8"/>
  <c r="AC43" i="6"/>
  <c r="AC53" i="6"/>
  <c r="AD33" i="8"/>
  <c r="AD105" i="8"/>
  <c r="AD23" i="8"/>
  <c r="AD95" i="8"/>
  <c r="AD103" i="8"/>
  <c r="AD101" i="8"/>
  <c r="AD33" i="5"/>
  <c r="AD13" i="8"/>
  <c r="AD111" i="8"/>
  <c r="AD109" i="8"/>
  <c r="AD53" i="8"/>
  <c r="AD123" i="8"/>
  <c r="AD99" i="8"/>
  <c r="AD43" i="5"/>
  <c r="AC33" i="6"/>
  <c r="AD113" i="8"/>
  <c r="AD115" i="8"/>
  <c r="AD121" i="8"/>
  <c r="AD63" i="5"/>
  <c r="AC63" i="6"/>
  <c r="AD43" i="8"/>
  <c r="AD117" i="8"/>
  <c r="AD53" i="5"/>
  <c r="AB28" i="22"/>
  <c r="AB28" i="20"/>
  <c r="DK107" i="5"/>
  <c r="AE107" i="5" s="1"/>
  <c r="DK33" i="5"/>
  <c r="DK7" i="5"/>
  <c r="AE7" i="5" s="1"/>
  <c r="DK105" i="5"/>
  <c r="AE105" i="5" s="1"/>
  <c r="DK11" i="5"/>
  <c r="AE11" i="5" s="1"/>
  <c r="DK23" i="5"/>
  <c r="AE23" i="5" s="1"/>
  <c r="DK77" i="5"/>
  <c r="AE77" i="5" s="1"/>
  <c r="DK9" i="5"/>
  <c r="AE9" i="5" s="1"/>
  <c r="DK19" i="5"/>
  <c r="AE19" i="5" s="1"/>
  <c r="DK117" i="5"/>
  <c r="AE117" i="5" s="1"/>
  <c r="DK81" i="5"/>
  <c r="AE81" i="5" s="1"/>
  <c r="DK111" i="5"/>
  <c r="AE111" i="5" s="1"/>
  <c r="DK49" i="5"/>
  <c r="AE49" i="5" s="1"/>
  <c r="DK39" i="5"/>
  <c r="AE39" i="5" s="1"/>
  <c r="DK47" i="5"/>
  <c r="AE47" i="5" s="1"/>
  <c r="AF3" i="5"/>
  <c r="AC18" i="21" s="1"/>
  <c r="DK109" i="5"/>
  <c r="AE109" i="5" s="1"/>
  <c r="DK103" i="5"/>
  <c r="AE103" i="5" s="1"/>
  <c r="DK119" i="5"/>
  <c r="AE119" i="5" s="1"/>
  <c r="DK57" i="5"/>
  <c r="AE57" i="5" s="1"/>
  <c r="DK89" i="5"/>
  <c r="AE89" i="5" s="1"/>
  <c r="DK93" i="5"/>
  <c r="AE93" i="5" s="1"/>
  <c r="DK31" i="5"/>
  <c r="AE31" i="5" s="1"/>
  <c r="DK121" i="5"/>
  <c r="AE121" i="5" s="1"/>
  <c r="DK123" i="5"/>
  <c r="AE123" i="5" s="1"/>
  <c r="DK71" i="5"/>
  <c r="AE71" i="5" s="1"/>
  <c r="DK27" i="5"/>
  <c r="AE27" i="5" s="1"/>
  <c r="DK13" i="5"/>
  <c r="AE13" i="5" s="1"/>
  <c r="DK69" i="5"/>
  <c r="AE69" i="5" s="1"/>
  <c r="DK5" i="5"/>
  <c r="AE5" i="5" s="1"/>
  <c r="DK25" i="5"/>
  <c r="AE25" i="5" s="1"/>
  <c r="DK35" i="5"/>
  <c r="AE35" i="5" s="1"/>
  <c r="DK41" i="5"/>
  <c r="AE41" i="5" s="1"/>
  <c r="DK97" i="5"/>
  <c r="AE97" i="5" s="1"/>
  <c r="DK79" i="5"/>
  <c r="AE79" i="5" s="1"/>
  <c r="DK45" i="5"/>
  <c r="AE45" i="5" s="1"/>
  <c r="DK51" i="5"/>
  <c r="AE51" i="5" s="1"/>
  <c r="DK65" i="5"/>
  <c r="AE65" i="5" s="1"/>
  <c r="DK61" i="5"/>
  <c r="AE61" i="5" s="1"/>
  <c r="DK43" i="5"/>
  <c r="DK21" i="5"/>
  <c r="AE21" i="5" s="1"/>
  <c r="DK73" i="5"/>
  <c r="AE73" i="5" s="1"/>
  <c r="DK37" i="5"/>
  <c r="AE37" i="5" s="1"/>
  <c r="DK95" i="5"/>
  <c r="AE95" i="5" s="1"/>
  <c r="DK75" i="5"/>
  <c r="AE75" i="5" s="1"/>
  <c r="DK55" i="5"/>
  <c r="AE55" i="5" s="1"/>
  <c r="DK101" i="5"/>
  <c r="AE101" i="5" s="1"/>
  <c r="DK59" i="5"/>
  <c r="AE59" i="5" s="1"/>
  <c r="DK17" i="5"/>
  <c r="AE17" i="5" s="1"/>
  <c r="DK83" i="5"/>
  <c r="AE83" i="5" s="1"/>
  <c r="DK63" i="5"/>
  <c r="DK15" i="5"/>
  <c r="AE15" i="5" s="1"/>
  <c r="DK99" i="5"/>
  <c r="AE99" i="5" s="1"/>
  <c r="DK85" i="5"/>
  <c r="AE85" i="5" s="1"/>
  <c r="DK113" i="5"/>
  <c r="AE113" i="5" s="1"/>
  <c r="DK115" i="5"/>
  <c r="AE115" i="5" s="1"/>
  <c r="DK67" i="5"/>
  <c r="AE67" i="5" s="1"/>
  <c r="DK53" i="5"/>
  <c r="DK91" i="5"/>
  <c r="AE91" i="5" s="1"/>
  <c r="DK29" i="5"/>
  <c r="AE29" i="5" s="1"/>
  <c r="DK87" i="5"/>
  <c r="AE87" i="5" s="1"/>
  <c r="DK103" i="8"/>
  <c r="DK119" i="8"/>
  <c r="DK101" i="8"/>
  <c r="DK99" i="8"/>
  <c r="DK117" i="8"/>
  <c r="DK115" i="8"/>
  <c r="DK123" i="8"/>
  <c r="DK95" i="8"/>
  <c r="DK97" i="8"/>
  <c r="DK121" i="8"/>
  <c r="DK43" i="8"/>
  <c r="DK87" i="8"/>
  <c r="AE87" i="8" s="1"/>
  <c r="DK17" i="8"/>
  <c r="AE17" i="8" s="1"/>
  <c r="DK15" i="8"/>
  <c r="AE15" i="8" s="1"/>
  <c r="DK67" i="8"/>
  <c r="AE67" i="8" s="1"/>
  <c r="DK71" i="8"/>
  <c r="AE71" i="8" s="1"/>
  <c r="DK65" i="8"/>
  <c r="AE65" i="8" s="1"/>
  <c r="DK57" i="8"/>
  <c r="AE57" i="8" s="1"/>
  <c r="DK55" i="8"/>
  <c r="AE55" i="8" s="1"/>
  <c r="DK61" i="8"/>
  <c r="AE61" i="8" s="1"/>
  <c r="DK5" i="8"/>
  <c r="AE5" i="8" s="1"/>
  <c r="DK7" i="8"/>
  <c r="AE7" i="8" s="1"/>
  <c r="DK75" i="8"/>
  <c r="AE75" i="8" s="1"/>
  <c r="DK111" i="8"/>
  <c r="DK53" i="8"/>
  <c r="DK47" i="8"/>
  <c r="AE47" i="8" s="1"/>
  <c r="DK41" i="8"/>
  <c r="AE41" i="8" s="1"/>
  <c r="DK35" i="8"/>
  <c r="AE35" i="8" s="1"/>
  <c r="DK91" i="8"/>
  <c r="AE91" i="8" s="1"/>
  <c r="DK93" i="8"/>
  <c r="AE93" i="8" s="1"/>
  <c r="DK109" i="8"/>
  <c r="DK107" i="8"/>
  <c r="DK21" i="8"/>
  <c r="AE21" i="8" s="1"/>
  <c r="DK49" i="8"/>
  <c r="AE49" i="8" s="1"/>
  <c r="DK45" i="8"/>
  <c r="AE45" i="8" s="1"/>
  <c r="DK51" i="8"/>
  <c r="AE51" i="8" s="1"/>
  <c r="DK37" i="8"/>
  <c r="AE37" i="8" s="1"/>
  <c r="DK39" i="8"/>
  <c r="AE39" i="8" s="1"/>
  <c r="DK89" i="8"/>
  <c r="AE89" i="8" s="1"/>
  <c r="DK85" i="8"/>
  <c r="AE85" i="8" s="1"/>
  <c r="DK105" i="8"/>
  <c r="DK113" i="8"/>
  <c r="DK19" i="8"/>
  <c r="AE19" i="8" s="1"/>
  <c r="DK23" i="8"/>
  <c r="DK63" i="8"/>
  <c r="DK9" i="8"/>
  <c r="AE9" i="8" s="1"/>
  <c r="DK79" i="8"/>
  <c r="AE79" i="8" s="1"/>
  <c r="DK31" i="8"/>
  <c r="AE31" i="8" s="1"/>
  <c r="DK73" i="8"/>
  <c r="AE73" i="8" s="1"/>
  <c r="DK69" i="8"/>
  <c r="AE69" i="8" s="1"/>
  <c r="DK83" i="8"/>
  <c r="AE83" i="8" s="1"/>
  <c r="DK77" i="8"/>
  <c r="AE77" i="8" s="1"/>
  <c r="DK13" i="8"/>
  <c r="DK11" i="8"/>
  <c r="AE11" i="8" s="1"/>
  <c r="DK29" i="8"/>
  <c r="AE29" i="8" s="1"/>
  <c r="DK33" i="8"/>
  <c r="DK27" i="8"/>
  <c r="AE27" i="8" s="1"/>
  <c r="DK59" i="8"/>
  <c r="AE59" i="8" s="1"/>
  <c r="DK81" i="8"/>
  <c r="AE81" i="8" s="1"/>
  <c r="DK25" i="8"/>
  <c r="AE25" i="8" s="1"/>
  <c r="DJ61" i="6"/>
  <c r="AD61" i="6" s="1"/>
  <c r="DJ53" i="6"/>
  <c r="DJ63" i="6"/>
  <c r="DJ55" i="6"/>
  <c r="AD55" i="6" s="1"/>
  <c r="DJ57" i="6"/>
  <c r="AD57" i="6" s="1"/>
  <c r="DJ49" i="6"/>
  <c r="AD49" i="6" s="1"/>
  <c r="DJ41" i="6"/>
  <c r="AD41" i="6" s="1"/>
  <c r="DJ59" i="6"/>
  <c r="AD59" i="6" s="1"/>
  <c r="DJ43" i="6"/>
  <c r="DJ31" i="6"/>
  <c r="AD31" i="6" s="1"/>
  <c r="DJ23" i="6"/>
  <c r="AD23" i="6" s="1"/>
  <c r="DJ15" i="6"/>
  <c r="AD15" i="6" s="1"/>
  <c r="DJ45" i="6"/>
  <c r="AD45" i="6" s="1"/>
  <c r="DJ33" i="6"/>
  <c r="DJ25" i="6"/>
  <c r="AD25" i="6" s="1"/>
  <c r="DJ17" i="6"/>
  <c r="AD17" i="6" s="1"/>
  <c r="DJ51" i="6"/>
  <c r="AD51" i="6" s="1"/>
  <c r="DJ47" i="6"/>
  <c r="AD47" i="6" s="1"/>
  <c r="DJ35" i="6"/>
  <c r="AD35" i="6" s="1"/>
  <c r="DJ27" i="6"/>
  <c r="AD27" i="6" s="1"/>
  <c r="DJ19" i="6"/>
  <c r="AD19" i="6" s="1"/>
  <c r="DJ11" i="6"/>
  <c r="AD11" i="6" s="1"/>
  <c r="DJ21" i="6"/>
  <c r="AD21" i="6" s="1"/>
  <c r="DJ9" i="6"/>
  <c r="AD9" i="6" s="1"/>
  <c r="DJ7" i="6"/>
  <c r="AD7" i="6" s="1"/>
  <c r="DJ37" i="6"/>
  <c r="AD37" i="6" s="1"/>
  <c r="DJ13" i="6"/>
  <c r="AD13" i="6" s="1"/>
  <c r="DJ39" i="6"/>
  <c r="AD39" i="6" s="1"/>
  <c r="DJ29" i="6"/>
  <c r="AD29" i="6" s="1"/>
  <c r="DJ5" i="6"/>
  <c r="AD5" i="6" s="1"/>
  <c r="AF3" i="8"/>
  <c r="AE3" i="7"/>
  <c r="AE3" i="6"/>
  <c r="AD104" i="8"/>
  <c r="AE110" i="5"/>
  <c r="AD106" i="7"/>
  <c r="AD104" i="7"/>
  <c r="W56" i="6"/>
  <c r="Y8" i="7"/>
  <c r="AB50" i="6"/>
  <c r="AC68" i="5"/>
  <c r="X10" i="8"/>
  <c r="Y14" i="7"/>
  <c r="AC56" i="5"/>
  <c r="W18" i="6"/>
  <c r="AB46" i="6"/>
  <c r="W8" i="6"/>
  <c r="W54" i="6"/>
  <c r="X20" i="8"/>
  <c r="X16" i="5"/>
  <c r="W26" i="6"/>
  <c r="X4" i="5"/>
  <c r="Y6" i="7"/>
  <c r="W24" i="6"/>
  <c r="Y18" i="7"/>
  <c r="Y56" i="7"/>
  <c r="W20" i="6"/>
  <c r="Y16" i="7"/>
  <c r="Y20" i="7"/>
  <c r="W4" i="6"/>
  <c r="W16" i="6"/>
  <c r="W60" i="6"/>
  <c r="W40" i="6"/>
  <c r="Y4" i="8"/>
  <c r="AA58" i="8"/>
  <c r="Y30" i="8"/>
  <c r="Y20" i="8"/>
  <c r="X34" i="6"/>
  <c r="Z54" i="8"/>
  <c r="Z16" i="7"/>
  <c r="AB20" i="5"/>
  <c r="Z20" i="5"/>
  <c r="AA8" i="5"/>
  <c r="X16" i="6"/>
  <c r="AA56" i="7"/>
  <c r="Y26" i="6"/>
  <c r="Y10" i="6"/>
  <c r="AB30" i="8"/>
  <c r="AB20" i="8"/>
  <c r="AA26" i="8"/>
  <c r="X14" i="6"/>
  <c r="X36" i="6"/>
  <c r="Z30" i="6"/>
  <c r="Z26" i="6"/>
  <c r="Y20" i="6"/>
  <c r="Z34" i="5"/>
  <c r="Y38" i="6"/>
  <c r="Z56" i="8"/>
  <c r="Y58" i="6"/>
  <c r="Y36" i="5"/>
  <c r="Y16" i="6"/>
  <c r="AA6" i="5"/>
  <c r="Z40" i="5"/>
  <c r="AC40" i="8"/>
  <c r="Y36" i="6"/>
  <c r="Y6" i="5"/>
  <c r="AB40" i="6"/>
  <c r="Z4" i="7"/>
  <c r="AA36" i="5"/>
  <c r="AC56" i="8"/>
  <c r="X58" i="6"/>
  <c r="AB18" i="8"/>
  <c r="AB38" i="8"/>
  <c r="AB38" i="5"/>
  <c r="Z4" i="5"/>
  <c r="Z10" i="5"/>
  <c r="Z20" i="7"/>
  <c r="Y14" i="8"/>
  <c r="AA26" i="6"/>
  <c r="AB4" i="6"/>
  <c r="AB8" i="8"/>
  <c r="Z16" i="6"/>
  <c r="AB16" i="7"/>
  <c r="AA20" i="6"/>
  <c r="AA16" i="6"/>
  <c r="Z58" i="7"/>
  <c r="AA60" i="7"/>
  <c r="AA4" i="6"/>
  <c r="Z56" i="7"/>
  <c r="AB28" i="7"/>
  <c r="AA60" i="6"/>
  <c r="AA10" i="6"/>
  <c r="AB20" i="7"/>
  <c r="AB34" i="6"/>
  <c r="Z8" i="6"/>
  <c r="Z4" i="8"/>
  <c r="AB36" i="8"/>
  <c r="AC8" i="8"/>
  <c r="Z8" i="5"/>
  <c r="AC30" i="5"/>
  <c r="Z28" i="5"/>
  <c r="Y24" i="8"/>
  <c r="Y8" i="6"/>
  <c r="AC36" i="8"/>
  <c r="AC14" i="8"/>
  <c r="AC38" i="6"/>
  <c r="AC16" i="6"/>
  <c r="AD54" i="5"/>
  <c r="AD24" i="5"/>
  <c r="AD4" i="5"/>
  <c r="AD54" i="8"/>
  <c r="AC4" i="7"/>
  <c r="AC28" i="7"/>
  <c r="AC10" i="7"/>
  <c r="AD26" i="8"/>
  <c r="AA28" i="6"/>
  <c r="AA4" i="8"/>
  <c r="AB18" i="5"/>
  <c r="AA8" i="6"/>
  <c r="AD44" i="8"/>
  <c r="AC6" i="7"/>
  <c r="AC18" i="7"/>
  <c r="AD30" i="8"/>
  <c r="AD60" i="8"/>
  <c r="AC30" i="7"/>
  <c r="AC26" i="7"/>
  <c r="AD58" i="8"/>
  <c r="AD110" i="8"/>
  <c r="AD110" i="7"/>
  <c r="AE104" i="5"/>
  <c r="AC74" i="5"/>
  <c r="Y10" i="7"/>
  <c r="AB50" i="7"/>
  <c r="X60" i="8"/>
  <c r="AC64" i="5"/>
  <c r="AB46" i="7"/>
  <c r="AC44" i="5"/>
  <c r="AC50" i="5"/>
  <c r="X24" i="5"/>
  <c r="Y4" i="7"/>
  <c r="W10" i="6"/>
  <c r="X14" i="8"/>
  <c r="X40" i="5"/>
  <c r="Y54" i="7"/>
  <c r="Y40" i="7"/>
  <c r="Y58" i="7"/>
  <c r="X26" i="5"/>
  <c r="W58" i="6"/>
  <c r="X6" i="8"/>
  <c r="X38" i="8"/>
  <c r="X54" i="8"/>
  <c r="X4" i="8"/>
  <c r="W38" i="6"/>
  <c r="X18" i="8"/>
  <c r="Y60" i="8"/>
  <c r="Y40" i="5"/>
  <c r="Y28" i="5"/>
  <c r="Y30" i="5"/>
  <c r="Y36" i="8"/>
  <c r="Y10" i="8"/>
  <c r="X4" i="6"/>
  <c r="AA60" i="8"/>
  <c r="AA36" i="8"/>
  <c r="Z54" i="6"/>
  <c r="Y16" i="8"/>
  <c r="AA14" i="5"/>
  <c r="Y34" i="5"/>
  <c r="Y26" i="5"/>
  <c r="AB24" i="5"/>
  <c r="Z30" i="5"/>
  <c r="X24" i="6"/>
  <c r="AA10" i="5"/>
  <c r="AA18" i="6"/>
  <c r="Y26" i="8"/>
  <c r="Y40" i="8"/>
  <c r="Y30" i="6"/>
  <c r="Y16" i="5"/>
  <c r="AB28" i="8"/>
  <c r="Z14" i="7"/>
  <c r="Z30" i="8"/>
  <c r="AB26" i="5"/>
  <c r="AA30" i="5"/>
  <c r="Y28" i="8"/>
  <c r="AB58" i="8"/>
  <c r="AA20" i="5"/>
  <c r="AA18" i="8"/>
  <c r="AC18" i="8"/>
  <c r="Z58" i="8"/>
  <c r="AA6" i="7"/>
  <c r="AC20" i="8"/>
  <c r="Y34" i="6"/>
  <c r="AB14" i="8"/>
  <c r="AB54" i="7"/>
  <c r="X60" i="6"/>
  <c r="Y24" i="6"/>
  <c r="Y4" i="5"/>
  <c r="Z10" i="7"/>
  <c r="AA30" i="6"/>
  <c r="AC16" i="8"/>
  <c r="Y6" i="6"/>
  <c r="AA38" i="8"/>
  <c r="AA6" i="6"/>
  <c r="AB24" i="6"/>
  <c r="Z24" i="5"/>
  <c r="AC54" i="8"/>
  <c r="AC6" i="8"/>
  <c r="Y58" i="8"/>
  <c r="AB24" i="7"/>
  <c r="AA14" i="7"/>
  <c r="X18" i="6"/>
  <c r="AA4" i="7"/>
  <c r="AB40" i="8"/>
  <c r="AB14" i="6"/>
  <c r="AA56" i="8"/>
  <c r="AB34" i="5"/>
  <c r="AB6" i="6"/>
  <c r="Z10" i="6"/>
  <c r="Z60" i="8"/>
  <c r="AA8" i="8"/>
  <c r="AB40" i="5"/>
  <c r="AB10" i="7"/>
  <c r="Z58" i="6"/>
  <c r="AC4" i="5"/>
  <c r="Z14" i="5"/>
  <c r="Z14" i="8"/>
  <c r="Z36" i="6"/>
  <c r="Z16" i="5"/>
  <c r="AC44" i="7"/>
  <c r="AC38" i="7"/>
  <c r="AD58" i="5"/>
  <c r="AC36" i="7"/>
  <c r="AC46" i="6"/>
  <c r="AD6" i="8"/>
  <c r="AC60" i="6"/>
  <c r="AC14" i="7"/>
  <c r="AC40" i="7"/>
  <c r="AC48" i="7"/>
  <c r="AC8" i="6"/>
  <c r="Y10" i="5"/>
  <c r="Z54" i="7"/>
  <c r="AB38" i="7"/>
  <c r="AA40" i="6"/>
  <c r="AC26" i="6"/>
  <c r="AD20" i="5"/>
  <c r="AD50" i="8"/>
  <c r="AE106" i="5"/>
  <c r="AD108" i="8"/>
  <c r="AB66" i="5"/>
  <c r="AC46" i="8"/>
  <c r="AC60" i="5"/>
  <c r="Y28" i="7"/>
  <c r="AC58" i="5"/>
  <c r="X8" i="8"/>
  <c r="AC46" i="5"/>
  <c r="AC54" i="5"/>
  <c r="AC44" i="8"/>
  <c r="AB48" i="6"/>
  <c r="W6" i="6"/>
  <c r="X28" i="8"/>
  <c r="W28" i="6"/>
  <c r="W14" i="6"/>
  <c r="X16" i="8"/>
  <c r="Y30" i="7"/>
  <c r="X10" i="5"/>
  <c r="X36" i="5"/>
  <c r="X14" i="5"/>
  <c r="X58" i="8"/>
  <c r="X56" i="8"/>
  <c r="Y34" i="7"/>
  <c r="X20" i="5"/>
  <c r="X34" i="8"/>
  <c r="X38" i="5"/>
  <c r="Y36" i="7"/>
  <c r="Y18" i="5"/>
  <c r="Y56" i="8"/>
  <c r="X8" i="6"/>
  <c r="X56" i="6"/>
  <c r="Y54" i="8"/>
  <c r="X30" i="6"/>
  <c r="Z30" i="7"/>
  <c r="X28" i="6"/>
  <c r="Z26" i="5"/>
  <c r="Z40" i="7"/>
  <c r="AB4" i="5"/>
  <c r="AA14" i="8"/>
  <c r="Y40" i="6"/>
  <c r="Z34" i="7"/>
  <c r="AA36" i="6"/>
  <c r="X20" i="6"/>
  <c r="Z20" i="6"/>
  <c r="AA34" i="7"/>
  <c r="X38" i="6"/>
  <c r="Z8" i="8"/>
  <c r="Y8" i="5"/>
  <c r="AA54" i="8"/>
  <c r="AA8" i="7"/>
  <c r="AA24" i="5"/>
  <c r="AB16" i="5"/>
  <c r="AB28" i="5"/>
  <c r="Z6" i="7"/>
  <c r="Z8" i="7"/>
  <c r="Z36" i="5"/>
  <c r="AC26" i="8"/>
  <c r="AB16" i="6"/>
  <c r="AB54" i="6"/>
  <c r="Z56" i="6"/>
  <c r="AA38" i="7"/>
  <c r="AC40" i="5"/>
  <c r="AA36" i="7"/>
  <c r="AA18" i="7"/>
  <c r="AC38" i="5"/>
  <c r="Y24" i="5"/>
  <c r="Z36" i="8"/>
  <c r="Z16" i="8"/>
  <c r="Y38" i="5"/>
  <c r="AA4" i="5"/>
  <c r="AB34" i="7"/>
  <c r="AA16" i="7"/>
  <c r="Z14" i="6"/>
  <c r="AC28" i="8"/>
  <c r="AC30" i="8"/>
  <c r="Y28" i="6"/>
  <c r="AC16" i="5"/>
  <c r="AC14" i="5"/>
  <c r="Z38" i="7"/>
  <c r="AB26" i="7"/>
  <c r="X6" i="6"/>
  <c r="AA18" i="5"/>
  <c r="AB8" i="5"/>
  <c r="AC10" i="5"/>
  <c r="AA40" i="8"/>
  <c r="Z28" i="6"/>
  <c r="AA58" i="6"/>
  <c r="AC4" i="8"/>
  <c r="Z40" i="6"/>
  <c r="AB36" i="5"/>
  <c r="Z28" i="8"/>
  <c r="AC58" i="8"/>
  <c r="AC36" i="5"/>
  <c r="Z24" i="7"/>
  <c r="AB18" i="7"/>
  <c r="AB26" i="8"/>
  <c r="AA20" i="8"/>
  <c r="Z34" i="8"/>
  <c r="AB24" i="8"/>
  <c r="AD34" i="5"/>
  <c r="AC56" i="7"/>
  <c r="AC60" i="7"/>
  <c r="AC6" i="6"/>
  <c r="AD10" i="5"/>
  <c r="AD8" i="5"/>
  <c r="AC8" i="7"/>
  <c r="AD40" i="5"/>
  <c r="AD36" i="5"/>
  <c r="AD8" i="8"/>
  <c r="Z18" i="8"/>
  <c r="Z26" i="8"/>
  <c r="AB8" i="6"/>
  <c r="Z36" i="7"/>
  <c r="AB58" i="6"/>
  <c r="AD28" i="8"/>
  <c r="AD14" i="8"/>
  <c r="AD46" i="8"/>
  <c r="AD14" i="5"/>
  <c r="AD18" i="5"/>
  <c r="AC50" i="7"/>
  <c r="AD4" i="8"/>
  <c r="AD60" i="5"/>
  <c r="AD28" i="5"/>
  <c r="AC14" i="6"/>
  <c r="AC58" i="6"/>
  <c r="AD106" i="8"/>
  <c r="AC70" i="5"/>
  <c r="AC50" i="8"/>
  <c r="AC48" i="5"/>
  <c r="X30" i="5"/>
  <c r="W30" i="6"/>
  <c r="Y24" i="7"/>
  <c r="X40" i="8"/>
  <c r="X26" i="6"/>
  <c r="AB4" i="8"/>
  <c r="Y20" i="5"/>
  <c r="AA28" i="7"/>
  <c r="Y18" i="8"/>
  <c r="X54" i="6"/>
  <c r="AA26" i="7"/>
  <c r="AC38" i="8"/>
  <c r="AB4" i="7"/>
  <c r="AA16" i="8"/>
  <c r="Z6" i="8"/>
  <c r="AB30" i="6"/>
  <c r="Z6" i="6"/>
  <c r="AB60" i="8"/>
  <c r="AA10" i="7"/>
  <c r="AA54" i="7"/>
  <c r="AA56" i="6"/>
  <c r="Z38" i="8"/>
  <c r="AD56" i="5"/>
  <c r="AD18" i="8"/>
  <c r="AA34" i="6"/>
  <c r="AD70" i="5"/>
  <c r="AD16" i="5"/>
  <c r="AC10" i="6"/>
  <c r="AD56" i="8"/>
  <c r="AC30" i="6"/>
  <c r="AC44" i="6"/>
  <c r="AA14" i="6"/>
  <c r="AB6" i="5"/>
  <c r="AB10" i="5"/>
  <c r="AA26" i="5"/>
  <c r="AC8" i="5"/>
  <c r="AC28" i="6"/>
  <c r="AD48" i="5"/>
  <c r="AB56" i="8"/>
  <c r="AB36" i="6"/>
  <c r="AB20" i="6"/>
  <c r="AB58" i="7"/>
  <c r="AC24" i="6"/>
  <c r="AE46" i="8"/>
  <c r="AE38" i="8"/>
  <c r="AD48" i="7"/>
  <c r="AD10" i="6"/>
  <c r="AD20" i="6"/>
  <c r="AE60" i="5"/>
  <c r="AD30" i="6"/>
  <c r="AE14" i="8"/>
  <c r="AD48" i="6"/>
  <c r="AE18" i="8"/>
  <c r="AE50" i="8"/>
  <c r="AE54" i="8"/>
  <c r="AE6" i="5"/>
  <c r="AE68" i="5"/>
  <c r="AE34" i="8"/>
  <c r="AE4" i="8"/>
  <c r="AD26" i="7"/>
  <c r="AD44" i="6"/>
  <c r="AE20" i="5"/>
  <c r="AD60" i="6"/>
  <c r="AE74" i="5"/>
  <c r="AD4" i="7"/>
  <c r="AD60" i="7"/>
  <c r="AE48" i="8"/>
  <c r="AD16" i="7"/>
  <c r="AE70" i="5"/>
  <c r="X30" i="8"/>
  <c r="Y14" i="5"/>
  <c r="AA28" i="5"/>
  <c r="AC10" i="8"/>
  <c r="AC24" i="5"/>
  <c r="AB8" i="7"/>
  <c r="AA34" i="5"/>
  <c r="AE108" i="5"/>
  <c r="AC66" i="5"/>
  <c r="Y26" i="7"/>
  <c r="AB44" i="6"/>
  <c r="X34" i="5"/>
  <c r="X8" i="5"/>
  <c r="Y38" i="7"/>
  <c r="Y34" i="8"/>
  <c r="X10" i="6"/>
  <c r="AB6" i="8"/>
  <c r="Z60" i="7"/>
  <c r="Z28" i="7"/>
  <c r="Y14" i="6"/>
  <c r="AA38" i="6"/>
  <c r="Z6" i="5"/>
  <c r="AC6" i="5"/>
  <c r="Z18" i="7"/>
  <c r="AA54" i="6"/>
  <c r="Z20" i="8"/>
  <c r="AB28" i="6"/>
  <c r="AA38" i="5"/>
  <c r="Y60" i="6"/>
  <c r="AC24" i="8"/>
  <c r="Z60" i="6"/>
  <c r="AC26" i="5"/>
  <c r="AC20" i="5"/>
  <c r="AD10" i="8"/>
  <c r="AD50" i="5"/>
  <c r="AB10" i="8"/>
  <c r="AC20" i="7"/>
  <c r="AC4" i="6"/>
  <c r="AD46" i="5"/>
  <c r="AC20" i="6"/>
  <c r="AD44" i="5"/>
  <c r="AC18" i="6"/>
  <c r="Z24" i="8"/>
  <c r="AB30" i="7"/>
  <c r="AB10" i="6"/>
  <c r="AB56" i="6"/>
  <c r="AB18" i="6"/>
  <c r="AC58" i="7"/>
  <c r="AD74" i="5"/>
  <c r="AB14" i="5"/>
  <c r="AB26" i="6"/>
  <c r="AA58" i="7"/>
  <c r="AB56" i="7"/>
  <c r="AC48" i="6"/>
  <c r="AD46" i="6"/>
  <c r="AD16" i="6"/>
  <c r="AD50" i="6"/>
  <c r="AD8" i="6"/>
  <c r="AE8" i="8"/>
  <c r="AE20" i="8"/>
  <c r="AE66" i="5"/>
  <c r="AE10" i="5"/>
  <c r="AE54" i="5"/>
  <c r="AE24" i="5"/>
  <c r="AD56" i="7"/>
  <c r="AD8" i="7"/>
  <c r="AE4" i="5"/>
  <c r="AE28" i="8"/>
  <c r="AD34" i="6"/>
  <c r="AE26" i="5"/>
  <c r="AE34" i="5"/>
  <c r="AE58" i="5"/>
  <c r="AE60" i="8"/>
  <c r="AE30" i="5"/>
  <c r="AE18" i="5"/>
  <c r="AE64" i="5"/>
  <c r="AD14" i="6"/>
  <c r="AD36" i="7"/>
  <c r="AE50" i="5"/>
  <c r="AB44" i="7"/>
  <c r="X28" i="5"/>
  <c r="X6" i="5"/>
  <c r="Z24" i="6"/>
  <c r="Z34" i="6"/>
  <c r="AB60" i="6"/>
  <c r="AA16" i="5"/>
  <c r="AA30" i="8"/>
  <c r="AC34" i="5"/>
  <c r="AD24" i="8"/>
  <c r="AC34" i="6"/>
  <c r="AD38" i="5"/>
  <c r="AD26" i="5"/>
  <c r="AC36" i="6"/>
  <c r="AA40" i="7"/>
  <c r="AB60" i="7"/>
  <c r="AB36" i="7"/>
  <c r="AD34" i="8"/>
  <c r="Z40" i="8"/>
  <c r="AB38" i="6"/>
  <c r="AD66" i="5"/>
  <c r="AE44" i="8"/>
  <c r="AE56" i="5"/>
  <c r="AE44" i="5"/>
  <c r="AE26" i="8"/>
  <c r="AD28" i="6"/>
  <c r="AE48" i="5"/>
  <c r="AD50" i="7"/>
  <c r="AD6" i="7"/>
  <c r="AE58" i="8"/>
  <c r="AD38" i="7"/>
  <c r="AE36" i="8"/>
  <c r="AD24" i="7"/>
  <c r="AD10" i="7"/>
  <c r="AD108" i="7"/>
  <c r="X26" i="8"/>
  <c r="X18" i="5"/>
  <c r="AC48" i="8"/>
  <c r="X24" i="8"/>
  <c r="W34" i="6"/>
  <c r="X36" i="8"/>
  <c r="Y60" i="7"/>
  <c r="X40" i="6"/>
  <c r="Z18" i="5"/>
  <c r="Y4" i="6"/>
  <c r="AA24" i="8"/>
  <c r="Y8" i="8"/>
  <c r="Y6" i="8"/>
  <c r="AB34" i="8"/>
  <c r="Z18" i="6"/>
  <c r="AA30" i="7"/>
  <c r="AA40" i="5"/>
  <c r="AA20" i="7"/>
  <c r="Y54" i="6"/>
  <c r="Z26" i="7"/>
  <c r="AC18" i="5"/>
  <c r="AB6" i="7"/>
  <c r="AC60" i="8"/>
  <c r="Z4" i="6"/>
  <c r="AD38" i="8"/>
  <c r="AC56" i="6"/>
  <c r="AC54" i="6"/>
  <c r="AA24" i="7"/>
  <c r="AD16" i="8"/>
  <c r="AC50" i="6"/>
  <c r="AD20" i="8"/>
  <c r="AD6" i="5"/>
  <c r="AC16" i="7"/>
  <c r="AA24" i="6"/>
  <c r="Y56" i="6"/>
  <c r="AB14" i="7"/>
  <c r="AB16" i="8"/>
  <c r="AC34" i="8"/>
  <c r="AD64" i="5"/>
  <c r="AD40" i="8"/>
  <c r="AC24" i="7"/>
  <c r="AA10" i="8"/>
  <c r="Z10" i="8"/>
  <c r="AB40" i="7"/>
  <c r="AC34" i="7"/>
  <c r="AD36" i="8"/>
  <c r="AD54" i="6"/>
  <c r="AE16" i="8"/>
  <c r="AE56" i="8"/>
  <c r="AD4" i="6"/>
  <c r="AD34" i="7"/>
  <c r="AD6" i="6"/>
  <c r="AD18" i="6"/>
  <c r="AD18" i="7"/>
  <c r="AE8" i="5"/>
  <c r="AD36" i="6"/>
  <c r="AD46" i="7"/>
  <c r="AE30" i="8"/>
  <c r="AD20" i="7"/>
  <c r="AE10" i="8"/>
  <c r="AD56" i="6"/>
  <c r="AD14" i="7"/>
  <c r="AD44" i="7"/>
  <c r="AD28" i="7"/>
  <c r="AD40" i="6"/>
  <c r="AD40" i="7"/>
  <c r="AD58" i="6"/>
  <c r="AD24" i="6"/>
  <c r="AE16" i="5"/>
  <c r="AD54" i="7"/>
  <c r="AD38" i="6"/>
  <c r="AB48" i="7"/>
  <c r="W36" i="6"/>
  <c r="Y38" i="8"/>
  <c r="AA6" i="8"/>
  <c r="AB30" i="5"/>
  <c r="AA28" i="8"/>
  <c r="AB54" i="8"/>
  <c r="Z38" i="6"/>
  <c r="AC40" i="6"/>
  <c r="AC28" i="5"/>
  <c r="AC54" i="7"/>
  <c r="AC46" i="7"/>
  <c r="AA34" i="8"/>
  <c r="Z38" i="5"/>
  <c r="AD68" i="5"/>
  <c r="AD30" i="5"/>
  <c r="Y18" i="6"/>
  <c r="AD48" i="8"/>
  <c r="AE40" i="8"/>
  <c r="AE28" i="5"/>
  <c r="AD26" i="6"/>
  <c r="AE14" i="5"/>
  <c r="AE38" i="5"/>
  <c r="AD58" i="7"/>
  <c r="AE24" i="8"/>
  <c r="AE46" i="5"/>
  <c r="AE40" i="5"/>
  <c r="AE36" i="5"/>
  <c r="AE6" i="8"/>
  <c r="AD30" i="7"/>
  <c r="DK121" i="6" l="1"/>
  <c r="DK119" i="6"/>
  <c r="DK111" i="6"/>
  <c r="DK113" i="6"/>
  <c r="DK115" i="6"/>
  <c r="DK117" i="6"/>
  <c r="DK123" i="6"/>
  <c r="DK105" i="6"/>
  <c r="DK107" i="6"/>
  <c r="DK65" i="6"/>
  <c r="DK69" i="6"/>
  <c r="DK81" i="6"/>
  <c r="DK71" i="6"/>
  <c r="DK75" i="6"/>
  <c r="DK83" i="6"/>
  <c r="DK109" i="6"/>
  <c r="DK67" i="6"/>
  <c r="DK73" i="6"/>
  <c r="DK77" i="6"/>
  <c r="DK79" i="6"/>
  <c r="DK95" i="6"/>
  <c r="DK101" i="6"/>
  <c r="DK85" i="6"/>
  <c r="DK93" i="6"/>
  <c r="DK91" i="6"/>
  <c r="DK97" i="6"/>
  <c r="DK103" i="6"/>
  <c r="DK87" i="6"/>
  <c r="DK89" i="6"/>
  <c r="DK99" i="6"/>
  <c r="AD14" i="22"/>
  <c r="AD18" i="17"/>
  <c r="AD10" i="22"/>
  <c r="AD14" i="17"/>
  <c r="AB31" i="22"/>
  <c r="AB33" i="22"/>
  <c r="AB23" i="20"/>
  <c r="AB35" i="20"/>
  <c r="AA33" i="22"/>
  <c r="Z45" i="18"/>
  <c r="Z45" i="17"/>
  <c r="AB21" i="19"/>
  <c r="AB21" i="20"/>
  <c r="Z45" i="20"/>
  <c r="AA45" i="18"/>
  <c r="AA45" i="17"/>
  <c r="AB41" i="22"/>
  <c r="AB31" i="20"/>
  <c r="AB21" i="22"/>
  <c r="AA11" i="19"/>
  <c r="AB35" i="22"/>
  <c r="AB25" i="17"/>
  <c r="AB25" i="18"/>
  <c r="AB15" i="18"/>
  <c r="AB15" i="17"/>
  <c r="Z13" i="20"/>
  <c r="AB35" i="19"/>
  <c r="AB11" i="17"/>
  <c r="AB11" i="18"/>
  <c r="AA35" i="20"/>
  <c r="Y21" i="22"/>
  <c r="Z39" i="19"/>
  <c r="AM14" i="6"/>
  <c r="AA39" i="20"/>
  <c r="AA19" i="19"/>
  <c r="AB23" i="22"/>
  <c r="AA25" i="20"/>
  <c r="AA23" i="17"/>
  <c r="AA23" i="18"/>
  <c r="Z31" i="20"/>
  <c r="AB33" i="20"/>
  <c r="AA29" i="19"/>
  <c r="AB23" i="17"/>
  <c r="AB23" i="18"/>
  <c r="Z29" i="22"/>
  <c r="AA39" i="18"/>
  <c r="AA39" i="17"/>
  <c r="AB45" i="17"/>
  <c r="AB45" i="18"/>
  <c r="Z41" i="19"/>
  <c r="Y15" i="18"/>
  <c r="Y15" i="17"/>
  <c r="AA23" i="19"/>
  <c r="AA19" i="20"/>
  <c r="AB39" i="19"/>
  <c r="Z43" i="20"/>
  <c r="Z39" i="20"/>
  <c r="Z21" i="20"/>
  <c r="Y23" i="18"/>
  <c r="Y23" i="17"/>
  <c r="Y39" i="19"/>
  <c r="Z19" i="18"/>
  <c r="Z19" i="17"/>
  <c r="AB41" i="19"/>
  <c r="Z13" i="19"/>
  <c r="AA21" i="22"/>
  <c r="Z29" i="19"/>
  <c r="Z23" i="22"/>
  <c r="Z13" i="18"/>
  <c r="Z13" i="17"/>
  <c r="Z23" i="20"/>
  <c r="AB35" i="18"/>
  <c r="AB35" i="17"/>
  <c r="AB15" i="20"/>
  <c r="AB41" i="20"/>
  <c r="Z25" i="22"/>
  <c r="Z43" i="19"/>
  <c r="AA43" i="18"/>
  <c r="AA43" i="17"/>
  <c r="Z39" i="17"/>
  <c r="Z39" i="18"/>
  <c r="AA29" i="22"/>
  <c r="AB11" i="20"/>
  <c r="Z45" i="22"/>
  <c r="Z23" i="18"/>
  <c r="Z23" i="17"/>
  <c r="AA9" i="20"/>
  <c r="Z25" i="20"/>
  <c r="Z25" i="17"/>
  <c r="Z25" i="18"/>
  <c r="AB19" i="20"/>
  <c r="AB31" i="17"/>
  <c r="AB31" i="18"/>
  <c r="AB21" i="18"/>
  <c r="AB21" i="17"/>
  <c r="AA23" i="22"/>
  <c r="AB9" i="20"/>
  <c r="AA25" i="18"/>
  <c r="AA25" i="17"/>
  <c r="AA35" i="18"/>
  <c r="AA35" i="17"/>
  <c r="Z23" i="19"/>
  <c r="AA41" i="22"/>
  <c r="AA25" i="22"/>
  <c r="AB39" i="22"/>
  <c r="AA45" i="20"/>
  <c r="AB33" i="19"/>
  <c r="AB45" i="20"/>
  <c r="Z31" i="22"/>
  <c r="Y25" i="22"/>
  <c r="AB13" i="18"/>
  <c r="AB13" i="17"/>
  <c r="AA29" i="17"/>
  <c r="AA29" i="18"/>
  <c r="AA19" i="17"/>
  <c r="AA19" i="18"/>
  <c r="AB45" i="22"/>
  <c r="AM18" i="5"/>
  <c r="AA35" i="22"/>
  <c r="AA45" i="19"/>
  <c r="X21" i="17"/>
  <c r="X21" i="18"/>
  <c r="AM14" i="7"/>
  <c r="Z33" i="22"/>
  <c r="Z31" i="19"/>
  <c r="AB31" i="19"/>
  <c r="AB29" i="19"/>
  <c r="AM16" i="6"/>
  <c r="AA13" i="20"/>
  <c r="Z33" i="20"/>
  <c r="Y44" i="22"/>
  <c r="Y43" i="22"/>
  <c r="AM20" i="6"/>
  <c r="Z21" i="18"/>
  <c r="Z21" i="17"/>
  <c r="AB33" i="17"/>
  <c r="AB33" i="18"/>
  <c r="Y19" i="22"/>
  <c r="Y23" i="19"/>
  <c r="Z9" i="19"/>
  <c r="AB43" i="18"/>
  <c r="AB43" i="17"/>
  <c r="AB23" i="19"/>
  <c r="AB19" i="19"/>
  <c r="AB19" i="18"/>
  <c r="AB19" i="17"/>
  <c r="AB25" i="19"/>
  <c r="AA21" i="18"/>
  <c r="AA21" i="17"/>
  <c r="AA21" i="19"/>
  <c r="AA43" i="19"/>
  <c r="AA43" i="20"/>
  <c r="AM20" i="7"/>
  <c r="AM16" i="7"/>
  <c r="Y21" i="17"/>
  <c r="Y21" i="18"/>
  <c r="AB29" i="20"/>
  <c r="Z15" i="17"/>
  <c r="Z15" i="18"/>
  <c r="Z41" i="18"/>
  <c r="Z41" i="17"/>
  <c r="AA9" i="18"/>
  <c r="AA9" i="17"/>
  <c r="AA25" i="19"/>
  <c r="Z9" i="18"/>
  <c r="Z9" i="17"/>
  <c r="AM16" i="5"/>
  <c r="Y13" i="20"/>
  <c r="Z35" i="17"/>
  <c r="Z35" i="18"/>
  <c r="AB13" i="20"/>
  <c r="AA15" i="20"/>
  <c r="Y9" i="17"/>
  <c r="Y9" i="18"/>
  <c r="AB43" i="20"/>
  <c r="AA19" i="22"/>
  <c r="Z41" i="20"/>
  <c r="Y19" i="19"/>
  <c r="Y9" i="19"/>
  <c r="X25" i="22"/>
  <c r="X23" i="22"/>
  <c r="AB29" i="22"/>
  <c r="AA35" i="19"/>
  <c r="AM18" i="7"/>
  <c r="AA11" i="20"/>
  <c r="AA31" i="20"/>
  <c r="Y19" i="20"/>
  <c r="Z29" i="17"/>
  <c r="Z29" i="18"/>
  <c r="AB29" i="18"/>
  <c r="AB29" i="17"/>
  <c r="AB25" i="20"/>
  <c r="AB25" i="22"/>
  <c r="AA33" i="20"/>
  <c r="AA31" i="18"/>
  <c r="AA31" i="17"/>
  <c r="Y11" i="18"/>
  <c r="Y11" i="17"/>
  <c r="Z21" i="22"/>
  <c r="Z43" i="22"/>
  <c r="Z44" i="22"/>
  <c r="Y21" i="20"/>
  <c r="AB19" i="22"/>
  <c r="Z15" i="20"/>
  <c r="AM20" i="5"/>
  <c r="AA11" i="17"/>
  <c r="AA11" i="18"/>
  <c r="AB39" i="20"/>
  <c r="Z11" i="20"/>
  <c r="AB43" i="22"/>
  <c r="AB44" i="22"/>
  <c r="Z11" i="18"/>
  <c r="Z11" i="17"/>
  <c r="Z33" i="17"/>
  <c r="Z33" i="18"/>
  <c r="Y43" i="19"/>
  <c r="Y11" i="20"/>
  <c r="AA31" i="19"/>
  <c r="Z31" i="17"/>
  <c r="Z31" i="18"/>
  <c r="AA15" i="19"/>
  <c r="Y23" i="22"/>
  <c r="AB15" i="19"/>
  <c r="AB13" i="19"/>
  <c r="AB11" i="19"/>
  <c r="Z41" i="22"/>
  <c r="Y41" i="18"/>
  <c r="Y41" i="17"/>
  <c r="Z45" i="19"/>
  <c r="Y23" i="20"/>
  <c r="AA23" i="20"/>
  <c r="AA9" i="19"/>
  <c r="Z9" i="20"/>
  <c r="X19" i="22"/>
  <c r="AA33" i="18"/>
  <c r="AA33" i="17"/>
  <c r="AB43" i="19"/>
  <c r="Z19" i="20"/>
  <c r="AA39" i="22"/>
  <c r="Z21" i="19"/>
  <c r="Y43" i="18"/>
  <c r="Y43" i="17"/>
  <c r="Y13" i="18"/>
  <c r="Y13" i="17"/>
  <c r="Y25" i="19"/>
  <c r="Z25" i="19"/>
  <c r="Z43" i="17"/>
  <c r="Z43" i="18"/>
  <c r="Y45" i="20"/>
  <c r="X21" i="20"/>
  <c r="X23" i="20"/>
  <c r="Y41" i="19"/>
  <c r="AA13" i="19"/>
  <c r="AA29" i="20"/>
  <c r="AA59" i="20" s="1"/>
  <c r="AM18" i="6"/>
  <c r="AA41" i="19"/>
  <c r="AA39" i="19"/>
  <c r="AA15" i="17"/>
  <c r="AA15" i="18"/>
  <c r="Z33" i="19"/>
  <c r="X19" i="19"/>
  <c r="AB45" i="19"/>
  <c r="AA33" i="19"/>
  <c r="AA21" i="20"/>
  <c r="Z15" i="19"/>
  <c r="Y25" i="18"/>
  <c r="Y25" i="17"/>
  <c r="AA41" i="18"/>
  <c r="AA41" i="17"/>
  <c r="Z29" i="20"/>
  <c r="AB9" i="19"/>
  <c r="Y21" i="19"/>
  <c r="Y19" i="18"/>
  <c r="Y19" i="17"/>
  <c r="Y25" i="20"/>
  <c r="Y11" i="19"/>
  <c r="AA31" i="22"/>
  <c r="Z35" i="22"/>
  <c r="Y9" i="20"/>
  <c r="AB9" i="18"/>
  <c r="AB9" i="17"/>
  <c r="AM14" i="5"/>
  <c r="AA13" i="18"/>
  <c r="AA13" i="17"/>
  <c r="Z19" i="19"/>
  <c r="Z35" i="20"/>
  <c r="Z11" i="19"/>
  <c r="Z19" i="22"/>
  <c r="AB41" i="17"/>
  <c r="AB41" i="18"/>
  <c r="X23" i="19"/>
  <c r="AA41" i="20"/>
  <c r="AB39" i="17"/>
  <c r="AB39" i="18"/>
  <c r="Z35" i="19"/>
  <c r="AA45" i="22"/>
  <c r="Z39" i="22"/>
  <c r="X25" i="19"/>
  <c r="X19" i="18"/>
  <c r="X19" i="17"/>
  <c r="X19" i="20"/>
  <c r="X25" i="20"/>
  <c r="Y39" i="22"/>
  <c r="Y45" i="17"/>
  <c r="Y45" i="18"/>
  <c r="X25" i="18"/>
  <c r="X25" i="17"/>
  <c r="X21" i="22"/>
  <c r="Y41" i="20"/>
  <c r="Y45" i="19"/>
  <c r="X21" i="19"/>
  <c r="X23" i="17"/>
  <c r="X23" i="18"/>
  <c r="Y15" i="19"/>
  <c r="AA43" i="22"/>
  <c r="AA44" i="22"/>
  <c r="Y43" i="20"/>
  <c r="Y41" i="22"/>
  <c r="Y13" i="19"/>
  <c r="Y39" i="17"/>
  <c r="Y39" i="18"/>
  <c r="Y35" i="22"/>
  <c r="Y15" i="20"/>
  <c r="W25" i="20"/>
  <c r="Y39" i="20"/>
  <c r="Y55" i="20" s="1"/>
  <c r="Y31" i="20"/>
  <c r="Y45" i="22"/>
  <c r="W25" i="22"/>
  <c r="X45" i="20"/>
  <c r="X13" i="20"/>
  <c r="X11" i="17"/>
  <c r="X11" i="18"/>
  <c r="X39" i="20"/>
  <c r="W23" i="20"/>
  <c r="W19" i="18"/>
  <c r="W19" i="17"/>
  <c r="X41" i="20"/>
  <c r="X39" i="18"/>
  <c r="X39" i="17"/>
  <c r="Y33" i="20"/>
  <c r="Y29" i="20"/>
  <c r="X39" i="22"/>
  <c r="Y29" i="19"/>
  <c r="X41" i="22"/>
  <c r="X43" i="20"/>
  <c r="W21" i="20"/>
  <c r="X44" i="22"/>
  <c r="X43" i="22"/>
  <c r="X41" i="17"/>
  <c r="X41" i="18"/>
  <c r="Y31" i="22"/>
  <c r="W19" i="20"/>
  <c r="W23" i="22"/>
  <c r="X13" i="17"/>
  <c r="X13" i="18"/>
  <c r="X11" i="20"/>
  <c r="X11" i="19"/>
  <c r="W19" i="19"/>
  <c r="W25" i="19"/>
  <c r="X15" i="17"/>
  <c r="X15" i="18"/>
  <c r="Y33" i="22"/>
  <c r="Y31" i="17"/>
  <c r="Y31" i="18"/>
  <c r="X13" i="19"/>
  <c r="Y35" i="19"/>
  <c r="Y35" i="20"/>
  <c r="X9" i="18"/>
  <c r="X9" i="17"/>
  <c r="X39" i="19"/>
  <c r="Y29" i="22"/>
  <c r="W21" i="19"/>
  <c r="X9" i="20"/>
  <c r="X15" i="20"/>
  <c r="X15" i="19"/>
  <c r="W23" i="19"/>
  <c r="X45" i="19"/>
  <c r="X43" i="19"/>
  <c r="W25" i="18"/>
  <c r="W25" i="17"/>
  <c r="W19" i="22"/>
  <c r="W21" i="18"/>
  <c r="W21" i="17"/>
  <c r="Y29" i="18"/>
  <c r="Y29" i="17"/>
  <c r="W23" i="17"/>
  <c r="W23" i="18"/>
  <c r="AB19" i="21"/>
  <c r="AB23" i="21"/>
  <c r="X9" i="19"/>
  <c r="AB21" i="21"/>
  <c r="AB33" i="21"/>
  <c r="AB31" i="21"/>
  <c r="Y31" i="19"/>
  <c r="X43" i="18"/>
  <c r="X43" i="17"/>
  <c r="X45" i="17"/>
  <c r="X45" i="18"/>
  <c r="X45" i="22"/>
  <c r="AB29" i="21"/>
  <c r="Y33" i="19"/>
  <c r="AB35" i="21"/>
  <c r="AB25" i="21"/>
  <c r="X41" i="19"/>
  <c r="Y35" i="17"/>
  <c r="Y35" i="18"/>
  <c r="Y33" i="17"/>
  <c r="Y33" i="18"/>
  <c r="W21" i="22"/>
  <c r="DK111" i="7"/>
  <c r="AE111" i="7" s="1"/>
  <c r="DK107" i="7"/>
  <c r="AE107" i="7" s="1"/>
  <c r="DK105" i="7"/>
  <c r="AE105" i="7" s="1"/>
  <c r="DK113" i="7"/>
  <c r="AE113" i="7" s="1"/>
  <c r="DK109" i="7"/>
  <c r="AE109" i="7" s="1"/>
  <c r="DK71" i="7"/>
  <c r="AE71" i="7" s="1"/>
  <c r="DK89" i="7"/>
  <c r="AE89" i="7" s="1"/>
  <c r="DK23" i="7"/>
  <c r="AE23" i="7" s="1"/>
  <c r="DK15" i="7"/>
  <c r="AE15" i="7" s="1"/>
  <c r="DK69" i="7"/>
  <c r="AE69" i="7" s="1"/>
  <c r="DK65" i="7"/>
  <c r="AE65" i="7" s="1"/>
  <c r="DK19" i="7"/>
  <c r="AE19" i="7" s="1"/>
  <c r="DK85" i="7"/>
  <c r="AE85" i="7" s="1"/>
  <c r="DK91" i="7"/>
  <c r="AE91" i="7" s="1"/>
  <c r="DK67" i="7"/>
  <c r="AE67" i="7" s="1"/>
  <c r="DK21" i="7"/>
  <c r="AE21" i="7" s="1"/>
  <c r="DK93" i="7"/>
  <c r="AE93" i="7" s="1"/>
  <c r="DK17" i="7"/>
  <c r="AE17" i="7" s="1"/>
  <c r="DK115" i="7"/>
  <c r="AE115" i="7" s="1"/>
  <c r="DK29" i="7"/>
  <c r="AE29" i="7" s="1"/>
  <c r="DK47" i="7"/>
  <c r="AE47" i="7" s="1"/>
  <c r="DK99" i="7"/>
  <c r="AE99" i="7" s="1"/>
  <c r="DK103" i="7"/>
  <c r="AE103" i="7" s="1"/>
  <c r="DK123" i="7"/>
  <c r="AE123" i="7" s="1"/>
  <c r="DK121" i="7"/>
  <c r="AE121" i="7" s="1"/>
  <c r="DK27" i="7"/>
  <c r="AE27" i="7" s="1"/>
  <c r="DK25" i="7"/>
  <c r="AE25" i="7" s="1"/>
  <c r="DK45" i="7"/>
  <c r="AE45" i="7" s="1"/>
  <c r="DK95" i="7"/>
  <c r="AE95" i="7" s="1"/>
  <c r="DK73" i="7"/>
  <c r="AE73" i="7" s="1"/>
  <c r="DK87" i="7"/>
  <c r="AE87" i="7" s="1"/>
  <c r="DK119" i="7"/>
  <c r="AE119" i="7" s="1"/>
  <c r="DK33" i="7"/>
  <c r="AE33" i="7" s="1"/>
  <c r="DK53" i="7"/>
  <c r="AE53" i="7" s="1"/>
  <c r="DK31" i="7"/>
  <c r="AE31" i="7" s="1"/>
  <c r="DK83" i="7"/>
  <c r="AE83" i="7" s="1"/>
  <c r="DK51" i="7"/>
  <c r="AE51" i="7" s="1"/>
  <c r="DK49" i="7"/>
  <c r="AE49" i="7" s="1"/>
  <c r="DK75" i="7"/>
  <c r="AE75" i="7" s="1"/>
  <c r="DK77" i="7"/>
  <c r="AE77" i="7" s="1"/>
  <c r="DK39" i="7"/>
  <c r="AE39" i="7" s="1"/>
  <c r="DK7" i="7"/>
  <c r="AE7" i="7" s="1"/>
  <c r="DK97" i="7"/>
  <c r="AE97" i="7" s="1"/>
  <c r="DK81" i="7"/>
  <c r="AE81" i="7" s="1"/>
  <c r="DK37" i="7"/>
  <c r="AE37" i="7" s="1"/>
  <c r="DK5" i="7"/>
  <c r="AE5" i="7" s="1"/>
  <c r="DK55" i="7"/>
  <c r="AE55" i="7" s="1"/>
  <c r="DK117" i="7"/>
  <c r="AE117" i="7" s="1"/>
  <c r="DK79" i="7"/>
  <c r="DK43" i="7"/>
  <c r="AE43" i="7" s="1"/>
  <c r="DK41" i="7"/>
  <c r="AE41" i="7" s="1"/>
  <c r="DK11" i="7"/>
  <c r="AE11" i="7" s="1"/>
  <c r="DK9" i="7"/>
  <c r="AE9" i="7" s="1"/>
  <c r="DK57" i="7"/>
  <c r="AE57" i="7" s="1"/>
  <c r="DK61" i="7"/>
  <c r="AE61" i="7" s="1"/>
  <c r="DK63" i="7"/>
  <c r="AE63" i="7" s="1"/>
  <c r="DK101" i="7"/>
  <c r="AE101" i="7" s="1"/>
  <c r="DK35" i="7"/>
  <c r="AE35" i="7" s="1"/>
  <c r="DK13" i="7"/>
  <c r="AE13" i="7" s="1"/>
  <c r="DK59" i="7"/>
  <c r="AE59" i="7" s="1"/>
  <c r="AE79" i="7"/>
  <c r="AD10" i="17"/>
  <c r="AD14" i="20"/>
  <c r="AD12" i="21"/>
  <c r="AD42" i="19"/>
  <c r="AD16" i="21"/>
  <c r="AD12" i="17"/>
  <c r="AD44" i="18"/>
  <c r="AD10" i="19"/>
  <c r="AD44" i="20"/>
  <c r="AD46" i="17"/>
  <c r="AD14" i="21"/>
  <c r="AD12" i="20"/>
  <c r="AD42" i="17"/>
  <c r="AD13" i="18"/>
  <c r="AD13" i="20"/>
  <c r="AD11" i="21"/>
  <c r="AD41" i="19"/>
  <c r="AD11" i="18"/>
  <c r="AD43" i="17"/>
  <c r="AD15" i="17"/>
  <c r="AD39" i="17"/>
  <c r="AD43" i="19"/>
  <c r="AD11" i="19"/>
  <c r="AD45" i="20"/>
  <c r="AD39" i="19"/>
  <c r="AC18" i="19"/>
  <c r="AD47" i="18"/>
  <c r="AE47" i="19"/>
  <c r="AC47" i="17"/>
  <c r="AD47" i="21"/>
  <c r="AD47" i="22"/>
  <c r="AE47" i="18"/>
  <c r="AE47" i="21"/>
  <c r="AC47" i="20"/>
  <c r="AE47" i="20"/>
  <c r="AC47" i="18"/>
  <c r="AD47" i="20"/>
  <c r="AC47" i="19"/>
  <c r="AC47" i="21"/>
  <c r="AD47" i="19"/>
  <c r="AD47" i="17"/>
  <c r="AE47" i="17"/>
  <c r="AC47" i="22"/>
  <c r="AE47" i="22"/>
  <c r="AC43" i="19"/>
  <c r="AC45" i="21"/>
  <c r="AC43" i="21"/>
  <c r="AC45" i="22"/>
  <c r="AC39" i="20"/>
  <c r="AC41" i="19"/>
  <c r="AC41" i="20"/>
  <c r="AC40" i="19"/>
  <c r="AC44" i="17"/>
  <c r="AC46" i="18"/>
  <c r="AC44" i="20"/>
  <c r="AC42" i="18"/>
  <c r="AC40" i="17"/>
  <c r="AC43" i="22"/>
  <c r="AC41" i="22"/>
  <c r="AC39" i="22"/>
  <c r="AC45" i="20"/>
  <c r="AC45" i="19"/>
  <c r="AC39" i="17"/>
  <c r="AC44" i="19"/>
  <c r="AC44" i="21"/>
  <c r="AC46" i="17"/>
  <c r="AC42" i="17"/>
  <c r="AC42" i="21"/>
  <c r="AC44" i="22"/>
  <c r="AC43" i="17"/>
  <c r="AC45" i="17"/>
  <c r="AC43" i="20"/>
  <c r="AC41" i="17"/>
  <c r="AC39" i="18"/>
  <c r="AC40" i="21"/>
  <c r="AC42" i="22"/>
  <c r="AC46" i="22"/>
  <c r="AC40" i="20"/>
  <c r="AC42" i="19"/>
  <c r="AC42" i="20"/>
  <c r="AC39" i="19"/>
  <c r="AC39" i="21"/>
  <c r="AC43" i="18"/>
  <c r="AC45" i="18"/>
  <c r="AC41" i="18"/>
  <c r="AC41" i="21"/>
  <c r="AC46" i="21"/>
  <c r="AC44" i="18"/>
  <c r="AC40" i="22"/>
  <c r="AC46" i="20"/>
  <c r="AC46" i="19"/>
  <c r="AC40" i="18"/>
  <c r="AD14" i="18"/>
  <c r="AD10" i="18"/>
  <c r="AD16" i="20"/>
  <c r="AD40" i="21"/>
  <c r="AD10" i="20"/>
  <c r="AD40" i="22"/>
  <c r="AD46" i="21"/>
  <c r="AD42" i="22"/>
  <c r="AD46" i="18"/>
  <c r="AD16" i="19"/>
  <c r="AD10" i="21"/>
  <c r="AD42" i="18"/>
  <c r="AD13" i="19"/>
  <c r="AD15" i="20"/>
  <c r="AD39" i="21"/>
  <c r="AD15" i="21"/>
  <c r="AD11" i="17"/>
  <c r="AD43" i="18"/>
  <c r="AD15" i="18"/>
  <c r="AD39" i="18"/>
  <c r="AD45" i="22"/>
  <c r="AD13" i="21"/>
  <c r="AD11" i="20"/>
  <c r="AD41" i="17"/>
  <c r="AC48" i="18"/>
  <c r="AD40" i="20"/>
  <c r="AD42" i="20"/>
  <c r="AD16" i="17"/>
  <c r="AD40" i="17"/>
  <c r="AD44" i="19"/>
  <c r="AD12" i="22"/>
  <c r="AD44" i="21"/>
  <c r="AD46" i="19"/>
  <c r="AD9" i="17"/>
  <c r="AD13" i="22"/>
  <c r="AD39" i="20"/>
  <c r="AD9" i="20"/>
  <c r="AD39" i="22"/>
  <c r="AD43" i="22"/>
  <c r="AD9" i="19"/>
  <c r="AD43" i="20"/>
  <c r="AD45" i="18"/>
  <c r="AD15" i="19"/>
  <c r="AD9" i="21"/>
  <c r="AD41" i="18"/>
  <c r="AC48" i="17"/>
  <c r="AC48" i="19"/>
  <c r="AC48" i="22"/>
  <c r="AC17" i="21"/>
  <c r="AE17" i="20"/>
  <c r="AC17" i="19"/>
  <c r="AE17" i="22"/>
  <c r="AD17" i="22"/>
  <c r="AD17" i="20"/>
  <c r="AE17" i="17"/>
  <c r="AC17" i="22"/>
  <c r="AE17" i="21"/>
  <c r="AD17" i="17"/>
  <c r="AD17" i="21"/>
  <c r="AD17" i="19"/>
  <c r="AE17" i="19"/>
  <c r="AC17" i="20"/>
  <c r="AC17" i="17"/>
  <c r="AC15" i="19"/>
  <c r="AC11" i="22"/>
  <c r="AC11" i="19"/>
  <c r="AC15" i="18"/>
  <c r="AC11" i="17"/>
  <c r="AC17" i="18"/>
  <c r="AC16" i="19"/>
  <c r="AC18" i="17"/>
  <c r="AC14" i="21"/>
  <c r="AC14" i="19"/>
  <c r="AC16" i="20"/>
  <c r="AC18" i="20"/>
  <c r="AC11" i="21"/>
  <c r="AC15" i="22"/>
  <c r="AC9" i="19"/>
  <c r="AC13" i="22"/>
  <c r="AC13" i="20"/>
  <c r="AC15" i="17"/>
  <c r="AC12" i="21"/>
  <c r="AC16" i="22"/>
  <c r="AC10" i="20"/>
  <c r="AC10" i="22"/>
  <c r="AC16" i="21"/>
  <c r="AC12" i="20"/>
  <c r="AC12" i="17"/>
  <c r="AC13" i="18"/>
  <c r="AC9" i="18"/>
  <c r="AC9" i="20"/>
  <c r="AC13" i="21"/>
  <c r="AC13" i="19"/>
  <c r="AC15" i="20"/>
  <c r="AC14" i="18"/>
  <c r="AC10" i="18"/>
  <c r="AC10" i="21"/>
  <c r="AC12" i="22"/>
  <c r="AC12" i="19"/>
  <c r="AC16" i="18"/>
  <c r="AC12" i="18"/>
  <c r="AC13" i="17"/>
  <c r="AC9" i="17"/>
  <c r="AC9" i="21"/>
  <c r="AC9" i="22"/>
  <c r="AC15" i="21"/>
  <c r="AC11" i="20"/>
  <c r="AC11" i="18"/>
  <c r="AC14" i="17"/>
  <c r="AC10" i="17"/>
  <c r="AC18" i="18"/>
  <c r="AC10" i="19"/>
  <c r="AC14" i="22"/>
  <c r="AC14" i="20"/>
  <c r="AC16" i="17"/>
  <c r="AD14" i="19"/>
  <c r="AD18" i="18"/>
  <c r="AD16" i="22"/>
  <c r="AD42" i="21"/>
  <c r="AD17" i="18"/>
  <c r="AD12" i="18"/>
  <c r="AD44" i="17"/>
  <c r="AD16" i="18"/>
  <c r="AD40" i="18"/>
  <c r="AD46" i="22"/>
  <c r="AD12" i="19"/>
  <c r="AD46" i="20"/>
  <c r="AD40" i="19"/>
  <c r="AD13" i="17"/>
  <c r="AD9" i="18"/>
  <c r="AD15" i="22"/>
  <c r="AD41" i="21"/>
  <c r="AD9" i="22"/>
  <c r="AD41" i="20"/>
  <c r="AD44" i="22"/>
  <c r="AD45" i="21"/>
  <c r="AD41" i="22"/>
  <c r="AD45" i="17"/>
  <c r="AD11" i="22"/>
  <c r="AD43" i="21"/>
  <c r="AD45" i="19"/>
  <c r="AC18" i="22"/>
  <c r="AC48" i="20"/>
  <c r="AC48" i="21"/>
  <c r="AD43" i="6"/>
  <c r="AE113" i="8"/>
  <c r="AE121" i="8"/>
  <c r="AE115" i="8"/>
  <c r="AE119" i="8"/>
  <c r="AE63" i="5"/>
  <c r="AD33" i="6"/>
  <c r="AE43" i="8"/>
  <c r="AE101" i="8"/>
  <c r="AE43" i="5"/>
  <c r="AD63" i="6"/>
  <c r="AE13" i="8"/>
  <c r="AE63" i="8"/>
  <c r="AE48" i="22" s="1"/>
  <c r="AE105" i="8"/>
  <c r="AE53" i="8"/>
  <c r="AE48" i="21" s="1"/>
  <c r="AE97" i="8"/>
  <c r="AE117" i="8"/>
  <c r="AE103" i="8"/>
  <c r="AE53" i="5"/>
  <c r="AE18" i="21" s="1"/>
  <c r="AE33" i="5"/>
  <c r="AE18" i="19" s="1"/>
  <c r="AD18" i="20"/>
  <c r="AD48" i="17"/>
  <c r="AD18" i="19"/>
  <c r="AD48" i="18"/>
  <c r="AD48" i="19"/>
  <c r="AD48" i="22"/>
  <c r="AE109" i="8"/>
  <c r="AE123" i="8"/>
  <c r="AD53" i="6"/>
  <c r="AE33" i="8"/>
  <c r="AE48" i="19" s="1"/>
  <c r="AE23" i="8"/>
  <c r="AE48" i="18" s="1"/>
  <c r="AE107" i="8"/>
  <c r="AE111" i="8"/>
  <c r="AE95" i="8"/>
  <c r="AE99" i="8"/>
  <c r="AD18" i="21"/>
  <c r="AD48" i="20"/>
  <c r="AD18" i="22"/>
  <c r="AD48" i="21"/>
  <c r="AE39" i="19"/>
  <c r="AE45" i="19"/>
  <c r="AE45" i="21"/>
  <c r="AE39" i="20"/>
  <c r="AE45" i="22"/>
  <c r="AE15" i="21"/>
  <c r="AE15" i="20"/>
  <c r="AE13" i="21"/>
  <c r="AE15" i="17"/>
  <c r="AE15" i="18"/>
  <c r="AE43" i="19"/>
  <c r="AE39" i="21"/>
  <c r="AE45" i="20"/>
  <c r="AE39" i="22"/>
  <c r="AE13" i="19"/>
  <c r="AE13" i="22"/>
  <c r="AE9" i="21"/>
  <c r="AE9" i="20"/>
  <c r="AE11" i="22"/>
  <c r="AE13" i="17"/>
  <c r="AE13" i="18"/>
  <c r="AE45" i="18"/>
  <c r="AE45" i="17"/>
  <c r="AE43" i="17"/>
  <c r="AE43" i="18"/>
  <c r="AE43" i="20"/>
  <c r="AE41" i="21"/>
  <c r="AE41" i="18"/>
  <c r="AE41" i="17"/>
  <c r="AE41" i="22"/>
  <c r="AE11" i="20"/>
  <c r="AE15" i="22"/>
  <c r="AE9" i="19"/>
  <c r="AE11" i="19"/>
  <c r="AE15" i="19"/>
  <c r="AE11" i="21"/>
  <c r="AE11" i="18"/>
  <c r="AE11" i="17"/>
  <c r="AE43" i="22"/>
  <c r="AE44" i="22"/>
  <c r="AE43" i="21"/>
  <c r="AE41" i="19"/>
  <c r="AE41" i="20"/>
  <c r="AE39" i="17"/>
  <c r="AE39" i="18"/>
  <c r="AE9" i="22"/>
  <c r="AE9" i="18"/>
  <c r="AE9" i="17"/>
  <c r="AE13" i="20"/>
  <c r="AE40" i="19"/>
  <c r="AE46" i="19"/>
  <c r="AE46" i="21"/>
  <c r="AE40" i="20"/>
  <c r="AE46" i="22"/>
  <c r="AE17" i="18"/>
  <c r="AE16" i="21"/>
  <c r="AE16" i="20"/>
  <c r="AE14" i="21"/>
  <c r="AE16" i="18"/>
  <c r="AE16" i="17"/>
  <c r="AE44" i="19"/>
  <c r="AE40" i="21"/>
  <c r="AE46" i="20"/>
  <c r="AE40" i="22"/>
  <c r="AE14" i="19"/>
  <c r="AE14" i="22"/>
  <c r="AE10" i="21"/>
  <c r="AE10" i="20"/>
  <c r="AE18" i="18"/>
  <c r="AE18" i="17"/>
  <c r="AE12" i="22"/>
  <c r="AE14" i="17"/>
  <c r="AE14" i="18"/>
  <c r="AE46" i="18"/>
  <c r="AE46" i="17"/>
  <c r="AE44" i="18"/>
  <c r="AE44" i="17"/>
  <c r="AE44" i="20"/>
  <c r="AE42" i="21"/>
  <c r="AE42" i="18"/>
  <c r="AE42" i="17"/>
  <c r="AE42" i="22"/>
  <c r="AE12" i="20"/>
  <c r="AE16" i="22"/>
  <c r="AE10" i="19"/>
  <c r="AE12" i="19"/>
  <c r="AE16" i="19"/>
  <c r="AE12" i="21"/>
  <c r="AE12" i="18"/>
  <c r="AE12" i="17"/>
  <c r="AE44" i="21"/>
  <c r="AE42" i="19"/>
  <c r="AE42" i="20"/>
  <c r="AE40" i="18"/>
  <c r="AE40" i="17"/>
  <c r="AE10" i="22"/>
  <c r="AE10" i="18"/>
  <c r="AE10" i="17"/>
  <c r="AE14" i="20"/>
  <c r="DL75" i="5"/>
  <c r="AF75" i="5" s="1"/>
  <c r="DL35" i="5"/>
  <c r="AF35" i="5" s="1"/>
  <c r="DL19" i="5"/>
  <c r="AF19" i="5" s="1"/>
  <c r="DL71" i="5"/>
  <c r="AF71" i="5" s="1"/>
  <c r="DL25" i="5"/>
  <c r="AF25" i="5" s="1"/>
  <c r="DL15" i="5"/>
  <c r="AF15" i="5" s="1"/>
  <c r="DL69" i="5"/>
  <c r="AF69" i="5" s="1"/>
  <c r="DL11" i="5"/>
  <c r="AF11" i="5" s="1"/>
  <c r="DL51" i="5"/>
  <c r="AF51" i="5" s="1"/>
  <c r="DL113" i="5"/>
  <c r="AF113" i="5" s="1"/>
  <c r="DL45" i="5"/>
  <c r="AF45" i="5" s="1"/>
  <c r="DL119" i="5"/>
  <c r="AF119" i="5" s="1"/>
  <c r="DL77" i="5"/>
  <c r="AF77" i="5" s="1"/>
  <c r="DL97" i="5"/>
  <c r="AF97" i="5" s="1"/>
  <c r="DL123" i="5"/>
  <c r="AF123" i="5" s="1"/>
  <c r="DL31" i="5"/>
  <c r="AF31" i="5" s="1"/>
  <c r="DL65" i="5"/>
  <c r="AF65" i="5" s="1"/>
  <c r="DL83" i="5"/>
  <c r="AF83" i="5" s="1"/>
  <c r="DL41" i="5"/>
  <c r="AF41" i="5" s="1"/>
  <c r="DL91" i="5"/>
  <c r="AF91" i="5" s="1"/>
  <c r="DL57" i="5"/>
  <c r="AF57" i="5" s="1"/>
  <c r="DL115" i="5"/>
  <c r="AF115" i="5" s="1"/>
  <c r="DL61" i="5"/>
  <c r="AF61" i="5" s="1"/>
  <c r="DL79" i="5"/>
  <c r="AF79" i="5" s="1"/>
  <c r="DL43" i="5"/>
  <c r="DL47" i="5"/>
  <c r="AF47" i="5" s="1"/>
  <c r="DL87" i="5"/>
  <c r="AF87" i="5" s="1"/>
  <c r="DL49" i="5"/>
  <c r="AF49" i="5" s="1"/>
  <c r="DL109" i="5"/>
  <c r="AF109" i="5" s="1"/>
  <c r="DL29" i="5"/>
  <c r="AF29" i="5" s="1"/>
  <c r="DL17" i="5"/>
  <c r="AF17" i="5" s="1"/>
  <c r="DL21" i="5"/>
  <c r="AF21" i="5" s="1"/>
  <c r="DL13" i="5"/>
  <c r="AF13" i="5" s="1"/>
  <c r="DL73" i="5"/>
  <c r="AF73" i="5" s="1"/>
  <c r="DL81" i="5"/>
  <c r="AF81" i="5" s="1"/>
  <c r="DL5" i="5"/>
  <c r="AF5" i="5" s="1"/>
  <c r="DL23" i="5"/>
  <c r="DL111" i="5"/>
  <c r="AF111" i="5" s="1"/>
  <c r="DL27" i="5"/>
  <c r="AF27" i="5" s="1"/>
  <c r="DL39" i="5"/>
  <c r="AF39" i="5" s="1"/>
  <c r="DL107" i="5"/>
  <c r="AF107" i="5" s="1"/>
  <c r="DL59" i="5"/>
  <c r="AF59" i="5" s="1"/>
  <c r="DL99" i="5"/>
  <c r="AF99" i="5" s="1"/>
  <c r="DL121" i="5"/>
  <c r="AF121" i="5" s="1"/>
  <c r="DL93" i="5"/>
  <c r="AF93" i="5" s="1"/>
  <c r="DL103" i="5"/>
  <c r="AF103" i="5" s="1"/>
  <c r="DL101" i="5"/>
  <c r="AF101" i="5" s="1"/>
  <c r="DL7" i="5"/>
  <c r="AF7" i="5" s="1"/>
  <c r="DL89" i="5"/>
  <c r="AF89" i="5" s="1"/>
  <c r="AG3" i="5"/>
  <c r="DL37" i="5"/>
  <c r="AF37" i="5" s="1"/>
  <c r="DL55" i="5"/>
  <c r="AF55" i="5" s="1"/>
  <c r="DL95" i="5"/>
  <c r="AF95" i="5" s="1"/>
  <c r="DL33" i="5"/>
  <c r="DL85" i="5"/>
  <c r="AF85" i="5" s="1"/>
  <c r="DL53" i="5"/>
  <c r="DL117" i="5"/>
  <c r="AF117" i="5" s="1"/>
  <c r="DL67" i="5"/>
  <c r="AF67" i="5" s="1"/>
  <c r="DL105" i="5"/>
  <c r="AF105" i="5" s="1"/>
  <c r="DL63" i="5"/>
  <c r="DL9" i="5"/>
  <c r="AF9" i="5" s="1"/>
  <c r="DL95" i="8"/>
  <c r="DL121" i="8"/>
  <c r="DL103" i="8"/>
  <c r="DL101" i="8"/>
  <c r="DL119" i="8"/>
  <c r="DL115" i="8"/>
  <c r="DL117" i="8"/>
  <c r="DL97" i="8"/>
  <c r="DL99" i="8"/>
  <c r="DL123" i="8"/>
  <c r="DL49" i="8"/>
  <c r="AF49" i="8" s="1"/>
  <c r="DL37" i="8"/>
  <c r="AF37" i="8" s="1"/>
  <c r="DL89" i="8"/>
  <c r="AF89" i="8" s="1"/>
  <c r="DL105" i="8"/>
  <c r="DL19" i="8"/>
  <c r="AF19" i="8" s="1"/>
  <c r="DL17" i="8"/>
  <c r="AF17" i="8" s="1"/>
  <c r="DL69" i="8"/>
  <c r="AF69" i="8" s="1"/>
  <c r="DL73" i="8"/>
  <c r="AF73" i="8" s="1"/>
  <c r="DL67" i="8"/>
  <c r="AF67" i="8" s="1"/>
  <c r="DL59" i="8"/>
  <c r="AF59" i="8" s="1"/>
  <c r="DL7" i="8"/>
  <c r="AF7" i="8" s="1"/>
  <c r="DL5" i="8"/>
  <c r="AF5" i="8" s="1"/>
  <c r="DL9" i="8"/>
  <c r="AF9" i="8" s="1"/>
  <c r="DL77" i="8"/>
  <c r="DL45" i="8"/>
  <c r="AF45" i="8" s="1"/>
  <c r="DL47" i="8"/>
  <c r="AF47" i="8" s="1"/>
  <c r="DL53" i="8"/>
  <c r="DL35" i="8"/>
  <c r="AF35" i="8" s="1"/>
  <c r="DL39" i="8"/>
  <c r="AF39" i="8" s="1"/>
  <c r="DL41" i="8"/>
  <c r="AF41" i="8" s="1"/>
  <c r="DL85" i="8"/>
  <c r="AF85" i="8" s="1"/>
  <c r="DL87" i="8"/>
  <c r="AF87" i="8" s="1"/>
  <c r="DL113" i="8"/>
  <c r="DL109" i="8"/>
  <c r="DL15" i="8"/>
  <c r="AF15" i="8" s="1"/>
  <c r="DL43" i="8"/>
  <c r="DL93" i="8"/>
  <c r="AF93" i="8" s="1"/>
  <c r="DL111" i="8"/>
  <c r="DL23" i="8"/>
  <c r="DL51" i="8"/>
  <c r="AF51" i="8" s="1"/>
  <c r="DL91" i="8"/>
  <c r="AF91" i="8" s="1"/>
  <c r="DL107" i="8"/>
  <c r="DL21" i="8"/>
  <c r="AF21" i="8" s="1"/>
  <c r="DL65" i="8"/>
  <c r="AF65" i="8" s="1"/>
  <c r="DL71" i="8"/>
  <c r="AF71" i="8" s="1"/>
  <c r="DL61" i="8"/>
  <c r="AF61" i="8" s="1"/>
  <c r="DL11" i="8"/>
  <c r="AF11" i="8" s="1"/>
  <c r="DL81" i="8"/>
  <c r="AF81" i="8" s="1"/>
  <c r="DL79" i="8"/>
  <c r="AF79" i="8" s="1"/>
  <c r="DL33" i="8"/>
  <c r="DL55" i="8"/>
  <c r="AF55" i="8" s="1"/>
  <c r="DL63" i="8"/>
  <c r="DL13" i="8"/>
  <c r="DL31" i="8"/>
  <c r="AF31" i="8" s="1"/>
  <c r="DL75" i="8"/>
  <c r="AF75" i="8" s="1"/>
  <c r="DL27" i="8"/>
  <c r="AF27" i="8" s="1"/>
  <c r="DL57" i="8"/>
  <c r="AF57" i="8" s="1"/>
  <c r="DL83" i="8"/>
  <c r="AF83" i="8" s="1"/>
  <c r="DL29" i="8"/>
  <c r="AF29" i="8" s="1"/>
  <c r="DL25" i="8"/>
  <c r="AF25" i="8" s="1"/>
  <c r="DK63" i="6"/>
  <c r="DK55" i="6"/>
  <c r="AE55" i="6" s="1"/>
  <c r="DK47" i="6"/>
  <c r="AE47" i="6" s="1"/>
  <c r="DK57" i="6"/>
  <c r="AE57" i="6" s="1"/>
  <c r="DK49" i="6"/>
  <c r="AE49" i="6" s="1"/>
  <c r="DK59" i="6"/>
  <c r="AE59" i="6" s="1"/>
  <c r="DK51" i="6"/>
  <c r="AE51" i="6" s="1"/>
  <c r="DK43" i="6"/>
  <c r="DK45" i="6"/>
  <c r="AE45" i="6" s="1"/>
  <c r="DK33" i="6"/>
  <c r="DK25" i="6"/>
  <c r="AE25" i="6" s="1"/>
  <c r="DK17" i="6"/>
  <c r="AE17" i="6" s="1"/>
  <c r="DK53" i="6"/>
  <c r="DK35" i="6"/>
  <c r="AE35" i="6" s="1"/>
  <c r="DK27" i="6"/>
  <c r="AE27" i="6" s="1"/>
  <c r="DK19" i="6"/>
  <c r="AE19" i="6" s="1"/>
  <c r="DK39" i="6"/>
  <c r="AE39" i="6" s="1"/>
  <c r="DK37" i="6"/>
  <c r="AE37" i="6" s="1"/>
  <c r="DK29" i="6"/>
  <c r="AE29" i="6" s="1"/>
  <c r="DK21" i="6"/>
  <c r="AE21" i="6" s="1"/>
  <c r="DK13" i="6"/>
  <c r="AE13" i="6" s="1"/>
  <c r="DK9" i="6"/>
  <c r="AE9" i="6" s="1"/>
  <c r="DK61" i="6"/>
  <c r="AE61" i="6" s="1"/>
  <c r="DK31" i="6"/>
  <c r="AE31" i="6" s="1"/>
  <c r="DK15" i="6"/>
  <c r="AE15" i="6" s="1"/>
  <c r="DK11" i="6"/>
  <c r="AE11" i="6" s="1"/>
  <c r="DK41" i="6"/>
  <c r="AE41" i="6" s="1"/>
  <c r="DK23" i="6"/>
  <c r="AE23" i="6" s="1"/>
  <c r="DK7" i="6"/>
  <c r="AE7" i="6" s="1"/>
  <c r="DK5" i="6"/>
  <c r="AE5" i="6" s="1"/>
  <c r="AG3" i="8"/>
  <c r="AF47" i="20" s="1"/>
  <c r="AF3" i="7"/>
  <c r="AF3" i="6"/>
  <c r="AF106" i="5"/>
  <c r="AE106" i="8"/>
  <c r="AE110" i="8"/>
  <c r="AF20" i="5"/>
  <c r="AF14" i="8"/>
  <c r="AF8" i="8"/>
  <c r="AE30" i="7"/>
  <c r="AE6" i="6"/>
  <c r="AE8" i="6"/>
  <c r="AF24" i="5"/>
  <c r="AE38" i="7"/>
  <c r="AF34" i="5"/>
  <c r="AF14" i="5"/>
  <c r="AF16" i="5"/>
  <c r="AF36" i="8"/>
  <c r="AE14" i="7"/>
  <c r="AF70" i="5"/>
  <c r="AF8" i="5"/>
  <c r="AE54" i="7"/>
  <c r="AF4" i="8"/>
  <c r="AF26" i="8"/>
  <c r="AF66" i="5"/>
  <c r="AF10" i="5"/>
  <c r="AE14" i="6"/>
  <c r="AF60" i="5"/>
  <c r="AE34" i="6"/>
  <c r="AE104" i="8"/>
  <c r="AE110" i="7"/>
  <c r="AF110" i="5"/>
  <c r="AF104" i="5"/>
  <c r="AE40" i="6"/>
  <c r="AF74" i="5"/>
  <c r="AF6" i="8"/>
  <c r="AE28" i="6"/>
  <c r="AE10" i="6"/>
  <c r="AF48" i="5"/>
  <c r="AE30" i="6"/>
  <c r="AF16" i="8"/>
  <c r="AE40" i="7"/>
  <c r="AF34" i="8"/>
  <c r="AF56" i="5"/>
  <c r="AE18" i="7"/>
  <c r="AF46" i="8"/>
  <c r="AE44" i="7"/>
  <c r="AF30" i="8"/>
  <c r="AE56" i="7"/>
  <c r="AF44" i="8"/>
  <c r="AF58" i="5"/>
  <c r="AE58" i="7"/>
  <c r="AE50" i="7"/>
  <c r="AE60" i="6"/>
  <c r="AE38" i="6"/>
  <c r="AE54" i="6"/>
  <c r="AE108" i="7"/>
  <c r="AE106" i="7"/>
  <c r="AE48" i="7"/>
  <c r="AE20" i="6"/>
  <c r="AF56" i="8"/>
  <c r="AE24" i="7"/>
  <c r="AE18" i="6"/>
  <c r="AF40" i="8"/>
  <c r="AF68" i="5"/>
  <c r="AF26" i="5"/>
  <c r="AF54" i="8"/>
  <c r="AE58" i="6"/>
  <c r="AE28" i="7"/>
  <c r="AF40" i="5"/>
  <c r="AE24" i="6"/>
  <c r="AE10" i="7"/>
  <c r="AF38" i="5"/>
  <c r="AE44" i="6"/>
  <c r="AF60" i="8"/>
  <c r="AE6" i="7"/>
  <c r="AE16" i="7"/>
  <c r="AF30" i="5"/>
  <c r="AF48" i="8"/>
  <c r="AE48" i="6"/>
  <c r="AE8" i="7"/>
  <c r="AF44" i="5"/>
  <c r="AF18" i="8"/>
  <c r="AE36" i="7"/>
  <c r="AE104" i="7"/>
  <c r="AF108" i="5"/>
  <c r="AE108" i="8"/>
  <c r="AE50" i="6"/>
  <c r="AE60" i="7"/>
  <c r="AE26" i="6"/>
  <c r="AF36" i="5"/>
  <c r="AF46" i="5"/>
  <c r="AE20" i="7"/>
  <c r="AE4" i="6"/>
  <c r="AE56" i="6"/>
  <c r="AF54" i="5"/>
  <c r="AF50" i="5"/>
  <c r="AF4" i="5"/>
  <c r="AE4" i="7"/>
  <c r="AE34" i="7"/>
  <c r="AF28" i="8"/>
  <c r="AE36" i="6"/>
  <c r="AE46" i="6"/>
  <c r="AF10" i="8"/>
  <c r="AF24" i="8"/>
  <c r="AE46" i="7"/>
  <c r="AE26" i="7"/>
  <c r="AF58" i="8"/>
  <c r="AF50" i="8"/>
  <c r="AF64" i="5"/>
  <c r="AF28" i="5"/>
  <c r="AF18" i="5"/>
  <c r="AF6" i="5"/>
  <c r="AF38" i="8"/>
  <c r="AF20" i="8"/>
  <c r="AE16" i="6"/>
  <c r="DL123" i="6" l="1"/>
  <c r="DL113" i="6"/>
  <c r="DL115" i="6"/>
  <c r="DL119" i="6"/>
  <c r="DL107" i="6"/>
  <c r="DL117" i="6"/>
  <c r="DL121" i="6"/>
  <c r="DL109" i="6"/>
  <c r="DL65" i="6"/>
  <c r="DL71" i="6"/>
  <c r="DL69" i="6"/>
  <c r="DL75" i="6"/>
  <c r="DL97" i="6"/>
  <c r="DL105" i="6"/>
  <c r="DL111" i="6"/>
  <c r="DL67" i="6"/>
  <c r="DL73" i="6"/>
  <c r="DL79" i="6"/>
  <c r="DL81" i="6"/>
  <c r="DL95" i="6"/>
  <c r="DL101" i="6"/>
  <c r="DL85" i="6"/>
  <c r="DL83" i="6"/>
  <c r="DL103" i="6"/>
  <c r="DL89" i="6"/>
  <c r="DL77" i="6"/>
  <c r="DL99" i="6"/>
  <c r="DL91" i="6"/>
  <c r="DL93" i="6"/>
  <c r="DL87" i="6"/>
  <c r="Z53" i="22"/>
  <c r="AA60" i="20"/>
  <c r="AA60" i="18"/>
  <c r="AA58" i="22"/>
  <c r="AB54" i="22"/>
  <c r="AB52" i="18"/>
  <c r="Z55" i="18"/>
  <c r="W53" i="20"/>
  <c r="AA54" i="22"/>
  <c r="AB60" i="18"/>
  <c r="X55" i="22"/>
  <c r="AA57" i="18"/>
  <c r="Y58" i="22"/>
  <c r="X55" i="18"/>
  <c r="Y53" i="22"/>
  <c r="X55" i="20"/>
  <c r="Y55" i="18"/>
  <c r="AB58" i="20"/>
  <c r="AB59" i="22"/>
  <c r="AA59" i="22"/>
  <c r="X60" i="20"/>
  <c r="X53" i="22"/>
  <c r="X60" i="19"/>
  <c r="AB59" i="21"/>
  <c r="AB58" i="21"/>
  <c r="X52" i="20"/>
  <c r="Y58" i="19"/>
  <c r="AA55" i="19"/>
  <c r="X53" i="20"/>
  <c r="Y52" i="19"/>
  <c r="AA52" i="19"/>
  <c r="Z54" i="18"/>
  <c r="Z52" i="18"/>
  <c r="AB55" i="20"/>
  <c r="X58" i="20"/>
  <c r="Y57" i="18"/>
  <c r="AB55" i="18"/>
  <c r="Y58" i="20"/>
  <c r="AA54" i="20"/>
  <c r="Y53" i="20"/>
  <c r="AB53" i="20"/>
  <c r="AA58" i="19"/>
  <c r="Y57" i="19"/>
  <c r="Z59" i="18"/>
  <c r="Y52" i="20"/>
  <c r="Y53" i="18"/>
  <c r="AB58" i="19"/>
  <c r="Z59" i="22"/>
  <c r="Z53" i="20"/>
  <c r="AB55" i="19"/>
  <c r="Z60" i="20"/>
  <c r="AB53" i="18"/>
  <c r="AB59" i="20"/>
  <c r="Y53" i="19"/>
  <c r="AB57" i="18"/>
  <c r="AA57" i="19"/>
  <c r="Z52" i="20"/>
  <c r="AA57" i="20"/>
  <c r="W53" i="18"/>
  <c r="Y55" i="22"/>
  <c r="W53" i="19"/>
  <c r="Y57" i="20"/>
  <c r="Y58" i="18"/>
  <c r="AB53" i="19"/>
  <c r="AA53" i="18"/>
  <c r="AA54" i="18"/>
  <c r="Z58" i="20"/>
  <c r="AB60" i="19"/>
  <c r="AB58" i="18"/>
  <c r="Z60" i="19"/>
  <c r="AB54" i="20"/>
  <c r="W58" i="19"/>
  <c r="X60" i="18"/>
  <c r="Z54" i="20"/>
  <c r="Y59" i="18"/>
  <c r="AA55" i="20"/>
  <c r="AA53" i="19"/>
  <c r="W58" i="18"/>
  <c r="AB53" i="21"/>
  <c r="X57" i="19"/>
  <c r="Y54" i="22"/>
  <c r="X53" i="18"/>
  <c r="X53" i="19"/>
  <c r="AB57" i="19"/>
  <c r="AA60" i="22"/>
  <c r="AA53" i="20"/>
  <c r="Y60" i="18"/>
  <c r="Y60" i="22"/>
  <c r="AB59" i="19"/>
  <c r="AA52" i="20"/>
  <c r="AB57" i="20"/>
  <c r="AB60" i="20"/>
  <c r="Z54" i="19"/>
  <c r="Y52" i="18"/>
  <c r="AA58" i="18"/>
  <c r="AB53" i="22"/>
  <c r="AB59" i="18"/>
  <c r="AA52" i="18"/>
  <c r="AA54" i="19"/>
  <c r="Z55" i="20"/>
  <c r="Z59" i="20"/>
  <c r="X55" i="19"/>
  <c r="X58" i="22"/>
  <c r="W58" i="20"/>
  <c r="X57" i="20"/>
  <c r="W58" i="22"/>
  <c r="Y54" i="19"/>
  <c r="AB54" i="21"/>
  <c r="X57" i="18"/>
  <c r="Y59" i="20"/>
  <c r="Y60" i="20"/>
  <c r="Z60" i="22"/>
  <c r="Z53" i="19"/>
  <c r="Z57" i="20"/>
  <c r="AB55" i="22"/>
  <c r="Z54" i="22"/>
  <c r="Z53" i="18"/>
  <c r="Z57" i="18"/>
  <c r="Z52" i="19"/>
  <c r="Y60" i="19"/>
  <c r="Z57" i="19"/>
  <c r="Y59" i="19"/>
  <c r="Z55" i="19"/>
  <c r="Z58" i="19"/>
  <c r="Z60" i="18"/>
  <c r="AB52" i="20"/>
  <c r="AB58" i="22"/>
  <c r="AA59" i="18"/>
  <c r="AB54" i="18"/>
  <c r="AA58" i="20"/>
  <c r="AA60" i="19"/>
  <c r="AA55" i="22"/>
  <c r="Y55" i="19"/>
  <c r="X58" i="19"/>
  <c r="Y54" i="20"/>
  <c r="X52" i="19"/>
  <c r="AA55" i="18"/>
  <c r="Z55" i="22"/>
  <c r="X60" i="22"/>
  <c r="Z58" i="22"/>
  <c r="X58" i="18"/>
  <c r="W53" i="22"/>
  <c r="AB54" i="19"/>
  <c r="AA53" i="22"/>
  <c r="AB60" i="22"/>
  <c r="X52" i="18"/>
  <c r="AA59" i="19"/>
  <c r="Y59" i="22"/>
  <c r="Y54" i="18"/>
  <c r="Z59" i="19"/>
  <c r="Z58" i="18"/>
  <c r="AB52" i="19"/>
  <c r="AD57" i="22"/>
  <c r="AD52" i="20"/>
  <c r="AD55" i="19"/>
  <c r="AD57" i="20"/>
  <c r="AD52" i="21"/>
  <c r="AD52" i="18"/>
  <c r="AD57" i="21"/>
  <c r="AD57" i="19"/>
  <c r="AD55" i="18"/>
  <c r="AD52" i="22"/>
  <c r="AD60" i="19"/>
  <c r="AD55" i="22"/>
  <c r="AD52" i="19"/>
  <c r="AD57" i="18"/>
  <c r="AD60" i="22"/>
  <c r="AD55" i="21"/>
  <c r="AC57" i="21"/>
  <c r="AD60" i="20"/>
  <c r="AC52" i="21"/>
  <c r="AC27" i="21"/>
  <c r="AC27" i="17"/>
  <c r="AD27" i="17"/>
  <c r="AD27" i="22"/>
  <c r="AE27" i="18"/>
  <c r="AE27" i="17"/>
  <c r="AD27" i="20"/>
  <c r="AE27" i="19"/>
  <c r="AC27" i="20"/>
  <c r="AD27" i="19"/>
  <c r="AC27" i="22"/>
  <c r="AE27" i="22"/>
  <c r="AE27" i="21"/>
  <c r="AC27" i="19"/>
  <c r="AC27" i="18"/>
  <c r="AE27" i="20"/>
  <c r="AD27" i="21"/>
  <c r="AD27" i="18"/>
  <c r="AC19" i="20"/>
  <c r="AC21" i="17"/>
  <c r="AC21" i="21"/>
  <c r="AC19" i="17"/>
  <c r="AC21" i="19"/>
  <c r="AC25" i="18"/>
  <c r="AC22" i="18"/>
  <c r="AC24" i="19"/>
  <c r="AC20" i="17"/>
  <c r="AC24" i="17"/>
  <c r="AC26" i="17"/>
  <c r="AC25" i="19"/>
  <c r="AC19" i="19"/>
  <c r="AC25" i="22"/>
  <c r="AC19" i="18"/>
  <c r="AC23" i="18"/>
  <c r="AC23" i="21"/>
  <c r="AC20" i="20"/>
  <c r="AC22" i="17"/>
  <c r="AC22" i="21"/>
  <c r="AC24" i="22"/>
  <c r="AC22" i="20"/>
  <c r="AC20" i="22"/>
  <c r="AC28" i="18"/>
  <c r="AC24" i="21"/>
  <c r="AC25" i="20"/>
  <c r="AC21" i="22"/>
  <c r="AC25" i="21"/>
  <c r="AC21" i="20"/>
  <c r="AC23" i="17"/>
  <c r="AC23" i="20"/>
  <c r="AC26" i="19"/>
  <c r="AC20" i="19"/>
  <c r="AC26" i="22"/>
  <c r="AC20" i="21"/>
  <c r="AC22" i="19"/>
  <c r="AC28" i="17"/>
  <c r="AC24" i="20"/>
  <c r="AC21" i="18"/>
  <c r="AC23" i="19"/>
  <c r="AC23" i="22"/>
  <c r="AC19" i="21"/>
  <c r="AC19" i="22"/>
  <c r="AC25" i="17"/>
  <c r="AC26" i="20"/>
  <c r="AC22" i="22"/>
  <c r="AC26" i="21"/>
  <c r="AC20" i="18"/>
  <c r="AC24" i="18"/>
  <c r="AC26" i="18"/>
  <c r="AD24" i="18"/>
  <c r="AD24" i="19"/>
  <c r="AD26" i="17"/>
  <c r="AD20" i="18"/>
  <c r="AD22" i="22"/>
  <c r="AD22" i="17"/>
  <c r="AD25" i="22"/>
  <c r="AD25" i="20"/>
  <c r="AD25" i="17"/>
  <c r="AD19" i="20"/>
  <c r="AD25" i="19"/>
  <c r="AD38" i="22"/>
  <c r="AF17" i="17"/>
  <c r="AF17" i="22"/>
  <c r="AC55" i="19"/>
  <c r="AC60" i="19"/>
  <c r="AC60" i="20"/>
  <c r="AC55" i="20"/>
  <c r="AF47" i="18"/>
  <c r="AD38" i="21"/>
  <c r="AE38" i="19"/>
  <c r="AE38" i="21"/>
  <c r="DL113" i="7"/>
  <c r="AF113" i="7" s="1"/>
  <c r="DL111" i="7"/>
  <c r="AF111" i="7" s="1"/>
  <c r="DL109" i="7"/>
  <c r="AF109" i="7" s="1"/>
  <c r="DL107" i="7"/>
  <c r="AF107" i="7" s="1"/>
  <c r="DL105" i="7"/>
  <c r="AF105" i="7" s="1"/>
  <c r="DL17" i="7"/>
  <c r="AF17" i="7" s="1"/>
  <c r="DL93" i="7"/>
  <c r="AF93" i="7" s="1"/>
  <c r="DL87" i="7"/>
  <c r="AF87" i="7" s="1"/>
  <c r="DL91" i="7"/>
  <c r="AF91" i="7" s="1"/>
  <c r="DL69" i="7"/>
  <c r="AF69" i="7" s="1"/>
  <c r="DL67" i="7"/>
  <c r="AF67" i="7" s="1"/>
  <c r="DL15" i="7"/>
  <c r="AF15" i="7" s="1"/>
  <c r="DL89" i="7"/>
  <c r="AF89" i="7" s="1"/>
  <c r="DL19" i="7"/>
  <c r="AF19" i="7" s="1"/>
  <c r="DL85" i="7"/>
  <c r="AF85" i="7" s="1"/>
  <c r="DL71" i="7"/>
  <c r="AF71" i="7" s="1"/>
  <c r="DL73" i="7"/>
  <c r="AF73" i="7" s="1"/>
  <c r="DL117" i="7"/>
  <c r="AF117" i="7" s="1"/>
  <c r="DL115" i="7"/>
  <c r="AF115" i="7" s="1"/>
  <c r="DL31" i="7"/>
  <c r="AF31" i="7" s="1"/>
  <c r="DL49" i="7"/>
  <c r="AF49" i="7" s="1"/>
  <c r="DL101" i="7"/>
  <c r="AF101" i="7" s="1"/>
  <c r="DL21" i="7"/>
  <c r="AF21" i="7" s="1"/>
  <c r="DL123" i="7"/>
  <c r="AF123" i="7" s="1"/>
  <c r="DL29" i="7"/>
  <c r="AF29" i="7" s="1"/>
  <c r="DL27" i="7"/>
  <c r="AF27" i="7" s="1"/>
  <c r="DL47" i="7"/>
  <c r="AF47" i="7" s="1"/>
  <c r="DL97" i="7"/>
  <c r="AF97" i="7" s="1"/>
  <c r="DL121" i="7"/>
  <c r="AF121" i="7" s="1"/>
  <c r="DL25" i="7"/>
  <c r="AF25" i="7" s="1"/>
  <c r="DL45" i="7"/>
  <c r="AF45" i="7" s="1"/>
  <c r="DL23" i="7"/>
  <c r="AF23" i="7" s="1"/>
  <c r="DL103" i="7"/>
  <c r="AF103" i="7" s="1"/>
  <c r="DL65" i="7"/>
  <c r="AF65" i="7" s="1"/>
  <c r="DL119" i="7"/>
  <c r="AF119" i="7" s="1"/>
  <c r="DL75" i="7"/>
  <c r="AF75" i="7" s="1"/>
  <c r="DL41" i="7"/>
  <c r="AF41" i="7" s="1"/>
  <c r="DL9" i="7"/>
  <c r="AF9" i="7" s="1"/>
  <c r="DL33" i="7"/>
  <c r="AF33" i="7" s="1"/>
  <c r="DL99" i="7"/>
  <c r="AF99" i="7" s="1"/>
  <c r="DL95" i="7"/>
  <c r="AF95" i="7" s="1"/>
  <c r="DL83" i="7"/>
  <c r="AF83" i="7" s="1"/>
  <c r="DL81" i="7"/>
  <c r="AF81" i="7" s="1"/>
  <c r="DL39" i="7"/>
  <c r="AF39" i="7" s="1"/>
  <c r="DL7" i="7"/>
  <c r="AF7" i="7" s="1"/>
  <c r="DL77" i="7"/>
  <c r="AF77" i="7" s="1"/>
  <c r="DL59" i="7"/>
  <c r="AF59" i="7" s="1"/>
  <c r="DL55" i="7"/>
  <c r="AF55" i="7" s="1"/>
  <c r="DL79" i="7"/>
  <c r="AF79" i="7" s="1"/>
  <c r="DL43" i="7"/>
  <c r="AF43" i="7" s="1"/>
  <c r="DL13" i="7"/>
  <c r="AF13" i="7" s="1"/>
  <c r="DL11" i="7"/>
  <c r="AF11" i="7" s="1"/>
  <c r="DL63" i="7"/>
  <c r="DL57" i="7"/>
  <c r="AF57" i="7" s="1"/>
  <c r="DL61" i="7"/>
  <c r="AF61" i="7" s="1"/>
  <c r="DL53" i="7"/>
  <c r="AF53" i="7" s="1"/>
  <c r="DL51" i="7"/>
  <c r="AF51" i="7" s="1"/>
  <c r="DL37" i="7"/>
  <c r="AF37" i="7" s="1"/>
  <c r="DL35" i="7"/>
  <c r="AF35" i="7" s="1"/>
  <c r="DL5" i="7"/>
  <c r="AF5" i="7" s="1"/>
  <c r="AF63" i="7"/>
  <c r="AE30" i="22"/>
  <c r="AD32" i="18"/>
  <c r="AC31" i="19"/>
  <c r="AD31" i="22"/>
  <c r="AD35" i="19"/>
  <c r="AC35" i="20"/>
  <c r="AD37" i="22"/>
  <c r="AE37" i="21"/>
  <c r="AD37" i="19"/>
  <c r="AE32" i="20"/>
  <c r="AE32" i="17"/>
  <c r="AC36" i="17"/>
  <c r="AC32" i="21"/>
  <c r="AC30" i="20"/>
  <c r="AD34" i="18"/>
  <c r="AD29" i="20"/>
  <c r="AC37" i="22"/>
  <c r="AC30" i="22"/>
  <c r="AE36" i="17"/>
  <c r="AE34" i="20"/>
  <c r="AE36" i="20"/>
  <c r="AD30" i="22"/>
  <c r="AE34" i="19"/>
  <c r="AE36" i="18"/>
  <c r="AD38" i="18"/>
  <c r="AE33" i="20"/>
  <c r="AD31" i="19"/>
  <c r="AD29" i="19"/>
  <c r="AD33" i="20"/>
  <c r="AE33" i="21"/>
  <c r="AD37" i="21"/>
  <c r="AC38" i="18"/>
  <c r="AD30" i="20"/>
  <c r="AD32" i="22"/>
  <c r="AE30" i="17"/>
  <c r="AD32" i="19"/>
  <c r="AD32" i="17"/>
  <c r="AD34" i="22"/>
  <c r="AD31" i="18"/>
  <c r="AC29" i="18"/>
  <c r="AE31" i="20"/>
  <c r="AE31" i="22"/>
  <c r="AE35" i="20"/>
  <c r="AE33" i="18"/>
  <c r="AC35" i="21"/>
  <c r="AE31" i="18"/>
  <c r="AE37" i="20"/>
  <c r="AC32" i="22"/>
  <c r="AD30" i="17"/>
  <c r="AC32" i="17"/>
  <c r="AC34" i="17"/>
  <c r="AE29" i="21"/>
  <c r="AE31" i="17"/>
  <c r="AE33" i="17"/>
  <c r="AD35" i="18"/>
  <c r="AC37" i="20"/>
  <c r="AD37" i="17"/>
  <c r="AD36" i="21"/>
  <c r="AD34" i="17"/>
  <c r="AE34" i="18"/>
  <c r="AE34" i="22"/>
  <c r="AC30" i="19"/>
  <c r="AD36" i="20"/>
  <c r="AD35" i="21"/>
  <c r="AC35" i="22"/>
  <c r="AD31" i="17"/>
  <c r="AC31" i="20"/>
  <c r="AE33" i="22"/>
  <c r="AD29" i="21"/>
  <c r="AE37" i="18"/>
  <c r="AE37" i="17"/>
  <c r="AC32" i="19"/>
  <c r="AE36" i="22"/>
  <c r="AD38" i="17"/>
  <c r="AC36" i="20"/>
  <c r="AC30" i="17"/>
  <c r="AD32" i="20"/>
  <c r="AC30" i="21"/>
  <c r="AD33" i="17"/>
  <c r="AC31" i="22"/>
  <c r="AD31" i="20"/>
  <c r="AC29" i="22"/>
  <c r="AE35" i="19"/>
  <c r="AE33" i="19"/>
  <c r="AC31" i="21"/>
  <c r="AE35" i="18"/>
  <c r="AC36" i="19"/>
  <c r="AC34" i="20"/>
  <c r="AD34" i="20"/>
  <c r="AE32" i="19"/>
  <c r="AE30" i="18"/>
  <c r="AD35" i="22"/>
  <c r="AE31" i="21"/>
  <c r="AC35" i="19"/>
  <c r="AC29" i="19"/>
  <c r="AC31" i="17"/>
  <c r="AE29" i="20"/>
  <c r="AC34" i="21"/>
  <c r="AC36" i="22"/>
  <c r="AE38" i="18"/>
  <c r="AC32" i="18"/>
  <c r="AE32" i="21"/>
  <c r="AD29" i="17"/>
  <c r="AE35" i="17"/>
  <c r="AD31" i="21"/>
  <c r="AE29" i="19"/>
  <c r="AE31" i="19"/>
  <c r="AE32" i="18"/>
  <c r="AD36" i="19"/>
  <c r="AC32" i="20"/>
  <c r="AC34" i="19"/>
  <c r="AD29" i="22"/>
  <c r="AC33" i="19"/>
  <c r="AC29" i="17"/>
  <c r="AC33" i="18"/>
  <c r="AD29" i="18"/>
  <c r="AD35" i="17"/>
  <c r="AC33" i="20"/>
  <c r="AE37" i="22"/>
  <c r="AD37" i="18"/>
  <c r="AE36" i="21"/>
  <c r="AC36" i="21"/>
  <c r="AC34" i="18"/>
  <c r="AD30" i="21"/>
  <c r="AD32" i="21"/>
  <c r="AE38" i="17"/>
  <c r="AC31" i="18"/>
  <c r="AD33" i="21"/>
  <c r="AD36" i="22"/>
  <c r="AE36" i="19"/>
  <c r="AC38" i="17"/>
  <c r="AD35" i="20"/>
  <c r="AE35" i="21"/>
  <c r="AC29" i="21"/>
  <c r="AC33" i="22"/>
  <c r="AD30" i="18"/>
  <c r="AC34" i="22"/>
  <c r="AD34" i="21"/>
  <c r="AE34" i="17"/>
  <c r="AD33" i="19"/>
  <c r="AC29" i="20"/>
  <c r="AC33" i="21"/>
  <c r="AC37" i="19"/>
  <c r="AE30" i="20"/>
  <c r="AD36" i="17"/>
  <c r="AC36" i="18"/>
  <c r="AE35" i="22"/>
  <c r="AD33" i="22"/>
  <c r="AE29" i="17"/>
  <c r="AC37" i="21"/>
  <c r="AD37" i="20"/>
  <c r="AC37" i="18"/>
  <c r="AD34" i="19"/>
  <c r="AE32" i="22"/>
  <c r="AD30" i="19"/>
  <c r="AE30" i="19"/>
  <c r="AC35" i="17"/>
  <c r="AC35" i="18"/>
  <c r="AE29" i="18"/>
  <c r="AC33" i="17"/>
  <c r="AE37" i="19"/>
  <c r="AC37" i="17"/>
  <c r="AD36" i="18"/>
  <c r="AC30" i="18"/>
  <c r="AE30" i="21"/>
  <c r="AE34" i="21"/>
  <c r="AE29" i="22"/>
  <c r="AD33" i="18"/>
  <c r="AC38" i="19"/>
  <c r="AC38" i="21"/>
  <c r="AC38" i="22"/>
  <c r="AC38" i="20"/>
  <c r="AD24" i="22"/>
  <c r="AD26" i="22"/>
  <c r="AD20" i="22"/>
  <c r="AD26" i="20"/>
  <c r="AD26" i="18"/>
  <c r="AD20" i="20"/>
  <c r="AD20" i="21"/>
  <c r="AD22" i="18"/>
  <c r="AD23" i="21"/>
  <c r="AD19" i="22"/>
  <c r="AD19" i="19"/>
  <c r="AD21" i="20"/>
  <c r="AD21" i="22"/>
  <c r="AD21" i="17"/>
  <c r="AC28" i="19"/>
  <c r="AC28" i="20"/>
  <c r="AD28" i="19"/>
  <c r="AC57" i="20"/>
  <c r="AC52" i="20"/>
  <c r="AF17" i="21"/>
  <c r="AD38" i="19"/>
  <c r="AC55" i="22"/>
  <c r="AC60" i="22"/>
  <c r="AF47" i="17"/>
  <c r="AF47" i="21"/>
  <c r="AF47" i="19"/>
  <c r="AD24" i="21"/>
  <c r="AD24" i="20"/>
  <c r="AD20" i="19"/>
  <c r="AD22" i="20"/>
  <c r="AD28" i="17"/>
  <c r="AD22" i="19"/>
  <c r="AD23" i="22"/>
  <c r="AD23" i="17"/>
  <c r="AD25" i="21"/>
  <c r="AD23" i="20"/>
  <c r="AD21" i="21"/>
  <c r="AD19" i="18"/>
  <c r="AD19" i="21"/>
  <c r="AD21" i="18"/>
  <c r="AC28" i="21"/>
  <c r="AC57" i="18"/>
  <c r="AC52" i="18"/>
  <c r="AC52" i="19"/>
  <c r="AC57" i="19"/>
  <c r="AF47" i="22"/>
  <c r="AE38" i="20"/>
  <c r="AD24" i="17"/>
  <c r="AD26" i="21"/>
  <c r="AD22" i="21"/>
  <c r="AD20" i="17"/>
  <c r="AD28" i="18"/>
  <c r="AD26" i="19"/>
  <c r="AD23" i="18"/>
  <c r="AD23" i="19"/>
  <c r="AD25" i="18"/>
  <c r="AD19" i="17"/>
  <c r="AD21" i="19"/>
  <c r="AC28" i="22"/>
  <c r="AD28" i="21"/>
  <c r="AC52" i="22"/>
  <c r="AC57" i="22"/>
  <c r="AF17" i="20"/>
  <c r="AF17" i="19"/>
  <c r="AD38" i="20"/>
  <c r="AC60" i="21"/>
  <c r="AC55" i="21"/>
  <c r="AC60" i="18"/>
  <c r="AC55" i="18"/>
  <c r="AE38" i="22"/>
  <c r="AD60" i="21"/>
  <c r="AD60" i="18"/>
  <c r="AD55" i="20"/>
  <c r="AF33" i="8"/>
  <c r="AF105" i="8"/>
  <c r="AE63" i="6"/>
  <c r="AE28" i="22" s="1"/>
  <c r="AF63" i="8"/>
  <c r="AF48" i="22" s="1"/>
  <c r="AF43" i="8"/>
  <c r="AF77" i="8"/>
  <c r="AF97" i="8"/>
  <c r="AF101" i="8"/>
  <c r="AF63" i="5"/>
  <c r="AF53" i="5"/>
  <c r="AF18" i="21" s="1"/>
  <c r="AF107" i="8"/>
  <c r="AF123" i="8"/>
  <c r="AF121" i="8"/>
  <c r="AE53" i="6"/>
  <c r="AE28" i="21" s="1"/>
  <c r="AE33" i="6"/>
  <c r="AE43" i="6"/>
  <c r="AE28" i="20" s="1"/>
  <c r="AF23" i="8"/>
  <c r="AF48" i="18" s="1"/>
  <c r="AF53" i="8"/>
  <c r="AF48" i="21" s="1"/>
  <c r="AF117" i="8"/>
  <c r="AF103" i="8"/>
  <c r="AF111" i="8"/>
  <c r="AF109" i="8"/>
  <c r="AF115" i="8"/>
  <c r="AF33" i="5"/>
  <c r="AF18" i="19" s="1"/>
  <c r="AF13" i="8"/>
  <c r="AF48" i="17" s="1"/>
  <c r="AF113" i="8"/>
  <c r="AF99" i="8"/>
  <c r="AF119" i="8"/>
  <c r="AF95" i="8"/>
  <c r="AF23" i="5"/>
  <c r="AF43" i="5"/>
  <c r="AF18" i="20" s="1"/>
  <c r="AE48" i="17"/>
  <c r="AD28" i="22"/>
  <c r="AE18" i="20"/>
  <c r="AE57" i="20" s="1"/>
  <c r="AE48" i="20"/>
  <c r="AE55" i="20" s="1"/>
  <c r="AE18" i="22"/>
  <c r="AE52" i="22" s="1"/>
  <c r="AD28" i="20"/>
  <c r="AE21" i="20"/>
  <c r="AE19" i="19"/>
  <c r="AE21" i="21"/>
  <c r="AE19" i="22"/>
  <c r="AE25" i="19"/>
  <c r="AE19" i="21"/>
  <c r="AF39" i="19"/>
  <c r="AF45" i="21"/>
  <c r="AE25" i="20"/>
  <c r="AE25" i="22"/>
  <c r="AE23" i="19"/>
  <c r="AE21" i="19"/>
  <c r="AE23" i="21"/>
  <c r="AF43" i="19"/>
  <c r="AF39" i="22"/>
  <c r="AF45" i="18"/>
  <c r="AF45" i="17"/>
  <c r="AF43" i="17"/>
  <c r="AF43" i="18"/>
  <c r="AF43" i="21"/>
  <c r="AF11" i="20"/>
  <c r="AF11" i="19"/>
  <c r="AF15" i="22"/>
  <c r="AF15" i="20"/>
  <c r="AF9" i="21"/>
  <c r="AE25" i="18"/>
  <c r="AE25" i="17"/>
  <c r="AF45" i="19"/>
  <c r="AF45" i="22"/>
  <c r="AF45" i="20"/>
  <c r="AF41" i="21"/>
  <c r="AF39" i="18"/>
  <c r="AF39" i="17"/>
  <c r="AF13" i="22"/>
  <c r="AF13" i="19"/>
  <c r="AF11" i="21"/>
  <c r="AF9" i="20"/>
  <c r="AE23" i="18"/>
  <c r="AE23" i="17"/>
  <c r="AE25" i="21"/>
  <c r="AE21" i="18"/>
  <c r="AE21" i="17"/>
  <c r="AE23" i="22"/>
  <c r="AF41" i="22"/>
  <c r="AF43" i="20"/>
  <c r="AF39" i="21"/>
  <c r="AF41" i="18"/>
  <c r="AF41" i="17"/>
  <c r="AF13" i="18"/>
  <c r="AF13" i="17"/>
  <c r="AF11" i="22"/>
  <c r="AF15" i="21"/>
  <c r="AF9" i="19"/>
  <c r="AE19" i="17"/>
  <c r="AE19" i="18"/>
  <c r="AE19" i="20"/>
  <c r="AE21" i="22"/>
  <c r="AE23" i="20"/>
  <c r="AF41" i="19"/>
  <c r="AF39" i="20"/>
  <c r="AF43" i="22"/>
  <c r="AF44" i="22"/>
  <c r="AF41" i="20"/>
  <c r="AF9" i="22"/>
  <c r="AF11" i="18"/>
  <c r="AF11" i="17"/>
  <c r="AF13" i="20"/>
  <c r="AF9" i="18"/>
  <c r="AF9" i="17"/>
  <c r="AF13" i="21"/>
  <c r="AF15" i="19"/>
  <c r="AF15" i="17"/>
  <c r="AF15" i="18"/>
  <c r="AE22" i="20"/>
  <c r="AE20" i="19"/>
  <c r="AE22" i="21"/>
  <c r="AE28" i="18"/>
  <c r="AE28" i="17"/>
  <c r="AE20" i="22"/>
  <c r="AE26" i="19"/>
  <c r="AE20" i="21"/>
  <c r="AF40" i="19"/>
  <c r="AF46" i="21"/>
  <c r="AE26" i="20"/>
  <c r="AE26" i="22"/>
  <c r="AE24" i="19"/>
  <c r="AE22" i="19"/>
  <c r="AE24" i="21"/>
  <c r="AF44" i="19"/>
  <c r="AF40" i="22"/>
  <c r="AF46" i="18"/>
  <c r="AF46" i="17"/>
  <c r="AF44" i="18"/>
  <c r="AF44" i="17"/>
  <c r="AF44" i="21"/>
  <c r="AF12" i="20"/>
  <c r="AF12" i="19"/>
  <c r="AF16" i="22"/>
  <c r="AF16" i="20"/>
  <c r="AF10" i="21"/>
  <c r="AE52" i="18"/>
  <c r="AE52" i="21"/>
  <c r="AE57" i="21"/>
  <c r="AE60" i="19"/>
  <c r="AE55" i="19"/>
  <c r="AE26" i="18"/>
  <c r="AE26" i="17"/>
  <c r="AF46" i="19"/>
  <c r="AF46" i="22"/>
  <c r="AF46" i="20"/>
  <c r="AF42" i="21"/>
  <c r="AF40" i="18"/>
  <c r="AF40" i="17"/>
  <c r="AF14" i="22"/>
  <c r="AF14" i="19"/>
  <c r="AF12" i="21"/>
  <c r="AF10" i="20"/>
  <c r="AE57" i="18"/>
  <c r="AE60" i="21"/>
  <c r="AE55" i="21"/>
  <c r="AE24" i="18"/>
  <c r="AE24" i="17"/>
  <c r="AE26" i="21"/>
  <c r="AE22" i="18"/>
  <c r="AE22" i="17"/>
  <c r="AE24" i="22"/>
  <c r="AF42" i="22"/>
  <c r="AF44" i="20"/>
  <c r="AF40" i="21"/>
  <c r="AF42" i="18"/>
  <c r="AF42" i="17"/>
  <c r="AF14" i="18"/>
  <c r="AF14" i="17"/>
  <c r="AF18" i="17"/>
  <c r="AF18" i="18"/>
  <c r="AF12" i="22"/>
  <c r="AF16" i="21"/>
  <c r="AF10" i="19"/>
  <c r="AE52" i="19"/>
  <c r="AE57" i="19"/>
  <c r="AE20" i="18"/>
  <c r="AE20" i="17"/>
  <c r="AE20" i="20"/>
  <c r="AE22" i="22"/>
  <c r="AE24" i="20"/>
  <c r="AF42" i="19"/>
  <c r="AF40" i="20"/>
  <c r="AF42" i="20"/>
  <c r="AF10" i="22"/>
  <c r="AF12" i="18"/>
  <c r="AF12" i="17"/>
  <c r="AF14" i="20"/>
  <c r="AF10" i="17"/>
  <c r="AF10" i="18"/>
  <c r="AF17" i="18"/>
  <c r="AK17" i="18" s="1"/>
  <c r="AF14" i="21"/>
  <c r="AF16" i="19"/>
  <c r="AF16" i="18"/>
  <c r="AF16" i="17"/>
  <c r="AE60" i="18"/>
  <c r="AE55" i="18"/>
  <c r="AE55" i="22"/>
  <c r="AE60" i="22"/>
  <c r="DM77" i="5"/>
  <c r="AG77" i="5" s="1"/>
  <c r="DM9" i="5"/>
  <c r="AG9" i="5" s="1"/>
  <c r="DM107" i="5"/>
  <c r="AG107" i="5" s="1"/>
  <c r="DM75" i="5"/>
  <c r="AG75" i="5" s="1"/>
  <c r="DM7" i="5"/>
  <c r="AG7" i="5" s="1"/>
  <c r="DM105" i="5"/>
  <c r="AG105" i="5" s="1"/>
  <c r="DM29" i="5"/>
  <c r="AG29" i="5" s="1"/>
  <c r="DM37" i="5"/>
  <c r="AG37" i="5" s="1"/>
  <c r="DM41" i="5"/>
  <c r="AG41" i="5" s="1"/>
  <c r="DM47" i="5"/>
  <c r="AG47" i="5" s="1"/>
  <c r="DM93" i="5"/>
  <c r="AG93" i="5" s="1"/>
  <c r="DM123" i="5"/>
  <c r="AG123" i="5" s="1"/>
  <c r="DM85" i="5"/>
  <c r="AG85" i="5" s="1"/>
  <c r="DM23" i="5"/>
  <c r="DM19" i="5"/>
  <c r="DM33" i="5"/>
  <c r="DM17" i="5"/>
  <c r="DM113" i="5"/>
  <c r="AG113" i="5" s="1"/>
  <c r="DM25" i="5"/>
  <c r="AG25" i="5" s="1"/>
  <c r="DM65" i="5"/>
  <c r="AG65" i="5" s="1"/>
  <c r="DM39" i="5"/>
  <c r="AG39" i="5" s="1"/>
  <c r="DM117" i="5"/>
  <c r="AG117" i="5" s="1"/>
  <c r="DM115" i="5"/>
  <c r="AG115" i="5" s="1"/>
  <c r="DM73" i="5"/>
  <c r="AG73" i="5" s="1"/>
  <c r="DM63" i="5"/>
  <c r="DM21" i="5"/>
  <c r="DM71" i="5"/>
  <c r="AG71" i="5" s="1"/>
  <c r="DM79" i="5"/>
  <c r="AG79" i="5" s="1"/>
  <c r="DM5" i="5"/>
  <c r="AG5" i="5" s="1"/>
  <c r="DM95" i="5"/>
  <c r="AG95" i="5" s="1"/>
  <c r="DM43" i="5"/>
  <c r="DM45" i="5"/>
  <c r="AG45" i="5" s="1"/>
  <c r="DM35" i="5"/>
  <c r="AG35" i="5" s="1"/>
  <c r="DM87" i="5"/>
  <c r="AG87" i="5" s="1"/>
  <c r="DM61" i="5"/>
  <c r="AG61" i="5" s="1"/>
  <c r="DM99" i="5"/>
  <c r="AG99" i="5" s="1"/>
  <c r="DM53" i="5"/>
  <c r="DM111" i="5"/>
  <c r="AG111" i="5" s="1"/>
  <c r="DM49" i="5"/>
  <c r="AG49" i="5" s="1"/>
  <c r="DM67" i="5"/>
  <c r="AG67" i="5" s="1"/>
  <c r="DM57" i="5"/>
  <c r="AG57" i="5" s="1"/>
  <c r="DM103" i="5"/>
  <c r="AG103" i="5" s="1"/>
  <c r="DM81" i="5"/>
  <c r="AG81" i="5" s="1"/>
  <c r="DM11" i="5"/>
  <c r="AG11" i="5" s="1"/>
  <c r="DM109" i="5"/>
  <c r="AG109" i="5" s="1"/>
  <c r="DM27" i="5"/>
  <c r="AG27" i="5" s="1"/>
  <c r="DM13" i="5"/>
  <c r="DM69" i="5"/>
  <c r="AG69" i="5" s="1"/>
  <c r="DM119" i="5"/>
  <c r="AG119" i="5" s="1"/>
  <c r="DM97" i="5"/>
  <c r="AG97" i="5" s="1"/>
  <c r="DM101" i="5"/>
  <c r="AG101" i="5" s="1"/>
  <c r="DM91" i="5"/>
  <c r="AG91" i="5" s="1"/>
  <c r="DM31" i="5"/>
  <c r="AG31" i="5" s="1"/>
  <c r="DM89" i="5"/>
  <c r="AG89" i="5" s="1"/>
  <c r="AH3" i="5"/>
  <c r="DM55" i="5"/>
  <c r="AG55" i="5" s="1"/>
  <c r="DM15" i="5"/>
  <c r="DM83" i="5"/>
  <c r="AG83" i="5" s="1"/>
  <c r="DM51" i="5"/>
  <c r="AG51" i="5" s="1"/>
  <c r="DM121" i="5"/>
  <c r="AG121" i="5" s="1"/>
  <c r="DM59" i="5"/>
  <c r="AG59" i="5" s="1"/>
  <c r="DM97" i="8"/>
  <c r="DM103" i="8"/>
  <c r="DM121" i="8"/>
  <c r="DM117" i="8"/>
  <c r="DM119" i="8"/>
  <c r="DM99" i="8"/>
  <c r="DM101" i="8"/>
  <c r="DM95" i="8"/>
  <c r="DM115" i="8"/>
  <c r="DM123" i="8"/>
  <c r="DM91" i="8"/>
  <c r="AG91" i="8" s="1"/>
  <c r="DM107" i="8"/>
  <c r="DM111" i="8"/>
  <c r="DM21" i="8"/>
  <c r="DM71" i="8"/>
  <c r="AG71" i="8" s="1"/>
  <c r="DM69" i="8"/>
  <c r="AG69" i="8" s="1"/>
  <c r="DM61" i="8"/>
  <c r="AG61" i="8" s="1"/>
  <c r="DM57" i="8"/>
  <c r="AG57" i="8" s="1"/>
  <c r="DM59" i="8"/>
  <c r="AG59" i="8" s="1"/>
  <c r="DM9" i="8"/>
  <c r="AG9" i="8" s="1"/>
  <c r="DM7" i="8"/>
  <c r="AG7" i="8" s="1"/>
  <c r="DM11" i="8"/>
  <c r="AG11" i="8" s="1"/>
  <c r="DM79" i="8"/>
  <c r="AG79" i="8" s="1"/>
  <c r="DM37" i="8"/>
  <c r="AG37" i="8" s="1"/>
  <c r="DM87" i="8"/>
  <c r="AG87" i="8" s="1"/>
  <c r="DM105" i="8"/>
  <c r="DM17" i="8"/>
  <c r="DM45" i="8"/>
  <c r="AG45" i="8" s="1"/>
  <c r="DM51" i="8"/>
  <c r="AG51" i="8" s="1"/>
  <c r="DM39" i="8"/>
  <c r="AG39" i="8" s="1"/>
  <c r="DM85" i="8"/>
  <c r="AG85" i="8" s="1"/>
  <c r="DM113" i="8"/>
  <c r="DM19" i="8"/>
  <c r="DM53" i="8"/>
  <c r="DM47" i="8"/>
  <c r="AG47" i="8" s="1"/>
  <c r="DM49" i="8"/>
  <c r="AG49" i="8" s="1"/>
  <c r="DM35" i="8"/>
  <c r="AG35" i="8" s="1"/>
  <c r="DM41" i="8"/>
  <c r="AG41" i="8" s="1"/>
  <c r="DM43" i="8"/>
  <c r="DM93" i="8"/>
  <c r="AG93" i="8" s="1"/>
  <c r="DM89" i="8"/>
  <c r="AG89" i="8" s="1"/>
  <c r="DM109" i="8"/>
  <c r="DM23" i="8"/>
  <c r="DM15" i="8"/>
  <c r="DM67" i="8"/>
  <c r="AG67" i="8" s="1"/>
  <c r="DM13" i="8"/>
  <c r="DM83" i="8"/>
  <c r="AG83" i="8" s="1"/>
  <c r="DM25" i="8"/>
  <c r="AG25" i="8" s="1"/>
  <c r="DM63" i="8"/>
  <c r="DM5" i="8"/>
  <c r="AG5" i="8" s="1"/>
  <c r="DM77" i="8"/>
  <c r="AG77" i="8" s="1"/>
  <c r="DM73" i="8"/>
  <c r="AG73" i="8" s="1"/>
  <c r="DM65" i="8"/>
  <c r="AG65" i="8" s="1"/>
  <c r="DM55" i="8"/>
  <c r="AG55" i="8" s="1"/>
  <c r="DM33" i="8"/>
  <c r="DM27" i="8"/>
  <c r="AG27" i="8" s="1"/>
  <c r="DM75" i="8"/>
  <c r="AG75" i="8" s="1"/>
  <c r="DM81" i="8"/>
  <c r="AG81" i="8" s="1"/>
  <c r="DM31" i="8"/>
  <c r="AG31" i="8" s="1"/>
  <c r="DM29" i="8"/>
  <c r="AG29" i="8" s="1"/>
  <c r="DL57" i="6"/>
  <c r="AF57" i="6" s="1"/>
  <c r="DL49" i="6"/>
  <c r="AF49" i="6" s="1"/>
  <c r="DL59" i="6"/>
  <c r="AF59" i="6" s="1"/>
  <c r="DL51" i="6"/>
  <c r="AF51" i="6" s="1"/>
  <c r="DL61" i="6"/>
  <c r="AF61" i="6" s="1"/>
  <c r="DL53" i="6"/>
  <c r="DL45" i="6"/>
  <c r="AF45" i="6" s="1"/>
  <c r="DL37" i="6"/>
  <c r="AF37" i="6" s="1"/>
  <c r="DL55" i="6"/>
  <c r="AF55" i="6" s="1"/>
  <c r="DL35" i="6"/>
  <c r="AF35" i="6" s="1"/>
  <c r="DL27" i="6"/>
  <c r="AF27" i="6" s="1"/>
  <c r="DL19" i="6"/>
  <c r="AF19" i="6" s="1"/>
  <c r="DL11" i="6"/>
  <c r="AF11" i="6" s="1"/>
  <c r="DL47" i="6"/>
  <c r="AF47" i="6" s="1"/>
  <c r="DL39" i="6"/>
  <c r="AF39" i="6" s="1"/>
  <c r="DL29" i="6"/>
  <c r="AF29" i="6" s="1"/>
  <c r="DL21" i="6"/>
  <c r="AF21" i="6" s="1"/>
  <c r="DL63" i="6"/>
  <c r="DL41" i="6"/>
  <c r="AF41" i="6" s="1"/>
  <c r="DL31" i="6"/>
  <c r="AF31" i="6" s="1"/>
  <c r="DL23" i="6"/>
  <c r="AF23" i="6" s="1"/>
  <c r="DL15" i="6"/>
  <c r="AF15" i="6" s="1"/>
  <c r="DL33" i="6"/>
  <c r="DL17" i="6"/>
  <c r="AF17" i="6" s="1"/>
  <c r="DL13" i="6"/>
  <c r="AF13" i="6" s="1"/>
  <c r="DL43" i="6"/>
  <c r="DL5" i="6"/>
  <c r="AF5" i="6" s="1"/>
  <c r="DL25" i="6"/>
  <c r="AF25" i="6" s="1"/>
  <c r="DL9" i="6"/>
  <c r="AF9" i="6" s="1"/>
  <c r="DL7" i="6"/>
  <c r="AF7" i="6" s="1"/>
  <c r="AH3" i="8"/>
  <c r="AG3" i="7"/>
  <c r="AF32" i="18" s="1"/>
  <c r="AG3" i="6"/>
  <c r="AX9" i="18"/>
  <c r="AW39" i="18"/>
  <c r="AW9" i="18"/>
  <c r="AX39" i="18"/>
  <c r="AW45" i="18"/>
  <c r="AW15" i="18"/>
  <c r="AF106" i="7"/>
  <c r="AF106" i="8"/>
  <c r="AF104" i="8"/>
  <c r="AF108" i="8"/>
  <c r="AF56" i="6"/>
  <c r="AF18" i="6"/>
  <c r="AG74" i="5"/>
  <c r="AF20" i="7"/>
  <c r="AG54" i="8"/>
  <c r="AF8" i="6"/>
  <c r="AG60" i="8"/>
  <c r="AF28" i="7"/>
  <c r="AG68" i="5"/>
  <c r="AF28" i="6"/>
  <c r="AF54" i="6"/>
  <c r="AG30" i="5"/>
  <c r="AG40" i="5"/>
  <c r="AF14" i="6"/>
  <c r="AG58" i="8"/>
  <c r="AG8" i="8"/>
  <c r="AG10" i="5"/>
  <c r="AF4" i="7"/>
  <c r="AF44" i="7"/>
  <c r="AG56" i="8"/>
  <c r="AF40" i="7"/>
  <c r="AX15" i="18"/>
  <c r="AX45" i="18"/>
  <c r="AF110" i="8"/>
  <c r="AG104" i="5"/>
  <c r="AG106" i="5"/>
  <c r="AG24" i="8"/>
  <c r="AG8" i="5"/>
  <c r="AF34" i="7"/>
  <c r="AF10" i="7"/>
  <c r="AG40" i="8"/>
  <c r="AG60" i="5"/>
  <c r="AF16" i="7"/>
  <c r="AG38" i="8"/>
  <c r="AF60" i="6"/>
  <c r="AG28" i="5"/>
  <c r="AG4" i="5"/>
  <c r="AF38" i="7"/>
  <c r="AG48" i="5"/>
  <c r="AF18" i="7"/>
  <c r="AG36" i="8"/>
  <c r="AG34" i="8"/>
  <c r="AG46" i="5"/>
  <c r="AG44" i="8"/>
  <c r="AG34" i="5"/>
  <c r="AG38" i="5"/>
  <c r="AG44" i="5"/>
  <c r="AF36" i="6"/>
  <c r="AX47" i="18"/>
  <c r="AX41" i="18"/>
  <c r="AX17" i="18"/>
  <c r="AG108" i="5"/>
  <c r="AG110" i="5"/>
  <c r="AG48" i="8"/>
  <c r="AF34" i="6"/>
  <c r="AG26" i="5"/>
  <c r="AF4" i="6"/>
  <c r="AF10" i="6"/>
  <c r="AF40" i="6"/>
  <c r="AF36" i="7"/>
  <c r="AG58" i="5"/>
  <c r="AF6" i="6"/>
  <c r="AF54" i="7"/>
  <c r="AF30" i="7"/>
  <c r="AF38" i="6"/>
  <c r="AF48" i="7"/>
  <c r="AF16" i="6"/>
  <c r="AF50" i="7"/>
  <c r="AF30" i="6"/>
  <c r="AG50" i="5"/>
  <c r="AG54" i="5"/>
  <c r="AF58" i="7"/>
  <c r="AW17" i="18"/>
  <c r="AX11" i="18"/>
  <c r="AF108" i="7"/>
  <c r="AF104" i="7"/>
  <c r="AF110" i="7"/>
  <c r="AG66" i="5"/>
  <c r="AF24" i="7"/>
  <c r="AG56" i="5"/>
  <c r="AF60" i="7"/>
  <c r="AG70" i="5"/>
  <c r="AG46" i="8"/>
  <c r="AF20" i="6"/>
  <c r="AF46" i="7"/>
  <c r="AF50" i="6"/>
  <c r="AF26" i="7"/>
  <c r="AF48" i="6"/>
  <c r="AG6" i="5"/>
  <c r="AG28" i="8"/>
  <c r="AG26" i="8"/>
  <c r="AF46" i="6"/>
  <c r="AF24" i="6"/>
  <c r="AF14" i="7"/>
  <c r="AG6" i="8"/>
  <c r="AF26" i="6"/>
  <c r="AG24" i="5"/>
  <c r="AG4" i="8"/>
  <c r="AG10" i="8"/>
  <c r="AG64" i="5"/>
  <c r="AF8" i="7"/>
  <c r="AF58" i="6"/>
  <c r="AF56" i="7"/>
  <c r="AG50" i="8"/>
  <c r="AG36" i="5"/>
  <c r="AF6" i="7"/>
  <c r="AF44" i="6"/>
  <c r="AG30" i="8"/>
  <c r="DM115" i="6" l="1"/>
  <c r="DM105" i="6"/>
  <c r="DM113" i="6"/>
  <c r="DM117" i="6"/>
  <c r="DM121" i="6"/>
  <c r="DM107" i="6"/>
  <c r="DM109" i="6"/>
  <c r="DM73" i="6"/>
  <c r="DM119" i="6"/>
  <c r="DM75" i="6"/>
  <c r="DM83" i="6"/>
  <c r="DM123" i="6"/>
  <c r="DM111" i="6"/>
  <c r="DM65" i="6"/>
  <c r="DM79" i="6"/>
  <c r="DM81" i="6"/>
  <c r="DM85" i="6"/>
  <c r="DM87" i="6"/>
  <c r="DM77" i="6"/>
  <c r="DM95" i="6"/>
  <c r="DM101" i="6"/>
  <c r="DM93" i="6"/>
  <c r="DM89" i="6"/>
  <c r="DM71" i="6"/>
  <c r="DM69" i="6"/>
  <c r="DM91" i="6"/>
  <c r="DM67" i="6"/>
  <c r="DM97" i="6"/>
  <c r="DM99" i="6"/>
  <c r="DM103" i="6"/>
  <c r="AE57" i="22"/>
  <c r="AE52" i="20"/>
  <c r="AE60" i="20"/>
  <c r="AD53" i="21"/>
  <c r="AD58" i="21"/>
  <c r="AD53" i="22"/>
  <c r="AC58" i="21"/>
  <c r="AD53" i="20"/>
  <c r="AC58" i="22"/>
  <c r="AD58" i="22"/>
  <c r="AD58" i="19"/>
  <c r="AD58" i="18"/>
  <c r="AD53" i="18"/>
  <c r="AD53" i="19"/>
  <c r="AC53" i="21"/>
  <c r="AC53" i="22"/>
  <c r="AF31" i="18"/>
  <c r="AS31" i="18" s="1"/>
  <c r="AF36" i="22"/>
  <c r="AF32" i="22"/>
  <c r="AF35" i="21"/>
  <c r="AF33" i="22"/>
  <c r="AF30" i="17"/>
  <c r="AF38" i="17"/>
  <c r="AF37" i="20"/>
  <c r="AD59" i="22"/>
  <c r="AD54" i="22"/>
  <c r="AF29" i="19"/>
  <c r="AF36" i="20"/>
  <c r="AC59" i="22"/>
  <c r="AC54" i="22"/>
  <c r="AD59" i="21"/>
  <c r="AD54" i="21"/>
  <c r="AF37" i="21"/>
  <c r="AF34" i="20"/>
  <c r="AF31" i="21"/>
  <c r="AF29" i="22"/>
  <c r="AF35" i="22"/>
  <c r="AD59" i="20"/>
  <c r="AD54" i="20"/>
  <c r="AC53" i="19"/>
  <c r="AC58" i="19"/>
  <c r="AC53" i="20"/>
  <c r="AC58" i="20"/>
  <c r="AF27" i="19"/>
  <c r="AF27" i="20"/>
  <c r="AG17" i="17"/>
  <c r="AG17" i="22"/>
  <c r="AG17" i="21"/>
  <c r="AG17" i="19"/>
  <c r="AG17" i="20"/>
  <c r="AF37" i="19"/>
  <c r="AE54" i="18"/>
  <c r="AE59" i="18"/>
  <c r="AF33" i="17"/>
  <c r="AC59" i="21"/>
  <c r="AC54" i="21"/>
  <c r="AD59" i="18"/>
  <c r="AD54" i="18"/>
  <c r="AE54" i="20"/>
  <c r="AE59" i="20"/>
  <c r="AF33" i="19"/>
  <c r="AF32" i="19"/>
  <c r="AF36" i="21"/>
  <c r="AF34" i="18"/>
  <c r="AF27" i="18"/>
  <c r="AF27" i="22"/>
  <c r="DM105" i="7"/>
  <c r="AG105" i="7" s="1"/>
  <c r="DM111" i="7"/>
  <c r="AG111" i="7" s="1"/>
  <c r="DM109" i="7"/>
  <c r="AG109" i="7" s="1"/>
  <c r="DM107" i="7"/>
  <c r="AG107" i="7" s="1"/>
  <c r="DM113" i="7"/>
  <c r="AG113" i="7" s="1"/>
  <c r="DM67" i="7"/>
  <c r="AG67" i="7" s="1"/>
  <c r="DM93" i="7"/>
  <c r="AG93" i="7" s="1"/>
  <c r="DM17" i="7"/>
  <c r="DM65" i="7"/>
  <c r="AG65" i="7" s="1"/>
  <c r="DM85" i="7"/>
  <c r="AG85" i="7" s="1"/>
  <c r="DM91" i="7"/>
  <c r="AG91" i="7" s="1"/>
  <c r="DM15" i="7"/>
  <c r="DM89" i="7"/>
  <c r="AG89" i="7" s="1"/>
  <c r="DM69" i="7"/>
  <c r="AG69" i="7" s="1"/>
  <c r="DM71" i="7"/>
  <c r="AG71" i="7" s="1"/>
  <c r="DM73" i="7"/>
  <c r="AG73" i="7" s="1"/>
  <c r="DM119" i="7"/>
  <c r="DM117" i="7"/>
  <c r="DM33" i="7"/>
  <c r="AG33" i="7" s="1"/>
  <c r="DM51" i="7"/>
  <c r="AG51" i="7" s="1"/>
  <c r="DM103" i="7"/>
  <c r="AG103" i="7" s="1"/>
  <c r="DM19" i="7"/>
  <c r="DM21" i="7"/>
  <c r="DM115" i="7"/>
  <c r="AG115" i="7" s="1"/>
  <c r="DM31" i="7"/>
  <c r="AG31" i="7" s="1"/>
  <c r="DM29" i="7"/>
  <c r="AG29" i="7" s="1"/>
  <c r="DM49" i="7"/>
  <c r="AG49" i="7" s="1"/>
  <c r="DM99" i="7"/>
  <c r="AG99" i="7" s="1"/>
  <c r="DM87" i="7"/>
  <c r="AG87" i="7" s="1"/>
  <c r="DM123" i="7"/>
  <c r="AG123" i="7" s="1"/>
  <c r="DM27" i="7"/>
  <c r="AG27" i="7" s="1"/>
  <c r="DM47" i="7"/>
  <c r="AG47" i="7" s="1"/>
  <c r="DM45" i="7"/>
  <c r="AG45" i="7" s="1"/>
  <c r="DM23" i="7"/>
  <c r="DM53" i="7"/>
  <c r="AG53" i="7" s="1"/>
  <c r="DM95" i="7"/>
  <c r="AG95" i="7" s="1"/>
  <c r="DM77" i="7"/>
  <c r="AG77" i="7" s="1"/>
  <c r="DM79" i="7"/>
  <c r="AG79" i="7" s="1"/>
  <c r="DM81" i="7"/>
  <c r="AG81" i="7" s="1"/>
  <c r="DM43" i="7"/>
  <c r="AG43" i="7" s="1"/>
  <c r="DM11" i="7"/>
  <c r="AG11" i="7" s="1"/>
  <c r="DM57" i="7"/>
  <c r="AG57" i="7" s="1"/>
  <c r="DM121" i="7"/>
  <c r="AG121" i="7" s="1"/>
  <c r="DM101" i="7"/>
  <c r="AG101" i="7" s="1"/>
  <c r="DM41" i="7"/>
  <c r="AG41" i="7" s="1"/>
  <c r="DM9" i="7"/>
  <c r="AG9" i="7" s="1"/>
  <c r="DM75" i="7"/>
  <c r="AG75" i="7" s="1"/>
  <c r="DM55" i="7"/>
  <c r="AG55" i="7" s="1"/>
  <c r="DM97" i="7"/>
  <c r="AG97" i="7" s="1"/>
  <c r="DM35" i="7"/>
  <c r="AG35" i="7" s="1"/>
  <c r="DM13" i="7"/>
  <c r="AG13" i="7" s="1"/>
  <c r="DM25" i="7"/>
  <c r="AG25" i="7" s="1"/>
  <c r="DM83" i="7"/>
  <c r="AG83" i="7" s="1"/>
  <c r="DM39" i="7"/>
  <c r="AG39" i="7" s="1"/>
  <c r="DM37" i="7"/>
  <c r="AG37" i="7" s="1"/>
  <c r="DM7" i="7"/>
  <c r="AG7" i="7" s="1"/>
  <c r="DM5" i="7"/>
  <c r="AG5" i="7" s="1"/>
  <c r="DM61" i="7"/>
  <c r="AG61" i="7" s="1"/>
  <c r="DM59" i="7"/>
  <c r="AG59" i="7" s="1"/>
  <c r="DM63" i="7"/>
  <c r="AG63" i="7" s="1"/>
  <c r="AG119" i="7"/>
  <c r="AG117" i="7"/>
  <c r="AF35" i="20"/>
  <c r="AC59" i="20"/>
  <c r="AC54" i="20"/>
  <c r="AF34" i="22"/>
  <c r="AF34" i="21"/>
  <c r="AF30" i="19"/>
  <c r="AF35" i="19"/>
  <c r="AF31" i="22"/>
  <c r="AF32" i="17"/>
  <c r="AF36" i="18"/>
  <c r="AF36" i="17"/>
  <c r="AF37" i="17"/>
  <c r="AC54" i="18"/>
  <c r="AC59" i="18"/>
  <c r="AF38" i="18"/>
  <c r="AF34" i="19"/>
  <c r="AF31" i="17"/>
  <c r="AF29" i="20"/>
  <c r="AF38" i="19"/>
  <c r="AF38" i="22"/>
  <c r="AF38" i="20"/>
  <c r="AC58" i="18"/>
  <c r="AC53" i="18"/>
  <c r="AF27" i="17"/>
  <c r="AG47" i="19"/>
  <c r="AG47" i="20"/>
  <c r="AG47" i="22"/>
  <c r="AG47" i="21"/>
  <c r="AG47" i="17"/>
  <c r="AE59" i="22"/>
  <c r="AE54" i="22"/>
  <c r="AF32" i="21"/>
  <c r="AF37" i="22"/>
  <c r="AF29" i="17"/>
  <c r="AF36" i="19"/>
  <c r="AF32" i="20"/>
  <c r="AF33" i="18"/>
  <c r="AF29" i="21"/>
  <c r="AF33" i="21"/>
  <c r="AF30" i="21"/>
  <c r="AE59" i="19"/>
  <c r="AE54" i="19"/>
  <c r="AF37" i="18"/>
  <c r="AC54" i="19"/>
  <c r="AC59" i="19"/>
  <c r="AF31" i="20"/>
  <c r="AF30" i="20"/>
  <c r="AF30" i="18"/>
  <c r="AF29" i="18"/>
  <c r="AE54" i="21"/>
  <c r="AE59" i="21"/>
  <c r="AF33" i="20"/>
  <c r="AD59" i="19"/>
  <c r="AD54" i="19"/>
  <c r="AF35" i="17"/>
  <c r="AF34" i="17"/>
  <c r="AF35" i="18"/>
  <c r="AF31" i="19"/>
  <c r="AF30" i="22"/>
  <c r="AF38" i="21"/>
  <c r="AF27" i="21"/>
  <c r="AD58" i="20"/>
  <c r="AK47" i="18"/>
  <c r="AR47" i="18"/>
  <c r="AS47" i="18"/>
  <c r="AQ47" i="18"/>
  <c r="AP47" i="18"/>
  <c r="AV47" i="18"/>
  <c r="AL18" i="5"/>
  <c r="AL14" i="5"/>
  <c r="AL16" i="5"/>
  <c r="AL20" i="5"/>
  <c r="AF33" i="6"/>
  <c r="AG105" i="8"/>
  <c r="AG103" i="8"/>
  <c r="AG13" i="5"/>
  <c r="AG18" i="17" s="1"/>
  <c r="AF53" i="6"/>
  <c r="AF63" i="6"/>
  <c r="AG113" i="8"/>
  <c r="AG107" i="8"/>
  <c r="AG95" i="8"/>
  <c r="AG117" i="8"/>
  <c r="AG53" i="5"/>
  <c r="AG63" i="5"/>
  <c r="AG18" i="22" s="1"/>
  <c r="AG33" i="8"/>
  <c r="AG43" i="8"/>
  <c r="AG48" i="20" s="1"/>
  <c r="AG101" i="8"/>
  <c r="AG121" i="8"/>
  <c r="AG33" i="5"/>
  <c r="AG109" i="8"/>
  <c r="AG53" i="8"/>
  <c r="AG48" i="21" s="1"/>
  <c r="AG99" i="8"/>
  <c r="AG43" i="5"/>
  <c r="AG18" i="20" s="1"/>
  <c r="AG13" i="8"/>
  <c r="AG123" i="8"/>
  <c r="AF43" i="6"/>
  <c r="AG63" i="8"/>
  <c r="AG48" i="22" s="1"/>
  <c r="AG111" i="8"/>
  <c r="AG115" i="8"/>
  <c r="AG119" i="8"/>
  <c r="AG97" i="8"/>
  <c r="AL22" i="5"/>
  <c r="AE28" i="19"/>
  <c r="AE53" i="19" s="1"/>
  <c r="AF18" i="22"/>
  <c r="AF57" i="22" s="1"/>
  <c r="AF48" i="20"/>
  <c r="AF60" i="20" s="1"/>
  <c r="AF48" i="19"/>
  <c r="AF55" i="19" s="1"/>
  <c r="AF19" i="17"/>
  <c r="AF19" i="18"/>
  <c r="AF25" i="19"/>
  <c r="AF19" i="20"/>
  <c r="AF23" i="21"/>
  <c r="AF21" i="18"/>
  <c r="AF21" i="17"/>
  <c r="AF23" i="17"/>
  <c r="AF23" i="18"/>
  <c r="AF23" i="19"/>
  <c r="AF25" i="22"/>
  <c r="AF25" i="21"/>
  <c r="AG43" i="19"/>
  <c r="AG41" i="19"/>
  <c r="AG39" i="19"/>
  <c r="AG43" i="21"/>
  <c r="AG39" i="21"/>
  <c r="AG41" i="20"/>
  <c r="AG43" i="17"/>
  <c r="AG13" i="22"/>
  <c r="AG15" i="19"/>
  <c r="AG11" i="22"/>
  <c r="AG9" i="20"/>
  <c r="AG9" i="17"/>
  <c r="AG13" i="20"/>
  <c r="AG15" i="20"/>
  <c r="AG11" i="17"/>
  <c r="AF19" i="19"/>
  <c r="AF23" i="20"/>
  <c r="AF21" i="19"/>
  <c r="AF21" i="20"/>
  <c r="AF23" i="22"/>
  <c r="AG45" i="19"/>
  <c r="AG41" i="21"/>
  <c r="AG44" i="22"/>
  <c r="AG43" i="22"/>
  <c r="AG9" i="22"/>
  <c r="AG15" i="17"/>
  <c r="AG9" i="21"/>
  <c r="AG11" i="20"/>
  <c r="AF19" i="21"/>
  <c r="AG39" i="22"/>
  <c r="AG39" i="17"/>
  <c r="AG45" i="20"/>
  <c r="AG43" i="20"/>
  <c r="AG45" i="17"/>
  <c r="AG41" i="22"/>
  <c r="AG15" i="21"/>
  <c r="AG13" i="21"/>
  <c r="AG15" i="22"/>
  <c r="AG9" i="19"/>
  <c r="AG13" i="19"/>
  <c r="AF21" i="21"/>
  <c r="AF25" i="20"/>
  <c r="AF25" i="17"/>
  <c r="AF25" i="18"/>
  <c r="AF19" i="22"/>
  <c r="AF21" i="22"/>
  <c r="AG39" i="20"/>
  <c r="AG45" i="21"/>
  <c r="AG41" i="17"/>
  <c r="AG45" i="22"/>
  <c r="AG11" i="19"/>
  <c r="AG11" i="21"/>
  <c r="AG13" i="17"/>
  <c r="AF20" i="18"/>
  <c r="AX19" i="18" s="1"/>
  <c r="AF20" i="17"/>
  <c r="AF26" i="19"/>
  <c r="AF20" i="20"/>
  <c r="AF24" i="21"/>
  <c r="AF22" i="18"/>
  <c r="AF22" i="17"/>
  <c r="AF24" i="18"/>
  <c r="AF24" i="17"/>
  <c r="AF28" i="18"/>
  <c r="AF28" i="17"/>
  <c r="AF24" i="19"/>
  <c r="AF26" i="22"/>
  <c r="AF26" i="21"/>
  <c r="AG44" i="19"/>
  <c r="AG42" i="19"/>
  <c r="AG40" i="19"/>
  <c r="AG44" i="21"/>
  <c r="AG40" i="21"/>
  <c r="AG42" i="20"/>
  <c r="AG44" i="17"/>
  <c r="AG14" i="22"/>
  <c r="AG16" i="19"/>
  <c r="AG12" i="22"/>
  <c r="AG10" i="20"/>
  <c r="AG10" i="17"/>
  <c r="AG14" i="20"/>
  <c r="AG16" i="20"/>
  <c r="AG12" i="17"/>
  <c r="AS41" i="18"/>
  <c r="AQ41" i="18"/>
  <c r="AV41" i="18"/>
  <c r="AP41" i="18"/>
  <c r="AK41" i="18"/>
  <c r="AR41" i="18"/>
  <c r="AF57" i="18"/>
  <c r="AF52" i="18"/>
  <c r="AE58" i="20"/>
  <c r="AE53" i="20"/>
  <c r="AF55" i="18"/>
  <c r="AF60" i="18"/>
  <c r="AE53" i="22"/>
  <c r="AE58" i="22"/>
  <c r="AF20" i="19"/>
  <c r="AF24" i="20"/>
  <c r="AF22" i="19"/>
  <c r="AF22" i="20"/>
  <c r="AF24" i="22"/>
  <c r="AG46" i="19"/>
  <c r="AG42" i="21"/>
  <c r="AG10" i="22"/>
  <c r="AG16" i="17"/>
  <c r="AG10" i="21"/>
  <c r="AG12" i="20"/>
  <c r="AP43" i="18"/>
  <c r="AQ43" i="18"/>
  <c r="AR43" i="18"/>
  <c r="AK43" i="18"/>
  <c r="AS43" i="18"/>
  <c r="AV43" i="18"/>
  <c r="AS45" i="18"/>
  <c r="AK45" i="18"/>
  <c r="AV45" i="18"/>
  <c r="AR45" i="18"/>
  <c r="AQ45" i="18"/>
  <c r="AP45" i="18"/>
  <c r="AE53" i="18"/>
  <c r="AE58" i="18"/>
  <c r="AF60" i="22"/>
  <c r="AF55" i="22"/>
  <c r="AF20" i="21"/>
  <c r="AG40" i="22"/>
  <c r="AG40" i="17"/>
  <c r="AG46" i="20"/>
  <c r="AG44" i="20"/>
  <c r="AG46" i="17"/>
  <c r="AG42" i="22"/>
  <c r="AG16" i="21"/>
  <c r="AG14" i="21"/>
  <c r="AG16" i="22"/>
  <c r="AG10" i="19"/>
  <c r="AG14" i="19"/>
  <c r="AR15" i="18"/>
  <c r="AK15" i="18"/>
  <c r="AQ15" i="18"/>
  <c r="AP15" i="18"/>
  <c r="AV15" i="18"/>
  <c r="AS15" i="18"/>
  <c r="AR9" i="18"/>
  <c r="AQ9" i="18"/>
  <c r="AK9" i="18"/>
  <c r="AP9" i="18"/>
  <c r="AS9" i="18"/>
  <c r="AV9" i="18"/>
  <c r="AP11" i="18"/>
  <c r="AK11" i="18"/>
  <c r="AR11" i="18"/>
  <c r="AV11" i="18"/>
  <c r="AS11" i="18"/>
  <c r="AQ11" i="18"/>
  <c r="AP13" i="18"/>
  <c r="AR13" i="18"/>
  <c r="AV13" i="18"/>
  <c r="AQ13" i="18"/>
  <c r="AS13" i="18"/>
  <c r="AQ39" i="18"/>
  <c r="AV39" i="18"/>
  <c r="AP39" i="18"/>
  <c r="AR39" i="18"/>
  <c r="AS39" i="18"/>
  <c r="AK39" i="18"/>
  <c r="AF55" i="21"/>
  <c r="AF60" i="21"/>
  <c r="AE58" i="21"/>
  <c r="AE53" i="21"/>
  <c r="AF22" i="21"/>
  <c r="AF26" i="20"/>
  <c r="AF26" i="18"/>
  <c r="AF26" i="17"/>
  <c r="AF20" i="22"/>
  <c r="AF22" i="22"/>
  <c r="AG40" i="20"/>
  <c r="AG46" i="21"/>
  <c r="AG42" i="17"/>
  <c r="AG46" i="22"/>
  <c r="AG12" i="19"/>
  <c r="AG12" i="21"/>
  <c r="AG14" i="17"/>
  <c r="AR17" i="18"/>
  <c r="AQ17" i="18"/>
  <c r="AP17" i="18"/>
  <c r="AS17" i="18"/>
  <c r="AV17" i="18"/>
  <c r="AT47" i="18"/>
  <c r="AF57" i="19"/>
  <c r="AF52" i="19"/>
  <c r="AF52" i="20"/>
  <c r="AF57" i="20"/>
  <c r="AF57" i="21"/>
  <c r="AF52" i="21"/>
  <c r="DN109" i="5"/>
  <c r="AH109" i="5" s="1"/>
  <c r="DN33" i="5"/>
  <c r="DN23" i="5"/>
  <c r="DN67" i="5"/>
  <c r="AH67" i="5" s="1"/>
  <c r="DN9" i="5"/>
  <c r="AH9" i="5" s="1"/>
  <c r="DN75" i="5"/>
  <c r="AH75" i="5" s="1"/>
  <c r="DN7" i="5"/>
  <c r="AH7" i="5" s="1"/>
  <c r="DN21" i="5"/>
  <c r="DN119" i="5"/>
  <c r="AH119" i="5" s="1"/>
  <c r="DN49" i="5"/>
  <c r="AH49" i="5" s="1"/>
  <c r="DN17" i="5"/>
  <c r="DN47" i="5"/>
  <c r="AH47" i="5" s="1"/>
  <c r="DN59" i="5"/>
  <c r="AH59" i="5" s="1"/>
  <c r="DN115" i="5"/>
  <c r="AH115" i="5" s="1"/>
  <c r="DN85" i="5"/>
  <c r="DN69" i="5"/>
  <c r="AH69" i="5" s="1"/>
  <c r="DN63" i="5"/>
  <c r="DN105" i="5"/>
  <c r="AH105" i="5" s="1"/>
  <c r="DN81" i="5"/>
  <c r="AH81" i="5" s="1"/>
  <c r="DN41" i="5"/>
  <c r="AH41" i="5" s="1"/>
  <c r="DN31" i="5"/>
  <c r="AH31" i="5" s="1"/>
  <c r="DN101" i="5"/>
  <c r="AH101" i="5" s="1"/>
  <c r="DN53" i="5"/>
  <c r="DN89" i="5"/>
  <c r="AH89" i="5" s="1"/>
  <c r="DN95" i="5"/>
  <c r="AH95" i="5" s="1"/>
  <c r="DN113" i="5"/>
  <c r="AH113" i="5" s="1"/>
  <c r="DN51" i="5"/>
  <c r="AH51" i="5" s="1"/>
  <c r="DN35" i="5"/>
  <c r="AH35" i="5" s="1"/>
  <c r="DN97" i="5"/>
  <c r="AH97" i="5" s="1"/>
  <c r="DN65" i="5"/>
  <c r="AH65" i="5" s="1"/>
  <c r="DN29" i="5"/>
  <c r="AH29" i="5" s="1"/>
  <c r="DN99" i="5"/>
  <c r="AH99" i="5" s="1"/>
  <c r="DN103" i="5"/>
  <c r="AH103" i="5" s="1"/>
  <c r="DN43" i="5"/>
  <c r="DN87" i="5"/>
  <c r="AH87" i="5" s="1"/>
  <c r="DN83" i="5"/>
  <c r="AH83" i="5" s="1"/>
  <c r="DN11" i="5"/>
  <c r="AH11" i="5" s="1"/>
  <c r="DN111" i="5"/>
  <c r="AH111" i="5" s="1"/>
  <c r="DN25" i="5"/>
  <c r="AH25" i="5" s="1"/>
  <c r="DN61" i="5"/>
  <c r="AH61" i="5" s="1"/>
  <c r="DN39" i="5"/>
  <c r="AH39" i="5" s="1"/>
  <c r="DN93" i="5"/>
  <c r="AH93" i="5" s="1"/>
  <c r="DN79" i="5"/>
  <c r="AH79" i="5" s="1"/>
  <c r="DN45" i="5"/>
  <c r="AH45" i="5" s="1"/>
  <c r="AI3" i="5"/>
  <c r="AH17" i="19" s="1"/>
  <c r="DN107" i="5"/>
  <c r="AH107" i="5" s="1"/>
  <c r="DN77" i="5"/>
  <c r="AH77" i="5" s="1"/>
  <c r="DN37" i="5"/>
  <c r="AH37" i="5" s="1"/>
  <c r="DN73" i="5"/>
  <c r="AH73" i="5" s="1"/>
  <c r="DN57" i="5"/>
  <c r="AH57" i="5" s="1"/>
  <c r="DN71" i="5"/>
  <c r="AH71" i="5" s="1"/>
  <c r="DN55" i="5"/>
  <c r="AH55" i="5" s="1"/>
  <c r="DN15" i="5"/>
  <c r="DN19" i="5"/>
  <c r="DN5" i="5"/>
  <c r="AH5" i="5" s="1"/>
  <c r="DN13" i="5"/>
  <c r="DN121" i="5"/>
  <c r="AH121" i="5" s="1"/>
  <c r="DN27" i="5"/>
  <c r="AH27" i="5" s="1"/>
  <c r="DN123" i="5"/>
  <c r="AH123" i="5" s="1"/>
  <c r="DN91" i="5"/>
  <c r="AH91" i="5" s="1"/>
  <c r="DN117" i="5"/>
  <c r="AH117" i="5" s="1"/>
  <c r="DN99" i="8"/>
  <c r="DN95" i="8"/>
  <c r="DN115" i="8"/>
  <c r="DN123" i="8"/>
  <c r="DN119" i="8"/>
  <c r="DN121" i="8"/>
  <c r="DN97" i="8"/>
  <c r="DN101" i="8"/>
  <c r="DN103" i="8"/>
  <c r="DN117" i="8"/>
  <c r="DN53" i="8"/>
  <c r="DN45" i="8"/>
  <c r="AH45" i="8" s="1"/>
  <c r="DN41" i="8"/>
  <c r="AH41" i="8" s="1"/>
  <c r="DN93" i="8"/>
  <c r="AH93" i="8" s="1"/>
  <c r="DN109" i="8"/>
  <c r="DN23" i="8"/>
  <c r="DN21" i="8"/>
  <c r="DN73" i="8"/>
  <c r="AH73" i="8" s="1"/>
  <c r="DN71" i="8"/>
  <c r="AH71" i="8" s="1"/>
  <c r="DN63" i="8"/>
  <c r="DN11" i="8"/>
  <c r="AH11" i="8" s="1"/>
  <c r="DN9" i="8"/>
  <c r="AH9" i="8" s="1"/>
  <c r="DN13" i="8"/>
  <c r="DN81" i="8"/>
  <c r="AH81" i="8" s="1"/>
  <c r="DN49" i="8"/>
  <c r="AH49" i="8" s="1"/>
  <c r="DN51" i="8"/>
  <c r="AH51" i="8" s="1"/>
  <c r="DN39" i="8"/>
  <c r="AH39" i="8" s="1"/>
  <c r="DN37" i="8"/>
  <c r="AH37" i="8" s="1"/>
  <c r="DN43" i="8"/>
  <c r="DN89" i="8"/>
  <c r="AH89" i="8" s="1"/>
  <c r="DN91" i="8"/>
  <c r="AH91" i="8" s="1"/>
  <c r="DN107" i="8"/>
  <c r="DN105" i="8"/>
  <c r="DN19" i="8"/>
  <c r="DN47" i="8"/>
  <c r="AH47" i="8" s="1"/>
  <c r="DN35" i="8"/>
  <c r="AH35" i="8" s="1"/>
  <c r="DN87" i="8"/>
  <c r="AH87" i="8" s="1"/>
  <c r="DN17" i="8"/>
  <c r="DN85" i="8"/>
  <c r="AH85" i="8" s="1"/>
  <c r="DN111" i="8"/>
  <c r="DN113" i="8"/>
  <c r="DN15" i="8"/>
  <c r="DN65" i="8"/>
  <c r="AH65" i="8" s="1"/>
  <c r="DN69" i="8"/>
  <c r="AH69" i="8" s="1"/>
  <c r="DN55" i="8"/>
  <c r="AH55" i="8" s="1"/>
  <c r="DN57" i="8"/>
  <c r="AH57" i="8" s="1"/>
  <c r="DN5" i="8"/>
  <c r="AH5" i="8" s="1"/>
  <c r="DN83" i="8"/>
  <c r="AH83" i="8" s="1"/>
  <c r="DN27" i="8"/>
  <c r="AH27" i="8" s="1"/>
  <c r="DN7" i="8"/>
  <c r="AH7" i="8" s="1"/>
  <c r="DN75" i="8"/>
  <c r="AH75" i="8" s="1"/>
  <c r="DN31" i="8"/>
  <c r="AH31" i="8" s="1"/>
  <c r="DN59" i="8"/>
  <c r="AH59" i="8" s="1"/>
  <c r="DN25" i="8"/>
  <c r="AH25" i="8" s="1"/>
  <c r="DN77" i="8"/>
  <c r="AH77" i="8" s="1"/>
  <c r="DN33" i="8"/>
  <c r="DN29" i="8"/>
  <c r="AH29" i="8" s="1"/>
  <c r="DN67" i="8"/>
  <c r="AH67" i="8" s="1"/>
  <c r="DN61" i="8"/>
  <c r="AH61" i="8" s="1"/>
  <c r="DN79" i="8"/>
  <c r="AH79" i="8" s="1"/>
  <c r="DM59" i="6"/>
  <c r="AG59" i="6" s="1"/>
  <c r="DM51" i="6"/>
  <c r="AG51" i="6" s="1"/>
  <c r="DM61" i="6"/>
  <c r="AG61" i="6" s="1"/>
  <c r="DM53" i="6"/>
  <c r="DM63" i="6"/>
  <c r="DM55" i="6"/>
  <c r="AG55" i="6" s="1"/>
  <c r="DM47" i="6"/>
  <c r="AG47" i="6" s="1"/>
  <c r="DM39" i="6"/>
  <c r="AG39" i="6" s="1"/>
  <c r="DM57" i="6"/>
  <c r="AG57" i="6" s="1"/>
  <c r="DM29" i="6"/>
  <c r="AG29" i="6" s="1"/>
  <c r="DM21" i="6"/>
  <c r="DM13" i="6"/>
  <c r="DM41" i="6"/>
  <c r="AG41" i="6" s="1"/>
  <c r="DM37" i="6"/>
  <c r="AG37" i="6" s="1"/>
  <c r="DM31" i="6"/>
  <c r="AG31" i="6" s="1"/>
  <c r="DM23" i="6"/>
  <c r="DM15" i="6"/>
  <c r="DM49" i="6"/>
  <c r="AG49" i="6" s="1"/>
  <c r="DM43" i="6"/>
  <c r="DM33" i="6"/>
  <c r="DM25" i="6"/>
  <c r="AG25" i="6" s="1"/>
  <c r="DM17" i="6"/>
  <c r="DM9" i="6"/>
  <c r="AG9" i="6" s="1"/>
  <c r="DM35" i="6"/>
  <c r="AG35" i="6" s="1"/>
  <c r="DM19" i="6"/>
  <c r="DM11" i="6"/>
  <c r="AG11" i="6" s="1"/>
  <c r="DM5" i="6"/>
  <c r="AG5" i="6" s="1"/>
  <c r="DM7" i="6"/>
  <c r="AG7" i="6" s="1"/>
  <c r="DM45" i="6"/>
  <c r="AG45" i="6" s="1"/>
  <c r="DM27" i="6"/>
  <c r="AG27" i="6" s="1"/>
  <c r="AI3" i="8"/>
  <c r="AH3" i="7"/>
  <c r="AH3" i="6"/>
  <c r="AX29" i="18"/>
  <c r="AW21" i="18"/>
  <c r="AW43" i="18"/>
  <c r="AW13" i="18"/>
  <c r="AG104" i="8"/>
  <c r="AH46" i="8"/>
  <c r="AG56" i="6"/>
  <c r="AH28" i="5"/>
  <c r="AH36" i="5"/>
  <c r="AG54" i="7"/>
  <c r="AG48" i="6"/>
  <c r="AH40" i="5"/>
  <c r="AH44" i="8"/>
  <c r="AG58" i="6"/>
  <c r="AH58" i="8"/>
  <c r="AH10" i="8"/>
  <c r="AG4" i="7"/>
  <c r="AH40" i="8"/>
  <c r="AG28" i="7"/>
  <c r="AH34" i="5"/>
  <c r="AH28" i="8"/>
  <c r="AX27" i="18"/>
  <c r="AW11" i="18"/>
  <c r="AX35" i="18"/>
  <c r="AW37" i="18"/>
  <c r="AG106" i="8"/>
  <c r="AH106" i="5"/>
  <c r="AG110" i="8"/>
  <c r="AH36" i="8"/>
  <c r="AG36" i="6"/>
  <c r="AH54" i="5"/>
  <c r="AH66" i="5"/>
  <c r="AH46" i="5"/>
  <c r="AH4" i="8"/>
  <c r="AG48" i="7"/>
  <c r="AG6" i="6"/>
  <c r="AG8" i="6"/>
  <c r="AH6" i="5"/>
  <c r="AG58" i="7"/>
  <c r="AG46" i="6"/>
  <c r="AG26" i="7"/>
  <c r="AW47" i="18"/>
  <c r="AX25" i="18"/>
  <c r="AX31" i="18"/>
  <c r="AX43" i="18"/>
  <c r="AW25" i="18"/>
  <c r="AH108" i="5"/>
  <c r="AG106" i="7"/>
  <c r="AG104" i="7"/>
  <c r="AG26" i="6"/>
  <c r="AG24" i="6"/>
  <c r="AH24" i="8"/>
  <c r="AG40" i="6"/>
  <c r="AG50" i="7"/>
  <c r="AH58" i="5"/>
  <c r="AH60" i="5"/>
  <c r="AH4" i="5"/>
  <c r="AH30" i="5"/>
  <c r="AH50" i="8"/>
  <c r="AG8" i="7"/>
  <c r="AG24" i="7"/>
  <c r="AH38" i="5"/>
  <c r="AH48" i="8"/>
  <c r="AG56" i="7"/>
  <c r="AG6" i="7"/>
  <c r="AG60" i="6"/>
  <c r="AG10" i="7"/>
  <c r="AW31" i="18"/>
  <c r="AX13" i="18"/>
  <c r="AX21" i="18"/>
  <c r="AW27" i="18"/>
  <c r="AW35" i="18"/>
  <c r="AG108" i="7"/>
  <c r="AH104" i="5"/>
  <c r="AG108" i="8"/>
  <c r="AH64" i="5"/>
  <c r="AG44" i="7"/>
  <c r="AG54" i="6"/>
  <c r="AG60" i="7"/>
  <c r="AG30" i="7"/>
  <c r="AH26" i="5"/>
  <c r="AH60" i="8"/>
  <c r="AG38" i="6"/>
  <c r="AH74" i="5"/>
  <c r="AG4" i="6"/>
  <c r="AG34" i="6"/>
  <c r="AH56" i="5"/>
  <c r="AG28" i="6"/>
  <c r="AG40" i="7"/>
  <c r="AG44" i="6"/>
  <c r="AH8" i="8"/>
  <c r="AH34" i="8"/>
  <c r="AG46" i="7"/>
  <c r="AH8" i="5"/>
  <c r="AH50" i="5"/>
  <c r="AH10" i="5"/>
  <c r="AH54" i="8"/>
  <c r="AX37" i="18"/>
  <c r="AW41" i="18"/>
  <c r="AG110" i="7"/>
  <c r="AH110" i="5"/>
  <c r="AG38" i="7"/>
  <c r="AG10" i="6"/>
  <c r="AH56" i="8"/>
  <c r="AH30" i="8"/>
  <c r="AH44" i="5"/>
  <c r="AH70" i="5"/>
  <c r="AG36" i="7"/>
  <c r="AG34" i="7"/>
  <c r="AG50" i="6"/>
  <c r="AH6" i="8"/>
  <c r="AH24" i="5"/>
  <c r="AH26" i="8"/>
  <c r="AG30" i="6"/>
  <c r="AH68" i="5"/>
  <c r="AH48" i="5"/>
  <c r="AH38" i="8"/>
  <c r="DN115" i="6" l="1"/>
  <c r="DN117" i="6"/>
  <c r="DN121" i="6"/>
  <c r="DN111" i="6"/>
  <c r="DN123" i="6"/>
  <c r="DN109" i="6"/>
  <c r="DN75" i="6"/>
  <c r="DN107" i="6"/>
  <c r="DN67" i="6"/>
  <c r="DN71" i="6"/>
  <c r="DN95" i="6"/>
  <c r="DN97" i="6"/>
  <c r="DN105" i="6"/>
  <c r="DN113" i="6"/>
  <c r="AL112" i="6" s="1"/>
  <c r="AN112" i="6" s="1"/>
  <c r="DN65" i="6"/>
  <c r="DN69" i="6"/>
  <c r="DN79" i="6"/>
  <c r="DN81" i="6"/>
  <c r="DN83" i="6"/>
  <c r="DN103" i="6"/>
  <c r="DN87" i="6"/>
  <c r="DN89" i="6"/>
  <c r="DN101" i="6"/>
  <c r="DN73" i="6"/>
  <c r="DN93" i="6"/>
  <c r="AL92" i="6" s="1"/>
  <c r="AN92" i="6" s="1"/>
  <c r="DN91" i="6"/>
  <c r="DN119" i="6"/>
  <c r="DN77" i="6"/>
  <c r="DN99" i="6"/>
  <c r="DN85" i="6"/>
  <c r="AW19" i="18"/>
  <c r="AU47" i="18"/>
  <c r="AE58" i="19"/>
  <c r="AS33" i="18"/>
  <c r="AF52" i="22"/>
  <c r="AS37" i="18"/>
  <c r="AV31" i="18"/>
  <c r="AR31" i="18"/>
  <c r="AT31" i="18" s="1"/>
  <c r="AP31" i="18"/>
  <c r="AK31" i="18"/>
  <c r="AK35" i="18"/>
  <c r="AQ31" i="18"/>
  <c r="AR33" i="18"/>
  <c r="DN107" i="7"/>
  <c r="AH107" i="7" s="1"/>
  <c r="DN113" i="7"/>
  <c r="AH113" i="7" s="1"/>
  <c r="DN111" i="7"/>
  <c r="AH111" i="7" s="1"/>
  <c r="DN109" i="7"/>
  <c r="AH109" i="7" s="1"/>
  <c r="DN105" i="7"/>
  <c r="AH105" i="7" s="1"/>
  <c r="DN65" i="7"/>
  <c r="AH65" i="7" s="1"/>
  <c r="DN91" i="7"/>
  <c r="DN71" i="7"/>
  <c r="AH71" i="7" s="1"/>
  <c r="DN67" i="7"/>
  <c r="AH67" i="7" s="1"/>
  <c r="DN69" i="7"/>
  <c r="AH69" i="7" s="1"/>
  <c r="DN23" i="7"/>
  <c r="DN89" i="7"/>
  <c r="DN15" i="7"/>
  <c r="DN85" i="7"/>
  <c r="DN93" i="7"/>
  <c r="AH93" i="7" s="1"/>
  <c r="DN73" i="7"/>
  <c r="AH73" i="7" s="1"/>
  <c r="DN87" i="7"/>
  <c r="AH87" i="7" s="1"/>
  <c r="DN121" i="7"/>
  <c r="AH121" i="7" s="1"/>
  <c r="DN119" i="7"/>
  <c r="AH119" i="7" s="1"/>
  <c r="DN25" i="7"/>
  <c r="AH25" i="7" s="1"/>
  <c r="DN53" i="7"/>
  <c r="AH53" i="7" s="1"/>
  <c r="DN21" i="7"/>
  <c r="DN17" i="7"/>
  <c r="DN117" i="7"/>
  <c r="AH117" i="7" s="1"/>
  <c r="DN33" i="7"/>
  <c r="AH33" i="7" s="1"/>
  <c r="DN31" i="7"/>
  <c r="AH31" i="7" s="1"/>
  <c r="DN51" i="7"/>
  <c r="AH51" i="7" s="1"/>
  <c r="DN19" i="7"/>
  <c r="DN115" i="7"/>
  <c r="AH115" i="7" s="1"/>
  <c r="DN29" i="7"/>
  <c r="AH29" i="7" s="1"/>
  <c r="DN49" i="7"/>
  <c r="AH49" i="7" s="1"/>
  <c r="DN47" i="7"/>
  <c r="AH47" i="7" s="1"/>
  <c r="DN27" i="7"/>
  <c r="AH27" i="7" s="1"/>
  <c r="DN101" i="7"/>
  <c r="AH101" i="7" s="1"/>
  <c r="DN45" i="7"/>
  <c r="AH45" i="7" s="1"/>
  <c r="DN99" i="7"/>
  <c r="AH99" i="7" s="1"/>
  <c r="DN79" i="7"/>
  <c r="AH79" i="7" s="1"/>
  <c r="DN77" i="7"/>
  <c r="AH77" i="7" s="1"/>
  <c r="DN35" i="7"/>
  <c r="AH35" i="7" s="1"/>
  <c r="DN13" i="7"/>
  <c r="AH13" i="7" s="1"/>
  <c r="DN57" i="7"/>
  <c r="AH57" i="7" s="1"/>
  <c r="DN97" i="7"/>
  <c r="AH97" i="7" s="1"/>
  <c r="DN103" i="7"/>
  <c r="AH103" i="7" s="1"/>
  <c r="DN95" i="7"/>
  <c r="AH95" i="7" s="1"/>
  <c r="DN43" i="7"/>
  <c r="AH43" i="7" s="1"/>
  <c r="DN11" i="7"/>
  <c r="AH11" i="7" s="1"/>
  <c r="DN81" i="7"/>
  <c r="AH81" i="7" s="1"/>
  <c r="DN63" i="7"/>
  <c r="AH63" i="7" s="1"/>
  <c r="DN123" i="7"/>
  <c r="DN41" i="7"/>
  <c r="AH41" i="7" s="1"/>
  <c r="DN37" i="7"/>
  <c r="AH37" i="7" s="1"/>
  <c r="DN39" i="7"/>
  <c r="AH39" i="7" s="1"/>
  <c r="DN9" i="7"/>
  <c r="AH9" i="7" s="1"/>
  <c r="DN5" i="7"/>
  <c r="AH5" i="7" s="1"/>
  <c r="DN7" i="7"/>
  <c r="AH7" i="7" s="1"/>
  <c r="DN61" i="7"/>
  <c r="AH61" i="7" s="1"/>
  <c r="DN83" i="7"/>
  <c r="AH83" i="7" s="1"/>
  <c r="DN75" i="7"/>
  <c r="AH75" i="7" s="1"/>
  <c r="DN59" i="7"/>
  <c r="AH59" i="7" s="1"/>
  <c r="DN55" i="7"/>
  <c r="AH55" i="7" s="1"/>
  <c r="AH123" i="7"/>
  <c r="AH85" i="7"/>
  <c r="AH91" i="7"/>
  <c r="AH89" i="7"/>
  <c r="AG30" i="20"/>
  <c r="AG34" i="20"/>
  <c r="AG37" i="21"/>
  <c r="AG31" i="22"/>
  <c r="AG36" i="20"/>
  <c r="AG30" i="22"/>
  <c r="AG33" i="19"/>
  <c r="AG31" i="20"/>
  <c r="AG35" i="22"/>
  <c r="AG29" i="22"/>
  <c r="AG36" i="19"/>
  <c r="AG35" i="21"/>
  <c r="AG34" i="21"/>
  <c r="AG35" i="17"/>
  <c r="AG32" i="22"/>
  <c r="AG29" i="19"/>
  <c r="AG32" i="20"/>
  <c r="AG33" i="21"/>
  <c r="AG29" i="20"/>
  <c r="AG37" i="22"/>
  <c r="AG29" i="17"/>
  <c r="AG37" i="17"/>
  <c r="AG31" i="19"/>
  <c r="AG34" i="22"/>
  <c r="AG30" i="21"/>
  <c r="AG36" i="17"/>
  <c r="AG33" i="17"/>
  <c r="AG37" i="20"/>
  <c r="AG36" i="21"/>
  <c r="AG35" i="19"/>
  <c r="AG31" i="21"/>
  <c r="AG31" i="17"/>
  <c r="AG33" i="22"/>
  <c r="AG30" i="19"/>
  <c r="AG34" i="17"/>
  <c r="AG32" i="21"/>
  <c r="AG30" i="17"/>
  <c r="AG36" i="22"/>
  <c r="AG34" i="19"/>
  <c r="AG29" i="21"/>
  <c r="AG32" i="19"/>
  <c r="AG35" i="20"/>
  <c r="AG33" i="20"/>
  <c r="AG32" i="17"/>
  <c r="AG37" i="19"/>
  <c r="AF54" i="18"/>
  <c r="AF59" i="18"/>
  <c r="AR37" i="18"/>
  <c r="AQ35" i="18"/>
  <c r="AH47" i="21"/>
  <c r="AI47" i="21"/>
  <c r="AK29" i="18"/>
  <c r="AL14" i="7"/>
  <c r="AL16" i="7"/>
  <c r="AH17" i="22"/>
  <c r="AK17" i="22" s="1"/>
  <c r="AH17" i="21"/>
  <c r="AV33" i="18"/>
  <c r="AQ33" i="18"/>
  <c r="AF54" i="21"/>
  <c r="AF59" i="21"/>
  <c r="AP37" i="18"/>
  <c r="AP35" i="18"/>
  <c r="AH47" i="20"/>
  <c r="AH47" i="17"/>
  <c r="AH47" i="22"/>
  <c r="AV29" i="18"/>
  <c r="AG38" i="19"/>
  <c r="AG38" i="17"/>
  <c r="AL20" i="7"/>
  <c r="AI17" i="17"/>
  <c r="AH17" i="17"/>
  <c r="AF59" i="22"/>
  <c r="AF54" i="22"/>
  <c r="AF59" i="19"/>
  <c r="AF54" i="19"/>
  <c r="AK33" i="18"/>
  <c r="AP33" i="18"/>
  <c r="AV37" i="18"/>
  <c r="AS35" i="18"/>
  <c r="AH47" i="19"/>
  <c r="AI47" i="19"/>
  <c r="AF59" i="20"/>
  <c r="AF54" i="20"/>
  <c r="AR29" i="18"/>
  <c r="AP29" i="18"/>
  <c r="AR35" i="18"/>
  <c r="AV35" i="18"/>
  <c r="AG38" i="20"/>
  <c r="AG38" i="22"/>
  <c r="AL22" i="7"/>
  <c r="AL18" i="7"/>
  <c r="AH17" i="20"/>
  <c r="AK17" i="20" s="1"/>
  <c r="AI17" i="21"/>
  <c r="AG27" i="20"/>
  <c r="AG27" i="19"/>
  <c r="AG27" i="22"/>
  <c r="AG27" i="21"/>
  <c r="AG27" i="17"/>
  <c r="AQ37" i="18"/>
  <c r="AI47" i="17"/>
  <c r="AQ29" i="18"/>
  <c r="AS29" i="18"/>
  <c r="AG38" i="21"/>
  <c r="AI17" i="19"/>
  <c r="AK17" i="19" s="1"/>
  <c r="AF55" i="20"/>
  <c r="AG43" i="6"/>
  <c r="AG13" i="6"/>
  <c r="AG28" i="17" s="1"/>
  <c r="AH117" i="8"/>
  <c r="AH113" i="8"/>
  <c r="AH43" i="8"/>
  <c r="AH103" i="8"/>
  <c r="AH53" i="5"/>
  <c r="AH85" i="5"/>
  <c r="AH63" i="8"/>
  <c r="AH101" i="8"/>
  <c r="AG33" i="6"/>
  <c r="AG28" i="19" s="1"/>
  <c r="AH13" i="8"/>
  <c r="AH48" i="17" s="1"/>
  <c r="AH109" i="8"/>
  <c r="AH53" i="8"/>
  <c r="AH48" i="21" s="1"/>
  <c r="AH97" i="8"/>
  <c r="AH115" i="8"/>
  <c r="AH63" i="5"/>
  <c r="AH18" i="22" s="1"/>
  <c r="AH121" i="8"/>
  <c r="AH13" i="5"/>
  <c r="AH18" i="17" s="1"/>
  <c r="AH105" i="8"/>
  <c r="AH119" i="8"/>
  <c r="AG53" i="6"/>
  <c r="AG28" i="21" s="1"/>
  <c r="AH95" i="8"/>
  <c r="AG63" i="6"/>
  <c r="AG28" i="22" s="1"/>
  <c r="AH99" i="8"/>
  <c r="AH33" i="8"/>
  <c r="AH48" i="19" s="1"/>
  <c r="AH111" i="8"/>
  <c r="AH107" i="8"/>
  <c r="AH123" i="8"/>
  <c r="AH43" i="5"/>
  <c r="AH18" i="20" s="1"/>
  <c r="AH33" i="5"/>
  <c r="AH18" i="19" s="1"/>
  <c r="AF60" i="19"/>
  <c r="AF28" i="20"/>
  <c r="AF53" i="20" s="1"/>
  <c r="AG48" i="17"/>
  <c r="AG18" i="19"/>
  <c r="AG57" i="19" s="1"/>
  <c r="AG48" i="19"/>
  <c r="AG55" i="19" s="1"/>
  <c r="AG18" i="21"/>
  <c r="AG52" i="21" s="1"/>
  <c r="AF28" i="22"/>
  <c r="AF58" i="22" s="1"/>
  <c r="AF28" i="21"/>
  <c r="AF53" i="21" s="1"/>
  <c r="AF28" i="19"/>
  <c r="AF58" i="19" s="1"/>
  <c r="AT11" i="18"/>
  <c r="AU11" i="18" s="1"/>
  <c r="AT13" i="18"/>
  <c r="AU13" i="18" s="1"/>
  <c r="AT45" i="18"/>
  <c r="AU45" i="18" s="1"/>
  <c r="AT43" i="18"/>
  <c r="AU43" i="18" s="1"/>
  <c r="AG23" i="19"/>
  <c r="AG25" i="17"/>
  <c r="AG25" i="20"/>
  <c r="AG21" i="21"/>
  <c r="AG23" i="22"/>
  <c r="AG19" i="21"/>
  <c r="AG23" i="17"/>
  <c r="AG19" i="22"/>
  <c r="AH39" i="19"/>
  <c r="AH41" i="17"/>
  <c r="AH41" i="22"/>
  <c r="AH45" i="21"/>
  <c r="AH43" i="17"/>
  <c r="AH13" i="20"/>
  <c r="AH15" i="17"/>
  <c r="AH15" i="19"/>
  <c r="AH13" i="22"/>
  <c r="AH13" i="17"/>
  <c r="AG19" i="17"/>
  <c r="AG21" i="17"/>
  <c r="AG19" i="20"/>
  <c r="AG23" i="21"/>
  <c r="AG25" i="19"/>
  <c r="AG25" i="22"/>
  <c r="AH43" i="19"/>
  <c r="AH43" i="22"/>
  <c r="AH44" i="22"/>
  <c r="AH41" i="19"/>
  <c r="AH39" i="22"/>
  <c r="AH43" i="21"/>
  <c r="AH45" i="17"/>
  <c r="AH45" i="20"/>
  <c r="AH9" i="22"/>
  <c r="AH11" i="20"/>
  <c r="AH9" i="21"/>
  <c r="AH15" i="22"/>
  <c r="AH9" i="20"/>
  <c r="AH15" i="20"/>
  <c r="AH11" i="21"/>
  <c r="AG19" i="19"/>
  <c r="AG23" i="20"/>
  <c r="AG25" i="21"/>
  <c r="AH45" i="19"/>
  <c r="AH39" i="20"/>
  <c r="AH41" i="20"/>
  <c r="AH39" i="21"/>
  <c r="AH9" i="17"/>
  <c r="AH9" i="19"/>
  <c r="AH13" i="19"/>
  <c r="AH15" i="21"/>
  <c r="AH11" i="17"/>
  <c r="AG21" i="20"/>
  <c r="AG21" i="19"/>
  <c r="AG21" i="22"/>
  <c r="AH45" i="22"/>
  <c r="AH39" i="17"/>
  <c r="AH41" i="21"/>
  <c r="AH43" i="20"/>
  <c r="AH11" i="19"/>
  <c r="AH11" i="22"/>
  <c r="AH13" i="21"/>
  <c r="AG24" i="19"/>
  <c r="AG26" i="17"/>
  <c r="AG26" i="20"/>
  <c r="AG22" i="21"/>
  <c r="AG24" i="22"/>
  <c r="AG20" i="21"/>
  <c r="AG24" i="17"/>
  <c r="AG20" i="22"/>
  <c r="AH40" i="19"/>
  <c r="AH42" i="17"/>
  <c r="AH42" i="22"/>
  <c r="AH46" i="21"/>
  <c r="AH44" i="17"/>
  <c r="AH14" i="20"/>
  <c r="AH16" i="17"/>
  <c r="AH16" i="19"/>
  <c r="AH14" i="22"/>
  <c r="AH14" i="17"/>
  <c r="AP25" i="18"/>
  <c r="AQ25" i="18"/>
  <c r="AV25" i="18"/>
  <c r="AK25" i="18"/>
  <c r="AR25" i="18"/>
  <c r="AS25" i="18"/>
  <c r="AT41" i="18"/>
  <c r="AU41" i="18" s="1"/>
  <c r="AG20" i="17"/>
  <c r="AG22" i="17"/>
  <c r="AG20" i="20"/>
  <c r="AG24" i="21"/>
  <c r="AG26" i="19"/>
  <c r="AG26" i="22"/>
  <c r="AH44" i="19"/>
  <c r="AH42" i="19"/>
  <c r="AH40" i="22"/>
  <c r="AH44" i="21"/>
  <c r="AH46" i="17"/>
  <c r="AH46" i="20"/>
  <c r="AH10" i="22"/>
  <c r="AH12" i="20"/>
  <c r="AH10" i="21"/>
  <c r="AH16" i="22"/>
  <c r="AH10" i="20"/>
  <c r="AH16" i="20"/>
  <c r="AH12" i="21"/>
  <c r="AT17" i="18"/>
  <c r="AU17" i="18" s="1"/>
  <c r="AT9" i="18"/>
  <c r="AU9" i="18" s="1"/>
  <c r="AP27" i="18"/>
  <c r="AQ27" i="18"/>
  <c r="AV27" i="18"/>
  <c r="AR27" i="18"/>
  <c r="AK27" i="18"/>
  <c r="AS27" i="18"/>
  <c r="AR21" i="18"/>
  <c r="AV21" i="18"/>
  <c r="AP21" i="18"/>
  <c r="AS21" i="18"/>
  <c r="AQ21" i="18"/>
  <c r="AK21" i="18"/>
  <c r="AG55" i="20"/>
  <c r="AG60" i="20"/>
  <c r="AG52" i="20"/>
  <c r="AG57" i="20"/>
  <c r="AG20" i="19"/>
  <c r="AG24" i="20"/>
  <c r="AG26" i="21"/>
  <c r="AH46" i="19"/>
  <c r="AH40" i="20"/>
  <c r="AH42" i="20"/>
  <c r="AH40" i="21"/>
  <c r="AH10" i="17"/>
  <c r="AH10" i="19"/>
  <c r="AH14" i="19"/>
  <c r="AH16" i="21"/>
  <c r="AH12" i="17"/>
  <c r="AS19" i="18"/>
  <c r="AR19" i="18"/>
  <c r="AP19" i="18"/>
  <c r="AV19" i="18"/>
  <c r="AQ19" i="18"/>
  <c r="AG60" i="22"/>
  <c r="AG55" i="22"/>
  <c r="AF58" i="18"/>
  <c r="AF53" i="18"/>
  <c r="AG22" i="20"/>
  <c r="AG22" i="19"/>
  <c r="AG22" i="22"/>
  <c r="AH46" i="22"/>
  <c r="AH40" i="17"/>
  <c r="AH42" i="21"/>
  <c r="AH44" i="20"/>
  <c r="AH12" i="19"/>
  <c r="AH12" i="22"/>
  <c r="AH14" i="21"/>
  <c r="AT39" i="18"/>
  <c r="AU39" i="18" s="1"/>
  <c r="AT15" i="18"/>
  <c r="AU15" i="18" s="1"/>
  <c r="AV23" i="18"/>
  <c r="AS23" i="18"/>
  <c r="AR23" i="18"/>
  <c r="AP23" i="18"/>
  <c r="AQ23" i="18"/>
  <c r="AK23" i="18"/>
  <c r="AG52" i="22"/>
  <c r="AG57" i="22"/>
  <c r="AG60" i="21"/>
  <c r="AG55" i="21"/>
  <c r="AK14" i="5"/>
  <c r="AK20" i="5"/>
  <c r="AK16" i="5"/>
  <c r="AK18" i="5"/>
  <c r="AK92" i="5"/>
  <c r="AK22" i="5"/>
  <c r="AK112" i="5"/>
  <c r="AL92" i="5"/>
  <c r="AL112" i="5"/>
  <c r="DO69" i="5"/>
  <c r="AI69" i="5" s="1"/>
  <c r="DO83" i="5"/>
  <c r="AI83" i="5" s="1"/>
  <c r="DO17" i="5"/>
  <c r="DO39" i="5"/>
  <c r="DO121" i="5"/>
  <c r="AI121" i="5" s="1"/>
  <c r="DO43" i="5"/>
  <c r="DO47" i="5"/>
  <c r="AI47" i="5" s="1"/>
  <c r="DO91" i="5"/>
  <c r="DO105" i="5"/>
  <c r="DO35" i="5"/>
  <c r="DO41" i="5"/>
  <c r="DO123" i="5"/>
  <c r="AI123" i="5" s="1"/>
  <c r="DO93" i="5"/>
  <c r="DO5" i="5"/>
  <c r="AI5" i="5" s="1"/>
  <c r="DO77" i="5"/>
  <c r="AI77" i="5" s="1"/>
  <c r="DO113" i="5"/>
  <c r="DO97" i="5"/>
  <c r="AI97" i="5" s="1"/>
  <c r="DO33" i="5"/>
  <c r="DO111" i="5"/>
  <c r="DO59" i="5"/>
  <c r="DO109" i="5"/>
  <c r="DO25" i="5"/>
  <c r="AI25" i="5" s="1"/>
  <c r="DO37" i="5"/>
  <c r="DO67" i="5"/>
  <c r="AI67" i="5" s="1"/>
  <c r="DO57" i="5"/>
  <c r="DO19" i="5"/>
  <c r="DO65" i="5"/>
  <c r="AI65" i="5" s="1"/>
  <c r="DO89" i="5"/>
  <c r="DO115" i="5"/>
  <c r="AI115" i="5" s="1"/>
  <c r="DO119" i="5"/>
  <c r="AI119" i="5" s="1"/>
  <c r="DO87" i="5"/>
  <c r="DO95" i="5"/>
  <c r="AI95" i="5" s="1"/>
  <c r="DO99" i="5"/>
  <c r="AI99" i="5" s="1"/>
  <c r="DO107" i="5"/>
  <c r="DO13" i="5"/>
  <c r="DO73" i="5"/>
  <c r="AI73" i="5" s="1"/>
  <c r="DO63" i="5"/>
  <c r="DO21" i="5"/>
  <c r="DO81" i="5"/>
  <c r="AI81" i="5" s="1"/>
  <c r="DO9" i="5"/>
  <c r="AI9" i="5" s="1"/>
  <c r="DO15" i="5"/>
  <c r="DO61" i="5"/>
  <c r="DO27" i="5"/>
  <c r="AI27" i="5" s="1"/>
  <c r="DO71" i="5"/>
  <c r="AI71" i="5" s="1"/>
  <c r="DO53" i="5"/>
  <c r="DO75" i="5"/>
  <c r="AI75" i="5" s="1"/>
  <c r="DO51" i="5"/>
  <c r="AI51" i="5" s="1"/>
  <c r="DO117" i="5"/>
  <c r="AI117" i="5" s="1"/>
  <c r="DO7" i="5"/>
  <c r="AI7" i="5" s="1"/>
  <c r="DO11" i="5"/>
  <c r="AI11" i="5" s="1"/>
  <c r="DO29" i="5"/>
  <c r="AI29" i="5" s="1"/>
  <c r="DO23" i="5"/>
  <c r="DO55" i="5"/>
  <c r="DO45" i="5"/>
  <c r="AI45" i="5" s="1"/>
  <c r="DO85" i="5"/>
  <c r="DO79" i="5"/>
  <c r="AI79" i="5" s="1"/>
  <c r="DO31" i="5"/>
  <c r="AI31" i="5" s="1"/>
  <c r="DO49" i="5"/>
  <c r="AI49" i="5" s="1"/>
  <c r="DO101" i="5"/>
  <c r="AI101" i="5" s="1"/>
  <c r="DO103" i="5"/>
  <c r="AI103" i="5" s="1"/>
  <c r="DO101" i="8"/>
  <c r="DO97" i="8"/>
  <c r="DO117" i="8"/>
  <c r="DO99" i="8"/>
  <c r="DO123" i="8"/>
  <c r="DO121" i="8"/>
  <c r="DO95" i="8"/>
  <c r="DO115" i="8"/>
  <c r="DO103" i="8"/>
  <c r="DO119" i="8"/>
  <c r="DO35" i="8"/>
  <c r="DO37" i="8"/>
  <c r="DO111" i="8"/>
  <c r="DO73" i="8"/>
  <c r="AI73" i="8" s="1"/>
  <c r="DO61" i="8"/>
  <c r="DO63" i="8"/>
  <c r="DO55" i="8"/>
  <c r="DO13" i="8"/>
  <c r="DO11" i="8"/>
  <c r="AI11" i="8" s="1"/>
  <c r="DO83" i="8"/>
  <c r="AI83" i="8" s="1"/>
  <c r="DO41" i="8"/>
  <c r="DO91" i="8"/>
  <c r="DO85" i="8"/>
  <c r="DO109" i="8"/>
  <c r="DO107" i="8"/>
  <c r="DO21" i="8"/>
  <c r="DO15" i="8"/>
  <c r="DO49" i="8"/>
  <c r="AI49" i="8" s="1"/>
  <c r="DO47" i="8"/>
  <c r="AI47" i="8" s="1"/>
  <c r="DO43" i="8"/>
  <c r="DO89" i="8"/>
  <c r="DO105" i="8"/>
  <c r="DO19" i="8"/>
  <c r="DO23" i="8"/>
  <c r="DO51" i="8"/>
  <c r="AI51" i="8" s="1"/>
  <c r="DO53" i="8"/>
  <c r="DO45" i="8"/>
  <c r="AI45" i="8" s="1"/>
  <c r="DO39" i="8"/>
  <c r="DO87" i="8"/>
  <c r="DO93" i="8"/>
  <c r="DO113" i="8"/>
  <c r="DO17" i="8"/>
  <c r="DO67" i="8"/>
  <c r="AI67" i="8" s="1"/>
  <c r="DO71" i="8"/>
  <c r="AI71" i="8" s="1"/>
  <c r="DO65" i="8"/>
  <c r="AI65" i="8" s="1"/>
  <c r="DO57" i="8"/>
  <c r="DO5" i="8"/>
  <c r="AI5" i="8" s="1"/>
  <c r="DO75" i="8"/>
  <c r="AI75" i="8" s="1"/>
  <c r="DO77" i="8"/>
  <c r="AI77" i="8" s="1"/>
  <c r="DO29" i="8"/>
  <c r="AI29" i="8" s="1"/>
  <c r="DO9" i="8"/>
  <c r="AI9" i="8" s="1"/>
  <c r="DO69" i="8"/>
  <c r="AI69" i="8" s="1"/>
  <c r="DO31" i="8"/>
  <c r="AI31" i="8" s="1"/>
  <c r="DO33" i="8"/>
  <c r="DO27" i="8"/>
  <c r="AI27" i="8" s="1"/>
  <c r="DO59" i="8"/>
  <c r="DO7" i="8"/>
  <c r="AI7" i="8" s="1"/>
  <c r="DO79" i="8"/>
  <c r="AI79" i="8" s="1"/>
  <c r="DO81" i="8"/>
  <c r="AI81" i="8" s="1"/>
  <c r="DO25" i="8"/>
  <c r="AI25" i="8" s="1"/>
  <c r="DN61" i="6"/>
  <c r="AH61" i="6" s="1"/>
  <c r="DN53" i="6"/>
  <c r="DN63" i="6"/>
  <c r="DN55" i="6"/>
  <c r="AH55" i="6" s="1"/>
  <c r="DN57" i="6"/>
  <c r="AH57" i="6" s="1"/>
  <c r="DN49" i="6"/>
  <c r="AH49" i="6" s="1"/>
  <c r="DN41" i="6"/>
  <c r="AH41" i="6" s="1"/>
  <c r="DN47" i="6"/>
  <c r="AH47" i="6" s="1"/>
  <c r="DN39" i="6"/>
  <c r="AH39" i="6" s="1"/>
  <c r="DN37" i="6"/>
  <c r="AH37" i="6" s="1"/>
  <c r="DN31" i="6"/>
  <c r="AH31" i="6" s="1"/>
  <c r="DN23" i="6"/>
  <c r="DN15" i="6"/>
  <c r="DN51" i="6"/>
  <c r="AH51" i="6" s="1"/>
  <c r="DN43" i="6"/>
  <c r="DN33" i="6"/>
  <c r="DN25" i="6"/>
  <c r="AH25" i="6" s="1"/>
  <c r="DN17" i="6"/>
  <c r="DN45" i="6"/>
  <c r="AH45" i="6" s="1"/>
  <c r="DN35" i="6"/>
  <c r="AH35" i="6" s="1"/>
  <c r="DN27" i="6"/>
  <c r="AH27" i="6" s="1"/>
  <c r="DN19" i="6"/>
  <c r="DN11" i="6"/>
  <c r="AH11" i="6" s="1"/>
  <c r="DN59" i="6"/>
  <c r="AH59" i="6" s="1"/>
  <c r="DN7" i="6"/>
  <c r="AH7" i="6" s="1"/>
  <c r="DN5" i="6"/>
  <c r="AH5" i="6" s="1"/>
  <c r="DN29" i="6"/>
  <c r="AH29" i="6" s="1"/>
  <c r="DN9" i="6"/>
  <c r="AH9" i="6" s="1"/>
  <c r="DN21" i="6"/>
  <c r="DN13" i="6"/>
  <c r="AI3" i="7"/>
  <c r="AI37" i="21" s="1"/>
  <c r="AI3" i="6"/>
  <c r="AW29" i="18"/>
  <c r="AW17" i="20"/>
  <c r="AW17" i="22"/>
  <c r="AX9" i="22"/>
  <c r="AX17" i="20"/>
  <c r="AW15" i="20"/>
  <c r="AX23" i="18"/>
  <c r="AH108" i="8"/>
  <c r="AH24" i="7"/>
  <c r="AI24" i="8"/>
  <c r="AI28" i="8"/>
  <c r="AI70" i="5"/>
  <c r="AH30" i="6"/>
  <c r="AH28" i="7"/>
  <c r="AH10" i="6"/>
  <c r="AH50" i="6"/>
  <c r="AH4" i="6"/>
  <c r="AH30" i="7"/>
  <c r="AI10" i="5"/>
  <c r="AI48" i="5"/>
  <c r="AH40" i="7"/>
  <c r="AH24" i="6"/>
  <c r="AH48" i="7"/>
  <c r="AW11" i="22"/>
  <c r="AW45" i="22"/>
  <c r="AW15" i="22"/>
  <c r="AW9" i="20"/>
  <c r="AX45" i="22"/>
  <c r="AW39" i="20"/>
  <c r="AX39" i="20"/>
  <c r="AW33" i="18"/>
  <c r="AH104" i="7"/>
  <c r="AI94" i="5"/>
  <c r="AH108" i="7"/>
  <c r="AH58" i="6"/>
  <c r="AI6" i="5"/>
  <c r="AI44" i="8"/>
  <c r="AI66" i="5"/>
  <c r="AI8" i="8"/>
  <c r="AH8" i="6"/>
  <c r="AH28" i="6"/>
  <c r="AH46" i="7"/>
  <c r="AH34" i="6"/>
  <c r="AW45" i="20"/>
  <c r="AX39" i="22"/>
  <c r="AX13" i="20"/>
  <c r="AW43" i="20"/>
  <c r="AW41" i="22"/>
  <c r="AW41" i="20"/>
  <c r="AX15" i="22"/>
  <c r="AX33" i="18"/>
  <c r="AH110" i="7"/>
  <c r="AI74" i="5"/>
  <c r="AI50" i="5"/>
  <c r="AH54" i="6"/>
  <c r="AH50" i="7"/>
  <c r="AI48" i="8"/>
  <c r="AH44" i="7"/>
  <c r="AI28" i="5"/>
  <c r="AH54" i="7"/>
  <c r="AH40" i="6"/>
  <c r="AH36" i="7"/>
  <c r="AI46" i="8"/>
  <c r="AX45" i="20"/>
  <c r="AW13" i="22"/>
  <c r="AW39" i="22"/>
  <c r="AX41" i="20"/>
  <c r="AW11" i="20"/>
  <c r="AX17" i="22"/>
  <c r="AW23" i="18"/>
  <c r="AH104" i="8"/>
  <c r="AH106" i="8"/>
  <c r="AI50" i="8"/>
  <c r="AH8" i="7"/>
  <c r="AH34" i="7"/>
  <c r="AH60" i="6"/>
  <c r="AH36" i="6"/>
  <c r="AH6" i="6"/>
  <c r="AH26" i="6"/>
  <c r="AH58" i="7"/>
  <c r="AI24" i="5"/>
  <c r="AI64" i="5"/>
  <c r="AI10" i="8"/>
  <c r="AI4" i="5"/>
  <c r="AI30" i="8"/>
  <c r="AI68" i="5"/>
  <c r="AI30" i="5"/>
  <c r="AH46" i="6"/>
  <c r="AI26" i="8"/>
  <c r="AX13" i="22"/>
  <c r="AH106" i="7"/>
  <c r="AH110" i="8"/>
  <c r="AI46" i="5"/>
  <c r="AH6" i="7"/>
  <c r="AH10" i="7"/>
  <c r="AH4" i="7"/>
  <c r="AH56" i="7"/>
  <c r="AI6" i="8"/>
  <c r="AI44" i="5"/>
  <c r="AI8" i="5"/>
  <c r="AH38" i="7"/>
  <c r="AH60" i="7"/>
  <c r="AH44" i="6"/>
  <c r="AH56" i="6"/>
  <c r="AH26" i="7"/>
  <c r="AH48" i="6"/>
  <c r="AI4" i="8"/>
  <c r="AH38" i="6"/>
  <c r="AI26" i="5"/>
  <c r="AL86" i="6" l="1"/>
  <c r="AN86" i="6" s="1"/>
  <c r="AL104" i="6"/>
  <c r="AN104" i="6" s="1"/>
  <c r="AL106" i="6"/>
  <c r="AN106" i="6" s="1"/>
  <c r="AL110" i="6"/>
  <c r="AN110" i="6" s="1"/>
  <c r="DO109" i="6"/>
  <c r="DO111" i="6"/>
  <c r="DO113" i="6"/>
  <c r="DO119" i="6"/>
  <c r="DO67" i="6"/>
  <c r="DO107" i="6"/>
  <c r="DO121" i="6"/>
  <c r="DO123" i="6"/>
  <c r="AL122" i="6" s="1"/>
  <c r="AN122" i="6" s="1"/>
  <c r="DO105" i="6"/>
  <c r="DO69" i="6"/>
  <c r="DO71" i="6"/>
  <c r="DO81" i="6"/>
  <c r="DO115" i="6"/>
  <c r="DO117" i="6"/>
  <c r="DO65" i="6"/>
  <c r="DO75" i="6"/>
  <c r="DO83" i="6"/>
  <c r="AL82" i="6" s="1"/>
  <c r="AN82" i="6" s="1"/>
  <c r="DO85" i="6"/>
  <c r="DO73" i="6"/>
  <c r="AL72" i="6" s="1"/>
  <c r="AN72" i="6" s="1"/>
  <c r="DO99" i="6"/>
  <c r="DO103" i="6"/>
  <c r="AL102" i="6" s="1"/>
  <c r="AN102" i="6" s="1"/>
  <c r="DO89" i="6"/>
  <c r="DO93" i="6"/>
  <c r="DO95" i="6"/>
  <c r="DO97" i="6"/>
  <c r="DO77" i="6"/>
  <c r="DO79" i="6"/>
  <c r="DO101" i="6"/>
  <c r="DO91" i="6"/>
  <c r="DO87" i="6"/>
  <c r="AL108" i="6"/>
  <c r="AN108" i="6" s="1"/>
  <c r="AL84" i="6"/>
  <c r="AN84" i="6" s="1"/>
  <c r="AL90" i="6"/>
  <c r="AN90" i="6" s="1"/>
  <c r="AL88" i="6"/>
  <c r="AN88" i="6" s="1"/>
  <c r="AG52" i="19"/>
  <c r="AG57" i="21"/>
  <c r="AT37" i="18"/>
  <c r="AT33" i="18"/>
  <c r="AU33" i="18" s="1"/>
  <c r="AG60" i="19"/>
  <c r="AI37" i="17"/>
  <c r="AH37" i="21"/>
  <c r="AH34" i="20"/>
  <c r="AH37" i="17"/>
  <c r="AI37" i="19"/>
  <c r="AH30" i="17"/>
  <c r="AH32" i="20"/>
  <c r="AH30" i="21"/>
  <c r="AH36" i="21"/>
  <c r="AH36" i="17"/>
  <c r="AH37" i="22"/>
  <c r="AF53" i="22"/>
  <c r="AK17" i="21"/>
  <c r="AU31" i="18"/>
  <c r="AK17" i="17"/>
  <c r="AT29" i="18"/>
  <c r="AU29" i="18" s="1"/>
  <c r="AK18" i="7"/>
  <c r="AK14" i="7"/>
  <c r="AK20" i="7"/>
  <c r="AK22" i="7"/>
  <c r="AK16" i="7"/>
  <c r="AH29" i="21"/>
  <c r="AH29" i="22"/>
  <c r="AH35" i="22"/>
  <c r="AH33" i="22"/>
  <c r="AH29" i="19"/>
  <c r="AH33" i="17"/>
  <c r="AH38" i="22"/>
  <c r="AL62" i="7"/>
  <c r="AH38" i="17"/>
  <c r="AL92" i="7"/>
  <c r="AL58" i="7"/>
  <c r="AL36" i="7"/>
  <c r="AL34" i="7"/>
  <c r="DO109" i="7"/>
  <c r="DO113" i="7"/>
  <c r="DO111" i="7"/>
  <c r="DO107" i="7"/>
  <c r="DO105" i="7"/>
  <c r="DO93" i="7"/>
  <c r="DO73" i="7"/>
  <c r="AI73" i="7" s="1"/>
  <c r="DO21" i="7"/>
  <c r="DO69" i="7"/>
  <c r="AI69" i="7" s="1"/>
  <c r="DO71" i="7"/>
  <c r="AI71" i="7" s="1"/>
  <c r="DO17" i="7"/>
  <c r="DO65" i="7"/>
  <c r="AI65" i="7" s="1"/>
  <c r="DO67" i="7"/>
  <c r="AI67" i="7" s="1"/>
  <c r="DO89" i="7"/>
  <c r="DO85" i="7"/>
  <c r="DO19" i="7"/>
  <c r="DO23" i="7"/>
  <c r="DO123" i="7"/>
  <c r="AI123" i="7" s="1"/>
  <c r="DO121" i="7"/>
  <c r="AI121" i="7" s="1"/>
  <c r="DO27" i="7"/>
  <c r="AI27" i="7" s="1"/>
  <c r="AI32" i="19" s="1"/>
  <c r="DO25" i="7"/>
  <c r="AI25" i="7" s="1"/>
  <c r="AI30" i="19" s="1"/>
  <c r="DO45" i="7"/>
  <c r="AI45" i="7" s="1"/>
  <c r="AI30" i="21" s="1"/>
  <c r="DO87" i="7"/>
  <c r="DO119" i="7"/>
  <c r="AI119" i="7" s="1"/>
  <c r="DO33" i="7"/>
  <c r="AI33" i="7" s="1"/>
  <c r="DO53" i="7"/>
  <c r="AI53" i="7" s="1"/>
  <c r="DO95" i="7"/>
  <c r="AI95" i="7" s="1"/>
  <c r="DO15" i="7"/>
  <c r="DO117" i="7"/>
  <c r="AI117" i="7" s="1"/>
  <c r="DO31" i="7"/>
  <c r="AI31" i="7" s="1"/>
  <c r="AI36" i="19" s="1"/>
  <c r="DO51" i="7"/>
  <c r="AI51" i="7" s="1"/>
  <c r="DO49" i="7"/>
  <c r="AI49" i="7" s="1"/>
  <c r="DO91" i="7"/>
  <c r="DO115" i="7"/>
  <c r="AI115" i="7" s="1"/>
  <c r="DO103" i="7"/>
  <c r="AI103" i="7" s="1"/>
  <c r="DO29" i="7"/>
  <c r="AI29" i="7" s="1"/>
  <c r="AI34" i="19" s="1"/>
  <c r="DO97" i="7"/>
  <c r="AI97" i="7" s="1"/>
  <c r="DO81" i="7"/>
  <c r="AI81" i="7" s="1"/>
  <c r="DO83" i="7"/>
  <c r="AI83" i="7" s="1"/>
  <c r="DO77" i="7"/>
  <c r="AI77" i="7" s="1"/>
  <c r="DO37" i="7"/>
  <c r="DO5" i="7"/>
  <c r="AI5" i="7" s="1"/>
  <c r="AI30" i="17" s="1"/>
  <c r="DO61" i="7"/>
  <c r="DO47" i="7"/>
  <c r="AI47" i="7" s="1"/>
  <c r="DO75" i="7"/>
  <c r="AI75" i="7" s="1"/>
  <c r="DO35" i="7"/>
  <c r="DO13" i="7"/>
  <c r="AI13" i="7" s="1"/>
  <c r="DO101" i="7"/>
  <c r="AI101" i="7" s="1"/>
  <c r="DO79" i="7"/>
  <c r="AI79" i="7" s="1"/>
  <c r="DO43" i="7"/>
  <c r="DO41" i="7"/>
  <c r="DO11" i="7"/>
  <c r="AI11" i="7" s="1"/>
  <c r="DO9" i="7"/>
  <c r="AI9" i="7" s="1"/>
  <c r="AI34" i="17" s="1"/>
  <c r="DO39" i="7"/>
  <c r="DO7" i="7"/>
  <c r="AI7" i="7" s="1"/>
  <c r="DO57" i="7"/>
  <c r="DO59" i="7"/>
  <c r="DO99" i="7"/>
  <c r="AI99" i="7" s="1"/>
  <c r="DO63" i="7"/>
  <c r="DO55" i="7"/>
  <c r="AH27" i="19"/>
  <c r="AH31" i="19"/>
  <c r="AH30" i="20"/>
  <c r="AH35" i="20"/>
  <c r="AH29" i="17"/>
  <c r="AG54" i="20"/>
  <c r="AG59" i="20"/>
  <c r="AH37" i="20"/>
  <c r="AH30" i="19"/>
  <c r="AH35" i="21"/>
  <c r="AH35" i="17"/>
  <c r="AH36" i="19"/>
  <c r="AL40" i="7"/>
  <c r="AH38" i="20"/>
  <c r="AL42" i="7"/>
  <c r="AL112" i="8"/>
  <c r="AF58" i="21"/>
  <c r="AH27" i="17"/>
  <c r="AH27" i="21"/>
  <c r="AH27" i="22"/>
  <c r="AT35" i="18"/>
  <c r="AU35" i="18" s="1"/>
  <c r="AH29" i="20"/>
  <c r="AH37" i="19"/>
  <c r="AH32" i="22"/>
  <c r="AH32" i="21"/>
  <c r="AH32" i="17"/>
  <c r="AH34" i="22"/>
  <c r="AG59" i="19"/>
  <c r="AG54" i="19"/>
  <c r="AH36" i="20"/>
  <c r="AH33" i="21"/>
  <c r="AH34" i="19"/>
  <c r="AH38" i="19"/>
  <c r="AL56" i="7"/>
  <c r="AL112" i="7"/>
  <c r="AI27" i="17"/>
  <c r="AH27" i="20"/>
  <c r="AI27" i="21"/>
  <c r="AG54" i="22"/>
  <c r="AG59" i="22"/>
  <c r="AI27" i="19"/>
  <c r="AH32" i="19"/>
  <c r="AG59" i="21"/>
  <c r="AG54" i="21"/>
  <c r="AH34" i="17"/>
  <c r="AH35" i="19"/>
  <c r="AH31" i="20"/>
  <c r="AH31" i="17"/>
  <c r="AH33" i="20"/>
  <c r="AH34" i="21"/>
  <c r="AH30" i="22"/>
  <c r="AH36" i="22"/>
  <c r="AH33" i="19"/>
  <c r="AH31" i="21"/>
  <c r="AH31" i="22"/>
  <c r="AH38" i="21"/>
  <c r="AL54" i="7"/>
  <c r="AL60" i="7"/>
  <c r="AL38" i="7"/>
  <c r="AF58" i="20"/>
  <c r="AL42" i="5"/>
  <c r="AF53" i="19"/>
  <c r="AS17" i="22"/>
  <c r="AR17" i="22"/>
  <c r="AV17" i="22"/>
  <c r="AQ17" i="22"/>
  <c r="AP17" i="22"/>
  <c r="AR17" i="20"/>
  <c r="AS17" i="20"/>
  <c r="AP17" i="20"/>
  <c r="AQ17" i="20"/>
  <c r="AV17" i="20"/>
  <c r="AH43" i="6"/>
  <c r="AI103" i="8"/>
  <c r="AI123" i="8"/>
  <c r="AL122" i="8" s="1"/>
  <c r="AI101" i="8"/>
  <c r="AI13" i="5"/>
  <c r="AL12" i="5" s="1"/>
  <c r="AI53" i="8"/>
  <c r="AL52" i="8" s="1"/>
  <c r="AI115" i="8"/>
  <c r="AH33" i="6"/>
  <c r="AH63" i="6"/>
  <c r="AH28" i="22" s="1"/>
  <c r="AH53" i="6"/>
  <c r="AI95" i="8"/>
  <c r="AI117" i="8"/>
  <c r="AI53" i="5"/>
  <c r="AL52" i="5" s="1"/>
  <c r="AI99" i="8"/>
  <c r="AI33" i="5"/>
  <c r="AI18" i="19" s="1"/>
  <c r="AH13" i="6"/>
  <c r="AI33" i="8"/>
  <c r="AI48" i="19" s="1"/>
  <c r="AI13" i="8"/>
  <c r="AL12" i="8" s="1"/>
  <c r="AI119" i="8"/>
  <c r="AI121" i="8"/>
  <c r="AI97" i="8"/>
  <c r="AH48" i="22"/>
  <c r="AH60" i="22" s="1"/>
  <c r="AH18" i="21"/>
  <c r="AH52" i="21" s="1"/>
  <c r="AH48" i="20"/>
  <c r="AH60" i="20" s="1"/>
  <c r="AG28" i="20"/>
  <c r="AG53" i="20" s="1"/>
  <c r="AT23" i="18"/>
  <c r="AU23" i="18" s="1"/>
  <c r="AH23" i="22"/>
  <c r="AI39" i="17"/>
  <c r="AL54" i="5"/>
  <c r="AH25" i="17"/>
  <c r="AH21" i="22"/>
  <c r="AH25" i="22"/>
  <c r="AH19" i="17"/>
  <c r="AH25" i="21"/>
  <c r="AH21" i="21"/>
  <c r="AI41" i="17"/>
  <c r="AI45" i="19"/>
  <c r="AI39" i="21"/>
  <c r="AI41" i="21"/>
  <c r="AI13" i="19"/>
  <c r="AI15" i="21"/>
  <c r="AI11" i="19"/>
  <c r="AL36" i="5"/>
  <c r="AL40" i="5"/>
  <c r="AI11" i="21"/>
  <c r="AH21" i="17"/>
  <c r="AH21" i="19"/>
  <c r="AH19" i="19"/>
  <c r="AH25" i="19"/>
  <c r="AH25" i="20"/>
  <c r="AH19" i="22"/>
  <c r="AI39" i="19"/>
  <c r="AI43" i="21"/>
  <c r="AI13" i="21"/>
  <c r="AI9" i="21"/>
  <c r="AI15" i="17"/>
  <c r="AI9" i="19"/>
  <c r="AI9" i="17"/>
  <c r="AL34" i="5"/>
  <c r="AK42" i="5"/>
  <c r="AH23" i="21"/>
  <c r="AI43" i="17"/>
  <c r="AI45" i="21"/>
  <c r="AI11" i="17"/>
  <c r="AL56" i="5"/>
  <c r="AH23" i="17"/>
  <c r="AH19" i="20"/>
  <c r="AH21" i="20"/>
  <c r="AI41" i="19"/>
  <c r="AI45" i="17"/>
  <c r="AI15" i="19"/>
  <c r="AH23" i="19"/>
  <c r="AH19" i="21"/>
  <c r="AH23" i="20"/>
  <c r="AI43" i="19"/>
  <c r="AI13" i="17"/>
  <c r="AL58" i="5"/>
  <c r="AL38" i="5"/>
  <c r="AH24" i="22"/>
  <c r="AI40" i="17"/>
  <c r="AH26" i="17"/>
  <c r="AH22" i="22"/>
  <c r="AH26" i="22"/>
  <c r="AH20" i="17"/>
  <c r="AH26" i="21"/>
  <c r="AH22" i="21"/>
  <c r="AI42" i="17"/>
  <c r="AI46" i="19"/>
  <c r="AI40" i="21"/>
  <c r="AI42" i="21"/>
  <c r="AI14" i="19"/>
  <c r="AI16" i="21"/>
  <c r="AI12" i="19"/>
  <c r="AI12" i="21"/>
  <c r="AP11" i="22"/>
  <c r="AR11" i="22"/>
  <c r="AV11" i="22"/>
  <c r="AQ11" i="22"/>
  <c r="AS11" i="22"/>
  <c r="AK11" i="22"/>
  <c r="AV41" i="20"/>
  <c r="AK41" i="20"/>
  <c r="AS41" i="20"/>
  <c r="AR41" i="20"/>
  <c r="AP41" i="20"/>
  <c r="AQ41" i="20"/>
  <c r="AT27" i="18"/>
  <c r="AU27" i="18" s="1"/>
  <c r="AS15" i="22"/>
  <c r="AR15" i="22"/>
  <c r="AK15" i="22"/>
  <c r="AV15" i="22"/>
  <c r="AQ15" i="22"/>
  <c r="AP15" i="22"/>
  <c r="AV45" i="20"/>
  <c r="AP45" i="20"/>
  <c r="AR45" i="20"/>
  <c r="AK45" i="20"/>
  <c r="AS45" i="20"/>
  <c r="AQ45" i="20"/>
  <c r="AV41" i="22"/>
  <c r="AS41" i="22"/>
  <c r="AQ41" i="22"/>
  <c r="AP41" i="22"/>
  <c r="AK41" i="22"/>
  <c r="AR41" i="22"/>
  <c r="AH52" i="19"/>
  <c r="AH57" i="19"/>
  <c r="AG53" i="19"/>
  <c r="AG58" i="19"/>
  <c r="AG53" i="22"/>
  <c r="AG58" i="22"/>
  <c r="AH22" i="17"/>
  <c r="AH22" i="19"/>
  <c r="AH20" i="19"/>
  <c r="AH26" i="19"/>
  <c r="AH26" i="20"/>
  <c r="AH20" i="22"/>
  <c r="AI40" i="19"/>
  <c r="AI44" i="21"/>
  <c r="AI14" i="21"/>
  <c r="AI10" i="21"/>
  <c r="AI16" i="17"/>
  <c r="AI10" i="19"/>
  <c r="AI10" i="17"/>
  <c r="AR45" i="22"/>
  <c r="AP45" i="22"/>
  <c r="AK45" i="22"/>
  <c r="AQ45" i="22"/>
  <c r="AS45" i="22"/>
  <c r="AV45" i="22"/>
  <c r="AT19" i="18"/>
  <c r="AU19" i="18" s="1"/>
  <c r="AQ39" i="20"/>
  <c r="AP39" i="20"/>
  <c r="AR39" i="20"/>
  <c r="AV39" i="20"/>
  <c r="AS39" i="20"/>
  <c r="AK39" i="20"/>
  <c r="AT21" i="18"/>
  <c r="AU21" i="18" s="1"/>
  <c r="AV39" i="22"/>
  <c r="AP39" i="22"/>
  <c r="AR39" i="22"/>
  <c r="AS39" i="22"/>
  <c r="AQ39" i="22"/>
  <c r="AK39" i="22"/>
  <c r="AV13" i="22"/>
  <c r="AQ13" i="22"/>
  <c r="AP13" i="22"/>
  <c r="AR13" i="22"/>
  <c r="AS13" i="22"/>
  <c r="AP13" i="20"/>
  <c r="AV13" i="20"/>
  <c r="AR13" i="20"/>
  <c r="AS13" i="20"/>
  <c r="AQ13" i="20"/>
  <c r="AW43" i="22"/>
  <c r="AV43" i="22"/>
  <c r="AS43" i="22"/>
  <c r="AP43" i="22"/>
  <c r="AQ43" i="22"/>
  <c r="AR43" i="22"/>
  <c r="AX43" i="22"/>
  <c r="AK43" i="22"/>
  <c r="AH24" i="21"/>
  <c r="AI44" i="17"/>
  <c r="AI46" i="21"/>
  <c r="AI12" i="17"/>
  <c r="AL62" i="5"/>
  <c r="AV43" i="20"/>
  <c r="AP43" i="20"/>
  <c r="AR43" i="20"/>
  <c r="AS43" i="20"/>
  <c r="AQ43" i="20"/>
  <c r="AK43" i="20"/>
  <c r="AR15" i="20"/>
  <c r="AQ15" i="20"/>
  <c r="AP15" i="20"/>
  <c r="AV15" i="20"/>
  <c r="AK15" i="20"/>
  <c r="AS15" i="20"/>
  <c r="AP11" i="20"/>
  <c r="AK11" i="20"/>
  <c r="AV11" i="20"/>
  <c r="AR11" i="20"/>
  <c r="AS11" i="20"/>
  <c r="AQ11" i="20"/>
  <c r="AH55" i="21"/>
  <c r="AH60" i="21"/>
  <c r="AG58" i="21"/>
  <c r="AG53" i="21"/>
  <c r="AH24" i="17"/>
  <c r="AH20" i="20"/>
  <c r="AH22" i="20"/>
  <c r="AI42" i="19"/>
  <c r="AI46" i="17"/>
  <c r="AI16" i="19"/>
  <c r="AH24" i="19"/>
  <c r="AH20" i="21"/>
  <c r="AH24" i="20"/>
  <c r="AI44" i="19"/>
  <c r="AI14" i="17"/>
  <c r="AV9" i="20"/>
  <c r="AP9" i="20"/>
  <c r="AR9" i="20"/>
  <c r="AS9" i="20"/>
  <c r="AK9" i="20"/>
  <c r="AQ9" i="20"/>
  <c r="AQ9" i="22"/>
  <c r="AR9" i="22"/>
  <c r="AV9" i="22"/>
  <c r="AK9" i="22"/>
  <c r="AP9" i="22"/>
  <c r="AS9" i="22"/>
  <c r="AT25" i="18"/>
  <c r="AU25" i="18" s="1"/>
  <c r="AH57" i="20"/>
  <c r="AH52" i="20"/>
  <c r="AH57" i="22"/>
  <c r="AH52" i="22"/>
  <c r="AH60" i="19"/>
  <c r="AH55" i="19"/>
  <c r="AN20" i="5"/>
  <c r="AJ15" i="18"/>
  <c r="AM15" i="18" s="1"/>
  <c r="AN18" i="5"/>
  <c r="AJ13" i="18"/>
  <c r="AM13" i="18" s="1"/>
  <c r="AN22" i="5"/>
  <c r="AJ17" i="18"/>
  <c r="AM17" i="18" s="1"/>
  <c r="AN16" i="5"/>
  <c r="AJ11" i="18"/>
  <c r="AM11" i="18" s="1"/>
  <c r="AN14" i="5"/>
  <c r="AJ9" i="18"/>
  <c r="AL10" i="5"/>
  <c r="AL24" i="5"/>
  <c r="AL44" i="5"/>
  <c r="AL46" i="5"/>
  <c r="AL6" i="5"/>
  <c r="AL26" i="5"/>
  <c r="AL4" i="5"/>
  <c r="AL8" i="5"/>
  <c r="AL30" i="5"/>
  <c r="AL50" i="5"/>
  <c r="AL28" i="5"/>
  <c r="AL48" i="5"/>
  <c r="AK102" i="5"/>
  <c r="AK72" i="5"/>
  <c r="AK122" i="5"/>
  <c r="AK82" i="5"/>
  <c r="AL102" i="5"/>
  <c r="AL72" i="5"/>
  <c r="AL122" i="5"/>
  <c r="AN112" i="5"/>
  <c r="AL82" i="5"/>
  <c r="AN92" i="5"/>
  <c r="AK56" i="8"/>
  <c r="AJ41" i="22" s="1"/>
  <c r="AM41" i="22" s="1"/>
  <c r="AK38" i="8"/>
  <c r="AK42" i="8"/>
  <c r="AK72" i="8"/>
  <c r="AK40" i="8"/>
  <c r="AK54" i="8"/>
  <c r="AJ39" i="22" s="1"/>
  <c r="AM39" i="22" s="1"/>
  <c r="AK58" i="8"/>
  <c r="AJ43" i="22" s="1"/>
  <c r="AM43" i="22" s="1"/>
  <c r="AK92" i="8"/>
  <c r="AK82" i="8"/>
  <c r="AK62" i="8"/>
  <c r="AJ47" i="22" s="1"/>
  <c r="AK60" i="8"/>
  <c r="AJ45" i="22" s="1"/>
  <c r="AM45" i="22" s="1"/>
  <c r="AK34" i="8"/>
  <c r="AK22" i="8"/>
  <c r="AK36" i="8"/>
  <c r="AL28" i="8"/>
  <c r="AL56" i="8"/>
  <c r="AL38" i="8"/>
  <c r="AL42" i="8"/>
  <c r="AL72" i="8"/>
  <c r="AL30" i="8"/>
  <c r="AL44" i="8"/>
  <c r="AL46" i="8"/>
  <c r="AL40" i="8"/>
  <c r="AL54" i="8"/>
  <c r="AL102" i="8"/>
  <c r="AL24" i="8"/>
  <c r="AL58" i="8"/>
  <c r="AL92" i="8"/>
  <c r="AL48" i="8"/>
  <c r="AL82" i="8"/>
  <c r="AL62" i="8"/>
  <c r="AL26" i="8"/>
  <c r="AL60" i="8"/>
  <c r="AL34" i="8"/>
  <c r="AL22" i="8"/>
  <c r="AL36" i="8"/>
  <c r="AL50" i="8"/>
  <c r="DO63" i="6"/>
  <c r="DO55" i="6"/>
  <c r="DO47" i="6"/>
  <c r="AI47" i="6" s="1"/>
  <c r="DO57" i="6"/>
  <c r="DO49" i="6"/>
  <c r="AI49" i="6" s="1"/>
  <c r="DO59" i="6"/>
  <c r="DO51" i="6"/>
  <c r="AI51" i="6" s="1"/>
  <c r="DO43" i="6"/>
  <c r="DO53" i="6"/>
  <c r="DO41" i="6"/>
  <c r="DO33" i="6"/>
  <c r="DO25" i="6"/>
  <c r="AI25" i="6" s="1"/>
  <c r="DO17" i="6"/>
  <c r="DO45" i="6"/>
  <c r="AI45" i="6" s="1"/>
  <c r="DO35" i="6"/>
  <c r="DO27" i="6"/>
  <c r="AI27" i="6" s="1"/>
  <c r="DO19" i="6"/>
  <c r="DO61" i="6"/>
  <c r="DO29" i="6"/>
  <c r="AI29" i="6" s="1"/>
  <c r="DO21" i="6"/>
  <c r="DO13" i="6"/>
  <c r="DO37" i="6"/>
  <c r="DO31" i="6"/>
  <c r="AI31" i="6" s="1"/>
  <c r="DO15" i="6"/>
  <c r="DO9" i="6"/>
  <c r="AI9" i="6" s="1"/>
  <c r="DO11" i="6"/>
  <c r="AI11" i="6" s="1"/>
  <c r="DO39" i="6"/>
  <c r="DO23" i="6"/>
  <c r="DO5" i="6"/>
  <c r="AI5" i="6" s="1"/>
  <c r="DO7" i="6"/>
  <c r="AI7" i="6" s="1"/>
  <c r="AW45" i="19"/>
  <c r="AX17" i="19"/>
  <c r="AW9" i="21"/>
  <c r="AX43" i="19"/>
  <c r="AX9" i="20"/>
  <c r="AW37" i="22"/>
  <c r="AW23" i="22"/>
  <c r="AX39" i="19"/>
  <c r="AI10" i="7"/>
  <c r="AI46" i="7"/>
  <c r="AI46" i="6"/>
  <c r="AX11" i="21"/>
  <c r="AX39" i="21"/>
  <c r="AW45" i="21"/>
  <c r="AW43" i="19"/>
  <c r="AX21" i="22"/>
  <c r="AX33" i="20"/>
  <c r="AW47" i="20"/>
  <c r="AW21" i="20"/>
  <c r="AX11" i="20"/>
  <c r="AX13" i="19"/>
  <c r="AX15" i="19"/>
  <c r="AW21" i="22"/>
  <c r="AI8" i="6"/>
  <c r="AI6" i="7"/>
  <c r="AI50" i="6"/>
  <c r="AI48" i="6"/>
  <c r="AX11" i="22"/>
  <c r="AX41" i="22"/>
  <c r="AW11" i="19"/>
  <c r="AX41" i="19"/>
  <c r="AW15" i="21"/>
  <c r="AX47" i="19"/>
  <c r="AX31" i="20"/>
  <c r="AW39" i="19"/>
  <c r="AX43" i="20"/>
  <c r="AW13" i="20"/>
  <c r="AX43" i="21"/>
  <c r="AW39" i="21"/>
  <c r="AW13" i="21"/>
  <c r="AI8" i="7"/>
  <c r="AI50" i="7"/>
  <c r="AI48" i="7"/>
  <c r="AI24" i="6"/>
  <c r="AI28" i="7"/>
  <c r="AI30" i="7"/>
  <c r="AI6" i="6"/>
  <c r="AW9" i="22"/>
  <c r="AX27" i="22"/>
  <c r="AW19" i="22"/>
  <c r="AW33" i="20"/>
  <c r="AX45" i="19"/>
  <c r="AX15" i="20"/>
  <c r="AX41" i="21"/>
  <c r="AW23" i="20"/>
  <c r="AW11" i="21"/>
  <c r="AX37" i="20"/>
  <c r="AX9" i="19"/>
  <c r="AX15" i="21"/>
  <c r="AW25" i="20"/>
  <c r="AI28" i="6"/>
  <c r="AI26" i="6"/>
  <c r="AI26" i="7"/>
  <c r="AI4" i="6"/>
  <c r="AI44" i="6"/>
  <c r="AI30" i="6"/>
  <c r="AX25" i="22"/>
  <c r="AW9" i="19"/>
  <c r="AX23" i="20"/>
  <c r="AX19" i="20"/>
  <c r="AI44" i="7"/>
  <c r="AI24" i="7"/>
  <c r="AI4" i="7"/>
  <c r="AI10" i="6"/>
  <c r="AL96" i="6" l="1"/>
  <c r="AN96" i="6" s="1"/>
  <c r="AL100" i="6"/>
  <c r="AN100" i="6" s="1"/>
  <c r="AL94" i="6"/>
  <c r="AN94" i="6" s="1"/>
  <c r="AL98" i="6"/>
  <c r="AN98" i="6" s="1"/>
  <c r="AL74" i="6"/>
  <c r="AN74" i="6" s="1"/>
  <c r="AL80" i="6"/>
  <c r="AN80" i="6" s="1"/>
  <c r="AL118" i="6"/>
  <c r="AN118" i="6" s="1"/>
  <c r="AL78" i="6"/>
  <c r="AN78" i="6" s="1"/>
  <c r="AL64" i="6"/>
  <c r="AN64" i="6" s="1"/>
  <c r="AL70" i="6"/>
  <c r="AN70" i="6" s="1"/>
  <c r="AL114" i="6"/>
  <c r="AN114" i="6" s="1"/>
  <c r="AL66" i="6"/>
  <c r="AN66" i="6" s="1"/>
  <c r="AL116" i="6"/>
  <c r="AN116" i="6" s="1"/>
  <c r="AL120" i="6"/>
  <c r="AN120" i="6" s="1"/>
  <c r="AL76" i="6"/>
  <c r="AN76" i="6" s="1"/>
  <c r="AL68" i="6"/>
  <c r="AN68" i="6" s="1"/>
  <c r="AM47" i="22"/>
  <c r="AN42" i="5"/>
  <c r="AR31" i="22"/>
  <c r="AV31" i="20"/>
  <c r="AM9" i="18"/>
  <c r="A3" i="18"/>
  <c r="AR37" i="20"/>
  <c r="AI32" i="21"/>
  <c r="AP37" i="20"/>
  <c r="AH55" i="20"/>
  <c r="AK33" i="20"/>
  <c r="AV37" i="20"/>
  <c r="AV35" i="20"/>
  <c r="AS37" i="20"/>
  <c r="AQ33" i="22"/>
  <c r="AJ17" i="20"/>
  <c r="AM17" i="20" s="1"/>
  <c r="AK33" i="22"/>
  <c r="AV29" i="22"/>
  <c r="AR33" i="22"/>
  <c r="AS29" i="22"/>
  <c r="AP33" i="22"/>
  <c r="AV33" i="22"/>
  <c r="AR29" i="22"/>
  <c r="AR35" i="20"/>
  <c r="AS33" i="22"/>
  <c r="AQ33" i="20"/>
  <c r="AV31" i="22"/>
  <c r="AV33" i="20"/>
  <c r="AK31" i="22"/>
  <c r="AI35" i="21"/>
  <c r="AI33" i="21"/>
  <c r="AI35" i="19"/>
  <c r="AV35" i="19" s="1"/>
  <c r="AI29" i="19"/>
  <c r="AS29" i="19" s="1"/>
  <c r="AI31" i="19"/>
  <c r="AQ31" i="19" s="1"/>
  <c r="AI33" i="19"/>
  <c r="AS33" i="19" s="1"/>
  <c r="AK92" i="7"/>
  <c r="AK40" i="7"/>
  <c r="AK36" i="7"/>
  <c r="AK56" i="7"/>
  <c r="AK42" i="7"/>
  <c r="AI35" i="17"/>
  <c r="AK62" i="7"/>
  <c r="AK58" i="7"/>
  <c r="AK60" i="7"/>
  <c r="AK54" i="7"/>
  <c r="AK34" i="7"/>
  <c r="AK112" i="7"/>
  <c r="AI31" i="21"/>
  <c r="AK31" i="21" s="1"/>
  <c r="AK112" i="8"/>
  <c r="AK38" i="7"/>
  <c r="AI38" i="17"/>
  <c r="AL12" i="7"/>
  <c r="AI31" i="17"/>
  <c r="AI29" i="17"/>
  <c r="AI33" i="17"/>
  <c r="AL102" i="7"/>
  <c r="AL6" i="7"/>
  <c r="AI32" i="17"/>
  <c r="AL50" i="7"/>
  <c r="AI36" i="21"/>
  <c r="AL72" i="7"/>
  <c r="AH55" i="22"/>
  <c r="AR31" i="20"/>
  <c r="AK31" i="20"/>
  <c r="AP31" i="22"/>
  <c r="AH54" i="20"/>
  <c r="AH59" i="20"/>
  <c r="AV29" i="20"/>
  <c r="AK29" i="20"/>
  <c r="AQ29" i="20"/>
  <c r="AR29" i="20"/>
  <c r="AP29" i="20"/>
  <c r="AQ35" i="20"/>
  <c r="AS35" i="20"/>
  <c r="AQ29" i="22"/>
  <c r="AI38" i="21"/>
  <c r="AL52" i="7"/>
  <c r="AL4" i="7"/>
  <c r="AL30" i="7"/>
  <c r="AL44" i="7"/>
  <c r="AS31" i="20"/>
  <c r="AH59" i="22"/>
  <c r="AH54" i="22"/>
  <c r="AH59" i="21"/>
  <c r="AH54" i="21"/>
  <c r="AL82" i="7"/>
  <c r="AS37" i="22"/>
  <c r="AQ37" i="22"/>
  <c r="AP37" i="22"/>
  <c r="AH54" i="19"/>
  <c r="AH59" i="19"/>
  <c r="AJ31" i="18"/>
  <c r="AM31" i="18" s="1"/>
  <c r="AN16" i="7"/>
  <c r="AV35" i="22"/>
  <c r="AP35" i="22"/>
  <c r="AK35" i="22"/>
  <c r="AR35" i="22"/>
  <c r="AS35" i="22"/>
  <c r="AQ35" i="22"/>
  <c r="AQ31" i="20"/>
  <c r="AS33" i="20"/>
  <c r="AS31" i="22"/>
  <c r="AI29" i="21"/>
  <c r="AP29" i="21" s="1"/>
  <c r="AP31" i="20"/>
  <c r="AQ37" i="20"/>
  <c r="AS29" i="20"/>
  <c r="AP33" i="20"/>
  <c r="AL122" i="7"/>
  <c r="AL8" i="7"/>
  <c r="AL24" i="7"/>
  <c r="AR33" i="20"/>
  <c r="AJ37" i="18"/>
  <c r="AN22" i="7"/>
  <c r="AJ29" i="18"/>
  <c r="AM29" i="18" s="1"/>
  <c r="AN14" i="7"/>
  <c r="AL32" i="8"/>
  <c r="AL128" i="8" s="1"/>
  <c r="AL32" i="5"/>
  <c r="AL128" i="5" s="1"/>
  <c r="AP29" i="22"/>
  <c r="AK29" i="22"/>
  <c r="AK35" i="20"/>
  <c r="AQ31" i="22"/>
  <c r="AP35" i="20"/>
  <c r="AR37" i="22"/>
  <c r="AI38" i="19"/>
  <c r="AL32" i="7"/>
  <c r="AL10" i="7"/>
  <c r="AI36" i="17"/>
  <c r="AL46" i="7"/>
  <c r="AL28" i="7"/>
  <c r="AL48" i="7"/>
  <c r="AI34" i="21"/>
  <c r="AL26" i="7"/>
  <c r="AV37" i="22"/>
  <c r="AJ35" i="18"/>
  <c r="AM35" i="18" s="1"/>
  <c r="AN20" i="7"/>
  <c r="AJ33" i="18"/>
  <c r="AM33" i="18" s="1"/>
  <c r="AN18" i="7"/>
  <c r="AT17" i="22"/>
  <c r="AU17" i="22" s="1"/>
  <c r="AG58" i="20"/>
  <c r="AH57" i="21"/>
  <c r="AT17" i="20"/>
  <c r="AU17" i="20" s="1"/>
  <c r="AP47" i="19"/>
  <c r="AK47" i="19"/>
  <c r="AR47" i="19"/>
  <c r="AV47" i="19"/>
  <c r="AS47" i="19"/>
  <c r="AQ47" i="19"/>
  <c r="AQ27" i="22"/>
  <c r="AV27" i="22"/>
  <c r="AP27" i="22"/>
  <c r="AK27" i="22"/>
  <c r="AR27" i="22"/>
  <c r="AS27" i="22"/>
  <c r="AP17" i="19"/>
  <c r="AV17" i="19"/>
  <c r="AR17" i="19"/>
  <c r="AQ17" i="19"/>
  <c r="AS17" i="19"/>
  <c r="AK12" i="8"/>
  <c r="AJ47" i="17" s="1"/>
  <c r="AK52" i="5"/>
  <c r="AJ17" i="21" s="1"/>
  <c r="AK52" i="8"/>
  <c r="AN52" i="8" s="1"/>
  <c r="AK12" i="5"/>
  <c r="AN12" i="5" s="1"/>
  <c r="AK122" i="8"/>
  <c r="AI33" i="6"/>
  <c r="AI28" i="19" s="1"/>
  <c r="AP47" i="20"/>
  <c r="AS47" i="20"/>
  <c r="AK47" i="20"/>
  <c r="AR47" i="20"/>
  <c r="AQ47" i="20"/>
  <c r="AV47" i="20"/>
  <c r="AI53" i="6"/>
  <c r="AI28" i="21" s="1"/>
  <c r="AI48" i="17"/>
  <c r="AH28" i="17"/>
  <c r="AI18" i="21"/>
  <c r="AI57" i="21" s="1"/>
  <c r="AH28" i="21"/>
  <c r="AH53" i="21" s="1"/>
  <c r="AH28" i="19"/>
  <c r="AH53" i="19" s="1"/>
  <c r="AI48" i="21"/>
  <c r="AI60" i="21" s="1"/>
  <c r="AI18" i="17"/>
  <c r="AQ17" i="17" s="1"/>
  <c r="AH28" i="20"/>
  <c r="AH58" i="20" s="1"/>
  <c r="AI13" i="6"/>
  <c r="AI28" i="17" s="1"/>
  <c r="AP47" i="22"/>
  <c r="AV47" i="22"/>
  <c r="AR47" i="22"/>
  <c r="AK47" i="22"/>
  <c r="AS47" i="22"/>
  <c r="AQ47" i="22"/>
  <c r="AK45" i="17"/>
  <c r="AT41" i="22"/>
  <c r="AU41" i="22" s="1"/>
  <c r="AK41" i="17"/>
  <c r="AK38" i="5"/>
  <c r="AK46" i="8"/>
  <c r="AN46" i="8" s="1"/>
  <c r="AK44" i="8"/>
  <c r="AN44" i="8" s="1"/>
  <c r="AK8" i="5"/>
  <c r="AN8" i="5" s="1"/>
  <c r="AP8" i="5" s="1"/>
  <c r="AP18" i="5" s="1"/>
  <c r="AK48" i="5"/>
  <c r="AN48" i="5" s="1"/>
  <c r="AK30" i="8"/>
  <c r="AJ45" i="19" s="1"/>
  <c r="AM45" i="19" s="1"/>
  <c r="AK28" i="8"/>
  <c r="AJ43" i="19" s="1"/>
  <c r="AM43" i="19" s="1"/>
  <c r="AK34" i="5"/>
  <c r="AK54" i="5"/>
  <c r="AK50" i="5"/>
  <c r="AJ15" i="21" s="1"/>
  <c r="AM15" i="21" s="1"/>
  <c r="AK56" i="5"/>
  <c r="AK40" i="5"/>
  <c r="AK28" i="5"/>
  <c r="AN28" i="5" s="1"/>
  <c r="AK24" i="8"/>
  <c r="AJ39" i="19" s="1"/>
  <c r="AM39" i="19" s="1"/>
  <c r="AK30" i="5"/>
  <c r="AN30" i="5" s="1"/>
  <c r="AK24" i="5"/>
  <c r="AN24" i="5" s="1"/>
  <c r="AK46" i="5"/>
  <c r="AJ11" i="21" s="1"/>
  <c r="AM11" i="21" s="1"/>
  <c r="AK50" i="8"/>
  <c r="AN50" i="8" s="1"/>
  <c r="AK58" i="5"/>
  <c r="AK6" i="5"/>
  <c r="AJ11" i="17" s="1"/>
  <c r="AM11" i="17" s="1"/>
  <c r="AK44" i="5"/>
  <c r="AJ9" i="21" s="1"/>
  <c r="A3" i="21" s="1"/>
  <c r="AK10" i="5"/>
  <c r="AJ15" i="17" s="1"/>
  <c r="AM15" i="17" s="1"/>
  <c r="AK48" i="8"/>
  <c r="AN48" i="8" s="1"/>
  <c r="AK36" i="5"/>
  <c r="AK4" i="5"/>
  <c r="AJ9" i="17" s="1"/>
  <c r="AK26" i="5"/>
  <c r="AJ11" i="19" s="1"/>
  <c r="AM11" i="19" s="1"/>
  <c r="AK26" i="8"/>
  <c r="AJ41" i="19" s="1"/>
  <c r="AM41" i="19" s="1"/>
  <c r="AT39" i="22"/>
  <c r="AU39" i="22" s="1"/>
  <c r="AT45" i="20"/>
  <c r="AU45" i="20" s="1"/>
  <c r="AT15" i="22"/>
  <c r="AU15" i="22" s="1"/>
  <c r="AT11" i="20"/>
  <c r="AU11" i="20" s="1"/>
  <c r="AT13" i="20"/>
  <c r="AU13" i="20" s="1"/>
  <c r="AT13" i="22"/>
  <c r="AU13" i="22" s="1"/>
  <c r="AI23" i="17"/>
  <c r="AI19" i="21"/>
  <c r="AI25" i="19"/>
  <c r="AI23" i="19"/>
  <c r="AI21" i="19"/>
  <c r="AI25" i="21"/>
  <c r="AI21" i="21"/>
  <c r="AI21" i="17"/>
  <c r="AI25" i="17"/>
  <c r="AI23" i="21"/>
  <c r="AL60" i="5"/>
  <c r="AI19" i="17"/>
  <c r="AI19" i="19"/>
  <c r="AK62" i="5"/>
  <c r="AI24" i="17"/>
  <c r="AI20" i="21"/>
  <c r="AI26" i="19"/>
  <c r="AI24" i="19"/>
  <c r="AI22" i="19"/>
  <c r="AI26" i="21"/>
  <c r="AI22" i="21"/>
  <c r="AT9" i="20"/>
  <c r="AU9" i="20" s="1"/>
  <c r="AR41" i="19"/>
  <c r="AV41" i="19"/>
  <c r="AQ41" i="19"/>
  <c r="AS41" i="19"/>
  <c r="AP41" i="19"/>
  <c r="AK41" i="19"/>
  <c r="AT43" i="20"/>
  <c r="AU43" i="20" s="1"/>
  <c r="AT43" i="22"/>
  <c r="AU43" i="22" s="1"/>
  <c r="AT39" i="20"/>
  <c r="AU39" i="20" s="1"/>
  <c r="AQ9" i="19"/>
  <c r="AK9" i="19"/>
  <c r="AV9" i="19"/>
  <c r="AP9" i="19"/>
  <c r="AS9" i="19"/>
  <c r="AR9" i="19"/>
  <c r="AR9" i="21"/>
  <c r="AV9" i="21"/>
  <c r="AS9" i="21"/>
  <c r="AQ9" i="21"/>
  <c r="AP9" i="21"/>
  <c r="AK9" i="21"/>
  <c r="AS25" i="20"/>
  <c r="AR25" i="20"/>
  <c r="AV25" i="20"/>
  <c r="AQ25" i="20"/>
  <c r="AK25" i="20"/>
  <c r="AP25" i="20"/>
  <c r="AT41" i="20"/>
  <c r="AU41" i="20" s="1"/>
  <c r="AT11" i="22"/>
  <c r="AU11" i="22" s="1"/>
  <c r="AK11" i="19"/>
  <c r="AV11" i="19"/>
  <c r="AS11" i="19"/>
  <c r="AR11" i="19"/>
  <c r="AQ11" i="19"/>
  <c r="AP11" i="19"/>
  <c r="AV39" i="21"/>
  <c r="AS39" i="21"/>
  <c r="AR39" i="21"/>
  <c r="AP39" i="21"/>
  <c r="AK39" i="21"/>
  <c r="AQ39" i="21"/>
  <c r="AK25" i="22"/>
  <c r="AQ25" i="22"/>
  <c r="AP25" i="22"/>
  <c r="AV25" i="22"/>
  <c r="AR25" i="22"/>
  <c r="AS25" i="22"/>
  <c r="AK23" i="22"/>
  <c r="AR23" i="22"/>
  <c r="AP23" i="22"/>
  <c r="AS23" i="22"/>
  <c r="AV23" i="22"/>
  <c r="AQ23" i="22"/>
  <c r="AH53" i="22"/>
  <c r="AH58" i="22"/>
  <c r="AI22" i="17"/>
  <c r="AI26" i="17"/>
  <c r="AI24" i="21"/>
  <c r="AQ21" i="20"/>
  <c r="AR21" i="20"/>
  <c r="AV21" i="20"/>
  <c r="AS21" i="20"/>
  <c r="AK21" i="20"/>
  <c r="AP21" i="20"/>
  <c r="AT45" i="22"/>
  <c r="AU45" i="22" s="1"/>
  <c r="AV13" i="21"/>
  <c r="AR13" i="21"/>
  <c r="AP13" i="21"/>
  <c r="AS13" i="21"/>
  <c r="AQ13" i="21"/>
  <c r="AK15" i="21"/>
  <c r="AP15" i="21"/>
  <c r="AS15" i="21"/>
  <c r="AQ15" i="21"/>
  <c r="AR15" i="21"/>
  <c r="AV15" i="21"/>
  <c r="AS45" i="19"/>
  <c r="AP45" i="19"/>
  <c r="AQ45" i="19"/>
  <c r="AV45" i="19"/>
  <c r="AR45" i="19"/>
  <c r="AK45" i="19"/>
  <c r="AR21" i="22"/>
  <c r="AQ21" i="22"/>
  <c r="AK21" i="22"/>
  <c r="AS21" i="22"/>
  <c r="AV21" i="22"/>
  <c r="AP21" i="22"/>
  <c r="AI20" i="17"/>
  <c r="AI20" i="19"/>
  <c r="AV43" i="19"/>
  <c r="AS43" i="19"/>
  <c r="AP43" i="19"/>
  <c r="AR43" i="19"/>
  <c r="AK43" i="19"/>
  <c r="AQ43" i="19"/>
  <c r="AK15" i="19"/>
  <c r="AP15" i="19"/>
  <c r="AR15" i="19"/>
  <c r="AV15" i="19"/>
  <c r="AS15" i="19"/>
  <c r="AQ15" i="19"/>
  <c r="AS19" i="20"/>
  <c r="AR19" i="20"/>
  <c r="AQ19" i="20"/>
  <c r="AV19" i="20"/>
  <c r="AP19" i="20"/>
  <c r="AK39" i="19"/>
  <c r="AV39" i="19"/>
  <c r="AS39" i="19"/>
  <c r="AQ39" i="19"/>
  <c r="AR39" i="19"/>
  <c r="AP39" i="19"/>
  <c r="AV13" i="19"/>
  <c r="AR13" i="19"/>
  <c r="AP13" i="19"/>
  <c r="AQ13" i="19"/>
  <c r="AS13" i="19"/>
  <c r="AI57" i="19"/>
  <c r="AI52" i="19"/>
  <c r="AT9" i="22"/>
  <c r="AU9" i="22" s="1"/>
  <c r="AQ23" i="20"/>
  <c r="AK23" i="20"/>
  <c r="AV23" i="20"/>
  <c r="AR23" i="20"/>
  <c r="AP23" i="20"/>
  <c r="AS23" i="20"/>
  <c r="AT15" i="20"/>
  <c r="AU15" i="20" s="1"/>
  <c r="AQ45" i="21"/>
  <c r="AS45" i="21"/>
  <c r="AP45" i="21"/>
  <c r="AV45" i="21"/>
  <c r="AR45" i="21"/>
  <c r="AK45" i="21"/>
  <c r="AR43" i="21"/>
  <c r="AV43" i="21"/>
  <c r="AS43" i="21"/>
  <c r="AQ43" i="21"/>
  <c r="AK43" i="21"/>
  <c r="AP43" i="21"/>
  <c r="AP19" i="22"/>
  <c r="AQ19" i="22"/>
  <c r="AS19" i="22"/>
  <c r="AV19" i="22"/>
  <c r="AR19" i="22"/>
  <c r="AP11" i="21"/>
  <c r="AK11" i="21"/>
  <c r="AR11" i="21"/>
  <c r="AQ11" i="21"/>
  <c r="AS11" i="21"/>
  <c r="AV11" i="21"/>
  <c r="AP41" i="21"/>
  <c r="AV41" i="21"/>
  <c r="AR41" i="21"/>
  <c r="AK41" i="21"/>
  <c r="AQ41" i="21"/>
  <c r="AS41" i="21"/>
  <c r="AI55" i="19"/>
  <c r="AI60" i="19"/>
  <c r="AJ39" i="20"/>
  <c r="AM39" i="20" s="1"/>
  <c r="AJ45" i="20"/>
  <c r="AM45" i="20" s="1"/>
  <c r="AJ41" i="20"/>
  <c r="AM41" i="20" s="1"/>
  <c r="AJ47" i="20"/>
  <c r="AM47" i="20" s="1"/>
  <c r="AJ43" i="20"/>
  <c r="AM43" i="20" s="1"/>
  <c r="AJ47" i="18"/>
  <c r="AM47" i="18" s="1"/>
  <c r="AN122" i="5"/>
  <c r="AN72" i="5"/>
  <c r="AN82" i="5"/>
  <c r="AN102" i="5"/>
  <c r="AN42" i="8"/>
  <c r="AN54" i="8"/>
  <c r="AN56" i="8"/>
  <c r="AN36" i="8"/>
  <c r="AN60" i="8"/>
  <c r="AN72" i="8"/>
  <c r="AN22" i="8"/>
  <c r="AN62" i="8"/>
  <c r="AN92" i="8"/>
  <c r="AN34" i="8"/>
  <c r="AN82" i="8"/>
  <c r="AN58" i="8"/>
  <c r="AN40" i="8"/>
  <c r="AN38" i="8"/>
  <c r="AK40" i="6"/>
  <c r="AK54" i="6"/>
  <c r="AJ19" i="22" s="1"/>
  <c r="AM19" i="22" s="1"/>
  <c r="AK14" i="6"/>
  <c r="AK62" i="6"/>
  <c r="AJ27" i="22" s="1"/>
  <c r="AM27" i="22" s="1"/>
  <c r="AK38" i="6"/>
  <c r="AK60" i="6"/>
  <c r="AJ25" i="22" s="1"/>
  <c r="AM25" i="22" s="1"/>
  <c r="AK34" i="6"/>
  <c r="AK16" i="6"/>
  <c r="AK58" i="6"/>
  <c r="AJ23" i="22" s="1"/>
  <c r="AM23" i="22" s="1"/>
  <c r="AK36" i="6"/>
  <c r="AK18" i="6"/>
  <c r="AK20" i="6"/>
  <c r="AK22" i="6"/>
  <c r="AK42" i="6"/>
  <c r="AK56" i="6"/>
  <c r="AJ21" i="22" s="1"/>
  <c r="AM21" i="22" s="1"/>
  <c r="AL24" i="6"/>
  <c r="AL30" i="6"/>
  <c r="AL26" i="6"/>
  <c r="AL40" i="6"/>
  <c r="AL50" i="6"/>
  <c r="AL8" i="6"/>
  <c r="AL54" i="6"/>
  <c r="AL14" i="6"/>
  <c r="AL62" i="6"/>
  <c r="AL38" i="6"/>
  <c r="AL28" i="6"/>
  <c r="AL6" i="6"/>
  <c r="AL10" i="6"/>
  <c r="AL60" i="6"/>
  <c r="AL34" i="6"/>
  <c r="AL16" i="6"/>
  <c r="AL58" i="6"/>
  <c r="AL48" i="6"/>
  <c r="AL36" i="6"/>
  <c r="AL18" i="6"/>
  <c r="AL20" i="6"/>
  <c r="AL22" i="6"/>
  <c r="AL46" i="6"/>
  <c r="AL44" i="6"/>
  <c r="AL4" i="6"/>
  <c r="AL42" i="6"/>
  <c r="AL56" i="6"/>
  <c r="AX13" i="21"/>
  <c r="AX33" i="22"/>
  <c r="AX45" i="21"/>
  <c r="AW35" i="19"/>
  <c r="AX9" i="21"/>
  <c r="AW41" i="19"/>
  <c r="AX37" i="22"/>
  <c r="AW27" i="20"/>
  <c r="AX29" i="20"/>
  <c r="AW47" i="22"/>
  <c r="AX31" i="19"/>
  <c r="AX11" i="19"/>
  <c r="AX19" i="19"/>
  <c r="AW47" i="19"/>
  <c r="AW31" i="22"/>
  <c r="AW19" i="19"/>
  <c r="AW25" i="22"/>
  <c r="AX23" i="19"/>
  <c r="AX35" i="19"/>
  <c r="AW27" i="19"/>
  <c r="AW27" i="17"/>
  <c r="AW21" i="21"/>
  <c r="AW29" i="19"/>
  <c r="AW23" i="21"/>
  <c r="AW35" i="20"/>
  <c r="AW43" i="21"/>
  <c r="AW29" i="20"/>
  <c r="AX23" i="22"/>
  <c r="AW17" i="19"/>
  <c r="AX33" i="19"/>
  <c r="AW19" i="20"/>
  <c r="AW41" i="21"/>
  <c r="AW13" i="19"/>
  <c r="AX25" i="21"/>
  <c r="AW23" i="19"/>
  <c r="AX21" i="19"/>
  <c r="AW31" i="19"/>
  <c r="AW35" i="22"/>
  <c r="AX37" i="17"/>
  <c r="AW17" i="17"/>
  <c r="AW21" i="19"/>
  <c r="AW47" i="21"/>
  <c r="AW19" i="21"/>
  <c r="AX27" i="19"/>
  <c r="AW15" i="19"/>
  <c r="AW33" i="22"/>
  <c r="AW37" i="20"/>
  <c r="AX31" i="21"/>
  <c r="AW31" i="21"/>
  <c r="AX47" i="20"/>
  <c r="AW17" i="21"/>
  <c r="AX25" i="20"/>
  <c r="AX21" i="20"/>
  <c r="AX25" i="19"/>
  <c r="AX19" i="22"/>
  <c r="AX23" i="21"/>
  <c r="AW31" i="20"/>
  <c r="AX35" i="22"/>
  <c r="AX19" i="21"/>
  <c r="AX47" i="22"/>
  <c r="AX29" i="22"/>
  <c r="AX27" i="21"/>
  <c r="AX47" i="17"/>
  <c r="AX27" i="17"/>
  <c r="AX29" i="21"/>
  <c r="AX29" i="19"/>
  <c r="AW29" i="22"/>
  <c r="AX47" i="21"/>
  <c r="AW33" i="19"/>
  <c r="AW29" i="21"/>
  <c r="AX31" i="22"/>
  <c r="AX35" i="20"/>
  <c r="AX21" i="21"/>
  <c r="AX17" i="17"/>
  <c r="AW27" i="22"/>
  <c r="AW25" i="19"/>
  <c r="AW47" i="17"/>
  <c r="AI55" i="21" l="1"/>
  <c r="AT31" i="22"/>
  <c r="AT17" i="19"/>
  <c r="AU17" i="19" s="1"/>
  <c r="AL12" i="6"/>
  <c r="AH58" i="21"/>
  <c r="AH53" i="20"/>
  <c r="AL32" i="6"/>
  <c r="AI52" i="21"/>
  <c r="AT37" i="20"/>
  <c r="AM9" i="17"/>
  <c r="A3" i="17"/>
  <c r="AR31" i="21"/>
  <c r="AM47" i="17"/>
  <c r="AN52" i="5"/>
  <c r="AM17" i="21"/>
  <c r="AK37" i="18"/>
  <c r="AU37" i="18" s="1"/>
  <c r="AM37" i="18"/>
  <c r="AM9" i="21"/>
  <c r="AJ41" i="21"/>
  <c r="AM41" i="21" s="1"/>
  <c r="AR35" i="19"/>
  <c r="AR17" i="17"/>
  <c r="AV17" i="17"/>
  <c r="AP17" i="17"/>
  <c r="AT35" i="20"/>
  <c r="AU35" i="20" s="1"/>
  <c r="AN10" i="5"/>
  <c r="AP10" i="5" s="1"/>
  <c r="AP20" i="5" s="1"/>
  <c r="AP30" i="5" s="1"/>
  <c r="AV29" i="19"/>
  <c r="AP35" i="19"/>
  <c r="AJ47" i="21"/>
  <c r="AM47" i="21" s="1"/>
  <c r="AQ35" i="19"/>
  <c r="AS35" i="19"/>
  <c r="AK35" i="19"/>
  <c r="AN44" i="5"/>
  <c r="AN46" i="5"/>
  <c r="AJ13" i="19"/>
  <c r="AM13" i="19" s="1"/>
  <c r="AJ13" i="21"/>
  <c r="AM13" i="21" s="1"/>
  <c r="AN30" i="8"/>
  <c r="AN24" i="8"/>
  <c r="AT33" i="20"/>
  <c r="AU33" i="20" s="1"/>
  <c r="AP29" i="19"/>
  <c r="AK29" i="19"/>
  <c r="AU31" i="22"/>
  <c r="AN26" i="5"/>
  <c r="AJ45" i="21"/>
  <c r="AM45" i="21" s="1"/>
  <c r="AQ29" i="19"/>
  <c r="AR29" i="19"/>
  <c r="AT29" i="19" s="1"/>
  <c r="AT33" i="22"/>
  <c r="AU33" i="22" s="1"/>
  <c r="AS31" i="21"/>
  <c r="AP31" i="21"/>
  <c r="AV31" i="21"/>
  <c r="AT29" i="22"/>
  <c r="AU29" i="22" s="1"/>
  <c r="AQ31" i="21"/>
  <c r="AP31" i="19"/>
  <c r="AK31" i="19"/>
  <c r="AR31" i="19"/>
  <c r="AV31" i="19"/>
  <c r="AS31" i="19"/>
  <c r="AK10" i="7"/>
  <c r="AK8" i="7"/>
  <c r="AK12" i="7"/>
  <c r="AK48" i="7"/>
  <c r="AK46" i="7"/>
  <c r="AK102" i="8"/>
  <c r="AK82" i="7"/>
  <c r="AK30" i="7"/>
  <c r="AK32" i="5"/>
  <c r="AN32" i="5" s="1"/>
  <c r="AK6" i="7"/>
  <c r="AK26" i="7"/>
  <c r="AK32" i="7"/>
  <c r="AK24" i="7"/>
  <c r="AK122" i="7"/>
  <c r="AK72" i="7"/>
  <c r="AN72" i="7" s="1"/>
  <c r="AK50" i="7"/>
  <c r="AK102" i="7"/>
  <c r="AK28" i="7"/>
  <c r="AK32" i="8"/>
  <c r="AK44" i="7"/>
  <c r="AK4" i="7"/>
  <c r="AK52" i="7"/>
  <c r="AS33" i="21"/>
  <c r="AV33" i="21"/>
  <c r="AR33" i="21"/>
  <c r="AP37" i="19"/>
  <c r="AR37" i="19"/>
  <c r="AS37" i="19"/>
  <c r="AV37" i="19"/>
  <c r="AQ37" i="19"/>
  <c r="AV29" i="21"/>
  <c r="AQ33" i="21"/>
  <c r="AN112" i="8"/>
  <c r="AN60" i="7"/>
  <c r="AJ35" i="22"/>
  <c r="AM35" i="22" s="1"/>
  <c r="AJ37" i="20"/>
  <c r="AN42" i="7"/>
  <c r="AK33" i="19"/>
  <c r="AV33" i="19"/>
  <c r="AR33" i="19"/>
  <c r="AT33" i="19" s="1"/>
  <c r="AP33" i="19"/>
  <c r="AQ33" i="19"/>
  <c r="AT37" i="22"/>
  <c r="AV37" i="21"/>
  <c r="AS37" i="21"/>
  <c r="AQ37" i="21"/>
  <c r="AR37" i="21"/>
  <c r="AP37" i="21"/>
  <c r="AT29" i="20"/>
  <c r="AU29" i="20" s="1"/>
  <c r="AT31" i="20"/>
  <c r="AU31" i="20" s="1"/>
  <c r="AS35" i="21"/>
  <c r="AL128" i="7"/>
  <c r="AN112" i="7"/>
  <c r="AJ33" i="22"/>
  <c r="AM33" i="22" s="1"/>
  <c r="AN58" i="7"/>
  <c r="AJ31" i="22"/>
  <c r="AM31" i="22" s="1"/>
  <c r="AN56" i="7"/>
  <c r="AI59" i="21"/>
  <c r="AI54" i="21"/>
  <c r="AK29" i="21"/>
  <c r="AR29" i="21"/>
  <c r="AP33" i="21"/>
  <c r="AQ37" i="17"/>
  <c r="AP37" i="17"/>
  <c r="AS37" i="17"/>
  <c r="AV37" i="17"/>
  <c r="AR37" i="17"/>
  <c r="AJ29" i="20"/>
  <c r="AM29" i="20" s="1"/>
  <c r="AN34" i="7"/>
  <c r="AN62" i="7"/>
  <c r="AJ37" i="22"/>
  <c r="AJ31" i="20"/>
  <c r="AM31" i="20" s="1"/>
  <c r="AN36" i="7"/>
  <c r="AN40" i="7"/>
  <c r="AJ35" i="20"/>
  <c r="AM35" i="20" s="1"/>
  <c r="AI54" i="19"/>
  <c r="AI59" i="19"/>
  <c r="AK35" i="21"/>
  <c r="AQ35" i="21"/>
  <c r="AP35" i="21"/>
  <c r="AR35" i="21"/>
  <c r="AV35" i="21"/>
  <c r="AT35" i="22"/>
  <c r="AU35" i="22" s="1"/>
  <c r="AQ29" i="21"/>
  <c r="AS29" i="21"/>
  <c r="AK33" i="21"/>
  <c r="AJ33" i="20"/>
  <c r="AM33" i="20" s="1"/>
  <c r="AN38" i="7"/>
  <c r="AJ29" i="22"/>
  <c r="AM29" i="22" s="1"/>
  <c r="AN54" i="7"/>
  <c r="AN92" i="7"/>
  <c r="AN50" i="5"/>
  <c r="AJ17" i="17"/>
  <c r="AM17" i="17" s="1"/>
  <c r="AN12" i="8"/>
  <c r="AP12" i="8" s="1"/>
  <c r="AP22" i="8" s="1"/>
  <c r="AN122" i="8"/>
  <c r="AN4" i="5"/>
  <c r="AP4" i="5" s="1"/>
  <c r="AP14" i="5" s="1"/>
  <c r="AP24" i="5" s="1"/>
  <c r="AT47" i="19"/>
  <c r="AU47" i="19" s="1"/>
  <c r="AL52" i="6"/>
  <c r="AJ13" i="17"/>
  <c r="AM13" i="17" s="1"/>
  <c r="AH58" i="19"/>
  <c r="AT27" i="22"/>
  <c r="AU27" i="22" s="1"/>
  <c r="AQ27" i="21"/>
  <c r="AR27" i="21"/>
  <c r="AK27" i="21"/>
  <c r="AP27" i="21"/>
  <c r="AS27" i="21"/>
  <c r="AV27" i="21"/>
  <c r="AT47" i="20"/>
  <c r="AU47" i="20" s="1"/>
  <c r="AK52" i="6"/>
  <c r="AK12" i="6"/>
  <c r="AJ27" i="17" s="1"/>
  <c r="AM27" i="17" s="1"/>
  <c r="AK32" i="6"/>
  <c r="AJ27" i="19" s="1"/>
  <c r="AM27" i="19" s="1"/>
  <c r="AR27" i="17"/>
  <c r="AP27" i="17"/>
  <c r="AS27" i="17"/>
  <c r="AQ27" i="17"/>
  <c r="AV27" i="17"/>
  <c r="AK27" i="17"/>
  <c r="AR27" i="19"/>
  <c r="AK27" i="19"/>
  <c r="AP27" i="19"/>
  <c r="AV27" i="19"/>
  <c r="AS27" i="19"/>
  <c r="AT27" i="19" s="1"/>
  <c r="AQ27" i="19"/>
  <c r="AT47" i="22"/>
  <c r="AU47" i="22" s="1"/>
  <c r="AV27" i="20"/>
  <c r="AS27" i="20"/>
  <c r="AR27" i="20"/>
  <c r="AQ27" i="20"/>
  <c r="AP27" i="20"/>
  <c r="AK27" i="20"/>
  <c r="AV17" i="21"/>
  <c r="AQ17" i="21"/>
  <c r="AP17" i="21"/>
  <c r="AR17" i="21"/>
  <c r="AS17" i="21"/>
  <c r="AK47" i="17"/>
  <c r="AQ47" i="17"/>
  <c r="AV47" i="17"/>
  <c r="AR47" i="17"/>
  <c r="AS47" i="17"/>
  <c r="AP47" i="17"/>
  <c r="AS17" i="17"/>
  <c r="AT17" i="17" s="1"/>
  <c r="AU17" i="17" s="1"/>
  <c r="AS47" i="21"/>
  <c r="AV47" i="21"/>
  <c r="AK47" i="21"/>
  <c r="AR47" i="21"/>
  <c r="AP47" i="21"/>
  <c r="AQ47" i="21"/>
  <c r="AN28" i="8"/>
  <c r="AJ39" i="21"/>
  <c r="AM39" i="21" s="1"/>
  <c r="AT39" i="21"/>
  <c r="AN6" i="5"/>
  <c r="AP6" i="5" s="1"/>
  <c r="AP16" i="5" s="1"/>
  <c r="AN26" i="8"/>
  <c r="AJ15" i="19"/>
  <c r="AM15" i="19" s="1"/>
  <c r="AJ9" i="19"/>
  <c r="A3" i="19" s="1"/>
  <c r="AJ43" i="21"/>
  <c r="AM43" i="21" s="1"/>
  <c r="AT13" i="21"/>
  <c r="AU13" i="21" s="1"/>
  <c r="AT21" i="20"/>
  <c r="AU21" i="20" s="1"/>
  <c r="AU39" i="21"/>
  <c r="AT11" i="21"/>
  <c r="AU11" i="21" s="1"/>
  <c r="AT19" i="22"/>
  <c r="AU19" i="22" s="1"/>
  <c r="AK30" i="6"/>
  <c r="AJ25" i="19" s="1"/>
  <c r="AM25" i="19" s="1"/>
  <c r="AK48" i="6"/>
  <c r="AJ23" i="21" s="1"/>
  <c r="AM23" i="21" s="1"/>
  <c r="AK24" i="6"/>
  <c r="AJ19" i="19" s="1"/>
  <c r="AM19" i="19" s="1"/>
  <c r="AK6" i="6"/>
  <c r="AN6" i="6" s="1"/>
  <c r="AP6" i="6" s="1"/>
  <c r="AK60" i="5"/>
  <c r="AN60" i="5" s="1"/>
  <c r="AK4" i="6"/>
  <c r="AN4" i="6" s="1"/>
  <c r="AP4" i="6" s="1"/>
  <c r="AK50" i="6"/>
  <c r="AN50" i="6" s="1"/>
  <c r="AK28" i="6"/>
  <c r="AJ23" i="19" s="1"/>
  <c r="AM23" i="19" s="1"/>
  <c r="AK26" i="6"/>
  <c r="AJ21" i="19" s="1"/>
  <c r="AM21" i="19" s="1"/>
  <c r="AK46" i="6"/>
  <c r="AJ21" i="21" s="1"/>
  <c r="AM21" i="21" s="1"/>
  <c r="AK10" i="6"/>
  <c r="AJ25" i="17" s="1"/>
  <c r="AM25" i="17" s="1"/>
  <c r="AK44" i="6"/>
  <c r="AJ19" i="21" s="1"/>
  <c r="AM19" i="21" s="1"/>
  <c r="AK8" i="6"/>
  <c r="AJ23" i="17" s="1"/>
  <c r="AM23" i="17" s="1"/>
  <c r="AJ13" i="22"/>
  <c r="AM13" i="22" s="1"/>
  <c r="AN58" i="5"/>
  <c r="AN40" i="5"/>
  <c r="AJ15" i="20"/>
  <c r="AM15" i="20" s="1"/>
  <c r="AN34" i="5"/>
  <c r="AJ9" i="20"/>
  <c r="A3" i="20" s="1"/>
  <c r="AJ11" i="22"/>
  <c r="AM11" i="22" s="1"/>
  <c r="AN56" i="5"/>
  <c r="AJ13" i="20"/>
  <c r="AM13" i="20" s="1"/>
  <c r="AN38" i="5"/>
  <c r="AT21" i="22"/>
  <c r="AU21" i="22" s="1"/>
  <c r="AJ11" i="20"/>
  <c r="AM11" i="20" s="1"/>
  <c r="AN36" i="5"/>
  <c r="AJ9" i="22"/>
  <c r="A3" i="22" s="1"/>
  <c r="AN54" i="5"/>
  <c r="AT45" i="21"/>
  <c r="AU45" i="21" s="1"/>
  <c r="AT15" i="19"/>
  <c r="AU15" i="19" s="1"/>
  <c r="AT23" i="22"/>
  <c r="AU23" i="22" s="1"/>
  <c r="AT41" i="21"/>
  <c r="AU41" i="21" s="1"/>
  <c r="AT43" i="21"/>
  <c r="AU43" i="21" s="1"/>
  <c r="AT23" i="20"/>
  <c r="AU23" i="20" s="1"/>
  <c r="AT43" i="19"/>
  <c r="AU43" i="19" s="1"/>
  <c r="AS19" i="19"/>
  <c r="AV19" i="19"/>
  <c r="AQ19" i="19"/>
  <c r="AR19" i="19"/>
  <c r="AP19" i="19"/>
  <c r="AV23" i="21"/>
  <c r="AQ23" i="21"/>
  <c r="AR23" i="21"/>
  <c r="AS23" i="21"/>
  <c r="AK23" i="21"/>
  <c r="AP23" i="21"/>
  <c r="AT11" i="19"/>
  <c r="AU11" i="19" s="1"/>
  <c r="AT41" i="19"/>
  <c r="AU41" i="19" s="1"/>
  <c r="AP21" i="19"/>
  <c r="AV21" i="19"/>
  <c r="AQ21" i="19"/>
  <c r="AR21" i="19"/>
  <c r="AS21" i="19"/>
  <c r="AK21" i="19"/>
  <c r="AT39" i="19"/>
  <c r="AU39" i="19" s="1"/>
  <c r="AT15" i="21"/>
  <c r="AU15" i="21" s="1"/>
  <c r="AT9" i="21"/>
  <c r="AU9" i="21" s="1"/>
  <c r="AK23" i="19"/>
  <c r="AS23" i="19"/>
  <c r="AP23" i="19"/>
  <c r="AQ23" i="19"/>
  <c r="AV23" i="19"/>
  <c r="AR23" i="19"/>
  <c r="AJ17" i="22"/>
  <c r="AM17" i="22" s="1"/>
  <c r="AN62" i="5"/>
  <c r="AI58" i="21"/>
  <c r="AI53" i="21"/>
  <c r="AT13" i="19"/>
  <c r="AU13" i="19" s="1"/>
  <c r="AT19" i="20"/>
  <c r="AU19" i="20" s="1"/>
  <c r="AT25" i="20"/>
  <c r="AU25" i="20" s="1"/>
  <c r="AT9" i="19"/>
  <c r="AU9" i="19" s="1"/>
  <c r="AQ21" i="21"/>
  <c r="AR21" i="21"/>
  <c r="AP21" i="21"/>
  <c r="AK21" i="21"/>
  <c r="AS21" i="21"/>
  <c r="AV21" i="21"/>
  <c r="AP25" i="19"/>
  <c r="AK25" i="19"/>
  <c r="AR25" i="19"/>
  <c r="AQ25" i="19"/>
  <c r="AS25" i="19"/>
  <c r="AV25" i="19"/>
  <c r="AI53" i="19"/>
  <c r="AI58" i="19"/>
  <c r="AT45" i="19"/>
  <c r="AU45" i="19" s="1"/>
  <c r="AT25" i="22"/>
  <c r="AU25" i="22" s="1"/>
  <c r="AR25" i="21"/>
  <c r="AQ25" i="21"/>
  <c r="AK25" i="21"/>
  <c r="AS25" i="21"/>
  <c r="AV25" i="21"/>
  <c r="AP25" i="21"/>
  <c r="AS19" i="21"/>
  <c r="AP19" i="21"/>
  <c r="AR19" i="21"/>
  <c r="AQ19" i="21"/>
  <c r="AV19" i="21"/>
  <c r="AJ21" i="20"/>
  <c r="AM21" i="20" s="1"/>
  <c r="AJ25" i="20"/>
  <c r="AM25" i="20" s="1"/>
  <c r="AJ19" i="20"/>
  <c r="AM19" i="20" s="1"/>
  <c r="AJ23" i="20"/>
  <c r="AM23" i="20" s="1"/>
  <c r="AJ27" i="20"/>
  <c r="AM27" i="20" s="1"/>
  <c r="AJ27" i="18"/>
  <c r="AM27" i="18" s="1"/>
  <c r="AJ19" i="18"/>
  <c r="AM19" i="18" s="1"/>
  <c r="AJ25" i="18"/>
  <c r="AM25" i="18" s="1"/>
  <c r="AJ23" i="18"/>
  <c r="AM23" i="18" s="1"/>
  <c r="AJ21" i="18"/>
  <c r="AM21" i="18" s="1"/>
  <c r="AP28" i="5"/>
  <c r="AP12" i="5"/>
  <c r="AP22" i="5" s="1"/>
  <c r="AN58" i="6"/>
  <c r="AN60" i="6"/>
  <c r="AN38" i="6"/>
  <c r="AN34" i="6"/>
  <c r="AN54" i="6"/>
  <c r="AL128" i="6"/>
  <c r="AN22" i="6"/>
  <c r="AN36" i="6"/>
  <c r="AN16" i="6"/>
  <c r="AN14" i="6"/>
  <c r="AN40" i="6"/>
  <c r="AN20" i="6"/>
  <c r="AN56" i="6"/>
  <c r="AN42" i="6"/>
  <c r="AN18" i="6"/>
  <c r="AN62" i="6"/>
  <c r="AW33" i="21"/>
  <c r="AX33" i="21"/>
  <c r="AW37" i="21"/>
  <c r="AW25" i="21"/>
  <c r="AX37" i="19"/>
  <c r="AW37" i="17"/>
  <c r="AW27" i="21"/>
  <c r="AX17" i="21"/>
  <c r="AX37" i="21"/>
  <c r="AX27" i="20"/>
  <c r="AW35" i="21"/>
  <c r="AW37" i="19"/>
  <c r="AX35" i="21"/>
  <c r="AT31" i="21" l="1"/>
  <c r="AU31" i="21" s="1"/>
  <c r="AN52" i="6"/>
  <c r="AT35" i="19"/>
  <c r="AU35" i="19" s="1"/>
  <c r="AM9" i="19"/>
  <c r="AM9" i="20"/>
  <c r="AK37" i="20"/>
  <c r="AU37" i="20" s="1"/>
  <c r="AM37" i="20"/>
  <c r="AM9" i="22"/>
  <c r="AK37" i="22"/>
  <c r="AU37" i="22" s="1"/>
  <c r="AM37" i="22"/>
  <c r="AP32" i="5"/>
  <c r="AP42" i="5" s="1"/>
  <c r="AP52" i="5" s="1"/>
  <c r="AP62" i="5" s="1"/>
  <c r="AP72" i="5" s="1"/>
  <c r="AP82" i="5" s="1"/>
  <c r="AP92" i="5" s="1"/>
  <c r="AP102" i="5" s="1"/>
  <c r="AP112" i="5" s="1"/>
  <c r="AP122" i="5" s="1"/>
  <c r="AP128" i="5" s="1"/>
  <c r="AN128" i="5"/>
  <c r="AK128" i="5"/>
  <c r="AU29" i="19"/>
  <c r="AK128" i="8"/>
  <c r="AJ17" i="19"/>
  <c r="AM17" i="19" s="1"/>
  <c r="AP26" i="5"/>
  <c r="AP36" i="5" s="1"/>
  <c r="AP46" i="5" s="1"/>
  <c r="AP56" i="5" s="1"/>
  <c r="AJ15" i="22"/>
  <c r="AM15" i="22" s="1"/>
  <c r="AT37" i="19"/>
  <c r="AT31" i="19"/>
  <c r="AU31" i="19" s="1"/>
  <c r="AT35" i="21"/>
  <c r="AU35" i="21" s="1"/>
  <c r="AU33" i="19"/>
  <c r="AT33" i="21"/>
  <c r="AU33" i="21" s="1"/>
  <c r="AT37" i="17"/>
  <c r="AN44" i="7"/>
  <c r="AJ29" i="21"/>
  <c r="AM29" i="21" s="1"/>
  <c r="AJ35" i="21"/>
  <c r="AM35" i="21" s="1"/>
  <c r="AN50" i="7"/>
  <c r="AN32" i="7"/>
  <c r="AJ37" i="19"/>
  <c r="AN30" i="7"/>
  <c r="AJ35" i="19"/>
  <c r="AM35" i="19" s="1"/>
  <c r="AN48" i="7"/>
  <c r="AJ33" i="21"/>
  <c r="AM33" i="21" s="1"/>
  <c r="AJ47" i="19"/>
  <c r="AM47" i="19" s="1"/>
  <c r="AN32" i="8"/>
  <c r="AP32" i="8" s="1"/>
  <c r="AP42" i="8" s="1"/>
  <c r="AP52" i="8" s="1"/>
  <c r="AP62" i="8" s="1"/>
  <c r="AP72" i="8" s="1"/>
  <c r="AP82" i="8" s="1"/>
  <c r="AP92" i="8" s="1"/>
  <c r="AJ31" i="19"/>
  <c r="AM31" i="19" s="1"/>
  <c r="AN26" i="7"/>
  <c r="AN82" i="7"/>
  <c r="AJ37" i="17"/>
  <c r="AN12" i="7"/>
  <c r="AK128" i="7"/>
  <c r="AT37" i="21"/>
  <c r="AN52" i="7"/>
  <c r="AJ37" i="21"/>
  <c r="AJ33" i="19"/>
  <c r="AM33" i="19" s="1"/>
  <c r="AN28" i="7"/>
  <c r="AN122" i="7"/>
  <c r="AJ31" i="17"/>
  <c r="AM31" i="17" s="1"/>
  <c r="AN6" i="7"/>
  <c r="AP6" i="7" s="1"/>
  <c r="AP16" i="7" s="1"/>
  <c r="AN102" i="8"/>
  <c r="AN8" i="7"/>
  <c r="AP8" i="7" s="1"/>
  <c r="AP18" i="7" s="1"/>
  <c r="AJ33" i="17"/>
  <c r="AM33" i="17" s="1"/>
  <c r="AT29" i="21"/>
  <c r="AU29" i="21" s="1"/>
  <c r="AJ29" i="17"/>
  <c r="AM29" i="17" s="1"/>
  <c r="AN4" i="7"/>
  <c r="AP4" i="7" s="1"/>
  <c r="AP14" i="7" s="1"/>
  <c r="AN102" i="7"/>
  <c r="AN24" i="7"/>
  <c r="AJ29" i="19"/>
  <c r="AM29" i="19" s="1"/>
  <c r="AN46" i="7"/>
  <c r="AJ31" i="21"/>
  <c r="AM31" i="21" s="1"/>
  <c r="AN10" i="7"/>
  <c r="AP10" i="7" s="1"/>
  <c r="AP20" i="7" s="1"/>
  <c r="AJ35" i="17"/>
  <c r="AM35" i="17" s="1"/>
  <c r="AJ27" i="21"/>
  <c r="AM27" i="21" s="1"/>
  <c r="AN12" i="6"/>
  <c r="AP12" i="6" s="1"/>
  <c r="AP22" i="6" s="1"/>
  <c r="AU27" i="19"/>
  <c r="AN32" i="6"/>
  <c r="AT27" i="17"/>
  <c r="AU27" i="17" s="1"/>
  <c r="AT27" i="21"/>
  <c r="AU27" i="21" s="1"/>
  <c r="AN8" i="6"/>
  <c r="AP8" i="6" s="1"/>
  <c r="AP18" i="6" s="1"/>
  <c r="AT47" i="21"/>
  <c r="AU47" i="21" s="1"/>
  <c r="AT47" i="17"/>
  <c r="AU47" i="17" s="1"/>
  <c r="AN26" i="6"/>
  <c r="AK128" i="6"/>
  <c r="AT17" i="21"/>
  <c r="AU17" i="21" s="1"/>
  <c r="AT27" i="20"/>
  <c r="AU27" i="20" s="1"/>
  <c r="AN44" i="6"/>
  <c r="AN28" i="6"/>
  <c r="AJ21" i="17"/>
  <c r="AM21" i="17" s="1"/>
  <c r="AP40" i="5"/>
  <c r="AP50" i="5" s="1"/>
  <c r="AP60" i="5" s="1"/>
  <c r="AN10" i="6"/>
  <c r="AP10" i="6" s="1"/>
  <c r="AP20" i="6" s="1"/>
  <c r="AN24" i="6"/>
  <c r="AN30" i="6"/>
  <c r="AP38" i="5"/>
  <c r="AP48" i="5" s="1"/>
  <c r="AP58" i="5" s="1"/>
  <c r="AJ25" i="21"/>
  <c r="AM25" i="21" s="1"/>
  <c r="AP34" i="5"/>
  <c r="AP44" i="5" s="1"/>
  <c r="AP54" i="5" s="1"/>
  <c r="AJ19" i="17"/>
  <c r="AM19" i="17" s="1"/>
  <c r="AN46" i="6"/>
  <c r="AN48" i="6"/>
  <c r="AT23" i="21"/>
  <c r="AU23" i="21" s="1"/>
  <c r="AT25" i="19"/>
  <c r="AU25" i="19" s="1"/>
  <c r="AT23" i="19"/>
  <c r="AU23" i="19" s="1"/>
  <c r="AT21" i="19"/>
  <c r="AU21" i="19" s="1"/>
  <c r="AT19" i="21"/>
  <c r="AU19" i="21" s="1"/>
  <c r="AT25" i="21"/>
  <c r="AU25" i="21" s="1"/>
  <c r="AT21" i="21"/>
  <c r="AU21" i="21" s="1"/>
  <c r="AT19" i="19"/>
  <c r="AU19" i="19" s="1"/>
  <c r="AP16" i="6"/>
  <c r="AP14" i="6"/>
  <c r="F108" i="8"/>
  <c r="AK37" i="17" l="1"/>
  <c r="AU37" i="17" s="1"/>
  <c r="AM37" i="17"/>
  <c r="AK37" i="19"/>
  <c r="AU37" i="19" s="1"/>
  <c r="AM37" i="19"/>
  <c r="AK37" i="21"/>
  <c r="AU37" i="21" s="1"/>
  <c r="AM37" i="21"/>
  <c r="AP30" i="7"/>
  <c r="AP40" i="7" s="1"/>
  <c r="AP50" i="7" s="1"/>
  <c r="AP60" i="7" s="1"/>
  <c r="AN128" i="8"/>
  <c r="AP12" i="7"/>
  <c r="AP22" i="7" s="1"/>
  <c r="AP32" i="7" s="1"/>
  <c r="AP42" i="7" s="1"/>
  <c r="AP52" i="7" s="1"/>
  <c r="AP62" i="7" s="1"/>
  <c r="AP72" i="7" s="1"/>
  <c r="AP82" i="7" s="1"/>
  <c r="AP92" i="7" s="1"/>
  <c r="AP102" i="7" s="1"/>
  <c r="AP112" i="7" s="1"/>
  <c r="AP122" i="7" s="1"/>
  <c r="AP128" i="7" s="1"/>
  <c r="AN128" i="7"/>
  <c r="AP26" i="7"/>
  <c r="AP36" i="7" s="1"/>
  <c r="AP46" i="7" s="1"/>
  <c r="AP56" i="7" s="1"/>
  <c r="AP24" i="7"/>
  <c r="AP34" i="7" s="1"/>
  <c r="AP44" i="7" s="1"/>
  <c r="AP54" i="7" s="1"/>
  <c r="AP102" i="8"/>
  <c r="AP112" i="8" s="1"/>
  <c r="AP122" i="8" s="1"/>
  <c r="AP128" i="8" s="1"/>
  <c r="AP28" i="7"/>
  <c r="AP38" i="7" s="1"/>
  <c r="AP48" i="7" s="1"/>
  <c r="AP58" i="7" s="1"/>
  <c r="AN128" i="6"/>
  <c r="AP32" i="6"/>
  <c r="AP42" i="6" s="1"/>
  <c r="AP52" i="6" s="1"/>
  <c r="AP62" i="6" s="1"/>
  <c r="AP26" i="6"/>
  <c r="AP36" i="6" s="1"/>
  <c r="AP46" i="6" s="1"/>
  <c r="AP56" i="6" s="1"/>
  <c r="AP66" i="6" s="1"/>
  <c r="AP76" i="6" s="1"/>
  <c r="AP86" i="6" s="1"/>
  <c r="AP96" i="6" s="1"/>
  <c r="AP106" i="6" s="1"/>
  <c r="AP116" i="6" s="1"/>
  <c r="AP28" i="6"/>
  <c r="AP38" i="6" s="1"/>
  <c r="AP48" i="6" s="1"/>
  <c r="AP58" i="6" s="1"/>
  <c r="AP68" i="6" s="1"/>
  <c r="AP78" i="6" s="1"/>
  <c r="AP88" i="6" s="1"/>
  <c r="AP98" i="6" s="1"/>
  <c r="AP108" i="6" s="1"/>
  <c r="AP118" i="6" s="1"/>
  <c r="AP24" i="6"/>
  <c r="AP34" i="6" s="1"/>
  <c r="AP44" i="6" s="1"/>
  <c r="AP54" i="6" s="1"/>
  <c r="AP64" i="6" s="1"/>
  <c r="AP74" i="6" s="1"/>
  <c r="AP84" i="6" s="1"/>
  <c r="AP94" i="6" s="1"/>
  <c r="AP104" i="6" s="1"/>
  <c r="AP114" i="6" s="1"/>
  <c r="AP30" i="6"/>
  <c r="AP40" i="6" s="1"/>
  <c r="AP50" i="6" s="1"/>
  <c r="AP60" i="6" s="1"/>
  <c r="AP70" i="6" s="1"/>
  <c r="AP80" i="6" s="1"/>
  <c r="AP90" i="6" s="1"/>
  <c r="AP100" i="6" s="1"/>
  <c r="AP110" i="6" s="1"/>
  <c r="AP120" i="6" s="1"/>
  <c r="AP72" i="6" l="1"/>
  <c r="AP82" i="6" s="1"/>
  <c r="AP92" i="6" s="1"/>
  <c r="AP102" i="6" s="1"/>
  <c r="AP112" i="6" s="1"/>
  <c r="AP122" i="6" s="1"/>
  <c r="AP128" i="6" s="1"/>
  <c r="AM8" i="8"/>
  <c r="AM6" i="8"/>
  <c r="AM10" i="8"/>
  <c r="AM4" i="8"/>
  <c r="AM106" i="5"/>
  <c r="AM125" i="6"/>
  <c r="AM108" i="7"/>
  <c r="AM126" i="7" s="1"/>
  <c r="AM126" i="6"/>
  <c r="AM127" i="6"/>
  <c r="AM110" i="7"/>
  <c r="AM127" i="7" s="1"/>
  <c r="AM104" i="8"/>
  <c r="AM104" i="7"/>
  <c r="AM124" i="7" s="1"/>
  <c r="AM110" i="8"/>
  <c r="AM108" i="8"/>
  <c r="AM124" i="6"/>
  <c r="AM106" i="7"/>
  <c r="AM125" i="7" s="1"/>
  <c r="AM106" i="8"/>
  <c r="AM104" i="5"/>
  <c r="AM110" i="5"/>
  <c r="AM127" i="5" s="1"/>
  <c r="AM108" i="5"/>
  <c r="T116" i="5"/>
  <c r="F116" i="7"/>
  <c r="M116" i="8"/>
  <c r="G116" i="7"/>
  <c r="T120" i="8"/>
  <c r="P116" i="8"/>
  <c r="J120" i="5"/>
  <c r="T114" i="7"/>
  <c r="P116" i="7"/>
  <c r="G114" i="8"/>
  <c r="O114" i="7"/>
  <c r="F120" i="8"/>
  <c r="Q114" i="5"/>
  <c r="R120" i="8"/>
  <c r="Q114" i="7"/>
  <c r="L116" i="7"/>
  <c r="G118" i="7"/>
  <c r="I114" i="8"/>
  <c r="T114" i="5"/>
  <c r="O114" i="5"/>
  <c r="Q118" i="7"/>
  <c r="F118" i="7"/>
  <c r="T118" i="5"/>
  <c r="O120" i="8"/>
  <c r="G114" i="5"/>
  <c r="I118" i="7"/>
  <c r="F118" i="8"/>
  <c r="I114" i="5"/>
  <c r="P120" i="8"/>
  <c r="E118" i="8"/>
  <c r="L120" i="8"/>
  <c r="N114" i="7"/>
  <c r="J114" i="7"/>
  <c r="T120" i="7"/>
  <c r="I120" i="7"/>
  <c r="R116" i="7"/>
  <c r="P114" i="8"/>
  <c r="G120" i="8"/>
  <c r="E116" i="7"/>
  <c r="O116" i="8"/>
  <c r="S120" i="8"/>
  <c r="M114" i="7"/>
  <c r="N120" i="8"/>
  <c r="T116" i="7"/>
  <c r="J116" i="5"/>
  <c r="J118" i="7"/>
  <c r="H116" i="5"/>
  <c r="F118" i="5"/>
  <c r="Q116" i="8"/>
  <c r="L118" i="8"/>
  <c r="T118" i="7"/>
  <c r="I118" i="8"/>
  <c r="H114" i="8"/>
  <c r="H114" i="5"/>
  <c r="S116" i="7"/>
  <c r="L116" i="8"/>
  <c r="F114" i="7"/>
  <c r="K120" i="5"/>
  <c r="H116" i="8"/>
  <c r="S114" i="5"/>
  <c r="Q118" i="8"/>
  <c r="E116" i="5"/>
  <c r="J120" i="8"/>
  <c r="K118" i="7"/>
  <c r="G120" i="7"/>
  <c r="H118" i="5"/>
  <c r="S116" i="5"/>
  <c r="T114" i="8"/>
  <c r="R120" i="5"/>
  <c r="P114" i="5"/>
  <c r="T118" i="8"/>
  <c r="Q116" i="5"/>
  <c r="L118" i="7"/>
  <c r="R120" i="7"/>
  <c r="K120" i="7"/>
  <c r="K114" i="7"/>
  <c r="R118" i="8"/>
  <c r="Q118" i="5"/>
  <c r="J120" i="7"/>
  <c r="M116" i="5"/>
  <c r="L114" i="8"/>
  <c r="R114" i="5"/>
  <c r="E120" i="7"/>
  <c r="N114" i="5"/>
  <c r="Q120" i="7"/>
  <c r="H114" i="7"/>
  <c r="K118" i="8"/>
  <c r="R114" i="8"/>
  <c r="F120" i="7"/>
  <c r="O116" i="7"/>
  <c r="G116" i="8"/>
  <c r="H120" i="7"/>
  <c r="T116" i="8"/>
  <c r="N114" i="8"/>
  <c r="I116" i="5"/>
  <c r="P114" i="7"/>
  <c r="R118" i="5"/>
  <c r="E116" i="8"/>
  <c r="M114" i="5"/>
  <c r="O120" i="5"/>
  <c r="L120" i="5"/>
  <c r="H116" i="7"/>
  <c r="J114" i="8"/>
  <c r="K116" i="7"/>
  <c r="H120" i="5"/>
  <c r="I114" i="7"/>
  <c r="S118" i="8"/>
  <c r="Q114" i="8"/>
  <c r="J118" i="5"/>
  <c r="J118" i="8"/>
  <c r="N120" i="7"/>
  <c r="Q116" i="7"/>
  <c r="R116" i="8"/>
  <c r="G118" i="8"/>
  <c r="S120" i="5"/>
  <c r="E114" i="8"/>
  <c r="P118" i="8"/>
  <c r="J114" i="5"/>
  <c r="F116" i="5"/>
  <c r="M120" i="7"/>
  <c r="M118" i="7"/>
  <c r="I120" i="8"/>
  <c r="O114" i="8"/>
  <c r="H118" i="8"/>
  <c r="S116" i="8"/>
  <c r="M120" i="5"/>
  <c r="S114" i="8"/>
  <c r="E120" i="5"/>
  <c r="N116" i="8"/>
  <c r="K116" i="8"/>
  <c r="N118" i="8"/>
  <c r="H118" i="7"/>
  <c r="I118" i="5"/>
  <c r="N118" i="7"/>
  <c r="N116" i="7"/>
  <c r="K114" i="8"/>
  <c r="G114" i="7"/>
  <c r="P118" i="5"/>
  <c r="P118" i="7"/>
  <c r="M116" i="7"/>
  <c r="P120" i="7"/>
  <c r="L114" i="5"/>
  <c r="S118" i="7"/>
  <c r="K116" i="5"/>
  <c r="E114" i="7"/>
  <c r="P120" i="5"/>
  <c r="E120" i="8"/>
  <c r="J116" i="7"/>
  <c r="L116" i="5"/>
  <c r="Q120" i="8"/>
  <c r="L120" i="7"/>
  <c r="L118" i="5"/>
  <c r="O120" i="7"/>
  <c r="S114" i="7"/>
  <c r="J116" i="8"/>
  <c r="M120" i="8"/>
  <c r="H120" i="8"/>
  <c r="R118" i="7"/>
  <c r="R116" i="5"/>
  <c r="F114" i="5"/>
  <c r="F120" i="5"/>
  <c r="S120" i="7"/>
  <c r="F114" i="8"/>
  <c r="G116" i="5"/>
  <c r="E114" i="5"/>
  <c r="N120" i="5"/>
  <c r="Q120" i="5"/>
  <c r="I120" i="5"/>
  <c r="F116" i="8"/>
  <c r="E118" i="5"/>
  <c r="K114" i="5"/>
  <c r="N116" i="5"/>
  <c r="I116" i="7"/>
  <c r="T120" i="5"/>
  <c r="M118" i="5"/>
  <c r="G118" i="5"/>
  <c r="G120" i="5"/>
  <c r="M118" i="8"/>
  <c r="E118" i="7"/>
  <c r="I116" i="8"/>
  <c r="O116" i="5"/>
  <c r="O118" i="5"/>
  <c r="K120" i="8"/>
  <c r="N118" i="5"/>
  <c r="S118" i="5"/>
  <c r="K118" i="5"/>
  <c r="R114" i="7"/>
  <c r="O118" i="7"/>
  <c r="L114" i="7"/>
  <c r="P116" i="5"/>
  <c r="O118" i="8"/>
  <c r="M114" i="8"/>
  <c r="M55" i="17" l="1"/>
  <c r="F60" i="17"/>
  <c r="H60" i="17"/>
  <c r="N59" i="17"/>
  <c r="I58" i="17"/>
  <c r="M54" i="17"/>
  <c r="Q59" i="17"/>
  <c r="E55" i="17"/>
  <c r="P57" i="17"/>
  <c r="N60" i="17"/>
  <c r="E60" i="17"/>
  <c r="J59" i="17"/>
  <c r="L60" i="17"/>
  <c r="Q57" i="17"/>
  <c r="N55" i="17"/>
  <c r="J54" i="17"/>
  <c r="P55" i="17"/>
  <c r="Q52" i="17"/>
  <c r="Q54" i="17"/>
  <c r="F58" i="17"/>
  <c r="K54" i="17"/>
  <c r="I60" i="17"/>
  <c r="F55" i="17"/>
  <c r="J52" i="17"/>
  <c r="G58" i="17"/>
  <c r="J60" i="17"/>
  <c r="H52" i="17"/>
  <c r="G53" i="17"/>
  <c r="N57" i="17"/>
  <c r="O53" i="17"/>
  <c r="F53" i="17"/>
  <c r="L52" i="17"/>
  <c r="I53" i="17"/>
  <c r="J57" i="17"/>
  <c r="M59" i="17"/>
  <c r="O59" i="17"/>
  <c r="K52" i="17"/>
  <c r="N54" i="17"/>
  <c r="O54" i="17"/>
  <c r="H55" i="17"/>
  <c r="L55" i="17"/>
  <c r="E59" i="17"/>
  <c r="L58" i="17"/>
  <c r="F54" i="17"/>
  <c r="O58" i="17"/>
  <c r="Q55" i="17"/>
  <c r="O57" i="17"/>
  <c r="F59" i="17"/>
  <c r="K57" i="17"/>
  <c r="H57" i="17"/>
  <c r="K59" i="17"/>
  <c r="I55" i="17"/>
  <c r="E54" i="17"/>
  <c r="P59" i="17"/>
  <c r="L53" i="17"/>
  <c r="M57" i="17"/>
  <c r="G59" i="17"/>
  <c r="H58" i="17"/>
  <c r="E58" i="17"/>
  <c r="E52" i="17"/>
  <c r="J55" i="17"/>
  <c r="J58" i="17"/>
  <c r="I52" i="17"/>
  <c r="N52" i="17"/>
  <c r="M53" i="17"/>
  <c r="Q53" i="17"/>
  <c r="G55" i="17"/>
  <c r="AK13" i="17"/>
  <c r="N58" i="17"/>
  <c r="F57" i="17"/>
  <c r="L57" i="17"/>
  <c r="I59" i="17"/>
  <c r="P58" i="17"/>
  <c r="L54" i="17"/>
  <c r="L59" i="17"/>
  <c r="G60" i="17"/>
  <c r="I57" i="17"/>
  <c r="K58" i="17"/>
  <c r="N53" i="17"/>
  <c r="P53" i="17"/>
  <c r="E57" i="17"/>
  <c r="Q58" i="17"/>
  <c r="M60" i="17"/>
  <c r="O52" i="17"/>
  <c r="G54" i="17"/>
  <c r="I54" i="17"/>
  <c r="M52" i="17"/>
  <c r="O60" i="17"/>
  <c r="K55" i="17"/>
  <c r="H53" i="17"/>
  <c r="J53" i="17"/>
  <c r="P52" i="17"/>
  <c r="K53" i="17"/>
  <c r="G57" i="17"/>
  <c r="K60" i="17"/>
  <c r="H54" i="17"/>
  <c r="O55" i="17"/>
  <c r="F52" i="17"/>
  <c r="G52" i="17"/>
  <c r="P60" i="17"/>
  <c r="E53" i="17"/>
  <c r="M58" i="17"/>
  <c r="Q60" i="17"/>
  <c r="H59" i="17"/>
  <c r="P54" i="17"/>
  <c r="AM125" i="5"/>
  <c r="AM126" i="5"/>
  <c r="AM124" i="5"/>
  <c r="U120" i="7"/>
  <c r="U116" i="7"/>
  <c r="U120" i="8"/>
  <c r="U116" i="5"/>
  <c r="U114" i="7"/>
  <c r="U114" i="5"/>
  <c r="U118" i="8"/>
  <c r="U118" i="7"/>
  <c r="U120" i="5"/>
  <c r="U114" i="8"/>
  <c r="U116" i="8"/>
  <c r="U118" i="5"/>
  <c r="R57" i="17" l="1"/>
  <c r="R58" i="17"/>
  <c r="R53" i="17"/>
  <c r="R54" i="17"/>
  <c r="R55" i="17"/>
  <c r="R60" i="17"/>
  <c r="R52" i="17"/>
  <c r="R59" i="17"/>
  <c r="R78" i="7"/>
  <c r="R74" i="7"/>
  <c r="H64" i="7"/>
  <c r="Q74" i="8"/>
  <c r="E78" i="7"/>
  <c r="S64" i="7"/>
  <c r="E80" i="5"/>
  <c r="J70" i="8"/>
  <c r="X118" i="7"/>
  <c r="M78" i="7"/>
  <c r="K74" i="7"/>
  <c r="E68" i="8"/>
  <c r="X116" i="7"/>
  <c r="R78" i="8"/>
  <c r="Q66" i="7"/>
  <c r="H78" i="7"/>
  <c r="E78" i="5"/>
  <c r="N64" i="8"/>
  <c r="H70" i="8"/>
  <c r="Q78" i="5"/>
  <c r="AD118" i="7"/>
  <c r="E66" i="5"/>
  <c r="T66" i="7"/>
  <c r="Q68" i="7"/>
  <c r="AE114" i="8"/>
  <c r="L76" i="8"/>
  <c r="V80" i="5"/>
  <c r="H74" i="7"/>
  <c r="J68" i="8"/>
  <c r="Q78" i="7"/>
  <c r="J76" i="8"/>
  <c r="J80" i="5"/>
  <c r="AE118" i="5"/>
  <c r="N74" i="8"/>
  <c r="L76" i="5"/>
  <c r="M80" i="5"/>
  <c r="P76" i="7"/>
  <c r="U66" i="7"/>
  <c r="T70" i="8"/>
  <c r="T76" i="7"/>
  <c r="V114" i="5"/>
  <c r="N78" i="8"/>
  <c r="U80" i="5"/>
  <c r="G68" i="7"/>
  <c r="AB120" i="7"/>
  <c r="G68" i="8"/>
  <c r="H76" i="5"/>
  <c r="S68" i="7"/>
  <c r="F74" i="7"/>
  <c r="S78" i="8"/>
  <c r="N76" i="7"/>
  <c r="N76" i="5"/>
  <c r="P80" i="5"/>
  <c r="X120" i="7"/>
  <c r="L80" i="8"/>
  <c r="W118" i="8"/>
  <c r="O68" i="7"/>
  <c r="U76" i="7"/>
  <c r="W120" i="8"/>
  <c r="J66" i="8"/>
  <c r="Z116" i="7"/>
  <c r="AA114" i="7"/>
  <c r="T80" i="5"/>
  <c r="N74" i="7"/>
  <c r="P64" i="8"/>
  <c r="R70" i="7"/>
  <c r="K68" i="7"/>
  <c r="V80" i="7"/>
  <c r="E66" i="8"/>
  <c r="I78" i="7"/>
  <c r="E76" i="5"/>
  <c r="P76" i="5"/>
  <c r="J64" i="7"/>
  <c r="L68" i="8"/>
  <c r="Q70" i="8"/>
  <c r="S64" i="8"/>
  <c r="E68" i="7"/>
  <c r="N70" i="8"/>
  <c r="E74" i="5"/>
  <c r="P68" i="7"/>
  <c r="L64" i="8"/>
  <c r="G78" i="5"/>
  <c r="L76" i="7"/>
  <c r="W78" i="5"/>
  <c r="F66" i="8"/>
  <c r="AA120" i="7"/>
  <c r="V64" i="7"/>
  <c r="H80" i="7"/>
  <c r="S68" i="8"/>
  <c r="G80" i="7"/>
  <c r="W114" i="5"/>
  <c r="Z120" i="7"/>
  <c r="Y118" i="5"/>
  <c r="I76" i="8"/>
  <c r="Z118" i="5"/>
  <c r="I66" i="8"/>
  <c r="Y116" i="7"/>
  <c r="R80" i="5"/>
  <c r="Q80" i="5"/>
  <c r="AC120" i="8"/>
  <c r="X120" i="8"/>
  <c r="P78" i="7"/>
  <c r="AB118" i="5"/>
  <c r="I80" i="5"/>
  <c r="T78" i="8"/>
  <c r="K78" i="7"/>
  <c r="L74" i="8"/>
  <c r="Q66" i="8"/>
  <c r="G66" i="7"/>
  <c r="W78" i="8"/>
  <c r="W116" i="7"/>
  <c r="P74" i="7"/>
  <c r="M70" i="7"/>
  <c r="Q80" i="8"/>
  <c r="AC116" i="8"/>
  <c r="AC118" i="8"/>
  <c r="O66" i="7"/>
  <c r="G76" i="5"/>
  <c r="I68" i="7"/>
  <c r="R80" i="7"/>
  <c r="E64" i="7"/>
  <c r="P78" i="8"/>
  <c r="T80" i="7"/>
  <c r="G80" i="5"/>
  <c r="I80" i="7"/>
  <c r="V68" i="7"/>
  <c r="V74" i="8"/>
  <c r="G78" i="8"/>
  <c r="M64" i="7"/>
  <c r="T64" i="7"/>
  <c r="F76" i="5"/>
  <c r="AB118" i="8"/>
  <c r="S80" i="8"/>
  <c r="O78" i="7"/>
  <c r="L74" i="7"/>
  <c r="Y114" i="8"/>
  <c r="Y120" i="7"/>
  <c r="F78" i="5"/>
  <c r="H66" i="7"/>
  <c r="J64" i="8"/>
  <c r="F70" i="7"/>
  <c r="W120" i="5"/>
  <c r="AC114" i="7"/>
  <c r="G70" i="8"/>
  <c r="G70" i="7"/>
  <c r="E70" i="5"/>
  <c r="V120" i="8"/>
  <c r="J78" i="7"/>
  <c r="O78" i="5"/>
  <c r="F76" i="7"/>
  <c r="U68" i="7"/>
  <c r="S78" i="7"/>
  <c r="H78" i="5"/>
  <c r="AB116" i="8"/>
  <c r="V120" i="5"/>
  <c r="O76" i="5"/>
  <c r="U64" i="7"/>
  <c r="M68" i="8"/>
  <c r="K64" i="8"/>
  <c r="N68" i="7"/>
  <c r="X114" i="8"/>
  <c r="K80" i="5"/>
  <c r="K76" i="7"/>
  <c r="Q76" i="8"/>
  <c r="N76" i="8"/>
  <c r="O78" i="8"/>
  <c r="M78" i="8"/>
  <c r="AD118" i="5"/>
  <c r="J76" i="5"/>
  <c r="E70" i="8"/>
  <c r="AD114" i="5"/>
  <c r="V118" i="8"/>
  <c r="I70" i="8"/>
  <c r="V66" i="8"/>
  <c r="S78" i="5"/>
  <c r="L80" i="7"/>
  <c r="AE120" i="5"/>
  <c r="V64" i="8"/>
  <c r="R68" i="8"/>
  <c r="AB116" i="7"/>
  <c r="X114" i="7"/>
  <c r="AD116" i="5"/>
  <c r="V66" i="7"/>
  <c r="K68" i="8"/>
  <c r="P68" i="8"/>
  <c r="S76" i="5"/>
  <c r="R68" i="7"/>
  <c r="E68" i="5"/>
  <c r="O68" i="8"/>
  <c r="H74" i="8"/>
  <c r="W74" i="8"/>
  <c r="M78" i="5"/>
  <c r="L66" i="7"/>
  <c r="T68" i="8"/>
  <c r="AB118" i="7"/>
  <c r="M68" i="7"/>
  <c r="X118" i="8"/>
  <c r="AB120" i="8"/>
  <c r="T64" i="8"/>
  <c r="F68" i="7"/>
  <c r="Z116" i="5"/>
  <c r="J76" i="7"/>
  <c r="Z114" i="8"/>
  <c r="W114" i="7"/>
  <c r="H70" i="7"/>
  <c r="AA118" i="8"/>
  <c r="E76" i="7"/>
  <c r="R66" i="7"/>
  <c r="T76" i="8"/>
  <c r="I70" i="7"/>
  <c r="G76" i="8"/>
  <c r="V118" i="7"/>
  <c r="F66" i="7"/>
  <c r="Q76" i="5"/>
  <c r="W114" i="8"/>
  <c r="G80" i="8"/>
  <c r="Q74" i="7"/>
  <c r="W78" i="7"/>
  <c r="R64" i="7"/>
  <c r="V116" i="7"/>
  <c r="J80" i="8"/>
  <c r="F76" i="8"/>
  <c r="O70" i="7"/>
  <c r="Y116" i="5"/>
  <c r="V70" i="7"/>
  <c r="O76" i="7"/>
  <c r="G76" i="7"/>
  <c r="Q64" i="7"/>
  <c r="AE118" i="8"/>
  <c r="V80" i="8"/>
  <c r="U74" i="8"/>
  <c r="AA114" i="8"/>
  <c r="P66" i="8"/>
  <c r="Y120" i="5"/>
  <c r="U66" i="8"/>
  <c r="W76" i="5"/>
  <c r="Y118" i="8"/>
  <c r="R76" i="5"/>
  <c r="V116" i="8"/>
  <c r="AB116" i="5"/>
  <c r="AB114" i="5"/>
  <c r="P80" i="8"/>
  <c r="K76" i="8"/>
  <c r="I74" i="8"/>
  <c r="O74" i="8"/>
  <c r="W76" i="7"/>
  <c r="E74" i="7"/>
  <c r="V76" i="8"/>
  <c r="AE116" i="8"/>
  <c r="H80" i="8"/>
  <c r="O64" i="8"/>
  <c r="S70" i="7"/>
  <c r="H76" i="7"/>
  <c r="G74" i="8"/>
  <c r="AA118" i="5"/>
  <c r="Z118" i="8"/>
  <c r="I78" i="8"/>
  <c r="AC118" i="7"/>
  <c r="W116" i="5"/>
  <c r="W118" i="5"/>
  <c r="I68" i="8"/>
  <c r="M80" i="8"/>
  <c r="G64" i="7"/>
  <c r="P76" i="8"/>
  <c r="S70" i="8"/>
  <c r="AA118" i="7"/>
  <c r="K78" i="8"/>
  <c r="F80" i="8"/>
  <c r="AE118" i="7"/>
  <c r="K64" i="7"/>
  <c r="V114" i="7"/>
  <c r="N80" i="7"/>
  <c r="R78" i="5"/>
  <c r="L78" i="5"/>
  <c r="F64" i="8"/>
  <c r="Q70" i="7"/>
  <c r="S76" i="8"/>
  <c r="AD114" i="8"/>
  <c r="H68" i="7"/>
  <c r="AB114" i="8"/>
  <c r="T78" i="7"/>
  <c r="L66" i="8"/>
  <c r="I76" i="5"/>
  <c r="H66" i="8"/>
  <c r="I76" i="7"/>
  <c r="J68" i="7"/>
  <c r="AD116" i="7"/>
  <c r="W118" i="7"/>
  <c r="U80" i="8"/>
  <c r="Y114" i="5"/>
  <c r="AD118" i="8"/>
  <c r="R64" i="8"/>
  <c r="AE114" i="7"/>
  <c r="W76" i="8"/>
  <c r="V68" i="8"/>
  <c r="E78" i="8"/>
  <c r="E66" i="7"/>
  <c r="V78" i="5"/>
  <c r="N66" i="8"/>
  <c r="AC120" i="7"/>
  <c r="V114" i="8"/>
  <c r="AE116" i="5"/>
  <c r="G74" i="7"/>
  <c r="I64" i="8"/>
  <c r="AE116" i="7"/>
  <c r="U74" i="7"/>
  <c r="AD120" i="8"/>
  <c r="J70" i="7"/>
  <c r="X114" i="5"/>
  <c r="Z114" i="7"/>
  <c r="K76" i="5"/>
  <c r="L78" i="7"/>
  <c r="M70" i="8"/>
  <c r="V76" i="5"/>
  <c r="K66" i="8"/>
  <c r="AC118" i="5"/>
  <c r="Y118" i="7"/>
  <c r="J78" i="5"/>
  <c r="T78" i="5"/>
  <c r="N78" i="7"/>
  <c r="AC116" i="5"/>
  <c r="F78" i="7"/>
  <c r="M76" i="7"/>
  <c r="S74" i="8"/>
  <c r="F80" i="7"/>
  <c r="AE120" i="7"/>
  <c r="U78" i="5"/>
  <c r="V90" i="7"/>
  <c r="T88" i="7"/>
  <c r="R86" i="8"/>
  <c r="E86" i="8"/>
  <c r="Q90" i="7"/>
  <c r="J88" i="5"/>
  <c r="W90" i="5"/>
  <c r="Q90" i="8"/>
  <c r="I86" i="7"/>
  <c r="N84" i="5"/>
  <c r="I90" i="8"/>
  <c r="J84" i="5"/>
  <c r="O84" i="7"/>
  <c r="F86" i="5"/>
  <c r="I88" i="8"/>
  <c r="E84" i="8"/>
  <c r="X78" i="7"/>
  <c r="W64" i="7"/>
  <c r="L90" i="7"/>
  <c r="AF114" i="5"/>
  <c r="F88" i="8"/>
  <c r="P90" i="8"/>
  <c r="H86" i="7"/>
  <c r="X78" i="5"/>
  <c r="F88" i="5"/>
  <c r="M90" i="7"/>
  <c r="N88" i="5"/>
  <c r="P88" i="5"/>
  <c r="L84" i="8"/>
  <c r="I90" i="7"/>
  <c r="U90" i="8"/>
  <c r="H90" i="5"/>
  <c r="G84" i="5"/>
  <c r="I84" i="7"/>
  <c r="E88" i="7"/>
  <c r="T88" i="5"/>
  <c r="Q88" i="5"/>
  <c r="R84" i="5"/>
  <c r="X80" i="5"/>
  <c r="T90" i="5"/>
  <c r="V84" i="7"/>
  <c r="O70" i="8"/>
  <c r="R70" i="8"/>
  <c r="Y116" i="8"/>
  <c r="M74" i="8"/>
  <c r="J78" i="8"/>
  <c r="I64" i="7"/>
  <c r="P70" i="7"/>
  <c r="W74" i="7"/>
  <c r="V74" i="7"/>
  <c r="G66" i="8"/>
  <c r="Q68" i="8"/>
  <c r="U78" i="8"/>
  <c r="W116" i="8"/>
  <c r="F74" i="8"/>
  <c r="Y120" i="8"/>
  <c r="M80" i="7"/>
  <c r="M76" i="8"/>
  <c r="P64" i="7"/>
  <c r="AD120" i="7"/>
  <c r="G78" i="7"/>
  <c r="T66" i="8"/>
  <c r="R66" i="8"/>
  <c r="K70" i="7"/>
  <c r="AA114" i="5"/>
  <c r="Z116" i="8"/>
  <c r="W80" i="5"/>
  <c r="G64" i="8"/>
  <c r="T74" i="7"/>
  <c r="P74" i="8"/>
  <c r="K70" i="8"/>
  <c r="T76" i="5"/>
  <c r="L78" i="8"/>
  <c r="AD120" i="5"/>
  <c r="AA116" i="7"/>
  <c r="O80" i="8"/>
  <c r="AA120" i="5"/>
  <c r="E74" i="8"/>
  <c r="S80" i="7"/>
  <c r="V120" i="7"/>
  <c r="J66" i="7"/>
  <c r="U80" i="7"/>
  <c r="K80" i="8"/>
  <c r="AE114" i="5"/>
  <c r="Z120" i="8"/>
  <c r="J80" i="7"/>
  <c r="V78" i="8"/>
  <c r="S66" i="8"/>
  <c r="N66" i="7"/>
  <c r="I66" i="7"/>
  <c r="V76" i="7"/>
  <c r="F68" i="8"/>
  <c r="X118" i="5"/>
  <c r="O74" i="7"/>
  <c r="U76" i="5"/>
  <c r="AF120" i="7"/>
  <c r="G90" i="7"/>
  <c r="K86" i="7"/>
  <c r="W66" i="8"/>
  <c r="AF116" i="7"/>
  <c r="F86" i="8"/>
  <c r="W86" i="8"/>
  <c r="P84" i="8"/>
  <c r="U88" i="7"/>
  <c r="P84" i="7"/>
  <c r="V84" i="5"/>
  <c r="I88" i="7"/>
  <c r="X88" i="5"/>
  <c r="J86" i="5"/>
  <c r="X84" i="7"/>
  <c r="H84" i="7"/>
  <c r="S88" i="5"/>
  <c r="L88" i="8"/>
  <c r="L86" i="8"/>
  <c r="X74" i="7"/>
  <c r="G88" i="8"/>
  <c r="O88" i="8"/>
  <c r="T84" i="7"/>
  <c r="S90" i="8"/>
  <c r="W90" i="8"/>
  <c r="U90" i="5"/>
  <c r="H88" i="8"/>
  <c r="I86" i="8"/>
  <c r="W88" i="7"/>
  <c r="K88" i="5"/>
  <c r="W88" i="8"/>
  <c r="F84" i="5"/>
  <c r="G90" i="8"/>
  <c r="L86" i="5"/>
  <c r="M84" i="5"/>
  <c r="V86" i="5"/>
  <c r="W84" i="5"/>
  <c r="J84" i="7"/>
  <c r="T86" i="7"/>
  <c r="V84" i="8"/>
  <c r="Q88" i="7"/>
  <c r="E84" i="7"/>
  <c r="H90" i="8"/>
  <c r="J84" i="8"/>
  <c r="R88" i="8"/>
  <c r="O84" i="5"/>
  <c r="O86" i="5"/>
  <c r="E80" i="8"/>
  <c r="H88" i="7"/>
  <c r="O88" i="7"/>
  <c r="W64" i="8"/>
  <c r="H90" i="7"/>
  <c r="E88" i="5"/>
  <c r="I88" i="5"/>
  <c r="K90" i="7"/>
  <c r="F86" i="7"/>
  <c r="AA120" i="8"/>
  <c r="K66" i="7"/>
  <c r="L68" i="7"/>
  <c r="K80" i="7"/>
  <c r="O80" i="5"/>
  <c r="Q76" i="7"/>
  <c r="H76" i="8"/>
  <c r="F70" i="8"/>
  <c r="R80" i="8"/>
  <c r="Q78" i="8"/>
  <c r="X116" i="5"/>
  <c r="P70" i="8"/>
  <c r="H68" i="8"/>
  <c r="Q64" i="8"/>
  <c r="Z118" i="7"/>
  <c r="M74" i="7"/>
  <c r="N78" i="5"/>
  <c r="M66" i="8"/>
  <c r="L70" i="7"/>
  <c r="O66" i="8"/>
  <c r="U70" i="7"/>
  <c r="N80" i="8"/>
  <c r="X120" i="5"/>
  <c r="M64" i="8"/>
  <c r="U78" i="7"/>
  <c r="U76" i="8"/>
  <c r="V78" i="7"/>
  <c r="Z114" i="5"/>
  <c r="AD116" i="8"/>
  <c r="I80" i="8"/>
  <c r="L70" i="8"/>
  <c r="AB114" i="7"/>
  <c r="W80" i="7"/>
  <c r="T70" i="7"/>
  <c r="O80" i="7"/>
  <c r="AC120" i="5"/>
  <c r="AC114" i="8"/>
  <c r="E64" i="8"/>
  <c r="U70" i="8"/>
  <c r="N64" i="7"/>
  <c r="H78" i="8"/>
  <c r="AE120" i="8"/>
  <c r="S74" i="7"/>
  <c r="F64" i="7"/>
  <c r="P80" i="7"/>
  <c r="S88" i="7"/>
  <c r="F88" i="7"/>
  <c r="N86" i="7"/>
  <c r="G86" i="5"/>
  <c r="J86" i="8"/>
  <c r="R84" i="7"/>
  <c r="F84" i="8"/>
  <c r="O86" i="8"/>
  <c r="L90" i="8"/>
  <c r="R86" i="5"/>
  <c r="N90" i="5"/>
  <c r="U86" i="7"/>
  <c r="X84" i="8"/>
  <c r="N90" i="7"/>
  <c r="X84" i="5"/>
  <c r="M88" i="7"/>
  <c r="N88" i="8"/>
  <c r="M86" i="8"/>
  <c r="J90" i="8"/>
  <c r="G84" i="7"/>
  <c r="S86" i="8"/>
  <c r="AF116" i="8"/>
  <c r="G90" i="5"/>
  <c r="M88" i="5"/>
  <c r="M76" i="5"/>
  <c r="S90" i="7"/>
  <c r="U84" i="7"/>
  <c r="S88" i="8"/>
  <c r="E86" i="7"/>
  <c r="K86" i="5"/>
  <c r="V90" i="8"/>
  <c r="AF114" i="8"/>
  <c r="N86" i="8"/>
  <c r="E90" i="7"/>
  <c r="S84" i="5"/>
  <c r="T88" i="8"/>
  <c r="L88" i="7"/>
  <c r="N90" i="8"/>
  <c r="H86" i="8"/>
  <c r="U84" i="8"/>
  <c r="X76" i="8"/>
  <c r="W86" i="7"/>
  <c r="R90" i="5"/>
  <c r="G84" i="8"/>
  <c r="V86" i="8"/>
  <c r="M90" i="8"/>
  <c r="M84" i="8"/>
  <c r="X90" i="8"/>
  <c r="S84" i="7"/>
  <c r="X86" i="7"/>
  <c r="N84" i="7"/>
  <c r="E90" i="8"/>
  <c r="R88" i="7"/>
  <c r="M86" i="7"/>
  <c r="AB120" i="5"/>
  <c r="X116" i="8"/>
  <c r="K74" i="8"/>
  <c r="L80" i="5"/>
  <c r="E80" i="7"/>
  <c r="AA116" i="5"/>
  <c r="V116" i="5"/>
  <c r="E76" i="8"/>
  <c r="O64" i="7"/>
  <c r="AA116" i="8"/>
  <c r="O76" i="8"/>
  <c r="E70" i="7"/>
  <c r="AF118" i="8"/>
  <c r="R90" i="7"/>
  <c r="R88" i="5"/>
  <c r="T74" i="8"/>
  <c r="X74" i="8"/>
  <c r="E88" i="8"/>
  <c r="U86" i="8"/>
  <c r="Q88" i="8"/>
  <c r="N86" i="5"/>
  <c r="X78" i="8"/>
  <c r="P86" i="5"/>
  <c r="J90" i="5"/>
  <c r="AF118" i="5"/>
  <c r="S84" i="8"/>
  <c r="U90" i="7"/>
  <c r="F90" i="5"/>
  <c r="X76" i="5"/>
  <c r="I86" i="5"/>
  <c r="M84" i="7"/>
  <c r="V88" i="8"/>
  <c r="Q84" i="7"/>
  <c r="E90" i="5"/>
  <c r="O90" i="7"/>
  <c r="J90" i="7"/>
  <c r="K88" i="8"/>
  <c r="K84" i="8"/>
  <c r="AF118" i="7"/>
  <c r="X76" i="7"/>
  <c r="G88" i="7"/>
  <c r="V86" i="7"/>
  <c r="S86" i="7"/>
  <c r="L86" i="7"/>
  <c r="P90" i="5"/>
  <c r="Z120" i="5"/>
  <c r="H84" i="5"/>
  <c r="G86" i="8"/>
  <c r="R84" i="8"/>
  <c r="F90" i="8"/>
  <c r="L90" i="5"/>
  <c r="O90" i="8"/>
  <c r="J86" i="7"/>
  <c r="H84" i="8"/>
  <c r="M88" i="8"/>
  <c r="N80" i="5"/>
  <c r="V88" i="5"/>
  <c r="J88" i="7"/>
  <c r="W70" i="8"/>
  <c r="K78" i="5"/>
  <c r="I74" i="7"/>
  <c r="F78" i="8"/>
  <c r="E64" i="5"/>
  <c r="I78" i="5"/>
  <c r="J74" i="7"/>
  <c r="AD114" i="7"/>
  <c r="F80" i="5"/>
  <c r="N70" i="7"/>
  <c r="T80" i="8"/>
  <c r="J74" i="8"/>
  <c r="U68" i="8"/>
  <c r="U64" i="8"/>
  <c r="X88" i="7"/>
  <c r="V90" i="5"/>
  <c r="K84" i="7"/>
  <c r="G88" i="5"/>
  <c r="W84" i="8"/>
  <c r="P90" i="7"/>
  <c r="T86" i="8"/>
  <c r="K90" i="8"/>
  <c r="E86" i="5"/>
  <c r="V88" i="7"/>
  <c r="T84" i="5"/>
  <c r="Q86" i="8"/>
  <c r="G86" i="7"/>
  <c r="I84" i="5"/>
  <c r="H88" i="5"/>
  <c r="M86" i="5"/>
  <c r="H86" i="5"/>
  <c r="U84" i="5"/>
  <c r="AF120" i="8"/>
  <c r="Q84" i="5"/>
  <c r="T86" i="5"/>
  <c r="U88" i="8"/>
  <c r="O84" i="8"/>
  <c r="K90" i="5"/>
  <c r="W68" i="8"/>
  <c r="K88" i="7"/>
  <c r="R86" i="7"/>
  <c r="Y114" i="7"/>
  <c r="S66" i="7"/>
  <c r="W88" i="5"/>
  <c r="P86" i="7"/>
  <c r="W68" i="7"/>
  <c r="L84" i="7"/>
  <c r="W86" i="5"/>
  <c r="T90" i="7"/>
  <c r="K84" i="5"/>
  <c r="P88" i="8"/>
  <c r="W84" i="7"/>
  <c r="Q86" i="7"/>
  <c r="F84" i="7"/>
  <c r="W70" i="7"/>
  <c r="V118" i="5"/>
  <c r="N68" i="8"/>
  <c r="L64" i="7"/>
  <c r="P78" i="5"/>
  <c r="R76" i="7"/>
  <c r="V70" i="8"/>
  <c r="W80" i="8"/>
  <c r="S80" i="5"/>
  <c r="P66" i="7"/>
  <c r="W120" i="7"/>
  <c r="R76" i="8"/>
  <c r="Q80" i="7"/>
  <c r="X90" i="5"/>
  <c r="Q90" i="5"/>
  <c r="N88" i="7"/>
  <c r="I84" i="8"/>
  <c r="X88" i="8"/>
  <c r="R90" i="8"/>
  <c r="P84" i="5"/>
  <c r="U88" i="5"/>
  <c r="T90" i="8"/>
  <c r="X80" i="7"/>
  <c r="L88" i="5"/>
  <c r="S90" i="5"/>
  <c r="J88" i="8"/>
  <c r="AF114" i="7"/>
  <c r="S86" i="5"/>
  <c r="Q84" i="8"/>
  <c r="X86" i="8"/>
  <c r="O88" i="5"/>
  <c r="N84" i="8"/>
  <c r="P88" i="7"/>
  <c r="L84" i="5"/>
  <c r="W66" i="7"/>
  <c r="X80" i="8"/>
  <c r="U86" i="5"/>
  <c r="Q86" i="5"/>
  <c r="O90" i="5"/>
  <c r="E84" i="5"/>
  <c r="W90" i="7"/>
  <c r="O86" i="7"/>
  <c r="X86" i="5"/>
  <c r="AC116" i="7"/>
  <c r="AC114" i="5"/>
  <c r="S76" i="7"/>
  <c r="R74" i="8"/>
  <c r="T68" i="7"/>
  <c r="H80" i="5"/>
  <c r="H64" i="8"/>
  <c r="M66" i="7"/>
  <c r="M90" i="5"/>
  <c r="AF120" i="5"/>
  <c r="F90" i="7"/>
  <c r="I90" i="5"/>
  <c r="P86" i="8"/>
  <c r="X90" i="7"/>
  <c r="T84" i="8"/>
  <c r="AF116" i="5"/>
  <c r="K86" i="8"/>
  <c r="AL104" i="5" l="1"/>
  <c r="AL106" i="5"/>
  <c r="AL108" i="5"/>
  <c r="AL110" i="5"/>
  <c r="AL106" i="8"/>
  <c r="AL104" i="8"/>
  <c r="AL110" i="8"/>
  <c r="AL108" i="8"/>
  <c r="AL104" i="7"/>
  <c r="AL106" i="7"/>
  <c r="AL108" i="7"/>
  <c r="AL110" i="7"/>
  <c r="Y88" i="7"/>
  <c r="Y88" i="5"/>
  <c r="AG114" i="5"/>
  <c r="Y90" i="5"/>
  <c r="AG116" i="8"/>
  <c r="AG114" i="7"/>
  <c r="Y88" i="8"/>
  <c r="Y84" i="8"/>
  <c r="Y90" i="8"/>
  <c r="Y90" i="7"/>
  <c r="AG120" i="5"/>
  <c r="Y84" i="7"/>
  <c r="Y86" i="8"/>
  <c r="AG118" i="8"/>
  <c r="Y86" i="5"/>
  <c r="AG114" i="8"/>
  <c r="Y84" i="5"/>
  <c r="Y86" i="7"/>
  <c r="AG116" i="7"/>
  <c r="AK104" i="5" l="1"/>
  <c r="AN104" i="5" s="1"/>
  <c r="AK110" i="5"/>
  <c r="AK108" i="5"/>
  <c r="AN108" i="5" s="1"/>
  <c r="AK106" i="5"/>
  <c r="AK104" i="7"/>
  <c r="AK110" i="7"/>
  <c r="AK108" i="7"/>
  <c r="AK106" i="7"/>
  <c r="AK108" i="8"/>
  <c r="AN108" i="8" s="1"/>
  <c r="AK106" i="8"/>
  <c r="AN106" i="8" s="1"/>
  <c r="AK110" i="8"/>
  <c r="AN110" i="8" s="1"/>
  <c r="AK104" i="8"/>
  <c r="AI118" i="5"/>
  <c r="AG116" i="5"/>
  <c r="AH116" i="7"/>
  <c r="AH118" i="8"/>
  <c r="AH114" i="8"/>
  <c r="AH114" i="7"/>
  <c r="AH116" i="5"/>
  <c r="AI120" i="8"/>
  <c r="AI114" i="5"/>
  <c r="AI116" i="7"/>
  <c r="AH118" i="7"/>
  <c r="AI120" i="5"/>
  <c r="AG120" i="7"/>
  <c r="AH120" i="8"/>
  <c r="AI114" i="8"/>
  <c r="AI118" i="7"/>
  <c r="AH116" i="8"/>
  <c r="AG120" i="8"/>
  <c r="AG118" i="5"/>
  <c r="AI114" i="7"/>
  <c r="AI116" i="5"/>
  <c r="AH118" i="5"/>
  <c r="AI118" i="8"/>
  <c r="AH120" i="5"/>
  <c r="AI116" i="8"/>
  <c r="AI120" i="7"/>
  <c r="AG118" i="7"/>
  <c r="AN106" i="5" l="1"/>
  <c r="AN104" i="8"/>
  <c r="AN104" i="7"/>
  <c r="AN108" i="7"/>
  <c r="AN106" i="7"/>
  <c r="AN110" i="5"/>
  <c r="AN110" i="7"/>
  <c r="AL116" i="7"/>
  <c r="AL114" i="7"/>
  <c r="AL118" i="7"/>
  <c r="AL118" i="5"/>
  <c r="AL116" i="5"/>
  <c r="AL118" i="8"/>
  <c r="AL120" i="8"/>
  <c r="AL116" i="8"/>
  <c r="AL114" i="8"/>
  <c r="AH120" i="7"/>
  <c r="AH114" i="5"/>
  <c r="AL114" i="5" l="1"/>
  <c r="AL120" i="7"/>
  <c r="AK118" i="5"/>
  <c r="AK116" i="7"/>
  <c r="AK118" i="7"/>
  <c r="AK118" i="8"/>
  <c r="AK114" i="8"/>
  <c r="AK116" i="5"/>
  <c r="AK114" i="7"/>
  <c r="AK120" i="8"/>
  <c r="AK116" i="8"/>
  <c r="AK114" i="5" l="1"/>
  <c r="AK120" i="7"/>
  <c r="AM18" i="8"/>
  <c r="AM14" i="8"/>
  <c r="AM20" i="8"/>
  <c r="AM16" i="8"/>
  <c r="W59" i="17"/>
  <c r="W54" i="17"/>
  <c r="T59" i="17"/>
  <c r="T54" i="17"/>
  <c r="V59" i="17"/>
  <c r="V54" i="17"/>
  <c r="Z59" i="17"/>
  <c r="Z54" i="17"/>
  <c r="W60" i="17"/>
  <c r="W55" i="17"/>
  <c r="Y58" i="17"/>
  <c r="Y53" i="17"/>
  <c r="X58" i="17"/>
  <c r="X53" i="17"/>
  <c r="V58" i="17"/>
  <c r="V53" i="17"/>
  <c r="T58" i="17"/>
  <c r="T53" i="17"/>
  <c r="S57" i="17"/>
  <c r="S52" i="17"/>
  <c r="X60" i="17"/>
  <c r="X55" i="17"/>
  <c r="V57" i="17"/>
  <c r="V52" i="17"/>
  <c r="T57" i="17"/>
  <c r="T52" i="17"/>
  <c r="U57" i="17"/>
  <c r="U52" i="17"/>
  <c r="V60" i="17"/>
  <c r="V55" i="17"/>
  <c r="Y60" i="17"/>
  <c r="Y55" i="17"/>
  <c r="U59" i="17"/>
  <c r="U54" i="17"/>
  <c r="Y59" i="17"/>
  <c r="Y54" i="17"/>
  <c r="S59" i="17"/>
  <c r="S54" i="17"/>
  <c r="T60" i="17"/>
  <c r="T55" i="17"/>
  <c r="W58" i="17"/>
  <c r="W53" i="17"/>
  <c r="X59" i="17"/>
  <c r="X54" i="17"/>
  <c r="S60" i="17"/>
  <c r="S55" i="17"/>
  <c r="U60" i="17"/>
  <c r="U55" i="17"/>
  <c r="S58" i="17"/>
  <c r="S53" i="17"/>
  <c r="Z58" i="17"/>
  <c r="Z53" i="17"/>
  <c r="Y57" i="17"/>
  <c r="Y52" i="17"/>
  <c r="U58" i="17"/>
  <c r="U53" i="17"/>
  <c r="X57" i="17"/>
  <c r="X52" i="17"/>
  <c r="W57" i="17"/>
  <c r="W52" i="17"/>
  <c r="Z57" i="17"/>
  <c r="Z52" i="17"/>
  <c r="Z60" i="17"/>
  <c r="Z55" i="17"/>
  <c r="AN116" i="8"/>
  <c r="AN118" i="8"/>
  <c r="AN120" i="8"/>
  <c r="AN114" i="8"/>
  <c r="AN118" i="7"/>
  <c r="AN116" i="7"/>
  <c r="AN114" i="7"/>
  <c r="AN118" i="5"/>
  <c r="AN116" i="5"/>
  <c r="AA88" i="5"/>
  <c r="AA86" i="5"/>
  <c r="AC90" i="5"/>
  <c r="Z90" i="5"/>
  <c r="Z84" i="7"/>
  <c r="AA90" i="8"/>
  <c r="Z86" i="5"/>
  <c r="AC84" i="7"/>
  <c r="Z84" i="5"/>
  <c r="Z84" i="8"/>
  <c r="Z86" i="7"/>
  <c r="AB90" i="5"/>
  <c r="AB90" i="7"/>
  <c r="Z90" i="8"/>
  <c r="AB90" i="8"/>
  <c r="AB86" i="8"/>
  <c r="AC86" i="8"/>
  <c r="AB88" i="5"/>
  <c r="AB84" i="5"/>
  <c r="Z86" i="8"/>
  <c r="AA88" i="7"/>
  <c r="AA90" i="5"/>
  <c r="AC86" i="5"/>
  <c r="AA84" i="5"/>
  <c r="AC88" i="8"/>
  <c r="AC84" i="5"/>
  <c r="AA90" i="7"/>
  <c r="AB84" i="7"/>
  <c r="AB86" i="7"/>
  <c r="AC84" i="8"/>
  <c r="AA88" i="8"/>
  <c r="AB88" i="7"/>
  <c r="AC86" i="7"/>
  <c r="AC90" i="8"/>
  <c r="Z88" i="7"/>
  <c r="AC88" i="5"/>
  <c r="Z88" i="5"/>
  <c r="AB84" i="8"/>
  <c r="AA84" i="7"/>
  <c r="AC90" i="7"/>
  <c r="AA86" i="7"/>
  <c r="AC88" i="7"/>
  <c r="Z88" i="8"/>
  <c r="AB86" i="5"/>
  <c r="Z90" i="7"/>
  <c r="AA86" i="8"/>
  <c r="AB88" i="8"/>
  <c r="AA84" i="8"/>
  <c r="AN120" i="7" l="1"/>
  <c r="AN114" i="5"/>
  <c r="AM125" i="8"/>
  <c r="AM124" i="8"/>
  <c r="AM127" i="8"/>
  <c r="AM126" i="8"/>
  <c r="AA60" i="17"/>
  <c r="AA55" i="17"/>
  <c r="AA58" i="17"/>
  <c r="AA53" i="17"/>
  <c r="AA59" i="17"/>
  <c r="AA54" i="17"/>
  <c r="AA57" i="17"/>
  <c r="AA52" i="17"/>
  <c r="AD88" i="7"/>
  <c r="AD84" i="8"/>
  <c r="AD86" i="7"/>
  <c r="AD86" i="5"/>
  <c r="AD90" i="5"/>
  <c r="AD84" i="5"/>
  <c r="AD86" i="8"/>
  <c r="AD84" i="7"/>
  <c r="AD90" i="7"/>
  <c r="AD88" i="8"/>
  <c r="AD88" i="5"/>
  <c r="AD90" i="8"/>
  <c r="AB59" i="17" l="1"/>
  <c r="AB54" i="17"/>
  <c r="AB60" i="17"/>
  <c r="AB55" i="17"/>
  <c r="AD60" i="17"/>
  <c r="AD55" i="17"/>
  <c r="AE60" i="17"/>
  <c r="AE55" i="17"/>
  <c r="AE57" i="17"/>
  <c r="AE52" i="17"/>
  <c r="AE59" i="17"/>
  <c r="AE54" i="17"/>
  <c r="AB58" i="17"/>
  <c r="AB53" i="17"/>
  <c r="AE58" i="17"/>
  <c r="AE53" i="17"/>
  <c r="AC59" i="17"/>
  <c r="AC54" i="17"/>
  <c r="AD59" i="17"/>
  <c r="AD54" i="17"/>
  <c r="AC52" i="17"/>
  <c r="AC57" i="17"/>
  <c r="AB57" i="17"/>
  <c r="AB52" i="17"/>
  <c r="AC58" i="17"/>
  <c r="AC53" i="17"/>
  <c r="AD57" i="17"/>
  <c r="AD52" i="17"/>
  <c r="AD58" i="17"/>
  <c r="AD53" i="17"/>
  <c r="AC60" i="17"/>
  <c r="AC55" i="17"/>
  <c r="AF57" i="17" l="1"/>
  <c r="AF52" i="17"/>
  <c r="AF60" i="17"/>
  <c r="AF55" i="17"/>
  <c r="AF58" i="17"/>
  <c r="AF53" i="17"/>
  <c r="AF59" i="17"/>
  <c r="AF54" i="17"/>
  <c r="AL74" i="5"/>
  <c r="V94" i="8"/>
  <c r="X98" i="8"/>
  <c r="V100" i="7"/>
  <c r="N98" i="8"/>
  <c r="AG100" i="7"/>
  <c r="X94" i="5"/>
  <c r="S94" i="8"/>
  <c r="L98" i="5"/>
  <c r="AI98" i="8"/>
  <c r="J100" i="5"/>
  <c r="K98" i="8"/>
  <c r="I94" i="7"/>
  <c r="AC94" i="8"/>
  <c r="N94" i="7"/>
  <c r="Y100" i="5"/>
  <c r="N98" i="7"/>
  <c r="O94" i="5"/>
  <c r="J98" i="7"/>
  <c r="E94" i="8"/>
  <c r="W100" i="7"/>
  <c r="Z100" i="7"/>
  <c r="AI98" i="7"/>
  <c r="U96" i="8"/>
  <c r="AB98" i="5"/>
  <c r="H98" i="5"/>
  <c r="N94" i="5"/>
  <c r="R98" i="7"/>
  <c r="AG94" i="7"/>
  <c r="L98" i="7"/>
  <c r="V98" i="5"/>
  <c r="P96" i="5"/>
  <c r="AA94" i="7"/>
  <c r="AA100" i="5"/>
  <c r="K96" i="5"/>
  <c r="P98" i="8"/>
  <c r="T100" i="8"/>
  <c r="F94" i="7"/>
  <c r="Z98" i="8"/>
  <c r="U100" i="5"/>
  <c r="X100" i="7"/>
  <c r="Q94" i="7"/>
  <c r="M100" i="7"/>
  <c r="X94" i="8"/>
  <c r="AH98" i="7"/>
  <c r="AE98" i="8"/>
  <c r="AA100" i="7"/>
  <c r="L100" i="5"/>
  <c r="R100" i="7"/>
  <c r="Y98" i="5"/>
  <c r="AG96" i="7"/>
  <c r="F94" i="5"/>
  <c r="N100" i="8"/>
  <c r="W94" i="5"/>
  <c r="G94" i="7"/>
  <c r="AI98" i="5"/>
  <c r="AA98" i="5"/>
  <c r="S98" i="5"/>
  <c r="P98" i="7"/>
  <c r="AC98" i="5"/>
  <c r="P98" i="5"/>
  <c r="T100" i="7"/>
  <c r="J94" i="8"/>
  <c r="R94" i="7"/>
  <c r="W94" i="7"/>
  <c r="E96" i="5"/>
  <c r="U98" i="7"/>
  <c r="G98" i="5"/>
  <c r="AB96" i="7"/>
  <c r="Q98" i="5"/>
  <c r="Q100" i="5"/>
  <c r="L96" i="8"/>
  <c r="H100" i="5"/>
  <c r="AD100" i="5"/>
  <c r="J96" i="7"/>
  <c r="AG94" i="8"/>
  <c r="Y100" i="8"/>
  <c r="P100" i="7"/>
  <c r="Z96" i="7"/>
  <c r="AE96" i="7"/>
  <c r="AC98" i="8"/>
  <c r="N100" i="7"/>
  <c r="AF94" i="5"/>
  <c r="G98" i="7"/>
  <c r="Q96" i="7"/>
  <c r="G100" i="5"/>
  <c r="L96" i="5"/>
  <c r="AG98" i="7"/>
  <c r="J94" i="5"/>
  <c r="Y94" i="8"/>
  <c r="G100" i="7"/>
  <c r="O100" i="8"/>
  <c r="J98" i="5"/>
  <c r="K100" i="5"/>
  <c r="W94" i="8"/>
  <c r="AB64" i="7"/>
  <c r="Z64" i="7"/>
  <c r="AD80" i="8"/>
  <c r="AA76" i="8"/>
  <c r="AC76" i="5"/>
  <c r="AI76" i="7"/>
  <c r="AC70" i="8"/>
  <c r="AA78" i="7"/>
  <c r="AB76" i="5"/>
  <c r="AE80" i="8"/>
  <c r="Z66" i="8"/>
  <c r="AH80" i="5"/>
  <c r="Y64" i="8"/>
  <c r="Y76" i="5"/>
  <c r="Z74" i="8"/>
  <c r="Z64" i="8"/>
  <c r="AC78" i="8"/>
  <c r="Z74" i="7"/>
  <c r="AG68" i="7"/>
  <c r="X64" i="7"/>
  <c r="AB76" i="7"/>
  <c r="AA66" i="8"/>
  <c r="Z70" i="7"/>
  <c r="AF66" i="8"/>
  <c r="AB78" i="7"/>
  <c r="AA68" i="8"/>
  <c r="Z76" i="8"/>
  <c r="Z76" i="7"/>
  <c r="Y78" i="8"/>
  <c r="Y70" i="7"/>
  <c r="AH74" i="8"/>
  <c r="AA80" i="5"/>
  <c r="AD70" i="7"/>
  <c r="X68" i="8"/>
  <c r="AE70" i="8"/>
  <c r="AB78" i="8"/>
  <c r="AE78" i="8"/>
  <c r="AB68" i="7"/>
  <c r="AC80" i="7"/>
  <c r="AA66" i="7"/>
  <c r="AE70" i="7"/>
  <c r="AD76" i="8"/>
  <c r="AH78" i="5"/>
  <c r="Y64" i="7"/>
  <c r="Z80" i="5"/>
  <c r="X66" i="8"/>
  <c r="AA74" i="7"/>
  <c r="AG76" i="8"/>
  <c r="AF68" i="7"/>
  <c r="AE64" i="8"/>
  <c r="Z70" i="8"/>
  <c r="AE74" i="7"/>
  <c r="AF90" i="7"/>
  <c r="Y74" i="8"/>
  <c r="AI80" i="7"/>
  <c r="AE80" i="5"/>
  <c r="AH76" i="5"/>
  <c r="AE80" i="7"/>
  <c r="AE94" i="7"/>
  <c r="U100" i="7"/>
  <c r="W98" i="7"/>
  <c r="X98" i="7"/>
  <c r="AC96" i="8"/>
  <c r="O100" i="5"/>
  <c r="M98" i="7"/>
  <c r="F98" i="8"/>
  <c r="AD100" i="8"/>
  <c r="W98" i="5"/>
  <c r="H94" i="5"/>
  <c r="K94" i="5"/>
  <c r="AA96" i="5"/>
  <c r="G96" i="8"/>
  <c r="Y100" i="7"/>
  <c r="F96" i="8"/>
  <c r="AI100" i="8"/>
  <c r="I98" i="5"/>
  <c r="S96" i="5"/>
  <c r="AE96" i="5"/>
  <c r="P100" i="5"/>
  <c r="AA96" i="7"/>
  <c r="T94" i="5"/>
  <c r="Q100" i="7"/>
  <c r="P94" i="5"/>
  <c r="AF100" i="8"/>
  <c r="U98" i="8"/>
  <c r="I98" i="8"/>
  <c r="X96" i="5"/>
  <c r="E96" i="8"/>
  <c r="T98" i="8"/>
  <c r="Q100" i="8"/>
  <c r="H100" i="8"/>
  <c r="Z80" i="8"/>
  <c r="AC66" i="7"/>
  <c r="Z80" i="7"/>
  <c r="Y70" i="8"/>
  <c r="AD76" i="5"/>
  <c r="AH78" i="8"/>
  <c r="AD76" i="7"/>
  <c r="AC80" i="5"/>
  <c r="AG76" i="5"/>
  <c r="E94" i="7"/>
  <c r="S98" i="8"/>
  <c r="Y96" i="8"/>
  <c r="W96" i="7"/>
  <c r="R98" i="5"/>
  <c r="G96" i="5"/>
  <c r="E100" i="7"/>
  <c r="F100" i="5"/>
  <c r="I100" i="8"/>
  <c r="K94" i="8"/>
  <c r="AH100" i="7"/>
  <c r="I98" i="7"/>
  <c r="Z98" i="7"/>
  <c r="I100" i="7"/>
  <c r="Z100" i="8"/>
  <c r="I96" i="8"/>
  <c r="U94" i="5"/>
  <c r="AD100" i="7"/>
  <c r="V96" i="8"/>
  <c r="Y94" i="7"/>
  <c r="G94" i="8"/>
  <c r="AB100" i="5"/>
  <c r="L94" i="8"/>
  <c r="Q96" i="5"/>
  <c r="F98" i="5"/>
  <c r="H94" i="7"/>
  <c r="AE100" i="7"/>
  <c r="I100" i="5"/>
  <c r="AG100" i="8"/>
  <c r="K100" i="7"/>
  <c r="W100" i="8"/>
  <c r="AB94" i="5"/>
  <c r="V96" i="7"/>
  <c r="F100" i="8"/>
  <c r="G98" i="8"/>
  <c r="AD94" i="5"/>
  <c r="N96" i="7"/>
  <c r="M96" i="8"/>
  <c r="AE98" i="5"/>
  <c r="L96" i="7"/>
  <c r="P94" i="8"/>
  <c r="M100" i="5"/>
  <c r="AD96" i="8"/>
  <c r="AG98" i="5"/>
  <c r="J100" i="7"/>
  <c r="AH98" i="8"/>
  <c r="AC100" i="7"/>
  <c r="S94" i="5"/>
  <c r="AB100" i="7"/>
  <c r="Z94" i="7"/>
  <c r="K94" i="7"/>
  <c r="J100" i="8"/>
  <c r="M96" i="5"/>
  <c r="U94" i="8"/>
  <c r="AA98" i="7"/>
  <c r="AI100" i="7"/>
  <c r="AI96" i="7"/>
  <c r="E98" i="5"/>
  <c r="Q94" i="5"/>
  <c r="AG94" i="5"/>
  <c r="Y98" i="7"/>
  <c r="X98" i="5"/>
  <c r="S98" i="7"/>
  <c r="T96" i="7"/>
  <c r="AF100" i="5"/>
  <c r="Y96" i="7"/>
  <c r="E96" i="7"/>
  <c r="L100" i="7"/>
  <c r="G100" i="8"/>
  <c r="F96" i="5"/>
  <c r="G96" i="7"/>
  <c r="L94" i="7"/>
  <c r="R96" i="7"/>
  <c r="AI96" i="5"/>
  <c r="H98" i="7"/>
  <c r="Q98" i="7"/>
  <c r="U98" i="5"/>
  <c r="AF96" i="7"/>
  <c r="AH94" i="8"/>
  <c r="N98" i="5"/>
  <c r="I96" i="5"/>
  <c r="K100" i="8"/>
  <c r="AE98" i="7"/>
  <c r="N96" i="8"/>
  <c r="AB98" i="7"/>
  <c r="O94" i="8"/>
  <c r="H94" i="8"/>
  <c r="AF100" i="7"/>
  <c r="Y78" i="7"/>
  <c r="AF88" i="7"/>
  <c r="AH78" i="7"/>
  <c r="AF88" i="8"/>
  <c r="AF80" i="8"/>
  <c r="AA74" i="8"/>
  <c r="AF80" i="7"/>
  <c r="AG78" i="7"/>
  <c r="AE66" i="7"/>
  <c r="AI76" i="8"/>
  <c r="AA64" i="8"/>
  <c r="AI78" i="7"/>
  <c r="AA76" i="7"/>
  <c r="Y76" i="7"/>
  <c r="AB80" i="5"/>
  <c r="AC74" i="7"/>
  <c r="AD74" i="7"/>
  <c r="AB68" i="8"/>
  <c r="AD78" i="5"/>
  <c r="AD66" i="8"/>
  <c r="AI78" i="5"/>
  <c r="AI80" i="8"/>
  <c r="AC68" i="8"/>
  <c r="AF74" i="7"/>
  <c r="AE86" i="5"/>
  <c r="AC80" i="8"/>
  <c r="AI80" i="5"/>
  <c r="Y76" i="8"/>
  <c r="AG66" i="7"/>
  <c r="AF64" i="7"/>
  <c r="AH76" i="7"/>
  <c r="AB78" i="5"/>
  <c r="AE76" i="7"/>
  <c r="AG64" i="8"/>
  <c r="AD80" i="7"/>
  <c r="AF76" i="5"/>
  <c r="AE88" i="8"/>
  <c r="AE88" i="7"/>
  <c r="X70" i="7"/>
  <c r="AE78" i="7"/>
  <c r="AE76" i="5"/>
  <c r="AF70" i="7"/>
  <c r="AF86" i="7"/>
  <c r="Z68" i="8"/>
  <c r="AB66" i="8"/>
  <c r="AE74" i="8"/>
  <c r="AG80" i="5"/>
  <c r="X68" i="7"/>
  <c r="AE68" i="7"/>
  <c r="Y68" i="8"/>
  <c r="R94" i="5"/>
  <c r="S100" i="7"/>
  <c r="AF94" i="8"/>
  <c r="Z94" i="5"/>
  <c r="O100" i="7"/>
  <c r="AB96" i="5"/>
  <c r="S96" i="8"/>
  <c r="T94" i="8"/>
  <c r="V98" i="8"/>
  <c r="E94" i="5"/>
  <c r="R96" i="5"/>
  <c r="O98" i="8"/>
  <c r="AB96" i="8"/>
  <c r="E98" i="7"/>
  <c r="V100" i="8"/>
  <c r="I94" i="8"/>
  <c r="W100" i="5"/>
  <c r="M98" i="5"/>
  <c r="T96" i="5"/>
  <c r="F96" i="7"/>
  <c r="J96" i="8"/>
  <c r="AH100" i="5"/>
  <c r="H98" i="8"/>
  <c r="W98" i="8"/>
  <c r="AA98" i="8"/>
  <c r="E98" i="8"/>
  <c r="H96" i="8"/>
  <c r="AF76" i="7"/>
  <c r="AG66" i="8"/>
  <c r="AB74" i="7"/>
  <c r="X66" i="7"/>
  <c r="AD68" i="8"/>
  <c r="AE84" i="8"/>
  <c r="F100" i="7"/>
  <c r="AI94" i="7"/>
  <c r="W96" i="8"/>
  <c r="O98" i="5"/>
  <c r="R98" i="8"/>
  <c r="P94" i="7"/>
  <c r="AF98" i="5"/>
  <c r="AG98" i="8"/>
  <c r="Q98" i="8"/>
  <c r="U96" i="5"/>
  <c r="AH98" i="5"/>
  <c r="AH96" i="5"/>
  <c r="AC100" i="8"/>
  <c r="L98" i="8"/>
  <c r="AH100" i="8"/>
  <c r="K96" i="7"/>
  <c r="AA100" i="8"/>
  <c r="AH96" i="7"/>
  <c r="O96" i="7"/>
  <c r="R100" i="5"/>
  <c r="V94" i="7"/>
  <c r="AH94" i="7"/>
  <c r="Y98" i="8"/>
  <c r="AA94" i="8"/>
  <c r="AD98" i="5"/>
  <c r="Y94" i="5"/>
  <c r="I96" i="7"/>
  <c r="V98" i="7"/>
  <c r="H96" i="5"/>
  <c r="Z96" i="5"/>
  <c r="T96" i="8"/>
  <c r="Q94" i="8"/>
  <c r="AE94" i="8"/>
  <c r="AD94" i="7"/>
  <c r="E100" i="8"/>
  <c r="AC96" i="7"/>
  <c r="F94" i="8"/>
  <c r="M96" i="7"/>
  <c r="N94" i="8"/>
  <c r="U96" i="7"/>
  <c r="AH96" i="8"/>
  <c r="AH94" i="5"/>
  <c r="V94" i="5"/>
  <c r="U94" i="7"/>
  <c r="E100" i="5"/>
  <c r="N100" i="5"/>
  <c r="K98" i="5"/>
  <c r="X96" i="7"/>
  <c r="T98" i="5"/>
  <c r="M94" i="5"/>
  <c r="AD96" i="5"/>
  <c r="F98" i="7"/>
  <c r="J96" i="5"/>
  <c r="M100" i="8"/>
  <c r="R100" i="8"/>
  <c r="AD98" i="8"/>
  <c r="AB98" i="8"/>
  <c r="X94" i="7"/>
  <c r="O98" i="7"/>
  <c r="K96" i="8"/>
  <c r="AI96" i="8"/>
  <c r="AF98" i="7"/>
  <c r="S100" i="8"/>
  <c r="AF94" i="7"/>
  <c r="R96" i="8"/>
  <c r="AA96" i="8"/>
  <c r="S100" i="5"/>
  <c r="AB94" i="7"/>
  <c r="X100" i="8"/>
  <c r="AF96" i="5"/>
  <c r="Z94" i="8"/>
  <c r="P100" i="8"/>
  <c r="AI94" i="8"/>
  <c r="L100" i="8"/>
  <c r="AI100" i="5"/>
  <c r="AE94" i="5"/>
  <c r="AD96" i="7"/>
  <c r="AE100" i="8"/>
  <c r="N96" i="5"/>
  <c r="AE100" i="5"/>
  <c r="Z96" i="8"/>
  <c r="W96" i="5"/>
  <c r="H96" i="7"/>
  <c r="X100" i="5"/>
  <c r="AF98" i="8"/>
  <c r="K98" i="7"/>
  <c r="AD94" i="8"/>
  <c r="S94" i="7"/>
  <c r="O96" i="5"/>
  <c r="J94" i="7"/>
  <c r="O96" i="8"/>
  <c r="AD98" i="7"/>
  <c r="AC94" i="5"/>
  <c r="T98" i="7"/>
  <c r="M98" i="8"/>
  <c r="V96" i="5"/>
  <c r="AB70" i="7"/>
  <c r="AG80" i="8"/>
  <c r="AE68" i="8"/>
  <c r="AF66" i="7"/>
  <c r="AI74" i="8"/>
  <c r="AH74" i="7"/>
  <c r="AD78" i="7"/>
  <c r="Y78" i="5"/>
  <c r="Z66" i="7"/>
  <c r="AD64" i="8"/>
  <c r="AD74" i="8"/>
  <c r="AF78" i="8"/>
  <c r="Z76" i="5"/>
  <c r="AG70" i="8"/>
  <c r="AH76" i="8"/>
  <c r="AF84" i="8"/>
  <c r="AB76" i="8"/>
  <c r="AC70" i="7"/>
  <c r="AA78" i="8"/>
  <c r="AB74" i="8"/>
  <c r="AE88" i="5"/>
  <c r="AA64" i="7"/>
  <c r="AC64" i="7"/>
  <c r="AB66" i="7"/>
  <c r="AC78" i="5"/>
  <c r="AF90" i="8"/>
  <c r="AG76" i="7"/>
  <c r="AC66" i="8"/>
  <c r="Y80" i="5"/>
  <c r="AE76" i="8"/>
  <c r="X64" i="8"/>
  <c r="AD70" i="8"/>
  <c r="AE86" i="8"/>
  <c r="AI74" i="7"/>
  <c r="AF84" i="7"/>
  <c r="AE84" i="5"/>
  <c r="Z78" i="8"/>
  <c r="AE90" i="7"/>
  <c r="AC78" i="7"/>
  <c r="AA78" i="5"/>
  <c r="Y80" i="7"/>
  <c r="AF86" i="5"/>
  <c r="AF84" i="5"/>
  <c r="AC64" i="8"/>
  <c r="AA68" i="7"/>
  <c r="Y74" i="7"/>
  <c r="AE90" i="5"/>
  <c r="AA80" i="7"/>
  <c r="AF68" i="8"/>
  <c r="AA70" i="7"/>
  <c r="AD66" i="7"/>
  <c r="AC76" i="8"/>
  <c r="Z68" i="7"/>
  <c r="AF90" i="5"/>
  <c r="AA80" i="8"/>
  <c r="AF88" i="5"/>
  <c r="AE78" i="5"/>
  <c r="AC96" i="5"/>
  <c r="J98" i="8"/>
  <c r="Z98" i="5"/>
  <c r="M94" i="8"/>
  <c r="H100" i="7"/>
  <c r="AC100" i="5"/>
  <c r="M94" i="7"/>
  <c r="R94" i="8"/>
  <c r="T94" i="7"/>
  <c r="T100" i="5"/>
  <c r="P96" i="8"/>
  <c r="S96" i="7"/>
  <c r="AB94" i="8"/>
  <c r="AB100" i="8"/>
  <c r="Z100" i="5"/>
  <c r="G94" i="5"/>
  <c r="AC94" i="7"/>
  <c r="U100" i="8"/>
  <c r="O94" i="7"/>
  <c r="AC98" i="7"/>
  <c r="X96" i="8"/>
  <c r="Y96" i="5"/>
  <c r="AG96" i="5"/>
  <c r="Q96" i="8"/>
  <c r="AG100" i="5"/>
  <c r="V100" i="5"/>
  <c r="L94" i="5"/>
  <c r="P96" i="7"/>
  <c r="AE96" i="8"/>
  <c r="AF96" i="8"/>
  <c r="AA94" i="5"/>
  <c r="I94" i="5"/>
  <c r="AG96" i="8"/>
  <c r="AG74" i="7"/>
  <c r="Y66" i="7"/>
  <c r="AG80" i="7"/>
  <c r="AG74" i="8"/>
  <c r="AG70" i="7"/>
  <c r="AA70" i="8"/>
  <c r="AF64" i="8"/>
  <c r="Z78" i="5"/>
  <c r="AI78" i="8"/>
  <c r="AH80" i="7"/>
  <c r="AF76" i="8"/>
  <c r="AE86" i="7"/>
  <c r="AD64" i="7"/>
  <c r="X70" i="8"/>
  <c r="AB64" i="8"/>
  <c r="AG64" i="7"/>
  <c r="AC74" i="8"/>
  <c r="AA76" i="5"/>
  <c r="Y68" i="7"/>
  <c r="AH80" i="8"/>
  <c r="AG78" i="5"/>
  <c r="AF78" i="7"/>
  <c r="Y66" i="8"/>
  <c r="AE84" i="7"/>
  <c r="AG78" i="8"/>
  <c r="AF80" i="5"/>
  <c r="AB80" i="7"/>
  <c r="AI76" i="5"/>
  <c r="AF86" i="8"/>
  <c r="AF70" i="8"/>
  <c r="AD80" i="5"/>
  <c r="AB80" i="8"/>
  <c r="AD78" i="8"/>
  <c r="AE90" i="8"/>
  <c r="AF78" i="5"/>
  <c r="Y80" i="8"/>
  <c r="Z78" i="7"/>
  <c r="AF74" i="8"/>
  <c r="AC68" i="7"/>
  <c r="AE64" i="7"/>
  <c r="AG68" i="8"/>
  <c r="AC76" i="7"/>
  <c r="AD68" i="7"/>
  <c r="AE66" i="8"/>
  <c r="AB70" i="8"/>
  <c r="AG86" i="8"/>
  <c r="AG90" i="7"/>
  <c r="AH70" i="7"/>
  <c r="AH66" i="7"/>
  <c r="AG86" i="7"/>
  <c r="AG88" i="5"/>
  <c r="AG86" i="5"/>
  <c r="AG88" i="7"/>
  <c r="AG84" i="7"/>
  <c r="AH86" i="8"/>
  <c r="AG84" i="8"/>
  <c r="AH84" i="5"/>
  <c r="AG88" i="8"/>
  <c r="AG90" i="8"/>
  <c r="AH90" i="8"/>
  <c r="AH64" i="8"/>
  <c r="AH70" i="8"/>
  <c r="AH64" i="7"/>
  <c r="AG90" i="5"/>
  <c r="AG84" i="5"/>
  <c r="AH68" i="8"/>
  <c r="AH86" i="7"/>
  <c r="AH66" i="8"/>
  <c r="AH90" i="7"/>
  <c r="AH68" i="7"/>
  <c r="AH90" i="5"/>
  <c r="AI64" i="7"/>
  <c r="AH84" i="8"/>
  <c r="AH88" i="5"/>
  <c r="AI64" i="8"/>
  <c r="AI70" i="7"/>
  <c r="AH86" i="5"/>
  <c r="AI66" i="7"/>
  <c r="AH84" i="7"/>
  <c r="AI68" i="8"/>
  <c r="AI66" i="8"/>
  <c r="AH88" i="7"/>
  <c r="AI68" i="7"/>
  <c r="AI70" i="8"/>
  <c r="AH88" i="8"/>
  <c r="AL80" i="8" l="1"/>
  <c r="AL74" i="7"/>
  <c r="AL80" i="7"/>
  <c r="AL80" i="5"/>
  <c r="AL78" i="5"/>
  <c r="AL100" i="5"/>
  <c r="AL100" i="8"/>
  <c r="AL98" i="8"/>
  <c r="AL98" i="7"/>
  <c r="AL94" i="5"/>
  <c r="AL76" i="8"/>
  <c r="AL76" i="7"/>
  <c r="AL78" i="7"/>
  <c r="AL96" i="7"/>
  <c r="AL98" i="5"/>
  <c r="AL100" i="7"/>
  <c r="AL94" i="7"/>
  <c r="AL96" i="8"/>
  <c r="AN96" i="8" s="1"/>
  <c r="AL74" i="8"/>
  <c r="AL78" i="8"/>
  <c r="AL76" i="5"/>
  <c r="AL96" i="5"/>
  <c r="AL94" i="8"/>
  <c r="AK94" i="7"/>
  <c r="AK94" i="5"/>
  <c r="AK98" i="7"/>
  <c r="AK98" i="5"/>
  <c r="AK96" i="7"/>
  <c r="AK96" i="8"/>
  <c r="AK100" i="7"/>
  <c r="AK98" i="8"/>
  <c r="AK94" i="8"/>
  <c r="AK100" i="5"/>
  <c r="AK100" i="8"/>
  <c r="AK96" i="5"/>
  <c r="AL86" i="5"/>
  <c r="AL86" i="8"/>
  <c r="AL90" i="8"/>
  <c r="AL90" i="5"/>
  <c r="AL84" i="5"/>
  <c r="AL84" i="8"/>
  <c r="AL84" i="7"/>
  <c r="AL88" i="8"/>
  <c r="AL88" i="7"/>
  <c r="AL90" i="7"/>
  <c r="AL86" i="7"/>
  <c r="AL88" i="5"/>
  <c r="AL14" i="8"/>
  <c r="AL18" i="8"/>
  <c r="AL20" i="8"/>
  <c r="AL16" i="8"/>
  <c r="AL8" i="8"/>
  <c r="AL4" i="8"/>
  <c r="AL10" i="8"/>
  <c r="AL6" i="8"/>
  <c r="AK31" i="17"/>
  <c r="AS13" i="17"/>
  <c r="AV25" i="17"/>
  <c r="AR15" i="17"/>
  <c r="AS45" i="17"/>
  <c r="AQ25" i="17"/>
  <c r="AG58" i="17"/>
  <c r="AG53" i="17"/>
  <c r="AG59" i="17"/>
  <c r="AG54" i="17"/>
  <c r="AG57" i="17"/>
  <c r="AG52" i="17"/>
  <c r="AG60" i="17"/>
  <c r="AG55" i="17"/>
  <c r="AK76" i="5"/>
  <c r="AK76" i="7"/>
  <c r="AK78" i="5"/>
  <c r="AK80" i="7"/>
  <c r="AK74" i="5"/>
  <c r="AK78" i="7"/>
  <c r="AK80" i="5"/>
  <c r="AK74" i="7"/>
  <c r="AK78" i="8"/>
  <c r="AK76" i="8"/>
  <c r="AK80" i="8"/>
  <c r="AK74" i="8"/>
  <c r="AL68" i="7"/>
  <c r="AL66" i="7"/>
  <c r="AL70" i="7"/>
  <c r="AL64" i="7"/>
  <c r="AL66" i="8"/>
  <c r="AL70" i="8"/>
  <c r="AL64" i="8"/>
  <c r="AL68" i="8"/>
  <c r="AL68" i="5"/>
  <c r="AL64" i="5"/>
  <c r="AL70" i="5"/>
  <c r="AL66" i="5"/>
  <c r="AN100" i="8"/>
  <c r="AN94" i="7"/>
  <c r="AN98" i="5"/>
  <c r="AN94" i="5"/>
  <c r="AN94" i="8"/>
  <c r="AN96" i="7"/>
  <c r="AN98" i="7"/>
  <c r="AN98" i="8"/>
  <c r="AX43" i="17"/>
  <c r="AX31" i="17"/>
  <c r="AW33" i="17"/>
  <c r="AX35" i="17"/>
  <c r="AX33" i="17"/>
  <c r="AX23" i="17"/>
  <c r="AW19" i="17"/>
  <c r="AX19" i="17"/>
  <c r="AX41" i="17"/>
  <c r="AX13" i="17"/>
  <c r="AX9" i="17"/>
  <c r="AW45" i="17"/>
  <c r="AW43" i="17"/>
  <c r="AW23" i="17"/>
  <c r="AW25" i="17"/>
  <c r="AW11" i="17"/>
  <c r="AW21" i="17"/>
  <c r="AW39" i="17"/>
  <c r="AW9" i="17"/>
  <c r="AX21" i="17"/>
  <c r="AW35" i="17"/>
  <c r="AW29" i="17"/>
  <c r="AX25" i="17"/>
  <c r="AX11" i="17"/>
  <c r="AW15" i="17"/>
  <c r="AW41" i="17"/>
  <c r="AX15" i="17"/>
  <c r="AX45" i="17"/>
  <c r="AX39" i="17"/>
  <c r="AX29" i="17"/>
  <c r="AW31" i="17"/>
  <c r="AW13" i="17"/>
  <c r="AN96" i="5" l="1"/>
  <c r="AL124" i="6"/>
  <c r="AN100" i="5"/>
  <c r="AN100" i="7"/>
  <c r="AL127" i="6"/>
  <c r="AL126" i="5"/>
  <c r="AL125" i="6"/>
  <c r="AL126" i="7"/>
  <c r="AK86" i="8"/>
  <c r="AK90" i="8"/>
  <c r="AK86" i="5"/>
  <c r="AK90" i="5"/>
  <c r="AK88" i="5"/>
  <c r="AK84" i="5"/>
  <c r="AK88" i="7"/>
  <c r="AK88" i="8"/>
  <c r="AK84" i="8"/>
  <c r="AK90" i="7"/>
  <c r="AK84" i="7"/>
  <c r="AK86" i="7"/>
  <c r="AL127" i="7"/>
  <c r="AL124" i="5"/>
  <c r="AL124" i="8"/>
  <c r="AL125" i="5"/>
  <c r="AL126" i="6"/>
  <c r="AL124" i="7"/>
  <c r="AL125" i="7"/>
  <c r="AQ29" i="17"/>
  <c r="AL127" i="8"/>
  <c r="AK6" i="8"/>
  <c r="AK10" i="8"/>
  <c r="AK8" i="8"/>
  <c r="AK4" i="8"/>
  <c r="AK16" i="8"/>
  <c r="AK20" i="8"/>
  <c r="AK14" i="8"/>
  <c r="AK18" i="8"/>
  <c r="AL125" i="8"/>
  <c r="AL126" i="8"/>
  <c r="AV13" i="17"/>
  <c r="AP29" i="17"/>
  <c r="AP35" i="17"/>
  <c r="AR9" i="17"/>
  <c r="AQ21" i="17"/>
  <c r="AQ23" i="17"/>
  <c r="AQ43" i="17"/>
  <c r="AK21" i="17"/>
  <c r="AV41" i="17"/>
  <c r="AR33" i="17"/>
  <c r="AK23" i="17"/>
  <c r="AS11" i="17"/>
  <c r="AV31" i="17"/>
  <c r="AR11" i="17"/>
  <c r="AK39" i="17"/>
  <c r="AV11" i="17"/>
  <c r="AR21" i="17"/>
  <c r="AS23" i="17"/>
  <c r="AR45" i="17"/>
  <c r="AT45" i="17" s="1"/>
  <c r="AU45" i="17" s="1"/>
  <c r="AK11" i="17"/>
  <c r="AP21" i="17"/>
  <c r="AR23" i="17"/>
  <c r="AQ11" i="17"/>
  <c r="AV43" i="17"/>
  <c r="AP41" i="17"/>
  <c r="AP45" i="17"/>
  <c r="AN6" i="8"/>
  <c r="AP6" i="8" s="1"/>
  <c r="AQ45" i="17"/>
  <c r="AK43" i="17"/>
  <c r="AV35" i="17"/>
  <c r="AS33" i="17"/>
  <c r="AV9" i="17"/>
  <c r="AS21" i="17"/>
  <c r="AP23" i="17"/>
  <c r="AV21" i="17"/>
  <c r="AQ41" i="17"/>
  <c r="AS9" i="17"/>
  <c r="AV45" i="17"/>
  <c r="AP43" i="17"/>
  <c r="AR41" i="17"/>
  <c r="AP33" i="17"/>
  <c r="AV19" i="17"/>
  <c r="AP11" i="17"/>
  <c r="AP9" i="17"/>
  <c r="AS43" i="17"/>
  <c r="AS41" i="17"/>
  <c r="AK33" i="17"/>
  <c r="AS31" i="17"/>
  <c r="AK29" i="17"/>
  <c r="AQ19" i="17"/>
  <c r="AQ31" i="17"/>
  <c r="AR31" i="17"/>
  <c r="AR29" i="17"/>
  <c r="AP19" i="17"/>
  <c r="AS25" i="17"/>
  <c r="AS15" i="17"/>
  <c r="AT15" i="17" s="1"/>
  <c r="AV15" i="17"/>
  <c r="AP25" i="17"/>
  <c r="AP15" i="17"/>
  <c r="AV33" i="17"/>
  <c r="AK15" i="17"/>
  <c r="AK25" i="17"/>
  <c r="AR25" i="17"/>
  <c r="AR43" i="17"/>
  <c r="AH57" i="17"/>
  <c r="AH52" i="17"/>
  <c r="AK9" i="17"/>
  <c r="AQ9" i="17"/>
  <c r="AV23" i="17"/>
  <c r="AH58" i="17"/>
  <c r="AH53" i="17"/>
  <c r="AH60" i="17"/>
  <c r="AH55" i="17"/>
  <c r="AP39" i="17"/>
  <c r="AQ39" i="17"/>
  <c r="AV39" i="17"/>
  <c r="AR39" i="17"/>
  <c r="AS39" i="17"/>
  <c r="AR35" i="17"/>
  <c r="AS35" i="17"/>
  <c r="AK35" i="17"/>
  <c r="AQ35" i="17"/>
  <c r="AQ33" i="17"/>
  <c r="AS19" i="17"/>
  <c r="AR19" i="17"/>
  <c r="AQ13" i="17"/>
  <c r="AP13" i="17"/>
  <c r="AR13" i="17"/>
  <c r="AT13" i="17" s="1"/>
  <c r="AU13" i="17" s="1"/>
  <c r="AP31" i="17"/>
  <c r="AQ15" i="17"/>
  <c r="AH59" i="17"/>
  <c r="AH54" i="17"/>
  <c r="AV29" i="17"/>
  <c r="AI58" i="17"/>
  <c r="AI53" i="17"/>
  <c r="AI57" i="17"/>
  <c r="AI52" i="17"/>
  <c r="AI60" i="17"/>
  <c r="AI55" i="17"/>
  <c r="AI59" i="17"/>
  <c r="AI54" i="17"/>
  <c r="AS29" i="17"/>
  <c r="AN78" i="5"/>
  <c r="AN80" i="5"/>
  <c r="AN78" i="7"/>
  <c r="AN76" i="5"/>
  <c r="AN76" i="7"/>
  <c r="AN78" i="8"/>
  <c r="AK70" i="5"/>
  <c r="AK68" i="8"/>
  <c r="AK64" i="8"/>
  <c r="AK70" i="8"/>
  <c r="AK68" i="5"/>
  <c r="AK66" i="8"/>
  <c r="AK70" i="7"/>
  <c r="AK64" i="5"/>
  <c r="AK66" i="5"/>
  <c r="AK64" i="7"/>
  <c r="AK68" i="7"/>
  <c r="AK66" i="7"/>
  <c r="AN74" i="7"/>
  <c r="AN80" i="7"/>
  <c r="AN76" i="8"/>
  <c r="AN74" i="8"/>
  <c r="AN80" i="8"/>
  <c r="AN74" i="5"/>
  <c r="AN88" i="7" l="1"/>
  <c r="AN88" i="5"/>
  <c r="AN90" i="8"/>
  <c r="AN84" i="8"/>
  <c r="AN90" i="7"/>
  <c r="AN90" i="5"/>
  <c r="AN86" i="5"/>
  <c r="AN84" i="7"/>
  <c r="AN86" i="8"/>
  <c r="AN86" i="7"/>
  <c r="AN84" i="5"/>
  <c r="AN88" i="8"/>
  <c r="AT23" i="17"/>
  <c r="AU23" i="17" s="1"/>
  <c r="AN20" i="8"/>
  <c r="AJ45" i="18"/>
  <c r="AM45" i="18" s="1"/>
  <c r="AN16" i="8"/>
  <c r="AP16" i="8" s="1"/>
  <c r="AP26" i="8" s="1"/>
  <c r="AP36" i="8" s="1"/>
  <c r="AP46" i="8" s="1"/>
  <c r="AP56" i="8" s="1"/>
  <c r="AJ41" i="18"/>
  <c r="AM41" i="18" s="1"/>
  <c r="AN18" i="8"/>
  <c r="AJ43" i="18"/>
  <c r="AM43" i="18" s="1"/>
  <c r="AN14" i="8"/>
  <c r="AJ39" i="18"/>
  <c r="AM39" i="18" s="1"/>
  <c r="AJ41" i="17"/>
  <c r="AM41" i="17" s="1"/>
  <c r="AN10" i="8"/>
  <c r="AP10" i="8" s="1"/>
  <c r="AJ45" i="17"/>
  <c r="AM45" i="17" s="1"/>
  <c r="AN8" i="8"/>
  <c r="AP8" i="8" s="1"/>
  <c r="AJ43" i="17"/>
  <c r="AM43" i="17" s="1"/>
  <c r="AN4" i="8"/>
  <c r="AP4" i="8" s="1"/>
  <c r="AJ39" i="17"/>
  <c r="AM39" i="17" s="1"/>
  <c r="AT33" i="17"/>
  <c r="AU33" i="17" s="1"/>
  <c r="AT21" i="17"/>
  <c r="AU21" i="17" s="1"/>
  <c r="AT9" i="17"/>
  <c r="AU9" i="17" s="1"/>
  <c r="AT31" i="17"/>
  <c r="AU31" i="17" s="1"/>
  <c r="AT41" i="17"/>
  <c r="AU41" i="17" s="1"/>
  <c r="AT11" i="17"/>
  <c r="AU11" i="17" s="1"/>
  <c r="AT43" i="17"/>
  <c r="AU43" i="17" s="1"/>
  <c r="AT29" i="17"/>
  <c r="AU29" i="17" s="1"/>
  <c r="AU15" i="17"/>
  <c r="AT25" i="17"/>
  <c r="AU25" i="17" s="1"/>
  <c r="AT35" i="17"/>
  <c r="AU35" i="17" s="1"/>
  <c r="AT39" i="17"/>
  <c r="AU39" i="17" s="1"/>
  <c r="AK125" i="8"/>
  <c r="AN66" i="5"/>
  <c r="AP66" i="5" s="1"/>
  <c r="AP76" i="5" s="1"/>
  <c r="AK127" i="6"/>
  <c r="AK126" i="6"/>
  <c r="AK126" i="5"/>
  <c r="AK125" i="6"/>
  <c r="AK125" i="7"/>
  <c r="AK124" i="5"/>
  <c r="AK127" i="8"/>
  <c r="AT19" i="17"/>
  <c r="AU19" i="17" s="1"/>
  <c r="AK126" i="7"/>
  <c r="AK127" i="7"/>
  <c r="AK124" i="8"/>
  <c r="AK125" i="5"/>
  <c r="AN68" i="8"/>
  <c r="AN66" i="8"/>
  <c r="AN68" i="7"/>
  <c r="AP68" i="7" s="1"/>
  <c r="AP78" i="7" s="1"/>
  <c r="AN68" i="5"/>
  <c r="AP68" i="5" s="1"/>
  <c r="AP78" i="5" s="1"/>
  <c r="AN70" i="7"/>
  <c r="AP70" i="7" s="1"/>
  <c r="AP80" i="7" s="1"/>
  <c r="AK124" i="6"/>
  <c r="AN64" i="8"/>
  <c r="AN70" i="5"/>
  <c r="AP70" i="5" s="1"/>
  <c r="AP80" i="5" s="1"/>
  <c r="AK126" i="8"/>
  <c r="AK124" i="7"/>
  <c r="AN66" i="7"/>
  <c r="AP66" i="7" s="1"/>
  <c r="AP76" i="7" s="1"/>
  <c r="AN64" i="7"/>
  <c r="AP64" i="7" s="1"/>
  <c r="AP74" i="7" s="1"/>
  <c r="AN64" i="5"/>
  <c r="AP64" i="5" s="1"/>
  <c r="AP74" i="5" s="1"/>
  <c r="AN70" i="8"/>
  <c r="AP88" i="5" l="1"/>
  <c r="AP98" i="5" s="1"/>
  <c r="AP108" i="5" s="1"/>
  <c r="AP118" i="5" s="1"/>
  <c r="AP126" i="5" s="1"/>
  <c r="AP90" i="7"/>
  <c r="AP100" i="7" s="1"/>
  <c r="AP110" i="7" s="1"/>
  <c r="AP120" i="7" s="1"/>
  <c r="AP127" i="7" s="1"/>
  <c r="AP88" i="7"/>
  <c r="AP98" i="7" s="1"/>
  <c r="AP108" i="7" s="1"/>
  <c r="AP118" i="7" s="1"/>
  <c r="AP126" i="7" s="1"/>
  <c r="AP127" i="6"/>
  <c r="AP125" i="6"/>
  <c r="AP86" i="7"/>
  <c r="AP96" i="7" s="1"/>
  <c r="AP106" i="7" s="1"/>
  <c r="AP116" i="7" s="1"/>
  <c r="AP125" i="7" s="1"/>
  <c r="AP124" i="6"/>
  <c r="AP84" i="5"/>
  <c r="AP94" i="5" s="1"/>
  <c r="AP104" i="5" s="1"/>
  <c r="AP114" i="5" s="1"/>
  <c r="AP124" i="5" s="1"/>
  <c r="AP90" i="5"/>
  <c r="AP100" i="5" s="1"/>
  <c r="AP110" i="5" s="1"/>
  <c r="AP84" i="7"/>
  <c r="AP94" i="7" s="1"/>
  <c r="AP104" i="7" s="1"/>
  <c r="AP114" i="7" s="1"/>
  <c r="AP124" i="7" s="1"/>
  <c r="AP86" i="5"/>
  <c r="AP96" i="5" s="1"/>
  <c r="AP106" i="5" s="1"/>
  <c r="AP116" i="5" s="1"/>
  <c r="AP125" i="5" s="1"/>
  <c r="AP126" i="6"/>
  <c r="AP20" i="8"/>
  <c r="AP30" i="8" s="1"/>
  <c r="AP40" i="8" s="1"/>
  <c r="AP50" i="8" s="1"/>
  <c r="AP60" i="8" s="1"/>
  <c r="AP70" i="8" s="1"/>
  <c r="AP80" i="8" s="1"/>
  <c r="AP90" i="8" s="1"/>
  <c r="AP100" i="8" s="1"/>
  <c r="AP110" i="8" s="1"/>
  <c r="AP120" i="8" s="1"/>
  <c r="AP127" i="8" s="1"/>
  <c r="AP18" i="8"/>
  <c r="AP28" i="8" s="1"/>
  <c r="AP38" i="8" s="1"/>
  <c r="AP48" i="8" s="1"/>
  <c r="AP58" i="8" s="1"/>
  <c r="AP68" i="8" s="1"/>
  <c r="AP78" i="8" s="1"/>
  <c r="AP88" i="8" s="1"/>
  <c r="AP98" i="8" s="1"/>
  <c r="AP108" i="8" s="1"/>
  <c r="AP118" i="8" s="1"/>
  <c r="AP126" i="8" s="1"/>
  <c r="AP14" i="8"/>
  <c r="AP24" i="8" s="1"/>
  <c r="AP34" i="8" s="1"/>
  <c r="AP44" i="8" s="1"/>
  <c r="AP54" i="8" s="1"/>
  <c r="AP64" i="8" s="1"/>
  <c r="AP74" i="8" s="1"/>
  <c r="AP84" i="8" s="1"/>
  <c r="AP94" i="8" s="1"/>
  <c r="AP104" i="8" s="1"/>
  <c r="AP114" i="8" s="1"/>
  <c r="AP124" i="8" s="1"/>
  <c r="AP66" i="8"/>
  <c r="AP76" i="8" s="1"/>
  <c r="AP86" i="8" s="1"/>
  <c r="AP96" i="8" s="1"/>
  <c r="AP106" i="8" s="1"/>
  <c r="AP116" i="8" s="1"/>
  <c r="AP125" i="8" s="1"/>
  <c r="AN125" i="5"/>
  <c r="AN125" i="8"/>
  <c r="AN126" i="8"/>
  <c r="AN126" i="7"/>
  <c r="AN124" i="8"/>
  <c r="AN126" i="5"/>
  <c r="AN127" i="7"/>
  <c r="AN127" i="6"/>
  <c r="AN125" i="6"/>
  <c r="AN124" i="6"/>
  <c r="AN126" i="6"/>
  <c r="AN125" i="7"/>
  <c r="AN124" i="7"/>
  <c r="AN127" i="8"/>
  <c r="AN124" i="5"/>
  <c r="AL120" i="5" l="1"/>
  <c r="AL127" i="5" s="1"/>
  <c r="AK120" i="5" l="1"/>
  <c r="AK127" i="5" l="1"/>
  <c r="AN120" i="5"/>
  <c r="AP120" i="5" s="1"/>
  <c r="AP127" i="5" s="1"/>
  <c r="AN127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841BED-9121-4D8A-A749-ED8708180AC8}" keepAlive="1" name="Запрос — calendar" description="Соединение с запросом &quot;calendar&quot; в книге." type="5" refreshedVersion="0" background="1">
    <dbPr connection="Provider=Microsoft.Mashup.OleDb.1;Data Source=$Workbook$;Location=calendar;Extended Properties=&quot;&quot;" command="SELECT * FROM [calendar]"/>
  </connection>
  <connection id="2" xr16:uid="{89122739-2A8E-41E2-A38C-F730EF429796}" keepAlive="1" name="Запрос — WorkTimes" description="Соединение с запросом &quot;WorkTimes&quot; в книге." type="5" refreshedVersion="0" background="1">
    <dbPr connection="Provider=Microsoft.Mashup.OleDb.1;Data Source=$Workbook$;Location=WorkTimes;Extended Properties=&quot;&quot;" command="SELECT * FROM [WorkTimes]"/>
  </connection>
  <connection id="3" xr16:uid="{6FE0BA80-F313-4F5A-8E8B-7963C7396752}" keepAlive="1" name="Запрос — year" description="Соединение с запросом &quot;year&quot; в книге." type="5" refreshedVersion="0" background="1">
    <dbPr connection="Provider=Microsoft.Mashup.OleDb.1;Data Source=$Workbook$;Location=year;Extended Properties=&quot;&quot;" command="SELECT * FROM [year]"/>
  </connection>
  <connection id="4" xr16:uid="{DB5DCC4E-DC37-4DBB-A01F-BCAA87DB9C6B}" keepAlive="1" name="Запрос — Запрос2" description="Соединение с запросом &quot;Запрос2&quot; в книге." type="5" refreshedVersion="7" saveData="1">
    <dbPr connection="Provider=Microsoft.Mashup.OleDb.1;Data Source=$Workbook$;Location=Запрос2;Extended Properties=&quot;&quot;" command="SELECT * FROM [Запрос2]"/>
    <extLst>
      <ext xmlns:x15="http://schemas.microsoft.com/office/spreadsheetml/2010/11/main" uri="{DE250136-89BD-433C-8126-D09CA5730AF9}">
        <x15:connection id="" excludeFromRefreshAll="1"/>
      </ext>
    </extLst>
  </connection>
  <connection id="5" xr16:uid="{9D51A965-D511-40C8-A123-6AEBDCE092C7}" keepAlive="1" name="Запрос — Праздники" description="Соединение с запросом &quot;Праздники&quot; в книге." type="5" refreshedVersion="8" background="1" saveData="1">
    <dbPr connection="Provider=Microsoft.Mashup.OleDb.1;Data Source=$Workbook$;Location=Праздники;Extended Properties=&quot;&quot;" command="SELECT * FROM [Праздники]"/>
  </connection>
  <connection id="6" xr16:uid="{822CEA54-913B-47F4-A9F5-717B482E82D4}" keepAlive="1" name="Запрос — Производственный календарь" description="Соединение с запросом &quot;Производственный календарь&quot; в книге." type="5" refreshedVersion="7" background="1" saveData="1">
    <dbPr connection="Provider=Microsoft.Mashup.OleDb.1;Data Source=$Workbook$;Location=&quot;Производственный календарь&quot;;Extended Properties=&quot;&quot;" command="SELECT * FROM [Производственный календарь]"/>
  </connection>
  <connection id="7" xr16:uid="{92CE0AFF-3F99-415E-90C8-2C7FA6CD565B}" keepAlive="1" name="Запрос — Производственный календарь (2)" description="Соединение с запросом &quot;Производственный календарь (2)&quot; в книге." type="5" refreshedVersion="0" background="1">
    <dbPr connection="Provider=Microsoft.Mashup.OleDb.1;Data Source=$Workbook$;Location=&quot;Производственный календарь (2)&quot;;Extended Properties=&quot;&quot;" command="SELECT * FROM [Производственный календарь (2)]"/>
  </connection>
</connections>
</file>

<file path=xl/sharedStrings.xml><?xml version="1.0" encoding="utf-8"?>
<sst xmlns="http://schemas.openxmlformats.org/spreadsheetml/2006/main" count="1479" uniqueCount="125">
  <si>
    <t>Наименование рабочего места</t>
  </si>
  <si>
    <t>Фамилия Имя, Отчество</t>
  </si>
  <si>
    <t>Смена</t>
  </si>
  <si>
    <t>Норма часов за месяц</t>
  </si>
  <si>
    <t>Всего часов за месяц</t>
  </si>
  <si>
    <t>Количество ночных смен</t>
  </si>
  <si>
    <t>Количество дневных смен</t>
  </si>
  <si>
    <t>Сумма часов дневных смен</t>
  </si>
  <si>
    <t>Сумма часов ночных смен</t>
  </si>
  <si>
    <t>Проверка сумм часов</t>
  </si>
  <si>
    <t>Поиск задвоений</t>
  </si>
  <si>
    <t>Количество 
дней отпуска</t>
  </si>
  <si>
    <t>Поиск пустых смен</t>
  </si>
  <si>
    <t>Отработано часов за месяц</t>
  </si>
  <si>
    <t>Год</t>
  </si>
  <si>
    <t>Месяц</t>
  </si>
  <si>
    <t>Рабочие дни</t>
  </si>
  <si>
    <t>`</t>
  </si>
  <si>
    <t>Проверка, если СП указано без 8</t>
  </si>
  <si>
    <t>Проверка, если СП после 4</t>
  </si>
  <si>
    <t>Дней в месяце</t>
  </si>
  <si>
    <t>Смещение столбца</t>
  </si>
  <si>
    <t>Смены</t>
  </si>
  <si>
    <t xml:space="preserve"> </t>
  </si>
  <si>
    <t>Месяц\</t>
  </si>
  <si>
    <t>№ смены</t>
  </si>
  <si>
    <t>Календарная дата</t>
  </si>
  <si>
    <t>Кол. часов по календарю</t>
  </si>
  <si>
    <t>Норма часов за месяц (Real)</t>
  </si>
  <si>
    <t>Отр. часов за месяц</t>
  </si>
  <si>
    <t>Искл.из пер. праздн.часы оплач.в 2кр.</t>
  </si>
  <si>
    <t>"+ переработка     - недоработка</t>
  </si>
  <si>
    <t>Списано</t>
  </si>
  <si>
    <t>"+ переработка     - недоработка                   ИТОГО:</t>
  </si>
  <si>
    <t>Отпуск</t>
  </si>
  <si>
    <t>Колич. СП</t>
  </si>
  <si>
    <t>-</t>
  </si>
  <si>
    <t>0</t>
  </si>
  <si>
    <t>И т о г о:</t>
  </si>
  <si>
    <t>Год: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</si>
  <si>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</si>
  <si>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</si>
  <si>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</si>
  <si>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</si>
  <si>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</si>
  <si>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</si>
  <si>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</si>
  <si>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</si>
  <si>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</si>
  <si>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</si>
  <si>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</si>
  <si>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</si>
  <si>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Даты.Дата</t>
  </si>
  <si>
    <t>Количество дней Календарных</t>
  </si>
  <si>
    <t>Количество дней Рабочих</t>
  </si>
  <si>
    <t>Количество дней Выходных</t>
  </si>
  <si>
    <t>Рабочее время (час) 40 час/нед</t>
  </si>
  <si>
    <t>Праздничные дни</t>
  </si>
  <si>
    <t xml:space="preserve">                 Месяц                                                          Смена</t>
  </si>
  <si>
    <t>Смена 1</t>
  </si>
  <si>
    <t>Смена 2</t>
  </si>
  <si>
    <t>Смена 3</t>
  </si>
  <si>
    <t>Смена 4</t>
  </si>
  <si>
    <t>Смена 5</t>
  </si>
  <si>
    <t>Должность</t>
  </si>
  <si>
    <t>ФИО</t>
  </si>
  <si>
    <t>СП</t>
  </si>
  <si>
    <t>План графика на следующий год</t>
  </si>
  <si>
    <t xml:space="preserve"> График на следующий год</t>
  </si>
  <si>
    <t>Производственный календарь на 2025 год</t>
  </si>
  <si>
    <t>График СП на 2025 год</t>
  </si>
  <si>
    <t>В - выход в выходной день</t>
  </si>
  <si>
    <t>ПЗ - проверка знаний</t>
  </si>
  <si>
    <t>ОТ - отпуск</t>
  </si>
  <si>
    <t>Д - дублирование</t>
  </si>
  <si>
    <t xml:space="preserve">ПК - производственный комбинат, ВКС (обучение) </t>
  </si>
  <si>
    <t>ПЭП - предэкзамеционная подготовка</t>
  </si>
  <si>
    <t>Переработка за предыдущий месяц</t>
  </si>
  <si>
    <t>Переработка  на конец года</t>
  </si>
  <si>
    <t>Происк</t>
  </si>
  <si>
    <t>Сотрудник 1</t>
  </si>
  <si>
    <t>Сотрудник 2</t>
  </si>
  <si>
    <t>Сотрудник 3</t>
  </si>
  <si>
    <t>Сотрудник 4</t>
  </si>
  <si>
    <t>Сотрудник 5</t>
  </si>
  <si>
    <t>Сотрудник 6</t>
  </si>
  <si>
    <t>Сотрудник 7</t>
  </si>
  <si>
    <t>Сотрудник 8</t>
  </si>
  <si>
    <t>Сотрудник 9</t>
  </si>
  <si>
    <t>Сотрудник 10</t>
  </si>
  <si>
    <t>Сотрудник 11</t>
  </si>
  <si>
    <t>Сотрудник 12</t>
  </si>
  <si>
    <t>Сотрудник 13</t>
  </si>
  <si>
    <t>Сотрудник 14</t>
  </si>
  <si>
    <t>Сотрудник 15</t>
  </si>
  <si>
    <t>Сотрудник 16</t>
  </si>
  <si>
    <t>Сотрудник 17</t>
  </si>
  <si>
    <t>Сотрудник 18</t>
  </si>
  <si>
    <t>Сотрудник 19</t>
  </si>
  <si>
    <t>Сотрудник 20</t>
  </si>
  <si>
    <t>Должность1</t>
  </si>
  <si>
    <t>Должность2</t>
  </si>
  <si>
    <t>Должность3</t>
  </si>
  <si>
    <t>Должность4</t>
  </si>
  <si>
    <t>Сотрудник1</t>
  </si>
  <si>
    <t>Сотрудник5</t>
  </si>
  <si>
    <t>Сотрудник2</t>
  </si>
  <si>
    <t>Сотрудник3</t>
  </si>
  <si>
    <t>Сотрудник4</t>
  </si>
  <si>
    <t>Сотрудник6</t>
  </si>
  <si>
    <t>Сотрудник7</t>
  </si>
  <si>
    <t>Сотрудник8</t>
  </si>
  <si>
    <t>Сотрудник9</t>
  </si>
  <si>
    <t>Сотрудник10</t>
  </si>
  <si>
    <t>Сотрудник11</t>
  </si>
  <si>
    <t>Сотрудник12</t>
  </si>
  <si>
    <t>Сотрудник13</t>
  </si>
  <si>
    <t>Сотрудник14</t>
  </si>
  <si>
    <t>Сотрудник15</t>
  </si>
  <si>
    <t>Сотрудник16</t>
  </si>
  <si>
    <t>Сотрудник17</t>
  </si>
  <si>
    <t>Сотрудник18</t>
  </si>
  <si>
    <t>Сотрудник19</t>
  </si>
  <si>
    <t>Сотрудник20</t>
  </si>
  <si>
    <t>Список сотрудников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</si>
</sst>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"/>
    <numFmt numFmtId="165" formatCode="yyyy"/>
    <numFmt numFmtId="166" formatCode="[$-419]mmmm;@"/>
    <numFmt numFmtId="167" formatCode="#,##0.0"/>
  </numFmts>
  <fonts count="25" x14ac:knownFonts="1">
    <font>
      <sz val="11"/>
      <color theme="1"/>
      <name val="Calibri"/>
      <family val="2"/>
      <charset val="204"/>
      <scheme val="minor"/>
    </font>
    <font>
      <b/>
      <sz val="7.5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8"/>
      <color theme="1"/>
      <name val="Arial"/>
      <family val="2"/>
      <charset val="204"/>
    </font>
    <font>
      <b/>
      <sz val="12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rgb="FFFF0000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8"/>
      <color theme="1"/>
      <name val="Times New Roman"/>
      <family val="1"/>
      <charset val="204"/>
    </font>
    <font>
      <b/>
      <sz val="8"/>
      <name val="Arial Cyr"/>
      <family val="2"/>
      <charset val="204"/>
    </font>
    <font>
      <sz val="12"/>
      <name val="Times New Roman"/>
      <family val="1"/>
      <charset val="204"/>
    </font>
    <font>
      <b/>
      <sz val="12"/>
      <color theme="0"/>
      <name val="Times New Roman"/>
      <family val="1"/>
      <charset val="204"/>
    </font>
    <font>
      <b/>
      <sz val="16"/>
      <color rgb="FFFF0000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sz val="12"/>
      <color rgb="FFC00000"/>
      <name val="Times New Roman"/>
      <family val="1"/>
      <charset val="204"/>
    </font>
    <font>
      <b/>
      <sz val="20"/>
      <color theme="3" tint="-0.249977111117893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sz val="11"/>
      <color indexed="8"/>
      <name val="Calibri"/>
      <family val="2"/>
    </font>
    <font>
      <sz val="12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0.249977111117893"/>
        <bgColor indexed="64"/>
      </patternFill>
    </fill>
  </fills>
  <borders count="73">
    <border>
      <left/>
      <right/>
      <top/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auto="1"/>
      </left>
      <right style="medium">
        <color indexed="64"/>
      </right>
      <top style="thick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268">
    <xf numFmtId="0" fontId="0" fillId="0" borderId="0" xfId="0"/>
    <xf numFmtId="0" fontId="0" fillId="2" borderId="0" xfId="0" applyFill="1"/>
    <xf numFmtId="0" fontId="1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2" borderId="17" xfId="0" applyFont="1" applyFill="1" applyBorder="1" applyAlignment="1">
      <alignment horizontal="center" vertical="center" textRotation="90" wrapText="1"/>
    </xf>
    <xf numFmtId="0" fontId="0" fillId="2" borderId="0" xfId="0" applyFill="1" applyAlignment="1">
      <alignment horizontal="right"/>
    </xf>
    <xf numFmtId="0" fontId="0" fillId="0" borderId="22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5" fillId="0" borderId="0" xfId="0" applyFont="1" applyAlignment="1">
      <alignment horizontal="center"/>
    </xf>
    <xf numFmtId="0" fontId="6" fillId="0" borderId="0" xfId="0" applyFont="1"/>
    <xf numFmtId="0" fontId="0" fillId="0" borderId="0" xfId="0" applyAlignment="1">
      <alignment horizontal="right"/>
    </xf>
    <xf numFmtId="0" fontId="1" fillId="0" borderId="2" xfId="0" applyFont="1" applyBorder="1" applyAlignment="1">
      <alignment horizontal="center" vertical="center" textRotation="90" wrapText="1"/>
    </xf>
    <xf numFmtId="0" fontId="0" fillId="0" borderId="22" xfId="0" applyBorder="1" applyAlignment="1">
      <alignment horizontal="center" vertical="center"/>
    </xf>
    <xf numFmtId="0" fontId="0" fillId="0" borderId="29" xfId="0" applyBorder="1"/>
    <xf numFmtId="0" fontId="0" fillId="0" borderId="26" xfId="0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 wrapText="1"/>
    </xf>
    <xf numFmtId="0" fontId="7" fillId="3" borderId="23" xfId="0" applyFont="1" applyFill="1" applyBorder="1" applyAlignment="1">
      <alignment horizontal="center" vertical="center"/>
    </xf>
    <xf numFmtId="14" fontId="0" fillId="0" borderId="0" xfId="0" applyNumberFormat="1"/>
    <xf numFmtId="0" fontId="5" fillId="0" borderId="0" xfId="0" applyFont="1"/>
    <xf numFmtId="0" fontId="7" fillId="3" borderId="25" xfId="0" applyFont="1" applyFill="1" applyBorder="1" applyAlignment="1">
      <alignment horizontal="center" vertical="center"/>
    </xf>
    <xf numFmtId="165" fontId="0" fillId="0" borderId="0" xfId="0" applyNumberFormat="1"/>
    <xf numFmtId="0" fontId="0" fillId="2" borderId="0" xfId="0" applyFill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0" fontId="4" fillId="0" borderId="37" xfId="0" applyFont="1" applyBorder="1" applyAlignment="1">
      <alignment horizontal="center" vertical="center"/>
    </xf>
    <xf numFmtId="0" fontId="4" fillId="0" borderId="38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 wrapText="1"/>
    </xf>
    <xf numFmtId="0" fontId="4" fillId="0" borderId="33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5" fillId="4" borderId="21" xfId="0" applyFont="1" applyFill="1" applyBorder="1"/>
    <xf numFmtId="0" fontId="8" fillId="0" borderId="21" xfId="0" applyFont="1" applyBorder="1"/>
    <xf numFmtId="0" fontId="13" fillId="7" borderId="4" xfId="0" applyFont="1" applyFill="1" applyBorder="1" applyAlignment="1">
      <alignment horizontal="center" vertical="center"/>
    </xf>
    <xf numFmtId="0" fontId="13" fillId="7" borderId="18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3" fillId="7" borderId="19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/>
    </xf>
    <xf numFmtId="0" fontId="13" fillId="7" borderId="43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36" xfId="0" applyFont="1" applyBorder="1" applyAlignment="1">
      <alignment horizontal="center" vertical="center" wrapText="1"/>
    </xf>
    <xf numFmtId="0" fontId="15" fillId="0" borderId="0" xfId="0" applyFont="1"/>
    <xf numFmtId="0" fontId="16" fillId="2" borderId="9" xfId="0" applyFont="1" applyFill="1" applyBorder="1" applyAlignment="1">
      <alignment vertical="center" wrapText="1"/>
    </xf>
    <xf numFmtId="0" fontId="16" fillId="2" borderId="6" xfId="0" applyFont="1" applyFill="1" applyBorder="1" applyAlignment="1">
      <alignment vertical="center" wrapText="1"/>
    </xf>
    <xf numFmtId="0" fontId="15" fillId="0" borderId="30" xfId="0" applyFont="1" applyBorder="1"/>
    <xf numFmtId="0" fontId="15" fillId="0" borderId="31" xfId="0" applyFont="1" applyBorder="1"/>
    <xf numFmtId="0" fontId="15" fillId="0" borderId="32" xfId="0" applyFont="1" applyBorder="1" applyAlignment="1">
      <alignment horizontal="center"/>
    </xf>
    <xf numFmtId="0" fontId="15" fillId="0" borderId="33" xfId="0" applyFont="1" applyBorder="1"/>
    <xf numFmtId="0" fontId="15" fillId="0" borderId="34" xfId="0" applyFont="1" applyBorder="1"/>
    <xf numFmtId="0" fontId="15" fillId="0" borderId="35" xfId="0" applyFont="1" applyBorder="1" applyAlignment="1">
      <alignment horizontal="center"/>
    </xf>
    <xf numFmtId="0" fontId="17" fillId="0" borderId="0" xfId="0" applyFont="1"/>
    <xf numFmtId="0" fontId="12" fillId="0" borderId="0" xfId="0" applyFont="1" applyAlignment="1">
      <alignment horizontal="center" vertical="center"/>
    </xf>
    <xf numFmtId="0" fontId="12" fillId="0" borderId="31" xfId="0" applyFont="1" applyBorder="1" applyAlignment="1">
      <alignment horizontal="center" vertical="center"/>
    </xf>
    <xf numFmtId="0" fontId="4" fillId="0" borderId="52" xfId="0" applyFont="1" applyBorder="1" applyAlignment="1">
      <alignment horizontal="center" vertical="center"/>
    </xf>
    <xf numFmtId="0" fontId="4" fillId="0" borderId="53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54" xfId="0" applyFont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0" fontId="4" fillId="0" borderId="56" xfId="0" applyFont="1" applyBorder="1" applyAlignment="1">
      <alignment horizontal="center" vertical="center"/>
    </xf>
    <xf numFmtId="167" fontId="0" fillId="0" borderId="0" xfId="0" applyNumberFormat="1"/>
    <xf numFmtId="0" fontId="0" fillId="0" borderId="0" xfId="0" applyAlignment="1">
      <alignment horizontal="center" vertical="center" wrapText="1"/>
    </xf>
    <xf numFmtId="1" fontId="0" fillId="0" borderId="0" xfId="0" applyNumberFormat="1"/>
    <xf numFmtId="0" fontId="19" fillId="0" borderId="21" xfId="0" applyFont="1" applyBorder="1"/>
    <xf numFmtId="14" fontId="19" fillId="0" borderId="21" xfId="0" applyNumberFormat="1" applyFont="1" applyBorder="1"/>
    <xf numFmtId="0" fontId="0" fillId="0" borderId="44" xfId="0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top" wrapText="1"/>
    </xf>
    <xf numFmtId="0" fontId="19" fillId="0" borderId="21" xfId="0" applyFont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19" fillId="0" borderId="0" xfId="0" applyFont="1"/>
    <xf numFmtId="14" fontId="19" fillId="0" borderId="0" xfId="0" applyNumberFormat="1" applyFont="1"/>
    <xf numFmtId="0" fontId="4" fillId="5" borderId="22" xfId="0" applyFont="1" applyFill="1" applyBorder="1" applyAlignment="1">
      <alignment vertical="center"/>
    </xf>
    <xf numFmtId="0" fontId="4" fillId="5" borderId="26" xfId="0" applyFont="1" applyFill="1" applyBorder="1" applyAlignment="1">
      <alignment vertical="center"/>
    </xf>
    <xf numFmtId="0" fontId="4" fillId="0" borderId="57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59" xfId="0" applyFont="1" applyBorder="1" applyAlignment="1">
      <alignment horizontal="center" vertical="center"/>
    </xf>
    <xf numFmtId="0" fontId="4" fillId="0" borderId="60" xfId="0" applyFont="1" applyBorder="1" applyAlignment="1">
      <alignment horizontal="center" vertical="center"/>
    </xf>
    <xf numFmtId="0" fontId="4" fillId="0" borderId="61" xfId="0" applyFont="1" applyBorder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4" fillId="0" borderId="62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0" fontId="4" fillId="8" borderId="39" xfId="0" applyFont="1" applyFill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64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5" borderId="0" xfId="0" applyFont="1" applyFill="1" applyAlignment="1">
      <alignment vertical="center"/>
    </xf>
    <xf numFmtId="0" fontId="4" fillId="8" borderId="41" xfId="0" applyFont="1" applyFill="1" applyBorder="1" applyAlignment="1">
      <alignment horizontal="center" vertical="center"/>
    </xf>
    <xf numFmtId="0" fontId="4" fillId="8" borderId="42" xfId="0" applyFont="1" applyFill="1" applyBorder="1" applyAlignment="1">
      <alignment horizontal="center" vertical="center"/>
    </xf>
    <xf numFmtId="0" fontId="4" fillId="8" borderId="35" xfId="0" applyFont="1" applyFill="1" applyBorder="1" applyAlignment="1">
      <alignment horizontal="center" vertical="center"/>
    </xf>
    <xf numFmtId="0" fontId="4" fillId="8" borderId="30" xfId="0" applyFont="1" applyFill="1" applyBorder="1" applyAlignment="1">
      <alignment horizontal="center" vertical="center"/>
    </xf>
    <xf numFmtId="0" fontId="4" fillId="8" borderId="32" xfId="0" applyFont="1" applyFill="1" applyBorder="1" applyAlignment="1">
      <alignment horizontal="center" vertical="center"/>
    </xf>
    <xf numFmtId="0" fontId="4" fillId="8" borderId="56" xfId="0" applyFont="1" applyFill="1" applyBorder="1" applyAlignment="1">
      <alignment horizontal="center" vertical="center"/>
    </xf>
    <xf numFmtId="0" fontId="4" fillId="8" borderId="33" xfId="0" applyFont="1" applyFill="1" applyBorder="1" applyAlignment="1">
      <alignment horizontal="center" vertical="center"/>
    </xf>
    <xf numFmtId="0" fontId="4" fillId="8" borderId="53" xfId="0" applyFont="1" applyFill="1" applyBorder="1" applyAlignment="1">
      <alignment horizontal="center" vertical="center"/>
    </xf>
    <xf numFmtId="0" fontId="4" fillId="8" borderId="52" xfId="0" applyFont="1" applyFill="1" applyBorder="1" applyAlignment="1">
      <alignment horizontal="center" vertical="center"/>
    </xf>
    <xf numFmtId="0" fontId="4" fillId="12" borderId="63" xfId="0" applyFont="1" applyFill="1" applyBorder="1" applyAlignment="1">
      <alignment horizontal="center" vertical="center"/>
    </xf>
    <xf numFmtId="0" fontId="4" fillId="12" borderId="65" xfId="0" applyFont="1" applyFill="1" applyBorder="1" applyAlignment="1">
      <alignment horizontal="center" vertical="center"/>
    </xf>
    <xf numFmtId="0" fontId="4" fillId="12" borderId="59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166" fontId="5" fillId="0" borderId="27" xfId="0" applyNumberFormat="1" applyFont="1" applyBorder="1"/>
    <xf numFmtId="0" fontId="6" fillId="0" borderId="68" xfId="0" applyFont="1" applyBorder="1"/>
    <xf numFmtId="0" fontId="0" fillId="0" borderId="68" xfId="0" applyBorder="1"/>
    <xf numFmtId="0" fontId="6" fillId="0" borderId="0" xfId="0" applyFont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4" fillId="12" borderId="37" xfId="0" applyFont="1" applyFill="1" applyBorder="1" applyAlignment="1">
      <alignment horizontal="center" vertical="center"/>
    </xf>
    <xf numFmtId="0" fontId="4" fillId="12" borderId="21" xfId="0" applyFont="1" applyFill="1" applyBorder="1" applyAlignment="1">
      <alignment horizontal="center" vertical="center"/>
    </xf>
    <xf numFmtId="0" fontId="4" fillId="12" borderId="40" xfId="0" applyFont="1" applyFill="1" applyBorder="1" applyAlignment="1">
      <alignment horizontal="center" vertical="center"/>
    </xf>
    <xf numFmtId="0" fontId="4" fillId="12" borderId="38" xfId="0" applyFont="1" applyFill="1" applyBorder="1" applyAlignment="1">
      <alignment horizontal="center" vertical="center"/>
    </xf>
    <xf numFmtId="0" fontId="4" fillId="12" borderId="66" xfId="0" applyFont="1" applyFill="1" applyBorder="1" applyAlignment="1">
      <alignment horizontal="center" vertical="center"/>
    </xf>
    <xf numFmtId="0" fontId="4" fillId="12" borderId="62" xfId="0" applyFont="1" applyFill="1" applyBorder="1" applyAlignment="1">
      <alignment horizontal="center" vertical="center"/>
    </xf>
    <xf numFmtId="0" fontId="4" fillId="12" borderId="39" xfId="0" applyFont="1" applyFill="1" applyBorder="1" applyAlignment="1">
      <alignment horizontal="center" vertical="center"/>
    </xf>
    <xf numFmtId="0" fontId="8" fillId="0" borderId="0" xfId="0" applyFont="1"/>
    <xf numFmtId="166" fontId="5" fillId="0" borderId="0" xfId="0" applyNumberFormat="1" applyFont="1"/>
    <xf numFmtId="0" fontId="22" fillId="0" borderId="0" xfId="0" applyFont="1"/>
    <xf numFmtId="166" fontId="5" fillId="0" borderId="21" xfId="0" applyNumberFormat="1" applyFont="1" applyBorder="1"/>
    <xf numFmtId="0" fontId="0" fillId="0" borderId="21" xfId="0" applyBorder="1"/>
    <xf numFmtId="164" fontId="6" fillId="0" borderId="21" xfId="0" applyNumberFormat="1" applyFont="1" applyBorder="1" applyAlignment="1">
      <alignment horizontal="center" vertical="center"/>
    </xf>
    <xf numFmtId="0" fontId="23" fillId="14" borderId="0" xfId="0" applyFont="1" applyFill="1"/>
    <xf numFmtId="0" fontId="23" fillId="0" borderId="0" xfId="0" applyFont="1"/>
    <xf numFmtId="14" fontId="6" fillId="0" borderId="21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 textRotation="90" wrapText="1"/>
    </xf>
    <xf numFmtId="0" fontId="3" fillId="0" borderId="7" xfId="0" applyFont="1" applyBorder="1" applyAlignment="1">
      <alignment horizontal="center" vertical="center" textRotation="90" wrapText="1"/>
    </xf>
    <xf numFmtId="0" fontId="2" fillId="2" borderId="21" xfId="0" applyFont="1" applyFill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textRotation="90" wrapText="1"/>
    </xf>
    <xf numFmtId="0" fontId="2" fillId="2" borderId="65" xfId="0" applyFont="1" applyFill="1" applyBorder="1" applyAlignment="1">
      <alignment horizontal="left" vertical="center" wrapText="1"/>
    </xf>
    <xf numFmtId="0" fontId="2" fillId="2" borderId="59" xfId="0" applyFont="1" applyFill="1" applyBorder="1" applyAlignment="1">
      <alignment horizontal="left" vertical="center" wrapText="1"/>
    </xf>
    <xf numFmtId="0" fontId="2" fillId="0" borderId="23" xfId="0" applyFont="1" applyBorder="1" applyAlignment="1">
      <alignment horizontal="center" vertical="center"/>
    </xf>
    <xf numFmtId="0" fontId="2" fillId="0" borderId="49" xfId="0" applyFont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 textRotation="90" wrapText="1"/>
    </xf>
    <xf numFmtId="0" fontId="3" fillId="2" borderId="24" xfId="0" applyFont="1" applyFill="1" applyBorder="1" applyAlignment="1">
      <alignment horizontal="center" vertical="center" textRotation="90" wrapText="1"/>
    </xf>
    <xf numFmtId="0" fontId="3" fillId="2" borderId="7" xfId="0" applyFont="1" applyFill="1" applyBorder="1" applyAlignment="1">
      <alignment horizontal="center" vertical="center" textRotation="90" wrapText="1"/>
    </xf>
    <xf numFmtId="0" fontId="2" fillId="2" borderId="20" xfId="0" applyFont="1" applyFill="1" applyBorder="1" applyAlignment="1">
      <alignment horizontal="center" vertical="center"/>
    </xf>
    <xf numFmtId="0" fontId="2" fillId="2" borderId="69" xfId="0" applyFont="1" applyFill="1" applyBorder="1" applyAlignment="1">
      <alignment horizontal="center" vertical="center"/>
    </xf>
    <xf numFmtId="0" fontId="2" fillId="2" borderId="63" xfId="0" applyFont="1" applyFill="1" applyBorder="1" applyAlignment="1">
      <alignment horizontal="left" vertical="center" wrapText="1"/>
    </xf>
    <xf numFmtId="0" fontId="2" fillId="0" borderId="70" xfId="0" applyFont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0" fillId="2" borderId="0" xfId="0" applyFill="1" applyAlignment="1">
      <alignment horizontal="right"/>
    </xf>
    <xf numFmtId="0" fontId="5" fillId="3" borderId="10" xfId="0" applyFont="1" applyFill="1" applyBorder="1" applyAlignment="1">
      <alignment horizontal="left" vertical="center"/>
    </xf>
    <xf numFmtId="0" fontId="5" fillId="3" borderId="22" xfId="0" applyFont="1" applyFill="1" applyBorder="1" applyAlignment="1">
      <alignment horizontal="left" vertical="center"/>
    </xf>
    <xf numFmtId="0" fontId="5" fillId="3" borderId="24" xfId="0" applyFont="1" applyFill="1" applyBorder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 wrapText="1"/>
    </xf>
    <xf numFmtId="0" fontId="23" fillId="13" borderId="0" xfId="0" applyFont="1" applyFill="1" applyAlignment="1">
      <alignment horizontal="center"/>
    </xf>
    <xf numFmtId="0" fontId="23" fillId="9" borderId="0" xfId="0" applyFont="1" applyFill="1" applyAlignment="1">
      <alignment horizontal="center"/>
    </xf>
    <xf numFmtId="0" fontId="23" fillId="15" borderId="0" xfId="0" applyFont="1" applyFill="1" applyAlignment="1">
      <alignment horizontal="center"/>
    </xf>
    <xf numFmtId="0" fontId="23" fillId="16" borderId="0" xfId="0" applyFont="1" applyFill="1" applyAlignment="1">
      <alignment horizontal="center"/>
    </xf>
    <xf numFmtId="0" fontId="23" fillId="11" borderId="0" xfId="0" applyFont="1" applyFill="1" applyAlignment="1">
      <alignment horizontal="center"/>
    </xf>
    <xf numFmtId="0" fontId="2" fillId="0" borderId="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 textRotation="90" wrapText="1"/>
    </xf>
    <xf numFmtId="164" fontId="6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 textRotation="90"/>
    </xf>
    <xf numFmtId="0" fontId="2" fillId="0" borderId="8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43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 textRotation="90"/>
    </xf>
    <xf numFmtId="0" fontId="13" fillId="7" borderId="5" xfId="0" applyFont="1" applyFill="1" applyBorder="1" applyAlignment="1">
      <alignment horizontal="center" vertical="center" textRotation="90"/>
    </xf>
    <xf numFmtId="0" fontId="13" fillId="7" borderId="11" xfId="0" applyFont="1" applyFill="1" applyBorder="1" applyAlignment="1">
      <alignment horizontal="center" vertical="center" textRotation="90"/>
    </xf>
    <xf numFmtId="0" fontId="13" fillId="7" borderId="7" xfId="0" applyFont="1" applyFill="1" applyBorder="1" applyAlignment="1">
      <alignment horizontal="center" vertical="center"/>
    </xf>
    <xf numFmtId="0" fontId="13" fillId="7" borderId="26" xfId="0" applyFont="1" applyFill="1" applyBorder="1" applyAlignment="1">
      <alignment horizontal="center" vertical="center"/>
    </xf>
    <xf numFmtId="0" fontId="13" fillId="7" borderId="49" xfId="0" applyFont="1" applyFill="1" applyBorder="1" applyAlignment="1">
      <alignment horizontal="center" vertical="center"/>
    </xf>
    <xf numFmtId="0" fontId="13" fillId="7" borderId="2" xfId="0" applyFont="1" applyFill="1" applyBorder="1" applyAlignment="1">
      <alignment horizontal="center" vertical="center"/>
    </xf>
    <xf numFmtId="0" fontId="13" fillId="7" borderId="36" xfId="0" applyFont="1" applyFill="1" applyBorder="1" applyAlignment="1">
      <alignment horizontal="center" vertical="center"/>
    </xf>
    <xf numFmtId="0" fontId="13" fillId="7" borderId="12" xfId="0" applyFont="1" applyFill="1" applyBorder="1" applyAlignment="1">
      <alignment horizontal="center" vertical="center"/>
    </xf>
    <xf numFmtId="0" fontId="13" fillId="7" borderId="44" xfId="0" applyFont="1" applyFill="1" applyBorder="1" applyAlignment="1">
      <alignment horizontal="center" vertical="center"/>
    </xf>
    <xf numFmtId="0" fontId="13" fillId="7" borderId="45" xfId="0" applyFont="1" applyFill="1" applyBorder="1" applyAlignment="1">
      <alignment horizontal="center" vertical="center"/>
    </xf>
    <xf numFmtId="0" fontId="13" fillId="7" borderId="16" xfId="0" applyFont="1" applyFill="1" applyBorder="1" applyAlignment="1">
      <alignment horizontal="center" vertical="center"/>
    </xf>
    <xf numFmtId="0" fontId="13" fillId="7" borderId="46" xfId="0" applyFont="1" applyFill="1" applyBorder="1" applyAlignment="1">
      <alignment horizontal="center" vertical="center"/>
    </xf>
    <xf numFmtId="0" fontId="13" fillId="7" borderId="47" xfId="0" applyFont="1" applyFill="1" applyBorder="1" applyAlignment="1">
      <alignment horizontal="center" vertical="center"/>
    </xf>
    <xf numFmtId="0" fontId="13" fillId="7" borderId="48" xfId="0" applyFont="1" applyFill="1" applyBorder="1" applyAlignment="1">
      <alignment horizontal="center" vertical="center"/>
    </xf>
    <xf numFmtId="0" fontId="4" fillId="5" borderId="50" xfId="0" applyFont="1" applyFill="1" applyBorder="1" applyAlignment="1">
      <alignment horizontal="center" vertical="center"/>
    </xf>
    <xf numFmtId="0" fontId="4" fillId="5" borderId="51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166" fontId="4" fillId="5" borderId="9" xfId="0" applyNumberFormat="1" applyFont="1" applyFill="1" applyBorder="1" applyAlignment="1">
      <alignment horizontal="center" vertical="center" textRotation="90"/>
    </xf>
    <xf numFmtId="166" fontId="4" fillId="5" borderId="36" xfId="0" applyNumberFormat="1" applyFont="1" applyFill="1" applyBorder="1" applyAlignment="1">
      <alignment horizontal="center" vertical="center" textRotation="90"/>
    </xf>
    <xf numFmtId="166" fontId="4" fillId="5" borderId="6" xfId="0" applyNumberFormat="1" applyFont="1" applyFill="1" applyBorder="1" applyAlignment="1">
      <alignment horizontal="center" vertical="center" textRotation="90"/>
    </xf>
    <xf numFmtId="0" fontId="2" fillId="0" borderId="4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4" fillId="5" borderId="49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5" borderId="48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5" borderId="67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2" fillId="5" borderId="43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0" fontId="2" fillId="6" borderId="12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4" fillId="5" borderId="1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18" xfId="0" applyFont="1" applyFill="1" applyBorder="1" applyAlignment="1">
      <alignment horizontal="center" vertical="center"/>
    </xf>
    <xf numFmtId="0" fontId="4" fillId="5" borderId="19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49" fontId="9" fillId="0" borderId="4" xfId="0" applyNumberFormat="1" applyFont="1" applyBorder="1" applyAlignment="1">
      <alignment horizontal="center" vertical="center" wrapText="1"/>
    </xf>
    <xf numFmtId="49" fontId="9" fillId="0" borderId="15" xfId="0" applyNumberFormat="1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 wrapText="1"/>
    </xf>
    <xf numFmtId="49" fontId="11" fillId="0" borderId="2" xfId="0" applyNumberFormat="1" applyFont="1" applyBorder="1" applyAlignment="1">
      <alignment horizontal="center" vertical="center"/>
    </xf>
    <xf numFmtId="49" fontId="11" fillId="0" borderId="1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6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166" fontId="4" fillId="5" borderId="10" xfId="0" applyNumberFormat="1" applyFont="1" applyFill="1" applyBorder="1" applyAlignment="1">
      <alignment horizontal="center" vertical="center" textRotation="90"/>
    </xf>
    <xf numFmtId="166" fontId="4" fillId="5" borderId="24" xfId="0" applyNumberFormat="1" applyFont="1" applyFill="1" applyBorder="1" applyAlignment="1">
      <alignment horizontal="center" vertical="center" textRotation="90"/>
    </xf>
    <xf numFmtId="166" fontId="4" fillId="5" borderId="13" xfId="0" applyNumberFormat="1" applyFont="1" applyFill="1" applyBorder="1" applyAlignment="1">
      <alignment horizontal="center" vertical="center" textRotation="90"/>
    </xf>
    <xf numFmtId="0" fontId="2" fillId="0" borderId="20" xfId="0" applyFont="1" applyBorder="1" applyAlignment="1">
      <alignment horizontal="center" vertical="center"/>
    </xf>
    <xf numFmtId="0" fontId="2" fillId="0" borderId="69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2" fillId="0" borderId="7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5" borderId="36" xfId="0" applyFont="1" applyFill="1" applyBorder="1" applyAlignment="1">
      <alignment horizontal="center" vertical="center"/>
    </xf>
    <xf numFmtId="0" fontId="2" fillId="5" borderId="20" xfId="0" applyFont="1" applyFill="1" applyBorder="1" applyAlignment="1">
      <alignment horizontal="center" vertical="center"/>
    </xf>
    <xf numFmtId="0" fontId="2" fillId="5" borderId="72" xfId="0" applyFont="1" applyFill="1" applyBorder="1" applyAlignment="1">
      <alignment horizontal="center" vertical="center"/>
    </xf>
    <xf numFmtId="0" fontId="2" fillId="5" borderId="17" xfId="0" applyFont="1" applyFill="1" applyBorder="1" applyAlignment="1">
      <alignment horizontal="center" vertical="center"/>
    </xf>
    <xf numFmtId="0" fontId="2" fillId="5" borderId="69" xfId="0" applyFont="1" applyFill="1" applyBorder="1" applyAlignment="1">
      <alignment horizontal="center" vertical="center"/>
    </xf>
  </cellXfs>
  <cellStyles count="1">
    <cellStyle name="Обычный" xfId="0" builtinId="0"/>
  </cellStyles>
  <dxfs count="180"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  <numFmt numFmtId="168" formatCode=";;"/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  <numFmt numFmtId="168" formatCode=";;"/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numFmt numFmtId="168" formatCode=";;"/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numFmt numFmtId="168" formatCode=";;"/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numFmt numFmtId="168" formatCode=";;"/>
    </dxf>
    <dxf>
      <fill>
        <patternFill>
          <bgColor theme="7"/>
        </patternFill>
      </fill>
    </dxf>
    <dxf>
      <fill>
        <patternFill>
          <bgColor theme="2" tint="-0.499984740745262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b val="0"/>
        <i val="0"/>
      </font>
      <numFmt numFmtId="0" formatCode="General"/>
      <fill>
        <patternFill>
          <bgColor rgb="FFC00000"/>
        </patternFill>
      </fill>
    </dxf>
    <dxf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numFmt numFmtId="168" formatCode=";;"/>
    </dxf>
    <dxf>
      <fill>
        <patternFill>
          <bgColor theme="7"/>
        </patternFill>
      </fill>
    </dxf>
    <dxf>
      <fill>
        <patternFill>
          <bgColor theme="2" tint="-0.499984740745262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b val="0"/>
        <i val="0"/>
      </font>
      <numFmt numFmtId="0" formatCode="General"/>
      <fill>
        <patternFill>
          <bgColor rgb="FFC00000"/>
        </patternFill>
      </fill>
    </dxf>
    <dxf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numFmt numFmtId="168" formatCode=";;"/>
    </dxf>
    <dxf>
      <fill>
        <patternFill>
          <bgColor theme="7"/>
        </patternFill>
      </fill>
    </dxf>
    <dxf>
      <fill>
        <patternFill>
          <bgColor theme="2" tint="-0.499984740745262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b val="0"/>
        <i val="0"/>
      </font>
      <numFmt numFmtId="0" formatCode="General"/>
      <fill>
        <patternFill>
          <bgColor rgb="FFC00000"/>
        </patternFill>
      </fill>
    </dxf>
    <dxf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numFmt numFmtId="168" formatCode=";;"/>
    </dxf>
    <dxf>
      <fill>
        <patternFill>
          <bgColor theme="7"/>
        </patternFill>
      </fill>
    </dxf>
    <dxf>
      <fill>
        <patternFill>
          <bgColor theme="2" tint="-0.499984740745262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b val="0"/>
        <i val="0"/>
      </font>
      <numFmt numFmtId="0" formatCode="General"/>
      <fill>
        <patternFill>
          <bgColor rgb="FFC00000"/>
        </patternFill>
      </fill>
    </dxf>
    <dxf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numFmt numFmtId="168" formatCode=";;"/>
    </dxf>
    <dxf>
      <fill>
        <patternFill>
          <bgColor theme="7"/>
        </patternFill>
      </fill>
    </dxf>
    <dxf>
      <fill>
        <patternFill>
          <bgColor theme="2" tint="-0.499984740745262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b val="0"/>
        <i val="0"/>
      </font>
      <numFmt numFmtId="0" formatCode="General"/>
      <fill>
        <patternFill>
          <bgColor rgb="FFC00000"/>
        </patternFill>
      </fill>
    </dxf>
    <dxf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numFmt numFmtId="168" formatCode=";;"/>
    </dxf>
    <dxf>
      <fill>
        <patternFill>
          <bgColor theme="7"/>
        </patternFill>
      </fill>
    </dxf>
    <dxf>
      <fill>
        <patternFill>
          <bgColor theme="2" tint="-0.499984740745262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b val="0"/>
        <i val="0"/>
      </font>
      <numFmt numFmtId="0" formatCode="General"/>
      <fill>
        <patternFill>
          <bgColor rgb="FFC00000"/>
        </patternFill>
      </fill>
    </dxf>
    <dxf>
      <numFmt numFmtId="19" formatCode="dd/mm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preserveFormatting="0" adjustColumnWidth="0" connectionId="5" xr16:uid="{95624B97-2F84-411B-B3AD-D33C6FA746A5}" autoFormatId="16" applyNumberFormats="0" applyBorderFormats="0" applyFontFormats="0" applyPatternFormats="0" applyAlignmentFormats="0" applyWidthHeightFormats="0">
  <queryTableRefresh nextId="2">
    <queryTableFields count="1">
      <queryTableField id="1" name="Даты.Дата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67B9624-9C87-4A61-9F29-D40460DD642E}" name="Праздники" displayName="Праздники" ref="A2:A106" tableType="queryTable" totalsRowShown="0" headerRowDxfId="179">
  <autoFilter ref="A2:A106" xr:uid="{767B9624-9C87-4A61-9F29-D40460DD642E}"/>
  <sortState xmlns:xlrd2="http://schemas.microsoft.com/office/spreadsheetml/2017/richdata2" ref="A3:A106">
    <sortCondition descending="1" ref="A2:A106"/>
  </sortState>
  <tableColumns count="1">
    <tableColumn id="1" xr3:uid="{8CA86EC0-A6FD-4CFF-995A-2EF0CCB3CDBF}" uniqueName="1" name="Даты.Дата" queryTableFieldId="1" dataDxfId="17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A006B5-3F39-4F7C-88DA-B45684F02061}" name="Производственный_календарь" displayName="Производственный_календарь" ref="D2:H15" totalsRowCount="1">
  <autoFilter ref="D2:H14" xr:uid="{59A006B5-3F39-4F7C-88DA-B45684F02061}"/>
  <tableColumns count="5">
    <tableColumn id="1" xr3:uid="{1CB51B6C-C78F-4E68-8C38-D4B095FEC752}" name="Месяц"/>
    <tableColumn id="2" xr3:uid="{7886B570-8EE0-42C6-831D-2793C773D5C8}" name="Количество дней Календарных"/>
    <tableColumn id="3" xr3:uid="{EF53F4AC-8908-4323-9AD7-04C02ACB83D3}" name="Количество дней Рабочих"/>
    <tableColumn id="4" xr3:uid="{C8CDCE6B-65FD-4DFF-9061-4520A5D21F31}" name="Количество дней Выходных"/>
    <tableColumn id="5" xr3:uid="{A0BB51D4-30A9-4AA8-A1B7-6B5988C11621}" name="Рабочее время (час) 40 час/нед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D9526-1409-4EB9-A73C-80B4ED39B569}">
  <sheetPr codeName="Лист12">
    <tabColor theme="3" tint="0.79998168889431442"/>
    <pageSetUpPr fitToPage="1"/>
  </sheetPr>
  <dimension ref="A1:AX60"/>
  <sheetViews>
    <sheetView zoomScale="70" zoomScaleNormal="70" workbookViewId="0">
      <pane xSplit="3" ySplit="8" topLeftCell="D9" activePane="bottomRight" state="frozen"/>
      <selection activeCell="N17" sqref="N17"/>
      <selection pane="topRight" activeCell="N17" sqref="N17"/>
      <selection pane="bottomLeft" activeCell="N17" sqref="N17"/>
      <selection pane="bottomRight" activeCell="A52" sqref="A52:A55"/>
    </sheetView>
  </sheetViews>
  <sheetFormatPr defaultRowHeight="15" x14ac:dyDescent="0.25"/>
  <cols>
    <col min="1" max="1" width="9.140625" customWidth="1"/>
    <col min="2" max="2" width="28" customWidth="1"/>
    <col min="3" max="3" width="4.7109375" customWidth="1"/>
    <col min="4" max="4" width="2.85546875" hidden="1" customWidth="1"/>
    <col min="5" max="5" width="5.42578125" customWidth="1"/>
    <col min="6" max="34" width="5" customWidth="1"/>
    <col min="35" max="35" width="4.85546875" customWidth="1"/>
    <col min="36" max="37" width="9.140625" customWidth="1"/>
    <col min="38" max="39" width="10.28515625" customWidth="1"/>
    <col min="40" max="41" width="2.7109375" customWidth="1"/>
    <col min="42" max="43" width="6.7109375" customWidth="1"/>
    <col min="44" max="44" width="12.42578125" customWidth="1"/>
    <col min="45" max="45" width="8.28515625" customWidth="1"/>
    <col min="46" max="46" width="6.7109375" customWidth="1"/>
    <col min="47" max="47" width="2.28515625" customWidth="1"/>
    <col min="48" max="48" width="6.7109375" customWidth="1"/>
    <col min="49" max="189" width="9.140625" customWidth="1"/>
  </cols>
  <sheetData>
    <row r="1" spans="1:50" ht="18.75" x14ac:dyDescent="0.25">
      <c r="A1" s="159"/>
      <c r="B1" s="159"/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"/>
      <c r="AL1" s="24"/>
      <c r="AO1" s="22"/>
      <c r="AP1" s="160" t="s">
        <v>14</v>
      </c>
      <c r="AQ1" s="161"/>
      <c r="AR1" s="20">
        <f>'Сводный годовой график'!AX1</f>
        <v>2025</v>
      </c>
      <c r="AS1" s="22"/>
      <c r="AT1" s="22"/>
      <c r="AU1" s="22"/>
      <c r="AV1" s="22"/>
      <c r="AW1" s="22"/>
      <c r="AX1" s="22"/>
    </row>
    <row r="2" spans="1:50" ht="18.75" x14ac:dyDescent="0.25">
      <c r="A2" s="7"/>
      <c r="B2" s="7"/>
      <c r="C2" s="14"/>
      <c r="D2" s="7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7"/>
      <c r="AK2" s="1"/>
      <c r="AO2" s="12"/>
      <c r="AP2" s="162" t="s">
        <v>15</v>
      </c>
      <c r="AQ2" s="163"/>
      <c r="AR2" s="23">
        <v>1</v>
      </c>
      <c r="AT2" s="12"/>
      <c r="AU2" s="12"/>
      <c r="AV2" s="12"/>
      <c r="AW2" s="12"/>
      <c r="AX2" s="12"/>
    </row>
    <row r="3" spans="1:50" ht="21" customHeight="1" x14ac:dyDescent="0.25">
      <c r="A3" s="164" t="str">
        <f>CONCATENATE("График работы  персонала на ",LOWER(TEXT($E$8,"ММММ"))," ",TEXT($E$8,"ГГГГ")," года ","(",$AR$3,"/",$AJ$9, ")")</f>
        <v>График работы  персонала на январь 2025 года (17/136)</v>
      </c>
      <c r="B3" s="164"/>
      <c r="C3" s="164"/>
      <c r="D3" s="164"/>
      <c r="E3" s="164"/>
      <c r="F3" s="164"/>
      <c r="G3" s="164"/>
      <c r="H3" s="164"/>
      <c r="I3" s="164"/>
      <c r="J3" s="164"/>
      <c r="K3" s="164"/>
      <c r="L3" s="164"/>
      <c r="M3" s="164"/>
      <c r="N3" s="164"/>
      <c r="O3" s="164"/>
      <c r="P3" s="164"/>
      <c r="Q3" s="164"/>
      <c r="R3" s="164"/>
      <c r="S3" s="164"/>
      <c r="T3" s="164"/>
      <c r="U3" s="164"/>
      <c r="V3" s="164"/>
      <c r="W3" s="164"/>
      <c r="X3" s="164"/>
      <c r="Y3" s="164"/>
      <c r="Z3" s="164"/>
      <c r="AA3" s="164"/>
      <c r="AB3" s="164"/>
      <c r="AC3" s="164"/>
      <c r="AD3" s="164"/>
      <c r="AE3" s="164"/>
      <c r="AF3" s="164"/>
      <c r="AG3" s="164"/>
      <c r="AH3" s="164"/>
      <c r="AI3" s="164"/>
      <c r="AJ3" s="164"/>
      <c r="AK3" s="1"/>
      <c r="AL3" s="21"/>
      <c r="AP3" s="162" t="s">
        <v>16</v>
      </c>
      <c r="AQ3" s="163"/>
      <c r="AR3" s="23">
        <f>INDEX(Производственный_календарь[],MONTH($E$8),3)</f>
        <v>17</v>
      </c>
    </row>
    <row r="4" spans="1:50" ht="21" customHeight="1" x14ac:dyDescent="0.25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1"/>
      <c r="AL4" s="21"/>
      <c r="AP4" s="51" t="s">
        <v>20</v>
      </c>
      <c r="AQ4" s="52"/>
      <c r="AR4" s="53">
        <f>EOMONTH(DATE(AR1,AR2,1),0)-DATE(AR1,AR2,1)+1</f>
        <v>31</v>
      </c>
    </row>
    <row r="5" spans="1:50" ht="16.5" customHeight="1" thickBo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1"/>
      <c r="AL5" s="21"/>
      <c r="AP5" s="54" t="s">
        <v>21</v>
      </c>
      <c r="AQ5" s="55"/>
      <c r="AR5" s="56">
        <v>4</v>
      </c>
    </row>
    <row r="6" spans="1:50" ht="16.5" hidden="1" customHeight="1" x14ac:dyDescent="0.25">
      <c r="E6" s="48">
        <f>IF(COLUMN()-$AR$5&lt;=$AR$4,1,0)</f>
        <v>1</v>
      </c>
      <c r="F6" s="48">
        <f t="shared" ref="F6:AH6" si="0">IF(COLUMN()-$AR$5&lt;=$AR$4,1,0)</f>
        <v>1</v>
      </c>
      <c r="G6" s="48">
        <f t="shared" si="0"/>
        <v>1</v>
      </c>
      <c r="H6" s="48">
        <f t="shared" si="0"/>
        <v>1</v>
      </c>
      <c r="I6" s="48">
        <f t="shared" si="0"/>
        <v>1</v>
      </c>
      <c r="J6" s="48">
        <f t="shared" si="0"/>
        <v>1</v>
      </c>
      <c r="K6" s="48">
        <f t="shared" si="0"/>
        <v>1</v>
      </c>
      <c r="L6" s="48">
        <f t="shared" si="0"/>
        <v>1</v>
      </c>
      <c r="M6" s="48">
        <f t="shared" si="0"/>
        <v>1</v>
      </c>
      <c r="N6" s="48">
        <f t="shared" si="0"/>
        <v>1</v>
      </c>
      <c r="O6" s="48">
        <f t="shared" si="0"/>
        <v>1</v>
      </c>
      <c r="P6" s="48">
        <f t="shared" si="0"/>
        <v>1</v>
      </c>
      <c r="Q6" s="48">
        <f t="shared" si="0"/>
        <v>1</v>
      </c>
      <c r="R6" s="48">
        <f t="shared" si="0"/>
        <v>1</v>
      </c>
      <c r="S6" s="48">
        <f t="shared" si="0"/>
        <v>1</v>
      </c>
      <c r="T6" s="48">
        <f t="shared" si="0"/>
        <v>1</v>
      </c>
      <c r="U6" s="48">
        <f t="shared" si="0"/>
        <v>1</v>
      </c>
      <c r="V6" s="48">
        <f t="shared" si="0"/>
        <v>1</v>
      </c>
      <c r="W6" s="48">
        <f t="shared" si="0"/>
        <v>1</v>
      </c>
      <c r="X6" s="48">
        <f t="shared" si="0"/>
        <v>1</v>
      </c>
      <c r="Y6" s="48">
        <f t="shared" si="0"/>
        <v>1</v>
      </c>
      <c r="Z6" s="48">
        <f t="shared" si="0"/>
        <v>1</v>
      </c>
      <c r="AA6" s="48">
        <f t="shared" si="0"/>
        <v>1</v>
      </c>
      <c r="AB6" s="48">
        <f t="shared" si="0"/>
        <v>1</v>
      </c>
      <c r="AC6" s="48">
        <f t="shared" si="0"/>
        <v>1</v>
      </c>
      <c r="AD6" s="48">
        <f t="shared" si="0"/>
        <v>1</v>
      </c>
      <c r="AE6" s="48">
        <f t="shared" si="0"/>
        <v>1</v>
      </c>
      <c r="AF6" s="48">
        <f t="shared" si="0"/>
        <v>1</v>
      </c>
      <c r="AG6" s="48">
        <f t="shared" si="0"/>
        <v>1</v>
      </c>
      <c r="AH6" s="48">
        <f t="shared" si="0"/>
        <v>1</v>
      </c>
      <c r="AI6" s="48">
        <f>IF(COLUMN()-$AR$5&lt;=$AR$4,1,0)</f>
        <v>1</v>
      </c>
    </row>
    <row r="7" spans="1:50" ht="16.5" hidden="1" customHeight="1" thickBot="1" x14ac:dyDescent="0.3">
      <c r="E7" s="48">
        <v>1</v>
      </c>
      <c r="F7" s="48">
        <v>2</v>
      </c>
      <c r="G7" s="48">
        <v>3</v>
      </c>
      <c r="H7" s="48">
        <v>4</v>
      </c>
      <c r="I7" s="48">
        <v>5</v>
      </c>
      <c r="J7" s="48">
        <v>6</v>
      </c>
      <c r="K7" s="48">
        <v>7</v>
      </c>
      <c r="L7" s="48">
        <v>8</v>
      </c>
      <c r="M7" s="48">
        <v>9</v>
      </c>
      <c r="N7" s="48">
        <v>10</v>
      </c>
      <c r="O7" s="48">
        <v>11</v>
      </c>
      <c r="P7" s="48">
        <v>12</v>
      </c>
      <c r="Q7" s="48">
        <v>13</v>
      </c>
      <c r="R7" s="48">
        <v>14</v>
      </c>
      <c r="S7" s="48">
        <v>15</v>
      </c>
      <c r="T7" s="48">
        <v>16</v>
      </c>
      <c r="U7" s="48">
        <v>17</v>
      </c>
      <c r="V7" s="48">
        <v>18</v>
      </c>
      <c r="W7" s="48">
        <v>19</v>
      </c>
      <c r="X7" s="48">
        <v>20</v>
      </c>
      <c r="Y7" s="48">
        <v>21</v>
      </c>
      <c r="Z7" s="48">
        <v>22</v>
      </c>
      <c r="AA7" s="48">
        <v>23</v>
      </c>
      <c r="AB7" s="48">
        <v>24</v>
      </c>
      <c r="AC7" s="48">
        <v>25</v>
      </c>
      <c r="AD7" s="48">
        <v>26</v>
      </c>
      <c r="AE7" s="48">
        <v>27</v>
      </c>
      <c r="AF7" s="48">
        <v>28</v>
      </c>
      <c r="AG7" s="48">
        <v>29</v>
      </c>
      <c r="AH7" s="48">
        <v>30</v>
      </c>
      <c r="AI7" s="48">
        <v>31</v>
      </c>
    </row>
    <row r="8" spans="1:50" ht="47.45" customHeight="1" thickTop="1" thickBot="1" x14ac:dyDescent="0.3">
      <c r="A8" s="2" t="s">
        <v>0</v>
      </c>
      <c r="B8" s="3" t="s">
        <v>1</v>
      </c>
      <c r="C8" s="15" t="s">
        <v>2</v>
      </c>
      <c r="D8" s="3"/>
      <c r="E8" s="19">
        <f>DATE($AR$1,$AR$2,1)</f>
        <v>45658</v>
      </c>
      <c r="F8" s="19">
        <f>IF(E8,DATE($AR$1,$AR$2,DAY(E$8)+1),"")</f>
        <v>45659</v>
      </c>
      <c r="G8" s="19">
        <f t="shared" ref="G8:AI8" si="1">IF(F8,DATE($AR$1,$AR$2,DAY(F$8)+1),"")</f>
        <v>45660</v>
      </c>
      <c r="H8" s="19">
        <f t="shared" si="1"/>
        <v>45661</v>
      </c>
      <c r="I8" s="19">
        <f t="shared" si="1"/>
        <v>45662</v>
      </c>
      <c r="J8" s="19">
        <f t="shared" si="1"/>
        <v>45663</v>
      </c>
      <c r="K8" s="19">
        <f t="shared" si="1"/>
        <v>45664</v>
      </c>
      <c r="L8" s="19">
        <f t="shared" si="1"/>
        <v>45665</v>
      </c>
      <c r="M8" s="19">
        <f t="shared" si="1"/>
        <v>45666</v>
      </c>
      <c r="N8" s="19">
        <f t="shared" si="1"/>
        <v>45667</v>
      </c>
      <c r="O8" s="19">
        <f t="shared" si="1"/>
        <v>45668</v>
      </c>
      <c r="P8" s="19">
        <f t="shared" si="1"/>
        <v>45669</v>
      </c>
      <c r="Q8" s="19">
        <f t="shared" si="1"/>
        <v>45670</v>
      </c>
      <c r="R8" s="19">
        <f t="shared" si="1"/>
        <v>45671</v>
      </c>
      <c r="S8" s="19">
        <f t="shared" si="1"/>
        <v>45672</v>
      </c>
      <c r="T8" s="19">
        <f t="shared" si="1"/>
        <v>45673</v>
      </c>
      <c r="U8" s="19">
        <f t="shared" si="1"/>
        <v>45674</v>
      </c>
      <c r="V8" s="19">
        <f t="shared" si="1"/>
        <v>45675</v>
      </c>
      <c r="W8" s="19">
        <f t="shared" si="1"/>
        <v>45676</v>
      </c>
      <c r="X8" s="19">
        <f t="shared" si="1"/>
        <v>45677</v>
      </c>
      <c r="Y8" s="19">
        <f t="shared" si="1"/>
        <v>45678</v>
      </c>
      <c r="Z8" s="19">
        <f t="shared" si="1"/>
        <v>45679</v>
      </c>
      <c r="AA8" s="19">
        <f t="shared" si="1"/>
        <v>45680</v>
      </c>
      <c r="AB8" s="19">
        <f t="shared" si="1"/>
        <v>45681</v>
      </c>
      <c r="AC8" s="19">
        <f t="shared" si="1"/>
        <v>45682</v>
      </c>
      <c r="AD8" s="19">
        <f t="shared" si="1"/>
        <v>45683</v>
      </c>
      <c r="AE8" s="19">
        <f t="shared" si="1"/>
        <v>45684</v>
      </c>
      <c r="AF8" s="19">
        <f t="shared" si="1"/>
        <v>45685</v>
      </c>
      <c r="AG8" s="19">
        <f t="shared" si="1"/>
        <v>45686</v>
      </c>
      <c r="AH8" s="19">
        <f t="shared" si="1"/>
        <v>45687</v>
      </c>
      <c r="AI8" s="19">
        <f t="shared" si="1"/>
        <v>45688</v>
      </c>
      <c r="AJ8" s="2" t="s">
        <v>3</v>
      </c>
      <c r="AK8" s="4" t="s">
        <v>4</v>
      </c>
      <c r="AL8" s="31" t="s">
        <v>77</v>
      </c>
      <c r="AM8" s="31" t="s">
        <v>78</v>
      </c>
      <c r="AP8" s="4" t="s">
        <v>6</v>
      </c>
      <c r="AQ8" s="4" t="s">
        <v>5</v>
      </c>
      <c r="AR8" s="4" t="s">
        <v>7</v>
      </c>
      <c r="AS8" s="4" t="s">
        <v>8</v>
      </c>
      <c r="AT8" s="4" t="s">
        <v>13</v>
      </c>
      <c r="AU8" s="6" t="s">
        <v>9</v>
      </c>
      <c r="AV8" s="4" t="s">
        <v>11</v>
      </c>
      <c r="AW8" s="4" t="s">
        <v>18</v>
      </c>
      <c r="AX8" s="4" t="s">
        <v>19</v>
      </c>
    </row>
    <row r="9" spans="1:50" ht="16.5" thickBot="1" x14ac:dyDescent="0.3">
      <c r="A9" s="146" t="s">
        <v>100</v>
      </c>
      <c r="B9" s="151" t="s">
        <v>80</v>
      </c>
      <c r="C9" s="141">
        <v>1</v>
      </c>
      <c r="D9" s="49">
        <v>1</v>
      </c>
      <c r="E9" s="62">
        <f ca="1">INDEX(Д1!$E$4:$AI$13,MATCH($D9,Д1!$D$4:$D$13),MATCH(E$7,Д1!$E$3:$AI$3))</f>
        <v>8</v>
      </c>
      <c r="F9" s="28">
        <f ca="1">INDEX(Д1!$E$4:$AI$13,MATCH($D9,Д1!$D$4:$D$13),MATCH(F$7,Д1!$E$3:$AI$3))</f>
        <v>0</v>
      </c>
      <c r="G9" s="28">
        <f ca="1">INDEX(Д1!$E$4:$AI$13,MATCH($D9,Д1!$D$4:$D$13),MATCH(G$7,Д1!$E$3:$AI$3))</f>
        <v>4</v>
      </c>
      <c r="H9" s="28">
        <f ca="1">INDEX(Д1!$E$4:$AI$13,MATCH($D9,Д1!$D$4:$D$13),MATCH(H$7,Д1!$E$3:$AI$3))</f>
        <v>8</v>
      </c>
      <c r="I9" s="28">
        <f ca="1">INDEX(Д1!$E$4:$AI$13,MATCH($D9,Д1!$D$4:$D$13),MATCH(I$7,Д1!$E$3:$AI$3))</f>
        <v>12</v>
      </c>
      <c r="J9" s="28">
        <f ca="1">INDEX(Д1!$E$4:$AI$13,MATCH($D9,Д1!$D$4:$D$13),MATCH(J$7,Д1!$E$3:$AI$3))</f>
        <v>4</v>
      </c>
      <c r="K9" s="28">
        <f ca="1">INDEX(Д1!$E$4:$AI$13,MATCH($D9,Д1!$D$4:$D$13),MATCH(K$7,Д1!$E$3:$AI$3))</f>
        <v>8</v>
      </c>
      <c r="L9" s="28">
        <f ca="1">INDEX(Д1!$E$4:$AI$13,MATCH($D9,Д1!$D$4:$D$13),MATCH(L$7,Д1!$E$3:$AI$3))</f>
        <v>12</v>
      </c>
      <c r="M9" s="28">
        <f ca="1">INDEX(Д1!$E$4:$AI$13,MATCH($D9,Д1!$D$4:$D$13),MATCH(M$7,Д1!$E$3:$AI$3))</f>
        <v>0</v>
      </c>
      <c r="N9" s="28">
        <f ca="1">INDEX(Д1!$E$4:$AI$13,MATCH($D9,Д1!$D$4:$D$13),MATCH(N$7,Д1!$E$3:$AI$3))</f>
        <v>0</v>
      </c>
      <c r="O9" s="28">
        <f ca="1">INDEX(Д1!$E$4:$AI$13,MATCH($D9,Д1!$D$4:$D$13),MATCH(O$7,Д1!$E$3:$AI$3))</f>
        <v>4</v>
      </c>
      <c r="P9" s="28">
        <f ca="1">INDEX(Д1!$E$4:$AI$13,MATCH($D9,Д1!$D$4:$D$13),MATCH(P$7,Д1!$E$3:$AI$3))</f>
        <v>8</v>
      </c>
      <c r="Q9" s="28">
        <f ca="1">INDEX(Д1!$E$4:$AI$13,MATCH($D9,Д1!$D$4:$D$13),MATCH(Q$7,Д1!$E$3:$AI$3))</f>
        <v>12</v>
      </c>
      <c r="R9" s="28">
        <f ca="1">INDEX(Д1!$E$4:$AI$13,MATCH($D9,Д1!$D$4:$D$13),MATCH(R$7,Д1!$E$3:$AI$3))</f>
        <v>4</v>
      </c>
      <c r="S9" s="28">
        <f ca="1">INDEX(Д1!$E$4:$AI$13,MATCH($D9,Д1!$D$4:$D$13),MATCH(S$7,Д1!$E$3:$AI$3))</f>
        <v>8</v>
      </c>
      <c r="T9" s="28">
        <f ca="1">INDEX(Д1!$E$4:$AI$13,MATCH($D9,Д1!$D$4:$D$13),MATCH(T$7,Д1!$E$3:$AI$3))</f>
        <v>12</v>
      </c>
      <c r="U9" s="28">
        <f ca="1">INDEX(Д1!$E$4:$AI$13,MATCH($D9,Д1!$D$4:$D$13),MATCH(U$7,Д1!$E$3:$AI$3))</f>
        <v>0</v>
      </c>
      <c r="V9" s="28">
        <f ca="1">INDEX(Д1!$E$4:$AI$13,MATCH($D9,Д1!$D$4:$D$13),MATCH(V$7,Д1!$E$3:$AI$3))</f>
        <v>0</v>
      </c>
      <c r="W9" s="28">
        <f ca="1">INDEX(Д1!$E$4:$AI$13,MATCH($D9,Д1!$D$4:$D$13),MATCH(W$7,Д1!$E$3:$AI$3))</f>
        <v>4</v>
      </c>
      <c r="X9" s="28">
        <f ca="1">INDEX(Д1!$E$4:$AI$13,MATCH($D9,Д1!$D$4:$D$13),MATCH(X$7,Д1!$E$3:$AI$3))</f>
        <v>8</v>
      </c>
      <c r="Y9" s="28">
        <f ca="1">INDEX(Д1!$E$4:$AI$13,MATCH($D9,Д1!$D$4:$D$13),MATCH(Y$7,Д1!$E$3:$AI$3))</f>
        <v>12</v>
      </c>
      <c r="Z9" s="28">
        <f ca="1">INDEX(Д1!$E$4:$AI$13,MATCH($D9,Д1!$D$4:$D$13),MATCH(Z$7,Д1!$E$3:$AI$3))</f>
        <v>4</v>
      </c>
      <c r="AA9" s="28">
        <f ca="1">INDEX(Д1!$E$4:$AI$13,MATCH($D9,Д1!$D$4:$D$13),MATCH(AA$7,Д1!$E$3:$AI$3))</f>
        <v>8</v>
      </c>
      <c r="AB9" s="28">
        <f ca="1">INDEX(Д1!$E$4:$AI$13,MATCH($D9,Д1!$D$4:$D$13),MATCH(AB$7,Д1!$E$3:$AI$3))</f>
        <v>12</v>
      </c>
      <c r="AC9" s="28">
        <f ca="1">INDEX(Д1!$E$4:$AI$13,MATCH($D9,Д1!$D$4:$D$13),MATCH(AC$7,Д1!$E$3:$AI$3))</f>
        <v>0</v>
      </c>
      <c r="AD9" s="28">
        <f ca="1">INDEX(Д1!$E$4:$AI$13,MATCH($D9,Д1!$D$4:$D$13),MATCH(AD$7,Д1!$E$3:$AI$3))</f>
        <v>0</v>
      </c>
      <c r="AE9" s="28">
        <f ca="1">INDEX(Д1!$E$4:$AI$13,MATCH($D9,Д1!$D$4:$D$13),MATCH(AE$7,Д1!$E$3:$AI$3))</f>
        <v>4</v>
      </c>
      <c r="AF9" s="28">
        <f ca="1">INDEX(Д1!$E$4:$AI$13,MATCH($D9,Д1!$D$4:$D$13),MATCH(AF$7,Д1!$E$3:$AI$3))</f>
        <v>8</v>
      </c>
      <c r="AG9" s="28">
        <f ca="1">INDEX(Д1!$E$4:$AI$13,MATCH($D9,Д1!$D$4:$D$13),MATCH(AG$7,Д1!$E$3:$AI$3))</f>
        <v>12</v>
      </c>
      <c r="AH9" s="28">
        <f ca="1">INDEX(Д1!$E$4:$AI$13,MATCH($D9,Д1!$D$4:$D$13),MATCH(AH$7,Д1!$E$3:$AI$3))</f>
        <v>4</v>
      </c>
      <c r="AI9" s="62">
        <f ca="1">INDEX(Д1!$E$4:$AI$13,MATCH($D9,Д1!$D$4:$D$13),MATCH(AI$7,Д1!$E$3:$AI$3))</f>
        <v>8</v>
      </c>
      <c r="AJ9" s="143">
        <f>INDEX(Д1!AK$4:$AK$13,MATCH($C9,Д1!$C$4:$C$13),MATCH(E$7,Д1!$E$3:$AI$3))*AND(MONTH($E$8)=MONTH(Д1!$B$4))</f>
        <v>136</v>
      </c>
      <c r="AK9" s="144">
        <f ca="1">SUM(E9:AI10)</f>
        <v>188</v>
      </c>
      <c r="AL9" s="144"/>
      <c r="AM9" s="149">
        <f ca="1">SUM(F9:H10,J9:AI10)-AJ9+AL9-12</f>
        <v>20</v>
      </c>
      <c r="AP9" s="136">
        <f ca="1">COUNTIF($E9:$AI10,"12")</f>
        <v>7</v>
      </c>
      <c r="AQ9" s="136">
        <f ca="1">IF(COUNTIF($E9:$AI10,"СП")&gt;=1,(COUNTIF($E9:$AI10,"4")+COUNTIF($E9:$AI10,"8")-1)/2,(COUNTIF($E9:$AI10,"4")+COUNTIF($E9:$AI10,"8"))/2)</f>
        <v>8</v>
      </c>
      <c r="AR9" s="136">
        <f t="shared" ref="AR9:AR47" ca="1" si="2">SUMIF($E9:$AI10,"12",$E9:$AI10)</f>
        <v>84</v>
      </c>
      <c r="AS9" s="136">
        <f ca="1">IF(COUNTIF($E9:$AI10,"СП")&gt;=1,SUMIF($E9:$AI10,"4",$E9:$AI10)+SUMIF($E9:$AI10,"8",$E9:$AI10)-8,SUMIF($E9:$AI10,"4",$E9:$AI10)+SUMIF($E9:$AI10,"8",$E9:$AI10))</f>
        <v>96</v>
      </c>
      <c r="AT9" s="136">
        <f ca="1">$AR9+$AS9</f>
        <v>180</v>
      </c>
      <c r="AU9" s="136" t="str">
        <f ca="1">IF(AK9=AT9,"+","!")</f>
        <v>!</v>
      </c>
      <c r="AV9" s="136">
        <f ca="1">COUNTIF($E9:$AI10,"ОТ")</f>
        <v>0</v>
      </c>
      <c r="AW9" s="137" t="str">
        <f ca="1">IF(COUNTIF($A10:$AI10,"СП")&gt;0,IF(INDIRECT(ADDRESS(ROW(),MATCH("СП",$A10:$AI10),1))=8,"","!"),"")</f>
        <v/>
      </c>
      <c r="AX9" s="137" t="str">
        <f ca="1">IF(COUNTIF($A10:$AI10,"СП")&gt;0,IF(INDIRECT(ADDRESS(ROW(),MATCH("СП",$A10:$AI10)-1,1))=4,"!",""),"")</f>
        <v>!</v>
      </c>
    </row>
    <row r="10" spans="1:50" ht="16.5" thickBot="1" x14ac:dyDescent="0.3">
      <c r="A10" s="147"/>
      <c r="B10" s="139"/>
      <c r="C10" s="142"/>
      <c r="D10" s="50">
        <v>2</v>
      </c>
      <c r="E10" s="63" t="str">
        <f>INDEX(Д1!$E$4:$AI$13,MATCH($D10,Д1!$D$4:$D$13),MATCH(E$7,Д1!$E$3:$AI$3))</f>
        <v>СП</v>
      </c>
      <c r="F10" s="29" t="str">
        <f>INDEX(Д1!$E$4:$AI$13,MATCH($D10,Д1!$D$4:$D$13),MATCH(F$7,Д1!$E$3:$AI$3))</f>
        <v/>
      </c>
      <c r="G10" s="29" t="str">
        <f>INDEX(Д1!$E$4:$AI$13,MATCH($D10,Д1!$D$4:$D$13),MATCH(G$7,Д1!$E$3:$AI$3))</f>
        <v/>
      </c>
      <c r="H10" s="29" t="str">
        <f>INDEX(Д1!$E$4:$AI$13,MATCH($D10,Д1!$D$4:$D$13),MATCH(H$7,Д1!$E$3:$AI$3))</f>
        <v/>
      </c>
      <c r="I10" s="29" t="str">
        <f>INDEX(Д1!$E$4:$AI$13,MATCH($D10,Д1!$D$4:$D$13),MATCH(I$7,Д1!$E$3:$AI$3))</f>
        <v/>
      </c>
      <c r="J10" s="29" t="str">
        <f>INDEX(Д1!$E$4:$AI$13,MATCH($D10,Д1!$D$4:$D$13),MATCH(J$7,Д1!$E$3:$AI$3))</f>
        <v/>
      </c>
      <c r="K10" s="29" t="str">
        <f>INDEX(Д1!$E$4:$AI$13,MATCH($D10,Д1!$D$4:$D$13),MATCH(K$7,Д1!$E$3:$AI$3))</f>
        <v/>
      </c>
      <c r="L10" s="29" t="str">
        <f>INDEX(Д1!$E$4:$AI$13,MATCH($D10,Д1!$D$4:$D$13),MATCH(L$7,Д1!$E$3:$AI$3))</f>
        <v/>
      </c>
      <c r="M10" s="29" t="str">
        <f>INDEX(Д1!$E$4:$AI$13,MATCH($D10,Д1!$D$4:$D$13),MATCH(M$7,Д1!$E$3:$AI$3))</f>
        <v/>
      </c>
      <c r="N10" s="29" t="str">
        <f>INDEX(Д1!$E$4:$AI$13,MATCH($D10,Д1!$D$4:$D$13),MATCH(N$7,Д1!$E$3:$AI$3))</f>
        <v/>
      </c>
      <c r="O10" s="29" t="str">
        <f>INDEX(Д1!$E$4:$AI$13,MATCH($D10,Д1!$D$4:$D$13),MATCH(O$7,Д1!$E$3:$AI$3))</f>
        <v/>
      </c>
      <c r="P10" s="29" t="str">
        <f>INDEX(Д1!$E$4:$AI$13,MATCH($D10,Д1!$D$4:$D$13),MATCH(P$7,Д1!$E$3:$AI$3))</f>
        <v/>
      </c>
      <c r="Q10" s="29" t="str">
        <f>INDEX(Д1!$E$4:$AI$13,MATCH($D10,Д1!$D$4:$D$13),MATCH(Q$7,Д1!$E$3:$AI$3))</f>
        <v/>
      </c>
      <c r="R10" s="29" t="str">
        <f>INDEX(Д1!$E$4:$AI$13,MATCH($D10,Д1!$D$4:$D$13),MATCH(R$7,Д1!$E$3:$AI$3))</f>
        <v/>
      </c>
      <c r="S10" s="29" t="str">
        <f>INDEX(Д1!$E$4:$AI$13,MATCH($D10,Д1!$D$4:$D$13),MATCH(S$7,Д1!$E$3:$AI$3))</f>
        <v/>
      </c>
      <c r="T10" s="29" t="str">
        <f>INDEX(Д1!$E$4:$AI$13,MATCH($D10,Д1!$D$4:$D$13),MATCH(T$7,Д1!$E$3:$AI$3))</f>
        <v/>
      </c>
      <c r="U10" s="29" t="str">
        <f>INDEX(Д1!$E$4:$AI$13,MATCH($D10,Д1!$D$4:$D$13),MATCH(U$7,Д1!$E$3:$AI$3))</f>
        <v/>
      </c>
      <c r="V10" s="29" t="str">
        <f>INDEX(Д1!$E$4:$AI$13,MATCH($D10,Д1!$D$4:$D$13),MATCH(V$7,Д1!$E$3:$AI$3))</f>
        <v/>
      </c>
      <c r="W10" s="29" t="str">
        <f>INDEX(Д1!$E$4:$AI$13,MATCH($D10,Д1!$D$4:$D$13),MATCH(W$7,Д1!$E$3:$AI$3))</f>
        <v/>
      </c>
      <c r="X10" s="29" t="str">
        <f>INDEX(Д1!$E$4:$AI$13,MATCH($D10,Д1!$D$4:$D$13),MATCH(X$7,Д1!$E$3:$AI$3))</f>
        <v/>
      </c>
      <c r="Y10" s="29" t="str">
        <f>INDEX(Д1!$E$4:$AI$13,MATCH($D10,Д1!$D$4:$D$13),MATCH(Y$7,Д1!$E$3:$AI$3))</f>
        <v/>
      </c>
      <c r="Z10" s="29" t="str">
        <f>INDEX(Д1!$E$4:$AI$13,MATCH($D10,Д1!$D$4:$D$13),MATCH(Z$7,Д1!$E$3:$AI$3))</f>
        <v/>
      </c>
      <c r="AA10" s="29" t="str">
        <f>INDEX(Д1!$E$4:$AI$13,MATCH($D10,Д1!$D$4:$D$13),MATCH(AA$7,Д1!$E$3:$AI$3))</f>
        <v/>
      </c>
      <c r="AB10" s="29" t="str">
        <f>INDEX(Д1!$E$4:$AI$13,MATCH($D10,Д1!$D$4:$D$13),MATCH(AB$7,Д1!$E$3:$AI$3))</f>
        <v/>
      </c>
      <c r="AC10" s="29" t="str">
        <f>INDEX(Д1!$E$4:$AI$13,MATCH($D10,Д1!$D$4:$D$13),MATCH(AC$7,Д1!$E$3:$AI$3))</f>
        <v/>
      </c>
      <c r="AD10" s="29" t="str">
        <f>INDEX(Д1!$E$4:$AI$13,MATCH($D10,Д1!$D$4:$D$13),MATCH(AD$7,Д1!$E$3:$AI$3))</f>
        <v/>
      </c>
      <c r="AE10" s="29" t="str">
        <f>INDEX(Д1!$E$4:$AI$13,MATCH($D10,Д1!$D$4:$D$13),MATCH(AE$7,Д1!$E$3:$AI$3))</f>
        <v/>
      </c>
      <c r="AF10" s="29" t="str">
        <f>INDEX(Д1!$E$4:$AI$13,MATCH($D10,Д1!$D$4:$D$13),MATCH(AF$7,Д1!$E$3:$AI$3))</f>
        <v/>
      </c>
      <c r="AG10" s="29" t="str">
        <f>INDEX(Д1!$E$4:$AI$13,MATCH($D10,Д1!$D$4:$D$13),MATCH(AG$7,Д1!$E$3:$AI$3))</f>
        <v/>
      </c>
      <c r="AH10" s="29" t="str">
        <f>INDEX(Д1!$E$4:$AI$13,MATCH($D10,Д1!$D$4:$D$13),MATCH(AH$7,Д1!$E$3:$AI$3))</f>
        <v/>
      </c>
      <c r="AI10" s="63" t="str">
        <f>INDEX(Д1!$E$4:$AI$13,MATCH($D10,Д1!$D$4:$D$13),MATCH(AI$7,Д1!$E$3:$AI$3))</f>
        <v/>
      </c>
      <c r="AJ10" s="143"/>
      <c r="AK10" s="145"/>
      <c r="AL10" s="145"/>
      <c r="AM10" s="150"/>
      <c r="AP10" s="136"/>
      <c r="AQ10" s="136"/>
      <c r="AR10" s="136"/>
      <c r="AS10" s="136"/>
      <c r="AT10" s="136"/>
      <c r="AU10" s="136"/>
      <c r="AV10" s="136"/>
      <c r="AW10" s="137"/>
      <c r="AX10" s="137"/>
    </row>
    <row r="11" spans="1:50" ht="16.5" customHeight="1" thickBot="1" x14ac:dyDescent="0.3">
      <c r="A11" s="147"/>
      <c r="B11" s="139" t="s">
        <v>81</v>
      </c>
      <c r="C11" s="141">
        <v>2</v>
      </c>
      <c r="D11" s="49">
        <v>3</v>
      </c>
      <c r="E11" s="64">
        <f ca="1">INDEX(Д1!$E$4:$AI$13,MATCH($D11,Д1!$D$4:$D$13),MATCH(E$7,Д1!$E$3:$AI$3))</f>
        <v>4</v>
      </c>
      <c r="F11" s="27">
        <f ca="1">INDEX(Д1!$E$4:$AI$13,MATCH($D11,Д1!$D$4:$D$13),MATCH(F$7,Д1!$E$3:$AI$3))</f>
        <v>8</v>
      </c>
      <c r="G11" s="27">
        <f ca="1">INDEX(Д1!$E$4:$AI$13,MATCH($D11,Д1!$D$4:$D$13),MATCH(G$7,Д1!$E$3:$AI$3))</f>
        <v>12</v>
      </c>
      <c r="H11" s="27">
        <f ca="1">INDEX(Д1!$E$4:$AI$13,MATCH($D11,Д1!$D$4:$D$13),MATCH(H$7,Д1!$E$3:$AI$3))</f>
        <v>4</v>
      </c>
      <c r="I11" s="27">
        <f ca="1">INDEX(Д1!$E$4:$AI$13,MATCH($D11,Д1!$D$4:$D$13),MATCH(I$7,Д1!$E$3:$AI$3))</f>
        <v>8</v>
      </c>
      <c r="J11" s="27">
        <f ca="1">INDEX(Д1!$E$4:$AI$13,MATCH($D11,Д1!$D$4:$D$13),MATCH(J$7,Д1!$E$3:$AI$3))</f>
        <v>12</v>
      </c>
      <c r="K11" s="27">
        <f ca="1">INDEX(Д1!$E$4:$AI$13,MATCH($D11,Д1!$D$4:$D$13),MATCH(K$7,Д1!$E$3:$AI$3))</f>
        <v>0</v>
      </c>
      <c r="L11" s="27">
        <f ca="1">INDEX(Д1!$E$4:$AI$13,MATCH($D11,Д1!$D$4:$D$13),MATCH(L$7,Д1!$E$3:$AI$3))</f>
        <v>0</v>
      </c>
      <c r="M11" s="27">
        <f ca="1">INDEX(Д1!$E$4:$AI$13,MATCH($D11,Д1!$D$4:$D$13),MATCH(M$7,Д1!$E$3:$AI$3))</f>
        <v>4</v>
      </c>
      <c r="N11" s="27">
        <f ca="1">INDEX(Д1!$E$4:$AI$13,MATCH($D11,Д1!$D$4:$D$13),MATCH(N$7,Д1!$E$3:$AI$3))</f>
        <v>8</v>
      </c>
      <c r="O11" s="27">
        <f ca="1">INDEX(Д1!$E$4:$AI$13,MATCH($D11,Д1!$D$4:$D$13),MATCH(O$7,Д1!$E$3:$AI$3))</f>
        <v>12</v>
      </c>
      <c r="P11" s="27">
        <f ca="1">INDEX(Д1!$E$4:$AI$13,MATCH($D11,Д1!$D$4:$D$13),MATCH(P$7,Д1!$E$3:$AI$3))</f>
        <v>4</v>
      </c>
      <c r="Q11" s="27">
        <f ca="1">INDEX(Д1!$E$4:$AI$13,MATCH($D11,Д1!$D$4:$D$13),MATCH(Q$7,Д1!$E$3:$AI$3))</f>
        <v>8</v>
      </c>
      <c r="R11" s="27">
        <f ca="1">INDEX(Д1!$E$4:$AI$13,MATCH($D11,Д1!$D$4:$D$13),MATCH(R$7,Д1!$E$3:$AI$3))</f>
        <v>12</v>
      </c>
      <c r="S11" s="27">
        <f ca="1">INDEX(Д1!$E$4:$AI$13,MATCH($D11,Д1!$D$4:$D$13),MATCH(S$7,Д1!$E$3:$AI$3))</f>
        <v>0</v>
      </c>
      <c r="T11" s="27">
        <f ca="1">INDEX(Д1!$E$4:$AI$13,MATCH($D11,Д1!$D$4:$D$13),MATCH(T$7,Д1!$E$3:$AI$3))</f>
        <v>0</v>
      </c>
      <c r="U11" s="27">
        <f ca="1">INDEX(Д1!$E$4:$AI$13,MATCH($D11,Д1!$D$4:$D$13),MATCH(U$7,Д1!$E$3:$AI$3))</f>
        <v>4</v>
      </c>
      <c r="V11" s="27">
        <f ca="1">INDEX(Д1!$E$4:$AI$13,MATCH($D11,Д1!$D$4:$D$13),MATCH(V$7,Д1!$E$3:$AI$3))</f>
        <v>8</v>
      </c>
      <c r="W11" s="27">
        <f ca="1">INDEX(Д1!$E$4:$AI$13,MATCH($D11,Д1!$D$4:$D$13),MATCH(W$7,Д1!$E$3:$AI$3))</f>
        <v>12</v>
      </c>
      <c r="X11" s="27">
        <f ca="1">INDEX(Д1!$E$4:$AI$13,MATCH($D11,Д1!$D$4:$D$13),MATCH(X$7,Д1!$E$3:$AI$3))</f>
        <v>4</v>
      </c>
      <c r="Y11" s="27">
        <f ca="1">INDEX(Д1!$E$4:$AI$13,MATCH($D11,Д1!$D$4:$D$13),MATCH(Y$7,Д1!$E$3:$AI$3))</f>
        <v>8</v>
      </c>
      <c r="Z11" s="27">
        <f ca="1">INDEX(Д1!$E$4:$AI$13,MATCH($D11,Д1!$D$4:$D$13),MATCH(Z$7,Д1!$E$3:$AI$3))</f>
        <v>12</v>
      </c>
      <c r="AA11" s="27">
        <f ca="1">INDEX(Д1!$E$4:$AI$13,MATCH($D11,Д1!$D$4:$D$13),MATCH(AA$7,Д1!$E$3:$AI$3))</f>
        <v>0</v>
      </c>
      <c r="AB11" s="27">
        <f ca="1">INDEX(Д1!$E$4:$AI$13,MATCH($D11,Д1!$D$4:$D$13),MATCH(AB$7,Д1!$E$3:$AI$3))</f>
        <v>0</v>
      </c>
      <c r="AC11" s="27">
        <f ca="1">INDEX(Д1!$E$4:$AI$13,MATCH($D11,Д1!$D$4:$D$13),MATCH(AC$7,Д1!$E$3:$AI$3))</f>
        <v>4</v>
      </c>
      <c r="AD11" s="27">
        <f ca="1">INDEX(Д1!$E$4:$AI$13,MATCH($D11,Д1!$D$4:$D$13),MATCH(AD$7,Д1!$E$3:$AI$3))</f>
        <v>8</v>
      </c>
      <c r="AE11" s="27">
        <f ca="1">INDEX(Д1!$E$4:$AI$13,MATCH($D11,Д1!$D$4:$D$13),MATCH(AE$7,Д1!$E$3:$AI$3))</f>
        <v>12</v>
      </c>
      <c r="AF11" s="27">
        <f ca="1">INDEX(Д1!$E$4:$AI$13,MATCH($D11,Д1!$D$4:$D$13),MATCH(AF$7,Д1!$E$3:$AI$3))</f>
        <v>4</v>
      </c>
      <c r="AG11" s="27">
        <f ca="1">INDEX(Д1!$E$4:$AI$13,MATCH($D11,Д1!$D$4:$D$13),MATCH(AG$7,Д1!$E$3:$AI$3))</f>
        <v>8</v>
      </c>
      <c r="AH11" s="27">
        <f ca="1">INDEX(Д1!$E$4:$AI$13,MATCH($D11,Д1!$D$4:$D$13),MATCH(AH$7,Д1!$E$3:$AI$3))</f>
        <v>12</v>
      </c>
      <c r="AI11" s="64">
        <f ca="1">INDEX(Д1!$E$4:$AI$13,MATCH($D11,Д1!$D$4:$D$13),MATCH(AI$7,Д1!$E$3:$AI$3))</f>
        <v>0</v>
      </c>
      <c r="AJ11" s="143">
        <f>INDEX(Д1!AK$4:$AK$13,MATCH($C11,Д1!$C$4:$C$13),MATCH(E$7,Д1!$E$3:$AI$3))*AND(MONTH($E$8)=MONTH(Д1!$B$4))</f>
        <v>136</v>
      </c>
      <c r="AK11" s="144">
        <f ca="1">SUM(K11:AI12)</f>
        <v>144</v>
      </c>
      <c r="AL11" s="155"/>
      <c r="AM11" s="149">
        <f ca="1">SUM(F11:H12,J11:AI12)-AJ11+AL11-12</f>
        <v>32</v>
      </c>
      <c r="AP11" s="136">
        <f t="shared" ref="AP11" ca="1" si="3">COUNTIF($E11:$AI12,"12")</f>
        <v>8</v>
      </c>
      <c r="AQ11" s="136">
        <f t="shared" ref="AQ11" ca="1" si="4">IF(COUNTIF($E11:$AI12,"СП")&gt;=1,(COUNTIF($E11:$AI12,"4")+COUNTIF($E11:$AI12,"8")-1)/2,(COUNTIF($E11:$AI12,"4")+COUNTIF($E11:$AI12,"8"))/2)</f>
        <v>7.5</v>
      </c>
      <c r="AR11" s="136">
        <f t="shared" ca="1" si="2"/>
        <v>96</v>
      </c>
      <c r="AS11" s="136">
        <f t="shared" ref="AS11" ca="1" si="5">IF(COUNTIF($E11:$AI12,"СП")&gt;=1,SUMIF($E11:$AI12,"4",$E11:$AI12)+SUMIF($E11:$AI12,"8",$E11:$AI12)-8,SUMIF($E11:$AI12,"4",$E11:$AI12)+SUMIF($E11:$AI12,"8",$E11:$AI12))</f>
        <v>88</v>
      </c>
      <c r="AT11" s="136">
        <f t="shared" ref="AT11" ca="1" si="6">$AR11+$AS11</f>
        <v>184</v>
      </c>
      <c r="AU11" s="136" t="str">
        <f t="shared" ref="AU11" ca="1" si="7">IF(AK11=AT11,"+","!")</f>
        <v>!</v>
      </c>
      <c r="AV11" s="136">
        <f t="shared" ref="AV11" ca="1" si="8">COUNTIF($E11:$AI12,"ОТ")</f>
        <v>0</v>
      </c>
      <c r="AW11" s="137" t="str">
        <f ca="1">IF(COUNTIF($A12:$AI12,"СП")&gt;0,IF(INDIRECT(ADDRESS(ROW(),MATCH("СП",$A12:$AI12),1))=8,"","!"),"")</f>
        <v>!</v>
      </c>
      <c r="AX11" s="137" t="str">
        <f ca="1">IF(COUNTIF($A12:$AI12,"СП")&gt;0,IF(INDIRECT(ADDRESS(ROW(),MATCH("СП",$A12:$AI12)-1,1))=4,"!",""),"")</f>
        <v/>
      </c>
    </row>
    <row r="12" spans="1:50" ht="15.75" customHeight="1" thickBot="1" x14ac:dyDescent="0.3">
      <c r="A12" s="147"/>
      <c r="B12" s="139"/>
      <c r="C12" s="142"/>
      <c r="D12" s="50">
        <v>4</v>
      </c>
      <c r="E12" s="65" t="str">
        <f>INDEX(Д1!$E$4:$AI$13,MATCH($D12,Д1!$D$4:$D$13),MATCH(E$7,Д1!$E$3:$AI$3))</f>
        <v/>
      </c>
      <c r="F12" s="30" t="str">
        <f>INDEX(Д1!$E$4:$AI$13,MATCH($D12,Д1!$D$4:$D$13),MATCH(F$7,Д1!$E$3:$AI$3))</f>
        <v>СП</v>
      </c>
      <c r="G12" s="30" t="str">
        <f>INDEX(Д1!$E$4:$AI$13,MATCH($D12,Д1!$D$4:$D$13),MATCH(G$7,Д1!$E$3:$AI$3))</f>
        <v/>
      </c>
      <c r="H12" s="30" t="str">
        <f>INDEX(Д1!$E$4:$AI$13,MATCH($D12,Д1!$D$4:$D$13),MATCH(H$7,Д1!$E$3:$AI$3))</f>
        <v/>
      </c>
      <c r="I12" s="30" t="str">
        <f>INDEX(Д1!$E$4:$AI$13,MATCH($D12,Д1!$D$4:$D$13),MATCH(I$7,Д1!$E$3:$AI$3))</f>
        <v/>
      </c>
      <c r="J12" s="30" t="str">
        <f>INDEX(Д1!$E$4:$AI$13,MATCH($D12,Д1!$D$4:$D$13),MATCH(J$7,Д1!$E$3:$AI$3))</f>
        <v/>
      </c>
      <c r="K12" s="30" t="str">
        <f>INDEX(Д1!$E$4:$AI$13,MATCH($D12,Д1!$D$4:$D$13),MATCH(K$7,Д1!$E$3:$AI$3))</f>
        <v/>
      </c>
      <c r="L12" s="30" t="str">
        <f>INDEX(Д1!$E$4:$AI$13,MATCH($D12,Д1!$D$4:$D$13),MATCH(L$7,Д1!$E$3:$AI$3))</f>
        <v/>
      </c>
      <c r="M12" s="30" t="str">
        <f>INDEX(Д1!$E$4:$AI$13,MATCH($D12,Д1!$D$4:$D$13),MATCH(M$7,Д1!$E$3:$AI$3))</f>
        <v/>
      </c>
      <c r="N12" s="30" t="str">
        <f>INDEX(Д1!$E$4:$AI$13,MATCH($D12,Д1!$D$4:$D$13),MATCH(N$7,Д1!$E$3:$AI$3))</f>
        <v/>
      </c>
      <c r="O12" s="30" t="str">
        <f>INDEX(Д1!$E$4:$AI$13,MATCH($D12,Д1!$D$4:$D$13),MATCH(O$7,Д1!$E$3:$AI$3))</f>
        <v/>
      </c>
      <c r="P12" s="30" t="str">
        <f>INDEX(Д1!$E$4:$AI$13,MATCH($D12,Д1!$D$4:$D$13),MATCH(P$7,Д1!$E$3:$AI$3))</f>
        <v/>
      </c>
      <c r="Q12" s="30" t="str">
        <f>INDEX(Д1!$E$4:$AI$13,MATCH($D12,Д1!$D$4:$D$13),MATCH(Q$7,Д1!$E$3:$AI$3))</f>
        <v/>
      </c>
      <c r="R12" s="30" t="str">
        <f>INDEX(Д1!$E$4:$AI$13,MATCH($D12,Д1!$D$4:$D$13),MATCH(R$7,Д1!$E$3:$AI$3))</f>
        <v/>
      </c>
      <c r="S12" s="30" t="str">
        <f>INDEX(Д1!$E$4:$AI$13,MATCH($D12,Д1!$D$4:$D$13),MATCH(S$7,Д1!$E$3:$AI$3))</f>
        <v/>
      </c>
      <c r="T12" s="30" t="str">
        <f>INDEX(Д1!$E$4:$AI$13,MATCH($D12,Д1!$D$4:$D$13),MATCH(T$7,Д1!$E$3:$AI$3))</f>
        <v/>
      </c>
      <c r="U12" s="30" t="str">
        <f>INDEX(Д1!$E$4:$AI$13,MATCH($D12,Д1!$D$4:$D$13),MATCH(U$7,Д1!$E$3:$AI$3))</f>
        <v/>
      </c>
      <c r="V12" s="30" t="str">
        <f>INDEX(Д1!$E$4:$AI$13,MATCH($D12,Д1!$D$4:$D$13),MATCH(V$7,Д1!$E$3:$AI$3))</f>
        <v/>
      </c>
      <c r="W12" s="30" t="str">
        <f>INDEX(Д1!$E$4:$AI$13,MATCH($D12,Д1!$D$4:$D$13),MATCH(W$7,Д1!$E$3:$AI$3))</f>
        <v/>
      </c>
      <c r="X12" s="30" t="str">
        <f>INDEX(Д1!$E$4:$AI$13,MATCH($D12,Д1!$D$4:$D$13),MATCH(X$7,Д1!$E$3:$AI$3))</f>
        <v/>
      </c>
      <c r="Y12" s="30" t="str">
        <f>INDEX(Д1!$E$4:$AI$13,MATCH($D12,Д1!$D$4:$D$13),MATCH(Y$7,Д1!$E$3:$AI$3))</f>
        <v/>
      </c>
      <c r="Z12" s="30" t="str">
        <f>INDEX(Д1!$E$4:$AI$13,MATCH($D12,Д1!$D$4:$D$13),MATCH(Z$7,Д1!$E$3:$AI$3))</f>
        <v/>
      </c>
      <c r="AA12" s="30" t="str">
        <f>INDEX(Д1!$E$4:$AI$13,MATCH($D12,Д1!$D$4:$D$13),MATCH(AA$7,Д1!$E$3:$AI$3))</f>
        <v/>
      </c>
      <c r="AB12" s="30" t="str">
        <f>INDEX(Д1!$E$4:$AI$13,MATCH($D12,Д1!$D$4:$D$13),MATCH(AB$7,Д1!$E$3:$AI$3))</f>
        <v/>
      </c>
      <c r="AC12" s="30" t="str">
        <f>INDEX(Д1!$E$4:$AI$13,MATCH($D12,Д1!$D$4:$D$13),MATCH(AC$7,Д1!$E$3:$AI$3))</f>
        <v/>
      </c>
      <c r="AD12" s="30" t="str">
        <f>INDEX(Д1!$E$4:$AI$13,MATCH($D12,Д1!$D$4:$D$13),MATCH(AD$7,Д1!$E$3:$AI$3))</f>
        <v/>
      </c>
      <c r="AE12" s="30" t="str">
        <f>INDEX(Д1!$E$4:$AI$13,MATCH($D12,Д1!$D$4:$D$13),MATCH(AE$7,Д1!$E$3:$AI$3))</f>
        <v/>
      </c>
      <c r="AF12" s="30" t="str">
        <f>INDEX(Д1!$E$4:$AI$13,MATCH($D12,Д1!$D$4:$D$13),MATCH(AF$7,Д1!$E$3:$AI$3))</f>
        <v/>
      </c>
      <c r="AG12" s="30" t="str">
        <f>INDEX(Д1!$E$4:$AI$13,MATCH($D12,Д1!$D$4:$D$13),MATCH(AG$7,Д1!$E$3:$AI$3))</f>
        <v/>
      </c>
      <c r="AH12" s="30" t="str">
        <f>INDEX(Д1!$E$4:$AI$13,MATCH($D12,Д1!$D$4:$D$13),MATCH(AH$7,Д1!$E$3:$AI$3))</f>
        <v/>
      </c>
      <c r="AI12" s="33" t="str">
        <f>INDEX(Д1!$E$4:$AI$13,MATCH($D12,Д1!$D$4:$D$13),MATCH(AI$7,Д1!$E$3:$AI$3))</f>
        <v/>
      </c>
      <c r="AJ12" s="143"/>
      <c r="AK12" s="145"/>
      <c r="AL12" s="155"/>
      <c r="AM12" s="150"/>
      <c r="AP12" s="136"/>
      <c r="AQ12" s="136"/>
      <c r="AR12" s="136"/>
      <c r="AS12" s="136"/>
      <c r="AT12" s="136"/>
      <c r="AU12" s="136"/>
      <c r="AV12" s="136"/>
      <c r="AW12" s="137"/>
      <c r="AX12" s="137"/>
    </row>
    <row r="13" spans="1:50" ht="16.5" thickBot="1" x14ac:dyDescent="0.3">
      <c r="A13" s="147"/>
      <c r="B13" s="139" t="s">
        <v>82</v>
      </c>
      <c r="C13" s="141">
        <v>3</v>
      </c>
      <c r="D13" s="49">
        <v>5</v>
      </c>
      <c r="E13" s="62">
        <f ca="1">INDEX(Д1!$E$4:$AI$13,MATCH($D13,Д1!$D$4:$D$13),MATCH(E$7,Д1!$E$3:$AI$3))</f>
        <v>8</v>
      </c>
      <c r="F13" s="28">
        <f ca="1">INDEX(Д1!$E$4:$AI$13,MATCH($D13,Д1!$D$4:$D$13),MATCH(F$7,Д1!$E$3:$AI$3))</f>
        <v>12</v>
      </c>
      <c r="G13" s="28">
        <f ca="1">INDEX(Д1!$E$4:$AI$13,MATCH($D13,Д1!$D$4:$D$13),MATCH(G$7,Д1!$E$3:$AI$3))</f>
        <v>8</v>
      </c>
      <c r="H13" s="28">
        <f ca="1">INDEX(Д1!$E$4:$AI$13,MATCH($D13,Д1!$D$4:$D$13),MATCH(H$7,Д1!$E$3:$AI$3))</f>
        <v>0</v>
      </c>
      <c r="I13" s="28">
        <f ca="1">INDEX(Д1!$E$4:$AI$13,MATCH($D13,Д1!$D$4:$D$13),MATCH(I$7,Д1!$E$3:$AI$3))</f>
        <v>4</v>
      </c>
      <c r="J13" s="28">
        <f ca="1">INDEX(Д1!$E$4:$AI$13,MATCH($D13,Д1!$D$4:$D$13),MATCH(J$7,Д1!$E$3:$AI$3))</f>
        <v>8</v>
      </c>
      <c r="K13" s="28">
        <f ca="1">INDEX(Д1!$E$4:$AI$13,MATCH($D13,Д1!$D$4:$D$13),MATCH(K$7,Д1!$E$3:$AI$3))</f>
        <v>12</v>
      </c>
      <c r="L13" s="28">
        <f ca="1">INDEX(Д1!$E$4:$AI$13,MATCH($D13,Д1!$D$4:$D$13),MATCH(L$7,Д1!$E$3:$AI$3))</f>
        <v>4</v>
      </c>
      <c r="M13" s="28">
        <f ca="1">INDEX(Д1!$E$4:$AI$13,MATCH($D13,Д1!$D$4:$D$13),MATCH(M$7,Д1!$E$3:$AI$3))</f>
        <v>8</v>
      </c>
      <c r="N13" s="28">
        <f ca="1">INDEX(Д1!$E$4:$AI$13,MATCH($D13,Д1!$D$4:$D$13),MATCH(N$7,Д1!$E$3:$AI$3))</f>
        <v>12</v>
      </c>
      <c r="O13" s="28">
        <f ca="1">INDEX(Д1!$E$4:$AI$13,MATCH($D13,Д1!$D$4:$D$13),MATCH(O$7,Д1!$E$3:$AI$3))</f>
        <v>0</v>
      </c>
      <c r="P13" s="28">
        <f ca="1">INDEX(Д1!$E$4:$AI$13,MATCH($D13,Д1!$D$4:$D$13),MATCH(P$7,Д1!$E$3:$AI$3))</f>
        <v>0</v>
      </c>
      <c r="Q13" s="28">
        <f ca="1">INDEX(Д1!$E$4:$AI$13,MATCH($D13,Д1!$D$4:$D$13),MATCH(Q$7,Д1!$E$3:$AI$3))</f>
        <v>4</v>
      </c>
      <c r="R13" s="28">
        <f ca="1">INDEX(Д1!$E$4:$AI$13,MATCH($D13,Д1!$D$4:$D$13),MATCH(R$7,Д1!$E$3:$AI$3))</f>
        <v>8</v>
      </c>
      <c r="S13" s="28">
        <f ca="1">INDEX(Д1!$E$4:$AI$13,MATCH($D13,Д1!$D$4:$D$13),MATCH(S$7,Д1!$E$3:$AI$3))</f>
        <v>12</v>
      </c>
      <c r="T13" s="28">
        <f ca="1">INDEX(Д1!$E$4:$AI$13,MATCH($D13,Д1!$D$4:$D$13),MATCH(T$7,Д1!$E$3:$AI$3))</f>
        <v>4</v>
      </c>
      <c r="U13" s="28">
        <f ca="1">INDEX(Д1!$E$4:$AI$13,MATCH($D13,Д1!$D$4:$D$13),MATCH(U$7,Д1!$E$3:$AI$3))</f>
        <v>8</v>
      </c>
      <c r="V13" s="28">
        <f ca="1">INDEX(Д1!$E$4:$AI$13,MATCH($D13,Д1!$D$4:$D$13),MATCH(V$7,Д1!$E$3:$AI$3))</f>
        <v>12</v>
      </c>
      <c r="W13" s="28">
        <f ca="1">INDEX(Д1!$E$4:$AI$13,MATCH($D13,Д1!$D$4:$D$13),MATCH(W$7,Д1!$E$3:$AI$3))</f>
        <v>0</v>
      </c>
      <c r="X13" s="28">
        <f ca="1">INDEX(Д1!$E$4:$AI$13,MATCH($D13,Д1!$D$4:$D$13),MATCH(X$7,Д1!$E$3:$AI$3))</f>
        <v>0</v>
      </c>
      <c r="Y13" s="28">
        <f ca="1">INDEX(Д1!$E$4:$AI$13,MATCH($D13,Д1!$D$4:$D$13),MATCH(Y$7,Д1!$E$3:$AI$3))</f>
        <v>4</v>
      </c>
      <c r="Z13" s="28">
        <f ca="1">INDEX(Д1!$E$4:$AI$13,MATCH($D13,Д1!$D$4:$D$13),MATCH(Z$7,Д1!$E$3:$AI$3))</f>
        <v>8</v>
      </c>
      <c r="AA13" s="28">
        <f ca="1">INDEX(Д1!$E$4:$AI$13,MATCH($D13,Д1!$D$4:$D$13),MATCH(AA$7,Д1!$E$3:$AI$3))</f>
        <v>12</v>
      </c>
      <c r="AB13" s="28">
        <f ca="1">INDEX(Д1!$E$4:$AI$13,MATCH($D13,Д1!$D$4:$D$13),MATCH(AB$7,Д1!$E$3:$AI$3))</f>
        <v>4</v>
      </c>
      <c r="AC13" s="28">
        <f ca="1">INDEX(Д1!$E$4:$AI$13,MATCH($D13,Д1!$D$4:$D$13),MATCH(AC$7,Д1!$E$3:$AI$3))</f>
        <v>8</v>
      </c>
      <c r="AD13" s="28">
        <f ca="1">INDEX(Д1!$E$4:$AI$13,MATCH($D13,Д1!$D$4:$D$13),MATCH(AD$7,Д1!$E$3:$AI$3))</f>
        <v>12</v>
      </c>
      <c r="AE13" s="28">
        <f ca="1">INDEX(Д1!$E$4:$AI$13,MATCH($D13,Д1!$D$4:$D$13),MATCH(AE$7,Д1!$E$3:$AI$3))</f>
        <v>0</v>
      </c>
      <c r="AF13" s="28">
        <f ca="1">INDEX(Д1!$E$4:$AI$13,MATCH($D13,Д1!$D$4:$D$13),MATCH(AF$7,Д1!$E$3:$AI$3))</f>
        <v>0</v>
      </c>
      <c r="AG13" s="28">
        <f ca="1">INDEX(Д1!$E$4:$AI$13,MATCH($D13,Д1!$D$4:$D$13),MATCH(AG$7,Д1!$E$3:$AI$3))</f>
        <v>4</v>
      </c>
      <c r="AH13" s="28">
        <f ca="1">INDEX(Д1!$E$4:$AI$13,MATCH($D13,Д1!$D$4:$D$13),MATCH(AH$7,Д1!$E$3:$AI$3))</f>
        <v>8</v>
      </c>
      <c r="AI13" s="62">
        <f ca="1">INDEX(Д1!$E$4:$AI$13,MATCH($D13,Д1!$D$4:$D$13),MATCH(AI$7,Д1!$E$3:$AI$3))</f>
        <v>12</v>
      </c>
      <c r="AJ13" s="143">
        <f>INDEX(Д1!AK$4:$AK$13,MATCH($C13,Д1!$C$4:$C$13),MATCH(E$7,Д1!$E$3:$AI$3))*AND(MONTH($E$8)=MONTH(Д1!$B$4))</f>
        <v>136</v>
      </c>
      <c r="AK13" s="144">
        <f ca="1">SUM(E13:K14)</f>
        <v>52</v>
      </c>
      <c r="AL13" s="144"/>
      <c r="AM13" s="149">
        <f ca="1">SUM(F13:H14,J13:AI14)-AJ13+AL13-12</f>
        <v>36</v>
      </c>
      <c r="AP13" s="136">
        <f t="shared" ref="AP13" ca="1" si="9">COUNTIF($E13:$AI14,"12")</f>
        <v>8</v>
      </c>
      <c r="AQ13" s="136">
        <f t="shared" ref="AQ13" ca="1" si="10">IF(COUNTIF($E13:$AI14,"СП")&gt;=1,(COUNTIF($E13:$AI14,"4")+COUNTIF($E13:$AI14,"8")-1)/2,(COUNTIF($E13:$AI14,"4")+COUNTIF($E13:$AI14,"8"))/2)</f>
        <v>7.5</v>
      </c>
      <c r="AR13" s="136">
        <f t="shared" ca="1" si="2"/>
        <v>96</v>
      </c>
      <c r="AS13" s="136">
        <f t="shared" ref="AS13" ca="1" si="11">IF(COUNTIF($E13:$AI14,"СП")&gt;=1,SUMIF($E13:$AI14,"4",$E13:$AI14)+SUMIF($E13:$AI14,"8",$E13:$AI14)-8,SUMIF($E13:$AI14,"4",$E13:$AI14)+SUMIF($E13:$AI14,"8",$E13:$AI14))</f>
        <v>92</v>
      </c>
      <c r="AT13" s="136">
        <f t="shared" ref="AT13" ca="1" si="12">$AR13+$AS13</f>
        <v>188</v>
      </c>
      <c r="AU13" s="136" t="str">
        <f t="shared" ref="AU13" ca="1" si="13">IF(AK13=AT13,"+","!")</f>
        <v>!</v>
      </c>
      <c r="AV13" s="136">
        <f ca="1">COUNTIF($E13:$AI14,"ОТ")</f>
        <v>0</v>
      </c>
      <c r="AW13" s="137" t="str">
        <f ca="1">IF(COUNTIF($A14:$AI14,"СП")&gt;0,IF(INDIRECT(ADDRESS(ROW(),MATCH("СП",$A14:$AI14),1))=8,"","!"),"")</f>
        <v>!</v>
      </c>
      <c r="AX13" s="137" t="str">
        <f ca="1">IF(COUNTIF($A14:$AI14,"СП")&gt;0,IF(INDIRECT(ADDRESS(ROW(),MATCH("СП",$A14:$AI14)-1,1))=4,"!",""),"")</f>
        <v/>
      </c>
    </row>
    <row r="14" spans="1:50" ht="16.5" thickBot="1" x14ac:dyDescent="0.3">
      <c r="A14" s="147"/>
      <c r="B14" s="139"/>
      <c r="C14" s="142"/>
      <c r="D14" s="50">
        <v>6</v>
      </c>
      <c r="E14" s="63" t="str">
        <f>INDEX(Д1!$E$4:$AI$13,MATCH($D14,Д1!$D$4:$D$13),MATCH(E$7,Д1!$E$3:$AI$3))</f>
        <v/>
      </c>
      <c r="F14" s="29" t="str">
        <f>INDEX(Д1!$E$4:$AI$13,MATCH($D14,Д1!$D$4:$D$13),MATCH(F$7,Д1!$E$3:$AI$3))</f>
        <v/>
      </c>
      <c r="G14" s="29" t="str">
        <f>INDEX(Д1!$E$4:$AI$13,MATCH($D14,Д1!$D$4:$D$13),MATCH(G$7,Д1!$E$3:$AI$3))</f>
        <v>СП</v>
      </c>
      <c r="H14" s="29" t="str">
        <f>INDEX(Д1!$E$4:$AI$13,MATCH($D14,Д1!$D$4:$D$13),MATCH(H$7,Д1!$E$3:$AI$3))</f>
        <v/>
      </c>
      <c r="I14" s="29" t="str">
        <f>INDEX(Д1!$E$4:$AI$13,MATCH($D14,Д1!$D$4:$D$13),MATCH(I$7,Д1!$E$3:$AI$3))</f>
        <v/>
      </c>
      <c r="J14" s="29" t="str">
        <f>INDEX(Д1!$E$4:$AI$13,MATCH($D14,Д1!$D$4:$D$13),MATCH(J$7,Д1!$E$3:$AI$3))</f>
        <v/>
      </c>
      <c r="K14" s="29" t="str">
        <f>INDEX(Д1!$E$4:$AI$13,MATCH($D14,Д1!$D$4:$D$13),MATCH(K$7,Д1!$E$3:$AI$3))</f>
        <v/>
      </c>
      <c r="L14" s="29" t="str">
        <f>INDEX(Д1!$E$4:$AI$13,MATCH($D14,Д1!$D$4:$D$13),MATCH(L$7,Д1!$E$3:$AI$3))</f>
        <v/>
      </c>
      <c r="M14" s="29" t="str">
        <f>INDEX(Д1!$E$4:$AI$13,MATCH($D14,Д1!$D$4:$D$13),MATCH(M$7,Д1!$E$3:$AI$3))</f>
        <v/>
      </c>
      <c r="N14" s="29" t="str">
        <f>INDEX(Д1!$E$4:$AI$13,MATCH($D14,Д1!$D$4:$D$13),MATCH(N$7,Д1!$E$3:$AI$3))</f>
        <v/>
      </c>
      <c r="O14" s="29" t="str">
        <f>INDEX(Д1!$E$4:$AI$13,MATCH($D14,Д1!$D$4:$D$13),MATCH(O$7,Д1!$E$3:$AI$3))</f>
        <v/>
      </c>
      <c r="P14" s="29" t="str">
        <f>INDEX(Д1!$E$4:$AI$13,MATCH($D14,Д1!$D$4:$D$13),MATCH(P$7,Д1!$E$3:$AI$3))</f>
        <v/>
      </c>
      <c r="Q14" s="29" t="str">
        <f>INDEX(Д1!$E$4:$AI$13,MATCH($D14,Д1!$D$4:$D$13),MATCH(Q$7,Д1!$E$3:$AI$3))</f>
        <v/>
      </c>
      <c r="R14" s="29" t="str">
        <f>INDEX(Д1!$E$4:$AI$13,MATCH($D14,Д1!$D$4:$D$13),MATCH(R$7,Д1!$E$3:$AI$3))</f>
        <v/>
      </c>
      <c r="S14" s="29" t="str">
        <f>INDEX(Д1!$E$4:$AI$13,MATCH($D14,Д1!$D$4:$D$13),MATCH(S$7,Д1!$E$3:$AI$3))</f>
        <v/>
      </c>
      <c r="T14" s="29" t="str">
        <f>INDEX(Д1!$E$4:$AI$13,MATCH($D14,Д1!$D$4:$D$13),MATCH(T$7,Д1!$E$3:$AI$3))</f>
        <v/>
      </c>
      <c r="U14" s="29" t="str">
        <f>INDEX(Д1!$E$4:$AI$13,MATCH($D14,Д1!$D$4:$D$13),MATCH(U$7,Д1!$E$3:$AI$3))</f>
        <v/>
      </c>
      <c r="V14" s="29" t="str">
        <f>INDEX(Д1!$E$4:$AI$13,MATCH($D14,Д1!$D$4:$D$13),MATCH(V$7,Д1!$E$3:$AI$3))</f>
        <v/>
      </c>
      <c r="W14" s="29" t="str">
        <f>INDEX(Д1!$E$4:$AI$13,MATCH($D14,Д1!$D$4:$D$13),MATCH(W$7,Д1!$E$3:$AI$3))</f>
        <v/>
      </c>
      <c r="X14" s="29" t="str">
        <f>INDEX(Д1!$E$4:$AI$13,MATCH($D14,Д1!$D$4:$D$13),MATCH(X$7,Д1!$E$3:$AI$3))</f>
        <v/>
      </c>
      <c r="Y14" s="29" t="str">
        <f>INDEX(Д1!$E$4:$AI$13,MATCH($D14,Д1!$D$4:$D$13),MATCH(Y$7,Д1!$E$3:$AI$3))</f>
        <v/>
      </c>
      <c r="Z14" s="29" t="str">
        <f>INDEX(Д1!$E$4:$AI$13,MATCH($D14,Д1!$D$4:$D$13),MATCH(Z$7,Д1!$E$3:$AI$3))</f>
        <v/>
      </c>
      <c r="AA14" s="29" t="str">
        <f>INDEX(Д1!$E$4:$AI$13,MATCH($D14,Д1!$D$4:$D$13),MATCH(AA$7,Д1!$E$3:$AI$3))</f>
        <v/>
      </c>
      <c r="AB14" s="29" t="str">
        <f>INDEX(Д1!$E$4:$AI$13,MATCH($D14,Д1!$D$4:$D$13),MATCH(AB$7,Д1!$E$3:$AI$3))</f>
        <v/>
      </c>
      <c r="AC14" s="29" t="str">
        <f>INDEX(Д1!$E$4:$AI$13,MATCH($D14,Д1!$D$4:$D$13),MATCH(AC$7,Д1!$E$3:$AI$3))</f>
        <v/>
      </c>
      <c r="AD14" s="29" t="str">
        <f>INDEX(Д1!$E$4:$AI$13,MATCH($D14,Д1!$D$4:$D$13),MATCH(AD$7,Д1!$E$3:$AI$3))</f>
        <v/>
      </c>
      <c r="AE14" s="29" t="str">
        <f>INDEX(Д1!$E$4:$AI$13,MATCH($D14,Д1!$D$4:$D$13),MATCH(AE$7,Д1!$E$3:$AI$3))</f>
        <v/>
      </c>
      <c r="AF14" s="29" t="str">
        <f>INDEX(Д1!$E$4:$AI$13,MATCH($D14,Д1!$D$4:$D$13),MATCH(AF$7,Д1!$E$3:$AI$3))</f>
        <v/>
      </c>
      <c r="AG14" s="29" t="str">
        <f>INDEX(Д1!$E$4:$AI$13,MATCH($D14,Д1!$D$4:$D$13),MATCH(AG$7,Д1!$E$3:$AI$3))</f>
        <v/>
      </c>
      <c r="AH14" s="29" t="str">
        <f>INDEX(Д1!$E$4:$AI$13,MATCH($D14,Д1!$D$4:$D$13),MATCH(AH$7,Д1!$E$3:$AI$3))</f>
        <v/>
      </c>
      <c r="AI14" s="63" t="str">
        <f>INDEX(Д1!$E$4:$AI$13,MATCH($D14,Д1!$D$4:$D$13),MATCH(AI$7,Д1!$E$3:$AI$3))</f>
        <v/>
      </c>
      <c r="AJ14" s="143"/>
      <c r="AK14" s="145"/>
      <c r="AL14" s="145"/>
      <c r="AM14" s="150"/>
      <c r="AP14" s="136"/>
      <c r="AQ14" s="136"/>
      <c r="AR14" s="136"/>
      <c r="AS14" s="136"/>
      <c r="AT14" s="136"/>
      <c r="AU14" s="136"/>
      <c r="AV14" s="136"/>
      <c r="AW14" s="137"/>
      <c r="AX14" s="137"/>
    </row>
    <row r="15" spans="1:50" ht="16.5" customHeight="1" thickBot="1" x14ac:dyDescent="0.3">
      <c r="A15" s="147"/>
      <c r="B15" s="139" t="s">
        <v>83</v>
      </c>
      <c r="C15" s="141">
        <v>4</v>
      </c>
      <c r="D15" s="49">
        <v>7</v>
      </c>
      <c r="E15" s="64">
        <f ca="1">INDEX(Д1!$E$4:$AI$13,MATCH($D15,Д1!$D$4:$D$13),MATCH(E$7,Д1!$E$3:$AI$3))</f>
        <v>12</v>
      </c>
      <c r="F15" s="27">
        <f ca="1">INDEX(Д1!$E$4:$AI$13,MATCH($D15,Д1!$D$4:$D$13),MATCH(F$7,Д1!$E$3:$AI$3))</f>
        <v>4</v>
      </c>
      <c r="G15" s="27">
        <f ca="1">INDEX(Д1!$E$4:$AI$13,MATCH($D15,Д1!$D$4:$D$13),MATCH(G$7,Д1!$E$3:$AI$3))</f>
        <v>8</v>
      </c>
      <c r="H15" s="27">
        <f ca="1">INDEX(Д1!$E$4:$AI$13,MATCH($D15,Д1!$D$4:$D$13),MATCH(H$7,Д1!$E$3:$AI$3))</f>
        <v>12</v>
      </c>
      <c r="I15" s="27">
        <f ca="1">INDEX(Д1!$E$4:$AI$13,MATCH($D15,Д1!$D$4:$D$13),MATCH(I$7,Д1!$E$3:$AI$3))</f>
        <v>0</v>
      </c>
      <c r="J15" s="27">
        <f ca="1">INDEX(Д1!$E$4:$AI$13,MATCH($D15,Д1!$D$4:$D$13),MATCH(J$7,Д1!$E$3:$AI$3))</f>
        <v>0</v>
      </c>
      <c r="K15" s="27">
        <f ca="1">INDEX(Д1!$E$4:$AI$13,MATCH($D15,Д1!$D$4:$D$13),MATCH(K$7,Д1!$E$3:$AI$3))</f>
        <v>4</v>
      </c>
      <c r="L15" s="27">
        <f ca="1">INDEX(Д1!$E$4:$AI$13,MATCH($D15,Д1!$D$4:$D$13),MATCH(L$7,Д1!$E$3:$AI$3))</f>
        <v>8</v>
      </c>
      <c r="M15" s="27">
        <f ca="1">INDEX(Д1!$E$4:$AI$13,MATCH($D15,Д1!$D$4:$D$13),MATCH(M$7,Д1!$E$3:$AI$3))</f>
        <v>12</v>
      </c>
      <c r="N15" s="27">
        <f ca="1">INDEX(Д1!$E$4:$AI$13,MATCH($D15,Д1!$D$4:$D$13),MATCH(N$7,Д1!$E$3:$AI$3))</f>
        <v>4</v>
      </c>
      <c r="O15" s="27">
        <f ca="1">INDEX(Д1!$E$4:$AI$13,MATCH($D15,Д1!$D$4:$D$13),MATCH(O$7,Д1!$E$3:$AI$3))</f>
        <v>8</v>
      </c>
      <c r="P15" s="27">
        <f ca="1">INDEX(Д1!$E$4:$AI$13,MATCH($D15,Д1!$D$4:$D$13),MATCH(P$7,Д1!$E$3:$AI$3))</f>
        <v>12</v>
      </c>
      <c r="Q15" s="27">
        <f ca="1">INDEX(Д1!$E$4:$AI$13,MATCH($D15,Д1!$D$4:$D$13),MATCH(Q$7,Д1!$E$3:$AI$3))</f>
        <v>0</v>
      </c>
      <c r="R15" s="27">
        <f ca="1">INDEX(Д1!$E$4:$AI$13,MATCH($D15,Д1!$D$4:$D$13),MATCH(R$7,Д1!$E$3:$AI$3))</f>
        <v>0</v>
      </c>
      <c r="S15" s="27">
        <f ca="1">INDEX(Д1!$E$4:$AI$13,MATCH($D15,Д1!$D$4:$D$13),MATCH(S$7,Д1!$E$3:$AI$3))</f>
        <v>4</v>
      </c>
      <c r="T15" s="27">
        <f ca="1">INDEX(Д1!$E$4:$AI$13,MATCH($D15,Д1!$D$4:$D$13),MATCH(T$7,Д1!$E$3:$AI$3))</f>
        <v>8</v>
      </c>
      <c r="U15" s="27">
        <f ca="1">INDEX(Д1!$E$4:$AI$13,MATCH($D15,Д1!$D$4:$D$13),MATCH(U$7,Д1!$E$3:$AI$3))</f>
        <v>12</v>
      </c>
      <c r="V15" s="27">
        <f ca="1">INDEX(Д1!$E$4:$AI$13,MATCH($D15,Д1!$D$4:$D$13),MATCH(V$7,Д1!$E$3:$AI$3))</f>
        <v>4</v>
      </c>
      <c r="W15" s="27">
        <f ca="1">INDEX(Д1!$E$4:$AI$13,MATCH($D15,Д1!$D$4:$D$13),MATCH(W$7,Д1!$E$3:$AI$3))</f>
        <v>8</v>
      </c>
      <c r="X15" s="27">
        <f ca="1">INDEX(Д1!$E$4:$AI$13,MATCH($D15,Д1!$D$4:$D$13),MATCH(X$7,Д1!$E$3:$AI$3))</f>
        <v>12</v>
      </c>
      <c r="Y15" s="27">
        <f ca="1">INDEX(Д1!$E$4:$AI$13,MATCH($D15,Д1!$D$4:$D$13),MATCH(Y$7,Д1!$E$3:$AI$3))</f>
        <v>0</v>
      </c>
      <c r="Z15" s="27">
        <f ca="1">INDEX(Д1!$E$4:$AI$13,MATCH($D15,Д1!$D$4:$D$13),MATCH(Z$7,Д1!$E$3:$AI$3))</f>
        <v>0</v>
      </c>
      <c r="AA15" s="27">
        <f ca="1">INDEX(Д1!$E$4:$AI$13,MATCH($D15,Д1!$D$4:$D$13),MATCH(AA$7,Д1!$E$3:$AI$3))</f>
        <v>4</v>
      </c>
      <c r="AB15" s="27">
        <f ca="1">INDEX(Д1!$E$4:$AI$13,MATCH($D15,Д1!$D$4:$D$13),MATCH(AB$7,Д1!$E$3:$AI$3))</f>
        <v>8</v>
      </c>
      <c r="AC15" s="27">
        <f ca="1">INDEX(Д1!$E$4:$AI$13,MATCH($D15,Д1!$D$4:$D$13),MATCH(AC$7,Д1!$E$3:$AI$3))</f>
        <v>12</v>
      </c>
      <c r="AD15" s="27">
        <f ca="1">INDEX(Д1!$E$4:$AI$13,MATCH($D15,Д1!$D$4:$D$13),MATCH(AD$7,Д1!$E$3:$AI$3))</f>
        <v>4</v>
      </c>
      <c r="AE15" s="27">
        <f ca="1">INDEX(Д1!$E$4:$AI$13,MATCH($D15,Д1!$D$4:$D$13),MATCH(AE$7,Д1!$E$3:$AI$3))</f>
        <v>8</v>
      </c>
      <c r="AF15" s="27">
        <f ca="1">INDEX(Д1!$E$4:$AI$13,MATCH($D15,Д1!$D$4:$D$13),MATCH(AF$7,Д1!$E$3:$AI$3))</f>
        <v>12</v>
      </c>
      <c r="AG15" s="27">
        <f ca="1">INDEX(Д1!$E$4:$AI$13,MATCH($D15,Д1!$D$4:$D$13),MATCH(AG$7,Д1!$E$3:$AI$3))</f>
        <v>0</v>
      </c>
      <c r="AH15" s="27">
        <f ca="1">INDEX(Д1!$E$4:$AI$13,MATCH($D15,Д1!$D$4:$D$13),MATCH(AH$7,Д1!$E$3:$AI$3))</f>
        <v>0</v>
      </c>
      <c r="AI15" s="64">
        <f ca="1">INDEX(Д1!$E$4:$AI$13,MATCH($D15,Д1!$D$4:$D$13),MATCH(AI$7,Д1!$E$3:$AI$3))</f>
        <v>4</v>
      </c>
      <c r="AJ15" s="143">
        <f>INDEX(Д1!AK$4:$AK$13,MATCH($C15,Д1!$C$4:$C$13),MATCH(E$7,Д1!$E$3:$AI$3))*AND(MONTH($E$8)=MONTH(Д1!$B$4))</f>
        <v>136</v>
      </c>
      <c r="AK15" s="144">
        <f ca="1">SUM(E15:AI16)</f>
        <v>184</v>
      </c>
      <c r="AL15" s="155"/>
      <c r="AM15" s="149">
        <f ca="1">SUM(F15:H16,J15:AI16)-AJ15+AL15-12</f>
        <v>24</v>
      </c>
      <c r="AP15" s="136">
        <f t="shared" ref="AP15" ca="1" si="14">COUNTIF($E15:$AI16,"12")</f>
        <v>8</v>
      </c>
      <c r="AQ15" s="136">
        <f t="shared" ref="AQ15" ca="1" si="15">IF(COUNTIF($E15:$AI16,"СП")&gt;=1,(COUNTIF($E15:$AI16,"4")+COUNTIF($E15:$AI16,"8")-1)/2,(COUNTIF($E15:$AI16,"4")+COUNTIF($E15:$AI16,"8"))/2)</f>
        <v>7</v>
      </c>
      <c r="AR15" s="136">
        <f t="shared" ca="1" si="2"/>
        <v>96</v>
      </c>
      <c r="AS15" s="136">
        <f t="shared" ref="AS15" ca="1" si="16">IF(COUNTIF($E15:$AI16,"СП")&gt;=1,SUMIF($E15:$AI16,"4",$E15:$AI16)+SUMIF($E15:$AI16,"8",$E15:$AI16)-8,SUMIF($E15:$AI16,"4",$E15:$AI16)+SUMIF($E15:$AI16,"8",$E15:$AI16))</f>
        <v>80</v>
      </c>
      <c r="AT15" s="136">
        <f t="shared" ref="AT15" ca="1" si="17">$AR15+$AS15</f>
        <v>176</v>
      </c>
      <c r="AU15" s="136" t="str">
        <f t="shared" ref="AU15" ca="1" si="18">IF(AK15=AT15,"+","!")</f>
        <v>!</v>
      </c>
      <c r="AV15" s="136">
        <f t="shared" ref="AV15" ca="1" si="19">COUNTIF($E15:$AI16,"ОТ")</f>
        <v>0</v>
      </c>
      <c r="AW15" s="137" t="str">
        <f ca="1">IF(COUNTIF($A16:$AI16,"СП")&gt;0,IF(INDIRECT(ADDRESS(ROW(),MATCH("СП",$A16:$AI16),1))=8,"","!"),"")</f>
        <v>!</v>
      </c>
      <c r="AX15" s="137" t="str">
        <f ca="1">IF(COUNTIF($A16:$AI16,"СП")&gt;0,IF(INDIRECT(ADDRESS(ROW(),MATCH("СП",$A16:$AI16)-1,1))=4,"!",""),"")</f>
        <v/>
      </c>
    </row>
    <row r="16" spans="1:50" ht="16.5" thickBot="1" x14ac:dyDescent="0.3">
      <c r="A16" s="147"/>
      <c r="B16" s="139"/>
      <c r="C16" s="142"/>
      <c r="D16" s="50">
        <v>8</v>
      </c>
      <c r="E16" s="65" t="str">
        <f>INDEX(Д1!$E$4:$AI$13,MATCH($D16,Д1!$D$4:$D$13),MATCH(E$7,Д1!$E$3:$AI$3))</f>
        <v/>
      </c>
      <c r="F16" s="30" t="str">
        <f>INDEX(Д1!$E$4:$AI$13,MATCH($D16,Д1!$D$4:$D$13),MATCH(F$7,Д1!$E$3:$AI$3))</f>
        <v/>
      </c>
      <c r="G16" s="30" t="str">
        <f>INDEX(Д1!$E$4:$AI$13,MATCH($D16,Д1!$D$4:$D$13),MATCH(G$7,Д1!$E$3:$AI$3))</f>
        <v/>
      </c>
      <c r="H16" s="30" t="str">
        <f>INDEX(Д1!$E$4:$AI$13,MATCH($D16,Д1!$D$4:$D$13),MATCH(H$7,Д1!$E$3:$AI$3))</f>
        <v>СП</v>
      </c>
      <c r="I16" s="30" t="str">
        <f>INDEX(Д1!$E$4:$AI$13,MATCH($D16,Д1!$D$4:$D$13),MATCH(I$7,Д1!$E$3:$AI$3))</f>
        <v/>
      </c>
      <c r="J16" s="30" t="str">
        <f>INDEX(Д1!$E$4:$AI$13,MATCH($D16,Д1!$D$4:$D$13),MATCH(J$7,Д1!$E$3:$AI$3))</f>
        <v/>
      </c>
      <c r="K16" s="30" t="str">
        <f>INDEX(Д1!$E$4:$AI$13,MATCH($D16,Д1!$D$4:$D$13),MATCH(K$7,Д1!$E$3:$AI$3))</f>
        <v/>
      </c>
      <c r="L16" s="30" t="str">
        <f>INDEX(Д1!$E$4:$AI$13,MATCH($D16,Д1!$D$4:$D$13),MATCH(L$7,Д1!$E$3:$AI$3))</f>
        <v/>
      </c>
      <c r="M16" s="30" t="str">
        <f>INDEX(Д1!$E$4:$AI$13,MATCH($D16,Д1!$D$4:$D$13),MATCH(M$7,Д1!$E$3:$AI$3))</f>
        <v/>
      </c>
      <c r="N16" s="30" t="str">
        <f>INDEX(Д1!$E$4:$AI$13,MATCH($D16,Д1!$D$4:$D$13),MATCH(N$7,Д1!$E$3:$AI$3))</f>
        <v/>
      </c>
      <c r="O16" s="30" t="str">
        <f>INDEX(Д1!$E$4:$AI$13,MATCH($D16,Д1!$D$4:$D$13),MATCH(O$7,Д1!$E$3:$AI$3))</f>
        <v/>
      </c>
      <c r="P16" s="30" t="str">
        <f>INDEX(Д1!$E$4:$AI$13,MATCH($D16,Д1!$D$4:$D$13),MATCH(P$7,Д1!$E$3:$AI$3))</f>
        <v/>
      </c>
      <c r="Q16" s="30" t="str">
        <f>INDEX(Д1!$E$4:$AI$13,MATCH($D16,Д1!$D$4:$D$13),MATCH(Q$7,Д1!$E$3:$AI$3))</f>
        <v/>
      </c>
      <c r="R16" s="30" t="str">
        <f>INDEX(Д1!$E$4:$AI$13,MATCH($D16,Д1!$D$4:$D$13),MATCH(R$7,Д1!$E$3:$AI$3))</f>
        <v/>
      </c>
      <c r="S16" s="30" t="str">
        <f>INDEX(Д1!$E$4:$AI$13,MATCH($D16,Д1!$D$4:$D$13),MATCH(S$7,Д1!$E$3:$AI$3))</f>
        <v/>
      </c>
      <c r="T16" s="30" t="str">
        <f>INDEX(Д1!$E$4:$AI$13,MATCH($D16,Д1!$D$4:$D$13),MATCH(T$7,Д1!$E$3:$AI$3))</f>
        <v/>
      </c>
      <c r="U16" s="30" t="str">
        <f>INDEX(Д1!$E$4:$AI$13,MATCH($D16,Д1!$D$4:$D$13),MATCH(U$7,Д1!$E$3:$AI$3))</f>
        <v/>
      </c>
      <c r="V16" s="30" t="str">
        <f>INDEX(Д1!$E$4:$AI$13,MATCH($D16,Д1!$D$4:$D$13),MATCH(V$7,Д1!$E$3:$AI$3))</f>
        <v/>
      </c>
      <c r="W16" s="30" t="str">
        <f>INDEX(Д1!$E$4:$AI$13,MATCH($D16,Д1!$D$4:$D$13),MATCH(W$7,Д1!$E$3:$AI$3))</f>
        <v/>
      </c>
      <c r="X16" s="30" t="str">
        <f>INDEX(Д1!$E$4:$AI$13,MATCH($D16,Д1!$D$4:$D$13),MATCH(X$7,Д1!$E$3:$AI$3))</f>
        <v/>
      </c>
      <c r="Y16" s="30" t="str">
        <f>INDEX(Д1!$E$4:$AI$13,MATCH($D16,Д1!$D$4:$D$13),MATCH(Y$7,Д1!$E$3:$AI$3))</f>
        <v/>
      </c>
      <c r="Z16" s="30" t="str">
        <f>INDEX(Д1!$E$4:$AI$13,MATCH($D16,Д1!$D$4:$D$13),MATCH(Z$7,Д1!$E$3:$AI$3))</f>
        <v/>
      </c>
      <c r="AA16" s="30" t="str">
        <f>INDEX(Д1!$E$4:$AI$13,MATCH($D16,Д1!$D$4:$D$13),MATCH(AA$7,Д1!$E$3:$AI$3))</f>
        <v/>
      </c>
      <c r="AB16" s="30" t="str">
        <f>INDEX(Д1!$E$4:$AI$13,MATCH($D16,Д1!$D$4:$D$13),MATCH(AB$7,Д1!$E$3:$AI$3))</f>
        <v/>
      </c>
      <c r="AC16" s="30" t="str">
        <f>INDEX(Д1!$E$4:$AI$13,MATCH($D16,Д1!$D$4:$D$13),MATCH(AC$7,Д1!$E$3:$AI$3))</f>
        <v/>
      </c>
      <c r="AD16" s="30" t="str">
        <f>INDEX(Д1!$E$4:$AI$13,MATCH($D16,Д1!$D$4:$D$13),MATCH(AD$7,Д1!$E$3:$AI$3))</f>
        <v/>
      </c>
      <c r="AE16" s="30" t="str">
        <f>INDEX(Д1!$E$4:$AI$13,MATCH($D16,Д1!$D$4:$D$13),MATCH(AE$7,Д1!$E$3:$AI$3))</f>
        <v/>
      </c>
      <c r="AF16" s="30" t="str">
        <f>INDEX(Д1!$E$4:$AI$13,MATCH($D16,Д1!$D$4:$D$13),MATCH(AF$7,Д1!$E$3:$AI$3))</f>
        <v/>
      </c>
      <c r="AG16" s="30" t="str">
        <f>INDEX(Д1!$E$4:$AI$13,MATCH($D16,Д1!$D$4:$D$13),MATCH(AG$7,Д1!$E$3:$AI$3))</f>
        <v/>
      </c>
      <c r="AH16" s="30" t="str">
        <f>INDEX(Д1!$E$4:$AI$13,MATCH($D16,Д1!$D$4:$D$13),MATCH(AH$7,Д1!$E$3:$AI$3))</f>
        <v/>
      </c>
      <c r="AI16" s="65" t="str">
        <f>INDEX(Д1!$E$4:$AI$13,MATCH($D16,Д1!$D$4:$D$13),MATCH(AI$7,Д1!$E$3:$AI$3))</f>
        <v/>
      </c>
      <c r="AJ16" s="143"/>
      <c r="AK16" s="145"/>
      <c r="AL16" s="145"/>
      <c r="AM16" s="150"/>
      <c r="AP16" s="136"/>
      <c r="AQ16" s="136"/>
      <c r="AR16" s="136"/>
      <c r="AS16" s="136"/>
      <c r="AT16" s="136"/>
      <c r="AU16" s="136"/>
      <c r="AV16" s="136"/>
      <c r="AW16" s="137"/>
      <c r="AX16" s="137"/>
    </row>
    <row r="17" spans="1:50" ht="16.5" customHeight="1" thickBot="1" x14ac:dyDescent="0.3">
      <c r="A17" s="147"/>
      <c r="B17" s="139" t="s">
        <v>84</v>
      </c>
      <c r="C17" s="141">
        <v>5</v>
      </c>
      <c r="D17" s="49">
        <v>9</v>
      </c>
      <c r="E17" s="62" t="str">
        <f>INDEX(Д1!$E$4:$AI$13,MATCH($D17,Д1!$D$4:$D$13),MATCH(E$7,Д1!$E$3:$AI$3))</f>
        <v>-</v>
      </c>
      <c r="F17" s="28" t="str">
        <f>INDEX(Д1!$E$4:$AI$13,MATCH($D17,Д1!$D$4:$D$13),MATCH(F$7,Д1!$E$3:$AI$3))</f>
        <v>-</v>
      </c>
      <c r="G17" s="28" t="str">
        <f>INDEX(Д1!$E$4:$AI$13,MATCH($D17,Д1!$D$4:$D$13),MATCH(G$7,Д1!$E$3:$AI$3))</f>
        <v>-</v>
      </c>
      <c r="H17" s="28" t="str">
        <f>INDEX(Д1!$E$4:$AI$13,MATCH($D17,Д1!$D$4:$D$13),MATCH(H$7,Д1!$E$3:$AI$3))</f>
        <v>-</v>
      </c>
      <c r="I17" s="28" t="str">
        <f>INDEX(Д1!$E$4:$AI$13,MATCH($D17,Д1!$D$4:$D$13),MATCH(I$7,Д1!$E$3:$AI$3))</f>
        <v>-</v>
      </c>
      <c r="J17" s="28" t="str">
        <f>INDEX(Д1!$E$4:$AI$13,MATCH($D17,Д1!$D$4:$D$13),MATCH(J$7,Д1!$E$3:$AI$3))</f>
        <v>-</v>
      </c>
      <c r="K17" s="28" t="str">
        <f>INDEX(Д1!$E$4:$AI$13,MATCH($D17,Д1!$D$4:$D$13),MATCH(K$7,Д1!$E$3:$AI$3))</f>
        <v>-</v>
      </c>
      <c r="L17" s="28" t="str">
        <f>INDEX(Д1!$E$4:$AI$13,MATCH($D17,Д1!$D$4:$D$13),MATCH(L$7,Д1!$E$3:$AI$3))</f>
        <v>-</v>
      </c>
      <c r="M17" s="28" t="str">
        <f>INDEX(Д1!$E$4:$AI$13,MATCH($D17,Д1!$D$4:$D$13),MATCH(M$7,Д1!$E$3:$AI$3))</f>
        <v>-</v>
      </c>
      <c r="N17" s="28" t="str">
        <f>INDEX(Д1!$E$4:$AI$13,MATCH($D17,Д1!$D$4:$D$13),MATCH(N$7,Д1!$E$3:$AI$3))</f>
        <v>-</v>
      </c>
      <c r="O17" s="28" t="str">
        <f>INDEX(Д1!$E$4:$AI$13,MATCH($D17,Д1!$D$4:$D$13),MATCH(O$7,Д1!$E$3:$AI$3))</f>
        <v>-</v>
      </c>
      <c r="P17" s="28" t="str">
        <f>INDEX(Д1!$E$4:$AI$13,MATCH($D17,Д1!$D$4:$D$13),MATCH(P$7,Д1!$E$3:$AI$3))</f>
        <v>-</v>
      </c>
      <c r="Q17" s="28" t="str">
        <f>INDEX(Д1!$E$4:$AI$13,MATCH($D17,Д1!$D$4:$D$13),MATCH(Q$7,Д1!$E$3:$AI$3))</f>
        <v>-</v>
      </c>
      <c r="R17" s="28" t="str">
        <f>INDEX(Д1!$E$4:$AI$13,MATCH($D17,Д1!$D$4:$D$13),MATCH(R$7,Д1!$E$3:$AI$3))</f>
        <v>-</v>
      </c>
      <c r="S17" s="28" t="str">
        <f>INDEX(Д1!$E$4:$AI$13,MATCH($D17,Д1!$D$4:$D$13),MATCH(S$7,Д1!$E$3:$AI$3))</f>
        <v>-</v>
      </c>
      <c r="T17" s="28" t="str">
        <f>INDEX(Д1!$E$4:$AI$13,MATCH($D17,Д1!$D$4:$D$13),MATCH(T$7,Д1!$E$3:$AI$3))</f>
        <v>-</v>
      </c>
      <c r="U17" s="28" t="str">
        <f>INDEX(Д1!$E$4:$AI$13,MATCH($D17,Д1!$D$4:$D$13),MATCH(U$7,Д1!$E$3:$AI$3))</f>
        <v>-</v>
      </c>
      <c r="V17" s="28" t="str">
        <f>INDEX(Д1!$E$4:$AI$13,MATCH($D17,Д1!$D$4:$D$13),MATCH(V$7,Д1!$E$3:$AI$3))</f>
        <v>-</v>
      </c>
      <c r="W17" s="28" t="str">
        <f>INDEX(Д1!$E$4:$AI$13,MATCH($D17,Д1!$D$4:$D$13),MATCH(W$7,Д1!$E$3:$AI$3))</f>
        <v>-</v>
      </c>
      <c r="X17" s="28" t="str">
        <f>INDEX(Д1!$E$4:$AI$13,MATCH($D17,Д1!$D$4:$D$13),MATCH(X$7,Д1!$E$3:$AI$3))</f>
        <v>-</v>
      </c>
      <c r="Y17" s="28" t="str">
        <f>INDEX(Д1!$E$4:$AI$13,MATCH($D17,Д1!$D$4:$D$13),MATCH(Y$7,Д1!$E$3:$AI$3))</f>
        <v>-</v>
      </c>
      <c r="Z17" s="28" t="str">
        <f>INDEX(Д1!$E$4:$AI$13,MATCH($D17,Д1!$D$4:$D$13),MATCH(Z$7,Д1!$E$3:$AI$3))</f>
        <v>-</v>
      </c>
      <c r="AA17" s="28" t="str">
        <f>INDEX(Д1!$E$4:$AI$13,MATCH($D17,Д1!$D$4:$D$13),MATCH(AA$7,Д1!$E$3:$AI$3))</f>
        <v>-</v>
      </c>
      <c r="AB17" s="28" t="str">
        <f>INDEX(Д1!$E$4:$AI$13,MATCH($D17,Д1!$D$4:$D$13),MATCH(AB$7,Д1!$E$3:$AI$3))</f>
        <v>-</v>
      </c>
      <c r="AC17" s="28" t="str">
        <f>INDEX(Д1!$E$4:$AI$13,MATCH($D17,Д1!$D$4:$D$13),MATCH(AC$7,Д1!$E$3:$AI$3))</f>
        <v>-</v>
      </c>
      <c r="AD17" s="28" t="str">
        <f>INDEX(Д1!$E$4:$AI$13,MATCH($D17,Д1!$D$4:$D$13),MATCH(AD$7,Д1!$E$3:$AI$3))</f>
        <v>-</v>
      </c>
      <c r="AE17" s="28" t="str">
        <f>INDEX(Д1!$E$4:$AI$13,MATCH($D17,Д1!$D$4:$D$13),MATCH(AE$7,Д1!$E$3:$AI$3))</f>
        <v>-</v>
      </c>
      <c r="AF17" s="28" t="str">
        <f>INDEX(Д1!$E$4:$AI$13,MATCH($D17,Д1!$D$4:$D$13),MATCH(AF$7,Д1!$E$3:$AI$3))</f>
        <v>-</v>
      </c>
      <c r="AG17" s="28" t="str">
        <f>INDEX(Д1!$E$4:$AI$13,MATCH($D17,Д1!$D$4:$D$13),MATCH(AG$7,Д1!$E$3:$AI$3))</f>
        <v>-</v>
      </c>
      <c r="AH17" s="28" t="str">
        <f>INDEX(Д1!$E$4:$AI$13,MATCH($D17,Д1!$D$4:$D$13),MATCH(AH$7,Д1!$E$3:$AI$3))</f>
        <v>-</v>
      </c>
      <c r="AI17" s="62" t="str">
        <f>INDEX(Д1!$E$4:$AI$13,MATCH($D17,Д1!$D$4:$D$13),MATCH(AI$7,Д1!$E$3:$AI$3))</f>
        <v>-</v>
      </c>
      <c r="AJ17" s="143">
        <f>INDEX(Д1!AK$4:$AK$13,MATCH($C17,Д1!$C$4:$C$13),MATCH(E$7,Д1!$E$3:$AI$3))*AND(MONTH($E$8)=MONTH(Д1!$B$4))</f>
        <v>136</v>
      </c>
      <c r="AK17" s="144">
        <f>SUM(E17:AI17)</f>
        <v>0</v>
      </c>
      <c r="AL17" s="144"/>
      <c r="AM17" s="149">
        <f>SUM(F17:H18,J17:AI18)-AJ17+AL17-12</f>
        <v>-148</v>
      </c>
      <c r="AP17" s="136">
        <f t="shared" ref="AP17" si="20">COUNTIF($E17:$AI18,"12")</f>
        <v>0</v>
      </c>
      <c r="AQ17" s="136">
        <f t="shared" ref="AQ17" si="21">IF(COUNTIF($E17:$AI18,"СП")&gt;=1,(COUNTIF($E17:$AI18,"4")+COUNTIF($E17:$AI18,"8")-1)/2,(COUNTIF($E17:$AI18,"4")+COUNTIF($E17:$AI18,"8"))/2)</f>
        <v>-0.5</v>
      </c>
      <c r="AR17" s="136">
        <f t="shared" si="2"/>
        <v>0</v>
      </c>
      <c r="AS17" s="136">
        <f t="shared" ref="AS17" si="22">IF(COUNTIF($E17:$AI18,"СП")&gt;=1,SUMIF($E17:$AI18,"4",$E17:$AI18)+SUMIF($E17:$AI18,"8",$E17:$AI18)-8,SUMIF($E17:$AI18,"4",$E17:$AI18)+SUMIF($E17:$AI18,"8",$E17:$AI18))</f>
        <v>-8</v>
      </c>
      <c r="AT17" s="136">
        <f t="shared" ref="AT17" si="23">$AR17+$AS17</f>
        <v>-8</v>
      </c>
      <c r="AU17" s="136" t="str">
        <f t="shared" ref="AU17" si="24">IF(AK17=AT17,"+","!")</f>
        <v>!</v>
      </c>
      <c r="AV17" s="136">
        <f t="shared" ref="AV17" si="25">COUNTIF($E17:$AI18,"ОТ")</f>
        <v>0</v>
      </c>
      <c r="AW17" s="137" t="str">
        <f ca="1">IF(COUNTIF($A18:$AI18,"СП")&gt;0,IF(INDIRECT(ADDRESS(ROW(),MATCH("СП",$A18:$AI18),1))=8,"","!"),"")</f>
        <v>!</v>
      </c>
      <c r="AX17" s="137" t="str">
        <f ca="1">IF(COUNTIF($A18:$AI18,"СП")&gt;0,IF(INDIRECT(ADDRESS(ROW(),MATCH("СП",$A18:$AI18)-1,1))=4,"!",""),"")</f>
        <v/>
      </c>
    </row>
    <row r="18" spans="1:50" ht="16.5" thickBot="1" x14ac:dyDescent="0.3">
      <c r="A18" s="148"/>
      <c r="B18" s="140"/>
      <c r="C18" s="156"/>
      <c r="D18" s="50">
        <v>10</v>
      </c>
      <c r="E18" s="66" t="str">
        <f>INDEX(Д1!$E$4:$AI$13,MATCH($D18,Д1!$D$4:$D$13),MATCH(E$7,Д1!$E$3:$AI$3))</f>
        <v/>
      </c>
      <c r="F18" s="67" t="str">
        <f>INDEX(Д1!$E$4:$AI$13,MATCH($D18,Д1!$D$4:$D$13),MATCH(F$7,Д1!$E$3:$AI$3))</f>
        <v/>
      </c>
      <c r="G18" s="67" t="str">
        <f>INDEX(Д1!$E$4:$AI$13,MATCH($D18,Д1!$D$4:$D$13),MATCH(G$7,Д1!$E$3:$AI$3))</f>
        <v/>
      </c>
      <c r="H18" s="67" t="str">
        <f>INDEX(Д1!$E$4:$AI$13,MATCH($D18,Д1!$D$4:$D$13),MATCH(H$7,Д1!$E$3:$AI$3))</f>
        <v/>
      </c>
      <c r="I18" s="67" t="str">
        <f>INDEX(Д1!$E$4:$AI$13,MATCH($D18,Д1!$D$4:$D$13),MATCH(I$7,Д1!$E$3:$AI$3))</f>
        <v>СП</v>
      </c>
      <c r="J18" s="67" t="str">
        <f>INDEX(Д1!$E$4:$AI$13,MATCH($D18,Д1!$D$4:$D$13),MATCH(J$7,Д1!$E$3:$AI$3))</f>
        <v/>
      </c>
      <c r="K18" s="67" t="str">
        <f>INDEX(Д1!$E$4:$AI$13,MATCH($D18,Д1!$D$4:$D$13),MATCH(K$7,Д1!$E$3:$AI$3))</f>
        <v/>
      </c>
      <c r="L18" s="67" t="str">
        <f>INDEX(Д1!$E$4:$AI$13,MATCH($D18,Д1!$D$4:$D$13),MATCH(L$7,Д1!$E$3:$AI$3))</f>
        <v/>
      </c>
      <c r="M18" s="67" t="str">
        <f>INDEX(Д1!$E$4:$AI$13,MATCH($D18,Д1!$D$4:$D$13),MATCH(M$7,Д1!$E$3:$AI$3))</f>
        <v/>
      </c>
      <c r="N18" s="67" t="str">
        <f>INDEX(Д1!$E$4:$AI$13,MATCH($D18,Д1!$D$4:$D$13),MATCH(N$7,Д1!$E$3:$AI$3))</f>
        <v/>
      </c>
      <c r="O18" s="67" t="str">
        <f>INDEX(Д1!$E$4:$AI$13,MATCH($D18,Д1!$D$4:$D$13),MATCH(O$7,Д1!$E$3:$AI$3))</f>
        <v/>
      </c>
      <c r="P18" s="67" t="str">
        <f>INDEX(Д1!$E$4:$AI$13,MATCH($D18,Д1!$D$4:$D$13),MATCH(P$7,Д1!$E$3:$AI$3))</f>
        <v/>
      </c>
      <c r="Q18" s="67" t="str">
        <f>INDEX(Д1!$E$4:$AI$13,MATCH($D18,Д1!$D$4:$D$13),MATCH(Q$7,Д1!$E$3:$AI$3))</f>
        <v/>
      </c>
      <c r="R18" s="67" t="str">
        <f>INDEX(Д1!$E$4:$AI$13,MATCH($D18,Д1!$D$4:$D$13),MATCH(R$7,Д1!$E$3:$AI$3))</f>
        <v/>
      </c>
      <c r="S18" s="67" t="str">
        <f>INDEX(Д1!$E$4:$AI$13,MATCH($D18,Д1!$D$4:$D$13),MATCH(S$7,Д1!$E$3:$AI$3))</f>
        <v/>
      </c>
      <c r="T18" s="67" t="str">
        <f>INDEX(Д1!$E$4:$AI$13,MATCH($D18,Д1!$D$4:$D$13),MATCH(T$7,Д1!$E$3:$AI$3))</f>
        <v/>
      </c>
      <c r="U18" s="67" t="str">
        <f>INDEX(Д1!$E$4:$AI$13,MATCH($D18,Д1!$D$4:$D$13),MATCH(U$7,Д1!$E$3:$AI$3))</f>
        <v/>
      </c>
      <c r="V18" s="67" t="str">
        <f>INDEX(Д1!$E$4:$AI$13,MATCH($D18,Д1!$D$4:$D$13),MATCH(V$7,Д1!$E$3:$AI$3))</f>
        <v/>
      </c>
      <c r="W18" s="67" t="str">
        <f>INDEX(Д1!$E$4:$AI$13,MATCH($D18,Д1!$D$4:$D$13),MATCH(W$7,Д1!$E$3:$AI$3))</f>
        <v/>
      </c>
      <c r="X18" s="67" t="str">
        <f>INDEX(Д1!$E$4:$AI$13,MATCH($D18,Д1!$D$4:$D$13),MATCH(X$7,Д1!$E$3:$AI$3))</f>
        <v/>
      </c>
      <c r="Y18" s="67" t="str">
        <f>INDEX(Д1!$E$4:$AI$13,MATCH($D18,Д1!$D$4:$D$13),MATCH(Y$7,Д1!$E$3:$AI$3))</f>
        <v/>
      </c>
      <c r="Z18" s="67" t="str">
        <f>INDEX(Д1!$E$4:$AI$13,MATCH($D18,Д1!$D$4:$D$13),MATCH(Z$7,Д1!$E$3:$AI$3))</f>
        <v/>
      </c>
      <c r="AA18" s="67" t="str">
        <f>INDEX(Д1!$E$4:$AI$13,MATCH($D18,Д1!$D$4:$D$13),MATCH(AA$7,Д1!$E$3:$AI$3))</f>
        <v/>
      </c>
      <c r="AB18" s="67" t="str">
        <f>INDEX(Д1!$E$4:$AI$13,MATCH($D18,Д1!$D$4:$D$13),MATCH(AB$7,Д1!$E$3:$AI$3))</f>
        <v/>
      </c>
      <c r="AC18" s="67" t="str">
        <f>INDEX(Д1!$E$4:$AI$13,MATCH($D18,Д1!$D$4:$D$13),MATCH(AC$7,Д1!$E$3:$AI$3))</f>
        <v/>
      </c>
      <c r="AD18" s="67" t="str">
        <f>INDEX(Д1!$E$4:$AI$13,MATCH($D18,Д1!$D$4:$D$13),MATCH(AD$7,Д1!$E$3:$AI$3))</f>
        <v/>
      </c>
      <c r="AE18" s="67" t="str">
        <f>INDEX(Д1!$E$4:$AI$13,MATCH($D18,Д1!$D$4:$D$13),MATCH(AE$7,Д1!$E$3:$AI$3))</f>
        <v/>
      </c>
      <c r="AF18" s="67" t="str">
        <f>INDEX(Д1!$E$4:$AI$13,MATCH($D18,Д1!$D$4:$D$13),MATCH(AF$7,Д1!$E$3:$AI$3))</f>
        <v/>
      </c>
      <c r="AG18" s="67" t="str">
        <f>INDEX(Д1!$E$4:$AI$13,MATCH($D18,Д1!$D$4:$D$13),MATCH(AG$7,Д1!$E$3:$AI$3))</f>
        <v/>
      </c>
      <c r="AH18" s="67" t="str">
        <f>INDEX(Д1!$E$4:$AI$13,MATCH($D18,Д1!$D$4:$D$13),MATCH(AH$7,Д1!$E$3:$AI$3))</f>
        <v/>
      </c>
      <c r="AI18" s="68" t="str">
        <f>INDEX(Д1!$E$4:$AI$13,MATCH($D18,Д1!$D$4:$D$13),MATCH(AI$7,Д1!$E$3:$AI$3))</f>
        <v/>
      </c>
      <c r="AJ18" s="153"/>
      <c r="AK18" s="158"/>
      <c r="AL18" s="158"/>
      <c r="AM18" s="150"/>
      <c r="AP18" s="136"/>
      <c r="AQ18" s="136"/>
      <c r="AR18" s="136"/>
      <c r="AS18" s="136"/>
      <c r="AT18" s="136"/>
      <c r="AU18" s="136"/>
      <c r="AV18" s="136"/>
      <c r="AW18" s="137"/>
      <c r="AX18" s="137"/>
    </row>
    <row r="19" spans="1:50" ht="17.25" customHeight="1" thickTop="1" thickBot="1" x14ac:dyDescent="0.3">
      <c r="A19" s="146" t="s">
        <v>101</v>
      </c>
      <c r="B19" s="151" t="s">
        <v>85</v>
      </c>
      <c r="C19" s="152">
        <v>1</v>
      </c>
      <c r="D19" s="49">
        <v>1</v>
      </c>
      <c r="E19" s="64">
        <f ca="1">INDEX(Д2!$E$4:$AI$13,MATCH($D19,Д2!$D$4:$D$13),MATCH(E$7,Д2!$E$3:$AI$3))</f>
        <v>8</v>
      </c>
      <c r="F19" s="64">
        <f ca="1">INDEX(Д2!$E$4:$AI$13,MATCH($D19,Д2!$D$4:$D$13),MATCH(F$7,Д2!$E$3:$AI$3))</f>
        <v>0</v>
      </c>
      <c r="G19" s="64">
        <f ca="1">INDEX(Д2!$E$4:$AI$13,MATCH($D19,Д2!$D$4:$D$13),MATCH(G$7,Д2!$E$3:$AI$3))</f>
        <v>4</v>
      </c>
      <c r="H19" s="64">
        <f ca="1">INDEX(Д2!$E$4:$AI$13,MATCH($D19,Д2!$D$4:$D$13),MATCH(H$7,Д2!$E$3:$AI$3))</f>
        <v>8</v>
      </c>
      <c r="I19" s="64">
        <f ca="1">INDEX(Д2!$E$4:$AI$13,MATCH($D19,Д2!$D$4:$D$13),MATCH(I$7,Д2!$E$3:$AI$3))</f>
        <v>12</v>
      </c>
      <c r="J19" s="64">
        <f ca="1">INDEX(Д2!$E$4:$AI$13,MATCH($D19,Д2!$D$4:$D$13),MATCH(J$7,Д2!$E$3:$AI$3))</f>
        <v>4</v>
      </c>
      <c r="K19" s="64">
        <f ca="1">INDEX(Д2!$E$4:$AI$13,MATCH($D19,Д2!$D$4:$D$13),MATCH(K$7,Д2!$E$3:$AI$3))</f>
        <v>8</v>
      </c>
      <c r="L19" s="64">
        <f ca="1">INDEX(Д2!$E$4:$AI$13,MATCH($D19,Д2!$D$4:$D$13),MATCH(L$7,Д2!$E$3:$AI$3))</f>
        <v>12</v>
      </c>
      <c r="M19" s="64">
        <f ca="1">INDEX(Д2!$E$4:$AI$13,MATCH($D19,Д2!$D$4:$D$13),MATCH(M$7,Д2!$E$3:$AI$3))</f>
        <v>0</v>
      </c>
      <c r="N19" s="64">
        <f ca="1">INDEX(Д2!$E$4:$AI$13,MATCH($D19,Д2!$D$4:$D$13),MATCH(N$7,Д2!$E$3:$AI$3))</f>
        <v>0</v>
      </c>
      <c r="O19" s="64">
        <f ca="1">INDEX(Д2!$E$4:$AI$13,MATCH($D19,Д2!$D$4:$D$13),MATCH(O$7,Д2!$E$3:$AI$3))</f>
        <v>4</v>
      </c>
      <c r="P19" s="64">
        <f ca="1">INDEX(Д2!$E$4:$AI$13,MATCH($D19,Д2!$D$4:$D$13),MATCH(P$7,Д2!$E$3:$AI$3))</f>
        <v>8</v>
      </c>
      <c r="Q19" s="64">
        <f ca="1">INDEX(Д2!$E$4:$AI$13,MATCH($D19,Д2!$D$4:$D$13),MATCH(Q$7,Д2!$E$3:$AI$3))</f>
        <v>12</v>
      </c>
      <c r="R19" s="64">
        <f ca="1">INDEX(Д2!$E$4:$AI$13,MATCH($D19,Д2!$D$4:$D$13),MATCH(R$7,Д2!$E$3:$AI$3))</f>
        <v>4</v>
      </c>
      <c r="S19" s="64">
        <f ca="1">INDEX(Д2!$E$4:$AI$13,MATCH($D19,Д2!$D$4:$D$13),MATCH(S$7,Д2!$E$3:$AI$3))</f>
        <v>8</v>
      </c>
      <c r="T19" s="64">
        <f ca="1">INDEX(Д2!$E$4:$AI$13,MATCH($D19,Д2!$D$4:$D$13),MATCH(T$7,Д2!$E$3:$AI$3))</f>
        <v>12</v>
      </c>
      <c r="U19" s="64">
        <f ca="1">INDEX(Д2!$E$4:$AI$13,MATCH($D19,Д2!$D$4:$D$13),MATCH(U$7,Д2!$E$3:$AI$3))</f>
        <v>0</v>
      </c>
      <c r="V19" s="64">
        <f ca="1">INDEX(Д2!$E$4:$AI$13,MATCH($D19,Д2!$D$4:$D$13),MATCH(V$7,Д2!$E$3:$AI$3))</f>
        <v>0</v>
      </c>
      <c r="W19" s="64">
        <f ca="1">INDEX(Д2!$E$4:$AI$13,MATCH($D19,Д2!$D$4:$D$13),MATCH(W$7,Д2!$E$3:$AI$3))</f>
        <v>4</v>
      </c>
      <c r="X19" s="64">
        <f ca="1">INDEX(Д2!$E$4:$AI$13,MATCH($D19,Д2!$D$4:$D$13),MATCH(X$7,Д2!$E$3:$AI$3))</f>
        <v>8</v>
      </c>
      <c r="Y19" s="64">
        <f ca="1">INDEX(Д2!$E$4:$AI$13,MATCH($D19,Д2!$D$4:$D$13),MATCH(Y$7,Д2!$E$3:$AI$3))</f>
        <v>12</v>
      </c>
      <c r="Z19" s="64">
        <f ca="1">INDEX(Д2!$E$4:$AI$13,MATCH($D19,Д2!$D$4:$D$13),MATCH(Z$7,Д2!$E$3:$AI$3))</f>
        <v>4</v>
      </c>
      <c r="AA19" s="64">
        <f ca="1">INDEX(Д2!$E$4:$AI$13,MATCH($D19,Д2!$D$4:$D$13),MATCH(AA$7,Д2!$E$3:$AI$3))</f>
        <v>8</v>
      </c>
      <c r="AB19" s="64">
        <f ca="1">INDEX(Д2!$E$4:$AI$13,MATCH($D19,Д2!$D$4:$D$13),MATCH(AB$7,Д2!$E$3:$AI$3))</f>
        <v>12</v>
      </c>
      <c r="AC19" s="64">
        <f ca="1">INDEX(Д2!$E$4:$AI$13,MATCH($D19,Д2!$D$4:$D$13),MATCH(AC$7,Д2!$E$3:$AI$3))</f>
        <v>0</v>
      </c>
      <c r="AD19" s="64">
        <f ca="1">INDEX(Д2!$E$4:$AI$13,MATCH($D19,Д2!$D$4:$D$13),MATCH(AD$7,Д2!$E$3:$AI$3))</f>
        <v>0</v>
      </c>
      <c r="AE19" s="64">
        <f ca="1">INDEX(Д2!$E$4:$AI$13,MATCH($D19,Д2!$D$4:$D$13),MATCH(AE$7,Д2!$E$3:$AI$3))</f>
        <v>4</v>
      </c>
      <c r="AF19" s="64">
        <f ca="1">INDEX(Д2!$E$4:$AI$13,MATCH($D19,Д2!$D$4:$D$13),MATCH(AF$7,Д2!$E$3:$AI$3))</f>
        <v>8</v>
      </c>
      <c r="AG19" s="64">
        <f ca="1">INDEX(Д2!$E$4:$AI$13,MATCH($D19,Д2!$D$4:$D$13),MATCH(AG$7,Д2!$E$3:$AI$3))</f>
        <v>12</v>
      </c>
      <c r="AH19" s="64">
        <f ca="1">INDEX(Д2!$E$4:$AI$13,MATCH($D19,Д2!$D$4:$D$13),MATCH(AH$7,Д2!$E$3:$AI$3))</f>
        <v>4</v>
      </c>
      <c r="AI19" s="32">
        <f ca="1">INDEX(Д2!$E$4:$AI$13,MATCH($D19,Д2!$D$4:$D$13),MATCH(AI$7,Д2!$E$3:$AI$3))</f>
        <v>8</v>
      </c>
      <c r="AJ19" s="157">
        <f>INDEX(Д2!AK$4:$AK$13,MATCH($C19,Д2!$C$4:$C$13),MATCH(E$7,Д2!$E$3:$AI$3))*AND(MONTH($E$8)=MONTH(Д2!$B$4))</f>
        <v>136</v>
      </c>
      <c r="AK19" s="154">
        <v>0</v>
      </c>
      <c r="AL19" s="155"/>
      <c r="AM19" s="149">
        <f ca="1">SUM(F19:H20,J19:AI20)-AJ19+AL19-12</f>
        <v>20</v>
      </c>
      <c r="AP19" s="136">
        <f t="shared" ref="AP19" ca="1" si="26">COUNTIF($E19:$AI20,"12")</f>
        <v>7</v>
      </c>
      <c r="AQ19" s="136">
        <f t="shared" ref="AQ19" ca="1" si="27">IF(COUNTIF($E19:$AI20,"СП")&gt;=1,(COUNTIF($E19:$AI20,"4")+COUNTIF($E19:$AI20,"8")-1)/2,(COUNTIF($E19:$AI20,"4")+COUNTIF($E19:$AI20,"8"))/2)</f>
        <v>8</v>
      </c>
      <c r="AR19" s="136">
        <f t="shared" ca="1" si="2"/>
        <v>84</v>
      </c>
      <c r="AS19" s="136">
        <f t="shared" ref="AS19" ca="1" si="28">IF(COUNTIF($E19:$AI20,"СП")&gt;=1,SUMIF($E19:$AI20,"4",$E19:$AI20)+SUMIF($E19:$AI20,"8",$E19:$AI20)-8,SUMIF($E19:$AI20,"4",$E19:$AI20)+SUMIF($E19:$AI20,"8",$E19:$AI20))</f>
        <v>96</v>
      </c>
      <c r="AT19" s="136">
        <f t="shared" ref="AT19" ca="1" si="29">$AR19+$AS19</f>
        <v>180</v>
      </c>
      <c r="AU19" s="136" t="str">
        <f t="shared" ref="AU19" ca="1" si="30">IF(AK19=AT19,"+","!")</f>
        <v>!</v>
      </c>
      <c r="AV19" s="136">
        <f t="shared" ref="AV19" ca="1" si="31">COUNTIF($E19:$AI20,"ОТ")</f>
        <v>0</v>
      </c>
      <c r="AW19" s="137" t="str">
        <f ca="1">IF(COUNTIF($A20:$AI20,"СП")&gt;0,IF(INDIRECT(ADDRESS(ROW(),MATCH("СП",$A20:$AI20),1))=8,"","!"),"")</f>
        <v/>
      </c>
      <c r="AX19" s="137" t="str">
        <f ca="1">IF(COUNTIF($A20:$AI20,"СП")&gt;0,IF(INDIRECT(ADDRESS(ROW(),MATCH("СП",$A20:$AI20)-1,1))=4,"!",""),"")</f>
        <v>!</v>
      </c>
    </row>
    <row r="20" spans="1:50" ht="16.5" thickBot="1" x14ac:dyDescent="0.3">
      <c r="A20" s="147"/>
      <c r="B20" s="139"/>
      <c r="C20" s="142"/>
      <c r="D20" s="50">
        <v>2</v>
      </c>
      <c r="E20" s="63" t="str">
        <f>INDEX(Д2!$E$4:$AI$13,MATCH($D20,Д2!$D$4:$D$13),MATCH(E$7,Д2!$E$3:$AI$3))</f>
        <v>СП</v>
      </c>
      <c r="F20" s="29" t="str">
        <f>INDEX(Д2!$E$4:$AI$13,MATCH($D20,Д2!$D$4:$D$13),MATCH(F$7,Д2!$E$3:$AI$3))</f>
        <v/>
      </c>
      <c r="G20" s="29" t="str">
        <f>INDEX(Д2!$E$4:$AI$13,MATCH($D20,Д2!$D$4:$D$13),MATCH(G$7,Д2!$E$3:$AI$3))</f>
        <v/>
      </c>
      <c r="H20" s="29" t="str">
        <f>INDEX(Д2!$E$4:$AI$13,MATCH($D20,Д2!$D$4:$D$13),MATCH(H$7,Д2!$E$3:$AI$3))</f>
        <v/>
      </c>
      <c r="I20" s="29" t="str">
        <f>INDEX(Д2!$E$4:$AI$13,MATCH($D20,Д2!$D$4:$D$13),MATCH(I$7,Д2!$E$3:$AI$3))</f>
        <v/>
      </c>
      <c r="J20" s="29" t="str">
        <f>INDEX(Д2!$E$4:$AI$13,MATCH($D20,Д2!$D$4:$D$13),MATCH(J$7,Д2!$E$3:$AI$3))</f>
        <v/>
      </c>
      <c r="K20" s="29" t="str">
        <f>INDEX(Д2!$E$4:$AI$13,MATCH($D20,Д2!$D$4:$D$13),MATCH(K$7,Д2!$E$3:$AI$3))</f>
        <v/>
      </c>
      <c r="L20" s="29" t="str">
        <f>INDEX(Д2!$E$4:$AI$13,MATCH($D20,Д2!$D$4:$D$13),MATCH(L$7,Д2!$E$3:$AI$3))</f>
        <v/>
      </c>
      <c r="M20" s="29" t="str">
        <f>INDEX(Д2!$E$4:$AI$13,MATCH($D20,Д2!$D$4:$D$13),MATCH(M$7,Д2!$E$3:$AI$3))</f>
        <v/>
      </c>
      <c r="N20" s="29" t="str">
        <f>INDEX(Д2!$E$4:$AI$13,MATCH($D20,Д2!$D$4:$D$13),MATCH(N$7,Д2!$E$3:$AI$3))</f>
        <v/>
      </c>
      <c r="O20" s="29" t="str">
        <f>INDEX(Д2!$E$4:$AI$13,MATCH($D20,Д2!$D$4:$D$13),MATCH(O$7,Д2!$E$3:$AI$3))</f>
        <v/>
      </c>
      <c r="P20" s="29" t="str">
        <f>INDEX(Д2!$E$4:$AI$13,MATCH($D20,Д2!$D$4:$D$13),MATCH(P$7,Д2!$E$3:$AI$3))</f>
        <v/>
      </c>
      <c r="Q20" s="29" t="str">
        <f>INDEX(Д2!$E$4:$AI$13,MATCH($D20,Д2!$D$4:$D$13),MATCH(Q$7,Д2!$E$3:$AI$3))</f>
        <v/>
      </c>
      <c r="R20" s="29" t="str">
        <f>INDEX(Д2!$E$4:$AI$13,MATCH($D20,Д2!$D$4:$D$13),MATCH(R$7,Д2!$E$3:$AI$3))</f>
        <v/>
      </c>
      <c r="S20" s="29" t="str">
        <f>INDEX(Д2!$E$4:$AI$13,MATCH($D20,Д2!$D$4:$D$13),MATCH(S$7,Д2!$E$3:$AI$3))</f>
        <v/>
      </c>
      <c r="T20" s="29" t="str">
        <f>INDEX(Д2!$E$4:$AI$13,MATCH($D20,Д2!$D$4:$D$13),MATCH(T$7,Д2!$E$3:$AI$3))</f>
        <v/>
      </c>
      <c r="U20" s="29" t="str">
        <f>INDEX(Д2!$E$4:$AI$13,MATCH($D20,Д2!$D$4:$D$13),MATCH(U$7,Д2!$E$3:$AI$3))</f>
        <v/>
      </c>
      <c r="V20" s="29" t="str">
        <f>INDEX(Д2!$E$4:$AI$13,MATCH($D20,Д2!$D$4:$D$13),MATCH(V$7,Д2!$E$3:$AI$3))</f>
        <v/>
      </c>
      <c r="W20" s="29" t="str">
        <f>INDEX(Д2!$E$4:$AI$13,MATCH($D20,Д2!$D$4:$D$13),MATCH(W$7,Д2!$E$3:$AI$3))</f>
        <v/>
      </c>
      <c r="X20" s="29" t="str">
        <f>INDEX(Д2!$E$4:$AI$13,MATCH($D20,Д2!$D$4:$D$13),MATCH(X$7,Д2!$E$3:$AI$3))</f>
        <v/>
      </c>
      <c r="Y20" s="29" t="str">
        <f>INDEX(Д2!$E$4:$AI$13,MATCH($D20,Д2!$D$4:$D$13),MATCH(Y$7,Д2!$E$3:$AI$3))</f>
        <v/>
      </c>
      <c r="Z20" s="29" t="str">
        <f>INDEX(Д2!$E$4:$AI$13,MATCH($D20,Д2!$D$4:$D$13),MATCH(Z$7,Д2!$E$3:$AI$3))</f>
        <v/>
      </c>
      <c r="AA20" s="29" t="str">
        <f>INDEX(Д2!$E$4:$AI$13,MATCH($D20,Д2!$D$4:$D$13),MATCH(AA$7,Д2!$E$3:$AI$3))</f>
        <v/>
      </c>
      <c r="AB20" s="29" t="str">
        <f>INDEX(Д2!$E$4:$AI$13,MATCH($D20,Д2!$D$4:$D$13),MATCH(AB$7,Д2!$E$3:$AI$3))</f>
        <v/>
      </c>
      <c r="AC20" s="29" t="str">
        <f>INDEX(Д2!$E$4:$AI$13,MATCH($D20,Д2!$D$4:$D$13),MATCH(AC$7,Д2!$E$3:$AI$3))</f>
        <v/>
      </c>
      <c r="AD20" s="29" t="str">
        <f>INDEX(Д2!$E$4:$AI$13,MATCH($D20,Д2!$D$4:$D$13),MATCH(AD$7,Д2!$E$3:$AI$3))</f>
        <v/>
      </c>
      <c r="AE20" s="29" t="str">
        <f>INDEX(Д2!$E$4:$AI$13,MATCH($D20,Д2!$D$4:$D$13),MATCH(AE$7,Д2!$E$3:$AI$3))</f>
        <v/>
      </c>
      <c r="AF20" s="29" t="str">
        <f>INDEX(Д2!$E$4:$AI$13,MATCH($D20,Д2!$D$4:$D$13),MATCH(AF$7,Д2!$E$3:$AI$3))</f>
        <v/>
      </c>
      <c r="AG20" s="29" t="str">
        <f>INDEX(Д2!$E$4:$AI$13,MATCH($D20,Д2!$D$4:$D$13),MATCH(AG$7,Д2!$E$3:$AI$3))</f>
        <v/>
      </c>
      <c r="AH20" s="29" t="str">
        <f>INDEX(Д2!$E$4:$AI$13,MATCH($D20,Д2!$D$4:$D$13),MATCH(AH$7,Д2!$E$3:$AI$3))</f>
        <v/>
      </c>
      <c r="AI20" s="61" t="str">
        <f>INDEX(Д2!$E$4:$AI$13,MATCH($D20,Д2!$D$4:$D$13),MATCH(AI$7,Д2!$E$3:$AI$3))</f>
        <v/>
      </c>
      <c r="AJ20" s="143"/>
      <c r="AK20" s="145"/>
      <c r="AL20" s="145" t="s">
        <v>17</v>
      </c>
      <c r="AM20" s="150"/>
      <c r="AP20" s="136"/>
      <c r="AQ20" s="136"/>
      <c r="AR20" s="136"/>
      <c r="AS20" s="136"/>
      <c r="AT20" s="136"/>
      <c r="AU20" s="136"/>
      <c r="AV20" s="136"/>
      <c r="AW20" s="137"/>
      <c r="AX20" s="137"/>
    </row>
    <row r="21" spans="1:50" ht="16.5" customHeight="1" thickBot="1" x14ac:dyDescent="0.3">
      <c r="A21" s="147"/>
      <c r="B21" s="139" t="s">
        <v>86</v>
      </c>
      <c r="C21" s="141">
        <v>2</v>
      </c>
      <c r="D21" s="49">
        <v>3</v>
      </c>
      <c r="E21" s="64">
        <f ca="1">INDEX(Д2!$E$4:$AI$13,MATCH($D21,Д2!$D$4:$D$13),MATCH(E$7,Д2!$E$3:$AI$3))</f>
        <v>4</v>
      </c>
      <c r="F21" s="27">
        <f ca="1">INDEX(Д2!$E$4:$AI$13,MATCH($D21,Д2!$D$4:$D$13),MATCH(F$7,Д2!$E$3:$AI$3))</f>
        <v>8</v>
      </c>
      <c r="G21" s="27">
        <f ca="1">INDEX(Д2!$E$4:$AI$13,MATCH($D21,Д2!$D$4:$D$13),MATCH(G$7,Д2!$E$3:$AI$3))</f>
        <v>12</v>
      </c>
      <c r="H21" s="27">
        <f ca="1">INDEX(Д2!$E$4:$AI$13,MATCH($D21,Д2!$D$4:$D$13),MATCH(H$7,Д2!$E$3:$AI$3))</f>
        <v>4</v>
      </c>
      <c r="I21" s="27">
        <f ca="1">INDEX(Д2!$E$4:$AI$13,MATCH($D21,Д2!$D$4:$D$13),MATCH(I$7,Д2!$E$3:$AI$3))</f>
        <v>8</v>
      </c>
      <c r="J21" s="27">
        <f ca="1">INDEX(Д2!$E$4:$AI$13,MATCH($D21,Д2!$D$4:$D$13),MATCH(J$7,Д2!$E$3:$AI$3))</f>
        <v>12</v>
      </c>
      <c r="K21" s="27">
        <f ca="1">INDEX(Д2!$E$4:$AI$13,MATCH($D21,Д2!$D$4:$D$13),MATCH(K$7,Д2!$E$3:$AI$3))</f>
        <v>0</v>
      </c>
      <c r="L21" s="27">
        <f ca="1">INDEX(Д2!$E$4:$AI$13,MATCH($D21,Д2!$D$4:$D$13),MATCH(L$7,Д2!$E$3:$AI$3))</f>
        <v>0</v>
      </c>
      <c r="M21" s="27">
        <f ca="1">INDEX(Д2!$E$4:$AI$13,MATCH($D21,Д2!$D$4:$D$13),MATCH(M$7,Д2!$E$3:$AI$3))</f>
        <v>4</v>
      </c>
      <c r="N21" s="27">
        <f ca="1">INDEX(Д2!$E$4:$AI$13,MATCH($D21,Д2!$D$4:$D$13),MATCH(N$7,Д2!$E$3:$AI$3))</f>
        <v>8</v>
      </c>
      <c r="O21" s="27">
        <f ca="1">INDEX(Д2!$E$4:$AI$13,MATCH($D21,Д2!$D$4:$D$13),MATCH(O$7,Д2!$E$3:$AI$3))</f>
        <v>12</v>
      </c>
      <c r="P21" s="27">
        <f ca="1">INDEX(Д2!$E$4:$AI$13,MATCH($D21,Д2!$D$4:$D$13),MATCH(P$7,Д2!$E$3:$AI$3))</f>
        <v>4</v>
      </c>
      <c r="Q21" s="27">
        <f ca="1">INDEX(Д2!$E$4:$AI$13,MATCH($D21,Д2!$D$4:$D$13),MATCH(Q$7,Д2!$E$3:$AI$3))</f>
        <v>8</v>
      </c>
      <c r="R21" s="27">
        <f ca="1">INDEX(Д2!$E$4:$AI$13,MATCH($D21,Д2!$D$4:$D$13),MATCH(R$7,Д2!$E$3:$AI$3))</f>
        <v>12</v>
      </c>
      <c r="S21" s="27">
        <f ca="1">INDEX(Д2!$E$4:$AI$13,MATCH($D21,Д2!$D$4:$D$13),MATCH(S$7,Д2!$E$3:$AI$3))</f>
        <v>0</v>
      </c>
      <c r="T21" s="27">
        <f ca="1">INDEX(Д2!$E$4:$AI$13,MATCH($D21,Д2!$D$4:$D$13),MATCH(T$7,Д2!$E$3:$AI$3))</f>
        <v>0</v>
      </c>
      <c r="U21" s="27">
        <f ca="1">INDEX(Д2!$E$4:$AI$13,MATCH($D21,Д2!$D$4:$D$13),MATCH(U$7,Д2!$E$3:$AI$3))</f>
        <v>4</v>
      </c>
      <c r="V21" s="27">
        <f ca="1">INDEX(Д2!$E$4:$AI$13,MATCH($D21,Д2!$D$4:$D$13),MATCH(V$7,Д2!$E$3:$AI$3))</f>
        <v>8</v>
      </c>
      <c r="W21" s="27">
        <f ca="1">INDEX(Д2!$E$4:$AI$13,MATCH($D21,Д2!$D$4:$D$13),MATCH(W$7,Д2!$E$3:$AI$3))</f>
        <v>12</v>
      </c>
      <c r="X21" s="27">
        <f ca="1">INDEX(Д2!$E$4:$AI$13,MATCH($D21,Д2!$D$4:$D$13),MATCH(X$7,Д2!$E$3:$AI$3))</f>
        <v>4</v>
      </c>
      <c r="Y21" s="27">
        <f ca="1">INDEX(Д2!$E$4:$AI$13,MATCH($D21,Д2!$D$4:$D$13),MATCH(Y$7,Д2!$E$3:$AI$3))</f>
        <v>8</v>
      </c>
      <c r="Z21" s="27">
        <f ca="1">INDEX(Д2!$E$4:$AI$13,MATCH($D21,Д2!$D$4:$D$13),MATCH(Z$7,Д2!$E$3:$AI$3))</f>
        <v>12</v>
      </c>
      <c r="AA21" s="27">
        <f ca="1">INDEX(Д2!$E$4:$AI$13,MATCH($D21,Д2!$D$4:$D$13),MATCH(AA$7,Д2!$E$3:$AI$3))</f>
        <v>0</v>
      </c>
      <c r="AB21" s="27">
        <f ca="1">INDEX(Д2!$E$4:$AI$13,MATCH($D21,Д2!$D$4:$D$13),MATCH(AB$7,Д2!$E$3:$AI$3))</f>
        <v>0</v>
      </c>
      <c r="AC21" s="27">
        <f ca="1">INDEX(Д2!$E$4:$AI$13,MATCH($D21,Д2!$D$4:$D$13),MATCH(AC$7,Д2!$E$3:$AI$3))</f>
        <v>4</v>
      </c>
      <c r="AD21" s="27">
        <f ca="1">INDEX(Д2!$E$4:$AI$13,MATCH($D21,Д2!$D$4:$D$13),MATCH(AD$7,Д2!$E$3:$AI$3))</f>
        <v>8</v>
      </c>
      <c r="AE21" s="27">
        <f ca="1">INDEX(Д2!$E$4:$AI$13,MATCH($D21,Д2!$D$4:$D$13),MATCH(AE$7,Д2!$E$3:$AI$3))</f>
        <v>12</v>
      </c>
      <c r="AF21" s="27">
        <f ca="1">INDEX(Д2!$E$4:$AI$13,MATCH($D21,Д2!$D$4:$D$13),MATCH(AF$7,Д2!$E$3:$AI$3))</f>
        <v>4</v>
      </c>
      <c r="AG21" s="27">
        <f ca="1">INDEX(Д2!$E$4:$AI$13,MATCH($D21,Д2!$D$4:$D$13),MATCH(AG$7,Д2!$E$3:$AI$3))</f>
        <v>8</v>
      </c>
      <c r="AH21" s="27">
        <f ca="1">INDEX(Д2!$E$4:$AI$13,MATCH($D21,Д2!$D$4:$D$13),MATCH(AH$7,Д2!$E$3:$AI$3))</f>
        <v>12</v>
      </c>
      <c r="AI21" s="32">
        <f ca="1">INDEX(Д2!$E$4:$AI$13,MATCH($D21,Д2!$D$4:$D$13),MATCH(AI$7,Д2!$E$3:$AI$3))</f>
        <v>0</v>
      </c>
      <c r="AJ21" s="143">
        <f>INDEX(Д2!AK$4:$AK$13,MATCH($C21,Д2!$C$4:$C$13),MATCH(E$7,Д2!$E$3:$AI$3))*AND(MONTH($E$8)=MONTH(Д2!$B$4))</f>
        <v>136</v>
      </c>
      <c r="AK21" s="144">
        <f ca="1">SUM(E21:AI22)</f>
        <v>192</v>
      </c>
      <c r="AL21" s="144"/>
      <c r="AM21" s="149">
        <f ca="1">SUM(F21:H22,J21:AI22)-AJ21+AL21-12</f>
        <v>32</v>
      </c>
      <c r="AP21" s="136">
        <f t="shared" ref="AP21" ca="1" si="32">COUNTIF($E21:$AI22,"12")</f>
        <v>8</v>
      </c>
      <c r="AQ21" s="136">
        <f t="shared" ref="AQ21" ca="1" si="33">IF(COUNTIF($E21:$AI22,"СП")&gt;=1,(COUNTIF($E21:$AI22,"4")+COUNTIF($E21:$AI22,"8")-1)/2,(COUNTIF($E21:$AI22,"4")+COUNTIF($E21:$AI22,"8"))/2)</f>
        <v>7.5</v>
      </c>
      <c r="AR21" s="136">
        <f t="shared" ca="1" si="2"/>
        <v>96</v>
      </c>
      <c r="AS21" s="136">
        <f t="shared" ref="AS21" ca="1" si="34">IF(COUNTIF($E21:$AI22,"СП")&gt;=1,SUMIF($E21:$AI22,"4",$E21:$AI22)+SUMIF($E21:$AI22,"8",$E21:$AI22)-8,SUMIF($E21:$AI22,"4",$E21:$AI22)+SUMIF($E21:$AI22,"8",$E21:$AI22))</f>
        <v>88</v>
      </c>
      <c r="AT21" s="136">
        <f t="shared" ref="AT21" ca="1" si="35">$AR21+$AS21</f>
        <v>184</v>
      </c>
      <c r="AU21" s="136" t="str">
        <f t="shared" ref="AU21" ca="1" si="36">IF(AK21=AT21,"+","!")</f>
        <v>!</v>
      </c>
      <c r="AV21" s="136">
        <f t="shared" ref="AV21" ca="1" si="37">COUNTIF($E21:$AI22,"ОТ")</f>
        <v>0</v>
      </c>
      <c r="AW21" s="137" t="str">
        <f ca="1">IF(COUNTIF($A22:$AI22,"СП")&gt;0,IF(INDIRECT(ADDRESS(ROW(),MATCH("СП",$A22:$AI22),1))=8,"","!"),"")</f>
        <v>!</v>
      </c>
      <c r="AX21" s="137" t="str">
        <f ca="1">IF(COUNTIF($A22:$AI22,"СП")&gt;0,IF(INDIRECT(ADDRESS(ROW(),MATCH("СП",$A22:$AI22)-1,1))=4,"!",""),"")</f>
        <v/>
      </c>
    </row>
    <row r="22" spans="1:50" ht="16.5" thickBot="1" x14ac:dyDescent="0.3">
      <c r="A22" s="147"/>
      <c r="B22" s="139"/>
      <c r="C22" s="142"/>
      <c r="D22" s="50">
        <v>4</v>
      </c>
      <c r="E22" s="65" t="str">
        <f>INDEX(Д2!$E$4:$AI$13,MATCH($D22,Д2!$D$4:$D$13),MATCH(E$7,Д2!$E$3:$AI$3))</f>
        <v/>
      </c>
      <c r="F22" s="30" t="str">
        <f>INDEX(Д2!$E$4:$AI$13,MATCH($D22,Д2!$D$4:$D$13),MATCH(F$7,Д2!$E$3:$AI$3))</f>
        <v>СП</v>
      </c>
      <c r="G22" s="30" t="str">
        <f>INDEX(Д2!$E$4:$AI$13,MATCH($D22,Д2!$D$4:$D$13),MATCH(G$7,Д2!$E$3:$AI$3))</f>
        <v/>
      </c>
      <c r="H22" s="30" t="str">
        <f>INDEX(Д2!$E$4:$AI$13,MATCH($D22,Д2!$D$4:$D$13),MATCH(H$7,Д2!$E$3:$AI$3))</f>
        <v/>
      </c>
      <c r="I22" s="30" t="str">
        <f>INDEX(Д2!$E$4:$AI$13,MATCH($D22,Д2!$D$4:$D$13),MATCH(I$7,Д2!$E$3:$AI$3))</f>
        <v/>
      </c>
      <c r="J22" s="30" t="str">
        <f>INDEX(Д2!$E$4:$AI$13,MATCH($D22,Д2!$D$4:$D$13),MATCH(J$7,Д2!$E$3:$AI$3))</f>
        <v/>
      </c>
      <c r="K22" s="30" t="str">
        <f>INDEX(Д2!$E$4:$AI$13,MATCH($D22,Д2!$D$4:$D$13),MATCH(K$7,Д2!$E$3:$AI$3))</f>
        <v/>
      </c>
      <c r="L22" s="30" t="str">
        <f>INDEX(Д2!$E$4:$AI$13,MATCH($D22,Д2!$D$4:$D$13),MATCH(L$7,Д2!$E$3:$AI$3))</f>
        <v/>
      </c>
      <c r="M22" s="30" t="str">
        <f>INDEX(Д2!$E$4:$AI$13,MATCH($D22,Д2!$D$4:$D$13),MATCH(M$7,Д2!$E$3:$AI$3))</f>
        <v/>
      </c>
      <c r="N22" s="30" t="str">
        <f>INDEX(Д2!$E$4:$AI$13,MATCH($D22,Д2!$D$4:$D$13),MATCH(N$7,Д2!$E$3:$AI$3))</f>
        <v/>
      </c>
      <c r="O22" s="30" t="str">
        <f>INDEX(Д2!$E$4:$AI$13,MATCH($D22,Д2!$D$4:$D$13),MATCH(O$7,Д2!$E$3:$AI$3))</f>
        <v/>
      </c>
      <c r="P22" s="30" t="str">
        <f>INDEX(Д2!$E$4:$AI$13,MATCH($D22,Д2!$D$4:$D$13),MATCH(P$7,Д2!$E$3:$AI$3))</f>
        <v/>
      </c>
      <c r="Q22" s="30" t="str">
        <f>INDEX(Д2!$E$4:$AI$13,MATCH($D22,Д2!$D$4:$D$13),MATCH(Q$7,Д2!$E$3:$AI$3))</f>
        <v/>
      </c>
      <c r="R22" s="30" t="str">
        <f>INDEX(Д2!$E$4:$AI$13,MATCH($D22,Д2!$D$4:$D$13),MATCH(R$7,Д2!$E$3:$AI$3))</f>
        <v/>
      </c>
      <c r="S22" s="30" t="str">
        <f>INDEX(Д2!$E$4:$AI$13,MATCH($D22,Д2!$D$4:$D$13),MATCH(S$7,Д2!$E$3:$AI$3))</f>
        <v/>
      </c>
      <c r="T22" s="30" t="str">
        <f>INDEX(Д2!$E$4:$AI$13,MATCH($D22,Д2!$D$4:$D$13),MATCH(T$7,Д2!$E$3:$AI$3))</f>
        <v/>
      </c>
      <c r="U22" s="30" t="str">
        <f>INDEX(Д2!$E$4:$AI$13,MATCH($D22,Д2!$D$4:$D$13),MATCH(U$7,Д2!$E$3:$AI$3))</f>
        <v/>
      </c>
      <c r="V22" s="30" t="str">
        <f>INDEX(Д2!$E$4:$AI$13,MATCH($D22,Д2!$D$4:$D$13),MATCH(V$7,Д2!$E$3:$AI$3))</f>
        <v/>
      </c>
      <c r="W22" s="30" t="str">
        <f>INDEX(Д2!$E$4:$AI$13,MATCH($D22,Д2!$D$4:$D$13),MATCH(W$7,Д2!$E$3:$AI$3))</f>
        <v/>
      </c>
      <c r="X22" s="30" t="str">
        <f>INDEX(Д2!$E$4:$AI$13,MATCH($D22,Д2!$D$4:$D$13),MATCH(X$7,Д2!$E$3:$AI$3))</f>
        <v/>
      </c>
      <c r="Y22" s="30" t="str">
        <f>INDEX(Д2!$E$4:$AI$13,MATCH($D22,Д2!$D$4:$D$13),MATCH(Y$7,Д2!$E$3:$AI$3))</f>
        <v/>
      </c>
      <c r="Z22" s="30" t="str">
        <f>INDEX(Д2!$E$4:$AI$13,MATCH($D22,Д2!$D$4:$D$13),MATCH(Z$7,Д2!$E$3:$AI$3))</f>
        <v/>
      </c>
      <c r="AA22" s="30" t="str">
        <f>INDEX(Д2!$E$4:$AI$13,MATCH($D22,Д2!$D$4:$D$13),MATCH(AA$7,Д2!$E$3:$AI$3))</f>
        <v/>
      </c>
      <c r="AB22" s="30" t="str">
        <f>INDEX(Д2!$E$4:$AI$13,MATCH($D22,Д2!$D$4:$D$13),MATCH(AB$7,Д2!$E$3:$AI$3))</f>
        <v/>
      </c>
      <c r="AC22" s="30" t="str">
        <f>INDEX(Д2!$E$4:$AI$13,MATCH($D22,Д2!$D$4:$D$13),MATCH(AC$7,Д2!$E$3:$AI$3))</f>
        <v/>
      </c>
      <c r="AD22" s="30" t="str">
        <f>INDEX(Д2!$E$4:$AI$13,MATCH($D22,Д2!$D$4:$D$13),MATCH(AD$7,Д2!$E$3:$AI$3))</f>
        <v/>
      </c>
      <c r="AE22" s="30" t="str">
        <f>INDEX(Д2!$E$4:$AI$13,MATCH($D22,Д2!$D$4:$D$13),MATCH(AE$7,Д2!$E$3:$AI$3))</f>
        <v/>
      </c>
      <c r="AF22" s="30" t="str">
        <f>INDEX(Д2!$E$4:$AI$13,MATCH($D22,Д2!$D$4:$D$13),MATCH(AF$7,Д2!$E$3:$AI$3))</f>
        <v/>
      </c>
      <c r="AG22" s="30" t="str">
        <f>INDEX(Д2!$E$4:$AI$13,MATCH($D22,Д2!$D$4:$D$13),MATCH(AG$7,Д2!$E$3:$AI$3))</f>
        <v/>
      </c>
      <c r="AH22" s="30" t="str">
        <f>INDEX(Д2!$E$4:$AI$13,MATCH($D22,Д2!$D$4:$D$13),MATCH(AH$7,Д2!$E$3:$AI$3))</f>
        <v/>
      </c>
      <c r="AI22" s="33" t="str">
        <f>INDEX(Д2!$E$4:$AI$13,MATCH($D22,Д2!$D$4:$D$13),MATCH(AI$7,Д2!$E$3:$AI$3))</f>
        <v/>
      </c>
      <c r="AJ22" s="143"/>
      <c r="AK22" s="145"/>
      <c r="AL22" s="145"/>
      <c r="AM22" s="150"/>
      <c r="AP22" s="136"/>
      <c r="AQ22" s="136"/>
      <c r="AR22" s="136"/>
      <c r="AS22" s="136"/>
      <c r="AT22" s="136"/>
      <c r="AU22" s="136"/>
      <c r="AV22" s="136"/>
      <c r="AW22" s="137"/>
      <c r="AX22" s="137"/>
    </row>
    <row r="23" spans="1:50" ht="16.5" customHeight="1" thickBot="1" x14ac:dyDescent="0.3">
      <c r="A23" s="147"/>
      <c r="B23" s="139" t="s">
        <v>87</v>
      </c>
      <c r="C23" s="141">
        <v>3</v>
      </c>
      <c r="D23" s="49">
        <v>5</v>
      </c>
      <c r="E23" s="62">
        <f ca="1">INDEX(Д2!$E$4:$AI$13,MATCH($D23,Д2!$D$4:$D$13),MATCH(E$7,Д2!$E$3:$AI$3))</f>
        <v>8</v>
      </c>
      <c r="F23" s="28">
        <f ca="1">INDEX(Д2!$E$4:$AI$13,MATCH($D23,Д2!$D$4:$D$13),MATCH(F$7,Д2!$E$3:$AI$3))</f>
        <v>12</v>
      </c>
      <c r="G23" s="28">
        <f ca="1">INDEX(Д2!$E$4:$AI$13,MATCH($D23,Д2!$D$4:$D$13),MATCH(G$7,Д2!$E$3:$AI$3))</f>
        <v>8</v>
      </c>
      <c r="H23" s="28">
        <f ca="1">INDEX(Д2!$E$4:$AI$13,MATCH($D23,Д2!$D$4:$D$13),MATCH(H$7,Д2!$E$3:$AI$3))</f>
        <v>0</v>
      </c>
      <c r="I23" s="28">
        <f ca="1">INDEX(Д2!$E$4:$AI$13,MATCH($D23,Д2!$D$4:$D$13),MATCH(I$7,Д2!$E$3:$AI$3))</f>
        <v>4</v>
      </c>
      <c r="J23" s="28">
        <f ca="1">INDEX(Д2!$E$4:$AI$13,MATCH($D23,Д2!$D$4:$D$13),MATCH(J$7,Д2!$E$3:$AI$3))</f>
        <v>8</v>
      </c>
      <c r="K23" s="28">
        <f ca="1">INDEX(Д2!$E$4:$AI$13,MATCH($D23,Д2!$D$4:$D$13),MATCH(K$7,Д2!$E$3:$AI$3))</f>
        <v>12</v>
      </c>
      <c r="L23" s="28">
        <f ca="1">INDEX(Д2!$E$4:$AI$13,MATCH($D23,Д2!$D$4:$D$13),MATCH(L$7,Д2!$E$3:$AI$3))</f>
        <v>4</v>
      </c>
      <c r="M23" s="28">
        <f ca="1">INDEX(Д2!$E$4:$AI$13,MATCH($D23,Д2!$D$4:$D$13),MATCH(M$7,Д2!$E$3:$AI$3))</f>
        <v>8</v>
      </c>
      <c r="N23" s="28">
        <f ca="1">INDEX(Д2!$E$4:$AI$13,MATCH($D23,Д2!$D$4:$D$13),MATCH(N$7,Д2!$E$3:$AI$3))</f>
        <v>12</v>
      </c>
      <c r="O23" s="28">
        <f ca="1">INDEX(Д2!$E$4:$AI$13,MATCH($D23,Д2!$D$4:$D$13),MATCH(O$7,Д2!$E$3:$AI$3))</f>
        <v>0</v>
      </c>
      <c r="P23" s="28">
        <f ca="1">INDEX(Д2!$E$4:$AI$13,MATCH($D23,Д2!$D$4:$D$13),MATCH(P$7,Д2!$E$3:$AI$3))</f>
        <v>0</v>
      </c>
      <c r="Q23" s="28">
        <f ca="1">INDEX(Д2!$E$4:$AI$13,MATCH($D23,Д2!$D$4:$D$13),MATCH(Q$7,Д2!$E$3:$AI$3))</f>
        <v>4</v>
      </c>
      <c r="R23" s="28">
        <f ca="1">INDEX(Д2!$E$4:$AI$13,MATCH($D23,Д2!$D$4:$D$13),MATCH(R$7,Д2!$E$3:$AI$3))</f>
        <v>8</v>
      </c>
      <c r="S23" s="28">
        <f ca="1">INDEX(Д2!$E$4:$AI$13,MATCH($D23,Д2!$D$4:$D$13),MATCH(S$7,Д2!$E$3:$AI$3))</f>
        <v>12</v>
      </c>
      <c r="T23" s="28">
        <f ca="1">INDEX(Д2!$E$4:$AI$13,MATCH($D23,Д2!$D$4:$D$13),MATCH(T$7,Д2!$E$3:$AI$3))</f>
        <v>4</v>
      </c>
      <c r="U23" s="28">
        <f ca="1">INDEX(Д2!$E$4:$AI$13,MATCH($D23,Д2!$D$4:$D$13),MATCH(U$7,Д2!$E$3:$AI$3))</f>
        <v>8</v>
      </c>
      <c r="V23" s="28">
        <f ca="1">INDEX(Д2!$E$4:$AI$13,MATCH($D23,Д2!$D$4:$D$13),MATCH(V$7,Д2!$E$3:$AI$3))</f>
        <v>12</v>
      </c>
      <c r="W23" s="28">
        <f ca="1">INDEX(Д2!$E$4:$AI$13,MATCH($D23,Д2!$D$4:$D$13),MATCH(W$7,Д2!$E$3:$AI$3))</f>
        <v>0</v>
      </c>
      <c r="X23" s="28">
        <f ca="1">INDEX(Д2!$E$4:$AI$13,MATCH($D23,Д2!$D$4:$D$13),MATCH(X$7,Д2!$E$3:$AI$3))</f>
        <v>0</v>
      </c>
      <c r="Y23" s="28">
        <f ca="1">INDEX(Д2!$E$4:$AI$13,MATCH($D23,Д2!$D$4:$D$13),MATCH(Y$7,Д2!$E$3:$AI$3))</f>
        <v>4</v>
      </c>
      <c r="Z23" s="28">
        <f ca="1">INDEX(Д2!$E$4:$AI$13,MATCH($D23,Д2!$D$4:$D$13),MATCH(Z$7,Д2!$E$3:$AI$3))</f>
        <v>8</v>
      </c>
      <c r="AA23" s="28">
        <f ca="1">INDEX(Д2!$E$4:$AI$13,MATCH($D23,Д2!$D$4:$D$13),MATCH(AA$7,Д2!$E$3:$AI$3))</f>
        <v>12</v>
      </c>
      <c r="AB23" s="28">
        <f ca="1">INDEX(Д2!$E$4:$AI$13,MATCH($D23,Д2!$D$4:$D$13),MATCH(AB$7,Д2!$E$3:$AI$3))</f>
        <v>4</v>
      </c>
      <c r="AC23" s="28">
        <f ca="1">INDEX(Д2!$E$4:$AI$13,MATCH($D23,Д2!$D$4:$D$13),MATCH(AC$7,Д2!$E$3:$AI$3))</f>
        <v>8</v>
      </c>
      <c r="AD23" s="28">
        <f ca="1">INDEX(Д2!$E$4:$AI$13,MATCH($D23,Д2!$D$4:$D$13),MATCH(AD$7,Д2!$E$3:$AI$3))</f>
        <v>12</v>
      </c>
      <c r="AE23" s="28">
        <f ca="1">INDEX(Д2!$E$4:$AI$13,MATCH($D23,Д2!$D$4:$D$13),MATCH(AE$7,Д2!$E$3:$AI$3))</f>
        <v>0</v>
      </c>
      <c r="AF23" s="28">
        <f ca="1">INDEX(Д2!$E$4:$AI$13,MATCH($D23,Д2!$D$4:$D$13),MATCH(AF$7,Д2!$E$3:$AI$3))</f>
        <v>0</v>
      </c>
      <c r="AG23" s="28">
        <f ca="1">INDEX(Д2!$E$4:$AI$13,MATCH($D23,Д2!$D$4:$D$13),MATCH(AG$7,Д2!$E$3:$AI$3))</f>
        <v>4</v>
      </c>
      <c r="AH23" s="28">
        <f ca="1">INDEX(Д2!$E$4:$AI$13,MATCH($D23,Д2!$D$4:$D$13),MATCH(AH$7,Д2!$E$3:$AI$3))</f>
        <v>8</v>
      </c>
      <c r="AI23" s="60">
        <f ca="1">INDEX(Д2!$E$4:$AI$13,MATCH($D23,Д2!$D$4:$D$13),MATCH(AI$7,Д2!$E$3:$AI$3))</f>
        <v>12</v>
      </c>
      <c r="AJ23" s="143">
        <f>INDEX(Д2!AK$4:$AK$13,MATCH($C23,Д2!$C$4:$C$13),MATCH(E$7,Д2!$E$3:$AI$3))*AND(MONTH($E$8)=MONTH(Д2!$B$4))</f>
        <v>136</v>
      </c>
      <c r="AK23" s="144">
        <f ca="1">SUM(E23:AI24)</f>
        <v>196</v>
      </c>
      <c r="AL23" s="144"/>
      <c r="AM23" s="149">
        <f ca="1">SUM(F23:H24,J23:AI24)-AJ23+AL23-12</f>
        <v>36</v>
      </c>
      <c r="AP23" s="136">
        <f t="shared" ref="AP23" ca="1" si="38">COUNTIF($E23:$AI24,"12")</f>
        <v>8</v>
      </c>
      <c r="AQ23" s="136">
        <f t="shared" ref="AQ23" ca="1" si="39">IF(COUNTIF($E23:$AI24,"СП")&gt;=1,(COUNTIF($E23:$AI24,"4")+COUNTIF($E23:$AI24,"8")-1)/2,(COUNTIF($E23:$AI24,"4")+COUNTIF($E23:$AI24,"8"))/2)</f>
        <v>7.5</v>
      </c>
      <c r="AR23" s="136">
        <f t="shared" ca="1" si="2"/>
        <v>96</v>
      </c>
      <c r="AS23" s="136">
        <f t="shared" ref="AS23" ca="1" si="40">IF(COUNTIF($E23:$AI24,"СП")&gt;=1,SUMIF($E23:$AI24,"4",$E23:$AI24)+SUMIF($E23:$AI24,"8",$E23:$AI24)-8,SUMIF($E23:$AI24,"4",$E23:$AI24)+SUMIF($E23:$AI24,"8",$E23:$AI24))</f>
        <v>92</v>
      </c>
      <c r="AT23" s="136">
        <f t="shared" ref="AT23" ca="1" si="41">$AR23+$AS23</f>
        <v>188</v>
      </c>
      <c r="AU23" s="136" t="str">
        <f t="shared" ref="AU23" ca="1" si="42">IF(AK23=AT23,"+","!")</f>
        <v>!</v>
      </c>
      <c r="AV23" s="136">
        <f t="shared" ref="AV23" ca="1" si="43">COUNTIF($E23:$AI24,"ОТ")</f>
        <v>0</v>
      </c>
      <c r="AW23" s="137" t="str">
        <f ca="1">IF(COUNTIF($A24:$AI24,"СП")&gt;0,IF(INDIRECT(ADDRESS(ROW(),MATCH("СП",$A24:$AI24),1))=8,"","!"),"")</f>
        <v>!</v>
      </c>
      <c r="AX23" s="137" t="str">
        <f ca="1">IF(COUNTIF($A24:$AI24,"СП")&gt;0,IF(INDIRECT(ADDRESS(ROW(),MATCH("СП",$A24:$AI24)-1,1))=4,"!",""),"")</f>
        <v/>
      </c>
    </row>
    <row r="24" spans="1:50" ht="16.5" thickBot="1" x14ac:dyDescent="0.3">
      <c r="A24" s="147"/>
      <c r="B24" s="139"/>
      <c r="C24" s="142"/>
      <c r="D24" s="50">
        <v>6</v>
      </c>
      <c r="E24" s="63" t="str">
        <f>INDEX(Д2!$E$4:$AI$13,MATCH($D24,Д2!$D$4:$D$13),MATCH(E$7,Д2!$E$3:$AI$3))</f>
        <v/>
      </c>
      <c r="F24" s="29" t="str">
        <f>INDEX(Д2!$E$4:$AI$13,MATCH($D24,Д2!$D$4:$D$13),MATCH(F$7,Д2!$E$3:$AI$3))</f>
        <v/>
      </c>
      <c r="G24" s="29" t="str">
        <f>INDEX(Д2!$E$4:$AI$13,MATCH($D24,Д2!$D$4:$D$13),MATCH(G$7,Д2!$E$3:$AI$3))</f>
        <v>СП</v>
      </c>
      <c r="H24" s="29" t="str">
        <f>INDEX(Д2!$E$4:$AI$13,MATCH($D24,Д2!$D$4:$D$13),MATCH(H$7,Д2!$E$3:$AI$3))</f>
        <v/>
      </c>
      <c r="I24" s="29" t="str">
        <f>INDEX(Д2!$E$4:$AI$13,MATCH($D24,Д2!$D$4:$D$13),MATCH(I$7,Д2!$E$3:$AI$3))</f>
        <v/>
      </c>
      <c r="J24" s="29" t="str">
        <f>INDEX(Д2!$E$4:$AI$13,MATCH($D24,Д2!$D$4:$D$13),MATCH(J$7,Д2!$E$3:$AI$3))</f>
        <v/>
      </c>
      <c r="K24" s="29" t="str">
        <f>INDEX(Д2!$E$4:$AI$13,MATCH($D24,Д2!$D$4:$D$13),MATCH(K$7,Д2!$E$3:$AI$3))</f>
        <v/>
      </c>
      <c r="L24" s="29" t="str">
        <f>INDEX(Д2!$E$4:$AI$13,MATCH($D24,Д2!$D$4:$D$13),MATCH(L$7,Д2!$E$3:$AI$3))</f>
        <v/>
      </c>
      <c r="M24" s="29" t="str">
        <f>INDEX(Д2!$E$4:$AI$13,MATCH($D24,Д2!$D$4:$D$13),MATCH(M$7,Д2!$E$3:$AI$3))</f>
        <v/>
      </c>
      <c r="N24" s="29" t="str">
        <f>INDEX(Д2!$E$4:$AI$13,MATCH($D24,Д2!$D$4:$D$13),MATCH(N$7,Д2!$E$3:$AI$3))</f>
        <v/>
      </c>
      <c r="O24" s="29" t="str">
        <f>INDEX(Д2!$E$4:$AI$13,MATCH($D24,Д2!$D$4:$D$13),MATCH(O$7,Д2!$E$3:$AI$3))</f>
        <v/>
      </c>
      <c r="P24" s="29" t="str">
        <f>INDEX(Д2!$E$4:$AI$13,MATCH($D24,Д2!$D$4:$D$13),MATCH(P$7,Д2!$E$3:$AI$3))</f>
        <v/>
      </c>
      <c r="Q24" s="29" t="str">
        <f>INDEX(Д2!$E$4:$AI$13,MATCH($D24,Д2!$D$4:$D$13),MATCH(Q$7,Д2!$E$3:$AI$3))</f>
        <v/>
      </c>
      <c r="R24" s="29" t="str">
        <f>INDEX(Д2!$E$4:$AI$13,MATCH($D24,Д2!$D$4:$D$13),MATCH(R$7,Д2!$E$3:$AI$3))</f>
        <v/>
      </c>
      <c r="S24" s="29" t="str">
        <f>INDEX(Д2!$E$4:$AI$13,MATCH($D24,Д2!$D$4:$D$13),MATCH(S$7,Д2!$E$3:$AI$3))</f>
        <v/>
      </c>
      <c r="T24" s="29" t="str">
        <f>INDEX(Д2!$E$4:$AI$13,MATCH($D24,Д2!$D$4:$D$13),MATCH(T$7,Д2!$E$3:$AI$3))</f>
        <v/>
      </c>
      <c r="U24" s="29" t="str">
        <f>INDEX(Д2!$E$4:$AI$13,MATCH($D24,Д2!$D$4:$D$13),MATCH(U$7,Д2!$E$3:$AI$3))</f>
        <v/>
      </c>
      <c r="V24" s="29" t="str">
        <f>INDEX(Д2!$E$4:$AI$13,MATCH($D24,Д2!$D$4:$D$13),MATCH(V$7,Д2!$E$3:$AI$3))</f>
        <v/>
      </c>
      <c r="W24" s="29" t="str">
        <f>INDEX(Д2!$E$4:$AI$13,MATCH($D24,Д2!$D$4:$D$13),MATCH(W$7,Д2!$E$3:$AI$3))</f>
        <v/>
      </c>
      <c r="X24" s="29" t="str">
        <f>INDEX(Д2!$E$4:$AI$13,MATCH($D24,Д2!$D$4:$D$13),MATCH(X$7,Д2!$E$3:$AI$3))</f>
        <v/>
      </c>
      <c r="Y24" s="29" t="str">
        <f>INDEX(Д2!$E$4:$AI$13,MATCH($D24,Д2!$D$4:$D$13),MATCH(Y$7,Д2!$E$3:$AI$3))</f>
        <v/>
      </c>
      <c r="Z24" s="29" t="str">
        <f>INDEX(Д2!$E$4:$AI$13,MATCH($D24,Д2!$D$4:$D$13),MATCH(Z$7,Д2!$E$3:$AI$3))</f>
        <v/>
      </c>
      <c r="AA24" s="29" t="str">
        <f>INDEX(Д2!$E$4:$AI$13,MATCH($D24,Д2!$D$4:$D$13),MATCH(AA$7,Д2!$E$3:$AI$3))</f>
        <v/>
      </c>
      <c r="AB24" s="29" t="str">
        <f>INDEX(Д2!$E$4:$AI$13,MATCH($D24,Д2!$D$4:$D$13),MATCH(AB$7,Д2!$E$3:$AI$3))</f>
        <v/>
      </c>
      <c r="AC24" s="29" t="str">
        <f>INDEX(Д2!$E$4:$AI$13,MATCH($D24,Д2!$D$4:$D$13),MATCH(AC$7,Д2!$E$3:$AI$3))</f>
        <v/>
      </c>
      <c r="AD24" s="29" t="str">
        <f>INDEX(Д2!$E$4:$AI$13,MATCH($D24,Д2!$D$4:$D$13),MATCH(AD$7,Д2!$E$3:$AI$3))</f>
        <v/>
      </c>
      <c r="AE24" s="29" t="str">
        <f>INDEX(Д2!$E$4:$AI$13,MATCH($D24,Д2!$D$4:$D$13),MATCH(AE$7,Д2!$E$3:$AI$3))</f>
        <v/>
      </c>
      <c r="AF24" s="29" t="str">
        <f>INDEX(Д2!$E$4:$AI$13,MATCH($D24,Д2!$D$4:$D$13),MATCH(AF$7,Д2!$E$3:$AI$3))</f>
        <v/>
      </c>
      <c r="AG24" s="29" t="str">
        <f>INDEX(Д2!$E$4:$AI$13,MATCH($D24,Д2!$D$4:$D$13),MATCH(AG$7,Д2!$E$3:$AI$3))</f>
        <v/>
      </c>
      <c r="AH24" s="29" t="str">
        <f>INDEX(Д2!$E$4:$AI$13,MATCH($D24,Д2!$D$4:$D$13),MATCH(AH$7,Д2!$E$3:$AI$3))</f>
        <v/>
      </c>
      <c r="AI24" s="61" t="str">
        <f>INDEX(Д2!$E$4:$AI$13,MATCH($D24,Д2!$D$4:$D$13),MATCH(AI$7,Д2!$E$3:$AI$3))</f>
        <v/>
      </c>
      <c r="AJ24" s="143"/>
      <c r="AK24" s="145"/>
      <c r="AL24" s="145"/>
      <c r="AM24" s="150"/>
      <c r="AP24" s="136"/>
      <c r="AQ24" s="136"/>
      <c r="AR24" s="136"/>
      <c r="AS24" s="136"/>
      <c r="AT24" s="136"/>
      <c r="AU24" s="136"/>
      <c r="AV24" s="136"/>
      <c r="AW24" s="137"/>
      <c r="AX24" s="137"/>
    </row>
    <row r="25" spans="1:50" ht="16.5" customHeight="1" thickBot="1" x14ac:dyDescent="0.3">
      <c r="A25" s="147"/>
      <c r="B25" s="139" t="s">
        <v>88</v>
      </c>
      <c r="C25" s="141">
        <v>4</v>
      </c>
      <c r="D25" s="49">
        <v>7</v>
      </c>
      <c r="E25" s="64">
        <f ca="1">INDEX(Д2!$E$4:$AI$13,MATCH($D25,Д2!$D$4:$D$13),MATCH(E$7,Д2!$E$3:$AI$3))</f>
        <v>12</v>
      </c>
      <c r="F25" s="27">
        <f ca="1">INDEX(Д2!$E$4:$AI$13,MATCH($D25,Д2!$D$4:$D$13),MATCH(F$7,Д2!$E$3:$AI$3))</f>
        <v>4</v>
      </c>
      <c r="G25" s="27">
        <f ca="1">INDEX(Д2!$E$4:$AI$13,MATCH($D25,Д2!$D$4:$D$13),MATCH(G$7,Д2!$E$3:$AI$3))</f>
        <v>8</v>
      </c>
      <c r="H25" s="27">
        <f ca="1">INDEX(Д2!$E$4:$AI$13,MATCH($D25,Д2!$D$4:$D$13),MATCH(H$7,Д2!$E$3:$AI$3))</f>
        <v>12</v>
      </c>
      <c r="I25" s="27">
        <f ca="1">INDEX(Д2!$E$4:$AI$13,MATCH($D25,Д2!$D$4:$D$13),MATCH(I$7,Д2!$E$3:$AI$3))</f>
        <v>0</v>
      </c>
      <c r="J25" s="27">
        <f ca="1">INDEX(Д2!$E$4:$AI$13,MATCH($D25,Д2!$D$4:$D$13),MATCH(J$7,Д2!$E$3:$AI$3))</f>
        <v>0</v>
      </c>
      <c r="K25" s="27">
        <f ca="1">INDEX(Д2!$E$4:$AI$13,MATCH($D25,Д2!$D$4:$D$13),MATCH(K$7,Д2!$E$3:$AI$3))</f>
        <v>4</v>
      </c>
      <c r="L25" s="27">
        <f ca="1">INDEX(Д2!$E$4:$AI$13,MATCH($D25,Д2!$D$4:$D$13),MATCH(L$7,Д2!$E$3:$AI$3))</f>
        <v>8</v>
      </c>
      <c r="M25" s="27">
        <f ca="1">INDEX(Д2!$E$4:$AI$13,MATCH($D25,Д2!$D$4:$D$13),MATCH(M$7,Д2!$E$3:$AI$3))</f>
        <v>12</v>
      </c>
      <c r="N25" s="27">
        <f ca="1">INDEX(Д2!$E$4:$AI$13,MATCH($D25,Д2!$D$4:$D$13),MATCH(N$7,Д2!$E$3:$AI$3))</f>
        <v>4</v>
      </c>
      <c r="O25" s="27">
        <f ca="1">INDEX(Д2!$E$4:$AI$13,MATCH($D25,Д2!$D$4:$D$13),MATCH(O$7,Д2!$E$3:$AI$3))</f>
        <v>8</v>
      </c>
      <c r="P25" s="27">
        <f ca="1">INDEX(Д2!$E$4:$AI$13,MATCH($D25,Д2!$D$4:$D$13),MATCH(P$7,Д2!$E$3:$AI$3))</f>
        <v>12</v>
      </c>
      <c r="Q25" s="27">
        <f ca="1">INDEX(Д2!$E$4:$AI$13,MATCH($D25,Д2!$D$4:$D$13),MATCH(Q$7,Д2!$E$3:$AI$3))</f>
        <v>0</v>
      </c>
      <c r="R25" s="27">
        <f ca="1">INDEX(Д2!$E$4:$AI$13,MATCH($D25,Д2!$D$4:$D$13),MATCH(R$7,Д2!$E$3:$AI$3))</f>
        <v>0</v>
      </c>
      <c r="S25" s="27">
        <f ca="1">INDEX(Д2!$E$4:$AI$13,MATCH($D25,Д2!$D$4:$D$13),MATCH(S$7,Д2!$E$3:$AI$3))</f>
        <v>4</v>
      </c>
      <c r="T25" s="27">
        <f ca="1">INDEX(Д2!$E$4:$AI$13,MATCH($D25,Д2!$D$4:$D$13),MATCH(T$7,Д2!$E$3:$AI$3))</f>
        <v>8</v>
      </c>
      <c r="U25" s="27">
        <f ca="1">INDEX(Д2!$E$4:$AI$13,MATCH($D25,Д2!$D$4:$D$13),MATCH(U$7,Д2!$E$3:$AI$3))</f>
        <v>12</v>
      </c>
      <c r="V25" s="27">
        <f ca="1">INDEX(Д2!$E$4:$AI$13,MATCH($D25,Д2!$D$4:$D$13),MATCH(V$7,Д2!$E$3:$AI$3))</f>
        <v>4</v>
      </c>
      <c r="W25" s="27">
        <f ca="1">INDEX(Д2!$E$4:$AI$13,MATCH($D25,Д2!$D$4:$D$13),MATCH(W$7,Д2!$E$3:$AI$3))</f>
        <v>8</v>
      </c>
      <c r="X25" s="27">
        <f ca="1">INDEX(Д2!$E$4:$AI$13,MATCH($D25,Д2!$D$4:$D$13),MATCH(X$7,Д2!$E$3:$AI$3))</f>
        <v>12</v>
      </c>
      <c r="Y25" s="27">
        <f ca="1">INDEX(Д2!$E$4:$AI$13,MATCH($D25,Д2!$D$4:$D$13),MATCH(Y$7,Д2!$E$3:$AI$3))</f>
        <v>0</v>
      </c>
      <c r="Z25" s="27">
        <f ca="1">INDEX(Д2!$E$4:$AI$13,MATCH($D25,Д2!$D$4:$D$13),MATCH(Z$7,Д2!$E$3:$AI$3))</f>
        <v>0</v>
      </c>
      <c r="AA25" s="27">
        <f ca="1">INDEX(Д2!$E$4:$AI$13,MATCH($D25,Д2!$D$4:$D$13),MATCH(AA$7,Д2!$E$3:$AI$3))</f>
        <v>4</v>
      </c>
      <c r="AB25" s="27">
        <f ca="1">INDEX(Д2!$E$4:$AI$13,MATCH($D25,Д2!$D$4:$D$13),MATCH(AB$7,Д2!$E$3:$AI$3))</f>
        <v>8</v>
      </c>
      <c r="AC25" s="27">
        <f ca="1">INDEX(Д2!$E$4:$AI$13,MATCH($D25,Д2!$D$4:$D$13),MATCH(AC$7,Д2!$E$3:$AI$3))</f>
        <v>12</v>
      </c>
      <c r="AD25" s="27">
        <f ca="1">INDEX(Д2!$E$4:$AI$13,MATCH($D25,Д2!$D$4:$D$13),MATCH(AD$7,Д2!$E$3:$AI$3))</f>
        <v>4</v>
      </c>
      <c r="AE25" s="27">
        <f ca="1">INDEX(Д2!$E$4:$AI$13,MATCH($D25,Д2!$D$4:$D$13),MATCH(AE$7,Д2!$E$3:$AI$3))</f>
        <v>8</v>
      </c>
      <c r="AF25" s="27">
        <f ca="1">INDEX(Д2!$E$4:$AI$13,MATCH($D25,Д2!$D$4:$D$13),MATCH(AF$7,Д2!$E$3:$AI$3))</f>
        <v>12</v>
      </c>
      <c r="AG25" s="27">
        <f ca="1">INDEX(Д2!$E$4:$AI$13,MATCH($D25,Д2!$D$4:$D$13),MATCH(AG$7,Д2!$E$3:$AI$3))</f>
        <v>0</v>
      </c>
      <c r="AH25" s="27">
        <f ca="1">INDEX(Д2!$E$4:$AI$13,MATCH($D25,Д2!$D$4:$D$13),MATCH(AH$7,Д2!$E$3:$AI$3))</f>
        <v>0</v>
      </c>
      <c r="AI25" s="32">
        <f ca="1">INDEX(Д2!$E$4:$AI$13,MATCH($D25,Д2!$D$4:$D$13),MATCH(AI$7,Д2!$E$3:$AI$3))</f>
        <v>4</v>
      </c>
      <c r="AJ25" s="143">
        <f>INDEX(Д2!AK$4:$AK$13,MATCH($C25,Д2!$C$4:$C$13),MATCH(E$7,Д2!$E$3:$AI$3))*AND(MONTH($E$8)=MONTH(Д2!$B$4))</f>
        <v>136</v>
      </c>
      <c r="AK25" s="144">
        <f ca="1">SUM(E25:AI26)</f>
        <v>184</v>
      </c>
      <c r="AL25" s="144"/>
      <c r="AM25" s="149">
        <f ca="1">SUM(F25:H26,J25:AI26)-AJ25+AL25-12</f>
        <v>24</v>
      </c>
      <c r="AP25" s="136">
        <f t="shared" ref="AP25" ca="1" si="44">COUNTIF($E25:$AI26,"12")</f>
        <v>8</v>
      </c>
      <c r="AQ25" s="136">
        <f t="shared" ref="AQ25" ca="1" si="45">IF(COUNTIF($E25:$AI26,"СП")&gt;=1,(COUNTIF($E25:$AI26,"4")+COUNTIF($E25:$AI26,"8")-1)/2,(COUNTIF($E25:$AI26,"4")+COUNTIF($E25:$AI26,"8"))/2)</f>
        <v>7</v>
      </c>
      <c r="AR25" s="136">
        <f t="shared" ca="1" si="2"/>
        <v>96</v>
      </c>
      <c r="AS25" s="136">
        <f t="shared" ref="AS25" ca="1" si="46">IF(COUNTIF($E25:$AI26,"СП")&gt;=1,SUMIF($E25:$AI26,"4",$E25:$AI26)+SUMIF($E25:$AI26,"8",$E25:$AI26)-8,SUMIF($E25:$AI26,"4",$E25:$AI26)+SUMIF($E25:$AI26,"8",$E25:$AI26))</f>
        <v>80</v>
      </c>
      <c r="AT25" s="136">
        <f t="shared" ref="AT25" ca="1" si="47">$AR25+$AS25</f>
        <v>176</v>
      </c>
      <c r="AU25" s="136" t="str">
        <f t="shared" ref="AU25" ca="1" si="48">IF(AK25=AT25,"+","!")</f>
        <v>!</v>
      </c>
      <c r="AV25" s="136">
        <f t="shared" ref="AV25" ca="1" si="49">COUNTIF($E25:$AI26,"ОТ")</f>
        <v>0</v>
      </c>
      <c r="AW25" s="137" t="str">
        <f ca="1">IF(COUNTIF($A26:$AI26,"СП")&gt;0,IF(INDIRECT(ADDRESS(ROW(),MATCH("СП",$A26:$AI26),1))=8,"","!"),"")</f>
        <v>!</v>
      </c>
      <c r="AX25" s="137" t="str">
        <f ca="1">IF(COUNTIF($A26:$AI26,"СП")&gt;0,IF(INDIRECT(ADDRESS(ROW(),MATCH("СП",$A26:$AI26)-1,1))=4,"!",""),"")</f>
        <v/>
      </c>
    </row>
    <row r="26" spans="1:50" ht="16.5" thickBot="1" x14ac:dyDescent="0.3">
      <c r="A26" s="147"/>
      <c r="B26" s="139"/>
      <c r="C26" s="142"/>
      <c r="D26" s="50">
        <v>8</v>
      </c>
      <c r="E26" s="65" t="str">
        <f>INDEX(Д2!$E$4:$AI$13,MATCH($D26,Д2!$D$4:$D$13),MATCH(E$7,Д2!$E$3:$AI$3))</f>
        <v/>
      </c>
      <c r="F26" s="30" t="str">
        <f>INDEX(Д2!$E$4:$AI$13,MATCH($D26,Д2!$D$4:$D$13),MATCH(F$7,Д2!$E$3:$AI$3))</f>
        <v/>
      </c>
      <c r="G26" s="30" t="str">
        <f>INDEX(Д2!$E$4:$AI$13,MATCH($D26,Д2!$D$4:$D$13),MATCH(G$7,Д2!$E$3:$AI$3))</f>
        <v/>
      </c>
      <c r="H26" s="30" t="str">
        <f>INDEX(Д2!$E$4:$AI$13,MATCH($D26,Д2!$D$4:$D$13),MATCH(H$7,Д2!$E$3:$AI$3))</f>
        <v>СП</v>
      </c>
      <c r="I26" s="30" t="str">
        <f>INDEX(Д2!$E$4:$AI$13,MATCH($D26,Д2!$D$4:$D$13),MATCH(I$7,Д2!$E$3:$AI$3))</f>
        <v/>
      </c>
      <c r="J26" s="30" t="str">
        <f>INDEX(Д2!$E$4:$AI$13,MATCH($D26,Д2!$D$4:$D$13),MATCH(J$7,Д2!$E$3:$AI$3))</f>
        <v/>
      </c>
      <c r="K26" s="30" t="str">
        <f>INDEX(Д2!$E$4:$AI$13,MATCH($D26,Д2!$D$4:$D$13),MATCH(K$7,Д2!$E$3:$AI$3))</f>
        <v/>
      </c>
      <c r="L26" s="30" t="str">
        <f>INDEX(Д2!$E$4:$AI$13,MATCH($D26,Д2!$D$4:$D$13),MATCH(L$7,Д2!$E$3:$AI$3))</f>
        <v/>
      </c>
      <c r="M26" s="30" t="str">
        <f>INDEX(Д2!$E$4:$AI$13,MATCH($D26,Д2!$D$4:$D$13),MATCH(M$7,Д2!$E$3:$AI$3))</f>
        <v/>
      </c>
      <c r="N26" s="30" t="str">
        <f>INDEX(Д2!$E$4:$AI$13,MATCH($D26,Д2!$D$4:$D$13),MATCH(N$7,Д2!$E$3:$AI$3))</f>
        <v/>
      </c>
      <c r="O26" s="30" t="str">
        <f>INDEX(Д2!$E$4:$AI$13,MATCH($D26,Д2!$D$4:$D$13),MATCH(O$7,Д2!$E$3:$AI$3))</f>
        <v/>
      </c>
      <c r="P26" s="30" t="str">
        <f>INDEX(Д2!$E$4:$AI$13,MATCH($D26,Д2!$D$4:$D$13),MATCH(P$7,Д2!$E$3:$AI$3))</f>
        <v/>
      </c>
      <c r="Q26" s="30" t="str">
        <f>INDEX(Д2!$E$4:$AI$13,MATCH($D26,Д2!$D$4:$D$13),MATCH(Q$7,Д2!$E$3:$AI$3))</f>
        <v/>
      </c>
      <c r="R26" s="30" t="str">
        <f>INDEX(Д2!$E$4:$AI$13,MATCH($D26,Д2!$D$4:$D$13),MATCH(R$7,Д2!$E$3:$AI$3))</f>
        <v/>
      </c>
      <c r="S26" s="30" t="str">
        <f>INDEX(Д2!$E$4:$AI$13,MATCH($D26,Д2!$D$4:$D$13),MATCH(S$7,Д2!$E$3:$AI$3))</f>
        <v/>
      </c>
      <c r="T26" s="30" t="str">
        <f>INDEX(Д2!$E$4:$AI$13,MATCH($D26,Д2!$D$4:$D$13),MATCH(T$7,Д2!$E$3:$AI$3))</f>
        <v/>
      </c>
      <c r="U26" s="30" t="str">
        <f>INDEX(Д2!$E$4:$AI$13,MATCH($D26,Д2!$D$4:$D$13),MATCH(U$7,Д2!$E$3:$AI$3))</f>
        <v/>
      </c>
      <c r="V26" s="30" t="str">
        <f>INDEX(Д2!$E$4:$AI$13,MATCH($D26,Д2!$D$4:$D$13),MATCH(V$7,Д2!$E$3:$AI$3))</f>
        <v/>
      </c>
      <c r="W26" s="30" t="str">
        <f>INDEX(Д2!$E$4:$AI$13,MATCH($D26,Д2!$D$4:$D$13),MATCH(W$7,Д2!$E$3:$AI$3))</f>
        <v/>
      </c>
      <c r="X26" s="30" t="str">
        <f>INDEX(Д2!$E$4:$AI$13,MATCH($D26,Д2!$D$4:$D$13),MATCH(X$7,Д2!$E$3:$AI$3))</f>
        <v/>
      </c>
      <c r="Y26" s="30" t="str">
        <f>INDEX(Д2!$E$4:$AI$13,MATCH($D26,Д2!$D$4:$D$13),MATCH(Y$7,Д2!$E$3:$AI$3))</f>
        <v/>
      </c>
      <c r="Z26" s="30" t="str">
        <f>INDEX(Д2!$E$4:$AI$13,MATCH($D26,Д2!$D$4:$D$13),MATCH(Z$7,Д2!$E$3:$AI$3))</f>
        <v/>
      </c>
      <c r="AA26" s="30" t="str">
        <f>INDEX(Д2!$E$4:$AI$13,MATCH($D26,Д2!$D$4:$D$13),MATCH(AA$7,Д2!$E$3:$AI$3))</f>
        <v/>
      </c>
      <c r="AB26" s="30" t="str">
        <f>INDEX(Д2!$E$4:$AI$13,MATCH($D26,Д2!$D$4:$D$13),MATCH(AB$7,Д2!$E$3:$AI$3))</f>
        <v/>
      </c>
      <c r="AC26" s="30" t="str">
        <f>INDEX(Д2!$E$4:$AI$13,MATCH($D26,Д2!$D$4:$D$13),MATCH(AC$7,Д2!$E$3:$AI$3))</f>
        <v/>
      </c>
      <c r="AD26" s="30" t="str">
        <f>INDEX(Д2!$E$4:$AI$13,MATCH($D26,Д2!$D$4:$D$13),MATCH(AD$7,Д2!$E$3:$AI$3))</f>
        <v/>
      </c>
      <c r="AE26" s="30" t="str">
        <f>INDEX(Д2!$E$4:$AI$13,MATCH($D26,Д2!$D$4:$D$13),MATCH(AE$7,Д2!$E$3:$AI$3))</f>
        <v/>
      </c>
      <c r="AF26" s="30" t="str">
        <f>INDEX(Д2!$E$4:$AI$13,MATCH($D26,Д2!$D$4:$D$13),MATCH(AF$7,Д2!$E$3:$AI$3))</f>
        <v/>
      </c>
      <c r="AG26" s="30" t="str">
        <f>INDEX(Д2!$E$4:$AI$13,MATCH($D26,Д2!$D$4:$D$13),MATCH(AG$7,Д2!$E$3:$AI$3))</f>
        <v/>
      </c>
      <c r="AH26" s="30" t="str">
        <f>INDEX(Д2!$E$4:$AI$13,MATCH($D26,Д2!$D$4:$D$13),MATCH(AH$7,Д2!$E$3:$AI$3))</f>
        <v/>
      </c>
      <c r="AI26" s="33" t="str">
        <f>INDEX(Д2!$E$4:$AI$13,MATCH($D26,Д2!$D$4:$D$13),MATCH(AI$7,Д2!$E$3:$AI$3))</f>
        <v/>
      </c>
      <c r="AJ26" s="143"/>
      <c r="AK26" s="145"/>
      <c r="AL26" s="145"/>
      <c r="AM26" s="150"/>
      <c r="AP26" s="136"/>
      <c r="AQ26" s="136"/>
      <c r="AR26" s="136"/>
      <c r="AS26" s="136"/>
      <c r="AT26" s="136"/>
      <c r="AU26" s="136"/>
      <c r="AV26" s="136"/>
      <c r="AW26" s="137"/>
      <c r="AX26" s="137"/>
    </row>
    <row r="27" spans="1:50" ht="16.5" customHeight="1" thickBot="1" x14ac:dyDescent="0.3">
      <c r="A27" s="147"/>
      <c r="B27" s="139" t="s">
        <v>89</v>
      </c>
      <c r="C27" s="141">
        <v>5</v>
      </c>
      <c r="D27" s="49">
        <v>9</v>
      </c>
      <c r="E27" s="62" t="str">
        <f>INDEX(Д2!$E$4:$AI$13,MATCH($D27,Д2!$D$4:$D$13),MATCH(E$7,Д2!$E$3:$AI$3))</f>
        <v>-</v>
      </c>
      <c r="F27" s="28" t="str">
        <f>INDEX(Д2!$E$4:$AI$13,MATCH($D27,Д2!$D$4:$D$13),MATCH(F$7,Д2!$E$3:$AI$3))</f>
        <v>-</v>
      </c>
      <c r="G27" s="28" t="str">
        <f>INDEX(Д2!$E$4:$AI$13,MATCH($D27,Д2!$D$4:$D$13),MATCH(G$7,Д2!$E$3:$AI$3))</f>
        <v>-</v>
      </c>
      <c r="H27" s="28" t="str">
        <f>INDEX(Д2!$E$4:$AI$13,MATCH($D27,Д2!$D$4:$D$13),MATCH(H$7,Д2!$E$3:$AI$3))</f>
        <v>-</v>
      </c>
      <c r="I27" s="28" t="str">
        <f>INDEX(Д2!$E$4:$AI$13,MATCH($D27,Д2!$D$4:$D$13),MATCH(I$7,Д2!$E$3:$AI$3))</f>
        <v>-</v>
      </c>
      <c r="J27" s="28" t="str">
        <f>INDEX(Д2!$E$4:$AI$13,MATCH($D27,Д2!$D$4:$D$13),MATCH(J$7,Д2!$E$3:$AI$3))</f>
        <v>-</v>
      </c>
      <c r="K27" s="28" t="str">
        <f>INDEX(Д2!$E$4:$AI$13,MATCH($D27,Д2!$D$4:$D$13),MATCH(K$7,Д2!$E$3:$AI$3))</f>
        <v>-</v>
      </c>
      <c r="L27" s="28" t="str">
        <f>INDEX(Д2!$E$4:$AI$13,MATCH($D27,Д2!$D$4:$D$13),MATCH(L$7,Д2!$E$3:$AI$3))</f>
        <v>-</v>
      </c>
      <c r="M27" s="28" t="str">
        <f>INDEX(Д2!$E$4:$AI$13,MATCH($D27,Д2!$D$4:$D$13),MATCH(M$7,Д2!$E$3:$AI$3))</f>
        <v>-</v>
      </c>
      <c r="N27" s="28" t="str">
        <f>INDEX(Д2!$E$4:$AI$13,MATCH($D27,Д2!$D$4:$D$13),MATCH(N$7,Д2!$E$3:$AI$3))</f>
        <v>-</v>
      </c>
      <c r="O27" s="28" t="str">
        <f>INDEX(Д2!$E$4:$AI$13,MATCH($D27,Д2!$D$4:$D$13),MATCH(O$7,Д2!$E$3:$AI$3))</f>
        <v>-</v>
      </c>
      <c r="P27" s="28" t="str">
        <f>INDEX(Д2!$E$4:$AI$13,MATCH($D27,Д2!$D$4:$D$13),MATCH(P$7,Д2!$E$3:$AI$3))</f>
        <v>-</v>
      </c>
      <c r="Q27" s="28" t="str">
        <f>INDEX(Д2!$E$4:$AI$13,MATCH($D27,Д2!$D$4:$D$13),MATCH(Q$7,Д2!$E$3:$AI$3))</f>
        <v>-</v>
      </c>
      <c r="R27" s="28" t="str">
        <f>INDEX(Д2!$E$4:$AI$13,MATCH($D27,Д2!$D$4:$D$13),MATCH(R$7,Д2!$E$3:$AI$3))</f>
        <v>-</v>
      </c>
      <c r="S27" s="28" t="str">
        <f>INDEX(Д2!$E$4:$AI$13,MATCH($D27,Д2!$D$4:$D$13),MATCH(S$7,Д2!$E$3:$AI$3))</f>
        <v>-</v>
      </c>
      <c r="T27" s="28" t="str">
        <f>INDEX(Д2!$E$4:$AI$13,MATCH($D27,Д2!$D$4:$D$13),MATCH(T$7,Д2!$E$3:$AI$3))</f>
        <v>-</v>
      </c>
      <c r="U27" s="28" t="str">
        <f>INDEX(Д2!$E$4:$AI$13,MATCH($D27,Д2!$D$4:$D$13),MATCH(U$7,Д2!$E$3:$AI$3))</f>
        <v>-</v>
      </c>
      <c r="V27" s="28" t="str">
        <f>INDEX(Д2!$E$4:$AI$13,MATCH($D27,Д2!$D$4:$D$13),MATCH(V$7,Д2!$E$3:$AI$3))</f>
        <v>-</v>
      </c>
      <c r="W27" s="28" t="str">
        <f>INDEX(Д2!$E$4:$AI$13,MATCH($D27,Д2!$D$4:$D$13),MATCH(W$7,Д2!$E$3:$AI$3))</f>
        <v>-</v>
      </c>
      <c r="X27" s="28" t="str">
        <f>INDEX(Д2!$E$4:$AI$13,MATCH($D27,Д2!$D$4:$D$13),MATCH(X$7,Д2!$E$3:$AI$3))</f>
        <v>-</v>
      </c>
      <c r="Y27" s="28" t="str">
        <f>INDEX(Д2!$E$4:$AI$13,MATCH($D27,Д2!$D$4:$D$13),MATCH(Y$7,Д2!$E$3:$AI$3))</f>
        <v>-</v>
      </c>
      <c r="Z27" s="28" t="str">
        <f>INDEX(Д2!$E$4:$AI$13,MATCH($D27,Д2!$D$4:$D$13),MATCH(Z$7,Д2!$E$3:$AI$3))</f>
        <v>-</v>
      </c>
      <c r="AA27" s="28" t="str">
        <f>INDEX(Д2!$E$4:$AI$13,MATCH($D27,Д2!$D$4:$D$13),MATCH(AA$7,Д2!$E$3:$AI$3))</f>
        <v>-</v>
      </c>
      <c r="AB27" s="28" t="str">
        <f>INDEX(Д2!$E$4:$AI$13,MATCH($D27,Д2!$D$4:$D$13),MATCH(AB$7,Д2!$E$3:$AI$3))</f>
        <v>-</v>
      </c>
      <c r="AC27" s="28" t="str">
        <f>INDEX(Д2!$E$4:$AI$13,MATCH($D27,Д2!$D$4:$D$13),MATCH(AC$7,Д2!$E$3:$AI$3))</f>
        <v>-</v>
      </c>
      <c r="AD27" s="28" t="str">
        <f>INDEX(Д2!$E$4:$AI$13,MATCH($D27,Д2!$D$4:$D$13),MATCH(AD$7,Д2!$E$3:$AI$3))</f>
        <v>-</v>
      </c>
      <c r="AE27" s="28" t="str">
        <f>INDEX(Д2!$E$4:$AI$13,MATCH($D27,Д2!$D$4:$D$13),MATCH(AE$7,Д2!$E$3:$AI$3))</f>
        <v>-</v>
      </c>
      <c r="AF27" s="28" t="str">
        <f>INDEX(Д2!$E$4:$AI$13,MATCH($D27,Д2!$D$4:$D$13),MATCH(AF$7,Д2!$E$3:$AI$3))</f>
        <v>-</v>
      </c>
      <c r="AG27" s="28" t="str">
        <f>INDEX(Д2!$E$4:$AI$13,MATCH($D27,Д2!$D$4:$D$13),MATCH(AG$7,Д2!$E$3:$AI$3))</f>
        <v>-</v>
      </c>
      <c r="AH27" s="28" t="str">
        <f>INDEX(Д2!$E$4:$AI$13,MATCH($D27,Д2!$D$4:$D$13),MATCH(AH$7,Д2!$E$3:$AI$3))</f>
        <v>-</v>
      </c>
      <c r="AI27" s="60" t="str">
        <f>INDEX(Д2!$E$4:$AI$13,MATCH($D27,Д2!$D$4:$D$13),MATCH(AI$7,Д2!$E$3:$AI$3))</f>
        <v>-</v>
      </c>
      <c r="AJ27" s="143">
        <f>INDEX(Д2!AK$4:$AK$13,MATCH($C27,Д2!$C$4:$C$13),MATCH(E$7,Д2!$E$3:$AI$3))*AND(MONTH($E$8)=MONTH(Д2!$B$4))</f>
        <v>136</v>
      </c>
      <c r="AK27" s="144">
        <f>SUM(E27:AI28)</f>
        <v>0</v>
      </c>
      <c r="AL27" s="144"/>
      <c r="AM27" s="149">
        <f>SUM(F27:H28,J27:AI28)-AJ27+AL27-12</f>
        <v>-148</v>
      </c>
      <c r="AP27" s="136">
        <f t="shared" ref="AP27" si="50">COUNTIF($E27:$AI28,"12")</f>
        <v>0</v>
      </c>
      <c r="AQ27" s="136">
        <f t="shared" ref="AQ27" si="51">IF(COUNTIF($E27:$AI28,"СП")&gt;=1,(COUNTIF($E27:$AI28,"4")+COUNTIF($E27:$AI28,"8")-1)/2,(COUNTIF($E27:$AI28,"4")+COUNTIF($E27:$AI28,"8"))/2)</f>
        <v>-0.5</v>
      </c>
      <c r="AR27" s="136">
        <f t="shared" si="2"/>
        <v>0</v>
      </c>
      <c r="AS27" s="136">
        <f t="shared" ref="AS27" si="52">IF(COUNTIF($E27:$AI28,"СП")&gt;=1,SUMIF($E27:$AI28,"4",$E27:$AI28)+SUMIF($E27:$AI28,"8",$E27:$AI28)-8,SUMIF($E27:$AI28,"4",$E27:$AI28)+SUMIF($E27:$AI28,"8",$E27:$AI28))</f>
        <v>-8</v>
      </c>
      <c r="AT27" s="136">
        <f t="shared" ref="AT27" si="53">$AR27+$AS27</f>
        <v>-8</v>
      </c>
      <c r="AU27" s="136" t="str">
        <f t="shared" ref="AU27" si="54">IF(AK27=AT27,"+","!")</f>
        <v>!</v>
      </c>
      <c r="AV27" s="136">
        <f t="shared" ref="AV27" si="55">COUNTIF($E27:$AI28,"ОТ")</f>
        <v>0</v>
      </c>
      <c r="AW27" s="137" t="str">
        <f ca="1">IF(COUNTIF($A28:$AI28,"СП")&gt;0,IF(INDIRECT(ADDRESS(ROW(),MATCH("СП",$A28:$AI28),1))=8,"","!"),"")</f>
        <v>!</v>
      </c>
      <c r="AX27" s="137" t="str">
        <f ca="1">IF(COUNTIF($A28:$AI28,"СП")&gt;0,IF(INDIRECT(ADDRESS(ROW(),MATCH("СП",$A28:$AI28)-1,1))=4,"!",""),"")</f>
        <v/>
      </c>
    </row>
    <row r="28" spans="1:50" ht="16.5" thickBot="1" x14ac:dyDescent="0.3">
      <c r="A28" s="148"/>
      <c r="B28" s="140"/>
      <c r="C28" s="156"/>
      <c r="D28" s="50">
        <v>10</v>
      </c>
      <c r="E28" s="66" t="str">
        <f>INDEX(Д2!$E$4:$AI$13,MATCH($D28,Д2!$D$4:$D$13),MATCH(E$7,Д2!$E$3:$AI$3))</f>
        <v/>
      </c>
      <c r="F28" s="67" t="str">
        <f>INDEX(Д2!$E$4:$AI$13,MATCH($D28,Д2!$D$4:$D$13),MATCH(F$7,Д2!$E$3:$AI$3))</f>
        <v/>
      </c>
      <c r="G28" s="67" t="str">
        <f>INDEX(Д2!$E$4:$AI$13,MATCH($D28,Д2!$D$4:$D$13),MATCH(G$7,Д2!$E$3:$AI$3))</f>
        <v/>
      </c>
      <c r="H28" s="67" t="str">
        <f>INDEX(Д2!$E$4:$AI$13,MATCH($D28,Д2!$D$4:$D$13),MATCH(H$7,Д2!$E$3:$AI$3))</f>
        <v/>
      </c>
      <c r="I28" s="67" t="str">
        <f>INDEX(Д2!$E$4:$AI$13,MATCH($D28,Д2!$D$4:$D$13),MATCH(I$7,Д2!$E$3:$AI$3))</f>
        <v>СП</v>
      </c>
      <c r="J28" s="67" t="str">
        <f>INDEX(Д2!$E$4:$AI$13,MATCH($D28,Д2!$D$4:$D$13),MATCH(J$7,Д2!$E$3:$AI$3))</f>
        <v/>
      </c>
      <c r="K28" s="67" t="str">
        <f>INDEX(Д2!$E$4:$AI$13,MATCH($D28,Д2!$D$4:$D$13),MATCH(K$7,Д2!$E$3:$AI$3))</f>
        <v/>
      </c>
      <c r="L28" s="67" t="str">
        <f>INDEX(Д2!$E$4:$AI$13,MATCH($D28,Д2!$D$4:$D$13),MATCH(L$7,Д2!$E$3:$AI$3))</f>
        <v/>
      </c>
      <c r="M28" s="67" t="str">
        <f>INDEX(Д2!$E$4:$AI$13,MATCH($D28,Д2!$D$4:$D$13),MATCH(M$7,Д2!$E$3:$AI$3))</f>
        <v/>
      </c>
      <c r="N28" s="67" t="str">
        <f>INDEX(Д2!$E$4:$AI$13,MATCH($D28,Д2!$D$4:$D$13),MATCH(N$7,Д2!$E$3:$AI$3))</f>
        <v/>
      </c>
      <c r="O28" s="67" t="str">
        <f>INDEX(Д2!$E$4:$AI$13,MATCH($D28,Д2!$D$4:$D$13),MATCH(O$7,Д2!$E$3:$AI$3))</f>
        <v/>
      </c>
      <c r="P28" s="67" t="str">
        <f>INDEX(Д2!$E$4:$AI$13,MATCH($D28,Д2!$D$4:$D$13),MATCH(P$7,Д2!$E$3:$AI$3))</f>
        <v/>
      </c>
      <c r="Q28" s="67" t="str">
        <f>INDEX(Д2!$E$4:$AI$13,MATCH($D28,Д2!$D$4:$D$13),MATCH(Q$7,Д2!$E$3:$AI$3))</f>
        <v/>
      </c>
      <c r="R28" s="67" t="str">
        <f>INDEX(Д2!$E$4:$AI$13,MATCH($D28,Д2!$D$4:$D$13),MATCH(R$7,Д2!$E$3:$AI$3))</f>
        <v/>
      </c>
      <c r="S28" s="67" t="str">
        <f>INDEX(Д2!$E$4:$AI$13,MATCH($D28,Д2!$D$4:$D$13),MATCH(S$7,Д2!$E$3:$AI$3))</f>
        <v/>
      </c>
      <c r="T28" s="67" t="str">
        <f>INDEX(Д2!$E$4:$AI$13,MATCH($D28,Д2!$D$4:$D$13),MATCH(T$7,Д2!$E$3:$AI$3))</f>
        <v/>
      </c>
      <c r="U28" s="67" t="str">
        <f>INDEX(Д2!$E$4:$AI$13,MATCH($D28,Д2!$D$4:$D$13),MATCH(U$7,Д2!$E$3:$AI$3))</f>
        <v/>
      </c>
      <c r="V28" s="67" t="str">
        <f>INDEX(Д2!$E$4:$AI$13,MATCH($D28,Д2!$D$4:$D$13),MATCH(V$7,Д2!$E$3:$AI$3))</f>
        <v/>
      </c>
      <c r="W28" s="67" t="str">
        <f>INDEX(Д2!$E$4:$AI$13,MATCH($D28,Д2!$D$4:$D$13),MATCH(W$7,Д2!$E$3:$AI$3))</f>
        <v/>
      </c>
      <c r="X28" s="67" t="str">
        <f>INDEX(Д2!$E$4:$AI$13,MATCH($D28,Д2!$D$4:$D$13),MATCH(X$7,Д2!$E$3:$AI$3))</f>
        <v/>
      </c>
      <c r="Y28" s="67" t="str">
        <f>INDEX(Д2!$E$4:$AI$13,MATCH($D28,Д2!$D$4:$D$13),MATCH(Y$7,Д2!$E$3:$AI$3))</f>
        <v/>
      </c>
      <c r="Z28" s="67" t="str">
        <f>INDEX(Д2!$E$4:$AI$13,MATCH($D28,Д2!$D$4:$D$13),MATCH(Z$7,Д2!$E$3:$AI$3))</f>
        <v/>
      </c>
      <c r="AA28" s="67" t="str">
        <f>INDEX(Д2!$E$4:$AI$13,MATCH($D28,Д2!$D$4:$D$13),MATCH(AA$7,Д2!$E$3:$AI$3))</f>
        <v/>
      </c>
      <c r="AB28" s="67" t="str">
        <f>INDEX(Д2!$E$4:$AI$13,MATCH($D28,Д2!$D$4:$D$13),MATCH(AB$7,Д2!$E$3:$AI$3))</f>
        <v/>
      </c>
      <c r="AC28" s="67" t="str">
        <f>INDEX(Д2!$E$4:$AI$13,MATCH($D28,Д2!$D$4:$D$13),MATCH(AC$7,Д2!$E$3:$AI$3))</f>
        <v/>
      </c>
      <c r="AD28" s="67" t="str">
        <f>INDEX(Д2!$E$4:$AI$13,MATCH($D28,Д2!$D$4:$D$13),MATCH(AD$7,Д2!$E$3:$AI$3))</f>
        <v/>
      </c>
      <c r="AE28" s="67" t="str">
        <f>INDEX(Д2!$E$4:$AI$13,MATCH($D28,Д2!$D$4:$D$13),MATCH(AE$7,Д2!$E$3:$AI$3))</f>
        <v/>
      </c>
      <c r="AF28" s="67" t="str">
        <f>INDEX(Д2!$E$4:$AI$13,MATCH($D28,Д2!$D$4:$D$13),MATCH(AF$7,Д2!$E$3:$AI$3))</f>
        <v/>
      </c>
      <c r="AG28" s="67" t="str">
        <f>INDEX(Д2!$E$4:$AI$13,MATCH($D28,Д2!$D$4:$D$13),MATCH(AG$7,Д2!$E$3:$AI$3))</f>
        <v/>
      </c>
      <c r="AH28" s="67" t="str">
        <f>INDEX(Д2!$E$4:$AI$13,MATCH($D28,Д2!$D$4:$D$13),MATCH(AH$7,Д2!$E$3:$AI$3))</f>
        <v/>
      </c>
      <c r="AI28" s="68" t="str">
        <f>INDEX(Д2!$E$4:$AI$13,MATCH($D28,Д2!$D$4:$D$13),MATCH(AI$7,Д2!$E$3:$AI$3))</f>
        <v/>
      </c>
      <c r="AJ28" s="153"/>
      <c r="AK28" s="158"/>
      <c r="AL28" s="158"/>
      <c r="AM28" s="150"/>
      <c r="AP28" s="136"/>
      <c r="AQ28" s="136"/>
      <c r="AR28" s="136"/>
      <c r="AS28" s="136"/>
      <c r="AT28" s="136"/>
      <c r="AU28" s="136"/>
      <c r="AV28" s="136"/>
      <c r="AW28" s="137"/>
      <c r="AX28" s="137"/>
    </row>
    <row r="29" spans="1:50" ht="17.25" customHeight="1" thickTop="1" thickBot="1" x14ac:dyDescent="0.3">
      <c r="A29" s="146" t="s">
        <v>102</v>
      </c>
      <c r="B29" s="151" t="s">
        <v>90</v>
      </c>
      <c r="C29" s="152">
        <v>1</v>
      </c>
      <c r="D29" s="49">
        <v>1</v>
      </c>
      <c r="E29" s="64">
        <f ca="1">INDEX(Д3!$E$4:$AI$13,MATCH($D29,Д3!$D$4:$D$13),MATCH(E$7,Д3!$E$3:$AI$3))</f>
        <v>8</v>
      </c>
      <c r="F29" s="27">
        <f ca="1">INDEX(Д3!$E$4:$AI$13,MATCH($D29,Д3!$D$4:$D$13),MATCH(F$7,Д3!$E$3:$AI$3))</f>
        <v>0</v>
      </c>
      <c r="G29" s="27">
        <f ca="1">INDEX(Д3!$E$4:$AI$13,MATCH($D29,Д3!$D$4:$D$13),MATCH(G$7,Д3!$E$3:$AI$3))</f>
        <v>4</v>
      </c>
      <c r="H29" s="27">
        <f ca="1">INDEX(Д3!$E$4:$AI$13,MATCH($D29,Д3!$D$4:$D$13),MATCH(H$7,Д3!$E$3:$AI$3))</f>
        <v>8</v>
      </c>
      <c r="I29" s="27">
        <f ca="1">INDEX(Д3!$E$4:$AI$13,MATCH($D29,Д3!$D$4:$D$13),MATCH(I$7,Д3!$E$3:$AI$3))</f>
        <v>12</v>
      </c>
      <c r="J29" s="27">
        <f ca="1">INDEX(Д3!$E$4:$AI$13,MATCH($D29,Д3!$D$4:$D$13),MATCH(J$7,Д3!$E$3:$AI$3))</f>
        <v>4</v>
      </c>
      <c r="K29" s="27">
        <f ca="1">INDEX(Д3!$E$4:$AI$13,MATCH($D29,Д3!$D$4:$D$13),MATCH(K$7,Д3!$E$3:$AI$3))</f>
        <v>8</v>
      </c>
      <c r="L29" s="27">
        <f ca="1">INDEX(Д3!$E$4:$AI$13,MATCH($D29,Д3!$D$4:$D$13),MATCH(L$7,Д3!$E$3:$AI$3))</f>
        <v>12</v>
      </c>
      <c r="M29" s="27">
        <f ca="1">INDEX(Д3!$E$4:$AI$13,MATCH($D29,Д3!$D$4:$D$13),MATCH(M$7,Д3!$E$3:$AI$3))</f>
        <v>0</v>
      </c>
      <c r="N29" s="27">
        <f ca="1">INDEX(Д3!$E$4:$AI$13,MATCH($D29,Д3!$D$4:$D$13),MATCH(N$7,Д3!$E$3:$AI$3))</f>
        <v>0</v>
      </c>
      <c r="O29" s="27">
        <f ca="1">INDEX(Д3!$E$4:$AI$13,MATCH($D29,Д3!$D$4:$D$13),MATCH(O$7,Д3!$E$3:$AI$3))</f>
        <v>4</v>
      </c>
      <c r="P29" s="27">
        <f ca="1">INDEX(Д3!$E$4:$AI$13,MATCH($D29,Д3!$D$4:$D$13),MATCH(P$7,Д3!$E$3:$AI$3))</f>
        <v>8</v>
      </c>
      <c r="Q29" s="27">
        <f ca="1">INDEX(Д3!$E$4:$AI$13,MATCH($D29,Д3!$D$4:$D$13),MATCH(Q$7,Д3!$E$3:$AI$3))</f>
        <v>12</v>
      </c>
      <c r="R29" s="27">
        <f ca="1">INDEX(Д3!$E$4:$AI$13,MATCH($D29,Д3!$D$4:$D$13),MATCH(R$7,Д3!$E$3:$AI$3))</f>
        <v>4</v>
      </c>
      <c r="S29" s="27">
        <f ca="1">INDEX(Д3!$E$4:$AI$13,MATCH($D29,Д3!$D$4:$D$13),MATCH(S$7,Д3!$E$3:$AI$3))</f>
        <v>8</v>
      </c>
      <c r="T29" s="27">
        <f ca="1">INDEX(Д3!$E$4:$AI$13,MATCH($D29,Д3!$D$4:$D$13),MATCH(T$7,Д3!$E$3:$AI$3))</f>
        <v>12</v>
      </c>
      <c r="U29" s="27">
        <f ca="1">INDEX(Д3!$E$4:$AI$13,MATCH($D29,Д3!$D$4:$D$13),MATCH(U$7,Д3!$E$3:$AI$3))</f>
        <v>0</v>
      </c>
      <c r="V29" s="27">
        <f ca="1">INDEX(Д3!$E$4:$AI$13,MATCH($D29,Д3!$D$4:$D$13),MATCH(V$7,Д3!$E$3:$AI$3))</f>
        <v>0</v>
      </c>
      <c r="W29" s="27">
        <f ca="1">INDEX(Д3!$E$4:$AI$13,MATCH($D29,Д3!$D$4:$D$13),MATCH(W$7,Д3!$E$3:$AI$3))</f>
        <v>4</v>
      </c>
      <c r="X29" s="27">
        <f ca="1">INDEX(Д3!$E$4:$AI$13,MATCH($D29,Д3!$D$4:$D$13),MATCH(X$7,Д3!$E$3:$AI$3))</f>
        <v>8</v>
      </c>
      <c r="Y29" s="27">
        <f ca="1">INDEX(Д3!$E$4:$AI$13,MATCH($D29,Д3!$D$4:$D$13),MATCH(Y$7,Д3!$E$3:$AI$3))</f>
        <v>12</v>
      </c>
      <c r="Z29" s="27">
        <f ca="1">INDEX(Д3!$E$4:$AI$13,MATCH($D29,Д3!$D$4:$D$13),MATCH(Z$7,Д3!$E$3:$AI$3))</f>
        <v>4</v>
      </c>
      <c r="AA29" s="27">
        <f ca="1">INDEX(Д3!$E$4:$AI$13,MATCH($D29,Д3!$D$4:$D$13),MATCH(AA$7,Д3!$E$3:$AI$3))</f>
        <v>8</v>
      </c>
      <c r="AB29" s="27">
        <f ca="1">INDEX(Д3!$E$4:$AI$13,MATCH($D29,Д3!$D$4:$D$13),MATCH(AB$7,Д3!$E$3:$AI$3))</f>
        <v>12</v>
      </c>
      <c r="AC29" s="27">
        <f ca="1">INDEX(Д3!$E$4:$AI$13,MATCH($D29,Д3!$D$4:$D$13),MATCH(AC$7,Д3!$E$3:$AI$3))</f>
        <v>0</v>
      </c>
      <c r="AD29" s="27">
        <f ca="1">INDEX(Д3!$E$4:$AI$13,MATCH($D29,Д3!$D$4:$D$13),MATCH(AD$7,Д3!$E$3:$AI$3))</f>
        <v>0</v>
      </c>
      <c r="AE29" s="27">
        <f ca="1">INDEX(Д3!$E$4:$AI$13,MATCH($D29,Д3!$D$4:$D$13),MATCH(AE$7,Д3!$E$3:$AI$3))</f>
        <v>4</v>
      </c>
      <c r="AF29" s="27">
        <f ca="1">INDEX(Д3!$E$4:$AI$13,MATCH($D29,Д3!$D$4:$D$13),MATCH(AF$7,Д3!$E$3:$AI$3))</f>
        <v>8</v>
      </c>
      <c r="AG29" s="27">
        <f ca="1">INDEX(Д3!$E$4:$AI$13,MATCH($D29,Д3!$D$4:$D$13),MATCH(AG$7,Д3!$E$3:$AI$3))</f>
        <v>12</v>
      </c>
      <c r="AH29" s="27">
        <f ca="1">INDEX(Д3!$E$4:$AI$13,MATCH($D29,Д3!$D$4:$D$13),MATCH(AH$7,Д3!$E$3:$AI$3))</f>
        <v>4</v>
      </c>
      <c r="AI29" s="32">
        <f ca="1">INDEX(Д3!$E$4:$AI$13,MATCH($D29,Д3!$D$4:$D$13),MATCH(AI$7,Д3!$E$3:$AI$3))</f>
        <v>8</v>
      </c>
      <c r="AJ29" s="157">
        <f>INDEX(Д3!AK$4:$AK$13,MATCH($C29,Д3!$C$4:$C$13),MATCH(E$7,Д3!$E$3:$AI$3))*AND(MONTH($E$8)=MONTH(Д3!$B$4))</f>
        <v>136</v>
      </c>
      <c r="AK29" s="157">
        <f ca="1">SUM(E29:AI30)</f>
        <v>188</v>
      </c>
      <c r="AL29" s="145"/>
      <c r="AM29" s="149">
        <f ca="1">SUM(F29:H30,J29:AI30)-AJ29+AL29-12</f>
        <v>20</v>
      </c>
      <c r="AP29" s="136">
        <f t="shared" ref="AP29" ca="1" si="56">COUNTIF($E29:$AI30,"12")</f>
        <v>7</v>
      </c>
      <c r="AQ29" s="136">
        <f t="shared" ref="AQ29" ca="1" si="57">IF(COUNTIF($E29:$AI30,"СП")&gt;=1,(COUNTIF($E29:$AI30,"4")+COUNTIF($E29:$AI30,"8")-1)/2,(COUNTIF($E29:$AI30,"4")+COUNTIF($E29:$AI30,"8"))/2)</f>
        <v>8</v>
      </c>
      <c r="AR29" s="136">
        <f t="shared" ca="1" si="2"/>
        <v>84</v>
      </c>
      <c r="AS29" s="136">
        <f t="shared" ref="AS29" ca="1" si="58">IF(COUNTIF($E29:$AI30,"СП")&gt;=1,SUMIF($E29:$AI30,"4",$E29:$AI30)+SUMIF($E29:$AI30,"8",$E29:$AI30)-8,SUMIF($E29:$AI30,"4",$E29:$AI30)+SUMIF($E29:$AI30,"8",$E29:$AI30))</f>
        <v>96</v>
      </c>
      <c r="AT29" s="136">
        <f t="shared" ref="AT29" ca="1" si="59">$AR29+$AS29</f>
        <v>180</v>
      </c>
      <c r="AU29" s="136" t="str">
        <f t="shared" ref="AU29" ca="1" si="60">IF(AK29=AT29,"+","!")</f>
        <v>!</v>
      </c>
      <c r="AV29" s="136">
        <f t="shared" ref="AV29" ca="1" si="61">COUNTIF($E29:$AI30,"ОТ")</f>
        <v>0</v>
      </c>
      <c r="AW29" s="137" t="str">
        <f ca="1">IF(COUNTIF($A30:$AI30,"СП")&gt;0,IF(INDIRECT(ADDRESS(ROW(),MATCH("СП",$A30:$AI30),1))=8,"","!"),"")</f>
        <v/>
      </c>
      <c r="AX29" s="137" t="str">
        <f ca="1">IF(COUNTIF($A30:$AI30,"СП")&gt;0,IF(INDIRECT(ADDRESS(ROW(),MATCH("СП",$A30:$AI30)-1,1))=4,"!",""),"")</f>
        <v>!</v>
      </c>
    </row>
    <row r="30" spans="1:50" ht="16.5" thickBot="1" x14ac:dyDescent="0.3">
      <c r="A30" s="147"/>
      <c r="B30" s="139"/>
      <c r="C30" s="142"/>
      <c r="D30" s="50">
        <v>2</v>
      </c>
      <c r="E30" s="63" t="str">
        <f>INDEX(Д3!$E$4:$AI$13,MATCH($D30,Д3!$D$4:$D$13),MATCH(E$7,Д3!$E$3:$AI$3))</f>
        <v>СП</v>
      </c>
      <c r="F30" s="29" t="str">
        <f>INDEX(Д3!$E$4:$AI$13,MATCH($D30,Д3!$D$4:$D$13),MATCH(F$7,Д3!$E$3:$AI$3))</f>
        <v/>
      </c>
      <c r="G30" s="29" t="str">
        <f>INDEX(Д3!$E$4:$AI$13,MATCH($D30,Д3!$D$4:$D$13),MATCH(G$7,Д3!$E$3:$AI$3))</f>
        <v/>
      </c>
      <c r="H30" s="29" t="str">
        <f>INDEX(Д3!$E$4:$AI$13,MATCH($D30,Д3!$D$4:$D$13),MATCH(H$7,Д3!$E$3:$AI$3))</f>
        <v/>
      </c>
      <c r="I30" s="29" t="str">
        <f>INDEX(Д3!$E$4:$AI$13,MATCH($D30,Д3!$D$4:$D$13),MATCH(I$7,Д3!$E$3:$AI$3))</f>
        <v/>
      </c>
      <c r="J30" s="29" t="str">
        <f>INDEX(Д3!$E$4:$AI$13,MATCH($D30,Д3!$D$4:$D$13),MATCH(J$7,Д3!$E$3:$AI$3))</f>
        <v/>
      </c>
      <c r="K30" s="29" t="str">
        <f>INDEX(Д3!$E$4:$AI$13,MATCH($D30,Д3!$D$4:$D$13),MATCH(K$7,Д3!$E$3:$AI$3))</f>
        <v/>
      </c>
      <c r="L30" s="29" t="str">
        <f>INDEX(Д3!$E$4:$AI$13,MATCH($D30,Д3!$D$4:$D$13),MATCH(L$7,Д3!$E$3:$AI$3))</f>
        <v/>
      </c>
      <c r="M30" s="29" t="str">
        <f>INDEX(Д3!$E$4:$AI$13,MATCH($D30,Д3!$D$4:$D$13),MATCH(M$7,Д3!$E$3:$AI$3))</f>
        <v/>
      </c>
      <c r="N30" s="29" t="str">
        <f>INDEX(Д3!$E$4:$AI$13,MATCH($D30,Д3!$D$4:$D$13),MATCH(N$7,Д3!$E$3:$AI$3))</f>
        <v/>
      </c>
      <c r="O30" s="29" t="str">
        <f>INDEX(Д3!$E$4:$AI$13,MATCH($D30,Д3!$D$4:$D$13),MATCH(O$7,Д3!$E$3:$AI$3))</f>
        <v/>
      </c>
      <c r="P30" s="29" t="str">
        <f>INDEX(Д3!$E$4:$AI$13,MATCH($D30,Д3!$D$4:$D$13),MATCH(P$7,Д3!$E$3:$AI$3))</f>
        <v/>
      </c>
      <c r="Q30" s="29" t="str">
        <f>INDEX(Д3!$E$4:$AI$13,MATCH($D30,Д3!$D$4:$D$13),MATCH(Q$7,Д3!$E$3:$AI$3))</f>
        <v/>
      </c>
      <c r="R30" s="29" t="str">
        <f>INDEX(Д3!$E$4:$AI$13,MATCH($D30,Д3!$D$4:$D$13),MATCH(R$7,Д3!$E$3:$AI$3))</f>
        <v/>
      </c>
      <c r="S30" s="29" t="str">
        <f>INDEX(Д3!$E$4:$AI$13,MATCH($D30,Д3!$D$4:$D$13),MATCH(S$7,Д3!$E$3:$AI$3))</f>
        <v/>
      </c>
      <c r="T30" s="29" t="str">
        <f>INDEX(Д3!$E$4:$AI$13,MATCH($D30,Д3!$D$4:$D$13),MATCH(T$7,Д3!$E$3:$AI$3))</f>
        <v/>
      </c>
      <c r="U30" s="29" t="str">
        <f>INDEX(Д3!$E$4:$AI$13,MATCH($D30,Д3!$D$4:$D$13),MATCH(U$7,Д3!$E$3:$AI$3))</f>
        <v/>
      </c>
      <c r="V30" s="29" t="str">
        <f>INDEX(Д3!$E$4:$AI$13,MATCH($D30,Д3!$D$4:$D$13),MATCH(V$7,Д3!$E$3:$AI$3))</f>
        <v/>
      </c>
      <c r="W30" s="29" t="str">
        <f>INDEX(Д3!$E$4:$AI$13,MATCH($D30,Д3!$D$4:$D$13),MATCH(W$7,Д3!$E$3:$AI$3))</f>
        <v/>
      </c>
      <c r="X30" s="29" t="str">
        <f>INDEX(Д3!$E$4:$AI$13,MATCH($D30,Д3!$D$4:$D$13),MATCH(X$7,Д3!$E$3:$AI$3))</f>
        <v/>
      </c>
      <c r="Y30" s="29" t="str">
        <f>INDEX(Д3!$E$4:$AI$13,MATCH($D30,Д3!$D$4:$D$13),MATCH(Y$7,Д3!$E$3:$AI$3))</f>
        <v/>
      </c>
      <c r="Z30" s="29" t="str">
        <f>INDEX(Д3!$E$4:$AI$13,MATCH($D30,Д3!$D$4:$D$13),MATCH(Z$7,Д3!$E$3:$AI$3))</f>
        <v/>
      </c>
      <c r="AA30" s="29" t="str">
        <f>INDEX(Д3!$E$4:$AI$13,MATCH($D30,Д3!$D$4:$D$13),MATCH(AA$7,Д3!$E$3:$AI$3))</f>
        <v/>
      </c>
      <c r="AB30" s="29" t="str">
        <f>INDEX(Д3!$E$4:$AI$13,MATCH($D30,Д3!$D$4:$D$13),MATCH(AB$7,Д3!$E$3:$AI$3))</f>
        <v/>
      </c>
      <c r="AC30" s="29" t="str">
        <f>INDEX(Д3!$E$4:$AI$13,MATCH($D30,Д3!$D$4:$D$13),MATCH(AC$7,Д3!$E$3:$AI$3))</f>
        <v/>
      </c>
      <c r="AD30" s="29" t="str">
        <f>INDEX(Д3!$E$4:$AI$13,MATCH($D30,Д3!$D$4:$D$13),MATCH(AD$7,Д3!$E$3:$AI$3))</f>
        <v/>
      </c>
      <c r="AE30" s="29" t="str">
        <f>INDEX(Д3!$E$4:$AI$13,MATCH($D30,Д3!$D$4:$D$13),MATCH(AE$7,Д3!$E$3:$AI$3))</f>
        <v/>
      </c>
      <c r="AF30" s="29" t="str">
        <f>INDEX(Д3!$E$4:$AI$13,MATCH($D30,Д3!$D$4:$D$13),MATCH(AF$7,Д3!$E$3:$AI$3))</f>
        <v/>
      </c>
      <c r="AG30" s="29" t="str">
        <f>INDEX(Д3!$E$4:$AI$13,MATCH($D30,Д3!$D$4:$D$13),MATCH(AG$7,Д3!$E$3:$AI$3))</f>
        <v/>
      </c>
      <c r="AH30" s="29" t="str">
        <f>INDEX(Д3!$E$4:$AI$13,MATCH($D30,Д3!$D$4:$D$13),MATCH(AH$7,Д3!$E$3:$AI$3))</f>
        <v/>
      </c>
      <c r="AI30" s="61" t="str">
        <f>INDEX(Д3!$E$4:$AI$13,MATCH($D30,Д3!$D$4:$D$13),MATCH(AI$7,Д3!$E$3:$AI$3))</f>
        <v/>
      </c>
      <c r="AJ30" s="143"/>
      <c r="AK30" s="143"/>
      <c r="AL30" s="143"/>
      <c r="AM30" s="150"/>
      <c r="AP30" s="136"/>
      <c r="AQ30" s="136"/>
      <c r="AR30" s="136"/>
      <c r="AS30" s="136"/>
      <c r="AT30" s="136"/>
      <c r="AU30" s="136"/>
      <c r="AV30" s="136"/>
      <c r="AW30" s="137"/>
      <c r="AX30" s="137"/>
    </row>
    <row r="31" spans="1:50" ht="16.5" thickBot="1" x14ac:dyDescent="0.3">
      <c r="A31" s="147"/>
      <c r="B31" s="139" t="s">
        <v>91</v>
      </c>
      <c r="C31" s="141">
        <v>2</v>
      </c>
      <c r="D31" s="49">
        <v>3</v>
      </c>
      <c r="E31" s="64">
        <f ca="1">INDEX(Д3!$E$4:$AI$13,MATCH($D31,Д3!$D$4:$D$13),MATCH(E$7,Д3!$E$3:$AI$3))</f>
        <v>4</v>
      </c>
      <c r="F31" s="27">
        <f ca="1">INDEX(Д3!$E$4:$AI$13,MATCH($D31,Д3!$D$4:$D$13),MATCH(F$7,Д3!$E$3:$AI$3))</f>
        <v>8</v>
      </c>
      <c r="G31" s="27">
        <f ca="1">INDEX(Д3!$E$4:$AI$13,MATCH($D31,Д3!$D$4:$D$13),MATCH(G$7,Д3!$E$3:$AI$3))</f>
        <v>12</v>
      </c>
      <c r="H31" s="27">
        <f ca="1">INDEX(Д3!$E$4:$AI$13,MATCH($D31,Д3!$D$4:$D$13),MATCH(H$7,Д3!$E$3:$AI$3))</f>
        <v>4</v>
      </c>
      <c r="I31" s="27">
        <f ca="1">INDEX(Д3!$E$4:$AI$13,MATCH($D31,Д3!$D$4:$D$13),MATCH(I$7,Д3!$E$3:$AI$3))</f>
        <v>8</v>
      </c>
      <c r="J31" s="27">
        <f ca="1">INDEX(Д3!$E$4:$AI$13,MATCH($D31,Д3!$D$4:$D$13),MATCH(J$7,Д3!$E$3:$AI$3))</f>
        <v>12</v>
      </c>
      <c r="K31" s="27">
        <f ca="1">INDEX(Д3!$E$4:$AI$13,MATCH($D31,Д3!$D$4:$D$13),MATCH(K$7,Д3!$E$3:$AI$3))</f>
        <v>0</v>
      </c>
      <c r="L31" s="27">
        <f ca="1">INDEX(Д3!$E$4:$AI$13,MATCH($D31,Д3!$D$4:$D$13),MATCH(L$7,Д3!$E$3:$AI$3))</f>
        <v>0</v>
      </c>
      <c r="M31" s="27">
        <f ca="1">INDEX(Д3!$E$4:$AI$13,MATCH($D31,Д3!$D$4:$D$13),MATCH(M$7,Д3!$E$3:$AI$3))</f>
        <v>4</v>
      </c>
      <c r="N31" s="27">
        <f ca="1">INDEX(Д3!$E$4:$AI$13,MATCH($D31,Д3!$D$4:$D$13),MATCH(N$7,Д3!$E$3:$AI$3))</f>
        <v>8</v>
      </c>
      <c r="O31" s="27">
        <f ca="1">INDEX(Д3!$E$4:$AI$13,MATCH($D31,Д3!$D$4:$D$13),MATCH(O$7,Д3!$E$3:$AI$3))</f>
        <v>12</v>
      </c>
      <c r="P31" s="27">
        <f ca="1">INDEX(Д3!$E$4:$AI$13,MATCH($D31,Д3!$D$4:$D$13),MATCH(P$7,Д3!$E$3:$AI$3))</f>
        <v>4</v>
      </c>
      <c r="Q31" s="27">
        <f ca="1">INDEX(Д3!$E$4:$AI$13,MATCH($D31,Д3!$D$4:$D$13),MATCH(Q$7,Д3!$E$3:$AI$3))</f>
        <v>8</v>
      </c>
      <c r="R31" s="27">
        <f ca="1">INDEX(Д3!$E$4:$AI$13,MATCH($D31,Д3!$D$4:$D$13),MATCH(R$7,Д3!$E$3:$AI$3))</f>
        <v>12</v>
      </c>
      <c r="S31" s="27">
        <f ca="1">INDEX(Д3!$E$4:$AI$13,MATCH($D31,Д3!$D$4:$D$13),MATCH(S$7,Д3!$E$3:$AI$3))</f>
        <v>0</v>
      </c>
      <c r="T31" s="27">
        <f ca="1">INDEX(Д3!$E$4:$AI$13,MATCH($D31,Д3!$D$4:$D$13),MATCH(T$7,Д3!$E$3:$AI$3))</f>
        <v>0</v>
      </c>
      <c r="U31" s="27">
        <f ca="1">INDEX(Д3!$E$4:$AI$13,MATCH($D31,Д3!$D$4:$D$13),MATCH(U$7,Д3!$E$3:$AI$3))</f>
        <v>4</v>
      </c>
      <c r="V31" s="27">
        <f ca="1">INDEX(Д3!$E$4:$AI$13,MATCH($D31,Д3!$D$4:$D$13),MATCH(V$7,Д3!$E$3:$AI$3))</f>
        <v>8</v>
      </c>
      <c r="W31" s="27">
        <f ca="1">INDEX(Д3!$E$4:$AI$13,MATCH($D31,Д3!$D$4:$D$13),MATCH(W$7,Д3!$E$3:$AI$3))</f>
        <v>12</v>
      </c>
      <c r="X31" s="27">
        <f ca="1">INDEX(Д3!$E$4:$AI$13,MATCH($D31,Д3!$D$4:$D$13),MATCH(X$7,Д3!$E$3:$AI$3))</f>
        <v>4</v>
      </c>
      <c r="Y31" s="27">
        <f ca="1">INDEX(Д3!$E$4:$AI$13,MATCH($D31,Д3!$D$4:$D$13),MATCH(Y$7,Д3!$E$3:$AI$3))</f>
        <v>8</v>
      </c>
      <c r="Z31" s="27">
        <f ca="1">INDEX(Д3!$E$4:$AI$13,MATCH($D31,Д3!$D$4:$D$13),MATCH(Z$7,Д3!$E$3:$AI$3))</f>
        <v>12</v>
      </c>
      <c r="AA31" s="27">
        <f ca="1">INDEX(Д3!$E$4:$AI$13,MATCH($D31,Д3!$D$4:$D$13),MATCH(AA$7,Д3!$E$3:$AI$3))</f>
        <v>0</v>
      </c>
      <c r="AB31" s="27">
        <f ca="1">INDEX(Д3!$E$4:$AI$13,MATCH($D31,Д3!$D$4:$D$13),MATCH(AB$7,Д3!$E$3:$AI$3))</f>
        <v>0</v>
      </c>
      <c r="AC31" s="27">
        <f ca="1">INDEX(Д3!$E$4:$AI$13,MATCH($D31,Д3!$D$4:$D$13),MATCH(AC$7,Д3!$E$3:$AI$3))</f>
        <v>4</v>
      </c>
      <c r="AD31" s="27">
        <f ca="1">INDEX(Д3!$E$4:$AI$13,MATCH($D31,Д3!$D$4:$D$13),MATCH(AD$7,Д3!$E$3:$AI$3))</f>
        <v>8</v>
      </c>
      <c r="AE31" s="27">
        <f ca="1">INDEX(Д3!$E$4:$AI$13,MATCH($D31,Д3!$D$4:$D$13),MATCH(AE$7,Д3!$E$3:$AI$3))</f>
        <v>12</v>
      </c>
      <c r="AF31" s="27">
        <f ca="1">INDEX(Д3!$E$4:$AI$13,MATCH($D31,Д3!$D$4:$D$13),MATCH(AF$7,Д3!$E$3:$AI$3))</f>
        <v>4</v>
      </c>
      <c r="AG31" s="27">
        <f ca="1">INDEX(Д3!$E$4:$AI$13,MATCH($D31,Д3!$D$4:$D$13),MATCH(AG$7,Д3!$E$3:$AI$3))</f>
        <v>8</v>
      </c>
      <c r="AH31" s="27">
        <f ca="1">INDEX(Д3!$E$4:$AI$13,MATCH($D31,Д3!$D$4:$D$13),MATCH(AH$7,Д3!$E$3:$AI$3))</f>
        <v>12</v>
      </c>
      <c r="AI31" s="32">
        <f ca="1">INDEX(Д3!$E$4:$AI$13,MATCH($D31,Д3!$D$4:$D$13),MATCH(AI$7,Д3!$E$3:$AI$3))</f>
        <v>0</v>
      </c>
      <c r="AJ31" s="143">
        <f>INDEX(Д3!AK$4:$AK$13,MATCH($C31,Д3!$C$4:$C$13),MATCH(E$7,Д3!$E$3:$AI$3))*AND(MONTH($E$8)=MONTH(Д3!$B$4))</f>
        <v>136</v>
      </c>
      <c r="AK31" s="143">
        <f ca="1">SUM(E31:AI32)</f>
        <v>192</v>
      </c>
      <c r="AL31" s="143"/>
      <c r="AM31" s="149">
        <f ca="1">SUM(F31:H32,J31:AI32)-AJ31+AL31-12</f>
        <v>32</v>
      </c>
      <c r="AP31" s="136">
        <f t="shared" ref="AP31" ca="1" si="62">COUNTIF($E31:$AI32,"12")</f>
        <v>8</v>
      </c>
      <c r="AQ31" s="136">
        <f t="shared" ref="AQ31" ca="1" si="63">IF(COUNTIF($E31:$AI32,"СП")&gt;=1,(COUNTIF($E31:$AI32,"4")+COUNTIF($E31:$AI32,"8")-1)/2,(COUNTIF($E31:$AI32,"4")+COUNTIF($E31:$AI32,"8"))/2)</f>
        <v>7.5</v>
      </c>
      <c r="AR31" s="136">
        <f t="shared" ca="1" si="2"/>
        <v>96</v>
      </c>
      <c r="AS31" s="136">
        <f t="shared" ref="AS31" ca="1" si="64">IF(COUNTIF($E31:$AI32,"СП")&gt;=1,SUMIF($E31:$AI32,"4",$E31:$AI32)+SUMIF($E31:$AI32,"8",$E31:$AI32)-8,SUMIF($E31:$AI32,"4",$E31:$AI32)+SUMIF($E31:$AI32,"8",$E31:$AI32))</f>
        <v>88</v>
      </c>
      <c r="AT31" s="136">
        <f t="shared" ref="AT31" ca="1" si="65">$AR31+$AS31</f>
        <v>184</v>
      </c>
      <c r="AU31" s="136" t="str">
        <f t="shared" ref="AU31" ca="1" si="66">IF(AK31=AT31,"+","!")</f>
        <v>!</v>
      </c>
      <c r="AV31" s="136">
        <f t="shared" ref="AV31" ca="1" si="67">COUNTIF($E31:$AI32,"ОТ")</f>
        <v>0</v>
      </c>
      <c r="AW31" s="137" t="str">
        <f ca="1">IF(COUNTIF($A32:$AI32,"СП")&gt;0,IF(INDIRECT(ADDRESS(ROW(),MATCH("СП",$A32:$AI32),1))=8,"","!"),"")</f>
        <v>!</v>
      </c>
      <c r="AX31" s="137" t="str">
        <f ca="1">IF(COUNTIF($A32:$AI32,"СП")&gt;0,IF(INDIRECT(ADDRESS(ROW(),MATCH("СП",$A32:$AI32)-1,1))=4,"!",""),"")</f>
        <v/>
      </c>
    </row>
    <row r="32" spans="1:50" ht="16.5" thickBot="1" x14ac:dyDescent="0.3">
      <c r="A32" s="147"/>
      <c r="B32" s="139"/>
      <c r="C32" s="142"/>
      <c r="D32" s="50">
        <v>4</v>
      </c>
      <c r="E32" s="65" t="str">
        <f>INDEX(Д3!$E$4:$AI$13,MATCH($D32,Д3!$D$4:$D$13),MATCH(E$7,Д3!$E$3:$AI$3))</f>
        <v/>
      </c>
      <c r="F32" s="30" t="str">
        <f>INDEX(Д3!$E$4:$AI$13,MATCH($D32,Д3!$D$4:$D$13),MATCH(F$7,Д3!$E$3:$AI$3))</f>
        <v>СП</v>
      </c>
      <c r="G32" s="30" t="str">
        <f>INDEX(Д3!$E$4:$AI$13,MATCH($D32,Д3!$D$4:$D$13),MATCH(G$7,Д3!$E$3:$AI$3))</f>
        <v/>
      </c>
      <c r="H32" s="30" t="str">
        <f>INDEX(Д3!$E$4:$AI$13,MATCH($D32,Д3!$D$4:$D$13),MATCH(H$7,Д3!$E$3:$AI$3))</f>
        <v/>
      </c>
      <c r="I32" s="30" t="str">
        <f>INDEX(Д3!$E$4:$AI$13,MATCH($D32,Д3!$D$4:$D$13),MATCH(I$7,Д3!$E$3:$AI$3))</f>
        <v/>
      </c>
      <c r="J32" s="30" t="str">
        <f>INDEX(Д3!$E$4:$AI$13,MATCH($D32,Д3!$D$4:$D$13),MATCH(J$7,Д3!$E$3:$AI$3))</f>
        <v/>
      </c>
      <c r="K32" s="30" t="str">
        <f>INDEX(Д3!$E$4:$AI$13,MATCH($D32,Д3!$D$4:$D$13),MATCH(K$7,Д3!$E$3:$AI$3))</f>
        <v/>
      </c>
      <c r="L32" s="30" t="str">
        <f>INDEX(Д3!$E$4:$AI$13,MATCH($D32,Д3!$D$4:$D$13),MATCH(L$7,Д3!$E$3:$AI$3))</f>
        <v/>
      </c>
      <c r="M32" s="30" t="str">
        <f>INDEX(Д3!$E$4:$AI$13,MATCH($D32,Д3!$D$4:$D$13),MATCH(M$7,Д3!$E$3:$AI$3))</f>
        <v/>
      </c>
      <c r="N32" s="30" t="str">
        <f>INDEX(Д3!$E$4:$AI$13,MATCH($D32,Д3!$D$4:$D$13),MATCH(N$7,Д3!$E$3:$AI$3))</f>
        <v/>
      </c>
      <c r="O32" s="30" t="str">
        <f>INDEX(Д3!$E$4:$AI$13,MATCH($D32,Д3!$D$4:$D$13),MATCH(O$7,Д3!$E$3:$AI$3))</f>
        <v/>
      </c>
      <c r="P32" s="30" t="str">
        <f>INDEX(Д3!$E$4:$AI$13,MATCH($D32,Д3!$D$4:$D$13),MATCH(P$7,Д3!$E$3:$AI$3))</f>
        <v/>
      </c>
      <c r="Q32" s="30" t="str">
        <f>INDEX(Д3!$E$4:$AI$13,MATCH($D32,Д3!$D$4:$D$13),MATCH(Q$7,Д3!$E$3:$AI$3))</f>
        <v/>
      </c>
      <c r="R32" s="30" t="str">
        <f>INDEX(Д3!$E$4:$AI$13,MATCH($D32,Д3!$D$4:$D$13),MATCH(R$7,Д3!$E$3:$AI$3))</f>
        <v/>
      </c>
      <c r="S32" s="30" t="str">
        <f>INDEX(Д3!$E$4:$AI$13,MATCH($D32,Д3!$D$4:$D$13),MATCH(S$7,Д3!$E$3:$AI$3))</f>
        <v/>
      </c>
      <c r="T32" s="30" t="str">
        <f>INDEX(Д3!$E$4:$AI$13,MATCH($D32,Д3!$D$4:$D$13),MATCH(T$7,Д3!$E$3:$AI$3))</f>
        <v/>
      </c>
      <c r="U32" s="30" t="str">
        <f>INDEX(Д3!$E$4:$AI$13,MATCH($D32,Д3!$D$4:$D$13),MATCH(U$7,Д3!$E$3:$AI$3))</f>
        <v/>
      </c>
      <c r="V32" s="30" t="str">
        <f>INDEX(Д3!$E$4:$AI$13,MATCH($D32,Д3!$D$4:$D$13),MATCH(V$7,Д3!$E$3:$AI$3))</f>
        <v/>
      </c>
      <c r="W32" s="30" t="str">
        <f>INDEX(Д3!$E$4:$AI$13,MATCH($D32,Д3!$D$4:$D$13),MATCH(W$7,Д3!$E$3:$AI$3))</f>
        <v/>
      </c>
      <c r="X32" s="30" t="str">
        <f>INDEX(Д3!$E$4:$AI$13,MATCH($D32,Д3!$D$4:$D$13),MATCH(X$7,Д3!$E$3:$AI$3))</f>
        <v/>
      </c>
      <c r="Y32" s="30" t="str">
        <f>INDEX(Д3!$E$4:$AI$13,MATCH($D32,Д3!$D$4:$D$13),MATCH(Y$7,Д3!$E$3:$AI$3))</f>
        <v/>
      </c>
      <c r="Z32" s="30" t="str">
        <f>INDEX(Д3!$E$4:$AI$13,MATCH($D32,Д3!$D$4:$D$13),MATCH(Z$7,Д3!$E$3:$AI$3))</f>
        <v/>
      </c>
      <c r="AA32" s="30" t="str">
        <f>INDEX(Д3!$E$4:$AI$13,MATCH($D32,Д3!$D$4:$D$13),MATCH(AA$7,Д3!$E$3:$AI$3))</f>
        <v/>
      </c>
      <c r="AB32" s="30" t="str">
        <f>INDEX(Д3!$E$4:$AI$13,MATCH($D32,Д3!$D$4:$D$13),MATCH(AB$7,Д3!$E$3:$AI$3))</f>
        <v/>
      </c>
      <c r="AC32" s="30" t="str">
        <f>INDEX(Д3!$E$4:$AI$13,MATCH($D32,Д3!$D$4:$D$13),MATCH(AC$7,Д3!$E$3:$AI$3))</f>
        <v/>
      </c>
      <c r="AD32" s="30" t="str">
        <f>INDEX(Д3!$E$4:$AI$13,MATCH($D32,Д3!$D$4:$D$13),MATCH(AD$7,Д3!$E$3:$AI$3))</f>
        <v/>
      </c>
      <c r="AE32" s="30" t="str">
        <f>INDEX(Д3!$E$4:$AI$13,MATCH($D32,Д3!$D$4:$D$13),MATCH(AE$7,Д3!$E$3:$AI$3))</f>
        <v/>
      </c>
      <c r="AF32" s="30" t="str">
        <f>INDEX(Д3!$E$4:$AI$13,MATCH($D32,Д3!$D$4:$D$13),MATCH(AF$7,Д3!$E$3:$AI$3))</f>
        <v/>
      </c>
      <c r="AG32" s="30" t="str">
        <f>INDEX(Д3!$E$4:$AI$13,MATCH($D32,Д3!$D$4:$D$13),MATCH(AG$7,Д3!$E$3:$AI$3))</f>
        <v/>
      </c>
      <c r="AH32" s="30" t="str">
        <f>INDEX(Д3!$E$4:$AI$13,MATCH($D32,Д3!$D$4:$D$13),MATCH(AH$7,Д3!$E$3:$AI$3))</f>
        <v/>
      </c>
      <c r="AI32" s="33" t="str">
        <f>INDEX(Д3!$E$4:$AI$13,MATCH($D32,Д3!$D$4:$D$13),MATCH(AI$7,Д3!$E$3:$AI$3))</f>
        <v/>
      </c>
      <c r="AJ32" s="143"/>
      <c r="AK32" s="143"/>
      <c r="AL32" s="143"/>
      <c r="AM32" s="150"/>
      <c r="AP32" s="136"/>
      <c r="AQ32" s="136"/>
      <c r="AR32" s="136"/>
      <c r="AS32" s="136"/>
      <c r="AT32" s="136"/>
      <c r="AU32" s="136"/>
      <c r="AV32" s="136"/>
      <c r="AW32" s="137"/>
      <c r="AX32" s="137"/>
    </row>
    <row r="33" spans="1:50" ht="16.5" customHeight="1" thickBot="1" x14ac:dyDescent="0.3">
      <c r="A33" s="147"/>
      <c r="B33" s="139" t="s">
        <v>92</v>
      </c>
      <c r="C33" s="141">
        <v>3</v>
      </c>
      <c r="D33" s="49">
        <v>5</v>
      </c>
      <c r="E33" s="62">
        <f ca="1">INDEX(Д3!$E$4:$AI$13,MATCH($D33,Д3!$D$4:$D$13),MATCH(E$7,Д3!$E$3:$AI$3))</f>
        <v>8</v>
      </c>
      <c r="F33" s="28">
        <f ca="1">INDEX(Д3!$E$4:$AI$13,MATCH($D33,Д3!$D$4:$D$13),MATCH(F$7,Д3!$E$3:$AI$3))</f>
        <v>12</v>
      </c>
      <c r="G33" s="28">
        <f ca="1">INDEX(Д3!$E$4:$AI$13,MATCH($D33,Д3!$D$4:$D$13),MATCH(G$7,Д3!$E$3:$AI$3))</f>
        <v>8</v>
      </c>
      <c r="H33" s="28">
        <f ca="1">INDEX(Д3!$E$4:$AI$13,MATCH($D33,Д3!$D$4:$D$13),MATCH(H$7,Д3!$E$3:$AI$3))</f>
        <v>0</v>
      </c>
      <c r="I33" s="28">
        <f ca="1">INDEX(Д3!$E$4:$AI$13,MATCH($D33,Д3!$D$4:$D$13),MATCH(I$7,Д3!$E$3:$AI$3))</f>
        <v>4</v>
      </c>
      <c r="J33" s="28">
        <f ca="1">INDEX(Д3!$E$4:$AI$13,MATCH($D33,Д3!$D$4:$D$13),MATCH(J$7,Д3!$E$3:$AI$3))</f>
        <v>8</v>
      </c>
      <c r="K33" s="28">
        <f ca="1">INDEX(Д3!$E$4:$AI$13,MATCH($D33,Д3!$D$4:$D$13),MATCH(K$7,Д3!$E$3:$AI$3))</f>
        <v>12</v>
      </c>
      <c r="L33" s="28">
        <f ca="1">INDEX(Д3!$E$4:$AI$13,MATCH($D33,Д3!$D$4:$D$13),MATCH(L$7,Д3!$E$3:$AI$3))</f>
        <v>4</v>
      </c>
      <c r="M33" s="28">
        <f ca="1">INDEX(Д3!$E$4:$AI$13,MATCH($D33,Д3!$D$4:$D$13),MATCH(M$7,Д3!$E$3:$AI$3))</f>
        <v>8</v>
      </c>
      <c r="N33" s="28">
        <f ca="1">INDEX(Д3!$E$4:$AI$13,MATCH($D33,Д3!$D$4:$D$13),MATCH(N$7,Д3!$E$3:$AI$3))</f>
        <v>12</v>
      </c>
      <c r="O33" s="28">
        <f ca="1">INDEX(Д3!$E$4:$AI$13,MATCH($D33,Д3!$D$4:$D$13),MATCH(O$7,Д3!$E$3:$AI$3))</f>
        <v>0</v>
      </c>
      <c r="P33" s="28">
        <f ca="1">INDEX(Д3!$E$4:$AI$13,MATCH($D33,Д3!$D$4:$D$13),MATCH(P$7,Д3!$E$3:$AI$3))</f>
        <v>0</v>
      </c>
      <c r="Q33" s="28">
        <f ca="1">INDEX(Д3!$E$4:$AI$13,MATCH($D33,Д3!$D$4:$D$13),MATCH(Q$7,Д3!$E$3:$AI$3))</f>
        <v>4</v>
      </c>
      <c r="R33" s="28">
        <f ca="1">INDEX(Д3!$E$4:$AI$13,MATCH($D33,Д3!$D$4:$D$13),MATCH(R$7,Д3!$E$3:$AI$3))</f>
        <v>8</v>
      </c>
      <c r="S33" s="28">
        <f ca="1">INDEX(Д3!$E$4:$AI$13,MATCH($D33,Д3!$D$4:$D$13),MATCH(S$7,Д3!$E$3:$AI$3))</f>
        <v>12</v>
      </c>
      <c r="T33" s="28">
        <f ca="1">INDEX(Д3!$E$4:$AI$13,MATCH($D33,Д3!$D$4:$D$13),MATCH(T$7,Д3!$E$3:$AI$3))</f>
        <v>4</v>
      </c>
      <c r="U33" s="28">
        <f ca="1">INDEX(Д3!$E$4:$AI$13,MATCH($D33,Д3!$D$4:$D$13),MATCH(U$7,Д3!$E$3:$AI$3))</f>
        <v>8</v>
      </c>
      <c r="V33" s="28">
        <f ca="1">INDEX(Д3!$E$4:$AI$13,MATCH($D33,Д3!$D$4:$D$13),MATCH(V$7,Д3!$E$3:$AI$3))</f>
        <v>12</v>
      </c>
      <c r="W33" s="28">
        <f ca="1">INDEX(Д3!$E$4:$AI$13,MATCH($D33,Д3!$D$4:$D$13),MATCH(W$7,Д3!$E$3:$AI$3))</f>
        <v>0</v>
      </c>
      <c r="X33" s="28">
        <f ca="1">INDEX(Д3!$E$4:$AI$13,MATCH($D33,Д3!$D$4:$D$13),MATCH(X$7,Д3!$E$3:$AI$3))</f>
        <v>0</v>
      </c>
      <c r="Y33" s="28">
        <f ca="1">INDEX(Д3!$E$4:$AI$13,MATCH($D33,Д3!$D$4:$D$13),MATCH(Y$7,Д3!$E$3:$AI$3))</f>
        <v>4</v>
      </c>
      <c r="Z33" s="28">
        <f ca="1">INDEX(Д3!$E$4:$AI$13,MATCH($D33,Д3!$D$4:$D$13),MATCH(Z$7,Д3!$E$3:$AI$3))</f>
        <v>8</v>
      </c>
      <c r="AA33" s="28">
        <f ca="1">INDEX(Д3!$E$4:$AI$13,MATCH($D33,Д3!$D$4:$D$13),MATCH(AA$7,Д3!$E$3:$AI$3))</f>
        <v>12</v>
      </c>
      <c r="AB33" s="28">
        <f ca="1">INDEX(Д3!$E$4:$AI$13,MATCH($D33,Д3!$D$4:$D$13),MATCH(AB$7,Д3!$E$3:$AI$3))</f>
        <v>4</v>
      </c>
      <c r="AC33" s="28">
        <f ca="1">INDEX(Д3!$E$4:$AI$13,MATCH($D33,Д3!$D$4:$D$13),MATCH(AC$7,Д3!$E$3:$AI$3))</f>
        <v>8</v>
      </c>
      <c r="AD33" s="28">
        <f ca="1">INDEX(Д3!$E$4:$AI$13,MATCH($D33,Д3!$D$4:$D$13),MATCH(AD$7,Д3!$E$3:$AI$3))</f>
        <v>12</v>
      </c>
      <c r="AE33" s="28">
        <f ca="1">INDEX(Д3!$E$4:$AI$13,MATCH($D33,Д3!$D$4:$D$13),MATCH(AE$7,Д3!$E$3:$AI$3))</f>
        <v>0</v>
      </c>
      <c r="AF33" s="28">
        <f ca="1">INDEX(Д3!$E$4:$AI$13,MATCH($D33,Д3!$D$4:$D$13),MATCH(AF$7,Д3!$E$3:$AI$3))</f>
        <v>0</v>
      </c>
      <c r="AG33" s="28">
        <f ca="1">INDEX(Д3!$E$4:$AI$13,MATCH($D33,Д3!$D$4:$D$13),MATCH(AG$7,Д3!$E$3:$AI$3))</f>
        <v>4</v>
      </c>
      <c r="AH33" s="28">
        <f ca="1">INDEX(Д3!$E$4:$AI$13,MATCH($D33,Д3!$D$4:$D$13),MATCH(AH$7,Д3!$E$3:$AI$3))</f>
        <v>8</v>
      </c>
      <c r="AI33" s="60">
        <f ca="1">INDEX(Д3!$E$4:$AI$13,MATCH($D33,Д3!$D$4:$D$13),MATCH(AI$7,Д3!$E$3:$AI$3))</f>
        <v>12</v>
      </c>
      <c r="AJ33" s="143">
        <f>INDEX(Д3!AK$4:$AK$13,MATCH($C33,Д3!$C$4:$C$13),MATCH(E$7,Д3!$E$3:$AI$3))*AND(MONTH($E$8)=MONTH(Д3!$B$4))</f>
        <v>136</v>
      </c>
      <c r="AK33" s="143">
        <f ca="1">SUM(E33:AI34)</f>
        <v>196</v>
      </c>
      <c r="AL33" s="143"/>
      <c r="AM33" s="149">
        <f ca="1">SUM(F33:H34,J33:AI34)-AJ33+AL33-12</f>
        <v>36</v>
      </c>
      <c r="AP33" s="136">
        <f t="shared" ref="AP33" ca="1" si="68">COUNTIF($E33:$AI34,"12")</f>
        <v>8</v>
      </c>
      <c r="AQ33" s="136">
        <f t="shared" ref="AQ33" ca="1" si="69">IF(COUNTIF($E33:$AI34,"СП")&gt;=1,(COUNTIF($E33:$AI34,"4")+COUNTIF($E33:$AI34,"8")-1)/2,(COUNTIF($E33:$AI34,"4")+COUNTIF($E33:$AI34,"8"))/2)</f>
        <v>7.5</v>
      </c>
      <c r="AR33" s="136">
        <f t="shared" ca="1" si="2"/>
        <v>96</v>
      </c>
      <c r="AS33" s="136">
        <f t="shared" ref="AS33" ca="1" si="70">IF(COUNTIF($E33:$AI34,"СП")&gt;=1,SUMIF($E33:$AI34,"4",$E33:$AI34)+SUMIF($E33:$AI34,"8",$E33:$AI34)-8,SUMIF($E33:$AI34,"4",$E33:$AI34)+SUMIF($E33:$AI34,"8",$E33:$AI34))</f>
        <v>92</v>
      </c>
      <c r="AT33" s="136">
        <f t="shared" ref="AT33" ca="1" si="71">$AR33+$AS33</f>
        <v>188</v>
      </c>
      <c r="AU33" s="136" t="str">
        <f t="shared" ref="AU33" ca="1" si="72">IF(AK33=AT33,"+","!")</f>
        <v>!</v>
      </c>
      <c r="AV33" s="136">
        <f t="shared" ref="AV33" ca="1" si="73">COUNTIF($E33:$AI34,"ОТ")</f>
        <v>0</v>
      </c>
      <c r="AW33" s="137" t="str">
        <f ca="1">IF(COUNTIF($A34:$AI34,"СП")&gt;0,IF(INDIRECT(ADDRESS(ROW(),MATCH("СП",$A34:$AI34),1))=8,"","!"),"")</f>
        <v>!</v>
      </c>
      <c r="AX33" s="137" t="str">
        <f ca="1">IF(COUNTIF($A34:$AI34,"СП")&gt;0,IF(INDIRECT(ADDRESS(ROW(),MATCH("СП",$A34:$AI34)-1,1))=4,"!",""),"")</f>
        <v/>
      </c>
    </row>
    <row r="34" spans="1:50" ht="16.5" thickBot="1" x14ac:dyDescent="0.3">
      <c r="A34" s="147"/>
      <c r="B34" s="139"/>
      <c r="C34" s="142"/>
      <c r="D34" s="50">
        <v>6</v>
      </c>
      <c r="E34" s="63" t="str">
        <f>INDEX(Д3!$E$4:$AI$13,MATCH($D34,Д3!$D$4:$D$13),MATCH(E$7,Д3!$E$3:$AI$3))</f>
        <v/>
      </c>
      <c r="F34" s="29" t="str">
        <f>INDEX(Д3!$E$4:$AI$13,MATCH($D34,Д3!$D$4:$D$13),MATCH(F$7,Д3!$E$3:$AI$3))</f>
        <v/>
      </c>
      <c r="G34" s="29" t="str">
        <f>INDEX(Д3!$E$4:$AI$13,MATCH($D34,Д3!$D$4:$D$13),MATCH(G$7,Д3!$E$3:$AI$3))</f>
        <v>СП</v>
      </c>
      <c r="H34" s="29" t="str">
        <f>INDEX(Д3!$E$4:$AI$13,MATCH($D34,Д3!$D$4:$D$13),MATCH(H$7,Д3!$E$3:$AI$3))</f>
        <v/>
      </c>
      <c r="I34" s="29" t="str">
        <f>INDEX(Д3!$E$4:$AI$13,MATCH($D34,Д3!$D$4:$D$13),MATCH(I$7,Д3!$E$3:$AI$3))</f>
        <v/>
      </c>
      <c r="J34" s="29" t="str">
        <f>INDEX(Д3!$E$4:$AI$13,MATCH($D34,Д3!$D$4:$D$13),MATCH(J$7,Д3!$E$3:$AI$3))</f>
        <v/>
      </c>
      <c r="K34" s="29" t="str">
        <f>INDEX(Д3!$E$4:$AI$13,MATCH($D34,Д3!$D$4:$D$13),MATCH(K$7,Д3!$E$3:$AI$3))</f>
        <v/>
      </c>
      <c r="L34" s="29" t="str">
        <f>INDEX(Д3!$E$4:$AI$13,MATCH($D34,Д3!$D$4:$D$13),MATCH(L$7,Д3!$E$3:$AI$3))</f>
        <v/>
      </c>
      <c r="M34" s="29" t="str">
        <f>INDEX(Д3!$E$4:$AI$13,MATCH($D34,Д3!$D$4:$D$13),MATCH(M$7,Д3!$E$3:$AI$3))</f>
        <v/>
      </c>
      <c r="N34" s="29" t="str">
        <f>INDEX(Д3!$E$4:$AI$13,MATCH($D34,Д3!$D$4:$D$13),MATCH(N$7,Д3!$E$3:$AI$3))</f>
        <v/>
      </c>
      <c r="O34" s="29" t="str">
        <f>INDEX(Д3!$E$4:$AI$13,MATCH($D34,Д3!$D$4:$D$13),MATCH(O$7,Д3!$E$3:$AI$3))</f>
        <v/>
      </c>
      <c r="P34" s="29" t="str">
        <f>INDEX(Д3!$E$4:$AI$13,MATCH($D34,Д3!$D$4:$D$13),MATCH(P$7,Д3!$E$3:$AI$3))</f>
        <v/>
      </c>
      <c r="Q34" s="29" t="str">
        <f>INDEX(Д3!$E$4:$AI$13,MATCH($D34,Д3!$D$4:$D$13),MATCH(Q$7,Д3!$E$3:$AI$3))</f>
        <v/>
      </c>
      <c r="R34" s="29" t="str">
        <f>INDEX(Д3!$E$4:$AI$13,MATCH($D34,Д3!$D$4:$D$13),MATCH(R$7,Д3!$E$3:$AI$3))</f>
        <v/>
      </c>
      <c r="S34" s="29" t="str">
        <f>INDEX(Д3!$E$4:$AI$13,MATCH($D34,Д3!$D$4:$D$13),MATCH(S$7,Д3!$E$3:$AI$3))</f>
        <v/>
      </c>
      <c r="T34" s="29" t="str">
        <f>INDEX(Д3!$E$4:$AI$13,MATCH($D34,Д3!$D$4:$D$13),MATCH(T$7,Д3!$E$3:$AI$3))</f>
        <v/>
      </c>
      <c r="U34" s="29" t="str">
        <f>INDEX(Д3!$E$4:$AI$13,MATCH($D34,Д3!$D$4:$D$13),MATCH(U$7,Д3!$E$3:$AI$3))</f>
        <v/>
      </c>
      <c r="V34" s="29" t="str">
        <f>INDEX(Д3!$E$4:$AI$13,MATCH($D34,Д3!$D$4:$D$13),MATCH(V$7,Д3!$E$3:$AI$3))</f>
        <v/>
      </c>
      <c r="W34" s="29" t="str">
        <f>INDEX(Д3!$E$4:$AI$13,MATCH($D34,Д3!$D$4:$D$13),MATCH(W$7,Д3!$E$3:$AI$3))</f>
        <v/>
      </c>
      <c r="X34" s="29" t="str">
        <f>INDEX(Д3!$E$4:$AI$13,MATCH($D34,Д3!$D$4:$D$13),MATCH(X$7,Д3!$E$3:$AI$3))</f>
        <v/>
      </c>
      <c r="Y34" s="29" t="str">
        <f>INDEX(Д3!$E$4:$AI$13,MATCH($D34,Д3!$D$4:$D$13),MATCH(Y$7,Д3!$E$3:$AI$3))</f>
        <v/>
      </c>
      <c r="Z34" s="29" t="str">
        <f>INDEX(Д3!$E$4:$AI$13,MATCH($D34,Д3!$D$4:$D$13),MATCH(Z$7,Д3!$E$3:$AI$3))</f>
        <v/>
      </c>
      <c r="AA34" s="29" t="str">
        <f>INDEX(Д3!$E$4:$AI$13,MATCH($D34,Д3!$D$4:$D$13),MATCH(AA$7,Д3!$E$3:$AI$3))</f>
        <v/>
      </c>
      <c r="AB34" s="29" t="str">
        <f>INDEX(Д3!$E$4:$AI$13,MATCH($D34,Д3!$D$4:$D$13),MATCH(AB$7,Д3!$E$3:$AI$3))</f>
        <v/>
      </c>
      <c r="AC34" s="29" t="str">
        <f>INDEX(Д3!$E$4:$AI$13,MATCH($D34,Д3!$D$4:$D$13),MATCH(AC$7,Д3!$E$3:$AI$3))</f>
        <v/>
      </c>
      <c r="AD34" s="29" t="str">
        <f>INDEX(Д3!$E$4:$AI$13,MATCH($D34,Д3!$D$4:$D$13),MATCH(AD$7,Д3!$E$3:$AI$3))</f>
        <v/>
      </c>
      <c r="AE34" s="29" t="str">
        <f>INDEX(Д3!$E$4:$AI$13,MATCH($D34,Д3!$D$4:$D$13),MATCH(AE$7,Д3!$E$3:$AI$3))</f>
        <v/>
      </c>
      <c r="AF34" s="29" t="str">
        <f>INDEX(Д3!$E$4:$AI$13,MATCH($D34,Д3!$D$4:$D$13),MATCH(AF$7,Д3!$E$3:$AI$3))</f>
        <v/>
      </c>
      <c r="AG34" s="29" t="str">
        <f>INDEX(Д3!$E$4:$AI$13,MATCH($D34,Д3!$D$4:$D$13),MATCH(AG$7,Д3!$E$3:$AI$3))</f>
        <v/>
      </c>
      <c r="AH34" s="29" t="str">
        <f>INDEX(Д3!$E$4:$AI$13,MATCH($D34,Д3!$D$4:$D$13),MATCH(AH$7,Д3!$E$3:$AI$3))</f>
        <v/>
      </c>
      <c r="AI34" s="61" t="str">
        <f>INDEX(Д3!$E$4:$AI$13,MATCH($D34,Д3!$D$4:$D$13),MATCH(AI$7,Д3!$E$3:$AI$3))</f>
        <v/>
      </c>
      <c r="AJ34" s="143"/>
      <c r="AK34" s="143"/>
      <c r="AL34" s="143"/>
      <c r="AM34" s="150"/>
      <c r="AP34" s="136"/>
      <c r="AQ34" s="136"/>
      <c r="AR34" s="136"/>
      <c r="AS34" s="136"/>
      <c r="AT34" s="136"/>
      <c r="AU34" s="136"/>
      <c r="AV34" s="136"/>
      <c r="AW34" s="137"/>
      <c r="AX34" s="137"/>
    </row>
    <row r="35" spans="1:50" ht="16.5" customHeight="1" thickBot="1" x14ac:dyDescent="0.3">
      <c r="A35" s="147"/>
      <c r="B35" s="139" t="s">
        <v>93</v>
      </c>
      <c r="C35" s="141">
        <v>4</v>
      </c>
      <c r="D35" s="49">
        <v>7</v>
      </c>
      <c r="E35" s="64">
        <f ca="1">INDEX(Д3!$E$4:$AI$13,MATCH($D35,Д3!$D$4:$D$13),MATCH(E$7,Д3!$E$3:$AI$3))</f>
        <v>12</v>
      </c>
      <c r="F35" s="27">
        <f ca="1">INDEX(Д3!$E$4:$AI$13,MATCH($D35,Д3!$D$4:$D$13),MATCH(F$7,Д3!$E$3:$AI$3))</f>
        <v>4</v>
      </c>
      <c r="G35" s="27">
        <f ca="1">INDEX(Д3!$E$4:$AI$13,MATCH($D35,Д3!$D$4:$D$13),MATCH(G$7,Д3!$E$3:$AI$3))</f>
        <v>8</v>
      </c>
      <c r="H35" s="27">
        <f ca="1">INDEX(Д3!$E$4:$AI$13,MATCH($D35,Д3!$D$4:$D$13),MATCH(H$7,Д3!$E$3:$AI$3))</f>
        <v>12</v>
      </c>
      <c r="I35" s="27">
        <f ca="1">INDEX(Д3!$E$4:$AI$13,MATCH($D35,Д3!$D$4:$D$13),MATCH(I$7,Д3!$E$3:$AI$3))</f>
        <v>0</v>
      </c>
      <c r="J35" s="27">
        <f ca="1">INDEX(Д3!$E$4:$AI$13,MATCH($D35,Д3!$D$4:$D$13),MATCH(J$7,Д3!$E$3:$AI$3))</f>
        <v>0</v>
      </c>
      <c r="K35" s="27">
        <f ca="1">INDEX(Д3!$E$4:$AI$13,MATCH($D35,Д3!$D$4:$D$13),MATCH(K$7,Д3!$E$3:$AI$3))</f>
        <v>4</v>
      </c>
      <c r="L35" s="27">
        <f ca="1">INDEX(Д3!$E$4:$AI$13,MATCH($D35,Д3!$D$4:$D$13),MATCH(L$7,Д3!$E$3:$AI$3))</f>
        <v>8</v>
      </c>
      <c r="M35" s="27">
        <f ca="1">INDEX(Д3!$E$4:$AI$13,MATCH($D35,Д3!$D$4:$D$13),MATCH(M$7,Д3!$E$3:$AI$3))</f>
        <v>12</v>
      </c>
      <c r="N35" s="27">
        <f ca="1">INDEX(Д3!$E$4:$AI$13,MATCH($D35,Д3!$D$4:$D$13),MATCH(N$7,Д3!$E$3:$AI$3))</f>
        <v>4</v>
      </c>
      <c r="O35" s="27">
        <f ca="1">INDEX(Д3!$E$4:$AI$13,MATCH($D35,Д3!$D$4:$D$13),MATCH(O$7,Д3!$E$3:$AI$3))</f>
        <v>8</v>
      </c>
      <c r="P35" s="27">
        <f ca="1">INDEX(Д3!$E$4:$AI$13,MATCH($D35,Д3!$D$4:$D$13),MATCH(P$7,Д3!$E$3:$AI$3))</f>
        <v>12</v>
      </c>
      <c r="Q35" s="27">
        <f ca="1">INDEX(Д3!$E$4:$AI$13,MATCH($D35,Д3!$D$4:$D$13),MATCH(Q$7,Д3!$E$3:$AI$3))</f>
        <v>0</v>
      </c>
      <c r="R35" s="27">
        <f ca="1">INDEX(Д3!$E$4:$AI$13,MATCH($D35,Д3!$D$4:$D$13),MATCH(R$7,Д3!$E$3:$AI$3))</f>
        <v>0</v>
      </c>
      <c r="S35" s="27">
        <f ca="1">INDEX(Д3!$E$4:$AI$13,MATCH($D35,Д3!$D$4:$D$13),MATCH(S$7,Д3!$E$3:$AI$3))</f>
        <v>4</v>
      </c>
      <c r="T35" s="27">
        <f ca="1">INDEX(Д3!$E$4:$AI$13,MATCH($D35,Д3!$D$4:$D$13),MATCH(T$7,Д3!$E$3:$AI$3))</f>
        <v>8</v>
      </c>
      <c r="U35" s="27">
        <f ca="1">INDEX(Д3!$E$4:$AI$13,MATCH($D35,Д3!$D$4:$D$13),MATCH(U$7,Д3!$E$3:$AI$3))</f>
        <v>12</v>
      </c>
      <c r="V35" s="27">
        <f ca="1">INDEX(Д3!$E$4:$AI$13,MATCH($D35,Д3!$D$4:$D$13),MATCH(V$7,Д3!$E$3:$AI$3))</f>
        <v>4</v>
      </c>
      <c r="W35" s="27">
        <f ca="1">INDEX(Д3!$E$4:$AI$13,MATCH($D35,Д3!$D$4:$D$13),MATCH(W$7,Д3!$E$3:$AI$3))</f>
        <v>8</v>
      </c>
      <c r="X35" s="27">
        <f ca="1">INDEX(Д3!$E$4:$AI$13,MATCH($D35,Д3!$D$4:$D$13),MATCH(X$7,Д3!$E$3:$AI$3))</f>
        <v>12</v>
      </c>
      <c r="Y35" s="27">
        <f ca="1">INDEX(Д3!$E$4:$AI$13,MATCH($D35,Д3!$D$4:$D$13),MATCH(Y$7,Д3!$E$3:$AI$3))</f>
        <v>0</v>
      </c>
      <c r="Z35" s="27">
        <f ca="1">INDEX(Д3!$E$4:$AI$13,MATCH($D35,Д3!$D$4:$D$13),MATCH(Z$7,Д3!$E$3:$AI$3))</f>
        <v>0</v>
      </c>
      <c r="AA35" s="27">
        <f ca="1">INDEX(Д3!$E$4:$AI$13,MATCH($D35,Д3!$D$4:$D$13),MATCH(AA$7,Д3!$E$3:$AI$3))</f>
        <v>4</v>
      </c>
      <c r="AB35" s="27">
        <f ca="1">INDEX(Д3!$E$4:$AI$13,MATCH($D35,Д3!$D$4:$D$13),MATCH(AB$7,Д3!$E$3:$AI$3))</f>
        <v>8</v>
      </c>
      <c r="AC35" s="27">
        <f ca="1">INDEX(Д3!$E$4:$AI$13,MATCH($D35,Д3!$D$4:$D$13),MATCH(AC$7,Д3!$E$3:$AI$3))</f>
        <v>12</v>
      </c>
      <c r="AD35" s="27">
        <f ca="1">INDEX(Д3!$E$4:$AI$13,MATCH($D35,Д3!$D$4:$D$13),MATCH(AD$7,Д3!$E$3:$AI$3))</f>
        <v>4</v>
      </c>
      <c r="AE35" s="27">
        <f ca="1">INDEX(Д3!$E$4:$AI$13,MATCH($D35,Д3!$D$4:$D$13),MATCH(AE$7,Д3!$E$3:$AI$3))</f>
        <v>8</v>
      </c>
      <c r="AF35" s="27">
        <f ca="1">INDEX(Д3!$E$4:$AI$13,MATCH($D35,Д3!$D$4:$D$13),MATCH(AF$7,Д3!$E$3:$AI$3))</f>
        <v>12</v>
      </c>
      <c r="AG35" s="27">
        <f ca="1">INDEX(Д3!$E$4:$AI$13,MATCH($D35,Д3!$D$4:$D$13),MATCH(AG$7,Д3!$E$3:$AI$3))</f>
        <v>0</v>
      </c>
      <c r="AH35" s="27">
        <f ca="1">INDEX(Д3!$E$4:$AI$13,MATCH($D35,Д3!$D$4:$D$13),MATCH(AH$7,Д3!$E$3:$AI$3))</f>
        <v>0</v>
      </c>
      <c r="AI35" s="32">
        <f ca="1">INDEX(Д3!$E$4:$AI$13,MATCH($D35,Д3!$D$4:$D$13),MATCH(AI$7,Д3!$E$3:$AI$3))</f>
        <v>4</v>
      </c>
      <c r="AJ35" s="143">
        <f>INDEX(Д3!AK$4:$AK$13,MATCH($C35,Д3!$C$4:$C$13),MATCH(E$7,Д3!$E$3:$AI$3))*AND(MONTH($E$8)=MONTH(Д3!$B$4))</f>
        <v>136</v>
      </c>
      <c r="AK35" s="143">
        <f ca="1">SUM(E35:AI36)</f>
        <v>184</v>
      </c>
      <c r="AL35" s="143"/>
      <c r="AM35" s="149">
        <f ca="1">SUM(F35:H36,J35:AI36)-AJ35+AL35-12</f>
        <v>24</v>
      </c>
      <c r="AP35" s="136">
        <f t="shared" ref="AP35" ca="1" si="74">COUNTIF($E35:$AI36,"12")</f>
        <v>8</v>
      </c>
      <c r="AQ35" s="136">
        <f t="shared" ref="AQ35" ca="1" si="75">IF(COUNTIF($E35:$AI36,"СП")&gt;=1,(COUNTIF($E35:$AI36,"4")+COUNTIF($E35:$AI36,"8")-1)/2,(COUNTIF($E35:$AI36,"4")+COUNTIF($E35:$AI36,"8"))/2)</f>
        <v>7</v>
      </c>
      <c r="AR35" s="136">
        <f t="shared" ca="1" si="2"/>
        <v>96</v>
      </c>
      <c r="AS35" s="136">
        <f t="shared" ref="AS35" ca="1" si="76">IF(COUNTIF($E35:$AI36,"СП")&gt;=1,SUMIF($E35:$AI36,"4",$E35:$AI36)+SUMIF($E35:$AI36,"8",$E35:$AI36)-8,SUMIF($E35:$AI36,"4",$E35:$AI36)+SUMIF($E35:$AI36,"8",$E35:$AI36))</f>
        <v>80</v>
      </c>
      <c r="AT35" s="136">
        <f t="shared" ref="AT35" ca="1" si="77">$AR35+$AS35</f>
        <v>176</v>
      </c>
      <c r="AU35" s="136" t="str">
        <f t="shared" ref="AU35" ca="1" si="78">IF(AK35=AT35,"+","!")</f>
        <v>!</v>
      </c>
      <c r="AV35" s="136">
        <f t="shared" ref="AV35" ca="1" si="79">COUNTIF($E35:$AI36,"ОТ")</f>
        <v>0</v>
      </c>
      <c r="AW35" s="137" t="str">
        <f ca="1">IF(COUNTIF($A36:$AI36,"СП")&gt;0,IF(INDIRECT(ADDRESS(ROW(),MATCH("СП",$A36:$AI36),1))=8,"","!"),"")</f>
        <v>!</v>
      </c>
      <c r="AX35" s="137" t="str">
        <f ca="1">IF(COUNTIF($A36:$AI36,"СП")&gt;0,IF(INDIRECT(ADDRESS(ROW(),MATCH("СП",$A36:$AI36)-1,1))=4,"!",""),"")</f>
        <v/>
      </c>
    </row>
    <row r="36" spans="1:50" ht="16.5" thickBot="1" x14ac:dyDescent="0.3">
      <c r="A36" s="147"/>
      <c r="B36" s="139"/>
      <c r="C36" s="142"/>
      <c r="D36" s="50">
        <v>8</v>
      </c>
      <c r="E36" s="65" t="str">
        <f>INDEX(Д3!$E$4:$AI$13,MATCH($D36,Д3!$D$4:$D$13),MATCH(E$7,Д3!$E$3:$AI$3))</f>
        <v/>
      </c>
      <c r="F36" s="30" t="str">
        <f>INDEX(Д3!$E$4:$AI$13,MATCH($D36,Д3!$D$4:$D$13),MATCH(F$7,Д3!$E$3:$AI$3))</f>
        <v/>
      </c>
      <c r="G36" s="30" t="str">
        <f>INDEX(Д3!$E$4:$AI$13,MATCH($D36,Д3!$D$4:$D$13),MATCH(G$7,Д3!$E$3:$AI$3))</f>
        <v/>
      </c>
      <c r="H36" s="30" t="str">
        <f>INDEX(Д3!$E$4:$AI$13,MATCH($D36,Д3!$D$4:$D$13),MATCH(H$7,Д3!$E$3:$AI$3))</f>
        <v>СП</v>
      </c>
      <c r="I36" s="30" t="str">
        <f>INDEX(Д3!$E$4:$AI$13,MATCH($D36,Д3!$D$4:$D$13),MATCH(I$7,Д3!$E$3:$AI$3))</f>
        <v/>
      </c>
      <c r="J36" s="30" t="str">
        <f>INDEX(Д3!$E$4:$AI$13,MATCH($D36,Д3!$D$4:$D$13),MATCH(J$7,Д3!$E$3:$AI$3))</f>
        <v/>
      </c>
      <c r="K36" s="30" t="str">
        <f>INDEX(Д3!$E$4:$AI$13,MATCH($D36,Д3!$D$4:$D$13),MATCH(K$7,Д3!$E$3:$AI$3))</f>
        <v/>
      </c>
      <c r="L36" s="30" t="str">
        <f>INDEX(Д3!$E$4:$AI$13,MATCH($D36,Д3!$D$4:$D$13),MATCH(L$7,Д3!$E$3:$AI$3))</f>
        <v/>
      </c>
      <c r="M36" s="30" t="str">
        <f>INDEX(Д3!$E$4:$AI$13,MATCH($D36,Д3!$D$4:$D$13),MATCH(M$7,Д3!$E$3:$AI$3))</f>
        <v/>
      </c>
      <c r="N36" s="30" t="str">
        <f>INDEX(Д3!$E$4:$AI$13,MATCH($D36,Д3!$D$4:$D$13),MATCH(N$7,Д3!$E$3:$AI$3))</f>
        <v/>
      </c>
      <c r="O36" s="30" t="str">
        <f>INDEX(Д3!$E$4:$AI$13,MATCH($D36,Д3!$D$4:$D$13),MATCH(O$7,Д3!$E$3:$AI$3))</f>
        <v/>
      </c>
      <c r="P36" s="30" t="str">
        <f>INDEX(Д3!$E$4:$AI$13,MATCH($D36,Д3!$D$4:$D$13),MATCH(P$7,Д3!$E$3:$AI$3))</f>
        <v/>
      </c>
      <c r="Q36" s="30" t="str">
        <f>INDEX(Д3!$E$4:$AI$13,MATCH($D36,Д3!$D$4:$D$13),MATCH(Q$7,Д3!$E$3:$AI$3))</f>
        <v/>
      </c>
      <c r="R36" s="30" t="str">
        <f>INDEX(Д3!$E$4:$AI$13,MATCH($D36,Д3!$D$4:$D$13),MATCH(R$7,Д3!$E$3:$AI$3))</f>
        <v/>
      </c>
      <c r="S36" s="30" t="str">
        <f>INDEX(Д3!$E$4:$AI$13,MATCH($D36,Д3!$D$4:$D$13),MATCH(S$7,Д3!$E$3:$AI$3))</f>
        <v/>
      </c>
      <c r="T36" s="30" t="str">
        <f>INDEX(Д3!$E$4:$AI$13,MATCH($D36,Д3!$D$4:$D$13),MATCH(T$7,Д3!$E$3:$AI$3))</f>
        <v/>
      </c>
      <c r="U36" s="30" t="str">
        <f>INDEX(Д3!$E$4:$AI$13,MATCH($D36,Д3!$D$4:$D$13),MATCH(U$7,Д3!$E$3:$AI$3))</f>
        <v/>
      </c>
      <c r="V36" s="30" t="str">
        <f>INDEX(Д3!$E$4:$AI$13,MATCH($D36,Д3!$D$4:$D$13),MATCH(V$7,Д3!$E$3:$AI$3))</f>
        <v/>
      </c>
      <c r="W36" s="30" t="str">
        <f>INDEX(Д3!$E$4:$AI$13,MATCH($D36,Д3!$D$4:$D$13),MATCH(W$7,Д3!$E$3:$AI$3))</f>
        <v/>
      </c>
      <c r="X36" s="30" t="str">
        <f>INDEX(Д3!$E$4:$AI$13,MATCH($D36,Д3!$D$4:$D$13),MATCH(X$7,Д3!$E$3:$AI$3))</f>
        <v/>
      </c>
      <c r="Y36" s="30" t="str">
        <f>INDEX(Д3!$E$4:$AI$13,MATCH($D36,Д3!$D$4:$D$13),MATCH(Y$7,Д3!$E$3:$AI$3))</f>
        <v/>
      </c>
      <c r="Z36" s="30" t="str">
        <f>INDEX(Д3!$E$4:$AI$13,MATCH($D36,Д3!$D$4:$D$13),MATCH(Z$7,Д3!$E$3:$AI$3))</f>
        <v/>
      </c>
      <c r="AA36" s="30" t="str">
        <f>INDEX(Д3!$E$4:$AI$13,MATCH($D36,Д3!$D$4:$D$13),MATCH(AA$7,Д3!$E$3:$AI$3))</f>
        <v/>
      </c>
      <c r="AB36" s="30" t="str">
        <f>INDEX(Д3!$E$4:$AI$13,MATCH($D36,Д3!$D$4:$D$13),MATCH(AB$7,Д3!$E$3:$AI$3))</f>
        <v/>
      </c>
      <c r="AC36" s="30" t="str">
        <f>INDEX(Д3!$E$4:$AI$13,MATCH($D36,Д3!$D$4:$D$13),MATCH(AC$7,Д3!$E$3:$AI$3))</f>
        <v/>
      </c>
      <c r="AD36" s="30" t="str">
        <f>INDEX(Д3!$E$4:$AI$13,MATCH($D36,Д3!$D$4:$D$13),MATCH(AD$7,Д3!$E$3:$AI$3))</f>
        <v/>
      </c>
      <c r="AE36" s="30" t="str">
        <f>INDEX(Д3!$E$4:$AI$13,MATCH($D36,Д3!$D$4:$D$13),MATCH(AE$7,Д3!$E$3:$AI$3))</f>
        <v/>
      </c>
      <c r="AF36" s="30" t="str">
        <f>INDEX(Д3!$E$4:$AI$13,MATCH($D36,Д3!$D$4:$D$13),MATCH(AF$7,Д3!$E$3:$AI$3))</f>
        <v/>
      </c>
      <c r="AG36" s="30" t="str">
        <f>INDEX(Д3!$E$4:$AI$13,MATCH($D36,Д3!$D$4:$D$13),MATCH(AG$7,Д3!$E$3:$AI$3))</f>
        <v/>
      </c>
      <c r="AH36" s="30" t="str">
        <f>INDEX(Д3!$E$4:$AI$13,MATCH($D36,Д3!$D$4:$D$13),MATCH(AH$7,Д3!$E$3:$AI$3))</f>
        <v/>
      </c>
      <c r="AI36" s="33" t="str">
        <f>INDEX(Д3!$E$4:$AI$13,MATCH($D36,Д3!$D$4:$D$13),MATCH(AI$7,Д3!$E$3:$AI$3))</f>
        <v/>
      </c>
      <c r="AJ36" s="143"/>
      <c r="AK36" s="143"/>
      <c r="AL36" s="143"/>
      <c r="AM36" s="150"/>
      <c r="AP36" s="136"/>
      <c r="AQ36" s="136"/>
      <c r="AR36" s="136"/>
      <c r="AS36" s="136"/>
      <c r="AT36" s="136"/>
      <c r="AU36" s="136"/>
      <c r="AV36" s="136"/>
      <c r="AW36" s="137"/>
      <c r="AX36" s="137"/>
    </row>
    <row r="37" spans="1:50" ht="16.5" customHeight="1" thickBot="1" x14ac:dyDescent="0.3">
      <c r="A37" s="147"/>
      <c r="B37" s="139" t="s">
        <v>94</v>
      </c>
      <c r="C37" s="141">
        <v>5</v>
      </c>
      <c r="D37" s="49">
        <v>9</v>
      </c>
      <c r="E37" s="62" t="str">
        <f>INDEX(Д3!$E$4:$AI$13,MATCH($D37,Д3!$D$4:$D$13),MATCH(E$7,Д3!$E$3:$AI$3))</f>
        <v>-</v>
      </c>
      <c r="F37" s="28" t="str">
        <f>INDEX(Д3!$E$4:$AI$13,MATCH($D37,Д3!$D$4:$D$13),MATCH(F$7,Д3!$E$3:$AI$3))</f>
        <v>-</v>
      </c>
      <c r="G37" s="28" t="str">
        <f>INDEX(Д3!$E$4:$AI$13,MATCH($D37,Д3!$D$4:$D$13),MATCH(G$7,Д3!$E$3:$AI$3))</f>
        <v>-</v>
      </c>
      <c r="H37" s="28" t="str">
        <f>INDEX(Д3!$E$4:$AI$13,MATCH($D37,Д3!$D$4:$D$13),MATCH(H$7,Д3!$E$3:$AI$3))</f>
        <v>-</v>
      </c>
      <c r="I37" s="28" t="str">
        <f>INDEX(Д3!$E$4:$AI$13,MATCH($D37,Д3!$D$4:$D$13),MATCH(I$7,Д3!$E$3:$AI$3))</f>
        <v>-</v>
      </c>
      <c r="J37" s="28" t="str">
        <f>INDEX(Д3!$E$4:$AI$13,MATCH($D37,Д3!$D$4:$D$13),MATCH(J$7,Д3!$E$3:$AI$3))</f>
        <v>-</v>
      </c>
      <c r="K37" s="28" t="str">
        <f>INDEX(Д3!$E$4:$AI$13,MATCH($D37,Д3!$D$4:$D$13),MATCH(K$7,Д3!$E$3:$AI$3))</f>
        <v>-</v>
      </c>
      <c r="L37" s="28" t="str">
        <f>INDEX(Д3!$E$4:$AI$13,MATCH($D37,Д3!$D$4:$D$13),MATCH(L$7,Д3!$E$3:$AI$3))</f>
        <v>-</v>
      </c>
      <c r="M37" s="28" t="str">
        <f>INDEX(Д3!$E$4:$AI$13,MATCH($D37,Д3!$D$4:$D$13),MATCH(M$7,Д3!$E$3:$AI$3))</f>
        <v>-</v>
      </c>
      <c r="N37" s="28" t="str">
        <f>INDEX(Д3!$E$4:$AI$13,MATCH($D37,Д3!$D$4:$D$13),MATCH(N$7,Д3!$E$3:$AI$3))</f>
        <v>-</v>
      </c>
      <c r="O37" s="28" t="str">
        <f>INDEX(Д3!$E$4:$AI$13,MATCH($D37,Д3!$D$4:$D$13),MATCH(O$7,Д3!$E$3:$AI$3))</f>
        <v>-</v>
      </c>
      <c r="P37" s="28" t="str">
        <f>INDEX(Д3!$E$4:$AI$13,MATCH($D37,Д3!$D$4:$D$13),MATCH(P$7,Д3!$E$3:$AI$3))</f>
        <v>-</v>
      </c>
      <c r="Q37" s="28" t="str">
        <f>INDEX(Д3!$E$4:$AI$13,MATCH($D37,Д3!$D$4:$D$13),MATCH(Q$7,Д3!$E$3:$AI$3))</f>
        <v>-</v>
      </c>
      <c r="R37" s="28" t="str">
        <f>INDEX(Д3!$E$4:$AI$13,MATCH($D37,Д3!$D$4:$D$13),MATCH(R$7,Д3!$E$3:$AI$3))</f>
        <v>-</v>
      </c>
      <c r="S37" s="28" t="str">
        <f>INDEX(Д3!$E$4:$AI$13,MATCH($D37,Д3!$D$4:$D$13),MATCH(S$7,Д3!$E$3:$AI$3))</f>
        <v>-</v>
      </c>
      <c r="T37" s="28" t="str">
        <f>INDEX(Д3!$E$4:$AI$13,MATCH($D37,Д3!$D$4:$D$13),MATCH(T$7,Д3!$E$3:$AI$3))</f>
        <v>-</v>
      </c>
      <c r="U37" s="28" t="str">
        <f>INDEX(Д3!$E$4:$AI$13,MATCH($D37,Д3!$D$4:$D$13),MATCH(U$7,Д3!$E$3:$AI$3))</f>
        <v>-</v>
      </c>
      <c r="V37" s="28" t="str">
        <f>INDEX(Д3!$E$4:$AI$13,MATCH($D37,Д3!$D$4:$D$13),MATCH(V$7,Д3!$E$3:$AI$3))</f>
        <v>-</v>
      </c>
      <c r="W37" s="28" t="str">
        <f>INDEX(Д3!$E$4:$AI$13,MATCH($D37,Д3!$D$4:$D$13),MATCH(W$7,Д3!$E$3:$AI$3))</f>
        <v>-</v>
      </c>
      <c r="X37" s="28" t="str">
        <f>INDEX(Д3!$E$4:$AI$13,MATCH($D37,Д3!$D$4:$D$13),MATCH(X$7,Д3!$E$3:$AI$3))</f>
        <v>-</v>
      </c>
      <c r="Y37" s="28" t="str">
        <f>INDEX(Д3!$E$4:$AI$13,MATCH($D37,Д3!$D$4:$D$13),MATCH(Y$7,Д3!$E$3:$AI$3))</f>
        <v>-</v>
      </c>
      <c r="Z37" s="28" t="str">
        <f>INDEX(Д3!$E$4:$AI$13,MATCH($D37,Д3!$D$4:$D$13),MATCH(Z$7,Д3!$E$3:$AI$3))</f>
        <v>-</v>
      </c>
      <c r="AA37" s="28" t="str">
        <f>INDEX(Д3!$E$4:$AI$13,MATCH($D37,Д3!$D$4:$D$13),MATCH(AA$7,Д3!$E$3:$AI$3))</f>
        <v>-</v>
      </c>
      <c r="AB37" s="28" t="str">
        <f>INDEX(Д3!$E$4:$AI$13,MATCH($D37,Д3!$D$4:$D$13),MATCH(AB$7,Д3!$E$3:$AI$3))</f>
        <v>-</v>
      </c>
      <c r="AC37" s="28" t="str">
        <f>INDEX(Д3!$E$4:$AI$13,MATCH($D37,Д3!$D$4:$D$13),MATCH(AC$7,Д3!$E$3:$AI$3))</f>
        <v>-</v>
      </c>
      <c r="AD37" s="28" t="str">
        <f>INDEX(Д3!$E$4:$AI$13,MATCH($D37,Д3!$D$4:$D$13),MATCH(AD$7,Д3!$E$3:$AI$3))</f>
        <v>-</v>
      </c>
      <c r="AE37" s="28" t="str">
        <f>INDEX(Д3!$E$4:$AI$13,MATCH($D37,Д3!$D$4:$D$13),MATCH(AE$7,Д3!$E$3:$AI$3))</f>
        <v>-</v>
      </c>
      <c r="AF37" s="28" t="str">
        <f>INDEX(Д3!$E$4:$AI$13,MATCH($D37,Д3!$D$4:$D$13),MATCH(AF$7,Д3!$E$3:$AI$3))</f>
        <v>-</v>
      </c>
      <c r="AG37" s="28" t="str">
        <f>INDEX(Д3!$E$4:$AI$13,MATCH($D37,Д3!$D$4:$D$13),MATCH(AG$7,Д3!$E$3:$AI$3))</f>
        <v>-</v>
      </c>
      <c r="AH37" s="28" t="str">
        <f>INDEX(Д3!$E$4:$AI$13,MATCH($D37,Д3!$D$4:$D$13),MATCH(AH$7,Д3!$E$3:$AI$3))</f>
        <v>-</v>
      </c>
      <c r="AI37" s="60" t="str">
        <f>INDEX(Д3!$E$4:$AI$13,MATCH($D37,Д3!$D$4:$D$13),MATCH(AI$7,Д3!$E$3:$AI$3))</f>
        <v>-</v>
      </c>
      <c r="AJ37" s="143">
        <f>INDEX(Д3!AK$4:$AK$13,MATCH($C37,Д3!$C$4:$C$13),MATCH(E$7,Д3!$E$3:$AI$3))*AND(MONTH($E$8)=MONTH(Д3!$B$4))</f>
        <v>136</v>
      </c>
      <c r="AK37" s="143">
        <f>SUM(E37:AJ38)</f>
        <v>136</v>
      </c>
      <c r="AL37" s="143"/>
      <c r="AM37" s="149">
        <f>SUM(F37:H38,J37:AI38)-AJ37+AL37-12</f>
        <v>-148</v>
      </c>
      <c r="AP37" s="136">
        <f t="shared" ref="AP37" si="80">COUNTIF($E37:$AI38,"12")</f>
        <v>0</v>
      </c>
      <c r="AQ37" s="136">
        <f t="shared" ref="AQ37" si="81">IF(COUNTIF($E37:$AI38,"СП")&gt;=1,(COUNTIF($E37:$AI38,"4")+COUNTIF($E37:$AI38,"8")-1)/2,(COUNTIF($E37:$AI38,"4")+COUNTIF($E37:$AI38,"8"))/2)</f>
        <v>-0.5</v>
      </c>
      <c r="AR37" s="136">
        <f t="shared" si="2"/>
        <v>0</v>
      </c>
      <c r="AS37" s="136">
        <f t="shared" ref="AS37" si="82">IF(COUNTIF($E37:$AI38,"СП")&gt;=1,SUMIF($E37:$AI38,"4",$E37:$AI38)+SUMIF($E37:$AI38,"8",$E37:$AI38)-8,SUMIF($E37:$AI38,"4",$E37:$AI38)+SUMIF($E37:$AI38,"8",$E37:$AI38))</f>
        <v>-8</v>
      </c>
      <c r="AT37" s="136">
        <f t="shared" ref="AT37" si="83">$AR37+$AS37</f>
        <v>-8</v>
      </c>
      <c r="AU37" s="136" t="str">
        <f t="shared" ref="AU37" si="84">IF(AK37=AT37,"+","!")</f>
        <v>!</v>
      </c>
      <c r="AV37" s="136">
        <f t="shared" ref="AV37" si="85">COUNTIF($E37:$AI38,"ОТ")</f>
        <v>0</v>
      </c>
      <c r="AW37" s="137" t="str">
        <f ca="1">IF(COUNTIF($A38:$AI38,"СП")&gt;0,IF(INDIRECT(ADDRESS(ROW(),MATCH("СП",$A38:$AI38),1))=8,"","!"),"")</f>
        <v>!</v>
      </c>
      <c r="AX37" s="137" t="str">
        <f ca="1">IF(COUNTIF($A38:$AI38,"СП")&gt;0,IF(INDIRECT(ADDRESS(ROW(),MATCH("СП",$A38:$AI38)-1,1))=4,"!",""),"")</f>
        <v/>
      </c>
    </row>
    <row r="38" spans="1:50" ht="16.5" thickBot="1" x14ac:dyDescent="0.3">
      <c r="A38" s="148"/>
      <c r="B38" s="140"/>
      <c r="C38" s="156"/>
      <c r="D38" s="50">
        <v>10</v>
      </c>
      <c r="E38" s="66" t="str">
        <f>INDEX(Д3!$E$4:$AI$13,MATCH($D38,Д3!$D$4:$D$13),MATCH(E$7,Д3!$E$3:$AI$3))</f>
        <v/>
      </c>
      <c r="F38" s="67" t="str">
        <f>INDEX(Д3!$E$4:$AI$13,MATCH($D38,Д3!$D$4:$D$13),MATCH(F$7,Д3!$E$3:$AI$3))</f>
        <v/>
      </c>
      <c r="G38" s="67" t="str">
        <f>INDEX(Д3!$E$4:$AI$13,MATCH($D38,Д3!$D$4:$D$13),MATCH(G$7,Д3!$E$3:$AI$3))</f>
        <v/>
      </c>
      <c r="H38" s="67" t="str">
        <f>INDEX(Д3!$E$4:$AI$13,MATCH($D38,Д3!$D$4:$D$13),MATCH(H$7,Д3!$E$3:$AI$3))</f>
        <v/>
      </c>
      <c r="I38" s="67" t="str">
        <f>INDEX(Д3!$E$4:$AI$13,MATCH($D38,Д3!$D$4:$D$13),MATCH(I$7,Д3!$E$3:$AI$3))</f>
        <v>СП</v>
      </c>
      <c r="J38" s="67" t="str">
        <f>INDEX(Д3!$E$4:$AI$13,MATCH($D38,Д3!$D$4:$D$13),MATCH(J$7,Д3!$E$3:$AI$3))</f>
        <v/>
      </c>
      <c r="K38" s="67" t="str">
        <f>INDEX(Д3!$E$4:$AI$13,MATCH($D38,Д3!$D$4:$D$13),MATCH(K$7,Д3!$E$3:$AI$3))</f>
        <v/>
      </c>
      <c r="L38" s="67" t="str">
        <f>INDEX(Д3!$E$4:$AI$13,MATCH($D38,Д3!$D$4:$D$13),MATCH(L$7,Д3!$E$3:$AI$3))</f>
        <v/>
      </c>
      <c r="M38" s="67" t="str">
        <f>INDEX(Д3!$E$4:$AI$13,MATCH($D38,Д3!$D$4:$D$13),MATCH(M$7,Д3!$E$3:$AI$3))</f>
        <v/>
      </c>
      <c r="N38" s="67" t="str">
        <f>INDEX(Д3!$E$4:$AI$13,MATCH($D38,Д3!$D$4:$D$13),MATCH(N$7,Д3!$E$3:$AI$3))</f>
        <v/>
      </c>
      <c r="O38" s="67" t="str">
        <f>INDEX(Д3!$E$4:$AI$13,MATCH($D38,Д3!$D$4:$D$13),MATCH(O$7,Д3!$E$3:$AI$3))</f>
        <v/>
      </c>
      <c r="P38" s="67" t="str">
        <f>INDEX(Д3!$E$4:$AI$13,MATCH($D38,Д3!$D$4:$D$13),MATCH(P$7,Д3!$E$3:$AI$3))</f>
        <v/>
      </c>
      <c r="Q38" s="67" t="str">
        <f>INDEX(Д3!$E$4:$AI$13,MATCH($D38,Д3!$D$4:$D$13),MATCH(Q$7,Д3!$E$3:$AI$3))</f>
        <v/>
      </c>
      <c r="R38" s="67" t="str">
        <f>INDEX(Д3!$E$4:$AI$13,MATCH($D38,Д3!$D$4:$D$13),MATCH(R$7,Д3!$E$3:$AI$3))</f>
        <v/>
      </c>
      <c r="S38" s="67" t="str">
        <f>INDEX(Д3!$E$4:$AI$13,MATCH($D38,Д3!$D$4:$D$13),MATCH(S$7,Д3!$E$3:$AI$3))</f>
        <v/>
      </c>
      <c r="T38" s="67" t="str">
        <f>INDEX(Д3!$E$4:$AI$13,MATCH($D38,Д3!$D$4:$D$13),MATCH(T$7,Д3!$E$3:$AI$3))</f>
        <v/>
      </c>
      <c r="U38" s="67" t="str">
        <f>INDEX(Д3!$E$4:$AI$13,MATCH($D38,Д3!$D$4:$D$13),MATCH(U$7,Д3!$E$3:$AI$3))</f>
        <v/>
      </c>
      <c r="V38" s="67" t="str">
        <f>INDEX(Д3!$E$4:$AI$13,MATCH($D38,Д3!$D$4:$D$13),MATCH(V$7,Д3!$E$3:$AI$3))</f>
        <v/>
      </c>
      <c r="W38" s="67" t="str">
        <f>INDEX(Д3!$E$4:$AI$13,MATCH($D38,Д3!$D$4:$D$13),MATCH(W$7,Д3!$E$3:$AI$3))</f>
        <v/>
      </c>
      <c r="X38" s="67" t="str">
        <f>INDEX(Д3!$E$4:$AI$13,MATCH($D38,Д3!$D$4:$D$13),MATCH(X$7,Д3!$E$3:$AI$3))</f>
        <v/>
      </c>
      <c r="Y38" s="67" t="str">
        <f>INDEX(Д3!$E$4:$AI$13,MATCH($D38,Д3!$D$4:$D$13),MATCH(Y$7,Д3!$E$3:$AI$3))</f>
        <v/>
      </c>
      <c r="Z38" s="67" t="str">
        <f>INDEX(Д3!$E$4:$AI$13,MATCH($D38,Д3!$D$4:$D$13),MATCH(Z$7,Д3!$E$3:$AI$3))</f>
        <v/>
      </c>
      <c r="AA38" s="67" t="str">
        <f>INDEX(Д3!$E$4:$AI$13,MATCH($D38,Д3!$D$4:$D$13),MATCH(AA$7,Д3!$E$3:$AI$3))</f>
        <v/>
      </c>
      <c r="AB38" s="67" t="str">
        <f>INDEX(Д3!$E$4:$AI$13,MATCH($D38,Д3!$D$4:$D$13),MATCH(AB$7,Д3!$E$3:$AI$3))</f>
        <v/>
      </c>
      <c r="AC38" s="67" t="str">
        <f>INDEX(Д3!$E$4:$AI$13,MATCH($D38,Д3!$D$4:$D$13),MATCH(AC$7,Д3!$E$3:$AI$3))</f>
        <v/>
      </c>
      <c r="AD38" s="67" t="str">
        <f>INDEX(Д3!$E$4:$AI$13,MATCH($D38,Д3!$D$4:$D$13),MATCH(AD$7,Д3!$E$3:$AI$3))</f>
        <v/>
      </c>
      <c r="AE38" s="67" t="str">
        <f>INDEX(Д3!$E$4:$AI$13,MATCH($D38,Д3!$D$4:$D$13),MATCH(AE$7,Д3!$E$3:$AI$3))</f>
        <v/>
      </c>
      <c r="AF38" s="67" t="str">
        <f>INDEX(Д3!$E$4:$AI$13,MATCH($D38,Д3!$D$4:$D$13),MATCH(AF$7,Д3!$E$3:$AI$3))</f>
        <v/>
      </c>
      <c r="AG38" s="67" t="str">
        <f>INDEX(Д3!$E$4:$AI$13,MATCH($D38,Д3!$D$4:$D$13),MATCH(AG$7,Д3!$E$3:$AI$3))</f>
        <v/>
      </c>
      <c r="AH38" s="67" t="str">
        <f>INDEX(Д3!$E$4:$AI$13,MATCH($D38,Д3!$D$4:$D$13),MATCH(AH$7,Д3!$E$3:$AI$3))</f>
        <v/>
      </c>
      <c r="AI38" s="68" t="str">
        <f>INDEX(Д3!$E$4:$AI$13,MATCH($D38,Д3!$D$4:$D$13),MATCH(AI$7,Д3!$E$3:$AI$3))</f>
        <v/>
      </c>
      <c r="AJ38" s="153"/>
      <c r="AK38" s="143"/>
      <c r="AL38" s="153"/>
      <c r="AM38" s="150"/>
      <c r="AP38" s="136"/>
      <c r="AQ38" s="136"/>
      <c r="AR38" s="136"/>
      <c r="AS38" s="136"/>
      <c r="AT38" s="136"/>
      <c r="AU38" s="136"/>
      <c r="AV38" s="136"/>
      <c r="AW38" s="137"/>
      <c r="AX38" s="137"/>
    </row>
    <row r="39" spans="1:50" ht="17.25" customHeight="1" thickTop="1" thickBot="1" x14ac:dyDescent="0.3">
      <c r="A39" s="146" t="s">
        <v>103</v>
      </c>
      <c r="B39" s="151" t="s">
        <v>95</v>
      </c>
      <c r="C39" s="152">
        <v>1</v>
      </c>
      <c r="D39" s="49">
        <v>1</v>
      </c>
      <c r="E39" s="64">
        <f ca="1">INDEX(Д4!$E$4:$AI$13,MATCH($D39,Д4!$D$4:$D$13),MATCH(E$7,Д4!$E$3:$AI$3))</f>
        <v>8</v>
      </c>
      <c r="F39" s="27">
        <f ca="1">INDEX(Д4!$E$4:$AI$13,MATCH($D39,Д4!$D$4:$D$13),MATCH(F$7,Д4!$E$3:$AI$3))</f>
        <v>0</v>
      </c>
      <c r="G39" s="27">
        <f ca="1">INDEX(Д4!$E$4:$AI$13,MATCH($D39,Д4!$D$4:$D$13),MATCH(G$7,Д4!$E$3:$AI$3))</f>
        <v>4</v>
      </c>
      <c r="H39" s="27">
        <f ca="1">INDEX(Д4!$E$4:$AI$13,MATCH($D39,Д4!$D$4:$D$13),MATCH(H$7,Д4!$E$3:$AI$3))</f>
        <v>8</v>
      </c>
      <c r="I39" s="27">
        <f ca="1">INDEX(Д4!$E$4:$AI$13,MATCH($D39,Д4!$D$4:$D$13),MATCH(I$7,Д4!$E$3:$AI$3))</f>
        <v>12</v>
      </c>
      <c r="J39" s="27">
        <f ca="1">INDEX(Д4!$E$4:$AI$13,MATCH($D39,Д4!$D$4:$D$13),MATCH(J$7,Д4!$E$3:$AI$3))</f>
        <v>4</v>
      </c>
      <c r="K39" s="27">
        <f ca="1">INDEX(Д4!$E$4:$AI$13,MATCH($D39,Д4!$D$4:$D$13),MATCH(K$7,Д4!$E$3:$AI$3))</f>
        <v>8</v>
      </c>
      <c r="L39" s="27">
        <f ca="1">INDEX(Д4!$E$4:$AI$13,MATCH($D39,Д4!$D$4:$D$13),MATCH(L$7,Д4!$E$3:$AI$3))</f>
        <v>12</v>
      </c>
      <c r="M39" s="27">
        <f ca="1">INDEX(Д4!$E$4:$AI$13,MATCH($D39,Д4!$D$4:$D$13),MATCH(M$7,Д4!$E$3:$AI$3))</f>
        <v>0</v>
      </c>
      <c r="N39" s="27">
        <f ca="1">INDEX(Д4!$E$4:$AI$13,MATCH($D39,Д4!$D$4:$D$13),MATCH(N$7,Д4!$E$3:$AI$3))</f>
        <v>0</v>
      </c>
      <c r="O39" s="27">
        <f ca="1">INDEX(Д4!$E$4:$AI$13,MATCH($D39,Д4!$D$4:$D$13),MATCH(O$7,Д4!$E$3:$AI$3))</f>
        <v>4</v>
      </c>
      <c r="P39" s="27">
        <f ca="1">INDEX(Д4!$E$4:$AI$13,MATCH($D39,Д4!$D$4:$D$13),MATCH(P$7,Д4!$E$3:$AI$3))</f>
        <v>8</v>
      </c>
      <c r="Q39" s="27">
        <f ca="1">INDEX(Д4!$E$4:$AI$13,MATCH($D39,Д4!$D$4:$D$13),MATCH(Q$7,Д4!$E$3:$AI$3))</f>
        <v>12</v>
      </c>
      <c r="R39" s="27">
        <f ca="1">INDEX(Д4!$E$4:$AI$13,MATCH($D39,Д4!$D$4:$D$13),MATCH(R$7,Д4!$E$3:$AI$3))</f>
        <v>4</v>
      </c>
      <c r="S39" s="27">
        <f ca="1">INDEX(Д4!$E$4:$AI$13,MATCH($D39,Д4!$D$4:$D$13),MATCH(S$7,Д4!$E$3:$AI$3))</f>
        <v>8</v>
      </c>
      <c r="T39" s="27">
        <f ca="1">INDEX(Д4!$E$4:$AI$13,MATCH($D39,Д4!$D$4:$D$13),MATCH(T$7,Д4!$E$3:$AI$3))</f>
        <v>12</v>
      </c>
      <c r="U39" s="27">
        <f ca="1">INDEX(Д4!$E$4:$AI$13,MATCH($D39,Д4!$D$4:$D$13),MATCH(U$7,Д4!$E$3:$AI$3))</f>
        <v>0</v>
      </c>
      <c r="V39" s="27">
        <f ca="1">INDEX(Д4!$E$4:$AI$13,MATCH($D39,Д4!$D$4:$D$13),MATCH(V$7,Д4!$E$3:$AI$3))</f>
        <v>0</v>
      </c>
      <c r="W39" s="27">
        <f ca="1">INDEX(Д4!$E$4:$AI$13,MATCH($D39,Д4!$D$4:$D$13),MATCH(W$7,Д4!$E$3:$AI$3))</f>
        <v>4</v>
      </c>
      <c r="X39" s="27">
        <f ca="1">INDEX(Д4!$E$4:$AI$13,MATCH($D39,Д4!$D$4:$D$13),MATCH(X$7,Д4!$E$3:$AI$3))</f>
        <v>8</v>
      </c>
      <c r="Y39" s="27">
        <f ca="1">INDEX(Д4!$E$4:$AI$13,MATCH($D39,Д4!$D$4:$D$13),MATCH(Y$7,Д4!$E$3:$AI$3))</f>
        <v>12</v>
      </c>
      <c r="Z39" s="27">
        <f ca="1">INDEX(Д4!$E$4:$AI$13,MATCH($D39,Д4!$D$4:$D$13),MATCH(Z$7,Д4!$E$3:$AI$3))</f>
        <v>4</v>
      </c>
      <c r="AA39" s="27">
        <f ca="1">INDEX(Д4!$E$4:$AI$13,MATCH($D39,Д4!$D$4:$D$13),MATCH(AA$7,Д4!$E$3:$AI$3))</f>
        <v>8</v>
      </c>
      <c r="AB39" s="27">
        <f ca="1">INDEX(Д4!$E$4:$AI$13,MATCH($D39,Д4!$D$4:$D$13),MATCH(AB$7,Д4!$E$3:$AI$3))</f>
        <v>12</v>
      </c>
      <c r="AC39" s="27">
        <f ca="1">INDEX(Д4!$E$4:$AI$13,MATCH($D39,Д4!$D$4:$D$13),MATCH(AC$7,Д4!$E$3:$AI$3))</f>
        <v>0</v>
      </c>
      <c r="AD39" s="27">
        <f ca="1">INDEX(Д4!$E$4:$AI$13,MATCH($D39,Д4!$D$4:$D$13),MATCH(AD$7,Д4!$E$3:$AI$3))</f>
        <v>0</v>
      </c>
      <c r="AE39" s="27">
        <f ca="1">INDEX(Д4!$E$4:$AI$13,MATCH($D39,Д4!$D$4:$D$13),MATCH(AE$7,Д4!$E$3:$AI$3))</f>
        <v>4</v>
      </c>
      <c r="AF39" s="27">
        <f ca="1">INDEX(Д4!$E$4:$AI$13,MATCH($D39,Д4!$D$4:$D$13),MATCH(AF$7,Д4!$E$3:$AI$3))</f>
        <v>8</v>
      </c>
      <c r="AG39" s="27">
        <f ca="1">INDEX(Д4!$E$4:$AI$13,MATCH($D39,Д4!$D$4:$D$13),MATCH(AG$7,Д4!$E$3:$AI$3))</f>
        <v>12</v>
      </c>
      <c r="AH39" s="27">
        <f ca="1">INDEX(Д4!$E$4:$AI$13,MATCH($D39,Д4!$D$4:$D$13),MATCH(AH$7,Д4!$E$3:$AI$3))</f>
        <v>4</v>
      </c>
      <c r="AI39" s="32">
        <f ca="1">INDEX(Д4!$E$4:$AI$13,MATCH($D39,Д4!$D$4:$D$13),MATCH(AI$7,Д4!$E$3:$AI$3))</f>
        <v>8</v>
      </c>
      <c r="AJ39" s="143">
        <f>INDEX(Д4!AK$4:$AK$13,MATCH($C39,Д4!$C$4:$C$13),MATCH(E$7,Д4!$E$3:$AI$3))*AND(MONTH($E$8)=MONTH(Д4!$B$4))</f>
        <v>136</v>
      </c>
      <c r="AK39" s="154">
        <f ca="1">SUM(E39:AI40)</f>
        <v>188</v>
      </c>
      <c r="AL39" s="155"/>
      <c r="AM39" s="149">
        <f ca="1">SUM(F39:H40,J39:AI40)-AJ39+AL39-12</f>
        <v>20</v>
      </c>
      <c r="AP39" s="136">
        <f t="shared" ref="AP39" ca="1" si="86">COUNTIF($E39:$AI40,"12")</f>
        <v>7</v>
      </c>
      <c r="AQ39" s="136">
        <f t="shared" ref="AQ39" ca="1" si="87">IF(COUNTIF($E39:$AI40,"СП")&gt;=1,(COUNTIF($E39:$AI40,"4")+COUNTIF($E39:$AI40,"8")-1)/2,(COUNTIF($E39:$AI40,"4")+COUNTIF($E39:$AI40,"8"))/2)</f>
        <v>8</v>
      </c>
      <c r="AR39" s="136">
        <f t="shared" ca="1" si="2"/>
        <v>84</v>
      </c>
      <c r="AS39" s="136">
        <f t="shared" ref="AS39" ca="1" si="88">IF(COUNTIF($E39:$AI40,"СП")&gt;=1,SUMIF($E39:$AI40,"4",$E39:$AI40)+SUMIF($E39:$AI40,"8",$E39:$AI40)-8,SUMIF($E39:$AI40,"4",$E39:$AI40)+SUMIF($E39:$AI40,"8",$E39:$AI40))</f>
        <v>96</v>
      </c>
      <c r="AT39" s="136">
        <f t="shared" ref="AT39" ca="1" si="89">$AR39+$AS39</f>
        <v>180</v>
      </c>
      <c r="AU39" s="136" t="str">
        <f t="shared" ref="AU39" ca="1" si="90">IF(AK39=AT39,"+","!")</f>
        <v>!</v>
      </c>
      <c r="AV39" s="136">
        <f t="shared" ref="AV39" ca="1" si="91">COUNTIF($E39:$AI40,"ОТ")</f>
        <v>0</v>
      </c>
      <c r="AW39" s="137" t="str">
        <f ca="1">IF(COUNTIF($A40:$AI40,"СП")&gt;0,IF(INDIRECT(ADDRESS(ROW(),MATCH("СП",$A40:$AI40),1))=8,"","!"),"")</f>
        <v/>
      </c>
      <c r="AX39" s="137" t="str">
        <f ca="1">IF(COUNTIF($A40:$AI40,"СП")&gt;0,IF(INDIRECT(ADDRESS(ROW(),MATCH("СП",$A40:$AI40)-1,1))=4,"!",""),"")</f>
        <v>!</v>
      </c>
    </row>
    <row r="40" spans="1:50" ht="16.5" thickBot="1" x14ac:dyDescent="0.3">
      <c r="A40" s="147"/>
      <c r="B40" s="139"/>
      <c r="C40" s="142"/>
      <c r="D40" s="50">
        <v>2</v>
      </c>
      <c r="E40" s="63" t="str">
        <f>INDEX(Д4!$E$4:$AI$13,MATCH($D40,Д4!$D$4:$D$13),MATCH(E$7,Д4!$E$3:$AI$3))</f>
        <v>СП</v>
      </c>
      <c r="F40" s="29" t="str">
        <f>INDEX(Д4!$E$4:$AI$13,MATCH($D40,Д4!$D$4:$D$13),MATCH(F$7,Д4!$E$3:$AI$3))</f>
        <v/>
      </c>
      <c r="G40" s="29" t="str">
        <f>INDEX(Д4!$E$4:$AI$13,MATCH($D40,Д4!$D$4:$D$13),MATCH(G$7,Д4!$E$3:$AI$3))</f>
        <v/>
      </c>
      <c r="H40" s="29" t="str">
        <f>INDEX(Д4!$E$4:$AI$13,MATCH($D40,Д4!$D$4:$D$13),MATCH(H$7,Д4!$E$3:$AI$3))</f>
        <v/>
      </c>
      <c r="I40" s="29" t="str">
        <f>INDEX(Д4!$E$4:$AI$13,MATCH($D40,Д4!$D$4:$D$13),MATCH(I$7,Д4!$E$3:$AI$3))</f>
        <v/>
      </c>
      <c r="J40" s="29" t="str">
        <f>INDEX(Д4!$E$4:$AI$13,MATCH($D40,Д4!$D$4:$D$13),MATCH(J$7,Д4!$E$3:$AI$3))</f>
        <v/>
      </c>
      <c r="K40" s="29" t="str">
        <f>INDEX(Д4!$E$4:$AI$13,MATCH($D40,Д4!$D$4:$D$13),MATCH(K$7,Д4!$E$3:$AI$3))</f>
        <v/>
      </c>
      <c r="L40" s="29" t="str">
        <f>INDEX(Д4!$E$4:$AI$13,MATCH($D40,Д4!$D$4:$D$13),MATCH(L$7,Д4!$E$3:$AI$3))</f>
        <v/>
      </c>
      <c r="M40" s="29" t="str">
        <f>INDEX(Д4!$E$4:$AI$13,MATCH($D40,Д4!$D$4:$D$13),MATCH(M$7,Д4!$E$3:$AI$3))</f>
        <v/>
      </c>
      <c r="N40" s="29" t="str">
        <f>INDEX(Д4!$E$4:$AI$13,MATCH($D40,Д4!$D$4:$D$13),MATCH(N$7,Д4!$E$3:$AI$3))</f>
        <v/>
      </c>
      <c r="O40" s="29" t="str">
        <f>INDEX(Д4!$E$4:$AI$13,MATCH($D40,Д4!$D$4:$D$13),MATCH(O$7,Д4!$E$3:$AI$3))</f>
        <v/>
      </c>
      <c r="P40" s="29" t="str">
        <f>INDEX(Д4!$E$4:$AI$13,MATCH($D40,Д4!$D$4:$D$13),MATCH(P$7,Д4!$E$3:$AI$3))</f>
        <v/>
      </c>
      <c r="Q40" s="29" t="str">
        <f>INDEX(Д4!$E$4:$AI$13,MATCH($D40,Д4!$D$4:$D$13),MATCH(Q$7,Д4!$E$3:$AI$3))</f>
        <v/>
      </c>
      <c r="R40" s="29" t="str">
        <f>INDEX(Д4!$E$4:$AI$13,MATCH($D40,Д4!$D$4:$D$13),MATCH(R$7,Д4!$E$3:$AI$3))</f>
        <v/>
      </c>
      <c r="S40" s="29" t="str">
        <f>INDEX(Д4!$E$4:$AI$13,MATCH($D40,Д4!$D$4:$D$13),MATCH(S$7,Д4!$E$3:$AI$3))</f>
        <v/>
      </c>
      <c r="T40" s="29" t="str">
        <f>INDEX(Д4!$E$4:$AI$13,MATCH($D40,Д4!$D$4:$D$13),MATCH(T$7,Д4!$E$3:$AI$3))</f>
        <v/>
      </c>
      <c r="U40" s="29" t="str">
        <f>INDEX(Д4!$E$4:$AI$13,MATCH($D40,Д4!$D$4:$D$13),MATCH(U$7,Д4!$E$3:$AI$3))</f>
        <v/>
      </c>
      <c r="V40" s="29" t="str">
        <f>INDEX(Д4!$E$4:$AI$13,MATCH($D40,Д4!$D$4:$D$13),MATCH(V$7,Д4!$E$3:$AI$3))</f>
        <v/>
      </c>
      <c r="W40" s="29" t="str">
        <f>INDEX(Д4!$E$4:$AI$13,MATCH($D40,Д4!$D$4:$D$13),MATCH(W$7,Д4!$E$3:$AI$3))</f>
        <v/>
      </c>
      <c r="X40" s="29" t="str">
        <f>INDEX(Д4!$E$4:$AI$13,MATCH($D40,Д4!$D$4:$D$13),MATCH(X$7,Д4!$E$3:$AI$3))</f>
        <v/>
      </c>
      <c r="Y40" s="29" t="str">
        <f>INDEX(Д4!$E$4:$AI$13,MATCH($D40,Д4!$D$4:$D$13),MATCH(Y$7,Д4!$E$3:$AI$3))</f>
        <v/>
      </c>
      <c r="Z40" s="29" t="str">
        <f>INDEX(Д4!$E$4:$AI$13,MATCH($D40,Д4!$D$4:$D$13),MATCH(Z$7,Д4!$E$3:$AI$3))</f>
        <v/>
      </c>
      <c r="AA40" s="29" t="str">
        <f>INDEX(Д4!$E$4:$AI$13,MATCH($D40,Д4!$D$4:$D$13),MATCH(AA$7,Д4!$E$3:$AI$3))</f>
        <v/>
      </c>
      <c r="AB40" s="29" t="str">
        <f>INDEX(Д4!$E$4:$AI$13,MATCH($D40,Д4!$D$4:$D$13),MATCH(AB$7,Д4!$E$3:$AI$3))</f>
        <v/>
      </c>
      <c r="AC40" s="29" t="str">
        <f>INDEX(Д4!$E$4:$AI$13,MATCH($D40,Д4!$D$4:$D$13),MATCH(AC$7,Д4!$E$3:$AI$3))</f>
        <v/>
      </c>
      <c r="AD40" s="29" t="str">
        <f>INDEX(Д4!$E$4:$AI$13,MATCH($D40,Д4!$D$4:$D$13),MATCH(AD$7,Д4!$E$3:$AI$3))</f>
        <v/>
      </c>
      <c r="AE40" s="29" t="str">
        <f>INDEX(Д4!$E$4:$AI$13,MATCH($D40,Д4!$D$4:$D$13),MATCH(AE$7,Д4!$E$3:$AI$3))</f>
        <v/>
      </c>
      <c r="AF40" s="29" t="str">
        <f>INDEX(Д4!$E$4:$AI$13,MATCH($D40,Д4!$D$4:$D$13),MATCH(AF$7,Д4!$E$3:$AI$3))</f>
        <v/>
      </c>
      <c r="AG40" s="29" t="str">
        <f>INDEX(Д4!$E$4:$AI$13,MATCH($D40,Д4!$D$4:$D$13),MATCH(AG$7,Д4!$E$3:$AI$3))</f>
        <v/>
      </c>
      <c r="AH40" s="29" t="str">
        <f>INDEX(Д4!$E$4:$AI$13,MATCH($D40,Д4!$D$4:$D$13),MATCH(AH$7,Д4!$E$3:$AI$3))</f>
        <v/>
      </c>
      <c r="AI40" s="61" t="str">
        <f>INDEX(Д4!$E$4:$AI$13,MATCH($D40,Д4!$D$4:$D$13),MATCH(AI$7,Д4!$E$3:$AI$3))</f>
        <v/>
      </c>
      <c r="AJ40" s="153"/>
      <c r="AK40" s="145"/>
      <c r="AL40" s="145"/>
      <c r="AM40" s="150"/>
      <c r="AP40" s="136"/>
      <c r="AQ40" s="136"/>
      <c r="AR40" s="136"/>
      <c r="AS40" s="136"/>
      <c r="AT40" s="136"/>
      <c r="AU40" s="136"/>
      <c r="AV40" s="136"/>
      <c r="AW40" s="137"/>
      <c r="AX40" s="137"/>
    </row>
    <row r="41" spans="1:50" ht="16.5" customHeight="1" thickBot="1" x14ac:dyDescent="0.3">
      <c r="A41" s="147"/>
      <c r="B41" s="139" t="s">
        <v>96</v>
      </c>
      <c r="C41" s="141">
        <v>2</v>
      </c>
      <c r="D41" s="49">
        <v>3</v>
      </c>
      <c r="E41" s="64">
        <f ca="1">INDEX(Д4!$E$4:$AI$13,MATCH($D41,Д4!$D$4:$D$13),MATCH(E$7,Д4!$E$3:$AI$3))</f>
        <v>4</v>
      </c>
      <c r="F41" s="27">
        <f ca="1">INDEX(Д4!$E$4:$AI$13,MATCH($D41,Д4!$D$4:$D$13),MATCH(F$7,Д4!$E$3:$AI$3))</f>
        <v>8</v>
      </c>
      <c r="G41" s="27">
        <f ca="1">INDEX(Д4!$E$4:$AI$13,MATCH($D41,Д4!$D$4:$D$13),MATCH(G$7,Д4!$E$3:$AI$3))</f>
        <v>12</v>
      </c>
      <c r="H41" s="27">
        <f ca="1">INDEX(Д4!$E$4:$AI$13,MATCH($D41,Д4!$D$4:$D$13),MATCH(H$7,Д4!$E$3:$AI$3))</f>
        <v>4</v>
      </c>
      <c r="I41" s="27">
        <f ca="1">INDEX(Д4!$E$4:$AI$13,MATCH($D41,Д4!$D$4:$D$13),MATCH(I$7,Д4!$E$3:$AI$3))</f>
        <v>8</v>
      </c>
      <c r="J41" s="27">
        <f ca="1">INDEX(Д4!$E$4:$AI$13,MATCH($D41,Д4!$D$4:$D$13),MATCH(J$7,Д4!$E$3:$AI$3))</f>
        <v>12</v>
      </c>
      <c r="K41" s="27">
        <f ca="1">INDEX(Д4!$E$4:$AI$13,MATCH($D41,Д4!$D$4:$D$13),MATCH(K$7,Д4!$E$3:$AI$3))</f>
        <v>0</v>
      </c>
      <c r="L41" s="27">
        <f ca="1">INDEX(Д4!$E$4:$AI$13,MATCH($D41,Д4!$D$4:$D$13),MATCH(L$7,Д4!$E$3:$AI$3))</f>
        <v>0</v>
      </c>
      <c r="M41" s="27">
        <f ca="1">INDEX(Д4!$E$4:$AI$13,MATCH($D41,Д4!$D$4:$D$13),MATCH(M$7,Д4!$E$3:$AI$3))</f>
        <v>4</v>
      </c>
      <c r="N41" s="27">
        <f ca="1">INDEX(Д4!$E$4:$AI$13,MATCH($D41,Д4!$D$4:$D$13),MATCH(N$7,Д4!$E$3:$AI$3))</f>
        <v>8</v>
      </c>
      <c r="O41" s="27">
        <f ca="1">INDEX(Д4!$E$4:$AI$13,MATCH($D41,Д4!$D$4:$D$13),MATCH(O$7,Д4!$E$3:$AI$3))</f>
        <v>12</v>
      </c>
      <c r="P41" s="27">
        <f ca="1">INDEX(Д4!$E$4:$AI$13,MATCH($D41,Д4!$D$4:$D$13),MATCH(P$7,Д4!$E$3:$AI$3))</f>
        <v>4</v>
      </c>
      <c r="Q41" s="27">
        <f ca="1">INDEX(Д4!$E$4:$AI$13,MATCH($D41,Д4!$D$4:$D$13),MATCH(Q$7,Д4!$E$3:$AI$3))</f>
        <v>8</v>
      </c>
      <c r="R41" s="27">
        <f ca="1">INDEX(Д4!$E$4:$AI$13,MATCH($D41,Д4!$D$4:$D$13),MATCH(R$7,Д4!$E$3:$AI$3))</f>
        <v>12</v>
      </c>
      <c r="S41" s="27">
        <f ca="1">INDEX(Д4!$E$4:$AI$13,MATCH($D41,Д4!$D$4:$D$13),MATCH(S$7,Д4!$E$3:$AI$3))</f>
        <v>0</v>
      </c>
      <c r="T41" s="27">
        <f ca="1">INDEX(Д4!$E$4:$AI$13,MATCH($D41,Д4!$D$4:$D$13),MATCH(T$7,Д4!$E$3:$AI$3))</f>
        <v>0</v>
      </c>
      <c r="U41" s="27">
        <f ca="1">INDEX(Д4!$E$4:$AI$13,MATCH($D41,Д4!$D$4:$D$13),MATCH(U$7,Д4!$E$3:$AI$3))</f>
        <v>4</v>
      </c>
      <c r="V41" s="27">
        <f ca="1">INDEX(Д4!$E$4:$AI$13,MATCH($D41,Д4!$D$4:$D$13),MATCH(V$7,Д4!$E$3:$AI$3))</f>
        <v>8</v>
      </c>
      <c r="W41" s="27">
        <f ca="1">INDEX(Д4!$E$4:$AI$13,MATCH($D41,Д4!$D$4:$D$13),MATCH(W$7,Д4!$E$3:$AI$3))</f>
        <v>12</v>
      </c>
      <c r="X41" s="27">
        <f ca="1">INDEX(Д4!$E$4:$AI$13,MATCH($D41,Д4!$D$4:$D$13),MATCH(X$7,Д4!$E$3:$AI$3))</f>
        <v>4</v>
      </c>
      <c r="Y41" s="27">
        <f ca="1">INDEX(Д4!$E$4:$AI$13,MATCH($D41,Д4!$D$4:$D$13),MATCH(Y$7,Д4!$E$3:$AI$3))</f>
        <v>8</v>
      </c>
      <c r="Z41" s="27">
        <f ca="1">INDEX(Д4!$E$4:$AI$13,MATCH($D41,Д4!$D$4:$D$13),MATCH(Z$7,Д4!$E$3:$AI$3))</f>
        <v>12</v>
      </c>
      <c r="AA41" s="27">
        <f ca="1">INDEX(Д4!$E$4:$AI$13,MATCH($D41,Д4!$D$4:$D$13),MATCH(AA$7,Д4!$E$3:$AI$3))</f>
        <v>0</v>
      </c>
      <c r="AB41" s="27">
        <f ca="1">INDEX(Д4!$E$4:$AI$13,MATCH($D41,Д4!$D$4:$D$13),MATCH(AB$7,Д4!$E$3:$AI$3))</f>
        <v>0</v>
      </c>
      <c r="AC41" s="27">
        <f ca="1">INDEX(Д4!$E$4:$AI$13,MATCH($D41,Д4!$D$4:$D$13),MATCH(AC$7,Д4!$E$3:$AI$3))</f>
        <v>4</v>
      </c>
      <c r="AD41" s="27">
        <f ca="1">INDEX(Д4!$E$4:$AI$13,MATCH($D41,Д4!$D$4:$D$13),MATCH(AD$7,Д4!$E$3:$AI$3))</f>
        <v>8</v>
      </c>
      <c r="AE41" s="27">
        <f ca="1">INDEX(Д4!$E$4:$AI$13,MATCH($D41,Д4!$D$4:$D$13),MATCH(AE$7,Д4!$E$3:$AI$3))</f>
        <v>12</v>
      </c>
      <c r="AF41" s="27">
        <f ca="1">INDEX(Д4!$E$4:$AI$13,MATCH($D41,Д4!$D$4:$D$13),MATCH(AF$7,Д4!$E$3:$AI$3))</f>
        <v>4</v>
      </c>
      <c r="AG41" s="27">
        <f ca="1">INDEX(Д4!$E$4:$AI$13,MATCH($D41,Д4!$D$4:$D$13),MATCH(AG$7,Д4!$E$3:$AI$3))</f>
        <v>8</v>
      </c>
      <c r="AH41" s="27">
        <f ca="1">INDEX(Д4!$E$4:$AI$13,MATCH($D41,Д4!$D$4:$D$13),MATCH(AH$7,Д4!$E$3:$AI$3))</f>
        <v>12</v>
      </c>
      <c r="AI41" s="32">
        <f ca="1">INDEX(Д4!$E$4:$AI$13,MATCH($D41,Д4!$D$4:$D$13),MATCH(AI$7,Д4!$E$3:$AI$3))</f>
        <v>0</v>
      </c>
      <c r="AJ41" s="143">
        <f>INDEX(Д4!AK$4:$AK$13,MATCH($C41,Д4!$C$4:$C$13),MATCH(E$7,Д4!$E$3:$AI$3))*AND(MONTH($E$8)=MONTH(Д4!$B$4))</f>
        <v>136</v>
      </c>
      <c r="AK41" s="144">
        <f ca="1">SUM(E41:AI42)</f>
        <v>192</v>
      </c>
      <c r="AL41" s="144"/>
      <c r="AM41" s="149">
        <f ca="1">SUM(F41:H42,J41:AI42)-AJ41+AL41-12</f>
        <v>32</v>
      </c>
      <c r="AP41" s="136">
        <f t="shared" ref="AP41" ca="1" si="92">COUNTIF($E41:$AI42,"12")</f>
        <v>8</v>
      </c>
      <c r="AQ41" s="136">
        <f t="shared" ref="AQ41" ca="1" si="93">IF(COUNTIF($E41:$AI42,"СП")&gt;=1,(COUNTIF($E41:$AI42,"4")+COUNTIF($E41:$AI42,"8")-1)/2,(COUNTIF($E41:$AI42,"4")+COUNTIF($E41:$AI42,"8"))/2)</f>
        <v>7.5</v>
      </c>
      <c r="AR41" s="136">
        <f t="shared" ca="1" si="2"/>
        <v>96</v>
      </c>
      <c r="AS41" s="136">
        <f t="shared" ref="AS41" ca="1" si="94">IF(COUNTIF($E41:$AI42,"СП")&gt;=1,SUMIF($E41:$AI42,"4",$E41:$AI42)+SUMIF($E41:$AI42,"8",$E41:$AI42)-8,SUMIF($E41:$AI42,"4",$E41:$AI42)+SUMIF($E41:$AI42,"8",$E41:$AI42))</f>
        <v>88</v>
      </c>
      <c r="AT41" s="136">
        <f t="shared" ref="AT41" ca="1" si="95">$AR41+$AS41</f>
        <v>184</v>
      </c>
      <c r="AU41" s="136" t="str">
        <f t="shared" ref="AU41" ca="1" si="96">IF(AK41=AT41,"+","!")</f>
        <v>!</v>
      </c>
      <c r="AV41" s="136">
        <f t="shared" ref="AV41" ca="1" si="97">COUNTIF($E41:$AI42,"ОТ")</f>
        <v>0</v>
      </c>
      <c r="AW41" s="137" t="str">
        <f ca="1">IF(COUNTIF($A42:$AI42,"СП")&gt;0,IF(INDIRECT(ADDRESS(ROW(),MATCH("СП",$A42:$AI42),1))=8,"","!"),"")</f>
        <v>!</v>
      </c>
      <c r="AX41" s="137" t="str">
        <f ca="1">IF(COUNTIF($A42:$AI42,"СП")&gt;0,IF(INDIRECT(ADDRESS(ROW(),MATCH("СП",$A42:$AI42)-1,1))=4,"!",""),"")</f>
        <v/>
      </c>
    </row>
    <row r="42" spans="1:50" ht="16.5" thickBot="1" x14ac:dyDescent="0.3">
      <c r="A42" s="147"/>
      <c r="B42" s="139"/>
      <c r="C42" s="142"/>
      <c r="D42" s="50">
        <v>4</v>
      </c>
      <c r="E42" s="65" t="str">
        <f>INDEX(Д4!$E$4:$AI$13,MATCH($D42,Д4!$D$4:$D$13),MATCH(E$7,Д4!$E$3:$AI$3))</f>
        <v/>
      </c>
      <c r="F42" s="30" t="str">
        <f>INDEX(Д4!$E$4:$AI$13,MATCH($D42,Д4!$D$4:$D$13),MATCH(F$7,Д4!$E$3:$AI$3))</f>
        <v>СП</v>
      </c>
      <c r="G42" s="30" t="str">
        <f>INDEX(Д4!$E$4:$AI$13,MATCH($D42,Д4!$D$4:$D$13),MATCH(G$7,Д4!$E$3:$AI$3))</f>
        <v/>
      </c>
      <c r="H42" s="30" t="str">
        <f>INDEX(Д4!$E$4:$AI$13,MATCH($D42,Д4!$D$4:$D$13),MATCH(H$7,Д4!$E$3:$AI$3))</f>
        <v/>
      </c>
      <c r="I42" s="30" t="str">
        <f>INDEX(Д4!$E$4:$AI$13,MATCH($D42,Д4!$D$4:$D$13),MATCH(I$7,Д4!$E$3:$AI$3))</f>
        <v/>
      </c>
      <c r="J42" s="30" t="str">
        <f>INDEX(Д4!$E$4:$AI$13,MATCH($D42,Д4!$D$4:$D$13),MATCH(J$7,Д4!$E$3:$AI$3))</f>
        <v/>
      </c>
      <c r="K42" s="30" t="str">
        <f>INDEX(Д4!$E$4:$AI$13,MATCH($D42,Д4!$D$4:$D$13),MATCH(K$7,Д4!$E$3:$AI$3))</f>
        <v/>
      </c>
      <c r="L42" s="30" t="str">
        <f>INDEX(Д4!$E$4:$AI$13,MATCH($D42,Д4!$D$4:$D$13),MATCH(L$7,Д4!$E$3:$AI$3))</f>
        <v/>
      </c>
      <c r="M42" s="30" t="str">
        <f>INDEX(Д4!$E$4:$AI$13,MATCH($D42,Д4!$D$4:$D$13),MATCH(M$7,Д4!$E$3:$AI$3))</f>
        <v/>
      </c>
      <c r="N42" s="30" t="str">
        <f>INDEX(Д4!$E$4:$AI$13,MATCH($D42,Д4!$D$4:$D$13),MATCH(N$7,Д4!$E$3:$AI$3))</f>
        <v/>
      </c>
      <c r="O42" s="30" t="str">
        <f>INDEX(Д4!$E$4:$AI$13,MATCH($D42,Д4!$D$4:$D$13),MATCH(O$7,Д4!$E$3:$AI$3))</f>
        <v/>
      </c>
      <c r="P42" s="30" t="str">
        <f>INDEX(Д4!$E$4:$AI$13,MATCH($D42,Д4!$D$4:$D$13),MATCH(P$7,Д4!$E$3:$AI$3))</f>
        <v/>
      </c>
      <c r="Q42" s="30" t="str">
        <f>INDEX(Д4!$E$4:$AI$13,MATCH($D42,Д4!$D$4:$D$13),MATCH(Q$7,Д4!$E$3:$AI$3))</f>
        <v/>
      </c>
      <c r="R42" s="30" t="str">
        <f>INDEX(Д4!$E$4:$AI$13,MATCH($D42,Д4!$D$4:$D$13),MATCH(R$7,Д4!$E$3:$AI$3))</f>
        <v/>
      </c>
      <c r="S42" s="30" t="str">
        <f>INDEX(Д4!$E$4:$AI$13,MATCH($D42,Д4!$D$4:$D$13),MATCH(S$7,Д4!$E$3:$AI$3))</f>
        <v/>
      </c>
      <c r="T42" s="30" t="str">
        <f>INDEX(Д4!$E$4:$AI$13,MATCH($D42,Д4!$D$4:$D$13),MATCH(T$7,Д4!$E$3:$AI$3))</f>
        <v/>
      </c>
      <c r="U42" s="30" t="str">
        <f>INDEX(Д4!$E$4:$AI$13,MATCH($D42,Д4!$D$4:$D$13),MATCH(U$7,Д4!$E$3:$AI$3))</f>
        <v/>
      </c>
      <c r="V42" s="30" t="str">
        <f>INDEX(Д4!$E$4:$AI$13,MATCH($D42,Д4!$D$4:$D$13),MATCH(V$7,Д4!$E$3:$AI$3))</f>
        <v/>
      </c>
      <c r="W42" s="30" t="str">
        <f>INDEX(Д4!$E$4:$AI$13,MATCH($D42,Д4!$D$4:$D$13),MATCH(W$7,Д4!$E$3:$AI$3))</f>
        <v/>
      </c>
      <c r="X42" s="30" t="str">
        <f>INDEX(Д4!$E$4:$AI$13,MATCH($D42,Д4!$D$4:$D$13),MATCH(X$7,Д4!$E$3:$AI$3))</f>
        <v/>
      </c>
      <c r="Y42" s="30" t="str">
        <f>INDEX(Д4!$E$4:$AI$13,MATCH($D42,Д4!$D$4:$D$13),MATCH(Y$7,Д4!$E$3:$AI$3))</f>
        <v/>
      </c>
      <c r="Z42" s="30" t="str">
        <f>INDEX(Д4!$E$4:$AI$13,MATCH($D42,Д4!$D$4:$D$13),MATCH(Z$7,Д4!$E$3:$AI$3))</f>
        <v/>
      </c>
      <c r="AA42" s="30" t="str">
        <f>INDEX(Д4!$E$4:$AI$13,MATCH($D42,Д4!$D$4:$D$13),MATCH(AA$7,Д4!$E$3:$AI$3))</f>
        <v/>
      </c>
      <c r="AB42" s="30" t="str">
        <f>INDEX(Д4!$E$4:$AI$13,MATCH($D42,Д4!$D$4:$D$13),MATCH(AB$7,Д4!$E$3:$AI$3))</f>
        <v/>
      </c>
      <c r="AC42" s="30" t="str">
        <f>INDEX(Д4!$E$4:$AI$13,MATCH($D42,Д4!$D$4:$D$13),MATCH(AC$7,Д4!$E$3:$AI$3))</f>
        <v/>
      </c>
      <c r="AD42" s="30" t="str">
        <f>INDEX(Д4!$E$4:$AI$13,MATCH($D42,Д4!$D$4:$D$13),MATCH(AD$7,Д4!$E$3:$AI$3))</f>
        <v/>
      </c>
      <c r="AE42" s="30" t="str">
        <f>INDEX(Д4!$E$4:$AI$13,MATCH($D42,Д4!$D$4:$D$13),MATCH(AE$7,Д4!$E$3:$AI$3))</f>
        <v/>
      </c>
      <c r="AF42" s="30" t="str">
        <f>INDEX(Д4!$E$4:$AI$13,MATCH($D42,Д4!$D$4:$D$13),MATCH(AF$7,Д4!$E$3:$AI$3))</f>
        <v/>
      </c>
      <c r="AG42" s="30" t="str">
        <f>INDEX(Д4!$E$4:$AI$13,MATCH($D42,Д4!$D$4:$D$13),MATCH(AG$7,Д4!$E$3:$AI$3))</f>
        <v/>
      </c>
      <c r="AH42" s="30" t="str">
        <f>INDEX(Д4!$E$4:$AI$13,MATCH($D42,Д4!$D$4:$D$13),MATCH(AH$7,Д4!$E$3:$AI$3))</f>
        <v/>
      </c>
      <c r="AI42" s="33" t="str">
        <f>INDEX(Д4!$E$4:$AI$13,MATCH($D42,Д4!$D$4:$D$13),MATCH(AI$7,Д4!$E$3:$AI$3))</f>
        <v/>
      </c>
      <c r="AJ42" s="143"/>
      <c r="AK42" s="145"/>
      <c r="AL42" s="145"/>
      <c r="AM42" s="150"/>
      <c r="AP42" s="136"/>
      <c r="AQ42" s="136"/>
      <c r="AR42" s="136"/>
      <c r="AS42" s="136"/>
      <c r="AT42" s="136"/>
      <c r="AU42" s="136"/>
      <c r="AV42" s="136"/>
      <c r="AW42" s="137"/>
      <c r="AX42" s="137"/>
    </row>
    <row r="43" spans="1:50" ht="16.5" thickBot="1" x14ac:dyDescent="0.3">
      <c r="A43" s="147"/>
      <c r="B43" s="139" t="s">
        <v>97</v>
      </c>
      <c r="C43" s="141">
        <v>3</v>
      </c>
      <c r="D43" s="49">
        <v>5</v>
      </c>
      <c r="E43" s="62">
        <f ca="1">INDEX(Д4!$E$4:$AI$13,MATCH($D43,Д4!$D$4:$D$13),MATCH(E$7,Д4!$E$3:$AI$3))</f>
        <v>8</v>
      </c>
      <c r="F43" s="28">
        <f ca="1">INDEX(Д4!$E$4:$AI$13,MATCH($D43,Д4!$D$4:$D$13),MATCH(F$7,Д4!$E$3:$AI$3))</f>
        <v>12</v>
      </c>
      <c r="G43" s="28">
        <f ca="1">INDEX(Д4!$E$4:$AI$13,MATCH($D43,Д4!$D$4:$D$13),MATCH(G$7,Д4!$E$3:$AI$3))</f>
        <v>8</v>
      </c>
      <c r="H43" s="28">
        <f ca="1">INDEX(Д4!$E$4:$AI$13,MATCH($D43,Д4!$D$4:$D$13),MATCH(H$7,Д4!$E$3:$AI$3))</f>
        <v>0</v>
      </c>
      <c r="I43" s="28">
        <f ca="1">INDEX(Д4!$E$4:$AI$13,MATCH($D43,Д4!$D$4:$D$13),MATCH(I$7,Д4!$E$3:$AI$3))</f>
        <v>4</v>
      </c>
      <c r="J43" s="28">
        <f ca="1">INDEX(Д4!$E$4:$AI$13,MATCH($D43,Д4!$D$4:$D$13),MATCH(J$7,Д4!$E$3:$AI$3))</f>
        <v>8</v>
      </c>
      <c r="K43" s="28">
        <f ca="1">INDEX(Д4!$E$4:$AI$13,MATCH($D43,Д4!$D$4:$D$13),MATCH(K$7,Д4!$E$3:$AI$3))</f>
        <v>12</v>
      </c>
      <c r="L43" s="28">
        <f ca="1">INDEX(Д4!$E$4:$AI$13,MATCH($D43,Д4!$D$4:$D$13),MATCH(L$7,Д4!$E$3:$AI$3))</f>
        <v>4</v>
      </c>
      <c r="M43" s="28">
        <f ca="1">INDEX(Д4!$E$4:$AI$13,MATCH($D43,Д4!$D$4:$D$13),MATCH(M$7,Д4!$E$3:$AI$3))</f>
        <v>8</v>
      </c>
      <c r="N43" s="28">
        <f ca="1">INDEX(Д4!$E$4:$AI$13,MATCH($D43,Д4!$D$4:$D$13),MATCH(N$7,Д4!$E$3:$AI$3))</f>
        <v>12</v>
      </c>
      <c r="O43" s="28">
        <f ca="1">INDEX(Д4!$E$4:$AI$13,MATCH($D43,Д4!$D$4:$D$13),MATCH(O$7,Д4!$E$3:$AI$3))</f>
        <v>0</v>
      </c>
      <c r="P43" s="28">
        <f ca="1">INDEX(Д4!$E$4:$AI$13,MATCH($D43,Д4!$D$4:$D$13),MATCH(P$7,Д4!$E$3:$AI$3))</f>
        <v>0</v>
      </c>
      <c r="Q43" s="28">
        <f ca="1">INDEX(Д4!$E$4:$AI$13,MATCH($D43,Д4!$D$4:$D$13),MATCH(Q$7,Д4!$E$3:$AI$3))</f>
        <v>4</v>
      </c>
      <c r="R43" s="28">
        <f ca="1">INDEX(Д4!$E$4:$AI$13,MATCH($D43,Д4!$D$4:$D$13),MATCH(R$7,Д4!$E$3:$AI$3))</f>
        <v>8</v>
      </c>
      <c r="S43" s="28">
        <f ca="1">INDEX(Д4!$E$4:$AI$13,MATCH($D43,Д4!$D$4:$D$13),MATCH(S$7,Д4!$E$3:$AI$3))</f>
        <v>12</v>
      </c>
      <c r="T43" s="28">
        <f ca="1">INDEX(Д4!$E$4:$AI$13,MATCH($D43,Д4!$D$4:$D$13),MATCH(T$7,Д4!$E$3:$AI$3))</f>
        <v>4</v>
      </c>
      <c r="U43" s="28">
        <f ca="1">INDEX(Д4!$E$4:$AI$13,MATCH($D43,Д4!$D$4:$D$13),MATCH(U$7,Д4!$E$3:$AI$3))</f>
        <v>8</v>
      </c>
      <c r="V43" s="28">
        <f ca="1">INDEX(Д4!$E$4:$AI$13,MATCH($D43,Д4!$D$4:$D$13),MATCH(V$7,Д4!$E$3:$AI$3))</f>
        <v>12</v>
      </c>
      <c r="W43" s="28">
        <f ca="1">INDEX(Д4!$E$4:$AI$13,MATCH($D43,Д4!$D$4:$D$13),MATCH(W$7,Д4!$E$3:$AI$3))</f>
        <v>0</v>
      </c>
      <c r="X43" s="28">
        <f ca="1">INDEX(Д4!$E$4:$AI$13,MATCH($D43,Д4!$D$4:$D$13),MATCH(X$7,Д4!$E$3:$AI$3))</f>
        <v>0</v>
      </c>
      <c r="Y43" s="28">
        <f ca="1">INDEX(Д4!$E$4:$AI$13,MATCH($D43,Д4!$D$4:$D$13),MATCH(Y$7,Д4!$E$3:$AI$3))</f>
        <v>4</v>
      </c>
      <c r="Z43" s="28">
        <f ca="1">INDEX(Д4!$E$4:$AI$13,MATCH($D43,Д4!$D$4:$D$13),MATCH(Z$7,Д4!$E$3:$AI$3))</f>
        <v>8</v>
      </c>
      <c r="AA43" s="28">
        <f ca="1">INDEX(Д4!$E$4:$AI$13,MATCH($D43,Д4!$D$4:$D$13),MATCH(AA$7,Д4!$E$3:$AI$3))</f>
        <v>12</v>
      </c>
      <c r="AB43" s="28">
        <f ca="1">INDEX(Д4!$E$4:$AI$13,MATCH($D43,Д4!$D$4:$D$13),MATCH(AB$7,Д4!$E$3:$AI$3))</f>
        <v>4</v>
      </c>
      <c r="AC43" s="28">
        <f ca="1">INDEX(Д4!$E$4:$AI$13,MATCH($D43,Д4!$D$4:$D$13),MATCH(AC$7,Д4!$E$3:$AI$3))</f>
        <v>8</v>
      </c>
      <c r="AD43" s="28">
        <f ca="1">INDEX(Д4!$E$4:$AI$13,MATCH($D43,Д4!$D$4:$D$13),MATCH(AD$7,Д4!$E$3:$AI$3))</f>
        <v>12</v>
      </c>
      <c r="AE43" s="28">
        <f ca="1">INDEX(Д4!$E$4:$AI$13,MATCH($D43,Д4!$D$4:$D$13),MATCH(AE$7,Д4!$E$3:$AI$3))</f>
        <v>0</v>
      </c>
      <c r="AF43" s="28">
        <f ca="1">INDEX(Д4!$E$4:$AI$13,MATCH($D43,Д4!$D$4:$D$13),MATCH(AF$7,Д4!$E$3:$AI$3))</f>
        <v>0</v>
      </c>
      <c r="AG43" s="28">
        <f ca="1">INDEX(Д4!$E$4:$AI$13,MATCH($D43,Д4!$D$4:$D$13),MATCH(AG$7,Д4!$E$3:$AI$3))</f>
        <v>4</v>
      </c>
      <c r="AH43" s="28">
        <f ca="1">INDEX(Д4!$E$4:$AI$13,MATCH($D43,Д4!$D$4:$D$13),MATCH(AH$7,Д4!$E$3:$AI$3))</f>
        <v>8</v>
      </c>
      <c r="AI43" s="60">
        <f ca="1">INDEX(Д4!$E$4:$AI$13,MATCH($D43,Д4!$D$4:$D$13),MATCH(AI$7,Д4!$E$3:$AI$3))</f>
        <v>12</v>
      </c>
      <c r="AJ43" s="143">
        <f>INDEX(Д4!AK$4:$AK$13,MATCH($C43,Д4!$C$4:$C$13),MATCH(E$7,Д4!$E$3:$AI$3))*AND(MONTH($E$8)=MONTH(Д4!$B$4))</f>
        <v>136</v>
      </c>
      <c r="AK43" s="144">
        <f ca="1">SUM(E43:AI44)</f>
        <v>196</v>
      </c>
      <c r="AL43" s="144"/>
      <c r="AM43" s="149">
        <f ca="1">SUM(F43:H44,J43:AI44)-AJ43+AL43-12</f>
        <v>36</v>
      </c>
      <c r="AP43" s="136">
        <f t="shared" ref="AP43" ca="1" si="98">COUNTIF($E43:$AI44,"12")</f>
        <v>8</v>
      </c>
      <c r="AQ43" s="136">
        <f t="shared" ref="AQ43" ca="1" si="99">IF(COUNTIF($E43:$AI44,"СП")&gt;=1,(COUNTIF($E43:$AI44,"4")+COUNTIF($E43:$AI44,"8")-1)/2,(COUNTIF($E43:$AI44,"4")+COUNTIF($E43:$AI44,"8"))/2)</f>
        <v>7.5</v>
      </c>
      <c r="AR43" s="136">
        <f t="shared" ca="1" si="2"/>
        <v>96</v>
      </c>
      <c r="AS43" s="136">
        <f t="shared" ref="AS43" ca="1" si="100">IF(COUNTIF($E43:$AI44,"СП")&gt;=1,SUMIF($E43:$AI44,"4",$E43:$AI44)+SUMIF($E43:$AI44,"8",$E43:$AI44)-8,SUMIF($E43:$AI44,"4",$E43:$AI44)+SUMIF($E43:$AI44,"8",$E43:$AI44))</f>
        <v>92</v>
      </c>
      <c r="AT43" s="136">
        <f t="shared" ref="AT43" ca="1" si="101">$AR43+$AS43</f>
        <v>188</v>
      </c>
      <c r="AU43" s="136" t="str">
        <f t="shared" ref="AU43" ca="1" si="102">IF(AK43=AT43,"+","!")</f>
        <v>!</v>
      </c>
      <c r="AV43" s="136">
        <f t="shared" ref="AV43" ca="1" si="103">COUNTIF($E43:$AI44,"ОТ")</f>
        <v>0</v>
      </c>
      <c r="AW43" s="137" t="str">
        <f ca="1">IF(COUNTIF($A44:$AI44,"СП")&gt;0,IF(INDIRECT(ADDRESS(ROW(),MATCH("СП",$A44:$AI44),1))=8,"","!"),"")</f>
        <v>!</v>
      </c>
      <c r="AX43" s="137" t="str">
        <f ca="1">IF(COUNTIF($A44:$AI44,"СП")&gt;0,IF(INDIRECT(ADDRESS(ROW(),MATCH("СП",$A44:$AI44)-1,1))=4,"!",""),"")</f>
        <v/>
      </c>
    </row>
    <row r="44" spans="1:50" ht="16.5" thickBot="1" x14ac:dyDescent="0.3">
      <c r="A44" s="147"/>
      <c r="B44" s="139"/>
      <c r="C44" s="142"/>
      <c r="D44" s="50">
        <v>6</v>
      </c>
      <c r="E44" s="63" t="str">
        <f>INDEX(Д4!$E$4:$AI$13,MATCH($D44,Д4!$D$4:$D$13),MATCH(E$7,Д4!$E$3:$AI$3))</f>
        <v/>
      </c>
      <c r="F44" s="29" t="str">
        <f>INDEX(Д4!$E$4:$AI$13,MATCH($D44,Д4!$D$4:$D$13),MATCH(F$7,Д4!$E$3:$AI$3))</f>
        <v/>
      </c>
      <c r="G44" s="29" t="str">
        <f>INDEX(Д4!$E$4:$AI$13,MATCH($D44,Д4!$D$4:$D$13),MATCH(G$7,Д4!$E$3:$AI$3))</f>
        <v>СП</v>
      </c>
      <c r="H44" s="29" t="str">
        <f>INDEX(Д4!$E$4:$AI$13,MATCH($D44,Д4!$D$4:$D$13),MATCH(H$7,Д4!$E$3:$AI$3))</f>
        <v/>
      </c>
      <c r="I44" s="29" t="str">
        <f>INDEX(Д4!$E$4:$AI$13,MATCH($D44,Д4!$D$4:$D$13),MATCH(I$7,Д4!$E$3:$AI$3))</f>
        <v/>
      </c>
      <c r="J44" s="29" t="str">
        <f>INDEX(Д4!$E$4:$AI$13,MATCH($D44,Д4!$D$4:$D$13),MATCH(J$7,Д4!$E$3:$AI$3))</f>
        <v/>
      </c>
      <c r="K44" s="29" t="str">
        <f>INDEX(Д4!$E$4:$AI$13,MATCH($D44,Д4!$D$4:$D$13),MATCH(K$7,Д4!$E$3:$AI$3))</f>
        <v/>
      </c>
      <c r="L44" s="29" t="str">
        <f>INDEX(Д4!$E$4:$AI$13,MATCH($D44,Д4!$D$4:$D$13),MATCH(L$7,Д4!$E$3:$AI$3))</f>
        <v/>
      </c>
      <c r="M44" s="29" t="str">
        <f>INDEX(Д4!$E$4:$AI$13,MATCH($D44,Д4!$D$4:$D$13),MATCH(M$7,Д4!$E$3:$AI$3))</f>
        <v/>
      </c>
      <c r="N44" s="29" t="str">
        <f>INDEX(Д4!$E$4:$AI$13,MATCH($D44,Д4!$D$4:$D$13),MATCH(N$7,Д4!$E$3:$AI$3))</f>
        <v/>
      </c>
      <c r="O44" s="29" t="str">
        <f>INDEX(Д4!$E$4:$AI$13,MATCH($D44,Д4!$D$4:$D$13),MATCH(O$7,Д4!$E$3:$AI$3))</f>
        <v/>
      </c>
      <c r="P44" s="29" t="str">
        <f>INDEX(Д4!$E$4:$AI$13,MATCH($D44,Д4!$D$4:$D$13),MATCH(P$7,Д4!$E$3:$AI$3))</f>
        <v/>
      </c>
      <c r="Q44" s="29" t="str">
        <f>INDEX(Д4!$E$4:$AI$13,MATCH($D44,Д4!$D$4:$D$13),MATCH(Q$7,Д4!$E$3:$AI$3))</f>
        <v/>
      </c>
      <c r="R44" s="29" t="str">
        <f>INDEX(Д4!$E$4:$AI$13,MATCH($D44,Д4!$D$4:$D$13),MATCH(R$7,Д4!$E$3:$AI$3))</f>
        <v/>
      </c>
      <c r="S44" s="29" t="str">
        <f>INDEX(Д4!$E$4:$AI$13,MATCH($D44,Д4!$D$4:$D$13),MATCH(S$7,Д4!$E$3:$AI$3))</f>
        <v/>
      </c>
      <c r="T44" s="29" t="str">
        <f>INDEX(Д4!$E$4:$AI$13,MATCH($D44,Д4!$D$4:$D$13),MATCH(T$7,Д4!$E$3:$AI$3))</f>
        <v/>
      </c>
      <c r="U44" s="29" t="str">
        <f>INDEX(Д4!$E$4:$AI$13,MATCH($D44,Д4!$D$4:$D$13),MATCH(U$7,Д4!$E$3:$AI$3))</f>
        <v/>
      </c>
      <c r="V44" s="29" t="str">
        <f>INDEX(Д4!$E$4:$AI$13,MATCH($D44,Д4!$D$4:$D$13),MATCH(V$7,Д4!$E$3:$AI$3))</f>
        <v/>
      </c>
      <c r="W44" s="29" t="str">
        <f>INDEX(Д4!$E$4:$AI$13,MATCH($D44,Д4!$D$4:$D$13),MATCH(W$7,Д4!$E$3:$AI$3))</f>
        <v/>
      </c>
      <c r="X44" s="29" t="str">
        <f>INDEX(Д4!$E$4:$AI$13,MATCH($D44,Д4!$D$4:$D$13),MATCH(X$7,Д4!$E$3:$AI$3))</f>
        <v/>
      </c>
      <c r="Y44" s="29" t="str">
        <f>INDEX(Д4!$E$4:$AI$13,MATCH($D44,Д4!$D$4:$D$13),MATCH(Y$7,Д4!$E$3:$AI$3))</f>
        <v/>
      </c>
      <c r="Z44" s="29" t="str">
        <f>INDEX(Д4!$E$4:$AI$13,MATCH($D44,Д4!$D$4:$D$13),MATCH(Z$7,Д4!$E$3:$AI$3))</f>
        <v/>
      </c>
      <c r="AA44" s="29" t="str">
        <f>INDEX(Д4!$E$4:$AI$13,MATCH($D44,Д4!$D$4:$D$13),MATCH(AA$7,Д4!$E$3:$AI$3))</f>
        <v/>
      </c>
      <c r="AB44" s="29" t="str">
        <f>INDEX(Д4!$E$4:$AI$13,MATCH($D44,Д4!$D$4:$D$13),MATCH(AB$7,Д4!$E$3:$AI$3))</f>
        <v/>
      </c>
      <c r="AC44" s="29" t="str">
        <f>INDEX(Д4!$E$4:$AI$13,MATCH($D44,Д4!$D$4:$D$13),MATCH(AC$7,Д4!$E$3:$AI$3))</f>
        <v/>
      </c>
      <c r="AD44" s="29" t="str">
        <f>INDEX(Д4!$E$4:$AI$13,MATCH($D44,Д4!$D$4:$D$13),MATCH(AD$7,Д4!$E$3:$AI$3))</f>
        <v/>
      </c>
      <c r="AE44" s="29" t="str">
        <f>INDEX(Д4!$E$4:$AI$13,MATCH($D44,Д4!$D$4:$D$13),MATCH(AE$7,Д4!$E$3:$AI$3))</f>
        <v/>
      </c>
      <c r="AF44" s="29" t="str">
        <f>INDEX(Д4!$E$4:$AI$13,MATCH($D44,Д4!$D$4:$D$13),MATCH(AF$7,Д4!$E$3:$AI$3))</f>
        <v/>
      </c>
      <c r="AG44" s="29" t="str">
        <f>INDEX(Д4!$E$4:$AI$13,MATCH($D44,Д4!$D$4:$D$13),MATCH(AG$7,Д4!$E$3:$AI$3))</f>
        <v/>
      </c>
      <c r="AH44" s="29" t="str">
        <f>INDEX(Д4!$E$4:$AI$13,MATCH($D44,Д4!$D$4:$D$13),MATCH(AH$7,Д4!$E$3:$AI$3))</f>
        <v/>
      </c>
      <c r="AI44" s="61" t="str">
        <f>INDEX(Д4!$E$4:$AI$13,MATCH($D44,Д4!$D$4:$D$13),MATCH(AI$7,Д4!$E$3:$AI$3))</f>
        <v/>
      </c>
      <c r="AJ44" s="143"/>
      <c r="AK44" s="145"/>
      <c r="AL44" s="145"/>
      <c r="AM44" s="150"/>
      <c r="AP44" s="136"/>
      <c r="AQ44" s="136"/>
      <c r="AR44" s="136"/>
      <c r="AS44" s="136"/>
      <c r="AT44" s="136"/>
      <c r="AU44" s="136"/>
      <c r="AV44" s="136"/>
      <c r="AW44" s="137"/>
      <c r="AX44" s="137"/>
    </row>
    <row r="45" spans="1:50" ht="16.5" customHeight="1" thickBot="1" x14ac:dyDescent="0.3">
      <c r="A45" s="147"/>
      <c r="B45" s="139" t="s">
        <v>98</v>
      </c>
      <c r="C45" s="141">
        <v>4</v>
      </c>
      <c r="D45" s="49">
        <v>7</v>
      </c>
      <c r="E45" s="64">
        <f ca="1">INDEX(Д4!$E$4:$AI$13,MATCH($D45,Д4!$D$4:$D$13),MATCH(E$7,Д4!$E$3:$AI$3))</f>
        <v>12</v>
      </c>
      <c r="F45" s="27">
        <f ca="1">INDEX(Д4!$E$4:$AI$13,MATCH($D45,Д4!$D$4:$D$13),MATCH(F$7,Д4!$E$3:$AI$3))</f>
        <v>4</v>
      </c>
      <c r="G45" s="27">
        <f ca="1">INDEX(Д4!$E$4:$AI$13,MATCH($D45,Д4!$D$4:$D$13),MATCH(G$7,Д4!$E$3:$AI$3))</f>
        <v>8</v>
      </c>
      <c r="H45" s="27">
        <f ca="1">INDEX(Д4!$E$4:$AI$13,MATCH($D45,Д4!$D$4:$D$13),MATCH(H$7,Д4!$E$3:$AI$3))</f>
        <v>12</v>
      </c>
      <c r="I45" s="27">
        <f ca="1">INDEX(Д4!$E$4:$AI$13,MATCH($D45,Д4!$D$4:$D$13),MATCH(I$7,Д4!$E$3:$AI$3))</f>
        <v>0</v>
      </c>
      <c r="J45" s="27">
        <f ca="1">INDEX(Д4!$E$4:$AI$13,MATCH($D45,Д4!$D$4:$D$13),MATCH(J$7,Д4!$E$3:$AI$3))</f>
        <v>0</v>
      </c>
      <c r="K45" s="27">
        <f ca="1">INDEX(Д4!$E$4:$AI$13,MATCH($D45,Д4!$D$4:$D$13),MATCH(K$7,Д4!$E$3:$AI$3))</f>
        <v>4</v>
      </c>
      <c r="L45" s="27">
        <f ca="1">INDEX(Д4!$E$4:$AI$13,MATCH($D45,Д4!$D$4:$D$13),MATCH(L$7,Д4!$E$3:$AI$3))</f>
        <v>8</v>
      </c>
      <c r="M45" s="27">
        <f ca="1">INDEX(Д4!$E$4:$AI$13,MATCH($D45,Д4!$D$4:$D$13),MATCH(M$7,Д4!$E$3:$AI$3))</f>
        <v>12</v>
      </c>
      <c r="N45" s="27">
        <f ca="1">INDEX(Д4!$E$4:$AI$13,MATCH($D45,Д4!$D$4:$D$13),MATCH(N$7,Д4!$E$3:$AI$3))</f>
        <v>4</v>
      </c>
      <c r="O45" s="27">
        <f ca="1">INDEX(Д4!$E$4:$AI$13,MATCH($D45,Д4!$D$4:$D$13),MATCH(O$7,Д4!$E$3:$AI$3))</f>
        <v>8</v>
      </c>
      <c r="P45" s="27">
        <f ca="1">INDEX(Д4!$E$4:$AI$13,MATCH($D45,Д4!$D$4:$D$13),MATCH(P$7,Д4!$E$3:$AI$3))</f>
        <v>12</v>
      </c>
      <c r="Q45" s="27">
        <f ca="1">INDEX(Д4!$E$4:$AI$13,MATCH($D45,Д4!$D$4:$D$13),MATCH(Q$7,Д4!$E$3:$AI$3))</f>
        <v>0</v>
      </c>
      <c r="R45" s="27">
        <f ca="1">INDEX(Д4!$E$4:$AI$13,MATCH($D45,Д4!$D$4:$D$13),MATCH(R$7,Д4!$E$3:$AI$3))</f>
        <v>0</v>
      </c>
      <c r="S45" s="27">
        <f ca="1">INDEX(Д4!$E$4:$AI$13,MATCH($D45,Д4!$D$4:$D$13),MATCH(S$7,Д4!$E$3:$AI$3))</f>
        <v>4</v>
      </c>
      <c r="T45" s="27">
        <f ca="1">INDEX(Д4!$E$4:$AI$13,MATCH($D45,Д4!$D$4:$D$13),MATCH(T$7,Д4!$E$3:$AI$3))</f>
        <v>8</v>
      </c>
      <c r="U45" s="27">
        <f ca="1">INDEX(Д4!$E$4:$AI$13,MATCH($D45,Д4!$D$4:$D$13),MATCH(U$7,Д4!$E$3:$AI$3))</f>
        <v>12</v>
      </c>
      <c r="V45" s="27">
        <f ca="1">INDEX(Д4!$E$4:$AI$13,MATCH($D45,Д4!$D$4:$D$13),MATCH(V$7,Д4!$E$3:$AI$3))</f>
        <v>4</v>
      </c>
      <c r="W45" s="27">
        <f ca="1">INDEX(Д4!$E$4:$AI$13,MATCH($D45,Д4!$D$4:$D$13),MATCH(W$7,Д4!$E$3:$AI$3))</f>
        <v>8</v>
      </c>
      <c r="X45" s="27">
        <f ca="1">INDEX(Д4!$E$4:$AI$13,MATCH($D45,Д4!$D$4:$D$13),MATCH(X$7,Д4!$E$3:$AI$3))</f>
        <v>12</v>
      </c>
      <c r="Y45" s="27">
        <f ca="1">INDEX(Д4!$E$4:$AI$13,MATCH($D45,Д4!$D$4:$D$13),MATCH(Y$7,Д4!$E$3:$AI$3))</f>
        <v>0</v>
      </c>
      <c r="Z45" s="27">
        <f ca="1">INDEX(Д4!$E$4:$AI$13,MATCH($D45,Д4!$D$4:$D$13),MATCH(Z$7,Д4!$E$3:$AI$3))</f>
        <v>0</v>
      </c>
      <c r="AA45" s="27">
        <f ca="1">INDEX(Д4!$E$4:$AI$13,MATCH($D45,Д4!$D$4:$D$13),MATCH(AA$7,Д4!$E$3:$AI$3))</f>
        <v>4</v>
      </c>
      <c r="AB45" s="27">
        <f ca="1">INDEX(Д4!$E$4:$AI$13,MATCH($D45,Д4!$D$4:$D$13),MATCH(AB$7,Д4!$E$3:$AI$3))</f>
        <v>8</v>
      </c>
      <c r="AC45" s="27">
        <f ca="1">INDEX(Д4!$E$4:$AI$13,MATCH($D45,Д4!$D$4:$D$13),MATCH(AC$7,Д4!$E$3:$AI$3))</f>
        <v>12</v>
      </c>
      <c r="AD45" s="27">
        <f ca="1">INDEX(Д4!$E$4:$AI$13,MATCH($D45,Д4!$D$4:$D$13),MATCH(AD$7,Д4!$E$3:$AI$3))</f>
        <v>4</v>
      </c>
      <c r="AE45" s="27">
        <f ca="1">INDEX(Д4!$E$4:$AI$13,MATCH($D45,Д4!$D$4:$D$13),MATCH(AE$7,Д4!$E$3:$AI$3))</f>
        <v>8</v>
      </c>
      <c r="AF45" s="27">
        <f ca="1">INDEX(Д4!$E$4:$AI$13,MATCH($D45,Д4!$D$4:$D$13),MATCH(AF$7,Д4!$E$3:$AI$3))</f>
        <v>12</v>
      </c>
      <c r="AG45" s="27">
        <f ca="1">INDEX(Д4!$E$4:$AI$13,MATCH($D45,Д4!$D$4:$D$13),MATCH(AG$7,Д4!$E$3:$AI$3))</f>
        <v>0</v>
      </c>
      <c r="AH45" s="27">
        <f ca="1">INDEX(Д4!$E$4:$AI$13,MATCH($D45,Д4!$D$4:$D$13),MATCH(AH$7,Д4!$E$3:$AI$3))</f>
        <v>0</v>
      </c>
      <c r="AI45" s="32">
        <f ca="1">INDEX(Д4!$E$4:$AI$13,MATCH($D45,Д4!$D$4:$D$13),MATCH(AI$7,Д4!$E$3:$AI$3))</f>
        <v>4</v>
      </c>
      <c r="AJ45" s="143">
        <f>INDEX(Д4!AK$4:$AK$13,MATCH($C45,Д4!$C$4:$C$13),MATCH(E$7,Д4!$E$3:$AI$3))*AND(MONTH($E$8)=MONTH(Д4!$B$4))</f>
        <v>136</v>
      </c>
      <c r="AK45" s="144">
        <f ca="1">SUM(E45:AI46)</f>
        <v>184</v>
      </c>
      <c r="AL45" s="144"/>
      <c r="AM45" s="149">
        <f ca="1">SUM(F45:H46,J45:AI46)-AJ45+AL45-12</f>
        <v>24</v>
      </c>
      <c r="AP45" s="136">
        <f t="shared" ref="AP45" ca="1" si="104">COUNTIF($E45:$AI46,"12")</f>
        <v>8</v>
      </c>
      <c r="AQ45" s="136">
        <f t="shared" ref="AQ45" ca="1" si="105">IF(COUNTIF($E45:$AI46,"СП")&gt;=1,(COUNTIF($E45:$AI46,"4")+COUNTIF($E45:$AI46,"8")-1)/2,(COUNTIF($E45:$AI46,"4")+COUNTIF($E45:$AI46,"8"))/2)</f>
        <v>7</v>
      </c>
      <c r="AR45" s="136">
        <f t="shared" ca="1" si="2"/>
        <v>96</v>
      </c>
      <c r="AS45" s="136">
        <f t="shared" ref="AS45" ca="1" si="106">IF(COUNTIF($E45:$AI46,"СП")&gt;=1,SUMIF($E45:$AI46,"4",$E45:$AI46)+SUMIF($E45:$AI46,"8",$E45:$AI46)-8,SUMIF($E45:$AI46,"4",$E45:$AI46)+SUMIF($E45:$AI46,"8",$E45:$AI46))</f>
        <v>80</v>
      </c>
      <c r="AT45" s="136">
        <f t="shared" ref="AT45" ca="1" si="107">$AR45+$AS45</f>
        <v>176</v>
      </c>
      <c r="AU45" s="136" t="str">
        <f t="shared" ref="AU45" ca="1" si="108">IF(AK45=AT45,"+","!")</f>
        <v>!</v>
      </c>
      <c r="AV45" s="136">
        <f t="shared" ref="AV45" ca="1" si="109">COUNTIF($E45:$AI46,"ОТ")</f>
        <v>0</v>
      </c>
      <c r="AW45" s="137" t="str">
        <f ca="1">IF(COUNTIF($A46:$AI46,"СП")&gt;0,IF(INDIRECT(ADDRESS(ROW(),MATCH("СП",$A46:$AI46),1))=8,"","!"),"")</f>
        <v>!</v>
      </c>
      <c r="AX45" s="137" t="str">
        <f ca="1">IF(COUNTIF($A46:$AI46,"СП")&gt;0,IF(INDIRECT(ADDRESS(ROW(),MATCH("СП",$A46:$AI46)-1,1))=4,"!",""),"")</f>
        <v/>
      </c>
    </row>
    <row r="46" spans="1:50" ht="16.5" thickBot="1" x14ac:dyDescent="0.3">
      <c r="A46" s="147"/>
      <c r="B46" s="139"/>
      <c r="C46" s="142"/>
      <c r="D46" s="50">
        <v>8</v>
      </c>
      <c r="E46" s="65" t="str">
        <f>INDEX(Д4!$E$4:$AI$13,MATCH($D46,Д4!$D$4:$D$13),MATCH(E$7,Д4!$E$3:$AI$3))</f>
        <v/>
      </c>
      <c r="F46" s="30" t="str">
        <f>INDEX(Д4!$E$4:$AI$13,MATCH($D46,Д4!$D$4:$D$13),MATCH(F$7,Д4!$E$3:$AI$3))</f>
        <v/>
      </c>
      <c r="G46" s="30" t="str">
        <f>INDEX(Д4!$E$4:$AI$13,MATCH($D46,Д4!$D$4:$D$13),MATCH(G$7,Д4!$E$3:$AI$3))</f>
        <v/>
      </c>
      <c r="H46" s="30" t="str">
        <f>INDEX(Д4!$E$4:$AI$13,MATCH($D46,Д4!$D$4:$D$13),MATCH(H$7,Д4!$E$3:$AI$3))</f>
        <v>СП</v>
      </c>
      <c r="I46" s="30" t="str">
        <f>INDEX(Д4!$E$4:$AI$13,MATCH($D46,Д4!$D$4:$D$13),MATCH(I$7,Д4!$E$3:$AI$3))</f>
        <v/>
      </c>
      <c r="J46" s="30" t="str">
        <f>INDEX(Д4!$E$4:$AI$13,MATCH($D46,Д4!$D$4:$D$13),MATCH(J$7,Д4!$E$3:$AI$3))</f>
        <v/>
      </c>
      <c r="K46" s="30" t="str">
        <f>INDEX(Д4!$E$4:$AI$13,MATCH($D46,Д4!$D$4:$D$13),MATCH(K$7,Д4!$E$3:$AI$3))</f>
        <v/>
      </c>
      <c r="L46" s="30" t="str">
        <f>INDEX(Д4!$E$4:$AI$13,MATCH($D46,Д4!$D$4:$D$13),MATCH(L$7,Д4!$E$3:$AI$3))</f>
        <v/>
      </c>
      <c r="M46" s="30" t="str">
        <f>INDEX(Д4!$E$4:$AI$13,MATCH($D46,Д4!$D$4:$D$13),MATCH(M$7,Д4!$E$3:$AI$3))</f>
        <v/>
      </c>
      <c r="N46" s="30" t="str">
        <f>INDEX(Д4!$E$4:$AI$13,MATCH($D46,Д4!$D$4:$D$13),MATCH(N$7,Д4!$E$3:$AI$3))</f>
        <v/>
      </c>
      <c r="O46" s="30" t="str">
        <f>INDEX(Д4!$E$4:$AI$13,MATCH($D46,Д4!$D$4:$D$13),MATCH(O$7,Д4!$E$3:$AI$3))</f>
        <v/>
      </c>
      <c r="P46" s="30" t="str">
        <f>INDEX(Д4!$E$4:$AI$13,MATCH($D46,Д4!$D$4:$D$13),MATCH(P$7,Д4!$E$3:$AI$3))</f>
        <v/>
      </c>
      <c r="Q46" s="30" t="str">
        <f>INDEX(Д4!$E$4:$AI$13,MATCH($D46,Д4!$D$4:$D$13),MATCH(Q$7,Д4!$E$3:$AI$3))</f>
        <v/>
      </c>
      <c r="R46" s="30" t="str">
        <f>INDEX(Д4!$E$4:$AI$13,MATCH($D46,Д4!$D$4:$D$13),MATCH(R$7,Д4!$E$3:$AI$3))</f>
        <v/>
      </c>
      <c r="S46" s="30" t="str">
        <f>INDEX(Д4!$E$4:$AI$13,MATCH($D46,Д4!$D$4:$D$13),MATCH(S$7,Д4!$E$3:$AI$3))</f>
        <v/>
      </c>
      <c r="T46" s="30" t="str">
        <f>INDEX(Д4!$E$4:$AI$13,MATCH($D46,Д4!$D$4:$D$13),MATCH(T$7,Д4!$E$3:$AI$3))</f>
        <v/>
      </c>
      <c r="U46" s="30" t="str">
        <f>INDEX(Д4!$E$4:$AI$13,MATCH($D46,Д4!$D$4:$D$13),MATCH(U$7,Д4!$E$3:$AI$3))</f>
        <v/>
      </c>
      <c r="V46" s="30" t="str">
        <f>INDEX(Д4!$E$4:$AI$13,MATCH($D46,Д4!$D$4:$D$13),MATCH(V$7,Д4!$E$3:$AI$3))</f>
        <v/>
      </c>
      <c r="W46" s="30" t="str">
        <f>INDEX(Д4!$E$4:$AI$13,MATCH($D46,Д4!$D$4:$D$13),MATCH(W$7,Д4!$E$3:$AI$3))</f>
        <v/>
      </c>
      <c r="X46" s="30" t="str">
        <f>INDEX(Д4!$E$4:$AI$13,MATCH($D46,Д4!$D$4:$D$13),MATCH(X$7,Д4!$E$3:$AI$3))</f>
        <v/>
      </c>
      <c r="Y46" s="30" t="str">
        <f>INDEX(Д4!$E$4:$AI$13,MATCH($D46,Д4!$D$4:$D$13),MATCH(Y$7,Д4!$E$3:$AI$3))</f>
        <v/>
      </c>
      <c r="Z46" s="30" t="str">
        <f>INDEX(Д4!$E$4:$AI$13,MATCH($D46,Д4!$D$4:$D$13),MATCH(Z$7,Д4!$E$3:$AI$3))</f>
        <v/>
      </c>
      <c r="AA46" s="30" t="str">
        <f>INDEX(Д4!$E$4:$AI$13,MATCH($D46,Д4!$D$4:$D$13),MATCH(AA$7,Д4!$E$3:$AI$3))</f>
        <v/>
      </c>
      <c r="AB46" s="30" t="str">
        <f>INDEX(Д4!$E$4:$AI$13,MATCH($D46,Д4!$D$4:$D$13),MATCH(AB$7,Д4!$E$3:$AI$3))</f>
        <v/>
      </c>
      <c r="AC46" s="30" t="str">
        <f>INDEX(Д4!$E$4:$AI$13,MATCH($D46,Д4!$D$4:$D$13),MATCH(AC$7,Д4!$E$3:$AI$3))</f>
        <v/>
      </c>
      <c r="AD46" s="30" t="str">
        <f>INDEX(Д4!$E$4:$AI$13,MATCH($D46,Д4!$D$4:$D$13),MATCH(AD$7,Д4!$E$3:$AI$3))</f>
        <v/>
      </c>
      <c r="AE46" s="30" t="str">
        <f>INDEX(Д4!$E$4:$AI$13,MATCH($D46,Д4!$D$4:$D$13),MATCH(AE$7,Д4!$E$3:$AI$3))</f>
        <v/>
      </c>
      <c r="AF46" s="30" t="str">
        <f>INDEX(Д4!$E$4:$AI$13,MATCH($D46,Д4!$D$4:$D$13),MATCH(AF$7,Д4!$E$3:$AI$3))</f>
        <v/>
      </c>
      <c r="AG46" s="30" t="str">
        <f>INDEX(Д4!$E$4:$AI$13,MATCH($D46,Д4!$D$4:$D$13),MATCH(AG$7,Д4!$E$3:$AI$3))</f>
        <v/>
      </c>
      <c r="AH46" s="30" t="str">
        <f>INDEX(Д4!$E$4:$AI$13,MATCH($D46,Д4!$D$4:$D$13),MATCH(AH$7,Д4!$E$3:$AI$3))</f>
        <v/>
      </c>
      <c r="AI46" s="33" t="str">
        <f>INDEX(Д4!$E$4:$AI$13,MATCH($D46,Д4!$D$4:$D$13),MATCH(AI$7,Д4!$E$3:$AI$3))</f>
        <v/>
      </c>
      <c r="AJ46" s="143"/>
      <c r="AK46" s="145"/>
      <c r="AL46" s="145"/>
      <c r="AM46" s="150"/>
      <c r="AP46" s="136"/>
      <c r="AQ46" s="136"/>
      <c r="AR46" s="136"/>
      <c r="AS46" s="136"/>
      <c r="AT46" s="136"/>
      <c r="AU46" s="136"/>
      <c r="AV46" s="136"/>
      <c r="AW46" s="137"/>
      <c r="AX46" s="137"/>
    </row>
    <row r="47" spans="1:50" ht="16.5" customHeight="1" thickBot="1" x14ac:dyDescent="0.3">
      <c r="A47" s="147"/>
      <c r="B47" s="139" t="s">
        <v>99</v>
      </c>
      <c r="C47" s="141">
        <v>5</v>
      </c>
      <c r="D47" s="49">
        <v>9</v>
      </c>
      <c r="E47" s="62" t="str">
        <f>INDEX(Д4!$E$4:$AI$13,MATCH($D47,Д4!$D$4:$D$13),MATCH(E$7,Д4!$E$3:$AI$3))</f>
        <v>-</v>
      </c>
      <c r="F47" s="28" t="str">
        <f>INDEX(Д4!$E$4:$AI$13,MATCH($D47,Д4!$D$4:$D$13),MATCH(F$7,Д4!$E$3:$AI$3))</f>
        <v>-</v>
      </c>
      <c r="G47" s="28" t="str">
        <f>INDEX(Д4!$E$4:$AI$13,MATCH($D47,Д4!$D$4:$D$13),MATCH(G$7,Д4!$E$3:$AI$3))</f>
        <v>-</v>
      </c>
      <c r="H47" s="28" t="str">
        <f>INDEX(Д4!$E$4:$AI$13,MATCH($D47,Д4!$D$4:$D$13),MATCH(H$7,Д4!$E$3:$AI$3))</f>
        <v>-</v>
      </c>
      <c r="I47" s="28" t="str">
        <f>INDEX(Д4!$E$4:$AI$13,MATCH($D47,Д4!$D$4:$D$13),MATCH(I$7,Д4!$E$3:$AI$3))</f>
        <v>-</v>
      </c>
      <c r="J47" s="28" t="str">
        <f>INDEX(Д4!$E$4:$AI$13,MATCH($D47,Д4!$D$4:$D$13),MATCH(J$7,Д4!$E$3:$AI$3))</f>
        <v>-</v>
      </c>
      <c r="K47" s="28" t="str">
        <f>INDEX(Д4!$E$4:$AI$13,MATCH($D47,Д4!$D$4:$D$13),MATCH(K$7,Д4!$E$3:$AI$3))</f>
        <v>-</v>
      </c>
      <c r="L47" s="28" t="str">
        <f>INDEX(Д4!$E$4:$AI$13,MATCH($D47,Д4!$D$4:$D$13),MATCH(L$7,Д4!$E$3:$AI$3))</f>
        <v>-</v>
      </c>
      <c r="M47" s="28" t="str">
        <f>INDEX(Д4!$E$4:$AI$13,MATCH($D47,Д4!$D$4:$D$13),MATCH(M$7,Д4!$E$3:$AI$3))</f>
        <v>-</v>
      </c>
      <c r="N47" s="28" t="str">
        <f>INDEX(Д4!$E$4:$AI$13,MATCH($D47,Д4!$D$4:$D$13),MATCH(N$7,Д4!$E$3:$AI$3))</f>
        <v>-</v>
      </c>
      <c r="O47" s="28" t="str">
        <f>INDEX(Д4!$E$4:$AI$13,MATCH($D47,Д4!$D$4:$D$13),MATCH(O$7,Д4!$E$3:$AI$3))</f>
        <v>-</v>
      </c>
      <c r="P47" s="28" t="str">
        <f>INDEX(Д4!$E$4:$AI$13,MATCH($D47,Д4!$D$4:$D$13),MATCH(P$7,Д4!$E$3:$AI$3))</f>
        <v>-</v>
      </c>
      <c r="Q47" s="28" t="str">
        <f>INDEX(Д4!$E$4:$AI$13,MATCH($D47,Д4!$D$4:$D$13),MATCH(Q$7,Д4!$E$3:$AI$3))</f>
        <v>-</v>
      </c>
      <c r="R47" s="28" t="str">
        <f>INDEX(Д4!$E$4:$AI$13,MATCH($D47,Д4!$D$4:$D$13),MATCH(R$7,Д4!$E$3:$AI$3))</f>
        <v>-</v>
      </c>
      <c r="S47" s="28" t="str">
        <f>INDEX(Д4!$E$4:$AI$13,MATCH($D47,Д4!$D$4:$D$13),MATCH(S$7,Д4!$E$3:$AI$3))</f>
        <v>-</v>
      </c>
      <c r="T47" s="28" t="str">
        <f>INDEX(Д4!$E$4:$AI$13,MATCH($D47,Д4!$D$4:$D$13),MATCH(T$7,Д4!$E$3:$AI$3))</f>
        <v>-</v>
      </c>
      <c r="U47" s="28" t="str">
        <f>INDEX(Д4!$E$4:$AI$13,MATCH($D47,Д4!$D$4:$D$13),MATCH(U$7,Д4!$E$3:$AI$3))</f>
        <v>-</v>
      </c>
      <c r="V47" s="28" t="str">
        <f>INDEX(Д4!$E$4:$AI$13,MATCH($D47,Д4!$D$4:$D$13),MATCH(V$7,Д4!$E$3:$AI$3))</f>
        <v>-</v>
      </c>
      <c r="W47" s="28" t="str">
        <f>INDEX(Д4!$E$4:$AI$13,MATCH($D47,Д4!$D$4:$D$13),MATCH(W$7,Д4!$E$3:$AI$3))</f>
        <v>-</v>
      </c>
      <c r="X47" s="28" t="str">
        <f>INDEX(Д4!$E$4:$AI$13,MATCH($D47,Д4!$D$4:$D$13),MATCH(X$7,Д4!$E$3:$AI$3))</f>
        <v>-</v>
      </c>
      <c r="Y47" s="28" t="str">
        <f>INDEX(Д4!$E$4:$AI$13,MATCH($D47,Д4!$D$4:$D$13),MATCH(Y$7,Д4!$E$3:$AI$3))</f>
        <v>-</v>
      </c>
      <c r="Z47" s="28" t="str">
        <f>INDEX(Д4!$E$4:$AI$13,MATCH($D47,Д4!$D$4:$D$13),MATCH(Z$7,Д4!$E$3:$AI$3))</f>
        <v>-</v>
      </c>
      <c r="AA47" s="28" t="str">
        <f>INDEX(Д4!$E$4:$AI$13,MATCH($D47,Д4!$D$4:$D$13),MATCH(AA$7,Д4!$E$3:$AI$3))</f>
        <v>-</v>
      </c>
      <c r="AB47" s="28" t="str">
        <f>INDEX(Д4!$E$4:$AI$13,MATCH($D47,Д4!$D$4:$D$13),MATCH(AB$7,Д4!$E$3:$AI$3))</f>
        <v>-</v>
      </c>
      <c r="AC47" s="28" t="str">
        <f>INDEX(Д4!$E$4:$AI$13,MATCH($D47,Д4!$D$4:$D$13),MATCH(AC$7,Д4!$E$3:$AI$3))</f>
        <v>-</v>
      </c>
      <c r="AD47" s="28" t="str">
        <f>INDEX(Д4!$E$4:$AI$13,MATCH($D47,Д4!$D$4:$D$13),MATCH(AD$7,Д4!$E$3:$AI$3))</f>
        <v>-</v>
      </c>
      <c r="AE47" s="28" t="str">
        <f>INDEX(Д4!$E$4:$AI$13,MATCH($D47,Д4!$D$4:$D$13),MATCH(AE$7,Д4!$E$3:$AI$3))</f>
        <v>-</v>
      </c>
      <c r="AF47" s="28" t="str">
        <f>INDEX(Д4!$E$4:$AI$13,MATCH($D47,Д4!$D$4:$D$13),MATCH(AF$7,Д4!$E$3:$AI$3))</f>
        <v>-</v>
      </c>
      <c r="AG47" s="28" t="str">
        <f>INDEX(Д4!$E$4:$AI$13,MATCH($D47,Д4!$D$4:$D$13),MATCH(AG$7,Д4!$E$3:$AI$3))</f>
        <v>-</v>
      </c>
      <c r="AH47" s="28" t="str">
        <f>INDEX(Д4!$E$4:$AI$13,MATCH($D47,Д4!$D$4:$D$13),MATCH(AH$7,Д4!$E$3:$AI$3))</f>
        <v>-</v>
      </c>
      <c r="AI47" s="60" t="str">
        <f>INDEX(Д4!$E$4:$AI$13,MATCH($D47,Д4!$D$4:$D$13),MATCH(AI$7,Д4!$E$3:$AI$3))</f>
        <v>-</v>
      </c>
      <c r="AJ47" s="143">
        <f>INDEX(Д4!AK$4:$AK$13,MATCH($C47,Д4!$C$4:$C$13),MATCH(E$7,Д4!$E$3:$AI$3))*AND(MONTH($E$8)=MONTH(Д4!$B$4))</f>
        <v>136</v>
      </c>
      <c r="AK47" s="144">
        <f>SUM(E47:AI48)</f>
        <v>0</v>
      </c>
      <c r="AL47" s="144"/>
      <c r="AM47" s="149">
        <f>SUM(F47:H48,J47:AI48)-AJ47+AL47-12</f>
        <v>-148</v>
      </c>
      <c r="AP47" s="136">
        <f t="shared" ref="AP47" si="110">COUNTIF($E47:$AI48,"12")</f>
        <v>0</v>
      </c>
      <c r="AQ47" s="136">
        <f t="shared" ref="AQ47" si="111">IF(COUNTIF($E47:$AI48,"СП")&gt;=1,(COUNTIF($E47:$AI48,"4")+COUNTIF($E47:$AI48,"8")-1)/2,(COUNTIF($E47:$AI48,"4")+COUNTIF($E47:$AI48,"8"))/2)</f>
        <v>-0.5</v>
      </c>
      <c r="AR47" s="136">
        <f t="shared" si="2"/>
        <v>0</v>
      </c>
      <c r="AS47" s="136">
        <f t="shared" ref="AS47" si="112">IF(COUNTIF($E47:$AI48,"СП")&gt;=1,SUMIF($E47:$AI48,"4",$E47:$AI48)+SUMIF($E47:$AI48,"8",$E47:$AI48)-8,SUMIF($E47:$AI48,"4",$E47:$AI48)+SUMIF($E47:$AI48,"8",$E47:$AI48))</f>
        <v>-8</v>
      </c>
      <c r="AT47" s="136">
        <f t="shared" ref="AT47" si="113">$AR47+$AS47</f>
        <v>-8</v>
      </c>
      <c r="AU47" s="136" t="str">
        <f t="shared" ref="AU47" si="114">IF(AK47=AT47,"+","!")</f>
        <v>!</v>
      </c>
      <c r="AV47" s="136">
        <f t="shared" ref="AV47" si="115">COUNTIF($E47:$AI48,"ОТ")</f>
        <v>0</v>
      </c>
      <c r="AW47" s="137" t="str">
        <f ca="1">IF(COUNTIF($A48:$AI48,"СП")&gt;0,IF(INDIRECT(ADDRESS(ROW(),MATCH("СП",$A48:$AI48),1))=8,"","!"),"")</f>
        <v>!</v>
      </c>
      <c r="AX47" s="137" t="str">
        <f ca="1">IF(COUNTIF($A48:$AI48,"СП")&gt;0,IF(INDIRECT(ADDRESS(ROW(),MATCH("СП",$A48:$AI48)-1,1))=4,"!",""),"")</f>
        <v/>
      </c>
    </row>
    <row r="48" spans="1:50" ht="16.5" thickBot="1" x14ac:dyDescent="0.3">
      <c r="A48" s="148"/>
      <c r="B48" s="140"/>
      <c r="C48" s="142"/>
      <c r="D48" s="50">
        <v>10</v>
      </c>
      <c r="E48" s="63" t="str">
        <f>INDEX(Д4!$E$4:$AI$13,MATCH($D48,Д4!$D$4:$D$13),MATCH(E$7,Д4!$E$3:$AI$3))</f>
        <v/>
      </c>
      <c r="F48" s="29" t="str">
        <f>INDEX(Д4!$E$4:$AI$13,MATCH($D48,Д4!$D$4:$D$13),MATCH(F$7,Д4!$E$3:$AI$3))</f>
        <v/>
      </c>
      <c r="G48" s="29" t="str">
        <f>INDEX(Д4!$E$4:$AI$13,MATCH($D48,Д4!$D$4:$D$13),MATCH(G$7,Д4!$E$3:$AI$3))</f>
        <v/>
      </c>
      <c r="H48" s="29" t="str">
        <f>INDEX(Д4!$E$4:$AI$13,MATCH($D48,Д4!$D$4:$D$13),MATCH(H$7,Д4!$E$3:$AI$3))</f>
        <v/>
      </c>
      <c r="I48" s="29" t="str">
        <f>INDEX(Д4!$E$4:$AI$13,MATCH($D48,Д4!$D$4:$D$13),MATCH(I$7,Д4!$E$3:$AI$3))</f>
        <v>СП</v>
      </c>
      <c r="J48" s="29" t="str">
        <f>INDEX(Д4!$E$4:$AI$13,MATCH($D48,Д4!$D$4:$D$13),MATCH(J$7,Д4!$E$3:$AI$3))</f>
        <v/>
      </c>
      <c r="K48" s="29" t="str">
        <f>INDEX(Д4!$E$4:$AI$13,MATCH($D48,Д4!$D$4:$D$13),MATCH(K$7,Д4!$E$3:$AI$3))</f>
        <v/>
      </c>
      <c r="L48" s="29" t="str">
        <f>INDEX(Д4!$E$4:$AI$13,MATCH($D48,Д4!$D$4:$D$13),MATCH(L$7,Д4!$E$3:$AI$3))</f>
        <v/>
      </c>
      <c r="M48" s="29" t="str">
        <f>INDEX(Д4!$E$4:$AI$13,MATCH($D48,Д4!$D$4:$D$13),MATCH(M$7,Д4!$E$3:$AI$3))</f>
        <v/>
      </c>
      <c r="N48" s="29" t="str">
        <f>INDEX(Д4!$E$4:$AI$13,MATCH($D48,Д4!$D$4:$D$13),MATCH(N$7,Д4!$E$3:$AI$3))</f>
        <v/>
      </c>
      <c r="O48" s="29" t="str">
        <f>INDEX(Д4!$E$4:$AI$13,MATCH($D48,Д4!$D$4:$D$13),MATCH(O$7,Д4!$E$3:$AI$3))</f>
        <v/>
      </c>
      <c r="P48" s="29" t="str">
        <f>INDEX(Д4!$E$4:$AI$13,MATCH($D48,Д4!$D$4:$D$13),MATCH(P$7,Д4!$E$3:$AI$3))</f>
        <v/>
      </c>
      <c r="Q48" s="29" t="str">
        <f>INDEX(Д4!$E$4:$AI$13,MATCH($D48,Д4!$D$4:$D$13),MATCH(Q$7,Д4!$E$3:$AI$3))</f>
        <v/>
      </c>
      <c r="R48" s="29" t="str">
        <f>INDEX(Д4!$E$4:$AI$13,MATCH($D48,Д4!$D$4:$D$13),MATCH(R$7,Д4!$E$3:$AI$3))</f>
        <v/>
      </c>
      <c r="S48" s="29" t="str">
        <f>INDEX(Д4!$E$4:$AI$13,MATCH($D48,Д4!$D$4:$D$13),MATCH(S$7,Д4!$E$3:$AI$3))</f>
        <v/>
      </c>
      <c r="T48" s="29" t="str">
        <f>INDEX(Д4!$E$4:$AI$13,MATCH($D48,Д4!$D$4:$D$13),MATCH(T$7,Д4!$E$3:$AI$3))</f>
        <v/>
      </c>
      <c r="U48" s="29" t="str">
        <f>INDEX(Д4!$E$4:$AI$13,MATCH($D48,Д4!$D$4:$D$13),MATCH(U$7,Д4!$E$3:$AI$3))</f>
        <v/>
      </c>
      <c r="V48" s="29" t="str">
        <f>INDEX(Д4!$E$4:$AI$13,MATCH($D48,Д4!$D$4:$D$13),MATCH(V$7,Д4!$E$3:$AI$3))</f>
        <v/>
      </c>
      <c r="W48" s="29" t="str">
        <f>INDEX(Д4!$E$4:$AI$13,MATCH($D48,Д4!$D$4:$D$13),MATCH(W$7,Д4!$E$3:$AI$3))</f>
        <v/>
      </c>
      <c r="X48" s="29" t="str">
        <f>INDEX(Д4!$E$4:$AI$13,MATCH($D48,Д4!$D$4:$D$13),MATCH(X$7,Д4!$E$3:$AI$3))</f>
        <v/>
      </c>
      <c r="Y48" s="29" t="str">
        <f>INDEX(Д4!$E$4:$AI$13,MATCH($D48,Д4!$D$4:$D$13),MATCH(Y$7,Д4!$E$3:$AI$3))</f>
        <v/>
      </c>
      <c r="Z48" s="29" t="str">
        <f>INDEX(Д4!$E$4:$AI$13,MATCH($D48,Д4!$D$4:$D$13),MATCH(Z$7,Д4!$E$3:$AI$3))</f>
        <v/>
      </c>
      <c r="AA48" s="29" t="str">
        <f>INDEX(Д4!$E$4:$AI$13,MATCH($D48,Д4!$D$4:$D$13),MATCH(AA$7,Д4!$E$3:$AI$3))</f>
        <v/>
      </c>
      <c r="AB48" s="29" t="str">
        <f>INDEX(Д4!$E$4:$AI$13,MATCH($D48,Д4!$D$4:$D$13),MATCH(AB$7,Д4!$E$3:$AI$3))</f>
        <v/>
      </c>
      <c r="AC48" s="29" t="str">
        <f>INDEX(Д4!$E$4:$AI$13,MATCH($D48,Д4!$D$4:$D$13),MATCH(AC$7,Д4!$E$3:$AI$3))</f>
        <v/>
      </c>
      <c r="AD48" s="29" t="str">
        <f>INDEX(Д4!$E$4:$AI$13,MATCH($D48,Д4!$D$4:$D$13),MATCH(AD$7,Д4!$E$3:$AI$3))</f>
        <v/>
      </c>
      <c r="AE48" s="29" t="str">
        <f>INDEX(Д4!$E$4:$AI$13,MATCH($D48,Д4!$D$4:$D$13),MATCH(AE$7,Д4!$E$3:$AI$3))</f>
        <v/>
      </c>
      <c r="AF48" s="29" t="str">
        <f>INDEX(Д4!$E$4:$AI$13,MATCH($D48,Д4!$D$4:$D$13),MATCH(AF$7,Д4!$E$3:$AI$3))</f>
        <v/>
      </c>
      <c r="AG48" s="29" t="str">
        <f>INDEX(Д4!$E$4:$AI$13,MATCH($D48,Д4!$D$4:$D$13),MATCH(AG$7,Д4!$E$3:$AI$3))</f>
        <v/>
      </c>
      <c r="AH48" s="29" t="str">
        <f>INDEX(Д4!$E$4:$AI$13,MATCH($D48,Д4!$D$4:$D$13),MATCH(AH$7,Д4!$E$3:$AI$3))</f>
        <v/>
      </c>
      <c r="AI48" s="61" t="str">
        <f>INDEX(Д4!$E$4:$AI$13,MATCH($D48,Д4!$D$4:$D$13),MATCH(AI$7,Д4!$E$3:$AI$3))</f>
        <v/>
      </c>
      <c r="AJ48" s="143"/>
      <c r="AK48" s="145"/>
      <c r="AL48" s="145"/>
      <c r="AM48" s="150"/>
      <c r="AP48" s="136"/>
      <c r="AQ48" s="136"/>
      <c r="AR48" s="136"/>
      <c r="AS48" s="136"/>
      <c r="AT48" s="136"/>
      <c r="AU48" s="136"/>
      <c r="AV48" s="136"/>
      <c r="AW48" s="137"/>
      <c r="AX48" s="137"/>
    </row>
    <row r="49" spans="1:49" x14ac:dyDescent="0.25">
      <c r="AP49" s="5"/>
      <c r="AQ49" s="5"/>
      <c r="AR49" s="5"/>
      <c r="AS49" s="5"/>
      <c r="AT49" s="5"/>
      <c r="AU49" s="5"/>
      <c r="AV49" s="5"/>
      <c r="AW49" s="5"/>
    </row>
    <row r="50" spans="1:49" ht="15.75" x14ac:dyDescent="0.25">
      <c r="B50" s="131" t="s">
        <v>71</v>
      </c>
      <c r="C50" s="132"/>
      <c r="D50" s="165" t="s">
        <v>72</v>
      </c>
      <c r="E50" s="165"/>
      <c r="F50" s="165"/>
      <c r="G50" s="165"/>
      <c r="H50" s="165"/>
      <c r="I50" s="132"/>
      <c r="J50" s="166" t="s">
        <v>73</v>
      </c>
      <c r="K50" s="166"/>
      <c r="L50" s="166"/>
      <c r="M50" s="132"/>
      <c r="N50" s="167" t="s">
        <v>74</v>
      </c>
      <c r="O50" s="167"/>
      <c r="P50" s="167"/>
      <c r="Q50" s="167"/>
      <c r="R50" s="132"/>
      <c r="S50" s="168" t="s">
        <v>75</v>
      </c>
      <c r="T50" s="168"/>
      <c r="U50" s="168"/>
      <c r="V50" s="168"/>
      <c r="W50" s="168"/>
      <c r="X50" s="168"/>
      <c r="Y50" s="168"/>
      <c r="Z50" s="168"/>
      <c r="AA50" s="168"/>
      <c r="AB50" s="168"/>
      <c r="AC50" s="168"/>
      <c r="AD50" s="132"/>
      <c r="AE50" s="169" t="s">
        <v>76</v>
      </c>
      <c r="AF50" s="169"/>
      <c r="AG50" s="169"/>
      <c r="AH50" s="169"/>
      <c r="AI50" s="169"/>
      <c r="AJ50" s="169"/>
      <c r="AK50" s="169"/>
      <c r="AL50" s="132"/>
      <c r="AP50" s="5"/>
      <c r="AQ50" s="5"/>
      <c r="AR50" s="5"/>
      <c r="AS50" s="5"/>
      <c r="AT50" s="5"/>
      <c r="AU50" s="5"/>
      <c r="AV50" s="5"/>
      <c r="AW50" s="5"/>
    </row>
    <row r="51" spans="1:49" ht="15.75" thickBot="1" x14ac:dyDescent="0.3">
      <c r="AP51" s="5"/>
      <c r="AQ51" s="5"/>
      <c r="AR51" s="5"/>
      <c r="AS51" s="5"/>
      <c r="AT51" s="5"/>
      <c r="AU51" s="5"/>
      <c r="AV51" s="5"/>
      <c r="AW51" s="5"/>
    </row>
    <row r="52" spans="1:49" x14ac:dyDescent="0.25">
      <c r="A52" s="138" t="s">
        <v>12</v>
      </c>
      <c r="B52" s="8" t="str">
        <f>$A$9</f>
        <v>Должность1</v>
      </c>
      <c r="C52" s="8"/>
      <c r="D52" s="8"/>
      <c r="E52" s="16" t="str">
        <f ca="1">IF(AND(COUNTIF(E$9:E$18,"12")&gt;=1,COUNTIF(E$9:E$18,"4")&gt;=1,COUNTIF(E$9:E$18,"8")&gt;=1),"","!")</f>
        <v/>
      </c>
      <c r="F52" s="16" t="str">
        <f t="shared" ref="F52:AH52" ca="1" si="116">IF(AND(COUNTIF(F$9:F$18,"12")&gt;=1,COUNTIF(F$9:F$18,"4")&gt;=1,COUNTIF(F$9:F$18,"8")&gt;=1),"","!")</f>
        <v/>
      </c>
      <c r="G52" s="16" t="str">
        <f t="shared" ca="1" si="116"/>
        <v/>
      </c>
      <c r="H52" s="16" t="str">
        <f t="shared" ca="1" si="116"/>
        <v/>
      </c>
      <c r="I52" s="16" t="str">
        <f t="shared" ca="1" si="116"/>
        <v/>
      </c>
      <c r="J52" s="16" t="str">
        <f t="shared" ca="1" si="116"/>
        <v/>
      </c>
      <c r="K52" s="16" t="str">
        <f t="shared" ca="1" si="116"/>
        <v/>
      </c>
      <c r="L52" s="16" t="str">
        <f t="shared" ca="1" si="116"/>
        <v/>
      </c>
      <c r="M52" s="16" t="str">
        <f t="shared" ca="1" si="116"/>
        <v/>
      </c>
      <c r="N52" s="16" t="str">
        <f t="shared" ca="1" si="116"/>
        <v/>
      </c>
      <c r="O52" s="16" t="str">
        <f t="shared" ca="1" si="116"/>
        <v/>
      </c>
      <c r="P52" s="16" t="str">
        <f t="shared" ca="1" si="116"/>
        <v/>
      </c>
      <c r="Q52" s="16" t="str">
        <f t="shared" ca="1" si="116"/>
        <v/>
      </c>
      <c r="R52" s="16" t="str">
        <f t="shared" ca="1" si="116"/>
        <v/>
      </c>
      <c r="S52" s="16" t="str">
        <f t="shared" ca="1" si="116"/>
        <v/>
      </c>
      <c r="T52" s="16" t="str">
        <f t="shared" ca="1" si="116"/>
        <v/>
      </c>
      <c r="U52" s="16" t="str">
        <f t="shared" ca="1" si="116"/>
        <v/>
      </c>
      <c r="V52" s="16" t="str">
        <f t="shared" ca="1" si="116"/>
        <v/>
      </c>
      <c r="W52" s="16" t="str">
        <f t="shared" ca="1" si="116"/>
        <v/>
      </c>
      <c r="X52" s="16" t="str">
        <f t="shared" ca="1" si="116"/>
        <v/>
      </c>
      <c r="Y52" s="16" t="str">
        <f t="shared" ca="1" si="116"/>
        <v/>
      </c>
      <c r="Z52" s="16" t="str">
        <f t="shared" ca="1" si="116"/>
        <v/>
      </c>
      <c r="AA52" s="16" t="str">
        <f t="shared" ca="1" si="116"/>
        <v/>
      </c>
      <c r="AB52" s="16" t="str">
        <f t="shared" ca="1" si="116"/>
        <v/>
      </c>
      <c r="AC52" s="16" t="str">
        <f t="shared" ca="1" si="116"/>
        <v/>
      </c>
      <c r="AD52" s="16" t="str">
        <f t="shared" ca="1" si="116"/>
        <v/>
      </c>
      <c r="AE52" s="16" t="str">
        <f t="shared" ca="1" si="116"/>
        <v/>
      </c>
      <c r="AF52" s="16" t="str">
        <f t="shared" ca="1" si="116"/>
        <v/>
      </c>
      <c r="AG52" s="16" t="str">
        <f t="shared" ca="1" si="116"/>
        <v/>
      </c>
      <c r="AH52" s="16" t="str">
        <f t="shared" ca="1" si="116"/>
        <v/>
      </c>
      <c r="AI52" s="16" t="str">
        <f ca="1">IF(AND(COUNTIF(AI$9:AI$18,"12")&gt;=1,COUNTIF(AI$9:AI$18,"4")&gt;=1,COUNTIF(AI$9:AI$18,"8")&gt;=1),"","!")</f>
        <v/>
      </c>
      <c r="AP52" s="5"/>
      <c r="AQ52" s="5"/>
      <c r="AR52" s="5"/>
      <c r="AS52" s="5"/>
      <c r="AT52" s="5"/>
      <c r="AU52" s="5"/>
      <c r="AV52" s="5"/>
      <c r="AW52" s="5"/>
    </row>
    <row r="53" spans="1:49" x14ac:dyDescent="0.25">
      <c r="A53" s="134"/>
      <c r="B53" t="str">
        <f>$A$19</f>
        <v>Должность2</v>
      </c>
      <c r="E53" s="5" t="str">
        <f ca="1">IF(AND(COUNTIF(E$19:E$28,"12")&gt;=1,COUNTIF(E$19:E$28,"4")&gt;=1,COUNTIF(E$19:E$28,"8")&gt;=1),"","!")</f>
        <v/>
      </c>
      <c r="F53" s="5" t="str">
        <f t="shared" ref="F53:AI53" ca="1" si="117">IF(AND(COUNTIF(F$19:F$28,"12")&gt;=1,COUNTIF(F$19:F$28,"4")&gt;=1,COUNTIF(F$19:F$28,"8")&gt;=1),"","!")</f>
        <v/>
      </c>
      <c r="G53" s="5" t="str">
        <f t="shared" ca="1" si="117"/>
        <v/>
      </c>
      <c r="H53" s="5" t="str">
        <f t="shared" ca="1" si="117"/>
        <v/>
      </c>
      <c r="I53" s="5" t="str">
        <f t="shared" ca="1" si="117"/>
        <v/>
      </c>
      <c r="J53" s="5" t="str">
        <f t="shared" ca="1" si="117"/>
        <v/>
      </c>
      <c r="K53" s="5" t="str">
        <f t="shared" ca="1" si="117"/>
        <v/>
      </c>
      <c r="L53" s="5" t="str">
        <f t="shared" ca="1" si="117"/>
        <v/>
      </c>
      <c r="M53" s="5" t="str">
        <f t="shared" ca="1" si="117"/>
        <v/>
      </c>
      <c r="N53" s="5" t="str">
        <f t="shared" ca="1" si="117"/>
        <v/>
      </c>
      <c r="O53" s="5" t="str">
        <f t="shared" ca="1" si="117"/>
        <v/>
      </c>
      <c r="P53" s="5" t="str">
        <f t="shared" ca="1" si="117"/>
        <v/>
      </c>
      <c r="Q53" s="5" t="str">
        <f t="shared" ca="1" si="117"/>
        <v/>
      </c>
      <c r="R53" s="5" t="str">
        <f t="shared" ca="1" si="117"/>
        <v/>
      </c>
      <c r="S53" s="5" t="str">
        <f t="shared" ca="1" si="117"/>
        <v/>
      </c>
      <c r="T53" s="5" t="str">
        <f t="shared" ca="1" si="117"/>
        <v/>
      </c>
      <c r="U53" s="5" t="str">
        <f t="shared" ca="1" si="117"/>
        <v/>
      </c>
      <c r="V53" s="5" t="str">
        <f t="shared" ca="1" si="117"/>
        <v/>
      </c>
      <c r="W53" s="5" t="str">
        <f t="shared" ca="1" si="117"/>
        <v/>
      </c>
      <c r="X53" s="5" t="str">
        <f t="shared" ca="1" si="117"/>
        <v/>
      </c>
      <c r="Y53" s="5" t="str">
        <f t="shared" ca="1" si="117"/>
        <v/>
      </c>
      <c r="Z53" s="5" t="str">
        <f t="shared" ca="1" si="117"/>
        <v/>
      </c>
      <c r="AA53" s="5" t="str">
        <f t="shared" ca="1" si="117"/>
        <v/>
      </c>
      <c r="AB53" s="5" t="str">
        <f t="shared" ca="1" si="117"/>
        <v/>
      </c>
      <c r="AC53" s="5" t="str">
        <f t="shared" ca="1" si="117"/>
        <v/>
      </c>
      <c r="AD53" s="5" t="str">
        <f t="shared" ca="1" si="117"/>
        <v/>
      </c>
      <c r="AE53" s="5" t="str">
        <f t="shared" ca="1" si="117"/>
        <v/>
      </c>
      <c r="AF53" s="5" t="str">
        <f t="shared" ca="1" si="117"/>
        <v/>
      </c>
      <c r="AG53" s="5" t="str">
        <f t="shared" ca="1" si="117"/>
        <v/>
      </c>
      <c r="AH53" s="5" t="str">
        <f t="shared" ca="1" si="117"/>
        <v/>
      </c>
      <c r="AI53" s="5" t="str">
        <f t="shared" ca="1" si="117"/>
        <v/>
      </c>
      <c r="AP53" s="5"/>
      <c r="AQ53" s="5"/>
      <c r="AR53" s="5"/>
      <c r="AS53" s="5"/>
      <c r="AT53" s="5"/>
      <c r="AU53" s="5"/>
      <c r="AV53" s="5"/>
      <c r="AW53" s="5"/>
    </row>
    <row r="54" spans="1:49" x14ac:dyDescent="0.25">
      <c r="A54" s="134"/>
      <c r="B54" t="str">
        <f>$A$29</f>
        <v>Должность3</v>
      </c>
      <c r="E54" s="5" t="str">
        <f ca="1">IF(AND(COUNTIF(E$29:E$38,"12")&gt;=1,COUNTIF(E$29:E$38,"4")&gt;=1,COUNTIF(E$29:E$38,"8")&gt;=1),"","!")</f>
        <v/>
      </c>
      <c r="F54" s="5" t="str">
        <f t="shared" ref="F54:AI54" ca="1" si="118">IF(AND(COUNTIF(F$29:F$38,"12")&gt;=1,COUNTIF(F$29:F$38,"4")&gt;=1,COUNTIF(F$29:F$38,"8")&gt;=1),"","!")</f>
        <v/>
      </c>
      <c r="G54" s="5" t="str">
        <f t="shared" ca="1" si="118"/>
        <v/>
      </c>
      <c r="H54" s="5" t="str">
        <f t="shared" ca="1" si="118"/>
        <v/>
      </c>
      <c r="I54" s="5" t="str">
        <f t="shared" ca="1" si="118"/>
        <v/>
      </c>
      <c r="J54" s="5" t="str">
        <f t="shared" ca="1" si="118"/>
        <v/>
      </c>
      <c r="K54" s="5" t="str">
        <f t="shared" ca="1" si="118"/>
        <v/>
      </c>
      <c r="L54" s="5" t="str">
        <f t="shared" ca="1" si="118"/>
        <v/>
      </c>
      <c r="M54" s="5" t="str">
        <f t="shared" ca="1" si="118"/>
        <v/>
      </c>
      <c r="N54" s="5" t="str">
        <f t="shared" ca="1" si="118"/>
        <v/>
      </c>
      <c r="O54" s="5" t="str">
        <f t="shared" ca="1" si="118"/>
        <v/>
      </c>
      <c r="P54" s="5" t="str">
        <f t="shared" ca="1" si="118"/>
        <v/>
      </c>
      <c r="Q54" s="5" t="str">
        <f t="shared" ca="1" si="118"/>
        <v/>
      </c>
      <c r="R54" s="5" t="str">
        <f t="shared" ca="1" si="118"/>
        <v/>
      </c>
      <c r="S54" s="5" t="str">
        <f t="shared" ca="1" si="118"/>
        <v/>
      </c>
      <c r="T54" s="5" t="str">
        <f t="shared" ca="1" si="118"/>
        <v/>
      </c>
      <c r="U54" s="5" t="str">
        <f t="shared" ca="1" si="118"/>
        <v/>
      </c>
      <c r="V54" s="5" t="str">
        <f t="shared" ca="1" si="118"/>
        <v/>
      </c>
      <c r="W54" s="5" t="str">
        <f t="shared" ca="1" si="118"/>
        <v/>
      </c>
      <c r="X54" s="5" t="str">
        <f t="shared" ca="1" si="118"/>
        <v/>
      </c>
      <c r="Y54" s="5" t="str">
        <f t="shared" ca="1" si="118"/>
        <v/>
      </c>
      <c r="Z54" s="5" t="str">
        <f t="shared" ca="1" si="118"/>
        <v/>
      </c>
      <c r="AA54" s="5" t="str">
        <f t="shared" ca="1" si="118"/>
        <v/>
      </c>
      <c r="AB54" s="5" t="str">
        <f t="shared" ca="1" si="118"/>
        <v/>
      </c>
      <c r="AC54" s="5" t="str">
        <f t="shared" ca="1" si="118"/>
        <v/>
      </c>
      <c r="AD54" s="5" t="str">
        <f t="shared" ca="1" si="118"/>
        <v/>
      </c>
      <c r="AE54" s="5" t="str">
        <f t="shared" ca="1" si="118"/>
        <v/>
      </c>
      <c r="AF54" s="5" t="str">
        <f t="shared" ca="1" si="118"/>
        <v/>
      </c>
      <c r="AG54" s="5" t="str">
        <f t="shared" ca="1" si="118"/>
        <v/>
      </c>
      <c r="AH54" s="5" t="str">
        <f t="shared" ca="1" si="118"/>
        <v/>
      </c>
      <c r="AI54" s="5" t="str">
        <f t="shared" ca="1" si="118"/>
        <v/>
      </c>
      <c r="AP54" s="5"/>
      <c r="AQ54" s="5"/>
      <c r="AR54" s="5"/>
      <c r="AS54" s="5"/>
      <c r="AT54" s="5"/>
      <c r="AU54" s="5"/>
      <c r="AV54" s="5"/>
      <c r="AW54" s="5"/>
    </row>
    <row r="55" spans="1:49" x14ac:dyDescent="0.25">
      <c r="A55" s="134"/>
      <c r="B55" t="str">
        <f>$A$39</f>
        <v>Должность4</v>
      </c>
      <c r="E55" s="5" t="str">
        <f ca="1">IF(AND(COUNTIF(E$39:E$48,"12")&gt;=1,COUNTIF(E$39:E$48,"4")&gt;=1,COUNTIF(E$39:E$48,"8")&gt;=1),"","!")</f>
        <v/>
      </c>
      <c r="F55" s="5" t="str">
        <f t="shared" ref="F55:AI55" ca="1" si="119">IF(AND(COUNTIF(F$39:F$48,"12")&gt;=1,COUNTIF(F$39:F$48,"4")&gt;=1,COUNTIF(F$39:F$48,"8")&gt;=1),"","!")</f>
        <v/>
      </c>
      <c r="G55" s="5" t="str">
        <f t="shared" ca="1" si="119"/>
        <v/>
      </c>
      <c r="H55" s="5" t="str">
        <f t="shared" ca="1" si="119"/>
        <v/>
      </c>
      <c r="I55" s="5" t="str">
        <f t="shared" ca="1" si="119"/>
        <v/>
      </c>
      <c r="J55" s="5" t="str">
        <f t="shared" ca="1" si="119"/>
        <v/>
      </c>
      <c r="K55" s="5" t="str">
        <f t="shared" ca="1" si="119"/>
        <v/>
      </c>
      <c r="L55" s="5" t="str">
        <f t="shared" ca="1" si="119"/>
        <v/>
      </c>
      <c r="M55" s="5" t="str">
        <f t="shared" ca="1" si="119"/>
        <v/>
      </c>
      <c r="N55" s="5" t="str">
        <f t="shared" ca="1" si="119"/>
        <v/>
      </c>
      <c r="O55" s="5" t="str">
        <f t="shared" ca="1" si="119"/>
        <v/>
      </c>
      <c r="P55" s="5" t="str">
        <f t="shared" ca="1" si="119"/>
        <v/>
      </c>
      <c r="Q55" s="5" t="str">
        <f t="shared" ca="1" si="119"/>
        <v/>
      </c>
      <c r="R55" s="5" t="str">
        <f t="shared" ca="1" si="119"/>
        <v/>
      </c>
      <c r="S55" s="5" t="str">
        <f t="shared" ca="1" si="119"/>
        <v/>
      </c>
      <c r="T55" s="5" t="str">
        <f t="shared" ca="1" si="119"/>
        <v/>
      </c>
      <c r="U55" s="5" t="str">
        <f t="shared" ca="1" si="119"/>
        <v/>
      </c>
      <c r="V55" s="5" t="str">
        <f t="shared" ca="1" si="119"/>
        <v/>
      </c>
      <c r="W55" s="5" t="str">
        <f t="shared" ca="1" si="119"/>
        <v/>
      </c>
      <c r="X55" s="5" t="str">
        <f t="shared" ca="1" si="119"/>
        <v/>
      </c>
      <c r="Y55" s="5" t="str">
        <f t="shared" ca="1" si="119"/>
        <v/>
      </c>
      <c r="Z55" s="5" t="str">
        <f t="shared" ca="1" si="119"/>
        <v/>
      </c>
      <c r="AA55" s="5" t="str">
        <f t="shared" ca="1" si="119"/>
        <v/>
      </c>
      <c r="AB55" s="5" t="str">
        <f t="shared" ca="1" si="119"/>
        <v/>
      </c>
      <c r="AC55" s="5" t="str">
        <f t="shared" ca="1" si="119"/>
        <v/>
      </c>
      <c r="AD55" s="5" t="str">
        <f t="shared" ca="1" si="119"/>
        <v/>
      </c>
      <c r="AE55" s="5" t="str">
        <f t="shared" ca="1" si="119"/>
        <v/>
      </c>
      <c r="AF55" s="5" t="str">
        <f t="shared" ca="1" si="119"/>
        <v/>
      </c>
      <c r="AG55" s="5" t="str">
        <f t="shared" ca="1" si="119"/>
        <v/>
      </c>
      <c r="AH55" s="5" t="str">
        <f t="shared" ca="1" si="119"/>
        <v/>
      </c>
      <c r="AI55" s="5" t="str">
        <f t="shared" ca="1" si="119"/>
        <v/>
      </c>
      <c r="AP55" s="5"/>
      <c r="AQ55" s="5"/>
      <c r="AR55" s="5"/>
      <c r="AS55" s="5"/>
      <c r="AT55" s="5"/>
      <c r="AU55" s="5"/>
      <c r="AV55" s="5"/>
      <c r="AW55" s="5"/>
    </row>
    <row r="56" spans="1:49" ht="5.45" customHeight="1" x14ac:dyDescent="0.25">
      <c r="A56" s="10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7"/>
      <c r="AI56" s="17"/>
      <c r="AP56" s="5"/>
      <c r="AQ56" s="5"/>
      <c r="AR56" s="5"/>
      <c r="AS56" s="5"/>
      <c r="AT56" s="5"/>
      <c r="AU56" s="5"/>
      <c r="AV56" s="5"/>
      <c r="AW56" s="5"/>
    </row>
    <row r="57" spans="1:49" x14ac:dyDescent="0.25">
      <c r="A57" s="134" t="s">
        <v>10</v>
      </c>
      <c r="B57" t="str">
        <f>$A$9</f>
        <v>Должность1</v>
      </c>
      <c r="E57" s="5" t="str">
        <f ca="1">IF(COUNTIF(E$9:E$18,"12")&gt;1,CONCATENATE("12*",COUNTIF(E$9:E$18,"12")),IF(COUNTIF(E$9:E$18,"4")&gt;1,CONCATENATE("4*",COUNTIF(E$9:E$18,"4")),IF(COUNTIF(E$9:E$18,"8")&gt;1,CONCATENATE("8*",COUNTIF(E$9:E$18,"8")),"")))</f>
        <v>8*2</v>
      </c>
      <c r="F57" s="5" t="str">
        <f t="shared" ref="F57:AH57" ca="1" si="120">IF(COUNTIF(F$9:F$18,"12")&gt;1,CONCATENATE("12*",COUNTIF(F$9:F$18,"12")),IF(COUNTIF(F$9:F$18,"4")&gt;1,CONCATENATE("4*",COUNTIF(F$9:F$18,"4")),IF(COUNTIF(F$9:F$18,"8")&gt;1,CONCATENATE("8*",COUNTIF(F$9:F$18,"8")),"")))</f>
        <v/>
      </c>
      <c r="G57" s="5" t="str">
        <f t="shared" ca="1" si="120"/>
        <v>8*2</v>
      </c>
      <c r="H57" s="5" t="str">
        <f t="shared" ca="1" si="120"/>
        <v/>
      </c>
      <c r="I57" s="5" t="str">
        <f t="shared" ca="1" si="120"/>
        <v/>
      </c>
      <c r="J57" s="5" t="str">
        <f t="shared" ca="1" si="120"/>
        <v/>
      </c>
      <c r="K57" s="5" t="str">
        <f t="shared" ca="1" si="120"/>
        <v/>
      </c>
      <c r="L57" s="5" t="str">
        <f t="shared" ca="1" si="120"/>
        <v/>
      </c>
      <c r="M57" s="5" t="str">
        <f t="shared" ca="1" si="120"/>
        <v/>
      </c>
      <c r="N57" s="5" t="str">
        <f t="shared" ca="1" si="120"/>
        <v/>
      </c>
      <c r="O57" s="5" t="str">
        <f t="shared" ca="1" si="120"/>
        <v/>
      </c>
      <c r="P57" s="5" t="str">
        <f t="shared" ca="1" si="120"/>
        <v/>
      </c>
      <c r="Q57" s="5" t="str">
        <f t="shared" ca="1" si="120"/>
        <v/>
      </c>
      <c r="R57" s="5" t="str">
        <f t="shared" ca="1" si="120"/>
        <v/>
      </c>
      <c r="S57" s="5" t="str">
        <f t="shared" ca="1" si="120"/>
        <v/>
      </c>
      <c r="T57" s="5" t="str">
        <f t="shared" ca="1" si="120"/>
        <v/>
      </c>
      <c r="U57" s="5" t="str">
        <f t="shared" ca="1" si="120"/>
        <v/>
      </c>
      <c r="V57" s="5" t="str">
        <f t="shared" ca="1" si="120"/>
        <v/>
      </c>
      <c r="W57" s="5" t="str">
        <f t="shared" ca="1" si="120"/>
        <v/>
      </c>
      <c r="X57" s="5" t="str">
        <f t="shared" ca="1" si="120"/>
        <v/>
      </c>
      <c r="Y57" s="5" t="str">
        <f t="shared" ca="1" si="120"/>
        <v/>
      </c>
      <c r="Z57" s="5" t="str">
        <f t="shared" ca="1" si="120"/>
        <v/>
      </c>
      <c r="AA57" s="5" t="str">
        <f t="shared" ca="1" si="120"/>
        <v/>
      </c>
      <c r="AB57" s="5" t="str">
        <f t="shared" ca="1" si="120"/>
        <v/>
      </c>
      <c r="AC57" s="5" t="str">
        <f t="shared" ca="1" si="120"/>
        <v/>
      </c>
      <c r="AD57" s="5" t="str">
        <f t="shared" ca="1" si="120"/>
        <v/>
      </c>
      <c r="AE57" s="5" t="str">
        <f t="shared" ca="1" si="120"/>
        <v/>
      </c>
      <c r="AF57" s="5" t="str">
        <f t="shared" ca="1" si="120"/>
        <v/>
      </c>
      <c r="AG57" s="5" t="str">
        <f t="shared" ca="1" si="120"/>
        <v/>
      </c>
      <c r="AH57" s="5" t="str">
        <f t="shared" ca="1" si="120"/>
        <v/>
      </c>
      <c r="AI57" s="5" t="str">
        <f ca="1">IF(COUNTIF(AI$9:AI$18,"12")&gt;1,CONCATENATE("12*",COUNTIF(AI$9:AI$18,"12")),IF(COUNTIF(AI$9:AI$18,"4")&gt;1,CONCATENATE("4*",COUNTIF(AI$9:AI$18,"4")),IF(COUNTIF(AI$9:AI$18,"8")&gt;1,CONCATENATE("8*",COUNTIF(AI$9:AI$18,"8")),"")))</f>
        <v/>
      </c>
    </row>
    <row r="58" spans="1:49" x14ac:dyDescent="0.25">
      <c r="A58" s="134"/>
      <c r="B58" t="str">
        <f>$A$19</f>
        <v>Должность2</v>
      </c>
      <c r="E58" s="5" t="str">
        <f ca="1">IF(COUNTIF(E$19:E$28,"12")&gt;1,CONCATENATE("12*",COUNTIF(E$19:E$28,"12")),IF(COUNTIF(E$19:E$28,"4")&gt;1,CONCATENATE("4*",COUNTIF(E$19:E$28,"4")),IF(COUNTIF(E$19:E$28,"8")&gt;1,CONCATENATE("8*",COUNTIF(E$19:E$28,"8")),"")))</f>
        <v>8*2</v>
      </c>
      <c r="F58" s="5" t="str">
        <f t="shared" ref="F58:AI58" ca="1" si="121">IF(COUNTIF(F$19:F$28,"12")&gt;1,CONCATENATE("12*",COUNTIF(F$19:F$28,"12")),IF(COUNTIF(F$19:F$28,"4")&gt;1,CONCATENATE("4*",COUNTIF(F$19:F$28,"4")),IF(COUNTIF(F$19:F$28,"8")&gt;1,CONCATENATE("8*",COUNTIF(F$19:F$28,"8")),"")))</f>
        <v/>
      </c>
      <c r="G58" s="5" t="str">
        <f t="shared" ca="1" si="121"/>
        <v>8*2</v>
      </c>
      <c r="H58" s="5" t="str">
        <f t="shared" ca="1" si="121"/>
        <v/>
      </c>
      <c r="I58" s="5" t="str">
        <f t="shared" ca="1" si="121"/>
        <v/>
      </c>
      <c r="J58" s="5" t="str">
        <f t="shared" ca="1" si="121"/>
        <v/>
      </c>
      <c r="K58" s="5" t="str">
        <f t="shared" ca="1" si="121"/>
        <v/>
      </c>
      <c r="L58" s="5" t="str">
        <f t="shared" ca="1" si="121"/>
        <v/>
      </c>
      <c r="M58" s="5" t="str">
        <f t="shared" ca="1" si="121"/>
        <v/>
      </c>
      <c r="N58" s="5" t="str">
        <f t="shared" ca="1" si="121"/>
        <v/>
      </c>
      <c r="O58" s="5" t="str">
        <f t="shared" ca="1" si="121"/>
        <v/>
      </c>
      <c r="P58" s="5" t="str">
        <f t="shared" ca="1" si="121"/>
        <v/>
      </c>
      <c r="Q58" s="5" t="str">
        <f t="shared" ca="1" si="121"/>
        <v/>
      </c>
      <c r="R58" s="5" t="str">
        <f t="shared" ca="1" si="121"/>
        <v/>
      </c>
      <c r="S58" s="5" t="str">
        <f t="shared" ca="1" si="121"/>
        <v/>
      </c>
      <c r="T58" s="5" t="str">
        <f t="shared" ca="1" si="121"/>
        <v/>
      </c>
      <c r="U58" s="5" t="str">
        <f t="shared" ca="1" si="121"/>
        <v/>
      </c>
      <c r="V58" s="5" t="str">
        <f t="shared" ca="1" si="121"/>
        <v/>
      </c>
      <c r="W58" s="5" t="str">
        <f t="shared" ca="1" si="121"/>
        <v/>
      </c>
      <c r="X58" s="5" t="str">
        <f t="shared" ca="1" si="121"/>
        <v/>
      </c>
      <c r="Y58" s="5" t="str">
        <f t="shared" ca="1" si="121"/>
        <v/>
      </c>
      <c r="Z58" s="5" t="str">
        <f t="shared" ca="1" si="121"/>
        <v/>
      </c>
      <c r="AA58" s="5" t="str">
        <f t="shared" ca="1" si="121"/>
        <v/>
      </c>
      <c r="AB58" s="5" t="str">
        <f t="shared" ca="1" si="121"/>
        <v/>
      </c>
      <c r="AC58" s="5" t="str">
        <f t="shared" ca="1" si="121"/>
        <v/>
      </c>
      <c r="AD58" s="5" t="str">
        <f t="shared" ca="1" si="121"/>
        <v/>
      </c>
      <c r="AE58" s="5" t="str">
        <f t="shared" ca="1" si="121"/>
        <v/>
      </c>
      <c r="AF58" s="5" t="str">
        <f t="shared" ca="1" si="121"/>
        <v/>
      </c>
      <c r="AG58" s="5" t="str">
        <f t="shared" ca="1" si="121"/>
        <v/>
      </c>
      <c r="AH58" s="5" t="str">
        <f t="shared" ca="1" si="121"/>
        <v/>
      </c>
      <c r="AI58" s="5" t="str">
        <f t="shared" ca="1" si="121"/>
        <v/>
      </c>
    </row>
    <row r="59" spans="1:49" x14ac:dyDescent="0.25">
      <c r="A59" s="134"/>
      <c r="B59" t="str">
        <f>$A$29</f>
        <v>Должность3</v>
      </c>
      <c r="E59" s="5" t="str">
        <f ca="1">IF(COUNTIF(E$29:E$38,"12")&gt;1,CONCATENATE("12*",COUNTIF(E$29:E$38,"12")),IF(COUNTIF(E$29:E$38,"4")&gt;1,CONCATENATE("4*",COUNTIF(E$29:E$38,"4")),IF(COUNTIF(E$29:E$38,"8")&gt;1,CONCATENATE("8*",COUNTIF(E$29:E$38,"8")),"")))</f>
        <v>8*2</v>
      </c>
      <c r="F59" s="5" t="str">
        <f t="shared" ref="F59:AI59" ca="1" si="122">IF(COUNTIF(F$29:F$38,"12")&gt;1,CONCATENATE("12*",COUNTIF(F$29:F$38,"12")),IF(COUNTIF(F$29:F$38,"4")&gt;1,CONCATENATE("4*",COUNTIF(F$29:F$38,"4")),IF(COUNTIF(F$29:F$38,"8")&gt;1,CONCATENATE("8*",COUNTIF(F$29:F$38,"8")),"")))</f>
        <v/>
      </c>
      <c r="G59" s="5" t="str">
        <f t="shared" ca="1" si="122"/>
        <v>8*2</v>
      </c>
      <c r="H59" s="5" t="str">
        <f t="shared" ca="1" si="122"/>
        <v/>
      </c>
      <c r="I59" s="5" t="str">
        <f t="shared" ca="1" si="122"/>
        <v/>
      </c>
      <c r="J59" s="5" t="str">
        <f t="shared" ca="1" si="122"/>
        <v/>
      </c>
      <c r="K59" s="5" t="str">
        <f t="shared" ca="1" si="122"/>
        <v/>
      </c>
      <c r="L59" s="5" t="str">
        <f t="shared" ca="1" si="122"/>
        <v/>
      </c>
      <c r="M59" s="5" t="str">
        <f t="shared" ca="1" si="122"/>
        <v/>
      </c>
      <c r="N59" s="5" t="str">
        <f t="shared" ca="1" si="122"/>
        <v/>
      </c>
      <c r="O59" s="5" t="str">
        <f t="shared" ca="1" si="122"/>
        <v/>
      </c>
      <c r="P59" s="5" t="str">
        <f t="shared" ca="1" si="122"/>
        <v/>
      </c>
      <c r="Q59" s="5" t="str">
        <f t="shared" ca="1" si="122"/>
        <v/>
      </c>
      <c r="R59" s="5" t="str">
        <f t="shared" ca="1" si="122"/>
        <v/>
      </c>
      <c r="S59" s="5" t="str">
        <f t="shared" ca="1" si="122"/>
        <v/>
      </c>
      <c r="T59" s="5" t="str">
        <f t="shared" ca="1" si="122"/>
        <v/>
      </c>
      <c r="U59" s="5" t="str">
        <f t="shared" ca="1" si="122"/>
        <v/>
      </c>
      <c r="V59" s="5" t="str">
        <f t="shared" ca="1" si="122"/>
        <v/>
      </c>
      <c r="W59" s="5" t="str">
        <f t="shared" ca="1" si="122"/>
        <v/>
      </c>
      <c r="X59" s="5" t="str">
        <f t="shared" ca="1" si="122"/>
        <v/>
      </c>
      <c r="Y59" s="5" t="str">
        <f t="shared" ca="1" si="122"/>
        <v/>
      </c>
      <c r="Z59" s="5" t="str">
        <f t="shared" ca="1" si="122"/>
        <v/>
      </c>
      <c r="AA59" s="5" t="str">
        <f t="shared" ca="1" si="122"/>
        <v/>
      </c>
      <c r="AB59" s="5" t="str">
        <f t="shared" ca="1" si="122"/>
        <v/>
      </c>
      <c r="AC59" s="5" t="str">
        <f t="shared" ca="1" si="122"/>
        <v/>
      </c>
      <c r="AD59" s="5" t="str">
        <f t="shared" ca="1" si="122"/>
        <v/>
      </c>
      <c r="AE59" s="5" t="str">
        <f t="shared" ca="1" si="122"/>
        <v/>
      </c>
      <c r="AF59" s="5" t="str">
        <f t="shared" ca="1" si="122"/>
        <v/>
      </c>
      <c r="AG59" s="5" t="str">
        <f t="shared" ca="1" si="122"/>
        <v/>
      </c>
      <c r="AH59" s="5" t="str">
        <f t="shared" ca="1" si="122"/>
        <v/>
      </c>
      <c r="AI59" s="5" t="str">
        <f t="shared" ca="1" si="122"/>
        <v/>
      </c>
    </row>
    <row r="60" spans="1:49" ht="15.75" thickBot="1" x14ac:dyDescent="0.3">
      <c r="A60" s="135"/>
      <c r="B60" s="9" t="str">
        <f>$A$39</f>
        <v>Должность4</v>
      </c>
      <c r="C60" s="9"/>
      <c r="D60" s="9"/>
      <c r="E60" s="18" t="str">
        <f ca="1">IF(COUNTIF(E$39:E$48,"12")&gt;1,CONCATENATE("12*",COUNTIF(E$39:E$48,"12")),IF(COUNTIF(E$39:E$48,"4")&gt;1,CONCATENATE("4*",COUNTIF(E$39:E$48,"4")),IF(COUNTIF(E$39:E$48,"8")&gt;1,CONCATENATE("8*",COUNTIF(E$39:E$48,"8")),"")))</f>
        <v>8*2</v>
      </c>
      <c r="F60" s="18" t="str">
        <f t="shared" ref="F60:AI60" ca="1" si="123">IF(COUNTIF(F$39:F$48,"12")&gt;1,CONCATENATE("12*",COUNTIF(F$39:F$48,"12")),IF(COUNTIF(F$39:F$48,"4")&gt;1,CONCATENATE("4*",COUNTIF(F$39:F$48,"4")),IF(COUNTIF(F$39:F$48,"8")&gt;1,CONCATENATE("8*",COUNTIF(F$39:F$48,"8")),"")))</f>
        <v/>
      </c>
      <c r="G60" s="18" t="str">
        <f t="shared" ca="1" si="123"/>
        <v>8*2</v>
      </c>
      <c r="H60" s="18" t="str">
        <f t="shared" ca="1" si="123"/>
        <v/>
      </c>
      <c r="I60" s="18" t="str">
        <f t="shared" ca="1" si="123"/>
        <v/>
      </c>
      <c r="J60" s="18" t="str">
        <f t="shared" ca="1" si="123"/>
        <v/>
      </c>
      <c r="K60" s="18" t="str">
        <f t="shared" ca="1" si="123"/>
        <v/>
      </c>
      <c r="L60" s="18" t="str">
        <f t="shared" ca="1" si="123"/>
        <v/>
      </c>
      <c r="M60" s="18" t="str">
        <f t="shared" ca="1" si="123"/>
        <v/>
      </c>
      <c r="N60" s="18" t="str">
        <f t="shared" ca="1" si="123"/>
        <v/>
      </c>
      <c r="O60" s="18" t="str">
        <f t="shared" ca="1" si="123"/>
        <v/>
      </c>
      <c r="P60" s="18" t="str">
        <f t="shared" ca="1" si="123"/>
        <v/>
      </c>
      <c r="Q60" s="18" t="str">
        <f t="shared" ca="1" si="123"/>
        <v/>
      </c>
      <c r="R60" s="18" t="str">
        <f t="shared" ca="1" si="123"/>
        <v/>
      </c>
      <c r="S60" s="18" t="str">
        <f t="shared" ca="1" si="123"/>
        <v/>
      </c>
      <c r="T60" s="18" t="str">
        <f t="shared" ca="1" si="123"/>
        <v/>
      </c>
      <c r="U60" s="18" t="str">
        <f t="shared" ca="1" si="123"/>
        <v/>
      </c>
      <c r="V60" s="18" t="str">
        <f t="shared" ca="1" si="123"/>
        <v/>
      </c>
      <c r="W60" s="18" t="str">
        <f t="shared" ca="1" si="123"/>
        <v/>
      </c>
      <c r="X60" s="18" t="str">
        <f t="shared" ca="1" si="123"/>
        <v/>
      </c>
      <c r="Y60" s="18" t="str">
        <f t="shared" ca="1" si="123"/>
        <v/>
      </c>
      <c r="Z60" s="18" t="str">
        <f t="shared" ca="1" si="123"/>
        <v/>
      </c>
      <c r="AA60" s="18" t="str">
        <f t="shared" ca="1" si="123"/>
        <v/>
      </c>
      <c r="AB60" s="18" t="str">
        <f t="shared" ca="1" si="123"/>
        <v/>
      </c>
      <c r="AC60" s="18" t="str">
        <f t="shared" ca="1" si="123"/>
        <v/>
      </c>
      <c r="AD60" s="18" t="str">
        <f t="shared" ca="1" si="123"/>
        <v/>
      </c>
      <c r="AE60" s="18" t="str">
        <f t="shared" ca="1" si="123"/>
        <v/>
      </c>
      <c r="AF60" s="18" t="str">
        <f t="shared" ca="1" si="123"/>
        <v/>
      </c>
      <c r="AG60" s="18" t="str">
        <f t="shared" ca="1" si="123"/>
        <v/>
      </c>
      <c r="AH60" s="18" t="str">
        <f t="shared" ca="1" si="123"/>
        <v/>
      </c>
      <c r="AI60" s="18" t="str">
        <f t="shared" ca="1" si="123"/>
        <v/>
      </c>
    </row>
  </sheetData>
  <autoFilter ref="AP8:AX48" xr:uid="{00000000-0009-0000-0000-000000000000}"/>
  <mergeCells count="316">
    <mergeCell ref="AL47:AL48"/>
    <mergeCell ref="AM47:AM48"/>
    <mergeCell ref="AM27:AM28"/>
    <mergeCell ref="AL29:AL30"/>
    <mergeCell ref="AM29:AM30"/>
    <mergeCell ref="AL31:AL32"/>
    <mergeCell ref="AM31:AM32"/>
    <mergeCell ref="AL33:AL34"/>
    <mergeCell ref="AM33:AM34"/>
    <mergeCell ref="AL35:AL36"/>
    <mergeCell ref="AM35:AM36"/>
    <mergeCell ref="D50:H50"/>
    <mergeCell ref="J50:L50"/>
    <mergeCell ref="N50:Q50"/>
    <mergeCell ref="S50:AC50"/>
    <mergeCell ref="AE50:AK50"/>
    <mergeCell ref="AL9:AL10"/>
    <mergeCell ref="AM9:AM10"/>
    <mergeCell ref="AL11:AL12"/>
    <mergeCell ref="AM11:AM12"/>
    <mergeCell ref="AL13:AL14"/>
    <mergeCell ref="AM13:AM14"/>
    <mergeCell ref="AL15:AL16"/>
    <mergeCell ref="AM15:AM16"/>
    <mergeCell ref="AL17:AL18"/>
    <mergeCell ref="AM17:AM18"/>
    <mergeCell ref="AL19:AL20"/>
    <mergeCell ref="AM19:AM20"/>
    <mergeCell ref="AL21:AL22"/>
    <mergeCell ref="AM21:AM22"/>
    <mergeCell ref="AL23:AL24"/>
    <mergeCell ref="AM23:AM24"/>
    <mergeCell ref="AL25:AL26"/>
    <mergeCell ref="AM25:AM26"/>
    <mergeCell ref="AL27:AL28"/>
    <mergeCell ref="A1:AJ1"/>
    <mergeCell ref="AP1:AQ1"/>
    <mergeCell ref="AP2:AQ2"/>
    <mergeCell ref="A3:AJ3"/>
    <mergeCell ref="AP3:AQ3"/>
    <mergeCell ref="A9:A18"/>
    <mergeCell ref="B9:B10"/>
    <mergeCell ref="C9:C10"/>
    <mergeCell ref="AJ9:AJ10"/>
    <mergeCell ref="AK9:AK10"/>
    <mergeCell ref="B11:B12"/>
    <mergeCell ref="C11:C12"/>
    <mergeCell ref="AJ11:AJ12"/>
    <mergeCell ref="AK11:AK12"/>
    <mergeCell ref="AP11:AP12"/>
    <mergeCell ref="AQ11:AQ12"/>
    <mergeCell ref="C13:C14"/>
    <mergeCell ref="AJ13:AJ14"/>
    <mergeCell ref="AK13:AK14"/>
    <mergeCell ref="AP13:AP14"/>
    <mergeCell ref="AQ13:AQ14"/>
    <mergeCell ref="AR11:AR12"/>
    <mergeCell ref="AP9:AP10"/>
    <mergeCell ref="AQ9:AQ10"/>
    <mergeCell ref="AR9:AR10"/>
    <mergeCell ref="AS11:AS12"/>
    <mergeCell ref="AT11:AT12"/>
    <mergeCell ref="AU11:AU12"/>
    <mergeCell ref="AV11:AV12"/>
    <mergeCell ref="AW11:AW12"/>
    <mergeCell ref="AX11:AX12"/>
    <mergeCell ref="AV9:AV10"/>
    <mergeCell ref="AW9:AW10"/>
    <mergeCell ref="AX9:AX10"/>
    <mergeCell ref="AS9:AS10"/>
    <mergeCell ref="AT9:AT10"/>
    <mergeCell ref="AU9:AU10"/>
    <mergeCell ref="AX13:AX14"/>
    <mergeCell ref="B15:B16"/>
    <mergeCell ref="C15:C16"/>
    <mergeCell ref="AJ15:AJ16"/>
    <mergeCell ref="AK15:AK16"/>
    <mergeCell ref="AP15:AP16"/>
    <mergeCell ref="AQ15:AQ16"/>
    <mergeCell ref="AR15:AR16"/>
    <mergeCell ref="AS15:AS16"/>
    <mergeCell ref="AT15:AT16"/>
    <mergeCell ref="AR13:AR14"/>
    <mergeCell ref="AS13:AS14"/>
    <mergeCell ref="AT13:AT14"/>
    <mergeCell ref="AU13:AU14"/>
    <mergeCell ref="AV13:AV14"/>
    <mergeCell ref="AW13:AW14"/>
    <mergeCell ref="B13:B14"/>
    <mergeCell ref="AU15:AU16"/>
    <mergeCell ref="AV15:AV16"/>
    <mergeCell ref="AW15:AW16"/>
    <mergeCell ref="AX15:AX16"/>
    <mergeCell ref="B17:B18"/>
    <mergeCell ref="C17:C18"/>
    <mergeCell ref="AJ17:AJ18"/>
    <mergeCell ref="AK17:AK18"/>
    <mergeCell ref="AP17:AP18"/>
    <mergeCell ref="AQ17:AQ18"/>
    <mergeCell ref="AX17:AX18"/>
    <mergeCell ref="AR17:AR18"/>
    <mergeCell ref="AS17:AS18"/>
    <mergeCell ref="AT17:AT18"/>
    <mergeCell ref="AU17:AU18"/>
    <mergeCell ref="AV17:AV18"/>
    <mergeCell ref="AW17:AW18"/>
    <mergeCell ref="A19:A28"/>
    <mergeCell ref="B19:B20"/>
    <mergeCell ref="C19:C20"/>
    <mergeCell ref="AJ19:AJ20"/>
    <mergeCell ref="AK19:AK20"/>
    <mergeCell ref="AP19:AP20"/>
    <mergeCell ref="AQ19:AQ20"/>
    <mergeCell ref="AR19:AR20"/>
    <mergeCell ref="AS19:AS20"/>
    <mergeCell ref="B23:B24"/>
    <mergeCell ref="C23:C24"/>
    <mergeCell ref="AJ23:AJ24"/>
    <mergeCell ref="AK23:AK24"/>
    <mergeCell ref="AP23:AP24"/>
    <mergeCell ref="AQ23:AQ24"/>
    <mergeCell ref="AR23:AR24"/>
    <mergeCell ref="AS23:AS24"/>
    <mergeCell ref="B27:B28"/>
    <mergeCell ref="C27:C28"/>
    <mergeCell ref="AJ27:AJ28"/>
    <mergeCell ref="AK27:AK28"/>
    <mergeCell ref="AP27:AP28"/>
    <mergeCell ref="AQ27:AQ28"/>
    <mergeCell ref="AR27:AR28"/>
    <mergeCell ref="AT19:AT20"/>
    <mergeCell ref="AU19:AU20"/>
    <mergeCell ref="AV19:AV20"/>
    <mergeCell ref="AW19:AW20"/>
    <mergeCell ref="AX19:AX20"/>
    <mergeCell ref="B21:B22"/>
    <mergeCell ref="C21:C22"/>
    <mergeCell ref="AJ21:AJ22"/>
    <mergeCell ref="AK21:AK22"/>
    <mergeCell ref="AP21:AP22"/>
    <mergeCell ref="AW21:AW22"/>
    <mergeCell ref="AX21:AX22"/>
    <mergeCell ref="AQ21:AQ22"/>
    <mergeCell ref="AR21:AR22"/>
    <mergeCell ref="AS21:AS22"/>
    <mergeCell ref="AT21:AT22"/>
    <mergeCell ref="AU21:AU22"/>
    <mergeCell ref="AV21:AV22"/>
    <mergeCell ref="AT23:AT24"/>
    <mergeCell ref="AU23:AU24"/>
    <mergeCell ref="AV23:AV24"/>
    <mergeCell ref="AW23:AW24"/>
    <mergeCell ref="AX23:AX24"/>
    <mergeCell ref="B25:B26"/>
    <mergeCell ref="C25:C26"/>
    <mergeCell ref="AJ25:AJ26"/>
    <mergeCell ref="AK25:AK26"/>
    <mergeCell ref="AP25:AP26"/>
    <mergeCell ref="AW25:AW26"/>
    <mergeCell ref="AX25:AX26"/>
    <mergeCell ref="AS27:AS28"/>
    <mergeCell ref="AQ25:AQ26"/>
    <mergeCell ref="AR25:AR26"/>
    <mergeCell ref="AS25:AS26"/>
    <mergeCell ref="AT25:AT26"/>
    <mergeCell ref="AU25:AU26"/>
    <mergeCell ref="AV25:AV26"/>
    <mergeCell ref="AT27:AT28"/>
    <mergeCell ref="AU27:AU28"/>
    <mergeCell ref="AV27:AV28"/>
    <mergeCell ref="AW27:AW28"/>
    <mergeCell ref="AX27:AX28"/>
    <mergeCell ref="A29:A38"/>
    <mergeCell ref="B29:B30"/>
    <mergeCell ref="C29:C30"/>
    <mergeCell ref="AJ29:AJ30"/>
    <mergeCell ref="AK29:AK30"/>
    <mergeCell ref="B31:B32"/>
    <mergeCell ref="C31:C32"/>
    <mergeCell ref="AJ31:AJ32"/>
    <mergeCell ref="AK31:AK32"/>
    <mergeCell ref="AP31:AP32"/>
    <mergeCell ref="AQ31:AQ32"/>
    <mergeCell ref="AR31:AR32"/>
    <mergeCell ref="AP29:AP30"/>
    <mergeCell ref="AQ29:AQ30"/>
    <mergeCell ref="AR29:AR30"/>
    <mergeCell ref="AS31:AS32"/>
    <mergeCell ref="AT31:AT32"/>
    <mergeCell ref="AU31:AU32"/>
    <mergeCell ref="AV31:AV32"/>
    <mergeCell ref="AW31:AW32"/>
    <mergeCell ref="AX31:AX32"/>
    <mergeCell ref="AV29:AV30"/>
    <mergeCell ref="AW29:AW30"/>
    <mergeCell ref="AX29:AX30"/>
    <mergeCell ref="AS29:AS30"/>
    <mergeCell ref="AT29:AT30"/>
    <mergeCell ref="AU29:AU30"/>
    <mergeCell ref="AX33:AX34"/>
    <mergeCell ref="B35:B36"/>
    <mergeCell ref="C35:C36"/>
    <mergeCell ref="AJ35:AJ36"/>
    <mergeCell ref="AK35:AK36"/>
    <mergeCell ref="AP35:AP36"/>
    <mergeCell ref="AQ35:AQ36"/>
    <mergeCell ref="AR35:AR36"/>
    <mergeCell ref="AS35:AS36"/>
    <mergeCell ref="AT35:AT36"/>
    <mergeCell ref="AR33:AR34"/>
    <mergeCell ref="AS33:AS34"/>
    <mergeCell ref="AT33:AT34"/>
    <mergeCell ref="AU33:AU34"/>
    <mergeCell ref="AV33:AV34"/>
    <mergeCell ref="AW33:AW34"/>
    <mergeCell ref="B33:B34"/>
    <mergeCell ref="C33:C34"/>
    <mergeCell ref="AJ33:AJ34"/>
    <mergeCell ref="AK33:AK34"/>
    <mergeCell ref="AP33:AP34"/>
    <mergeCell ref="AQ33:AQ34"/>
    <mergeCell ref="AU35:AU36"/>
    <mergeCell ref="AV35:AV36"/>
    <mergeCell ref="AW35:AW36"/>
    <mergeCell ref="AX35:AX36"/>
    <mergeCell ref="B37:B38"/>
    <mergeCell ref="C37:C38"/>
    <mergeCell ref="AJ37:AJ38"/>
    <mergeCell ref="AK37:AK38"/>
    <mergeCell ref="AP37:AP38"/>
    <mergeCell ref="AQ37:AQ38"/>
    <mergeCell ref="AX37:AX38"/>
    <mergeCell ref="AR37:AR38"/>
    <mergeCell ref="AS37:AS38"/>
    <mergeCell ref="AT37:AT38"/>
    <mergeCell ref="AU37:AU38"/>
    <mergeCell ref="AV37:AV38"/>
    <mergeCell ref="AW37:AW38"/>
    <mergeCell ref="AL37:AL38"/>
    <mergeCell ref="AM37:AM38"/>
    <mergeCell ref="AR39:AR40"/>
    <mergeCell ref="AS39:AS40"/>
    <mergeCell ref="B43:B44"/>
    <mergeCell ref="C43:C44"/>
    <mergeCell ref="AJ43:AJ44"/>
    <mergeCell ref="AK43:AK44"/>
    <mergeCell ref="AP43:AP44"/>
    <mergeCell ref="AQ43:AQ44"/>
    <mergeCell ref="AR43:AR44"/>
    <mergeCell ref="AS43:AS44"/>
    <mergeCell ref="AL39:AL40"/>
    <mergeCell ref="AM39:AM40"/>
    <mergeCell ref="AL41:AL42"/>
    <mergeCell ref="AM41:AM42"/>
    <mergeCell ref="AL43:AL44"/>
    <mergeCell ref="AM43:AM44"/>
    <mergeCell ref="AT39:AT40"/>
    <mergeCell ref="AU39:AU40"/>
    <mergeCell ref="AV39:AV40"/>
    <mergeCell ref="AW39:AW40"/>
    <mergeCell ref="AX39:AX40"/>
    <mergeCell ref="B41:B42"/>
    <mergeCell ref="C41:C42"/>
    <mergeCell ref="AJ41:AJ42"/>
    <mergeCell ref="AK41:AK42"/>
    <mergeCell ref="AP41:AP42"/>
    <mergeCell ref="AW41:AW42"/>
    <mergeCell ref="AX41:AX42"/>
    <mergeCell ref="AQ41:AQ42"/>
    <mergeCell ref="AR41:AR42"/>
    <mergeCell ref="AS41:AS42"/>
    <mergeCell ref="AT41:AT42"/>
    <mergeCell ref="AU41:AU42"/>
    <mergeCell ref="AV41:AV42"/>
    <mergeCell ref="B39:B40"/>
    <mergeCell ref="C39:C40"/>
    <mergeCell ref="AJ39:AJ40"/>
    <mergeCell ref="AK39:AK40"/>
    <mergeCell ref="AP39:AP40"/>
    <mergeCell ref="AQ39:AQ40"/>
    <mergeCell ref="AT43:AT44"/>
    <mergeCell ref="AU43:AU44"/>
    <mergeCell ref="AV43:AV44"/>
    <mergeCell ref="AW43:AW44"/>
    <mergeCell ref="AX43:AX44"/>
    <mergeCell ref="B45:B46"/>
    <mergeCell ref="C45:C46"/>
    <mergeCell ref="AJ45:AJ46"/>
    <mergeCell ref="AK45:AK46"/>
    <mergeCell ref="AP45:AP46"/>
    <mergeCell ref="AL45:AL46"/>
    <mergeCell ref="AM45:AM46"/>
    <mergeCell ref="A57:A60"/>
    <mergeCell ref="AT47:AT48"/>
    <mergeCell ref="AU47:AU48"/>
    <mergeCell ref="AV47:AV48"/>
    <mergeCell ref="AW47:AW48"/>
    <mergeCell ref="AX47:AX48"/>
    <mergeCell ref="A52:A55"/>
    <mergeCell ref="AW45:AW46"/>
    <mergeCell ref="AX45:AX46"/>
    <mergeCell ref="B47:B48"/>
    <mergeCell ref="C47:C48"/>
    <mergeCell ref="AJ47:AJ48"/>
    <mergeCell ref="AK47:AK48"/>
    <mergeCell ref="AP47:AP48"/>
    <mergeCell ref="AQ47:AQ48"/>
    <mergeCell ref="AR47:AR48"/>
    <mergeCell ref="AS47:AS48"/>
    <mergeCell ref="AQ45:AQ46"/>
    <mergeCell ref="AR45:AR46"/>
    <mergeCell ref="AS45:AS46"/>
    <mergeCell ref="AT45:AT46"/>
    <mergeCell ref="AU45:AU46"/>
    <mergeCell ref="AV45:AV46"/>
    <mergeCell ref="A39:A48"/>
  </mergeCells>
  <phoneticPr fontId="24" type="noConversion"/>
  <conditionalFormatting sqref="AU9:AU48">
    <cfRule type="cellIs" dxfId="177" priority="17" operator="equal">
      <formula>"-"</formula>
    </cfRule>
  </conditionalFormatting>
  <conditionalFormatting sqref="E52:E55">
    <cfRule type="cellIs" dxfId="176" priority="16" operator="equal">
      <formula>"-"</formula>
    </cfRule>
  </conditionalFormatting>
  <conditionalFormatting sqref="F52:AI55">
    <cfRule type="cellIs" dxfId="175" priority="15" operator="equal">
      <formula>"-"</formula>
    </cfRule>
  </conditionalFormatting>
  <conditionalFormatting sqref="AI9:AI48">
    <cfRule type="cellIs" dxfId="174" priority="11" operator="equal">
      <formula>"Д"</formula>
    </cfRule>
    <cfRule type="cellIs" dxfId="173" priority="12" operator="equal">
      <formula>"СП"</formula>
    </cfRule>
    <cfRule type="cellIs" dxfId="172" priority="13" operator="equal">
      <formula>"ОТ"</formula>
    </cfRule>
  </conditionalFormatting>
  <conditionalFormatting sqref="E9:AH48">
    <cfRule type="cellIs" dxfId="171" priority="1" operator="equal">
      <formula>"В"</formula>
    </cfRule>
    <cfRule type="cellIs" dxfId="170" priority="2" operator="equal">
      <formula>"ПЗ"</formula>
    </cfRule>
    <cfRule type="cellIs" dxfId="169" priority="3" operator="equal">
      <formula>"ПК"</formula>
    </cfRule>
    <cfRule type="containsText" dxfId="168" priority="4" operator="containsText" text="Б">
      <formula>NOT(ISERROR(SEARCH("Б",E9)))</formula>
    </cfRule>
    <cfRule type="expression" dxfId="167" priority="9">
      <formula>E9=0</formula>
    </cfRule>
  </conditionalFormatting>
  <conditionalFormatting sqref="E9:AH48">
    <cfRule type="expression" dxfId="166" priority="5">
      <formula>AND(INDIRECT(ADDRESS(ROW(),COLUMN()))=8,INDIRECT(ADDRESS(ROW(),COLUMN()))="СП")</formula>
    </cfRule>
    <cfRule type="cellIs" dxfId="165" priority="7" operator="equal">
      <formula>"СП"</formula>
    </cfRule>
    <cfRule type="cellIs" dxfId="164" priority="8" operator="equal">
      <formula>"ОТ"</formula>
    </cfRule>
  </conditionalFormatting>
  <conditionalFormatting sqref="E8:AH48">
    <cfRule type="cellIs" dxfId="163" priority="6" operator="equal">
      <formula>"Д"</formula>
    </cfRule>
  </conditionalFormatting>
  <pageMargins left="0.25" right="0.25" top="0.75" bottom="0.75" header="0.3" footer="0.3"/>
  <pageSetup paperSize="9" scale="6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7" id="{8EA6F8CB-8C2F-4B39-A930-9AF9CDEEAE65}">
            <xm:f>OR(AND(WEEKDAY(E$8,2)&gt;5,E$6=1),ISNUMBER(MATCH(E$8,Подключения!$A$2:$A$1039,0)))</xm:f>
            <x14:dxf>
              <fill>
                <patternFill>
                  <bgColor theme="0" tint="-0.14996795556505021"/>
                </patternFill>
              </fill>
            </x14:dxf>
          </x14:cfRule>
          <xm:sqref>E8:AI48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C9F60-F963-481F-B92C-75381EC19F03}">
  <sheetPr codeName="Лист13">
    <tabColor theme="3" tint="0.79998168889431442"/>
    <pageSetUpPr fitToPage="1"/>
  </sheetPr>
  <dimension ref="A1:AX60"/>
  <sheetViews>
    <sheetView zoomScale="70" zoomScaleNormal="70" workbookViewId="0">
      <pane xSplit="3" ySplit="8" topLeftCell="D9" activePane="bottomRight" state="frozen"/>
      <selection activeCell="AM19" sqref="AM19:AM20"/>
      <selection pane="topRight" activeCell="AM19" sqref="AM19:AM20"/>
      <selection pane="bottomLeft" activeCell="AM19" sqref="AM19:AM20"/>
      <selection pane="bottomRight" activeCell="D2" sqref="D1:D1048576"/>
    </sheetView>
  </sheetViews>
  <sheetFormatPr defaultRowHeight="15" x14ac:dyDescent="0.25"/>
  <cols>
    <col min="1" max="1" width="9.140625" customWidth="1"/>
    <col min="2" max="2" width="28" customWidth="1"/>
    <col min="3" max="3" width="4.7109375" customWidth="1"/>
    <col min="4" max="4" width="2.85546875" hidden="1" customWidth="1"/>
    <col min="5" max="5" width="5.42578125" customWidth="1"/>
    <col min="6" max="33" width="5" customWidth="1"/>
    <col min="34" max="34" width="5" hidden="1" customWidth="1"/>
    <col min="35" max="35" width="4.85546875" hidden="1" customWidth="1"/>
    <col min="36" max="37" width="9.140625" customWidth="1"/>
    <col min="38" max="38" width="10.28515625" customWidth="1"/>
    <col min="39" max="39" width="10" customWidth="1"/>
    <col min="40" max="41" width="2.7109375" customWidth="1"/>
    <col min="42" max="43" width="6.7109375" customWidth="1"/>
    <col min="44" max="44" width="12.42578125" customWidth="1"/>
    <col min="45" max="45" width="8.28515625" customWidth="1"/>
    <col min="46" max="46" width="6.7109375" customWidth="1"/>
    <col min="47" max="47" width="2.28515625" customWidth="1"/>
    <col min="48" max="48" width="6.7109375" customWidth="1"/>
    <col min="49" max="189" width="9.140625" customWidth="1"/>
  </cols>
  <sheetData>
    <row r="1" spans="1:50" ht="18.75" x14ac:dyDescent="0.25">
      <c r="A1" s="159"/>
      <c r="B1" s="159"/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"/>
      <c r="AL1" s="24"/>
      <c r="AO1" s="22"/>
      <c r="AP1" s="160" t="s">
        <v>14</v>
      </c>
      <c r="AQ1" s="161"/>
      <c r="AR1" s="20">
        <f>'Сводный годовой график'!AX1</f>
        <v>2025</v>
      </c>
      <c r="AS1" s="22"/>
      <c r="AT1" s="22"/>
      <c r="AU1" s="22"/>
      <c r="AV1" s="22"/>
      <c r="AW1" s="22"/>
      <c r="AX1" s="22"/>
    </row>
    <row r="2" spans="1:50" ht="18.75" x14ac:dyDescent="0.25">
      <c r="A2" s="7"/>
      <c r="B2" s="7"/>
      <c r="C2" s="14"/>
      <c r="D2" s="7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7"/>
      <c r="AK2" s="1"/>
      <c r="AO2" s="12"/>
      <c r="AP2" s="162" t="s">
        <v>15</v>
      </c>
      <c r="AQ2" s="163"/>
      <c r="AR2" s="23">
        <v>2</v>
      </c>
      <c r="AT2" s="12"/>
      <c r="AU2" s="12"/>
      <c r="AV2" s="12"/>
      <c r="AW2" s="12"/>
      <c r="AX2" s="12"/>
    </row>
    <row r="3" spans="1:50" ht="21" customHeight="1" x14ac:dyDescent="0.25">
      <c r="A3" s="164" t="str">
        <f>CONCATENATE("График работы персонала на ",LOWER(TEXT($E$8,"ММММ"))," ",TEXT($E$8,"ГГГГ")," года ","(",$AR$3,"/",$AJ$9, ")")</f>
        <v>График работы персонала на февраль 2025 года (20/160)</v>
      </c>
      <c r="B3" s="164"/>
      <c r="C3" s="164"/>
      <c r="D3" s="164"/>
      <c r="E3" s="164"/>
      <c r="F3" s="164"/>
      <c r="G3" s="164"/>
      <c r="H3" s="164"/>
      <c r="I3" s="164"/>
      <c r="J3" s="164"/>
      <c r="K3" s="164"/>
      <c r="L3" s="164"/>
      <c r="M3" s="164"/>
      <c r="N3" s="164"/>
      <c r="O3" s="164"/>
      <c r="P3" s="164"/>
      <c r="Q3" s="164"/>
      <c r="R3" s="164"/>
      <c r="S3" s="164"/>
      <c r="T3" s="164"/>
      <c r="U3" s="164"/>
      <c r="V3" s="164"/>
      <c r="W3" s="164"/>
      <c r="X3" s="164"/>
      <c r="Y3" s="164"/>
      <c r="Z3" s="164"/>
      <c r="AA3" s="164"/>
      <c r="AB3" s="164"/>
      <c r="AC3" s="164"/>
      <c r="AD3" s="164"/>
      <c r="AE3" s="164"/>
      <c r="AF3" s="164"/>
      <c r="AG3" s="164"/>
      <c r="AH3" s="164"/>
      <c r="AI3" s="164"/>
      <c r="AJ3" s="164"/>
      <c r="AK3" s="1"/>
      <c r="AL3" s="21"/>
      <c r="AP3" s="162" t="s">
        <v>16</v>
      </c>
      <c r="AQ3" s="163"/>
      <c r="AR3" s="23">
        <f>INDEX(Производственный_календарь[],MONTH($E$8),3)</f>
        <v>20</v>
      </c>
    </row>
    <row r="4" spans="1:50" ht="21" customHeight="1" x14ac:dyDescent="0.25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1"/>
      <c r="AL4" s="21"/>
      <c r="AP4" s="51" t="s">
        <v>20</v>
      </c>
      <c r="AQ4" s="52"/>
      <c r="AR4" s="53">
        <f>EOMONTH(DATE(AR1,AR2,1),0)-DATE(AR1,AR2,1)+1</f>
        <v>28</v>
      </c>
    </row>
    <row r="5" spans="1:50" ht="16.5" customHeight="1" thickBo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1"/>
      <c r="AL5" s="21"/>
      <c r="AP5" s="54" t="s">
        <v>21</v>
      </c>
      <c r="AQ5" s="55"/>
      <c r="AR5" s="56">
        <v>4</v>
      </c>
    </row>
    <row r="6" spans="1:50" ht="16.5" hidden="1" customHeight="1" x14ac:dyDescent="0.25">
      <c r="E6" s="48">
        <f>IF(COLUMN()-$AR$5&lt;=$AR$4,1,0)</f>
        <v>1</v>
      </c>
      <c r="F6" s="48">
        <f t="shared" ref="F6:AH6" si="0">IF(COLUMN()-$AR$5&lt;=$AR$4,1,0)</f>
        <v>1</v>
      </c>
      <c r="G6" s="48">
        <f t="shared" si="0"/>
        <v>1</v>
      </c>
      <c r="H6" s="48">
        <f t="shared" si="0"/>
        <v>1</v>
      </c>
      <c r="I6" s="48">
        <f t="shared" si="0"/>
        <v>1</v>
      </c>
      <c r="J6" s="48">
        <f t="shared" si="0"/>
        <v>1</v>
      </c>
      <c r="K6" s="48">
        <f t="shared" si="0"/>
        <v>1</v>
      </c>
      <c r="L6" s="48">
        <f t="shared" si="0"/>
        <v>1</v>
      </c>
      <c r="M6" s="48">
        <f t="shared" si="0"/>
        <v>1</v>
      </c>
      <c r="N6" s="48">
        <f t="shared" si="0"/>
        <v>1</v>
      </c>
      <c r="O6" s="48">
        <f t="shared" si="0"/>
        <v>1</v>
      </c>
      <c r="P6" s="48">
        <f t="shared" si="0"/>
        <v>1</v>
      </c>
      <c r="Q6" s="48">
        <f t="shared" si="0"/>
        <v>1</v>
      </c>
      <c r="R6" s="48">
        <f t="shared" si="0"/>
        <v>1</v>
      </c>
      <c r="S6" s="48">
        <f t="shared" si="0"/>
        <v>1</v>
      </c>
      <c r="T6" s="48">
        <f t="shared" si="0"/>
        <v>1</v>
      </c>
      <c r="U6" s="48">
        <f t="shared" si="0"/>
        <v>1</v>
      </c>
      <c r="V6" s="48">
        <f t="shared" si="0"/>
        <v>1</v>
      </c>
      <c r="W6" s="48">
        <f t="shared" si="0"/>
        <v>1</v>
      </c>
      <c r="X6" s="48">
        <f t="shared" si="0"/>
        <v>1</v>
      </c>
      <c r="Y6" s="48">
        <f t="shared" si="0"/>
        <v>1</v>
      </c>
      <c r="Z6" s="48">
        <f t="shared" si="0"/>
        <v>1</v>
      </c>
      <c r="AA6" s="48">
        <f t="shared" si="0"/>
        <v>1</v>
      </c>
      <c r="AB6" s="48">
        <f t="shared" si="0"/>
        <v>1</v>
      </c>
      <c r="AC6" s="48">
        <f t="shared" si="0"/>
        <v>1</v>
      </c>
      <c r="AD6" s="48">
        <f t="shared" si="0"/>
        <v>1</v>
      </c>
      <c r="AE6" s="48">
        <f t="shared" si="0"/>
        <v>1</v>
      </c>
      <c r="AF6" s="48">
        <f t="shared" si="0"/>
        <v>1</v>
      </c>
      <c r="AG6" s="48">
        <f t="shared" si="0"/>
        <v>0</v>
      </c>
      <c r="AH6" s="48">
        <f t="shared" si="0"/>
        <v>0</v>
      </c>
      <c r="AI6" s="48">
        <f>IF(COLUMN()-$AR$5&lt;=$AR$4,1,0)</f>
        <v>0</v>
      </c>
    </row>
    <row r="7" spans="1:50" ht="16.5" hidden="1" customHeight="1" thickBot="1" x14ac:dyDescent="0.3">
      <c r="E7" s="48">
        <v>1</v>
      </c>
      <c r="F7" s="48">
        <v>2</v>
      </c>
      <c r="G7" s="48">
        <v>3</v>
      </c>
      <c r="H7" s="48">
        <v>4</v>
      </c>
      <c r="I7" s="48">
        <v>5</v>
      </c>
      <c r="J7" s="48">
        <v>6</v>
      </c>
      <c r="K7" s="48">
        <v>7</v>
      </c>
      <c r="L7" s="48">
        <v>8</v>
      </c>
      <c r="M7" s="48">
        <v>9</v>
      </c>
      <c r="N7" s="48">
        <v>10</v>
      </c>
      <c r="O7" s="48">
        <v>11</v>
      </c>
      <c r="P7" s="48">
        <v>12</v>
      </c>
      <c r="Q7" s="48">
        <v>13</v>
      </c>
      <c r="R7" s="48">
        <v>14</v>
      </c>
      <c r="S7" s="48">
        <v>15</v>
      </c>
      <c r="T7" s="48">
        <v>16</v>
      </c>
      <c r="U7" s="48">
        <v>17</v>
      </c>
      <c r="V7" s="48">
        <v>18</v>
      </c>
      <c r="W7" s="48">
        <v>19</v>
      </c>
      <c r="X7" s="48">
        <v>20</v>
      </c>
      <c r="Y7" s="48">
        <v>21</v>
      </c>
      <c r="Z7" s="48">
        <v>22</v>
      </c>
      <c r="AA7" s="48">
        <v>23</v>
      </c>
      <c r="AB7" s="48">
        <v>24</v>
      </c>
      <c r="AC7" s="48">
        <v>25</v>
      </c>
      <c r="AD7" s="48">
        <v>26</v>
      </c>
      <c r="AE7" s="48">
        <v>27</v>
      </c>
      <c r="AF7" s="48">
        <v>28</v>
      </c>
      <c r="AG7" s="48">
        <v>29</v>
      </c>
      <c r="AH7" s="48">
        <v>30</v>
      </c>
      <c r="AI7" s="48">
        <v>31</v>
      </c>
    </row>
    <row r="8" spans="1:50" ht="47.45" customHeight="1" thickTop="1" thickBot="1" x14ac:dyDescent="0.3">
      <c r="A8" s="2" t="s">
        <v>0</v>
      </c>
      <c r="B8" s="3" t="s">
        <v>1</v>
      </c>
      <c r="C8" s="15" t="s">
        <v>2</v>
      </c>
      <c r="D8" s="3"/>
      <c r="E8" s="19">
        <f>DATE($AR$1,$AR$2,1)</f>
        <v>45689</v>
      </c>
      <c r="F8" s="19">
        <f>IF(E8,DATE($AR$1,$AR$2,DAY(E$8)+1),"")</f>
        <v>45690</v>
      </c>
      <c r="G8" s="19">
        <f t="shared" ref="G8:AI8" si="1">IF(F8,DATE($AR$1,$AR$2,DAY(F$8)+1),"")</f>
        <v>45691</v>
      </c>
      <c r="H8" s="19">
        <f t="shared" si="1"/>
        <v>45692</v>
      </c>
      <c r="I8" s="19">
        <f t="shared" si="1"/>
        <v>45693</v>
      </c>
      <c r="J8" s="19">
        <f t="shared" si="1"/>
        <v>45694</v>
      </c>
      <c r="K8" s="19">
        <f t="shared" si="1"/>
        <v>45695</v>
      </c>
      <c r="L8" s="19">
        <f t="shared" si="1"/>
        <v>45696</v>
      </c>
      <c r="M8" s="19">
        <f t="shared" si="1"/>
        <v>45697</v>
      </c>
      <c r="N8" s="19">
        <f t="shared" si="1"/>
        <v>45698</v>
      </c>
      <c r="O8" s="19">
        <f t="shared" si="1"/>
        <v>45699</v>
      </c>
      <c r="P8" s="19">
        <f t="shared" si="1"/>
        <v>45700</v>
      </c>
      <c r="Q8" s="19">
        <f t="shared" si="1"/>
        <v>45701</v>
      </c>
      <c r="R8" s="19">
        <f t="shared" si="1"/>
        <v>45702</v>
      </c>
      <c r="S8" s="19">
        <f t="shared" si="1"/>
        <v>45703</v>
      </c>
      <c r="T8" s="19">
        <f t="shared" si="1"/>
        <v>45704</v>
      </c>
      <c r="U8" s="19">
        <f t="shared" si="1"/>
        <v>45705</v>
      </c>
      <c r="V8" s="19">
        <f t="shared" si="1"/>
        <v>45706</v>
      </c>
      <c r="W8" s="19">
        <f t="shared" si="1"/>
        <v>45707</v>
      </c>
      <c r="X8" s="19">
        <f t="shared" si="1"/>
        <v>45708</v>
      </c>
      <c r="Y8" s="19">
        <f t="shared" si="1"/>
        <v>45709</v>
      </c>
      <c r="Z8" s="19">
        <f t="shared" si="1"/>
        <v>45710</v>
      </c>
      <c r="AA8" s="19">
        <f t="shared" si="1"/>
        <v>45711</v>
      </c>
      <c r="AB8" s="19">
        <f t="shared" si="1"/>
        <v>45712</v>
      </c>
      <c r="AC8" s="19">
        <f t="shared" si="1"/>
        <v>45713</v>
      </c>
      <c r="AD8" s="19">
        <f t="shared" si="1"/>
        <v>45714</v>
      </c>
      <c r="AE8" s="19">
        <f t="shared" si="1"/>
        <v>45715</v>
      </c>
      <c r="AF8" s="19">
        <f t="shared" si="1"/>
        <v>45716</v>
      </c>
      <c r="AG8" s="19">
        <f t="shared" si="1"/>
        <v>45717</v>
      </c>
      <c r="AH8" s="19">
        <f t="shared" si="1"/>
        <v>45690</v>
      </c>
      <c r="AI8" s="19">
        <f t="shared" si="1"/>
        <v>45691</v>
      </c>
      <c r="AJ8" s="2" t="s">
        <v>3</v>
      </c>
      <c r="AK8" s="4" t="s">
        <v>4</v>
      </c>
      <c r="AL8" s="31" t="s">
        <v>77</v>
      </c>
      <c r="AM8" s="31" t="s">
        <v>78</v>
      </c>
      <c r="AP8" s="4" t="s">
        <v>6</v>
      </c>
      <c r="AQ8" s="4" t="s">
        <v>5</v>
      </c>
      <c r="AR8" s="4" t="s">
        <v>7</v>
      </c>
      <c r="AS8" s="4" t="s">
        <v>8</v>
      </c>
      <c r="AT8" s="4" t="s">
        <v>13</v>
      </c>
      <c r="AU8" s="6" t="s">
        <v>9</v>
      </c>
      <c r="AV8" s="4" t="s">
        <v>11</v>
      </c>
      <c r="AW8" s="4" t="s">
        <v>18</v>
      </c>
      <c r="AX8" s="4" t="s">
        <v>19</v>
      </c>
    </row>
    <row r="9" spans="1:50" ht="17.25" customHeight="1" thickBot="1" x14ac:dyDescent="0.3">
      <c r="A9" s="146" t="s">
        <v>100</v>
      </c>
      <c r="B9" s="151" t="s">
        <v>80</v>
      </c>
      <c r="C9" s="170">
        <v>1</v>
      </c>
      <c r="D9" s="49">
        <v>1</v>
      </c>
      <c r="E9" s="62">
        <f ca="1">INDEX(Д1!$E$14:$AI$23,MATCH($D9,Д1!$D$14:$D$23),MATCH(E$7,Д1!$E$3:$AI$3))</f>
        <v>12</v>
      </c>
      <c r="F9" s="28">
        <f ca="1">INDEX(Д1!$E$4:$AI$13,MATCH($D9,Д1!$D$4:$D$13),MATCH(F$7,Д1!$E$3:$AI$3))</f>
        <v>0</v>
      </c>
      <c r="G9" s="28">
        <f ca="1">INDEX(Д1!$E$4:$AI$13,MATCH($D9,Д1!$D$4:$D$13),MATCH(G$7,Д1!$E$3:$AI$3))</f>
        <v>4</v>
      </c>
      <c r="H9" s="28">
        <f ca="1">INDEX(Д1!$E$4:$AI$13,MATCH($D9,Д1!$D$4:$D$13),MATCH(H$7,Д1!$E$3:$AI$3))</f>
        <v>8</v>
      </c>
      <c r="I9" s="28">
        <f ca="1">INDEX(Д1!$E$4:$AI$13,MATCH($D9,Д1!$D$4:$D$13),MATCH(I$7,Д1!$E$3:$AI$3))</f>
        <v>12</v>
      </c>
      <c r="J9" s="28">
        <f ca="1">INDEX(Д1!$E$4:$AI$13,MATCH($D9,Д1!$D$4:$D$13),MATCH(J$7,Д1!$E$3:$AI$3))</f>
        <v>4</v>
      </c>
      <c r="K9" s="28">
        <f ca="1">INDEX(Д1!$E$4:$AI$13,MATCH($D9,Д1!$D$4:$D$13),MATCH(K$7,Д1!$E$3:$AI$3))</f>
        <v>8</v>
      </c>
      <c r="L9" s="28">
        <f ca="1">INDEX(Д1!$E$4:$AI$13,MATCH($D9,Д1!$D$4:$D$13),MATCH(L$7,Д1!$E$3:$AI$3))</f>
        <v>12</v>
      </c>
      <c r="M9" s="28">
        <f ca="1">INDEX(Д1!$E$4:$AI$13,MATCH($D9,Д1!$D$4:$D$13),MATCH(M$7,Д1!$E$3:$AI$3))</f>
        <v>0</v>
      </c>
      <c r="N9" s="28">
        <f ca="1">INDEX(Д1!$E$4:$AI$13,MATCH($D9,Д1!$D$4:$D$13),MATCH(N$7,Д1!$E$3:$AI$3))</f>
        <v>0</v>
      </c>
      <c r="O9" s="28">
        <f ca="1">INDEX(Д1!$E$4:$AI$13,MATCH($D9,Д1!$D$4:$D$13),MATCH(O$7,Д1!$E$3:$AI$3))</f>
        <v>4</v>
      </c>
      <c r="P9" s="28">
        <f ca="1">INDEX(Д1!$E$4:$AI$13,MATCH($D9,Д1!$D$4:$D$13),MATCH(P$7,Д1!$E$3:$AI$3))</f>
        <v>8</v>
      </c>
      <c r="Q9" s="28">
        <f ca="1">INDEX(Д1!$E$4:$AI$13,MATCH($D9,Д1!$D$4:$D$13),MATCH(Q$7,Д1!$E$3:$AI$3))</f>
        <v>12</v>
      </c>
      <c r="R9" s="28">
        <f ca="1">INDEX(Д1!$E$4:$AI$13,MATCH($D9,Д1!$D$4:$D$13),MATCH(R$7,Д1!$E$3:$AI$3))</f>
        <v>4</v>
      </c>
      <c r="S9" s="28">
        <f ca="1">INDEX(Д1!$E$4:$AI$13,MATCH($D9,Д1!$D$4:$D$13),MATCH(S$7,Д1!$E$3:$AI$3))</f>
        <v>8</v>
      </c>
      <c r="T9" s="28">
        <f ca="1">INDEX(Д1!$E$4:$AI$13,MATCH($D9,Д1!$D$4:$D$13),MATCH(T$7,Д1!$E$3:$AI$3))</f>
        <v>12</v>
      </c>
      <c r="U9" s="28">
        <f ca="1">INDEX(Д1!$E$4:$AI$13,MATCH($D9,Д1!$D$4:$D$13),MATCH(U$7,Д1!$E$3:$AI$3))</f>
        <v>0</v>
      </c>
      <c r="V9" s="28">
        <f ca="1">INDEX(Д1!$E$4:$AI$13,MATCH($D9,Д1!$D$4:$D$13),MATCH(V$7,Д1!$E$3:$AI$3))</f>
        <v>0</v>
      </c>
      <c r="W9" s="28">
        <f ca="1">INDEX(Д1!$E$4:$AI$13,MATCH($D9,Д1!$D$4:$D$13),MATCH(W$7,Д1!$E$3:$AI$3))</f>
        <v>4</v>
      </c>
      <c r="X9" s="28">
        <f ca="1">INDEX(Д1!$E$4:$AI$13,MATCH($D9,Д1!$D$4:$D$13),MATCH(X$7,Д1!$E$3:$AI$3))</f>
        <v>8</v>
      </c>
      <c r="Y9" s="28">
        <f ca="1">INDEX(Д1!$E$4:$AI$13,MATCH($D9,Д1!$D$4:$D$13),MATCH(Y$7,Д1!$E$3:$AI$3))</f>
        <v>12</v>
      </c>
      <c r="Z9" s="28">
        <f ca="1">INDEX(Д1!$E$4:$AI$13,MATCH($D9,Д1!$D$4:$D$13),MATCH(Z$7,Д1!$E$3:$AI$3))</f>
        <v>4</v>
      </c>
      <c r="AA9" s="28">
        <f ca="1">INDEX(Д1!$E$4:$AI$13,MATCH($D9,Д1!$D$4:$D$13),MATCH(AA$7,Д1!$E$3:$AI$3))</f>
        <v>8</v>
      </c>
      <c r="AB9" s="28">
        <f ca="1">INDEX(Д1!$E$4:$AI$13,MATCH($D9,Д1!$D$4:$D$13),MATCH(AB$7,Д1!$E$3:$AI$3))</f>
        <v>12</v>
      </c>
      <c r="AC9" s="28">
        <f ca="1">INDEX(Д1!$E$4:$AI$13,MATCH($D9,Д1!$D$4:$D$13),MATCH(AC$7,Д1!$E$3:$AI$3))</f>
        <v>0</v>
      </c>
      <c r="AD9" s="28">
        <f ca="1">INDEX(Д1!$E$4:$AI$13,MATCH($D9,Д1!$D$4:$D$13),MATCH(AD$7,Д1!$E$3:$AI$3))</f>
        <v>0</v>
      </c>
      <c r="AE9" s="28">
        <f ca="1">INDEX(Д1!$E$4:$AI$13,MATCH($D9,Д1!$D$4:$D$13),MATCH(AE$7,Д1!$E$3:$AI$3))</f>
        <v>4</v>
      </c>
      <c r="AF9" s="28">
        <f ca="1">INDEX(Д1!$E$4:$AI$13,MATCH($D9,Д1!$D$4:$D$13),MATCH(AF$7,Д1!$E$3:$AI$3))</f>
        <v>8</v>
      </c>
      <c r="AG9" s="28"/>
      <c r="AH9" s="28"/>
      <c r="AI9" s="100"/>
      <c r="AJ9" s="143">
        <f>INDEX(Д1!AK$14:$AK$23,MATCH($C9,Д1!$C$14:$C$23),MATCH(E$7,Д1!$E$3:$AI$3))*AND(MONTH($E$8)=MONTH(Д1!$B$14))</f>
        <v>160</v>
      </c>
      <c r="AK9" s="144">
        <f ca="1">SUM(E9:AI10)</f>
        <v>168</v>
      </c>
      <c r="AL9" s="144"/>
      <c r="AM9" s="149">
        <f ca="1">SUM(F9:H10,J9:AI10)-AJ9+AL9-12</f>
        <v>-28</v>
      </c>
      <c r="AP9" s="136">
        <f ca="1">COUNTIF($E9:$AI10,"12")</f>
        <v>7</v>
      </c>
      <c r="AQ9" s="136">
        <f ca="1">IF(COUNTIF($E9:$AI10,"СП")&gt;=1,(COUNTIF($E9:$AI10,"4")+COUNTIF($E9:$AI10,"8")-1)/2,(COUNTIF($E9:$AI10,"4")+COUNTIF($E9:$AI10,"8"))/2)</f>
        <v>7</v>
      </c>
      <c r="AR9" s="136">
        <f t="shared" ref="AR9:AR47" ca="1" si="2">SUMIF($E9:$AI10,"12",$E9:$AI10)</f>
        <v>84</v>
      </c>
      <c r="AS9" s="136">
        <f ca="1">IF(COUNTIF($E9:$AI10,"СП")&gt;=1,SUMIF($E9:$AI10,"4",$E9:$AI10)+SUMIF($E9:$AI10,"8",$E9:$AI10)-8,SUMIF($E9:$AI10,"4",$E9:$AI10)+SUMIF($E9:$AI10,"8",$E9:$AI10))</f>
        <v>84</v>
      </c>
      <c r="AT9" s="136">
        <f ca="1">$AR9+$AS9</f>
        <v>168</v>
      </c>
      <c r="AU9" s="136" t="str">
        <f ca="1">IF(AK9=AT9,"+","!")</f>
        <v>+</v>
      </c>
      <c r="AV9" s="136">
        <f ca="1">COUNTIF($E9:$AI10,"ОТ")</f>
        <v>0</v>
      </c>
      <c r="AW9" s="137" t="str">
        <f ca="1">IF(COUNTIF($A10:$AI10,"СП")&gt;0,IF(INDIRECT(ADDRESS(ROW(),MATCH("СП",$A10:$AI10),1))=8,"","!"),"")</f>
        <v/>
      </c>
      <c r="AX9" s="137" t="str">
        <f ca="1">IF(COUNTIF($A10:$AI10,"СП")&gt;0,IF(INDIRECT(ADDRESS(ROW(),MATCH("СП",$A10:$AI10)-1,1))=4,"!",""),"")</f>
        <v/>
      </c>
    </row>
    <row r="10" spans="1:50" ht="16.5" thickBot="1" x14ac:dyDescent="0.3">
      <c r="A10" s="147"/>
      <c r="B10" s="139"/>
      <c r="C10" s="171"/>
      <c r="D10" s="50">
        <v>2</v>
      </c>
      <c r="E10" s="63" t="str">
        <f>INDEX(Д1!$E$14:$AI$23,MATCH($D10,Д1!$D$14:$D$23),MATCH(E$7,Д1!$E$3:$AI$3))</f>
        <v/>
      </c>
      <c r="F10" s="29" t="str">
        <f>INDEX(Д1!$E$4:$AI$13,MATCH($D10,Д1!$D$4:$D$13),MATCH(F$7,Д1!$E$3:$AI$3))</f>
        <v/>
      </c>
      <c r="G10" s="29" t="str">
        <f>INDEX(Д1!$E$4:$AI$13,MATCH($D10,Д1!$D$4:$D$13),MATCH(G$7,Д1!$E$3:$AI$3))</f>
        <v/>
      </c>
      <c r="H10" s="29" t="str">
        <f>INDEX(Д1!$E$4:$AI$13,MATCH($D10,Д1!$D$4:$D$13),MATCH(H$7,Д1!$E$3:$AI$3))</f>
        <v/>
      </c>
      <c r="I10" s="29" t="str">
        <f>INDEX(Д1!$E$4:$AI$13,MATCH($D10,Д1!$D$4:$D$13),MATCH(I$7,Д1!$E$3:$AI$3))</f>
        <v/>
      </c>
      <c r="J10" s="29" t="str">
        <f>INDEX(Д1!$E$4:$AI$13,MATCH($D10,Д1!$D$4:$D$13),MATCH(J$7,Д1!$E$3:$AI$3))</f>
        <v/>
      </c>
      <c r="K10" s="29" t="str">
        <f>INDEX(Д1!$E$4:$AI$13,MATCH($D10,Д1!$D$4:$D$13),MATCH(K$7,Д1!$E$3:$AI$3))</f>
        <v/>
      </c>
      <c r="L10" s="29" t="str">
        <f>INDEX(Д1!$E$4:$AI$13,MATCH($D10,Д1!$D$4:$D$13),MATCH(L$7,Д1!$E$3:$AI$3))</f>
        <v/>
      </c>
      <c r="M10" s="29" t="str">
        <f>INDEX(Д1!$E$4:$AI$13,MATCH($D10,Д1!$D$4:$D$13),MATCH(M$7,Д1!$E$3:$AI$3))</f>
        <v/>
      </c>
      <c r="N10" s="29" t="str">
        <f>INDEX(Д1!$E$4:$AI$13,MATCH($D10,Д1!$D$4:$D$13),MATCH(N$7,Д1!$E$3:$AI$3))</f>
        <v/>
      </c>
      <c r="O10" s="29" t="str">
        <f>INDEX(Д1!$E$4:$AI$13,MATCH($D10,Д1!$D$4:$D$13),MATCH(O$7,Д1!$E$3:$AI$3))</f>
        <v/>
      </c>
      <c r="P10" s="29" t="str">
        <f>INDEX(Д1!$E$4:$AI$13,MATCH($D10,Д1!$D$4:$D$13),MATCH(P$7,Д1!$E$3:$AI$3))</f>
        <v/>
      </c>
      <c r="Q10" s="29" t="str">
        <f>INDEX(Д1!$E$4:$AI$13,MATCH($D10,Д1!$D$4:$D$13),MATCH(Q$7,Д1!$E$3:$AI$3))</f>
        <v/>
      </c>
      <c r="R10" s="29" t="str">
        <f>INDEX(Д1!$E$4:$AI$13,MATCH($D10,Д1!$D$4:$D$13),MATCH(R$7,Д1!$E$3:$AI$3))</f>
        <v/>
      </c>
      <c r="S10" s="29" t="str">
        <f>INDEX(Д1!$E$4:$AI$13,MATCH($D10,Д1!$D$4:$D$13),MATCH(S$7,Д1!$E$3:$AI$3))</f>
        <v/>
      </c>
      <c r="T10" s="29" t="str">
        <f>INDEX(Д1!$E$4:$AI$13,MATCH($D10,Д1!$D$4:$D$13),MATCH(T$7,Д1!$E$3:$AI$3))</f>
        <v/>
      </c>
      <c r="U10" s="29" t="str">
        <f>INDEX(Д1!$E$4:$AI$13,MATCH($D10,Д1!$D$4:$D$13),MATCH(U$7,Д1!$E$3:$AI$3))</f>
        <v/>
      </c>
      <c r="V10" s="29" t="str">
        <f>INDEX(Д1!$E$4:$AI$13,MATCH($D10,Д1!$D$4:$D$13),MATCH(V$7,Д1!$E$3:$AI$3))</f>
        <v/>
      </c>
      <c r="W10" s="29" t="str">
        <f>INDEX(Д1!$E$4:$AI$13,MATCH($D10,Д1!$D$4:$D$13),MATCH(W$7,Д1!$E$3:$AI$3))</f>
        <v/>
      </c>
      <c r="X10" s="29" t="str">
        <f>INDEX(Д1!$E$4:$AI$13,MATCH($D10,Д1!$D$4:$D$13),MATCH(X$7,Д1!$E$3:$AI$3))</f>
        <v/>
      </c>
      <c r="Y10" s="29" t="str">
        <f>INDEX(Д1!$E$4:$AI$13,MATCH($D10,Д1!$D$4:$D$13),MATCH(Y$7,Д1!$E$3:$AI$3))</f>
        <v/>
      </c>
      <c r="Z10" s="29" t="str">
        <f>INDEX(Д1!$E$4:$AI$13,MATCH($D10,Д1!$D$4:$D$13),MATCH(Z$7,Д1!$E$3:$AI$3))</f>
        <v/>
      </c>
      <c r="AA10" s="29" t="str">
        <f>INDEX(Д1!$E$4:$AI$13,MATCH($D10,Д1!$D$4:$D$13),MATCH(AA$7,Д1!$E$3:$AI$3))</f>
        <v/>
      </c>
      <c r="AB10" s="29" t="str">
        <f>INDEX(Д1!$E$4:$AI$13,MATCH($D10,Д1!$D$4:$D$13),MATCH(AB$7,Д1!$E$3:$AI$3))</f>
        <v/>
      </c>
      <c r="AC10" s="29" t="str">
        <f>INDEX(Д1!$E$4:$AI$13,MATCH($D10,Д1!$D$4:$D$13),MATCH(AC$7,Д1!$E$3:$AI$3))</f>
        <v/>
      </c>
      <c r="AD10" s="29" t="str">
        <f>INDEX(Д1!$E$4:$AI$13,MATCH($D10,Д1!$D$4:$D$13),MATCH(AD$7,Д1!$E$3:$AI$3))</f>
        <v/>
      </c>
      <c r="AE10" s="29" t="str">
        <f>INDEX(Д1!$E$4:$AI$13,MATCH($D10,Д1!$D$4:$D$13),MATCH(AE$7,Д1!$E$3:$AI$3))</f>
        <v/>
      </c>
      <c r="AF10" s="29" t="str">
        <f>INDEX(Д1!$E$4:$AI$13,MATCH($D10,Д1!$D$4:$D$13),MATCH(AF$7,Д1!$E$3:$AI$3))</f>
        <v/>
      </c>
      <c r="AG10" s="29"/>
      <c r="AH10" s="29"/>
      <c r="AI10" s="101"/>
      <c r="AJ10" s="143"/>
      <c r="AK10" s="145"/>
      <c r="AL10" s="145"/>
      <c r="AM10" s="150"/>
      <c r="AP10" s="136"/>
      <c r="AQ10" s="136"/>
      <c r="AR10" s="136"/>
      <c r="AS10" s="136"/>
      <c r="AT10" s="136"/>
      <c r="AU10" s="136"/>
      <c r="AV10" s="136"/>
      <c r="AW10" s="137"/>
      <c r="AX10" s="137"/>
    </row>
    <row r="11" spans="1:50" ht="16.5" customHeight="1" thickBot="1" x14ac:dyDescent="0.3">
      <c r="A11" s="147"/>
      <c r="B11" s="139" t="s">
        <v>81</v>
      </c>
      <c r="C11" s="170">
        <v>2</v>
      </c>
      <c r="D11" s="49">
        <v>3</v>
      </c>
      <c r="E11" s="64">
        <f ca="1">INDEX(Д1!$E$14:$AI$23,MATCH($D11,Д1!$D$14:$D$23),MATCH(E$7,Д1!$E$3:$AI$3))</f>
        <v>0</v>
      </c>
      <c r="F11" s="27">
        <f ca="1">INDEX(Д1!$E$4:$AI$13,MATCH($D11,Д1!$D$4:$D$13),MATCH(F$7,Д1!$E$3:$AI$3))</f>
        <v>8</v>
      </c>
      <c r="G11" s="27">
        <f ca="1">INDEX(Д1!$E$4:$AI$13,MATCH($D11,Д1!$D$4:$D$13),MATCH(G$7,Д1!$E$3:$AI$3))</f>
        <v>12</v>
      </c>
      <c r="H11" s="27">
        <f ca="1">INDEX(Д1!$E$4:$AI$13,MATCH($D11,Д1!$D$4:$D$13),MATCH(H$7,Д1!$E$3:$AI$3))</f>
        <v>4</v>
      </c>
      <c r="I11" s="27">
        <f ca="1">INDEX(Д1!$E$4:$AI$13,MATCH($D11,Д1!$D$4:$D$13),MATCH(I$7,Д1!$E$3:$AI$3))</f>
        <v>8</v>
      </c>
      <c r="J11" s="27">
        <f ca="1">INDEX(Д1!$E$4:$AI$13,MATCH($D11,Д1!$D$4:$D$13),MATCH(J$7,Д1!$E$3:$AI$3))</f>
        <v>12</v>
      </c>
      <c r="K11" s="27">
        <f ca="1">INDEX(Д1!$E$4:$AI$13,MATCH($D11,Д1!$D$4:$D$13),MATCH(K$7,Д1!$E$3:$AI$3))</f>
        <v>0</v>
      </c>
      <c r="L11" s="27">
        <f ca="1">INDEX(Д1!$E$4:$AI$13,MATCH($D11,Д1!$D$4:$D$13),MATCH(L$7,Д1!$E$3:$AI$3))</f>
        <v>0</v>
      </c>
      <c r="M11" s="27">
        <f ca="1">INDEX(Д1!$E$4:$AI$13,MATCH($D11,Д1!$D$4:$D$13),MATCH(M$7,Д1!$E$3:$AI$3))</f>
        <v>4</v>
      </c>
      <c r="N11" s="27">
        <f ca="1">INDEX(Д1!$E$4:$AI$13,MATCH($D11,Д1!$D$4:$D$13),MATCH(N$7,Д1!$E$3:$AI$3))</f>
        <v>8</v>
      </c>
      <c r="O11" s="27">
        <f ca="1">INDEX(Д1!$E$4:$AI$13,MATCH($D11,Д1!$D$4:$D$13),MATCH(O$7,Д1!$E$3:$AI$3))</f>
        <v>12</v>
      </c>
      <c r="P11" s="27">
        <f ca="1">INDEX(Д1!$E$4:$AI$13,MATCH($D11,Д1!$D$4:$D$13),MATCH(P$7,Д1!$E$3:$AI$3))</f>
        <v>4</v>
      </c>
      <c r="Q11" s="27">
        <f ca="1">INDEX(Д1!$E$4:$AI$13,MATCH($D11,Д1!$D$4:$D$13),MATCH(Q$7,Д1!$E$3:$AI$3))</f>
        <v>8</v>
      </c>
      <c r="R11" s="27">
        <f ca="1">INDEX(Д1!$E$4:$AI$13,MATCH($D11,Д1!$D$4:$D$13),MATCH(R$7,Д1!$E$3:$AI$3))</f>
        <v>12</v>
      </c>
      <c r="S11" s="27">
        <f ca="1">INDEX(Д1!$E$4:$AI$13,MATCH($D11,Д1!$D$4:$D$13),MATCH(S$7,Д1!$E$3:$AI$3))</f>
        <v>0</v>
      </c>
      <c r="T11" s="27">
        <f ca="1">INDEX(Д1!$E$4:$AI$13,MATCH($D11,Д1!$D$4:$D$13),MATCH(T$7,Д1!$E$3:$AI$3))</f>
        <v>0</v>
      </c>
      <c r="U11" s="27">
        <f ca="1">INDEX(Д1!$E$4:$AI$13,MATCH($D11,Д1!$D$4:$D$13),MATCH(U$7,Д1!$E$3:$AI$3))</f>
        <v>4</v>
      </c>
      <c r="V11" s="27">
        <f ca="1">INDEX(Д1!$E$4:$AI$13,MATCH($D11,Д1!$D$4:$D$13),MATCH(V$7,Д1!$E$3:$AI$3))</f>
        <v>8</v>
      </c>
      <c r="W11" s="27">
        <f ca="1">INDEX(Д1!$E$4:$AI$13,MATCH($D11,Д1!$D$4:$D$13),MATCH(W$7,Д1!$E$3:$AI$3))</f>
        <v>12</v>
      </c>
      <c r="X11" s="27">
        <f ca="1">INDEX(Д1!$E$4:$AI$13,MATCH($D11,Д1!$D$4:$D$13),MATCH(X$7,Д1!$E$3:$AI$3))</f>
        <v>4</v>
      </c>
      <c r="Y11" s="27">
        <f ca="1">INDEX(Д1!$E$4:$AI$13,MATCH($D11,Д1!$D$4:$D$13),MATCH(Y$7,Д1!$E$3:$AI$3))</f>
        <v>8</v>
      </c>
      <c r="Z11" s="27">
        <f ca="1">INDEX(Д1!$E$4:$AI$13,MATCH($D11,Д1!$D$4:$D$13),MATCH(Z$7,Д1!$E$3:$AI$3))</f>
        <v>12</v>
      </c>
      <c r="AA11" s="27">
        <f ca="1">INDEX(Д1!$E$4:$AI$13,MATCH($D11,Д1!$D$4:$D$13),MATCH(AA$7,Д1!$E$3:$AI$3))</f>
        <v>0</v>
      </c>
      <c r="AB11" s="27">
        <f ca="1">INDEX(Д1!$E$4:$AI$13,MATCH($D11,Д1!$D$4:$D$13),MATCH(AB$7,Д1!$E$3:$AI$3))</f>
        <v>0</v>
      </c>
      <c r="AC11" s="27">
        <f ca="1">INDEX(Д1!$E$4:$AI$13,MATCH($D11,Д1!$D$4:$D$13),MATCH(AC$7,Д1!$E$3:$AI$3))</f>
        <v>4</v>
      </c>
      <c r="AD11" s="27">
        <f ca="1">INDEX(Д1!$E$4:$AI$13,MATCH($D11,Д1!$D$4:$D$13),MATCH(AD$7,Д1!$E$3:$AI$3))</f>
        <v>8</v>
      </c>
      <c r="AE11" s="27">
        <f ca="1">INDEX(Д1!$E$4:$AI$13,MATCH($D11,Д1!$D$4:$D$13),MATCH(AE$7,Д1!$E$3:$AI$3))</f>
        <v>12</v>
      </c>
      <c r="AF11" s="27">
        <f ca="1">INDEX(Д1!$E$4:$AI$13,MATCH($D11,Д1!$D$4:$D$13),MATCH(AF$7,Д1!$E$3:$AI$3))</f>
        <v>4</v>
      </c>
      <c r="AG11" s="27"/>
      <c r="AH11" s="27"/>
      <c r="AI11" s="102"/>
      <c r="AJ11" s="143">
        <f>INDEX(Д1!AK$14:$AK$23,MATCH($C11,Д1!$C$14:$C$23),MATCH(E$7,Д1!$E$3:$AI$3))*AND(MONTH($E$8)=MONTH(Д1!$B$14))</f>
        <v>160</v>
      </c>
      <c r="AK11" s="144">
        <f ca="1">SUM(K11:AI12)</f>
        <v>124</v>
      </c>
      <c r="AL11" s="155"/>
      <c r="AM11" s="149">
        <f ca="1">SUM(F11:H12,J11:AI12)-AJ11+AL11-12</f>
        <v>-12</v>
      </c>
      <c r="AP11" s="136">
        <f t="shared" ref="AP11" ca="1" si="3">COUNTIF($E11:$AI12,"12")</f>
        <v>7</v>
      </c>
      <c r="AQ11" s="136">
        <f t="shared" ref="AQ11" ca="1" si="4">IF(COUNTIF($E11:$AI12,"СП")&gt;=1,(COUNTIF($E11:$AI12,"4")+COUNTIF($E11:$AI12,"8")-1)/2,(COUNTIF($E11:$AI12,"4")+COUNTIF($E11:$AI12,"8"))/2)</f>
        <v>6.5</v>
      </c>
      <c r="AR11" s="136">
        <f t="shared" ca="1" si="2"/>
        <v>84</v>
      </c>
      <c r="AS11" s="136">
        <f t="shared" ref="AS11" ca="1" si="5">IF(COUNTIF($E11:$AI12,"СП")&gt;=1,SUMIF($E11:$AI12,"4",$E11:$AI12)+SUMIF($E11:$AI12,"8",$E11:$AI12)-8,SUMIF($E11:$AI12,"4",$E11:$AI12)+SUMIF($E11:$AI12,"8",$E11:$AI12))</f>
        <v>76</v>
      </c>
      <c r="AT11" s="136">
        <f t="shared" ref="AT11" ca="1" si="6">$AR11+$AS11</f>
        <v>160</v>
      </c>
      <c r="AU11" s="136" t="str">
        <f t="shared" ref="AU11" ca="1" si="7">IF(AK11=AT11,"+","!")</f>
        <v>!</v>
      </c>
      <c r="AV11" s="136">
        <f t="shared" ref="AV11" ca="1" si="8">COUNTIF($E11:$AI12,"ОТ")</f>
        <v>0</v>
      </c>
      <c r="AW11" s="137" t="str">
        <f ca="1">IF(COUNTIF($A12:$AI12,"СП")&gt;0,IF(INDIRECT(ADDRESS(ROW(),MATCH("СП",$A12:$AI12),1))=8,"","!"),"")</f>
        <v>!</v>
      </c>
      <c r="AX11" s="137" t="str">
        <f ca="1">IF(COUNTIF($A12:$AI12,"СП")&gt;0,IF(INDIRECT(ADDRESS(ROW(),MATCH("СП",$A12:$AI12)-1,1))=4,"!",""),"")</f>
        <v/>
      </c>
    </row>
    <row r="12" spans="1:50" ht="16.5" thickBot="1" x14ac:dyDescent="0.3">
      <c r="A12" s="147"/>
      <c r="B12" s="139"/>
      <c r="C12" s="171"/>
      <c r="D12" s="50">
        <v>4</v>
      </c>
      <c r="E12" s="65" t="str">
        <f>INDEX(Д1!$E$14:$AI$23,MATCH($D12,Д1!$D$14:$D$23),MATCH(E$7,Д1!$E$3:$AI$3))</f>
        <v/>
      </c>
      <c r="F12" s="30" t="str">
        <f>INDEX(Д1!$E$4:$AI$13,MATCH($D12,Д1!$D$4:$D$13),MATCH(F$7,Д1!$E$3:$AI$3))</f>
        <v>СП</v>
      </c>
      <c r="G12" s="30" t="str">
        <f>INDEX(Д1!$E$4:$AI$13,MATCH($D12,Д1!$D$4:$D$13),MATCH(G$7,Д1!$E$3:$AI$3))</f>
        <v/>
      </c>
      <c r="H12" s="30" t="str">
        <f>INDEX(Д1!$E$4:$AI$13,MATCH($D12,Д1!$D$4:$D$13),MATCH(H$7,Д1!$E$3:$AI$3))</f>
        <v/>
      </c>
      <c r="I12" s="30" t="str">
        <f>INDEX(Д1!$E$4:$AI$13,MATCH($D12,Д1!$D$4:$D$13),MATCH(I$7,Д1!$E$3:$AI$3))</f>
        <v/>
      </c>
      <c r="J12" s="30" t="str">
        <f>INDEX(Д1!$E$4:$AI$13,MATCH($D12,Д1!$D$4:$D$13),MATCH(J$7,Д1!$E$3:$AI$3))</f>
        <v/>
      </c>
      <c r="K12" s="30" t="str">
        <f>INDEX(Д1!$E$4:$AI$13,MATCH($D12,Д1!$D$4:$D$13),MATCH(K$7,Д1!$E$3:$AI$3))</f>
        <v/>
      </c>
      <c r="L12" s="30" t="str">
        <f>INDEX(Д1!$E$4:$AI$13,MATCH($D12,Д1!$D$4:$D$13),MATCH(L$7,Д1!$E$3:$AI$3))</f>
        <v/>
      </c>
      <c r="M12" s="30" t="str">
        <f>INDEX(Д1!$E$4:$AI$13,MATCH($D12,Д1!$D$4:$D$13),MATCH(M$7,Д1!$E$3:$AI$3))</f>
        <v/>
      </c>
      <c r="N12" s="30" t="str">
        <f>INDEX(Д1!$E$4:$AI$13,MATCH($D12,Д1!$D$4:$D$13),MATCH(N$7,Д1!$E$3:$AI$3))</f>
        <v/>
      </c>
      <c r="O12" s="30" t="str">
        <f>INDEX(Д1!$E$4:$AI$13,MATCH($D12,Д1!$D$4:$D$13),MATCH(O$7,Д1!$E$3:$AI$3))</f>
        <v/>
      </c>
      <c r="P12" s="30" t="str">
        <f>INDEX(Д1!$E$4:$AI$13,MATCH($D12,Д1!$D$4:$D$13),MATCH(P$7,Д1!$E$3:$AI$3))</f>
        <v/>
      </c>
      <c r="Q12" s="30" t="str">
        <f>INDEX(Д1!$E$4:$AI$13,MATCH($D12,Д1!$D$4:$D$13),MATCH(Q$7,Д1!$E$3:$AI$3))</f>
        <v/>
      </c>
      <c r="R12" s="30" t="str">
        <f>INDEX(Д1!$E$4:$AI$13,MATCH($D12,Д1!$D$4:$D$13),MATCH(R$7,Д1!$E$3:$AI$3))</f>
        <v/>
      </c>
      <c r="S12" s="30" t="str">
        <f>INDEX(Д1!$E$4:$AI$13,MATCH($D12,Д1!$D$4:$D$13),MATCH(S$7,Д1!$E$3:$AI$3))</f>
        <v/>
      </c>
      <c r="T12" s="30" t="str">
        <f>INDEX(Д1!$E$4:$AI$13,MATCH($D12,Д1!$D$4:$D$13),MATCH(T$7,Д1!$E$3:$AI$3))</f>
        <v/>
      </c>
      <c r="U12" s="30" t="str">
        <f>INDEX(Д1!$E$4:$AI$13,MATCH($D12,Д1!$D$4:$D$13),MATCH(U$7,Д1!$E$3:$AI$3))</f>
        <v/>
      </c>
      <c r="V12" s="30" t="str">
        <f>INDEX(Д1!$E$4:$AI$13,MATCH($D12,Д1!$D$4:$D$13),MATCH(V$7,Д1!$E$3:$AI$3))</f>
        <v/>
      </c>
      <c r="W12" s="30" t="str">
        <f>INDEX(Д1!$E$4:$AI$13,MATCH($D12,Д1!$D$4:$D$13),MATCH(W$7,Д1!$E$3:$AI$3))</f>
        <v/>
      </c>
      <c r="X12" s="30" t="str">
        <f>INDEX(Д1!$E$4:$AI$13,MATCH($D12,Д1!$D$4:$D$13),MATCH(X$7,Д1!$E$3:$AI$3))</f>
        <v/>
      </c>
      <c r="Y12" s="30" t="str">
        <f>INDEX(Д1!$E$4:$AI$13,MATCH($D12,Д1!$D$4:$D$13),MATCH(Y$7,Д1!$E$3:$AI$3))</f>
        <v/>
      </c>
      <c r="Z12" s="30" t="str">
        <f>INDEX(Д1!$E$4:$AI$13,MATCH($D12,Д1!$D$4:$D$13),MATCH(Z$7,Д1!$E$3:$AI$3))</f>
        <v/>
      </c>
      <c r="AA12" s="30" t="str">
        <f>INDEX(Д1!$E$4:$AI$13,MATCH($D12,Д1!$D$4:$D$13),MATCH(AA$7,Д1!$E$3:$AI$3))</f>
        <v/>
      </c>
      <c r="AB12" s="30" t="str">
        <f>INDEX(Д1!$E$4:$AI$13,MATCH($D12,Д1!$D$4:$D$13),MATCH(AB$7,Д1!$E$3:$AI$3))</f>
        <v/>
      </c>
      <c r="AC12" s="30" t="str">
        <f>INDEX(Д1!$E$4:$AI$13,MATCH($D12,Д1!$D$4:$D$13),MATCH(AC$7,Д1!$E$3:$AI$3))</f>
        <v/>
      </c>
      <c r="AD12" s="30" t="str">
        <f>INDEX(Д1!$E$4:$AI$13,MATCH($D12,Д1!$D$4:$D$13),MATCH(AD$7,Д1!$E$3:$AI$3))</f>
        <v/>
      </c>
      <c r="AE12" s="30" t="str">
        <f>INDEX(Д1!$E$4:$AI$13,MATCH($D12,Д1!$D$4:$D$13),MATCH(AE$7,Д1!$E$3:$AI$3))</f>
        <v/>
      </c>
      <c r="AF12" s="30" t="str">
        <f>INDEX(Д1!$E$4:$AI$13,MATCH($D12,Д1!$D$4:$D$13),MATCH(AF$7,Д1!$E$3:$AI$3))</f>
        <v/>
      </c>
      <c r="AG12" s="30"/>
      <c r="AH12" s="30"/>
      <c r="AI12" s="103"/>
      <c r="AJ12" s="143"/>
      <c r="AK12" s="145"/>
      <c r="AL12" s="155"/>
      <c r="AM12" s="150"/>
      <c r="AP12" s="136"/>
      <c r="AQ12" s="136"/>
      <c r="AR12" s="136"/>
      <c r="AS12" s="136"/>
      <c r="AT12" s="136"/>
      <c r="AU12" s="136"/>
      <c r="AV12" s="136"/>
      <c r="AW12" s="137"/>
      <c r="AX12" s="137"/>
    </row>
    <row r="13" spans="1:50" ht="16.5" thickBot="1" x14ac:dyDescent="0.3">
      <c r="A13" s="147"/>
      <c r="B13" s="139" t="s">
        <v>82</v>
      </c>
      <c r="C13" s="170">
        <v>3</v>
      </c>
      <c r="D13" s="49">
        <v>5</v>
      </c>
      <c r="E13" s="62">
        <f ca="1">INDEX(Д1!$E$14:$AI$23,MATCH($D13,Д1!$D$14:$D$23),MATCH(E$7,Д1!$E$3:$AI$3))</f>
        <v>4</v>
      </c>
      <c r="F13" s="28">
        <f ca="1">INDEX(Д1!$E$4:$AI$13,MATCH($D13,Д1!$D$4:$D$13),MATCH(F$7,Д1!$E$3:$AI$3))</f>
        <v>12</v>
      </c>
      <c r="G13" s="28">
        <f ca="1">INDEX(Д1!$E$4:$AI$13,MATCH($D13,Д1!$D$4:$D$13),MATCH(G$7,Д1!$E$3:$AI$3))</f>
        <v>8</v>
      </c>
      <c r="H13" s="28">
        <f ca="1">INDEX(Д1!$E$4:$AI$13,MATCH($D13,Д1!$D$4:$D$13),MATCH(H$7,Д1!$E$3:$AI$3))</f>
        <v>0</v>
      </c>
      <c r="I13" s="28">
        <f ca="1">INDEX(Д1!$E$4:$AI$13,MATCH($D13,Д1!$D$4:$D$13),MATCH(I$7,Д1!$E$3:$AI$3))</f>
        <v>4</v>
      </c>
      <c r="J13" s="28">
        <f ca="1">INDEX(Д1!$E$4:$AI$13,MATCH($D13,Д1!$D$4:$D$13),MATCH(J$7,Д1!$E$3:$AI$3))</f>
        <v>8</v>
      </c>
      <c r="K13" s="28">
        <f ca="1">INDEX(Д1!$E$4:$AI$13,MATCH($D13,Д1!$D$4:$D$13),MATCH(K$7,Д1!$E$3:$AI$3))</f>
        <v>12</v>
      </c>
      <c r="L13" s="28">
        <f ca="1">INDEX(Д1!$E$4:$AI$13,MATCH($D13,Д1!$D$4:$D$13),MATCH(L$7,Д1!$E$3:$AI$3))</f>
        <v>4</v>
      </c>
      <c r="M13" s="28">
        <f ca="1">INDEX(Д1!$E$4:$AI$13,MATCH($D13,Д1!$D$4:$D$13),MATCH(M$7,Д1!$E$3:$AI$3))</f>
        <v>8</v>
      </c>
      <c r="N13" s="28">
        <f ca="1">INDEX(Д1!$E$4:$AI$13,MATCH($D13,Д1!$D$4:$D$13),MATCH(N$7,Д1!$E$3:$AI$3))</f>
        <v>12</v>
      </c>
      <c r="O13" s="28">
        <f ca="1">INDEX(Д1!$E$4:$AI$13,MATCH($D13,Д1!$D$4:$D$13),MATCH(O$7,Д1!$E$3:$AI$3))</f>
        <v>0</v>
      </c>
      <c r="P13" s="28">
        <f ca="1">INDEX(Д1!$E$4:$AI$13,MATCH($D13,Д1!$D$4:$D$13),MATCH(P$7,Д1!$E$3:$AI$3))</f>
        <v>0</v>
      </c>
      <c r="Q13" s="28">
        <f ca="1">INDEX(Д1!$E$4:$AI$13,MATCH($D13,Д1!$D$4:$D$13),MATCH(Q$7,Д1!$E$3:$AI$3))</f>
        <v>4</v>
      </c>
      <c r="R13" s="28">
        <f ca="1">INDEX(Д1!$E$4:$AI$13,MATCH($D13,Д1!$D$4:$D$13),MATCH(R$7,Д1!$E$3:$AI$3))</f>
        <v>8</v>
      </c>
      <c r="S13" s="28">
        <f ca="1">INDEX(Д1!$E$4:$AI$13,MATCH($D13,Д1!$D$4:$D$13),MATCH(S$7,Д1!$E$3:$AI$3))</f>
        <v>12</v>
      </c>
      <c r="T13" s="28">
        <f ca="1">INDEX(Д1!$E$4:$AI$13,MATCH($D13,Д1!$D$4:$D$13),MATCH(T$7,Д1!$E$3:$AI$3))</f>
        <v>4</v>
      </c>
      <c r="U13" s="28">
        <f ca="1">INDEX(Д1!$E$4:$AI$13,MATCH($D13,Д1!$D$4:$D$13),MATCH(U$7,Д1!$E$3:$AI$3))</f>
        <v>8</v>
      </c>
      <c r="V13" s="28">
        <f ca="1">INDEX(Д1!$E$4:$AI$13,MATCH($D13,Д1!$D$4:$D$13),MATCH(V$7,Д1!$E$3:$AI$3))</f>
        <v>12</v>
      </c>
      <c r="W13" s="28">
        <f ca="1">INDEX(Д1!$E$4:$AI$13,MATCH($D13,Д1!$D$4:$D$13),MATCH(W$7,Д1!$E$3:$AI$3))</f>
        <v>0</v>
      </c>
      <c r="X13" s="28">
        <f ca="1">INDEX(Д1!$E$4:$AI$13,MATCH($D13,Д1!$D$4:$D$13),MATCH(X$7,Д1!$E$3:$AI$3))</f>
        <v>0</v>
      </c>
      <c r="Y13" s="28">
        <f ca="1">INDEX(Д1!$E$4:$AI$13,MATCH($D13,Д1!$D$4:$D$13),MATCH(Y$7,Д1!$E$3:$AI$3))</f>
        <v>4</v>
      </c>
      <c r="Z13" s="28">
        <f ca="1">INDEX(Д1!$E$4:$AI$13,MATCH($D13,Д1!$D$4:$D$13),MATCH(Z$7,Д1!$E$3:$AI$3))</f>
        <v>8</v>
      </c>
      <c r="AA13" s="28">
        <f ca="1">INDEX(Д1!$E$4:$AI$13,MATCH($D13,Д1!$D$4:$D$13),MATCH(AA$7,Д1!$E$3:$AI$3))</f>
        <v>12</v>
      </c>
      <c r="AB13" s="28">
        <f ca="1">INDEX(Д1!$E$4:$AI$13,MATCH($D13,Д1!$D$4:$D$13),MATCH(AB$7,Д1!$E$3:$AI$3))</f>
        <v>4</v>
      </c>
      <c r="AC13" s="28">
        <f ca="1">INDEX(Д1!$E$4:$AI$13,MATCH($D13,Д1!$D$4:$D$13),MATCH(AC$7,Д1!$E$3:$AI$3))</f>
        <v>8</v>
      </c>
      <c r="AD13" s="28">
        <f ca="1">INDEX(Д1!$E$4:$AI$13,MATCH($D13,Д1!$D$4:$D$13),MATCH(AD$7,Д1!$E$3:$AI$3))</f>
        <v>12</v>
      </c>
      <c r="AE13" s="28">
        <f ca="1">INDEX(Д1!$E$4:$AI$13,MATCH($D13,Д1!$D$4:$D$13),MATCH(AE$7,Д1!$E$3:$AI$3))</f>
        <v>0</v>
      </c>
      <c r="AF13" s="28">
        <f ca="1">INDEX(Д1!$E$4:$AI$13,MATCH($D13,Д1!$D$4:$D$13),MATCH(AF$7,Д1!$E$3:$AI$3))</f>
        <v>0</v>
      </c>
      <c r="AG13" s="28"/>
      <c r="AH13" s="28"/>
      <c r="AI13" s="100"/>
      <c r="AJ13" s="143">
        <f>INDEX(Д1!AK$14:$AK$23,MATCH($C13,Д1!$C$14:$C$23),MATCH(E$7,Д1!$E$3:$AI$3))*AND(MONTH($E$8)=MONTH(Д1!$B$14))</f>
        <v>160</v>
      </c>
      <c r="AK13" s="144">
        <f ca="1">SUM(E13:K14)</f>
        <v>48</v>
      </c>
      <c r="AL13" s="144"/>
      <c r="AM13" s="149">
        <f ca="1">SUM(F13:H14,J13:AI14)-AJ13+AL13-12</f>
        <v>-12</v>
      </c>
      <c r="AP13" s="136">
        <f t="shared" ref="AP13" ca="1" si="9">COUNTIF($E13:$AI14,"12")</f>
        <v>7</v>
      </c>
      <c r="AQ13" s="136">
        <f t="shared" ref="AQ13" ca="1" si="10">IF(COUNTIF($E13:$AI14,"СП")&gt;=1,(COUNTIF($E13:$AI14,"4")+COUNTIF($E13:$AI14,"8")-1)/2,(COUNTIF($E13:$AI14,"4")+COUNTIF($E13:$AI14,"8"))/2)</f>
        <v>6.5</v>
      </c>
      <c r="AR13" s="136">
        <f t="shared" ca="1" si="2"/>
        <v>84</v>
      </c>
      <c r="AS13" s="136">
        <f t="shared" ref="AS13" ca="1" si="11">IF(COUNTIF($E13:$AI14,"СП")&gt;=1,SUMIF($E13:$AI14,"4",$E13:$AI14)+SUMIF($E13:$AI14,"8",$E13:$AI14)-8,SUMIF($E13:$AI14,"4",$E13:$AI14)+SUMIF($E13:$AI14,"8",$E13:$AI14))</f>
        <v>76</v>
      </c>
      <c r="AT13" s="136">
        <f t="shared" ref="AT13" ca="1" si="12">$AR13+$AS13</f>
        <v>160</v>
      </c>
      <c r="AU13" s="136" t="str">
        <f t="shared" ref="AU13" ca="1" si="13">IF(AK13=AT13,"+","!")</f>
        <v>!</v>
      </c>
      <c r="AV13" s="136">
        <f ca="1">COUNTIF($E13:$AI14,"ОТ")</f>
        <v>0</v>
      </c>
      <c r="AW13" s="137" t="str">
        <f ca="1">IF(COUNTIF($A14:$AI14,"СП")&gt;0,IF(INDIRECT(ADDRESS(ROW(),MATCH("СП",$A14:$AI14),1))=8,"","!"),"")</f>
        <v>!</v>
      </c>
      <c r="AX13" s="137" t="str">
        <f ca="1">IF(COUNTIF($A14:$AI14,"СП")&gt;0,IF(INDIRECT(ADDRESS(ROW(),MATCH("СП",$A14:$AI14)-1,1))=4,"!",""),"")</f>
        <v/>
      </c>
    </row>
    <row r="14" spans="1:50" ht="16.5" thickBot="1" x14ac:dyDescent="0.3">
      <c r="A14" s="147"/>
      <c r="B14" s="139"/>
      <c r="C14" s="171"/>
      <c r="D14" s="50">
        <v>6</v>
      </c>
      <c r="E14" s="63" t="str">
        <f>INDEX(Д1!$E$14:$AI$23,MATCH($D14,Д1!$D$14:$D$23),MATCH(E$7,Д1!$E$3:$AI$3))</f>
        <v/>
      </c>
      <c r="F14" s="29" t="str">
        <f>INDEX(Д1!$E$4:$AI$13,MATCH($D14,Д1!$D$4:$D$13),MATCH(F$7,Д1!$E$3:$AI$3))</f>
        <v/>
      </c>
      <c r="G14" s="29" t="str">
        <f>INDEX(Д1!$E$4:$AI$13,MATCH($D14,Д1!$D$4:$D$13),MATCH(G$7,Д1!$E$3:$AI$3))</f>
        <v>СП</v>
      </c>
      <c r="H14" s="29" t="str">
        <f>INDEX(Д1!$E$4:$AI$13,MATCH($D14,Д1!$D$4:$D$13),MATCH(H$7,Д1!$E$3:$AI$3))</f>
        <v/>
      </c>
      <c r="I14" s="29" t="str">
        <f>INDEX(Д1!$E$4:$AI$13,MATCH($D14,Д1!$D$4:$D$13),MATCH(I$7,Д1!$E$3:$AI$3))</f>
        <v/>
      </c>
      <c r="J14" s="29" t="str">
        <f>INDEX(Д1!$E$4:$AI$13,MATCH($D14,Д1!$D$4:$D$13),MATCH(J$7,Д1!$E$3:$AI$3))</f>
        <v/>
      </c>
      <c r="K14" s="29" t="str">
        <f>INDEX(Д1!$E$4:$AI$13,MATCH($D14,Д1!$D$4:$D$13),MATCH(K$7,Д1!$E$3:$AI$3))</f>
        <v/>
      </c>
      <c r="L14" s="29" t="str">
        <f>INDEX(Д1!$E$4:$AI$13,MATCH($D14,Д1!$D$4:$D$13),MATCH(L$7,Д1!$E$3:$AI$3))</f>
        <v/>
      </c>
      <c r="M14" s="29" t="str">
        <f>INDEX(Д1!$E$4:$AI$13,MATCH($D14,Д1!$D$4:$D$13),MATCH(M$7,Д1!$E$3:$AI$3))</f>
        <v/>
      </c>
      <c r="N14" s="29" t="str">
        <f>INDEX(Д1!$E$4:$AI$13,MATCH($D14,Д1!$D$4:$D$13),MATCH(N$7,Д1!$E$3:$AI$3))</f>
        <v/>
      </c>
      <c r="O14" s="29" t="str">
        <f>INDEX(Д1!$E$4:$AI$13,MATCH($D14,Д1!$D$4:$D$13),MATCH(O$7,Д1!$E$3:$AI$3))</f>
        <v/>
      </c>
      <c r="P14" s="29" t="str">
        <f>INDEX(Д1!$E$4:$AI$13,MATCH($D14,Д1!$D$4:$D$13),MATCH(P$7,Д1!$E$3:$AI$3))</f>
        <v/>
      </c>
      <c r="Q14" s="29" t="str">
        <f>INDEX(Д1!$E$4:$AI$13,MATCH($D14,Д1!$D$4:$D$13),MATCH(Q$7,Д1!$E$3:$AI$3))</f>
        <v/>
      </c>
      <c r="R14" s="29" t="str">
        <f>INDEX(Д1!$E$4:$AI$13,MATCH($D14,Д1!$D$4:$D$13),MATCH(R$7,Д1!$E$3:$AI$3))</f>
        <v/>
      </c>
      <c r="S14" s="29" t="str">
        <f>INDEX(Д1!$E$4:$AI$13,MATCH($D14,Д1!$D$4:$D$13),MATCH(S$7,Д1!$E$3:$AI$3))</f>
        <v/>
      </c>
      <c r="T14" s="29" t="str">
        <f>INDEX(Д1!$E$4:$AI$13,MATCH($D14,Д1!$D$4:$D$13),MATCH(T$7,Д1!$E$3:$AI$3))</f>
        <v/>
      </c>
      <c r="U14" s="29" t="str">
        <f>INDEX(Д1!$E$4:$AI$13,MATCH($D14,Д1!$D$4:$D$13),MATCH(U$7,Д1!$E$3:$AI$3))</f>
        <v/>
      </c>
      <c r="V14" s="29" t="str">
        <f>INDEX(Д1!$E$4:$AI$13,MATCH($D14,Д1!$D$4:$D$13),MATCH(V$7,Д1!$E$3:$AI$3))</f>
        <v/>
      </c>
      <c r="W14" s="29" t="str">
        <f>INDEX(Д1!$E$4:$AI$13,MATCH($D14,Д1!$D$4:$D$13),MATCH(W$7,Д1!$E$3:$AI$3))</f>
        <v/>
      </c>
      <c r="X14" s="29" t="str">
        <f>INDEX(Д1!$E$4:$AI$13,MATCH($D14,Д1!$D$4:$D$13),MATCH(X$7,Д1!$E$3:$AI$3))</f>
        <v/>
      </c>
      <c r="Y14" s="29" t="str">
        <f>INDEX(Д1!$E$4:$AI$13,MATCH($D14,Д1!$D$4:$D$13),MATCH(Y$7,Д1!$E$3:$AI$3))</f>
        <v/>
      </c>
      <c r="Z14" s="29" t="str">
        <f>INDEX(Д1!$E$4:$AI$13,MATCH($D14,Д1!$D$4:$D$13),MATCH(Z$7,Д1!$E$3:$AI$3))</f>
        <v/>
      </c>
      <c r="AA14" s="29" t="str">
        <f>INDEX(Д1!$E$4:$AI$13,MATCH($D14,Д1!$D$4:$D$13),MATCH(AA$7,Д1!$E$3:$AI$3))</f>
        <v/>
      </c>
      <c r="AB14" s="29" t="str">
        <f>INDEX(Д1!$E$4:$AI$13,MATCH($D14,Д1!$D$4:$D$13),MATCH(AB$7,Д1!$E$3:$AI$3))</f>
        <v/>
      </c>
      <c r="AC14" s="29" t="str">
        <f>INDEX(Д1!$E$4:$AI$13,MATCH($D14,Д1!$D$4:$D$13),MATCH(AC$7,Д1!$E$3:$AI$3))</f>
        <v/>
      </c>
      <c r="AD14" s="29" t="str">
        <f>INDEX(Д1!$E$4:$AI$13,MATCH($D14,Д1!$D$4:$D$13),MATCH(AD$7,Д1!$E$3:$AI$3))</f>
        <v/>
      </c>
      <c r="AE14" s="29" t="str">
        <f>INDEX(Д1!$E$4:$AI$13,MATCH($D14,Д1!$D$4:$D$13),MATCH(AE$7,Д1!$E$3:$AI$3))</f>
        <v/>
      </c>
      <c r="AF14" s="29" t="str">
        <f>INDEX(Д1!$E$4:$AI$13,MATCH($D14,Д1!$D$4:$D$13),MATCH(AF$7,Д1!$E$3:$AI$3))</f>
        <v/>
      </c>
      <c r="AG14" s="29"/>
      <c r="AH14" s="29"/>
      <c r="AI14" s="101"/>
      <c r="AJ14" s="143"/>
      <c r="AK14" s="145"/>
      <c r="AL14" s="145"/>
      <c r="AM14" s="150"/>
      <c r="AP14" s="136"/>
      <c r="AQ14" s="136"/>
      <c r="AR14" s="136"/>
      <c r="AS14" s="136"/>
      <c r="AT14" s="136"/>
      <c r="AU14" s="136"/>
      <c r="AV14" s="136"/>
      <c r="AW14" s="137"/>
      <c r="AX14" s="137"/>
    </row>
    <row r="15" spans="1:50" ht="16.5" customHeight="1" thickBot="1" x14ac:dyDescent="0.3">
      <c r="A15" s="147"/>
      <c r="B15" s="139" t="s">
        <v>83</v>
      </c>
      <c r="C15" s="170">
        <v>4</v>
      </c>
      <c r="D15" s="49">
        <v>7</v>
      </c>
      <c r="E15" s="64">
        <f ca="1">INDEX(Д1!$E$14:$AI$23,MATCH($D15,Д1!$D$14:$D$23),MATCH(E$7,Д1!$E$3:$AI$3))</f>
        <v>8</v>
      </c>
      <c r="F15" s="27">
        <f ca="1">INDEX(Д1!$E$4:$AI$13,MATCH($D15,Д1!$D$4:$D$13),MATCH(F$7,Д1!$E$3:$AI$3))</f>
        <v>4</v>
      </c>
      <c r="G15" s="27">
        <f ca="1">INDEX(Д1!$E$4:$AI$13,MATCH($D15,Д1!$D$4:$D$13),MATCH(G$7,Д1!$E$3:$AI$3))</f>
        <v>8</v>
      </c>
      <c r="H15" s="27">
        <f ca="1">INDEX(Д1!$E$4:$AI$13,MATCH($D15,Д1!$D$4:$D$13),MATCH(H$7,Д1!$E$3:$AI$3))</f>
        <v>12</v>
      </c>
      <c r="I15" s="27">
        <f ca="1">INDEX(Д1!$E$4:$AI$13,MATCH($D15,Д1!$D$4:$D$13),MATCH(I$7,Д1!$E$3:$AI$3))</f>
        <v>0</v>
      </c>
      <c r="J15" s="27">
        <f ca="1">INDEX(Д1!$E$4:$AI$13,MATCH($D15,Д1!$D$4:$D$13),MATCH(J$7,Д1!$E$3:$AI$3))</f>
        <v>0</v>
      </c>
      <c r="K15" s="27">
        <f ca="1">INDEX(Д1!$E$4:$AI$13,MATCH($D15,Д1!$D$4:$D$13),MATCH(K$7,Д1!$E$3:$AI$3))</f>
        <v>4</v>
      </c>
      <c r="L15" s="27">
        <f ca="1">INDEX(Д1!$E$4:$AI$13,MATCH($D15,Д1!$D$4:$D$13),MATCH(L$7,Д1!$E$3:$AI$3))</f>
        <v>8</v>
      </c>
      <c r="M15" s="27">
        <f ca="1">INDEX(Д1!$E$4:$AI$13,MATCH($D15,Д1!$D$4:$D$13),MATCH(M$7,Д1!$E$3:$AI$3))</f>
        <v>12</v>
      </c>
      <c r="N15" s="27">
        <f ca="1">INDEX(Д1!$E$4:$AI$13,MATCH($D15,Д1!$D$4:$D$13),MATCH(N$7,Д1!$E$3:$AI$3))</f>
        <v>4</v>
      </c>
      <c r="O15" s="27">
        <f ca="1">INDEX(Д1!$E$4:$AI$13,MATCH($D15,Д1!$D$4:$D$13),MATCH(O$7,Д1!$E$3:$AI$3))</f>
        <v>8</v>
      </c>
      <c r="P15" s="27">
        <f ca="1">INDEX(Д1!$E$4:$AI$13,MATCH($D15,Д1!$D$4:$D$13),MATCH(P$7,Д1!$E$3:$AI$3))</f>
        <v>12</v>
      </c>
      <c r="Q15" s="27">
        <f ca="1">INDEX(Д1!$E$4:$AI$13,MATCH($D15,Д1!$D$4:$D$13),MATCH(Q$7,Д1!$E$3:$AI$3))</f>
        <v>0</v>
      </c>
      <c r="R15" s="27">
        <f ca="1">INDEX(Д1!$E$4:$AI$13,MATCH($D15,Д1!$D$4:$D$13),MATCH(R$7,Д1!$E$3:$AI$3))</f>
        <v>0</v>
      </c>
      <c r="S15" s="27">
        <f ca="1">INDEX(Д1!$E$4:$AI$13,MATCH($D15,Д1!$D$4:$D$13),MATCH(S$7,Д1!$E$3:$AI$3))</f>
        <v>4</v>
      </c>
      <c r="T15" s="27">
        <f ca="1">INDEX(Д1!$E$4:$AI$13,MATCH($D15,Д1!$D$4:$D$13),MATCH(T$7,Д1!$E$3:$AI$3))</f>
        <v>8</v>
      </c>
      <c r="U15" s="27">
        <f ca="1">INDEX(Д1!$E$4:$AI$13,MATCH($D15,Д1!$D$4:$D$13),MATCH(U$7,Д1!$E$3:$AI$3))</f>
        <v>12</v>
      </c>
      <c r="V15" s="27">
        <f ca="1">INDEX(Д1!$E$4:$AI$13,MATCH($D15,Д1!$D$4:$D$13),MATCH(V$7,Д1!$E$3:$AI$3))</f>
        <v>4</v>
      </c>
      <c r="W15" s="27">
        <f ca="1">INDEX(Д1!$E$4:$AI$13,MATCH($D15,Д1!$D$4:$D$13),MATCH(W$7,Д1!$E$3:$AI$3))</f>
        <v>8</v>
      </c>
      <c r="X15" s="27">
        <f ca="1">INDEX(Д1!$E$4:$AI$13,MATCH($D15,Д1!$D$4:$D$13),MATCH(X$7,Д1!$E$3:$AI$3))</f>
        <v>12</v>
      </c>
      <c r="Y15" s="27">
        <f ca="1">INDEX(Д1!$E$4:$AI$13,MATCH($D15,Д1!$D$4:$D$13),MATCH(Y$7,Д1!$E$3:$AI$3))</f>
        <v>0</v>
      </c>
      <c r="Z15" s="27">
        <f ca="1">INDEX(Д1!$E$4:$AI$13,MATCH($D15,Д1!$D$4:$D$13),MATCH(Z$7,Д1!$E$3:$AI$3))</f>
        <v>0</v>
      </c>
      <c r="AA15" s="27">
        <f ca="1">INDEX(Д1!$E$4:$AI$13,MATCH($D15,Д1!$D$4:$D$13),MATCH(AA$7,Д1!$E$3:$AI$3))</f>
        <v>4</v>
      </c>
      <c r="AB15" s="27">
        <f ca="1">INDEX(Д1!$E$4:$AI$13,MATCH($D15,Д1!$D$4:$D$13),MATCH(AB$7,Д1!$E$3:$AI$3))</f>
        <v>8</v>
      </c>
      <c r="AC15" s="27">
        <f ca="1">INDEX(Д1!$E$4:$AI$13,MATCH($D15,Д1!$D$4:$D$13),MATCH(AC$7,Д1!$E$3:$AI$3))</f>
        <v>12</v>
      </c>
      <c r="AD15" s="27">
        <f ca="1">INDEX(Д1!$E$4:$AI$13,MATCH($D15,Д1!$D$4:$D$13),MATCH(AD$7,Д1!$E$3:$AI$3))</f>
        <v>4</v>
      </c>
      <c r="AE15" s="27">
        <f ca="1">INDEX(Д1!$E$4:$AI$13,MATCH($D15,Д1!$D$4:$D$13),MATCH(AE$7,Д1!$E$3:$AI$3))</f>
        <v>8</v>
      </c>
      <c r="AF15" s="27">
        <f ca="1">INDEX(Д1!$E$4:$AI$13,MATCH($D15,Д1!$D$4:$D$13),MATCH(AF$7,Д1!$E$3:$AI$3))</f>
        <v>12</v>
      </c>
      <c r="AG15" s="27"/>
      <c r="AH15" s="27"/>
      <c r="AI15" s="102"/>
      <c r="AJ15" s="143">
        <f>INDEX(Д1!AK$14:$AK$23,MATCH($C15,Д1!$C$14:$C$23),MATCH(E$7,Д1!$E$3:$AI$3))*AND(MONTH($E$8)=MONTH(Д1!$B$14))</f>
        <v>160</v>
      </c>
      <c r="AK15" s="144">
        <f ca="1">SUM(E15:AI16)</f>
        <v>176</v>
      </c>
      <c r="AL15" s="155"/>
      <c r="AM15" s="149">
        <f ca="1">SUM(F15:H16,J15:AI16)-AJ15+AL15-12</f>
        <v>-4</v>
      </c>
      <c r="AP15" s="136">
        <f t="shared" ref="AP15" ca="1" si="14">COUNTIF($E15:$AI16,"12")</f>
        <v>7</v>
      </c>
      <c r="AQ15" s="136">
        <f t="shared" ref="AQ15" ca="1" si="15">IF(COUNTIF($E15:$AI16,"СП")&gt;=1,(COUNTIF($E15:$AI16,"4")+COUNTIF($E15:$AI16,"8")-1)/2,(COUNTIF($E15:$AI16,"4")+COUNTIF($E15:$AI16,"8"))/2)</f>
        <v>7</v>
      </c>
      <c r="AR15" s="136">
        <f t="shared" ca="1" si="2"/>
        <v>84</v>
      </c>
      <c r="AS15" s="136">
        <f t="shared" ref="AS15" ca="1" si="16">IF(COUNTIF($E15:$AI16,"СП")&gt;=1,SUMIF($E15:$AI16,"4",$E15:$AI16)+SUMIF($E15:$AI16,"8",$E15:$AI16)-8,SUMIF($E15:$AI16,"4",$E15:$AI16)+SUMIF($E15:$AI16,"8",$E15:$AI16))</f>
        <v>84</v>
      </c>
      <c r="AT15" s="136">
        <f t="shared" ref="AT15" ca="1" si="17">$AR15+$AS15</f>
        <v>168</v>
      </c>
      <c r="AU15" s="136" t="str">
        <f t="shared" ref="AU15" ca="1" si="18">IF(AK15=AT15,"+","!")</f>
        <v>!</v>
      </c>
      <c r="AV15" s="136">
        <f t="shared" ref="AV15" ca="1" si="19">COUNTIF($E15:$AI16,"ОТ")</f>
        <v>0</v>
      </c>
      <c r="AW15" s="137" t="str">
        <f ca="1">IF(COUNTIF($A16:$AI16,"СП")&gt;0,IF(INDIRECT(ADDRESS(ROW(),MATCH("СП",$A16:$AI16),1))=8,"","!"),"")</f>
        <v>!</v>
      </c>
      <c r="AX15" s="137" t="str">
        <f ca="1">IF(COUNTIF($A16:$AI16,"СП")&gt;0,IF(INDIRECT(ADDRESS(ROW(),MATCH("СП",$A16:$AI16)-1,1))=4,"!",""),"")</f>
        <v/>
      </c>
    </row>
    <row r="16" spans="1:50" ht="16.5" thickBot="1" x14ac:dyDescent="0.3">
      <c r="A16" s="147"/>
      <c r="B16" s="139"/>
      <c r="C16" s="171"/>
      <c r="D16" s="50">
        <v>8</v>
      </c>
      <c r="E16" s="65" t="str">
        <f>INDEX(Д1!$E$14:$AI$23,MATCH($D16,Д1!$D$14:$D$23),MATCH(E$7,Д1!$E$3:$AI$3))</f>
        <v/>
      </c>
      <c r="F16" s="30" t="str">
        <f>INDEX(Д1!$E$4:$AI$13,MATCH($D16,Д1!$D$4:$D$13),MATCH(F$7,Д1!$E$3:$AI$3))</f>
        <v/>
      </c>
      <c r="G16" s="30" t="str">
        <f>INDEX(Д1!$E$4:$AI$13,MATCH($D16,Д1!$D$4:$D$13),MATCH(G$7,Д1!$E$3:$AI$3))</f>
        <v/>
      </c>
      <c r="H16" s="30" t="str">
        <f>INDEX(Д1!$E$4:$AI$13,MATCH($D16,Д1!$D$4:$D$13),MATCH(H$7,Д1!$E$3:$AI$3))</f>
        <v>СП</v>
      </c>
      <c r="I16" s="30" t="str">
        <f>INDEX(Д1!$E$4:$AI$13,MATCH($D16,Д1!$D$4:$D$13),MATCH(I$7,Д1!$E$3:$AI$3))</f>
        <v/>
      </c>
      <c r="J16" s="30" t="str">
        <f>INDEX(Д1!$E$4:$AI$13,MATCH($D16,Д1!$D$4:$D$13),MATCH(J$7,Д1!$E$3:$AI$3))</f>
        <v/>
      </c>
      <c r="K16" s="30" t="str">
        <f>INDEX(Д1!$E$4:$AI$13,MATCH($D16,Д1!$D$4:$D$13),MATCH(K$7,Д1!$E$3:$AI$3))</f>
        <v/>
      </c>
      <c r="L16" s="30" t="str">
        <f>INDEX(Д1!$E$4:$AI$13,MATCH($D16,Д1!$D$4:$D$13),MATCH(L$7,Д1!$E$3:$AI$3))</f>
        <v/>
      </c>
      <c r="M16" s="30" t="str">
        <f>INDEX(Д1!$E$4:$AI$13,MATCH($D16,Д1!$D$4:$D$13),MATCH(M$7,Д1!$E$3:$AI$3))</f>
        <v/>
      </c>
      <c r="N16" s="30" t="str">
        <f>INDEX(Д1!$E$4:$AI$13,MATCH($D16,Д1!$D$4:$D$13),MATCH(N$7,Д1!$E$3:$AI$3))</f>
        <v/>
      </c>
      <c r="O16" s="30" t="str">
        <f>INDEX(Д1!$E$4:$AI$13,MATCH($D16,Д1!$D$4:$D$13),MATCH(O$7,Д1!$E$3:$AI$3))</f>
        <v/>
      </c>
      <c r="P16" s="30" t="str">
        <f>INDEX(Д1!$E$4:$AI$13,MATCH($D16,Д1!$D$4:$D$13),MATCH(P$7,Д1!$E$3:$AI$3))</f>
        <v/>
      </c>
      <c r="Q16" s="30" t="str">
        <f>INDEX(Д1!$E$4:$AI$13,MATCH($D16,Д1!$D$4:$D$13),MATCH(Q$7,Д1!$E$3:$AI$3))</f>
        <v/>
      </c>
      <c r="R16" s="30" t="str">
        <f>INDEX(Д1!$E$4:$AI$13,MATCH($D16,Д1!$D$4:$D$13),MATCH(R$7,Д1!$E$3:$AI$3))</f>
        <v/>
      </c>
      <c r="S16" s="30" t="str">
        <f>INDEX(Д1!$E$4:$AI$13,MATCH($D16,Д1!$D$4:$D$13),MATCH(S$7,Д1!$E$3:$AI$3))</f>
        <v/>
      </c>
      <c r="T16" s="30" t="str">
        <f>INDEX(Д1!$E$4:$AI$13,MATCH($D16,Д1!$D$4:$D$13),MATCH(T$7,Д1!$E$3:$AI$3))</f>
        <v/>
      </c>
      <c r="U16" s="30" t="str">
        <f>INDEX(Д1!$E$4:$AI$13,MATCH($D16,Д1!$D$4:$D$13),MATCH(U$7,Д1!$E$3:$AI$3))</f>
        <v/>
      </c>
      <c r="V16" s="30" t="str">
        <f>INDEX(Д1!$E$4:$AI$13,MATCH($D16,Д1!$D$4:$D$13),MATCH(V$7,Д1!$E$3:$AI$3))</f>
        <v/>
      </c>
      <c r="W16" s="30" t="str">
        <f>INDEX(Д1!$E$4:$AI$13,MATCH($D16,Д1!$D$4:$D$13),MATCH(W$7,Д1!$E$3:$AI$3))</f>
        <v/>
      </c>
      <c r="X16" s="30" t="str">
        <f>INDEX(Д1!$E$4:$AI$13,MATCH($D16,Д1!$D$4:$D$13),MATCH(X$7,Д1!$E$3:$AI$3))</f>
        <v/>
      </c>
      <c r="Y16" s="30" t="str">
        <f>INDEX(Д1!$E$4:$AI$13,MATCH($D16,Д1!$D$4:$D$13),MATCH(Y$7,Д1!$E$3:$AI$3))</f>
        <v/>
      </c>
      <c r="Z16" s="30" t="str">
        <f>INDEX(Д1!$E$4:$AI$13,MATCH($D16,Д1!$D$4:$D$13),MATCH(Z$7,Д1!$E$3:$AI$3))</f>
        <v/>
      </c>
      <c r="AA16" s="30" t="str">
        <f>INDEX(Д1!$E$4:$AI$13,MATCH($D16,Д1!$D$4:$D$13),MATCH(AA$7,Д1!$E$3:$AI$3))</f>
        <v/>
      </c>
      <c r="AB16" s="30" t="str">
        <f>INDEX(Д1!$E$4:$AI$13,MATCH($D16,Д1!$D$4:$D$13),MATCH(AB$7,Д1!$E$3:$AI$3))</f>
        <v/>
      </c>
      <c r="AC16" s="30" t="str">
        <f>INDEX(Д1!$E$4:$AI$13,MATCH($D16,Д1!$D$4:$D$13),MATCH(AC$7,Д1!$E$3:$AI$3))</f>
        <v/>
      </c>
      <c r="AD16" s="30" t="str">
        <f>INDEX(Д1!$E$4:$AI$13,MATCH($D16,Д1!$D$4:$D$13),MATCH(AD$7,Д1!$E$3:$AI$3))</f>
        <v/>
      </c>
      <c r="AE16" s="30" t="str">
        <f>INDEX(Д1!$E$4:$AI$13,MATCH($D16,Д1!$D$4:$D$13),MATCH(AE$7,Д1!$E$3:$AI$3))</f>
        <v/>
      </c>
      <c r="AF16" s="30" t="str">
        <f>INDEX(Д1!$E$4:$AI$13,MATCH($D16,Д1!$D$4:$D$13),MATCH(AF$7,Д1!$E$3:$AI$3))</f>
        <v/>
      </c>
      <c r="AG16" s="30"/>
      <c r="AH16" s="30"/>
      <c r="AI16" s="104"/>
      <c r="AJ16" s="143"/>
      <c r="AK16" s="145"/>
      <c r="AL16" s="145"/>
      <c r="AM16" s="150"/>
      <c r="AP16" s="136"/>
      <c r="AQ16" s="136"/>
      <c r="AR16" s="136"/>
      <c r="AS16" s="136"/>
      <c r="AT16" s="136"/>
      <c r="AU16" s="136"/>
      <c r="AV16" s="136"/>
      <c r="AW16" s="137"/>
      <c r="AX16" s="137"/>
    </row>
    <row r="17" spans="1:50" ht="16.5" customHeight="1" thickBot="1" x14ac:dyDescent="0.3">
      <c r="A17" s="147"/>
      <c r="B17" s="139" t="s">
        <v>84</v>
      </c>
      <c r="C17" s="170">
        <v>5</v>
      </c>
      <c r="D17" s="49">
        <v>9</v>
      </c>
      <c r="E17" s="62" t="str">
        <f>INDEX(Д1!$E$14:$AI$23,MATCH($D17,Д1!$D$14:$D$23),MATCH(E$7,Д1!$E$3:$AI$3))</f>
        <v>-</v>
      </c>
      <c r="F17" s="28" t="str">
        <f>INDEX(Д1!$E$13:$AI$44,MATCH($D17,Д1!$D$4:$D$13),MATCH(F$7,Д1!$E$3:$AI$3))</f>
        <v/>
      </c>
      <c r="G17" s="28" t="str">
        <f>INDEX(Д1!$E$13:$AI$44,MATCH($D17,Д1!$D$4:$D$13),MATCH(G$7,Д1!$E$3:$AI$3))</f>
        <v/>
      </c>
      <c r="H17" s="28" t="str">
        <f>INDEX(Д1!$E$13:$AI$44,MATCH($D17,Д1!$D$4:$D$13),MATCH(H$7,Д1!$E$3:$AI$3))</f>
        <v/>
      </c>
      <c r="I17" s="28" t="str">
        <f>INDEX(Д1!$E$13:$AI$44,MATCH($D17,Д1!$D$4:$D$13),MATCH(I$7,Д1!$E$3:$AI$3))</f>
        <v>СП</v>
      </c>
      <c r="J17" s="28" t="str">
        <f>INDEX(Д1!$E$13:$AI$44,MATCH($D17,Д1!$D$4:$D$13),MATCH(J$7,Д1!$E$3:$AI$3))</f>
        <v/>
      </c>
      <c r="K17" s="28" t="str">
        <f>INDEX(Д1!$E$13:$AI$44,MATCH($D17,Д1!$D$4:$D$13),MATCH(K$7,Д1!$E$3:$AI$3))</f>
        <v/>
      </c>
      <c r="L17" s="28" t="str">
        <f>INDEX(Д1!$E$13:$AI$44,MATCH($D17,Д1!$D$4:$D$13),MATCH(L$7,Д1!$E$3:$AI$3))</f>
        <v/>
      </c>
      <c r="M17" s="28" t="str">
        <f>INDEX(Д1!$E$13:$AI$44,MATCH($D17,Д1!$D$4:$D$13),MATCH(M$7,Д1!$E$3:$AI$3))</f>
        <v/>
      </c>
      <c r="N17" s="28" t="str">
        <f>INDEX(Д1!$E$13:$AI$44,MATCH($D17,Д1!$D$4:$D$13),MATCH(N$7,Д1!$E$3:$AI$3))</f>
        <v/>
      </c>
      <c r="O17" s="28" t="str">
        <f>INDEX(Д1!$E$13:$AI$44,MATCH($D17,Д1!$D$4:$D$13),MATCH(O$7,Д1!$E$3:$AI$3))</f>
        <v/>
      </c>
      <c r="P17" s="28" t="str">
        <f>INDEX(Д1!$E$13:$AI$44,MATCH($D17,Д1!$D$4:$D$13),MATCH(P$7,Д1!$E$3:$AI$3))</f>
        <v/>
      </c>
      <c r="Q17" s="28" t="str">
        <f>INDEX(Д1!$E$13:$AI$44,MATCH($D17,Д1!$D$4:$D$13),MATCH(Q$7,Д1!$E$3:$AI$3))</f>
        <v/>
      </c>
      <c r="R17" s="28" t="str">
        <f>INDEX(Д1!$E$13:$AI$44,MATCH($D17,Д1!$D$4:$D$13),MATCH(R$7,Д1!$E$3:$AI$3))</f>
        <v/>
      </c>
      <c r="S17" s="28" t="str">
        <f>INDEX(Д1!$E$13:$AI$44,MATCH($D17,Д1!$D$4:$D$13),MATCH(S$7,Д1!$E$3:$AI$3))</f>
        <v/>
      </c>
      <c r="T17" s="28" t="str">
        <f>INDEX(Д1!$E$13:$AI$44,MATCH($D17,Д1!$D$4:$D$13),MATCH(T$7,Д1!$E$3:$AI$3))</f>
        <v/>
      </c>
      <c r="U17" s="28" t="str">
        <f>INDEX(Д1!$E$13:$AI$44,MATCH($D17,Д1!$D$4:$D$13),MATCH(U$7,Д1!$E$3:$AI$3))</f>
        <v/>
      </c>
      <c r="V17" s="28" t="str">
        <f>INDEX(Д1!$E$13:$AI$44,MATCH($D17,Д1!$D$4:$D$13),MATCH(V$7,Д1!$E$3:$AI$3))</f>
        <v/>
      </c>
      <c r="W17" s="28" t="str">
        <f>INDEX(Д1!$E$13:$AI$44,MATCH($D17,Д1!$D$4:$D$13),MATCH(W$7,Д1!$E$3:$AI$3))</f>
        <v/>
      </c>
      <c r="X17" s="28" t="str">
        <f>INDEX(Д1!$E$13:$AI$44,MATCH($D17,Д1!$D$4:$D$13),MATCH(X$7,Д1!$E$3:$AI$3))</f>
        <v/>
      </c>
      <c r="Y17" s="28" t="str">
        <f>INDEX(Д1!$E$13:$AI$44,MATCH($D17,Д1!$D$4:$D$13),MATCH(Y$7,Д1!$E$3:$AI$3))</f>
        <v/>
      </c>
      <c r="Z17" s="28" t="str">
        <f>INDEX(Д1!$E$13:$AI$44,MATCH($D17,Д1!$D$4:$D$13),MATCH(Z$7,Д1!$E$3:$AI$3))</f>
        <v/>
      </c>
      <c r="AA17" s="28" t="str">
        <f>INDEX(Д1!$E$13:$AI$44,MATCH($D17,Д1!$D$4:$D$13),MATCH(AA$7,Д1!$E$3:$AI$3))</f>
        <v/>
      </c>
      <c r="AB17" s="28" t="str">
        <f>INDEX(Д1!$E$13:$AI$44,MATCH($D17,Д1!$D$4:$D$13),MATCH(AB$7,Д1!$E$3:$AI$3))</f>
        <v/>
      </c>
      <c r="AC17" s="28" t="str">
        <f>INDEX(Д1!$E$13:$AI$44,MATCH($D17,Д1!$D$4:$D$13),MATCH(AC$7,Д1!$E$3:$AI$3))</f>
        <v/>
      </c>
      <c r="AD17" s="28" t="str">
        <f>INDEX(Д1!$E$13:$AI$44,MATCH($D17,Д1!$D$4:$D$13),MATCH(AD$7,Д1!$E$3:$AI$3))</f>
        <v/>
      </c>
      <c r="AE17" s="28" t="str">
        <f>INDEX(Д1!$E$13:$AI$44,MATCH($D17,Д1!$D$4:$D$13),MATCH(AE$7,Д1!$E$3:$AI$3))</f>
        <v/>
      </c>
      <c r="AF17" s="28" t="str">
        <f>INDEX(Д1!$E$13:$AI$44,MATCH($D17,Д1!$D$4:$D$13),MATCH(AF$7,Д1!$E$3:$AI$3))</f>
        <v/>
      </c>
      <c r="AG17" s="28"/>
      <c r="AH17" s="28"/>
      <c r="AI17" s="100"/>
      <c r="AJ17" s="143">
        <f>INDEX(Д1!AK$14:$AK$23,MATCH($C17,Д1!$C$14:$C$23),MATCH(E$7,Д1!$E$3:$AI$3))*AND(MONTH($E$8)=MONTH(Д1!$B$14))</f>
        <v>160</v>
      </c>
      <c r="AK17" s="144">
        <f>SUM(E17:AI17)</f>
        <v>0</v>
      </c>
      <c r="AL17" s="144"/>
      <c r="AM17" s="149">
        <f>SUM(F17:H18,J17:AI18)-AJ17+AL17-12</f>
        <v>-172</v>
      </c>
      <c r="AP17" s="136">
        <f t="shared" ref="AP17" si="20">COUNTIF($E17:$AI18,"12")</f>
        <v>0</v>
      </c>
      <c r="AQ17" s="136">
        <f t="shared" ref="AQ17" si="21">IF(COUNTIF($E17:$AI18,"СП")&gt;=1,(COUNTIF($E17:$AI18,"4")+COUNTIF($E17:$AI18,"8")-1)/2,(COUNTIF($E17:$AI18,"4")+COUNTIF($E17:$AI18,"8"))/2)</f>
        <v>-0.5</v>
      </c>
      <c r="AR17" s="136">
        <f t="shared" si="2"/>
        <v>0</v>
      </c>
      <c r="AS17" s="136">
        <f t="shared" ref="AS17" si="22">IF(COUNTIF($E17:$AI18,"СП")&gt;=1,SUMIF($E17:$AI18,"4",$E17:$AI18)+SUMIF($E17:$AI18,"8",$E17:$AI18)-8,SUMIF($E17:$AI18,"4",$E17:$AI18)+SUMIF($E17:$AI18,"8",$E17:$AI18))</f>
        <v>-8</v>
      </c>
      <c r="AT17" s="136">
        <f t="shared" ref="AT17" si="23">$AR17+$AS17</f>
        <v>-8</v>
      </c>
      <c r="AU17" s="136" t="str">
        <f t="shared" ref="AU17" si="24">IF(AK17=AT17,"+","!")</f>
        <v>!</v>
      </c>
      <c r="AV17" s="136">
        <f t="shared" ref="AV17" si="25">COUNTIF($E17:$AI18,"ОТ")</f>
        <v>0</v>
      </c>
      <c r="AW17" s="137" t="str">
        <f ca="1">IF(COUNTIF($A18:$AI18,"СП")&gt;0,IF(INDIRECT(ADDRESS(ROW(),MATCH("СП",$A18:$AI18),1))=8,"","!"),"")</f>
        <v>!</v>
      </c>
      <c r="AX17" s="137" t="str">
        <f ca="1">IF(COUNTIF($A18:$AI18,"СП")&gt;0,IF(INDIRECT(ADDRESS(ROW(),MATCH("СП",$A18:$AI18)-1,1))=4,"!",""),"")</f>
        <v/>
      </c>
    </row>
    <row r="18" spans="1:50" ht="16.5" thickBot="1" x14ac:dyDescent="0.3">
      <c r="A18" s="148"/>
      <c r="B18" s="140"/>
      <c r="C18" s="172"/>
      <c r="D18" s="50">
        <v>10</v>
      </c>
      <c r="E18" s="66" t="str">
        <f>INDEX(Д1!$E$14:$AI$23,MATCH($D18,Д1!$D$14:$D$23),MATCH(E$7,Д1!$E$3:$AI$3))</f>
        <v/>
      </c>
      <c r="F18" s="67" t="str">
        <f>INDEX(Д1!$E$4:$AI$13,MATCH($D18,Д1!$D$4:$D$13),MATCH(F$7,Д1!$E$3:$AI$3))</f>
        <v/>
      </c>
      <c r="G18" s="67" t="str">
        <f>INDEX(Д1!$E$4:$AI$13,MATCH($D18,Д1!$D$4:$D$13),MATCH(G$7,Д1!$E$3:$AI$3))</f>
        <v/>
      </c>
      <c r="H18" s="67" t="str">
        <f>INDEX(Д1!$E$4:$AI$13,MATCH($D18,Д1!$D$4:$D$13),MATCH(H$7,Д1!$E$3:$AI$3))</f>
        <v/>
      </c>
      <c r="I18" s="67" t="str">
        <f>INDEX(Д1!$E$4:$AI$13,MATCH($D18,Д1!$D$4:$D$13),MATCH(I$7,Д1!$E$3:$AI$3))</f>
        <v>СП</v>
      </c>
      <c r="J18" s="67" t="str">
        <f>INDEX(Д1!$E$4:$AI$13,MATCH($D18,Д1!$D$4:$D$13),MATCH(J$7,Д1!$E$3:$AI$3))</f>
        <v/>
      </c>
      <c r="K18" s="67" t="str">
        <f>INDEX(Д1!$E$4:$AI$13,MATCH($D18,Д1!$D$4:$D$13),MATCH(K$7,Д1!$E$3:$AI$3))</f>
        <v/>
      </c>
      <c r="L18" s="67" t="str">
        <f>INDEX(Д1!$E$4:$AI$13,MATCH($D18,Д1!$D$4:$D$13),MATCH(L$7,Д1!$E$3:$AI$3))</f>
        <v/>
      </c>
      <c r="M18" s="67" t="str">
        <f>INDEX(Д1!$E$4:$AI$13,MATCH($D18,Д1!$D$4:$D$13),MATCH(M$7,Д1!$E$3:$AI$3))</f>
        <v/>
      </c>
      <c r="N18" s="67" t="str">
        <f>INDEX(Д1!$E$4:$AI$13,MATCH($D18,Д1!$D$4:$D$13),MATCH(N$7,Д1!$E$3:$AI$3))</f>
        <v/>
      </c>
      <c r="O18" s="67" t="str">
        <f>INDEX(Д1!$E$4:$AI$13,MATCH($D18,Д1!$D$4:$D$13),MATCH(O$7,Д1!$E$3:$AI$3))</f>
        <v/>
      </c>
      <c r="P18" s="67" t="str">
        <f>INDEX(Д1!$E$4:$AI$13,MATCH($D18,Д1!$D$4:$D$13),MATCH(P$7,Д1!$E$3:$AI$3))</f>
        <v/>
      </c>
      <c r="Q18" s="67" t="str">
        <f>INDEX(Д1!$E$4:$AI$13,MATCH($D18,Д1!$D$4:$D$13),MATCH(Q$7,Д1!$E$3:$AI$3))</f>
        <v/>
      </c>
      <c r="R18" s="67" t="str">
        <f>INDEX(Д1!$E$4:$AI$13,MATCH($D18,Д1!$D$4:$D$13),MATCH(R$7,Д1!$E$3:$AI$3))</f>
        <v/>
      </c>
      <c r="S18" s="67" t="str">
        <f>INDEX(Д1!$E$4:$AI$13,MATCH($D18,Д1!$D$4:$D$13),MATCH(S$7,Д1!$E$3:$AI$3))</f>
        <v/>
      </c>
      <c r="T18" s="67" t="str">
        <f>INDEX(Д1!$E$4:$AI$13,MATCH($D18,Д1!$D$4:$D$13),MATCH(T$7,Д1!$E$3:$AI$3))</f>
        <v/>
      </c>
      <c r="U18" s="67" t="str">
        <f>INDEX(Д1!$E$4:$AI$13,MATCH($D18,Д1!$D$4:$D$13),MATCH(U$7,Д1!$E$3:$AI$3))</f>
        <v/>
      </c>
      <c r="V18" s="67" t="str">
        <f>INDEX(Д1!$E$4:$AI$13,MATCH($D18,Д1!$D$4:$D$13),MATCH(V$7,Д1!$E$3:$AI$3))</f>
        <v/>
      </c>
      <c r="W18" s="67" t="str">
        <f>INDEX(Д1!$E$4:$AI$13,MATCH($D18,Д1!$D$4:$D$13),MATCH(W$7,Д1!$E$3:$AI$3))</f>
        <v/>
      </c>
      <c r="X18" s="67" t="str">
        <f>INDEX(Д1!$E$4:$AI$13,MATCH($D18,Д1!$D$4:$D$13),MATCH(X$7,Д1!$E$3:$AI$3))</f>
        <v/>
      </c>
      <c r="Y18" s="67" t="str">
        <f>INDEX(Д1!$E$4:$AI$13,MATCH($D18,Д1!$D$4:$D$13),MATCH(Y$7,Д1!$E$3:$AI$3))</f>
        <v/>
      </c>
      <c r="Z18" s="67" t="str">
        <f>INDEX(Д1!$E$4:$AI$13,MATCH($D18,Д1!$D$4:$D$13),MATCH(Z$7,Д1!$E$3:$AI$3))</f>
        <v/>
      </c>
      <c r="AA18" s="67" t="str">
        <f>INDEX(Д1!$E$4:$AI$13,MATCH($D18,Д1!$D$4:$D$13),MATCH(AA$7,Д1!$E$3:$AI$3))</f>
        <v/>
      </c>
      <c r="AB18" s="67" t="str">
        <f>INDEX(Д1!$E$4:$AI$13,MATCH($D18,Д1!$D$4:$D$13),MATCH(AB$7,Д1!$E$3:$AI$3))</f>
        <v/>
      </c>
      <c r="AC18" s="67" t="str">
        <f>INDEX(Д1!$E$4:$AI$13,MATCH($D18,Д1!$D$4:$D$13),MATCH(AC$7,Д1!$E$3:$AI$3))</f>
        <v/>
      </c>
      <c r="AD18" s="67" t="str">
        <f>INDEX(Д1!$E$4:$AI$13,MATCH($D18,Д1!$D$4:$D$13),MATCH(AD$7,Д1!$E$3:$AI$3))</f>
        <v/>
      </c>
      <c r="AE18" s="67" t="str">
        <f>INDEX(Д1!$E$4:$AI$13,MATCH($D18,Д1!$D$4:$D$13),MATCH(AE$7,Д1!$E$3:$AI$3))</f>
        <v/>
      </c>
      <c r="AF18" s="67" t="str">
        <f>INDEX(Д1!$E$4:$AI$13,MATCH($D18,Д1!$D$4:$D$13),MATCH(AF$7,Д1!$E$3:$AI$3))</f>
        <v/>
      </c>
      <c r="AG18" s="67"/>
      <c r="AH18" s="67"/>
      <c r="AI18" s="105"/>
      <c r="AJ18" s="153"/>
      <c r="AK18" s="158"/>
      <c r="AL18" s="158"/>
      <c r="AM18" s="150"/>
      <c r="AP18" s="136"/>
      <c r="AQ18" s="136"/>
      <c r="AR18" s="136"/>
      <c r="AS18" s="136"/>
      <c r="AT18" s="136"/>
      <c r="AU18" s="136"/>
      <c r="AV18" s="136"/>
      <c r="AW18" s="137"/>
      <c r="AX18" s="137"/>
    </row>
    <row r="19" spans="1:50" ht="17.25" customHeight="1" thickTop="1" thickBot="1" x14ac:dyDescent="0.3">
      <c r="A19" s="146" t="s">
        <v>101</v>
      </c>
      <c r="B19" s="151" t="s">
        <v>85</v>
      </c>
      <c r="C19" s="173">
        <v>1</v>
      </c>
      <c r="D19" s="49">
        <v>1</v>
      </c>
      <c r="E19" s="64">
        <f ca="1">INDEX(Д2!$E$14:$AI$23,MATCH($D19,Д2!$D$14:$D$23),MATCH(E$7,Д2!$E$3:$AI$3))</f>
        <v>12</v>
      </c>
      <c r="F19" s="64">
        <f ca="1">INDEX(Д2!$E$4:$AI$13,MATCH($D19,Д2!$D$4:$D$13),MATCH(F$7,Д2!$E$3:$AI$3))</f>
        <v>0</v>
      </c>
      <c r="G19" s="64">
        <f ca="1">INDEX(Д2!$E$4:$AI$13,MATCH($D19,Д2!$D$4:$D$13),MATCH(G$7,Д2!$E$3:$AI$3))</f>
        <v>4</v>
      </c>
      <c r="H19" s="64">
        <f ca="1">INDEX(Д2!$E$4:$AI$13,MATCH($D19,Д2!$D$4:$D$13),MATCH(H$7,Д2!$E$3:$AI$3))</f>
        <v>8</v>
      </c>
      <c r="I19" s="64">
        <f ca="1">INDEX(Д2!$E$4:$AI$13,MATCH($D19,Д2!$D$4:$D$13),MATCH(I$7,Д2!$E$3:$AI$3))</f>
        <v>12</v>
      </c>
      <c r="J19" s="64">
        <f ca="1">INDEX(Д2!$E$4:$AI$13,MATCH($D19,Д2!$D$4:$D$13),MATCH(J$7,Д2!$E$3:$AI$3))</f>
        <v>4</v>
      </c>
      <c r="K19" s="64">
        <f ca="1">INDEX(Д2!$E$4:$AI$13,MATCH($D19,Д2!$D$4:$D$13),MATCH(K$7,Д2!$E$3:$AI$3))</f>
        <v>8</v>
      </c>
      <c r="L19" s="64">
        <f ca="1">INDEX(Д2!$E$4:$AI$13,MATCH($D19,Д2!$D$4:$D$13),MATCH(L$7,Д2!$E$3:$AI$3))</f>
        <v>12</v>
      </c>
      <c r="M19" s="64">
        <f ca="1">INDEX(Д2!$E$4:$AI$13,MATCH($D19,Д2!$D$4:$D$13),MATCH(M$7,Д2!$E$3:$AI$3))</f>
        <v>0</v>
      </c>
      <c r="N19" s="64">
        <f ca="1">INDEX(Д2!$E$4:$AI$13,MATCH($D19,Д2!$D$4:$D$13),MATCH(N$7,Д2!$E$3:$AI$3))</f>
        <v>0</v>
      </c>
      <c r="O19" s="64">
        <f ca="1">INDEX(Д2!$E$4:$AI$13,MATCH($D19,Д2!$D$4:$D$13),MATCH(O$7,Д2!$E$3:$AI$3))</f>
        <v>4</v>
      </c>
      <c r="P19" s="64">
        <f ca="1">INDEX(Д2!$E$4:$AI$13,MATCH($D19,Д2!$D$4:$D$13),MATCH(P$7,Д2!$E$3:$AI$3))</f>
        <v>8</v>
      </c>
      <c r="Q19" s="64">
        <f ca="1">INDEX(Д2!$E$4:$AI$13,MATCH($D19,Д2!$D$4:$D$13),MATCH(Q$7,Д2!$E$3:$AI$3))</f>
        <v>12</v>
      </c>
      <c r="R19" s="64">
        <f ca="1">INDEX(Д2!$E$4:$AI$13,MATCH($D19,Д2!$D$4:$D$13),MATCH(R$7,Д2!$E$3:$AI$3))</f>
        <v>4</v>
      </c>
      <c r="S19" s="64">
        <f ca="1">INDEX(Д2!$E$4:$AI$13,MATCH($D19,Д2!$D$4:$D$13),MATCH(S$7,Д2!$E$3:$AI$3))</f>
        <v>8</v>
      </c>
      <c r="T19" s="64">
        <f ca="1">INDEX(Д2!$E$4:$AI$13,MATCH($D19,Д2!$D$4:$D$13),MATCH(T$7,Д2!$E$3:$AI$3))</f>
        <v>12</v>
      </c>
      <c r="U19" s="64">
        <f ca="1">INDEX(Д2!$E$4:$AI$13,MATCH($D19,Д2!$D$4:$D$13),MATCH(U$7,Д2!$E$3:$AI$3))</f>
        <v>0</v>
      </c>
      <c r="V19" s="64">
        <f ca="1">INDEX(Д2!$E$4:$AI$13,MATCH($D19,Д2!$D$4:$D$13),MATCH(V$7,Д2!$E$3:$AI$3))</f>
        <v>0</v>
      </c>
      <c r="W19" s="64">
        <f ca="1">INDEX(Д2!$E$4:$AI$13,MATCH($D19,Д2!$D$4:$D$13),MATCH(W$7,Д2!$E$3:$AI$3))</f>
        <v>4</v>
      </c>
      <c r="X19" s="64">
        <f ca="1">INDEX(Д2!$E$4:$AI$13,MATCH($D19,Д2!$D$4:$D$13),MATCH(X$7,Д2!$E$3:$AI$3))</f>
        <v>8</v>
      </c>
      <c r="Y19" s="64">
        <f ca="1">INDEX(Д2!$E$4:$AI$13,MATCH($D19,Д2!$D$4:$D$13),MATCH(Y$7,Д2!$E$3:$AI$3))</f>
        <v>12</v>
      </c>
      <c r="Z19" s="64">
        <f ca="1">INDEX(Д2!$E$4:$AI$13,MATCH($D19,Д2!$D$4:$D$13),MATCH(Z$7,Д2!$E$3:$AI$3))</f>
        <v>4</v>
      </c>
      <c r="AA19" s="64">
        <f ca="1">INDEX(Д2!$E$4:$AI$13,MATCH($D19,Д2!$D$4:$D$13),MATCH(AA$7,Д2!$E$3:$AI$3))</f>
        <v>8</v>
      </c>
      <c r="AB19" s="64">
        <f ca="1">INDEX(Д2!$E$4:$AI$13,MATCH($D19,Д2!$D$4:$D$13),MATCH(AB$7,Д2!$E$3:$AI$3))</f>
        <v>12</v>
      </c>
      <c r="AC19" s="64">
        <f ca="1">INDEX(Д2!$E$4:$AI$13,MATCH($D19,Д2!$D$4:$D$13),MATCH(AC$7,Д2!$E$3:$AI$3))</f>
        <v>0</v>
      </c>
      <c r="AD19" s="64">
        <f ca="1">INDEX(Д2!$E$4:$AI$13,MATCH($D19,Д2!$D$4:$D$13),MATCH(AD$7,Д2!$E$3:$AI$3))</f>
        <v>0</v>
      </c>
      <c r="AE19" s="64">
        <f ca="1">INDEX(Д2!$E$4:$AI$13,MATCH($D19,Д2!$D$4:$D$13),MATCH(AE$7,Д2!$E$3:$AI$3))</f>
        <v>4</v>
      </c>
      <c r="AF19" s="64">
        <f ca="1">INDEX(Д2!$E$4:$AI$13,MATCH($D19,Д2!$D$4:$D$13),MATCH(AF$7,Д2!$E$3:$AI$3))</f>
        <v>8</v>
      </c>
      <c r="AG19" s="64"/>
      <c r="AH19" s="64"/>
      <c r="AI19" s="106"/>
      <c r="AJ19" s="157">
        <f>INDEX(Д2!AK$14:$AK$23,MATCH($C19,Д2!$C$14:$C$23),MATCH(E$7,Д2!$E$3:$AI$3))*AND(MONTH($E$8)=MONTH(Д2!$B$14))</f>
        <v>160</v>
      </c>
      <c r="AK19" s="154">
        <v>0</v>
      </c>
      <c r="AL19" s="155"/>
      <c r="AM19" s="149">
        <f ca="1">SUM(F19:H20,J19:AI20)-AJ19+AL19-12</f>
        <v>-28</v>
      </c>
      <c r="AP19" s="136">
        <f t="shared" ref="AP19" ca="1" si="26">COUNTIF($E19:$AI20,"12")</f>
        <v>7</v>
      </c>
      <c r="AQ19" s="136">
        <f t="shared" ref="AQ19" ca="1" si="27">IF(COUNTIF($E19:$AI20,"СП")&gt;=1,(COUNTIF($E19:$AI20,"4")+COUNTIF($E19:$AI20,"8")-1)/2,(COUNTIF($E19:$AI20,"4")+COUNTIF($E19:$AI20,"8"))/2)</f>
        <v>7</v>
      </c>
      <c r="AR19" s="136">
        <f t="shared" ca="1" si="2"/>
        <v>84</v>
      </c>
      <c r="AS19" s="136">
        <f t="shared" ref="AS19" ca="1" si="28">IF(COUNTIF($E19:$AI20,"СП")&gt;=1,SUMIF($E19:$AI20,"4",$E19:$AI20)+SUMIF($E19:$AI20,"8",$E19:$AI20)-8,SUMIF($E19:$AI20,"4",$E19:$AI20)+SUMIF($E19:$AI20,"8",$E19:$AI20))</f>
        <v>84</v>
      </c>
      <c r="AT19" s="136">
        <f t="shared" ref="AT19" ca="1" si="29">$AR19+$AS19</f>
        <v>168</v>
      </c>
      <c r="AU19" s="136" t="str">
        <f t="shared" ref="AU19" ca="1" si="30">IF(AK19=AT19,"+","!")</f>
        <v>!</v>
      </c>
      <c r="AV19" s="136">
        <f t="shared" ref="AV19" ca="1" si="31">COUNTIF($E19:$AI20,"ОТ")</f>
        <v>0</v>
      </c>
      <c r="AW19" s="137" t="str">
        <f ca="1">IF(COUNTIF($A20:$AI20,"СП")&gt;0,IF(INDIRECT(ADDRESS(ROW(),MATCH("СП",$A20:$AI20),1))=8,"","!"),"")</f>
        <v/>
      </c>
      <c r="AX19" s="137" t="str">
        <f ca="1">IF(COUNTIF($A20:$AI20,"СП")&gt;0,IF(INDIRECT(ADDRESS(ROW(),MATCH("СП",$A20:$AI20)-1,1))=4,"!",""),"")</f>
        <v/>
      </c>
    </row>
    <row r="20" spans="1:50" ht="16.5" thickBot="1" x14ac:dyDescent="0.3">
      <c r="A20" s="147"/>
      <c r="B20" s="139"/>
      <c r="C20" s="171"/>
      <c r="D20" s="50">
        <v>2</v>
      </c>
      <c r="E20" s="63" t="str">
        <f>INDEX(Д2!$E$14:$AI$23,MATCH($D20,Д2!$D$14:$D$23),MATCH(E$7,Д2!$E$3:$AI$3))</f>
        <v/>
      </c>
      <c r="F20" s="29" t="str">
        <f>INDEX(Д2!$E$4:$AI$13,MATCH($D20,Д2!$D$4:$D$13),MATCH(F$7,Д2!$E$3:$AI$3))</f>
        <v/>
      </c>
      <c r="G20" s="29" t="str">
        <f>INDEX(Д2!$E$4:$AI$13,MATCH($D20,Д2!$D$4:$D$13),MATCH(G$7,Д2!$E$3:$AI$3))</f>
        <v/>
      </c>
      <c r="H20" s="29" t="str">
        <f>INDEX(Д2!$E$4:$AI$13,MATCH($D20,Д2!$D$4:$D$13),MATCH(H$7,Д2!$E$3:$AI$3))</f>
        <v/>
      </c>
      <c r="I20" s="29" t="str">
        <f>INDEX(Д2!$E$4:$AI$13,MATCH($D20,Д2!$D$4:$D$13),MATCH(I$7,Д2!$E$3:$AI$3))</f>
        <v/>
      </c>
      <c r="J20" s="29" t="str">
        <f>INDEX(Д2!$E$4:$AI$13,MATCH($D20,Д2!$D$4:$D$13),MATCH(J$7,Д2!$E$3:$AI$3))</f>
        <v/>
      </c>
      <c r="K20" s="29" t="str">
        <f>INDEX(Д2!$E$4:$AI$13,MATCH($D20,Д2!$D$4:$D$13),MATCH(K$7,Д2!$E$3:$AI$3))</f>
        <v/>
      </c>
      <c r="L20" s="29" t="str">
        <f>INDEX(Д2!$E$4:$AI$13,MATCH($D20,Д2!$D$4:$D$13),MATCH(L$7,Д2!$E$3:$AI$3))</f>
        <v/>
      </c>
      <c r="M20" s="29" t="str">
        <f>INDEX(Д2!$E$4:$AI$13,MATCH($D20,Д2!$D$4:$D$13),MATCH(M$7,Д2!$E$3:$AI$3))</f>
        <v/>
      </c>
      <c r="N20" s="29" t="str">
        <f>INDEX(Д2!$E$4:$AI$13,MATCH($D20,Д2!$D$4:$D$13),MATCH(N$7,Д2!$E$3:$AI$3))</f>
        <v/>
      </c>
      <c r="O20" s="29" t="str">
        <f>INDEX(Д2!$E$4:$AI$13,MATCH($D20,Д2!$D$4:$D$13),MATCH(O$7,Д2!$E$3:$AI$3))</f>
        <v/>
      </c>
      <c r="P20" s="29" t="str">
        <f>INDEX(Д2!$E$4:$AI$13,MATCH($D20,Д2!$D$4:$D$13),MATCH(P$7,Д2!$E$3:$AI$3))</f>
        <v/>
      </c>
      <c r="Q20" s="29" t="str">
        <f>INDEX(Д2!$E$4:$AI$13,MATCH($D20,Д2!$D$4:$D$13),MATCH(Q$7,Д2!$E$3:$AI$3))</f>
        <v/>
      </c>
      <c r="R20" s="29" t="str">
        <f>INDEX(Д2!$E$4:$AI$13,MATCH($D20,Д2!$D$4:$D$13),MATCH(R$7,Д2!$E$3:$AI$3))</f>
        <v/>
      </c>
      <c r="S20" s="29" t="str">
        <f>INDEX(Д2!$E$4:$AI$13,MATCH($D20,Д2!$D$4:$D$13),MATCH(S$7,Д2!$E$3:$AI$3))</f>
        <v/>
      </c>
      <c r="T20" s="29" t="str">
        <f>INDEX(Д2!$E$4:$AI$13,MATCH($D20,Д2!$D$4:$D$13),MATCH(T$7,Д2!$E$3:$AI$3))</f>
        <v/>
      </c>
      <c r="U20" s="29" t="str">
        <f>INDEX(Д2!$E$4:$AI$13,MATCH($D20,Д2!$D$4:$D$13),MATCH(U$7,Д2!$E$3:$AI$3))</f>
        <v/>
      </c>
      <c r="V20" s="29" t="str">
        <f>INDEX(Д2!$E$4:$AI$13,MATCH($D20,Д2!$D$4:$D$13),MATCH(V$7,Д2!$E$3:$AI$3))</f>
        <v/>
      </c>
      <c r="W20" s="29" t="str">
        <f>INDEX(Д2!$E$4:$AI$13,MATCH($D20,Д2!$D$4:$D$13),MATCH(W$7,Д2!$E$3:$AI$3))</f>
        <v/>
      </c>
      <c r="X20" s="29" t="str">
        <f>INDEX(Д2!$E$4:$AI$13,MATCH($D20,Д2!$D$4:$D$13),MATCH(X$7,Д2!$E$3:$AI$3))</f>
        <v/>
      </c>
      <c r="Y20" s="29" t="str">
        <f>INDEX(Д2!$E$4:$AI$13,MATCH($D20,Д2!$D$4:$D$13),MATCH(Y$7,Д2!$E$3:$AI$3))</f>
        <v/>
      </c>
      <c r="Z20" s="29" t="str">
        <f>INDEX(Д2!$E$4:$AI$13,MATCH($D20,Д2!$D$4:$D$13),MATCH(Z$7,Д2!$E$3:$AI$3))</f>
        <v/>
      </c>
      <c r="AA20" s="29" t="str">
        <f>INDEX(Д2!$E$4:$AI$13,MATCH($D20,Д2!$D$4:$D$13),MATCH(AA$7,Д2!$E$3:$AI$3))</f>
        <v/>
      </c>
      <c r="AB20" s="29" t="str">
        <f>INDEX(Д2!$E$4:$AI$13,MATCH($D20,Д2!$D$4:$D$13),MATCH(AB$7,Д2!$E$3:$AI$3))</f>
        <v/>
      </c>
      <c r="AC20" s="29" t="str">
        <f>INDEX(Д2!$E$4:$AI$13,MATCH($D20,Д2!$D$4:$D$13),MATCH(AC$7,Д2!$E$3:$AI$3))</f>
        <v/>
      </c>
      <c r="AD20" s="29" t="str">
        <f>INDEX(Д2!$E$4:$AI$13,MATCH($D20,Д2!$D$4:$D$13),MATCH(AD$7,Д2!$E$3:$AI$3))</f>
        <v/>
      </c>
      <c r="AE20" s="29" t="str">
        <f>INDEX(Д2!$E$4:$AI$13,MATCH($D20,Д2!$D$4:$D$13),MATCH(AE$7,Д2!$E$3:$AI$3))</f>
        <v/>
      </c>
      <c r="AF20" s="29" t="str">
        <f>INDEX(Д2!$E$4:$AI$13,MATCH($D20,Д2!$D$4:$D$13),MATCH(AF$7,Д2!$E$3:$AI$3))</f>
        <v/>
      </c>
      <c r="AG20" s="29"/>
      <c r="AH20" s="29"/>
      <c r="AI20" s="107"/>
      <c r="AJ20" s="143"/>
      <c r="AK20" s="145"/>
      <c r="AL20" s="145" t="s">
        <v>17</v>
      </c>
      <c r="AM20" s="150"/>
      <c r="AP20" s="136"/>
      <c r="AQ20" s="136"/>
      <c r="AR20" s="136"/>
      <c r="AS20" s="136"/>
      <c r="AT20" s="136"/>
      <c r="AU20" s="136"/>
      <c r="AV20" s="136"/>
      <c r="AW20" s="137"/>
      <c r="AX20" s="137"/>
    </row>
    <row r="21" spans="1:50" ht="16.5" customHeight="1" thickBot="1" x14ac:dyDescent="0.3">
      <c r="A21" s="147"/>
      <c r="B21" s="139" t="s">
        <v>86</v>
      </c>
      <c r="C21" s="170">
        <v>2</v>
      </c>
      <c r="D21" s="49">
        <v>3</v>
      </c>
      <c r="E21" s="64">
        <f ca="1">INDEX(Д2!$E$14:$AI$23,MATCH($D21,Д2!$D$14:$D$23),MATCH(E$7,Д2!$E$3:$AI$3))</f>
        <v>0</v>
      </c>
      <c r="F21" s="27">
        <f ca="1">INDEX(Д2!$E$4:$AI$13,MATCH($D21,Д2!$D$4:$D$13),MATCH(F$7,Д2!$E$3:$AI$3))</f>
        <v>8</v>
      </c>
      <c r="G21" s="27">
        <f ca="1">INDEX(Д2!$E$4:$AI$13,MATCH($D21,Д2!$D$4:$D$13),MATCH(G$7,Д2!$E$3:$AI$3))</f>
        <v>12</v>
      </c>
      <c r="H21" s="27">
        <f ca="1">INDEX(Д2!$E$4:$AI$13,MATCH($D21,Д2!$D$4:$D$13),MATCH(H$7,Д2!$E$3:$AI$3))</f>
        <v>4</v>
      </c>
      <c r="I21" s="27">
        <f ca="1">INDEX(Д2!$E$4:$AI$13,MATCH($D21,Д2!$D$4:$D$13),MATCH(I$7,Д2!$E$3:$AI$3))</f>
        <v>8</v>
      </c>
      <c r="J21" s="27">
        <f ca="1">INDEX(Д2!$E$4:$AI$13,MATCH($D21,Д2!$D$4:$D$13),MATCH(J$7,Д2!$E$3:$AI$3))</f>
        <v>12</v>
      </c>
      <c r="K21" s="27">
        <f ca="1">INDEX(Д2!$E$4:$AI$13,MATCH($D21,Д2!$D$4:$D$13),MATCH(K$7,Д2!$E$3:$AI$3))</f>
        <v>0</v>
      </c>
      <c r="L21" s="27">
        <f ca="1">INDEX(Д2!$E$4:$AI$13,MATCH($D21,Д2!$D$4:$D$13),MATCH(L$7,Д2!$E$3:$AI$3))</f>
        <v>0</v>
      </c>
      <c r="M21" s="27">
        <f ca="1">INDEX(Д2!$E$4:$AI$13,MATCH($D21,Д2!$D$4:$D$13),MATCH(M$7,Д2!$E$3:$AI$3))</f>
        <v>4</v>
      </c>
      <c r="N21" s="27">
        <f ca="1">INDEX(Д2!$E$4:$AI$13,MATCH($D21,Д2!$D$4:$D$13),MATCH(N$7,Д2!$E$3:$AI$3))</f>
        <v>8</v>
      </c>
      <c r="O21" s="27">
        <f ca="1">INDEX(Д2!$E$4:$AI$13,MATCH($D21,Д2!$D$4:$D$13),MATCH(O$7,Д2!$E$3:$AI$3))</f>
        <v>12</v>
      </c>
      <c r="P21" s="27">
        <f ca="1">INDEX(Д2!$E$4:$AI$13,MATCH($D21,Д2!$D$4:$D$13),MATCH(P$7,Д2!$E$3:$AI$3))</f>
        <v>4</v>
      </c>
      <c r="Q21" s="27">
        <f ca="1">INDEX(Д2!$E$4:$AI$13,MATCH($D21,Д2!$D$4:$D$13),MATCH(Q$7,Д2!$E$3:$AI$3))</f>
        <v>8</v>
      </c>
      <c r="R21" s="27">
        <f ca="1">INDEX(Д2!$E$4:$AI$13,MATCH($D21,Д2!$D$4:$D$13),MATCH(R$7,Д2!$E$3:$AI$3))</f>
        <v>12</v>
      </c>
      <c r="S21" s="27">
        <f ca="1">INDEX(Д2!$E$4:$AI$13,MATCH($D21,Д2!$D$4:$D$13),MATCH(S$7,Д2!$E$3:$AI$3))</f>
        <v>0</v>
      </c>
      <c r="T21" s="27">
        <f ca="1">INDEX(Д2!$E$4:$AI$13,MATCH($D21,Д2!$D$4:$D$13),MATCH(T$7,Д2!$E$3:$AI$3))</f>
        <v>0</v>
      </c>
      <c r="U21" s="27">
        <f ca="1">INDEX(Д2!$E$4:$AI$13,MATCH($D21,Д2!$D$4:$D$13),MATCH(U$7,Д2!$E$3:$AI$3))</f>
        <v>4</v>
      </c>
      <c r="V21" s="27">
        <f ca="1">INDEX(Д2!$E$4:$AI$13,MATCH($D21,Д2!$D$4:$D$13),MATCH(V$7,Д2!$E$3:$AI$3))</f>
        <v>8</v>
      </c>
      <c r="W21" s="27">
        <f ca="1">INDEX(Д2!$E$4:$AI$13,MATCH($D21,Д2!$D$4:$D$13),MATCH(W$7,Д2!$E$3:$AI$3))</f>
        <v>12</v>
      </c>
      <c r="X21" s="27">
        <f ca="1">INDEX(Д2!$E$4:$AI$13,MATCH($D21,Д2!$D$4:$D$13),MATCH(X$7,Д2!$E$3:$AI$3))</f>
        <v>4</v>
      </c>
      <c r="Y21" s="27">
        <f ca="1">INDEX(Д2!$E$4:$AI$13,MATCH($D21,Д2!$D$4:$D$13),MATCH(Y$7,Д2!$E$3:$AI$3))</f>
        <v>8</v>
      </c>
      <c r="Z21" s="27">
        <f ca="1">INDEX(Д2!$E$4:$AI$13,MATCH($D21,Д2!$D$4:$D$13),MATCH(Z$7,Д2!$E$3:$AI$3))</f>
        <v>12</v>
      </c>
      <c r="AA21" s="27">
        <f ca="1">INDEX(Д2!$E$4:$AI$13,MATCH($D21,Д2!$D$4:$D$13),MATCH(AA$7,Д2!$E$3:$AI$3))</f>
        <v>0</v>
      </c>
      <c r="AB21" s="27">
        <f ca="1">INDEX(Д2!$E$4:$AI$13,MATCH($D21,Д2!$D$4:$D$13),MATCH(AB$7,Д2!$E$3:$AI$3))</f>
        <v>0</v>
      </c>
      <c r="AC21" s="27">
        <f ca="1">INDEX(Д2!$E$4:$AI$13,MATCH($D21,Д2!$D$4:$D$13),MATCH(AC$7,Д2!$E$3:$AI$3))</f>
        <v>4</v>
      </c>
      <c r="AD21" s="27">
        <f ca="1">INDEX(Д2!$E$4:$AI$13,MATCH($D21,Д2!$D$4:$D$13),MATCH(AD$7,Д2!$E$3:$AI$3))</f>
        <v>8</v>
      </c>
      <c r="AE21" s="27">
        <f ca="1">INDEX(Д2!$E$4:$AI$13,MATCH($D21,Д2!$D$4:$D$13),MATCH(AE$7,Д2!$E$3:$AI$3))</f>
        <v>12</v>
      </c>
      <c r="AF21" s="27">
        <f ca="1">INDEX(Д2!$E$4:$AI$13,MATCH($D21,Д2!$D$4:$D$13),MATCH(AF$7,Д2!$E$3:$AI$3))</f>
        <v>4</v>
      </c>
      <c r="AG21" s="27"/>
      <c r="AH21" s="27"/>
      <c r="AI21" s="106"/>
      <c r="AJ21" s="143">
        <f>INDEX(Д2!AK$14:$AK$23,MATCH($C21,Д2!$C$14:$C$23),MATCH(E$7,Д2!$E$3:$AI$3))*AND(MONTH($E$8)=MONTH(Д2!$B$14))</f>
        <v>160</v>
      </c>
      <c r="AK21" s="144">
        <f ca="1">SUM(E21:AI22)</f>
        <v>168</v>
      </c>
      <c r="AL21" s="144"/>
      <c r="AM21" s="149">
        <f ca="1">SUM(F21:H22,J21:AI22)-AJ21+AL21-12</f>
        <v>-12</v>
      </c>
      <c r="AP21" s="136">
        <f t="shared" ref="AP21" ca="1" si="32">COUNTIF($E21:$AI22,"12")</f>
        <v>7</v>
      </c>
      <c r="AQ21" s="136">
        <f t="shared" ref="AQ21" ca="1" si="33">IF(COUNTIF($E21:$AI22,"СП")&gt;=1,(COUNTIF($E21:$AI22,"4")+COUNTIF($E21:$AI22,"8")-1)/2,(COUNTIF($E21:$AI22,"4")+COUNTIF($E21:$AI22,"8"))/2)</f>
        <v>6.5</v>
      </c>
      <c r="AR21" s="136">
        <f t="shared" ca="1" si="2"/>
        <v>84</v>
      </c>
      <c r="AS21" s="136">
        <f t="shared" ref="AS21" ca="1" si="34">IF(COUNTIF($E21:$AI22,"СП")&gt;=1,SUMIF($E21:$AI22,"4",$E21:$AI22)+SUMIF($E21:$AI22,"8",$E21:$AI22)-8,SUMIF($E21:$AI22,"4",$E21:$AI22)+SUMIF($E21:$AI22,"8",$E21:$AI22))</f>
        <v>76</v>
      </c>
      <c r="AT21" s="136">
        <f t="shared" ref="AT21" ca="1" si="35">$AR21+$AS21</f>
        <v>160</v>
      </c>
      <c r="AU21" s="136" t="str">
        <f t="shared" ref="AU21" ca="1" si="36">IF(AK21=AT21,"+","!")</f>
        <v>!</v>
      </c>
      <c r="AV21" s="136">
        <f t="shared" ref="AV21" ca="1" si="37">COUNTIF($E21:$AI22,"ОТ")</f>
        <v>0</v>
      </c>
      <c r="AW21" s="137" t="str">
        <f ca="1">IF(COUNTIF($A22:$AI22,"СП")&gt;0,IF(INDIRECT(ADDRESS(ROW(),MATCH("СП",$A22:$AI22),1))=8,"","!"),"")</f>
        <v>!</v>
      </c>
      <c r="AX21" s="137" t="str">
        <f ca="1">IF(COUNTIF($A22:$AI22,"СП")&gt;0,IF(INDIRECT(ADDRESS(ROW(),MATCH("СП",$A22:$AI22)-1,1))=4,"!",""),"")</f>
        <v/>
      </c>
    </row>
    <row r="22" spans="1:50" ht="16.5" thickBot="1" x14ac:dyDescent="0.3">
      <c r="A22" s="147"/>
      <c r="B22" s="139"/>
      <c r="C22" s="171"/>
      <c r="D22" s="50">
        <v>4</v>
      </c>
      <c r="E22" s="65" t="str">
        <f>INDEX(Д2!$E$14:$AI$23,MATCH($D22,Д2!$D$14:$D$23),MATCH(E$7,Д2!$E$3:$AI$3))</f>
        <v/>
      </c>
      <c r="F22" s="30" t="str">
        <f>INDEX(Д2!$E$4:$AI$13,MATCH($D22,Д2!$D$4:$D$13),MATCH(F$7,Д2!$E$3:$AI$3))</f>
        <v>СП</v>
      </c>
      <c r="G22" s="30" t="str">
        <f>INDEX(Д2!$E$4:$AI$13,MATCH($D22,Д2!$D$4:$D$13),MATCH(G$7,Д2!$E$3:$AI$3))</f>
        <v/>
      </c>
      <c r="H22" s="30" t="str">
        <f>INDEX(Д2!$E$4:$AI$13,MATCH($D22,Д2!$D$4:$D$13),MATCH(H$7,Д2!$E$3:$AI$3))</f>
        <v/>
      </c>
      <c r="I22" s="30" t="str">
        <f>INDEX(Д2!$E$4:$AI$13,MATCH($D22,Д2!$D$4:$D$13),MATCH(I$7,Д2!$E$3:$AI$3))</f>
        <v/>
      </c>
      <c r="J22" s="30" t="str">
        <f>INDEX(Д2!$E$4:$AI$13,MATCH($D22,Д2!$D$4:$D$13),MATCH(J$7,Д2!$E$3:$AI$3))</f>
        <v/>
      </c>
      <c r="K22" s="30" t="str">
        <f>INDEX(Д2!$E$4:$AI$13,MATCH($D22,Д2!$D$4:$D$13),MATCH(K$7,Д2!$E$3:$AI$3))</f>
        <v/>
      </c>
      <c r="L22" s="30" t="str">
        <f>INDEX(Д2!$E$4:$AI$13,MATCH($D22,Д2!$D$4:$D$13),MATCH(L$7,Д2!$E$3:$AI$3))</f>
        <v/>
      </c>
      <c r="M22" s="30" t="str">
        <f>INDEX(Д2!$E$4:$AI$13,MATCH($D22,Д2!$D$4:$D$13),MATCH(M$7,Д2!$E$3:$AI$3))</f>
        <v/>
      </c>
      <c r="N22" s="30" t="str">
        <f>INDEX(Д2!$E$4:$AI$13,MATCH($D22,Д2!$D$4:$D$13),MATCH(N$7,Д2!$E$3:$AI$3))</f>
        <v/>
      </c>
      <c r="O22" s="30" t="str">
        <f>INDEX(Д2!$E$4:$AI$13,MATCH($D22,Д2!$D$4:$D$13),MATCH(O$7,Д2!$E$3:$AI$3))</f>
        <v/>
      </c>
      <c r="P22" s="30" t="str">
        <f>INDEX(Д2!$E$4:$AI$13,MATCH($D22,Д2!$D$4:$D$13),MATCH(P$7,Д2!$E$3:$AI$3))</f>
        <v/>
      </c>
      <c r="Q22" s="30" t="str">
        <f>INDEX(Д2!$E$4:$AI$13,MATCH($D22,Д2!$D$4:$D$13),MATCH(Q$7,Д2!$E$3:$AI$3))</f>
        <v/>
      </c>
      <c r="R22" s="30" t="str">
        <f>INDEX(Д2!$E$4:$AI$13,MATCH($D22,Д2!$D$4:$D$13),MATCH(R$7,Д2!$E$3:$AI$3))</f>
        <v/>
      </c>
      <c r="S22" s="30" t="str">
        <f>INDEX(Д2!$E$4:$AI$13,MATCH($D22,Д2!$D$4:$D$13),MATCH(S$7,Д2!$E$3:$AI$3))</f>
        <v/>
      </c>
      <c r="T22" s="30" t="str">
        <f>INDEX(Д2!$E$4:$AI$13,MATCH($D22,Д2!$D$4:$D$13),MATCH(T$7,Д2!$E$3:$AI$3))</f>
        <v/>
      </c>
      <c r="U22" s="30" t="str">
        <f>INDEX(Д2!$E$4:$AI$13,MATCH($D22,Д2!$D$4:$D$13),MATCH(U$7,Д2!$E$3:$AI$3))</f>
        <v/>
      </c>
      <c r="V22" s="30" t="str">
        <f>INDEX(Д2!$E$4:$AI$13,MATCH($D22,Д2!$D$4:$D$13),MATCH(V$7,Д2!$E$3:$AI$3))</f>
        <v/>
      </c>
      <c r="W22" s="30" t="str">
        <f>INDEX(Д2!$E$4:$AI$13,MATCH($D22,Д2!$D$4:$D$13),MATCH(W$7,Д2!$E$3:$AI$3))</f>
        <v/>
      </c>
      <c r="X22" s="30" t="str">
        <f>INDEX(Д2!$E$4:$AI$13,MATCH($D22,Д2!$D$4:$D$13),MATCH(X$7,Д2!$E$3:$AI$3))</f>
        <v/>
      </c>
      <c r="Y22" s="30" t="str">
        <f>INDEX(Д2!$E$4:$AI$13,MATCH($D22,Д2!$D$4:$D$13),MATCH(Y$7,Д2!$E$3:$AI$3))</f>
        <v/>
      </c>
      <c r="Z22" s="30" t="str">
        <f>INDEX(Д2!$E$4:$AI$13,MATCH($D22,Д2!$D$4:$D$13),MATCH(Z$7,Д2!$E$3:$AI$3))</f>
        <v/>
      </c>
      <c r="AA22" s="30" t="str">
        <f>INDEX(Д2!$E$4:$AI$13,MATCH($D22,Д2!$D$4:$D$13),MATCH(AA$7,Д2!$E$3:$AI$3))</f>
        <v/>
      </c>
      <c r="AB22" s="30" t="str">
        <f>INDEX(Д2!$E$4:$AI$13,MATCH($D22,Д2!$D$4:$D$13),MATCH(AB$7,Д2!$E$3:$AI$3))</f>
        <v/>
      </c>
      <c r="AC22" s="30" t="str">
        <f>INDEX(Д2!$E$4:$AI$13,MATCH($D22,Д2!$D$4:$D$13),MATCH(AC$7,Д2!$E$3:$AI$3))</f>
        <v/>
      </c>
      <c r="AD22" s="30" t="str">
        <f>INDEX(Д2!$E$4:$AI$13,MATCH($D22,Д2!$D$4:$D$13),MATCH(AD$7,Д2!$E$3:$AI$3))</f>
        <v/>
      </c>
      <c r="AE22" s="30" t="str">
        <f>INDEX(Д2!$E$4:$AI$13,MATCH($D22,Д2!$D$4:$D$13),MATCH(AE$7,Д2!$E$3:$AI$3))</f>
        <v/>
      </c>
      <c r="AF22" s="30" t="str">
        <f>INDEX(Д2!$E$4:$AI$13,MATCH($D22,Д2!$D$4:$D$13),MATCH(AF$7,Д2!$E$3:$AI$3))</f>
        <v/>
      </c>
      <c r="AG22" s="30"/>
      <c r="AH22" s="30"/>
      <c r="AI22" s="103"/>
      <c r="AJ22" s="143"/>
      <c r="AK22" s="145"/>
      <c r="AL22" s="145"/>
      <c r="AM22" s="150"/>
      <c r="AP22" s="136"/>
      <c r="AQ22" s="136"/>
      <c r="AR22" s="136"/>
      <c r="AS22" s="136"/>
      <c r="AT22" s="136"/>
      <c r="AU22" s="136"/>
      <c r="AV22" s="136"/>
      <c r="AW22" s="137"/>
      <c r="AX22" s="137"/>
    </row>
    <row r="23" spans="1:50" ht="16.5" customHeight="1" thickBot="1" x14ac:dyDescent="0.3">
      <c r="A23" s="147"/>
      <c r="B23" s="139" t="s">
        <v>87</v>
      </c>
      <c r="C23" s="170">
        <v>3</v>
      </c>
      <c r="D23" s="49">
        <v>5</v>
      </c>
      <c r="E23" s="62">
        <f ca="1">INDEX(Д2!$E$14:$AI$23,MATCH($D23,Д2!$D$14:$D$23),MATCH(E$7,Д2!$E$3:$AI$3))</f>
        <v>4</v>
      </c>
      <c r="F23" s="28">
        <f ca="1">INDEX(Д2!$E$4:$AI$13,MATCH($D23,Д2!$D$4:$D$13),MATCH(F$7,Д2!$E$3:$AI$3))</f>
        <v>12</v>
      </c>
      <c r="G23" s="28">
        <f ca="1">INDEX(Д2!$E$4:$AI$13,MATCH($D23,Д2!$D$4:$D$13),MATCH(G$7,Д2!$E$3:$AI$3))</f>
        <v>8</v>
      </c>
      <c r="H23" s="28">
        <f ca="1">INDEX(Д2!$E$4:$AI$13,MATCH($D23,Д2!$D$4:$D$13),MATCH(H$7,Д2!$E$3:$AI$3))</f>
        <v>0</v>
      </c>
      <c r="I23" s="28">
        <f ca="1">INDEX(Д2!$E$4:$AI$13,MATCH($D23,Д2!$D$4:$D$13),MATCH(I$7,Д2!$E$3:$AI$3))</f>
        <v>4</v>
      </c>
      <c r="J23" s="28">
        <f ca="1">INDEX(Д2!$E$4:$AI$13,MATCH($D23,Д2!$D$4:$D$13),MATCH(J$7,Д2!$E$3:$AI$3))</f>
        <v>8</v>
      </c>
      <c r="K23" s="28">
        <f ca="1">INDEX(Д2!$E$4:$AI$13,MATCH($D23,Д2!$D$4:$D$13),MATCH(K$7,Д2!$E$3:$AI$3))</f>
        <v>12</v>
      </c>
      <c r="L23" s="28">
        <f ca="1">INDEX(Д2!$E$4:$AI$13,MATCH($D23,Д2!$D$4:$D$13),MATCH(L$7,Д2!$E$3:$AI$3))</f>
        <v>4</v>
      </c>
      <c r="M23" s="28">
        <f ca="1">INDEX(Д2!$E$4:$AI$13,MATCH($D23,Д2!$D$4:$D$13),MATCH(M$7,Д2!$E$3:$AI$3))</f>
        <v>8</v>
      </c>
      <c r="N23" s="28">
        <f ca="1">INDEX(Д2!$E$4:$AI$13,MATCH($D23,Д2!$D$4:$D$13),MATCH(N$7,Д2!$E$3:$AI$3))</f>
        <v>12</v>
      </c>
      <c r="O23" s="28">
        <f ca="1">INDEX(Д2!$E$4:$AI$13,MATCH($D23,Д2!$D$4:$D$13),MATCH(O$7,Д2!$E$3:$AI$3))</f>
        <v>0</v>
      </c>
      <c r="P23" s="28">
        <f ca="1">INDEX(Д2!$E$4:$AI$13,MATCH($D23,Д2!$D$4:$D$13),MATCH(P$7,Д2!$E$3:$AI$3))</f>
        <v>0</v>
      </c>
      <c r="Q23" s="28">
        <f ca="1">INDEX(Д2!$E$4:$AI$13,MATCH($D23,Д2!$D$4:$D$13),MATCH(Q$7,Д2!$E$3:$AI$3))</f>
        <v>4</v>
      </c>
      <c r="R23" s="28">
        <f ca="1">INDEX(Д2!$E$4:$AI$13,MATCH($D23,Д2!$D$4:$D$13),MATCH(R$7,Д2!$E$3:$AI$3))</f>
        <v>8</v>
      </c>
      <c r="S23" s="28">
        <f ca="1">INDEX(Д2!$E$4:$AI$13,MATCH($D23,Д2!$D$4:$D$13),MATCH(S$7,Д2!$E$3:$AI$3))</f>
        <v>12</v>
      </c>
      <c r="T23" s="28">
        <f ca="1">INDEX(Д2!$E$4:$AI$13,MATCH($D23,Д2!$D$4:$D$13),MATCH(T$7,Д2!$E$3:$AI$3))</f>
        <v>4</v>
      </c>
      <c r="U23" s="28">
        <f ca="1">INDEX(Д2!$E$4:$AI$13,MATCH($D23,Д2!$D$4:$D$13),MATCH(U$7,Д2!$E$3:$AI$3))</f>
        <v>8</v>
      </c>
      <c r="V23" s="28">
        <f ca="1">INDEX(Д2!$E$4:$AI$13,MATCH($D23,Д2!$D$4:$D$13),MATCH(V$7,Д2!$E$3:$AI$3))</f>
        <v>12</v>
      </c>
      <c r="W23" s="28">
        <f ca="1">INDEX(Д2!$E$4:$AI$13,MATCH($D23,Д2!$D$4:$D$13),MATCH(W$7,Д2!$E$3:$AI$3))</f>
        <v>0</v>
      </c>
      <c r="X23" s="28">
        <f ca="1">INDEX(Д2!$E$4:$AI$13,MATCH($D23,Д2!$D$4:$D$13),MATCH(X$7,Д2!$E$3:$AI$3))</f>
        <v>0</v>
      </c>
      <c r="Y23" s="28">
        <f ca="1">INDEX(Д2!$E$4:$AI$13,MATCH($D23,Д2!$D$4:$D$13),MATCH(Y$7,Д2!$E$3:$AI$3))</f>
        <v>4</v>
      </c>
      <c r="Z23" s="28">
        <f ca="1">INDEX(Д2!$E$4:$AI$13,MATCH($D23,Д2!$D$4:$D$13),MATCH(Z$7,Д2!$E$3:$AI$3))</f>
        <v>8</v>
      </c>
      <c r="AA23" s="28">
        <f ca="1">INDEX(Д2!$E$4:$AI$13,MATCH($D23,Д2!$D$4:$D$13),MATCH(AA$7,Д2!$E$3:$AI$3))</f>
        <v>12</v>
      </c>
      <c r="AB23" s="28">
        <f ca="1">INDEX(Д2!$E$4:$AI$13,MATCH($D23,Д2!$D$4:$D$13),MATCH(AB$7,Д2!$E$3:$AI$3))</f>
        <v>4</v>
      </c>
      <c r="AC23" s="28">
        <f ca="1">INDEX(Д2!$E$4:$AI$13,MATCH($D23,Д2!$D$4:$D$13),MATCH(AC$7,Д2!$E$3:$AI$3))</f>
        <v>8</v>
      </c>
      <c r="AD23" s="28">
        <f ca="1">INDEX(Д2!$E$4:$AI$13,MATCH($D23,Д2!$D$4:$D$13),MATCH(AD$7,Д2!$E$3:$AI$3))</f>
        <v>12</v>
      </c>
      <c r="AE23" s="28">
        <f ca="1">INDEX(Д2!$E$4:$AI$13,MATCH($D23,Д2!$D$4:$D$13),MATCH(AE$7,Д2!$E$3:$AI$3))</f>
        <v>0</v>
      </c>
      <c r="AF23" s="28">
        <f ca="1">INDEX(Д2!$E$4:$AI$13,MATCH($D23,Д2!$D$4:$D$13),MATCH(AF$7,Д2!$E$3:$AI$3))</f>
        <v>0</v>
      </c>
      <c r="AG23" s="28"/>
      <c r="AH23" s="28"/>
      <c r="AI23" s="108"/>
      <c r="AJ23" s="143">
        <f>INDEX(Д2!AK$14:$AK$23,MATCH($C23,Д2!$C$14:$C$23),MATCH(E$7,Д2!$E$3:$AI$3))*AND(MONTH($E$8)=MONTH(Д2!$B$14))</f>
        <v>160</v>
      </c>
      <c r="AK23" s="144">
        <f ca="1">SUM(E23:AI24)</f>
        <v>168</v>
      </c>
      <c r="AL23" s="144"/>
      <c r="AM23" s="149">
        <f ca="1">SUM(F23:H24,J23:AI24)-AJ23+AL23-12</f>
        <v>-12</v>
      </c>
      <c r="AP23" s="136">
        <f t="shared" ref="AP23" ca="1" si="38">COUNTIF($E23:$AI24,"12")</f>
        <v>7</v>
      </c>
      <c r="AQ23" s="136">
        <f t="shared" ref="AQ23" ca="1" si="39">IF(COUNTIF($E23:$AI24,"СП")&gt;=1,(COUNTIF($E23:$AI24,"4")+COUNTIF($E23:$AI24,"8")-1)/2,(COUNTIF($E23:$AI24,"4")+COUNTIF($E23:$AI24,"8"))/2)</f>
        <v>6.5</v>
      </c>
      <c r="AR23" s="136">
        <f t="shared" ca="1" si="2"/>
        <v>84</v>
      </c>
      <c r="AS23" s="136">
        <f t="shared" ref="AS23" ca="1" si="40">IF(COUNTIF($E23:$AI24,"СП")&gt;=1,SUMIF($E23:$AI24,"4",$E23:$AI24)+SUMIF($E23:$AI24,"8",$E23:$AI24)-8,SUMIF($E23:$AI24,"4",$E23:$AI24)+SUMIF($E23:$AI24,"8",$E23:$AI24))</f>
        <v>76</v>
      </c>
      <c r="AT23" s="136">
        <f t="shared" ref="AT23" ca="1" si="41">$AR23+$AS23</f>
        <v>160</v>
      </c>
      <c r="AU23" s="136" t="str">
        <f t="shared" ref="AU23" ca="1" si="42">IF(AK23=AT23,"+","!")</f>
        <v>!</v>
      </c>
      <c r="AV23" s="136">
        <f t="shared" ref="AV23" ca="1" si="43">COUNTIF($E23:$AI24,"ОТ")</f>
        <v>0</v>
      </c>
      <c r="AW23" s="137" t="str">
        <f ca="1">IF(COUNTIF($A24:$AI24,"СП")&gt;0,IF(INDIRECT(ADDRESS(ROW(),MATCH("СП",$A24:$AI24),1))=8,"","!"),"")</f>
        <v>!</v>
      </c>
      <c r="AX23" s="137" t="str">
        <f ca="1">IF(COUNTIF($A24:$AI24,"СП")&gt;0,IF(INDIRECT(ADDRESS(ROW(),MATCH("СП",$A24:$AI24)-1,1))=4,"!",""),"")</f>
        <v/>
      </c>
    </row>
    <row r="24" spans="1:50" ht="16.5" thickBot="1" x14ac:dyDescent="0.3">
      <c r="A24" s="147"/>
      <c r="B24" s="139"/>
      <c r="C24" s="171"/>
      <c r="D24" s="50">
        <v>6</v>
      </c>
      <c r="E24" s="63" t="str">
        <f>INDEX(Д2!$E$14:$AI$23,MATCH($D24,Д2!$D$14:$D$23),MATCH(E$7,Д2!$E$3:$AI$3))</f>
        <v/>
      </c>
      <c r="F24" s="29" t="str">
        <f>INDEX(Д2!$E$4:$AI$13,MATCH($D24,Д2!$D$4:$D$13),MATCH(F$7,Д2!$E$3:$AI$3))</f>
        <v/>
      </c>
      <c r="G24" s="29" t="str">
        <f>INDEX(Д2!$E$4:$AI$13,MATCH($D24,Д2!$D$4:$D$13),MATCH(G$7,Д2!$E$3:$AI$3))</f>
        <v>СП</v>
      </c>
      <c r="H24" s="29" t="str">
        <f>INDEX(Д2!$E$4:$AI$13,MATCH($D24,Д2!$D$4:$D$13),MATCH(H$7,Д2!$E$3:$AI$3))</f>
        <v/>
      </c>
      <c r="I24" s="29" t="str">
        <f>INDEX(Д2!$E$4:$AI$13,MATCH($D24,Д2!$D$4:$D$13),MATCH(I$7,Д2!$E$3:$AI$3))</f>
        <v/>
      </c>
      <c r="J24" s="29" t="str">
        <f>INDEX(Д2!$E$4:$AI$13,MATCH($D24,Д2!$D$4:$D$13),MATCH(J$7,Д2!$E$3:$AI$3))</f>
        <v/>
      </c>
      <c r="K24" s="29" t="str">
        <f>INDEX(Д2!$E$4:$AI$13,MATCH($D24,Д2!$D$4:$D$13),MATCH(K$7,Д2!$E$3:$AI$3))</f>
        <v/>
      </c>
      <c r="L24" s="29" t="str">
        <f>INDEX(Д2!$E$4:$AI$13,MATCH($D24,Д2!$D$4:$D$13),MATCH(L$7,Д2!$E$3:$AI$3))</f>
        <v/>
      </c>
      <c r="M24" s="29" t="str">
        <f>INDEX(Д2!$E$4:$AI$13,MATCH($D24,Д2!$D$4:$D$13),MATCH(M$7,Д2!$E$3:$AI$3))</f>
        <v/>
      </c>
      <c r="N24" s="29" t="str">
        <f>INDEX(Д2!$E$4:$AI$13,MATCH($D24,Д2!$D$4:$D$13),MATCH(N$7,Д2!$E$3:$AI$3))</f>
        <v/>
      </c>
      <c r="O24" s="29" t="str">
        <f>INDEX(Д2!$E$4:$AI$13,MATCH($D24,Д2!$D$4:$D$13),MATCH(O$7,Д2!$E$3:$AI$3))</f>
        <v/>
      </c>
      <c r="P24" s="29" t="str">
        <f>INDEX(Д2!$E$4:$AI$13,MATCH($D24,Д2!$D$4:$D$13),MATCH(P$7,Д2!$E$3:$AI$3))</f>
        <v/>
      </c>
      <c r="Q24" s="29" t="str">
        <f>INDEX(Д2!$E$4:$AI$13,MATCH($D24,Д2!$D$4:$D$13),MATCH(Q$7,Д2!$E$3:$AI$3))</f>
        <v/>
      </c>
      <c r="R24" s="29" t="str">
        <f>INDEX(Д2!$E$4:$AI$13,MATCH($D24,Д2!$D$4:$D$13),MATCH(R$7,Д2!$E$3:$AI$3))</f>
        <v/>
      </c>
      <c r="S24" s="29" t="str">
        <f>INDEX(Д2!$E$4:$AI$13,MATCH($D24,Д2!$D$4:$D$13),MATCH(S$7,Д2!$E$3:$AI$3))</f>
        <v/>
      </c>
      <c r="T24" s="29" t="str">
        <f>INDEX(Д2!$E$4:$AI$13,MATCH($D24,Д2!$D$4:$D$13),MATCH(T$7,Д2!$E$3:$AI$3))</f>
        <v/>
      </c>
      <c r="U24" s="29" t="str">
        <f>INDEX(Д2!$E$4:$AI$13,MATCH($D24,Д2!$D$4:$D$13),MATCH(U$7,Д2!$E$3:$AI$3))</f>
        <v/>
      </c>
      <c r="V24" s="29" t="str">
        <f>INDEX(Д2!$E$4:$AI$13,MATCH($D24,Д2!$D$4:$D$13),MATCH(V$7,Д2!$E$3:$AI$3))</f>
        <v/>
      </c>
      <c r="W24" s="29" t="str">
        <f>INDEX(Д2!$E$4:$AI$13,MATCH($D24,Д2!$D$4:$D$13),MATCH(W$7,Д2!$E$3:$AI$3))</f>
        <v/>
      </c>
      <c r="X24" s="29" t="str">
        <f>INDEX(Д2!$E$4:$AI$13,MATCH($D24,Д2!$D$4:$D$13),MATCH(X$7,Д2!$E$3:$AI$3))</f>
        <v/>
      </c>
      <c r="Y24" s="29" t="str">
        <f>INDEX(Д2!$E$4:$AI$13,MATCH($D24,Д2!$D$4:$D$13),MATCH(Y$7,Д2!$E$3:$AI$3))</f>
        <v/>
      </c>
      <c r="Z24" s="29" t="str">
        <f>INDEX(Д2!$E$4:$AI$13,MATCH($D24,Д2!$D$4:$D$13),MATCH(Z$7,Д2!$E$3:$AI$3))</f>
        <v/>
      </c>
      <c r="AA24" s="29" t="str">
        <f>INDEX(Д2!$E$4:$AI$13,MATCH($D24,Д2!$D$4:$D$13),MATCH(AA$7,Д2!$E$3:$AI$3))</f>
        <v/>
      </c>
      <c r="AB24" s="29" t="str">
        <f>INDEX(Д2!$E$4:$AI$13,MATCH($D24,Д2!$D$4:$D$13),MATCH(AB$7,Д2!$E$3:$AI$3))</f>
        <v/>
      </c>
      <c r="AC24" s="29" t="str">
        <f>INDEX(Д2!$E$4:$AI$13,MATCH($D24,Д2!$D$4:$D$13),MATCH(AC$7,Д2!$E$3:$AI$3))</f>
        <v/>
      </c>
      <c r="AD24" s="29" t="str">
        <f>INDEX(Д2!$E$4:$AI$13,MATCH($D24,Д2!$D$4:$D$13),MATCH(AD$7,Д2!$E$3:$AI$3))</f>
        <v/>
      </c>
      <c r="AE24" s="29" t="str">
        <f>INDEX(Д2!$E$4:$AI$13,MATCH($D24,Д2!$D$4:$D$13),MATCH(AE$7,Д2!$E$3:$AI$3))</f>
        <v/>
      </c>
      <c r="AF24" s="29" t="str">
        <f>INDEX(Д2!$E$4:$AI$13,MATCH($D24,Д2!$D$4:$D$13),MATCH(AF$7,Д2!$E$3:$AI$3))</f>
        <v/>
      </c>
      <c r="AG24" s="29"/>
      <c r="AH24" s="29"/>
      <c r="AI24" s="107"/>
      <c r="AJ24" s="143"/>
      <c r="AK24" s="145"/>
      <c r="AL24" s="145"/>
      <c r="AM24" s="150"/>
      <c r="AP24" s="136"/>
      <c r="AQ24" s="136"/>
      <c r="AR24" s="136"/>
      <c r="AS24" s="136"/>
      <c r="AT24" s="136"/>
      <c r="AU24" s="136"/>
      <c r="AV24" s="136"/>
      <c r="AW24" s="137"/>
      <c r="AX24" s="137"/>
    </row>
    <row r="25" spans="1:50" ht="16.5" customHeight="1" thickBot="1" x14ac:dyDescent="0.3">
      <c r="A25" s="147"/>
      <c r="B25" s="139" t="s">
        <v>88</v>
      </c>
      <c r="C25" s="170">
        <v>4</v>
      </c>
      <c r="D25" s="49">
        <v>7</v>
      </c>
      <c r="E25" s="64">
        <f ca="1">INDEX(Д2!$E$14:$AI$23,MATCH($D25,Д2!$D$14:$D$23),MATCH(E$7,Д2!$E$3:$AI$3))</f>
        <v>8</v>
      </c>
      <c r="F25" s="27">
        <f ca="1">INDEX(Д2!$E$4:$AI$13,MATCH($D25,Д2!$D$4:$D$13),MATCH(F$7,Д2!$E$3:$AI$3))</f>
        <v>4</v>
      </c>
      <c r="G25" s="27">
        <f ca="1">INDEX(Д2!$E$4:$AI$13,MATCH($D25,Д2!$D$4:$D$13),MATCH(G$7,Д2!$E$3:$AI$3))</f>
        <v>8</v>
      </c>
      <c r="H25" s="27">
        <f ca="1">INDEX(Д2!$E$4:$AI$13,MATCH($D25,Д2!$D$4:$D$13),MATCH(H$7,Д2!$E$3:$AI$3))</f>
        <v>12</v>
      </c>
      <c r="I25" s="27">
        <f ca="1">INDEX(Д2!$E$4:$AI$13,MATCH($D25,Д2!$D$4:$D$13),MATCH(I$7,Д2!$E$3:$AI$3))</f>
        <v>0</v>
      </c>
      <c r="J25" s="27">
        <f ca="1">INDEX(Д2!$E$4:$AI$13,MATCH($D25,Д2!$D$4:$D$13),MATCH(J$7,Д2!$E$3:$AI$3))</f>
        <v>0</v>
      </c>
      <c r="K25" s="27">
        <f ca="1">INDEX(Д2!$E$4:$AI$13,MATCH($D25,Д2!$D$4:$D$13),MATCH(K$7,Д2!$E$3:$AI$3))</f>
        <v>4</v>
      </c>
      <c r="L25" s="27">
        <f ca="1">INDEX(Д2!$E$4:$AI$13,MATCH($D25,Д2!$D$4:$D$13),MATCH(L$7,Д2!$E$3:$AI$3))</f>
        <v>8</v>
      </c>
      <c r="M25" s="27">
        <f ca="1">INDEX(Д2!$E$4:$AI$13,MATCH($D25,Д2!$D$4:$D$13),MATCH(M$7,Д2!$E$3:$AI$3))</f>
        <v>12</v>
      </c>
      <c r="N25" s="27">
        <f ca="1">INDEX(Д2!$E$4:$AI$13,MATCH($D25,Д2!$D$4:$D$13),MATCH(N$7,Д2!$E$3:$AI$3))</f>
        <v>4</v>
      </c>
      <c r="O25" s="27">
        <f ca="1">INDEX(Д2!$E$4:$AI$13,MATCH($D25,Д2!$D$4:$D$13),MATCH(O$7,Д2!$E$3:$AI$3))</f>
        <v>8</v>
      </c>
      <c r="P25" s="27">
        <f ca="1">INDEX(Д2!$E$4:$AI$13,MATCH($D25,Д2!$D$4:$D$13),MATCH(P$7,Д2!$E$3:$AI$3))</f>
        <v>12</v>
      </c>
      <c r="Q25" s="27">
        <f ca="1">INDEX(Д2!$E$4:$AI$13,MATCH($D25,Д2!$D$4:$D$13),MATCH(Q$7,Д2!$E$3:$AI$3))</f>
        <v>0</v>
      </c>
      <c r="R25" s="27">
        <f ca="1">INDEX(Д2!$E$4:$AI$13,MATCH($D25,Д2!$D$4:$D$13),MATCH(R$7,Д2!$E$3:$AI$3))</f>
        <v>0</v>
      </c>
      <c r="S25" s="27">
        <f ca="1">INDEX(Д2!$E$4:$AI$13,MATCH($D25,Д2!$D$4:$D$13),MATCH(S$7,Д2!$E$3:$AI$3))</f>
        <v>4</v>
      </c>
      <c r="T25" s="27">
        <f ca="1">INDEX(Д2!$E$4:$AI$13,MATCH($D25,Д2!$D$4:$D$13),MATCH(T$7,Д2!$E$3:$AI$3))</f>
        <v>8</v>
      </c>
      <c r="U25" s="27">
        <f ca="1">INDEX(Д2!$E$4:$AI$13,MATCH($D25,Д2!$D$4:$D$13),MATCH(U$7,Д2!$E$3:$AI$3))</f>
        <v>12</v>
      </c>
      <c r="V25" s="27">
        <f ca="1">INDEX(Д2!$E$4:$AI$13,MATCH($D25,Д2!$D$4:$D$13),MATCH(V$7,Д2!$E$3:$AI$3))</f>
        <v>4</v>
      </c>
      <c r="W25" s="27">
        <f ca="1">INDEX(Д2!$E$4:$AI$13,MATCH($D25,Д2!$D$4:$D$13),MATCH(W$7,Д2!$E$3:$AI$3))</f>
        <v>8</v>
      </c>
      <c r="X25" s="27">
        <f ca="1">INDEX(Д2!$E$4:$AI$13,MATCH($D25,Д2!$D$4:$D$13),MATCH(X$7,Д2!$E$3:$AI$3))</f>
        <v>12</v>
      </c>
      <c r="Y25" s="27">
        <f ca="1">INDEX(Д2!$E$4:$AI$13,MATCH($D25,Д2!$D$4:$D$13),MATCH(Y$7,Д2!$E$3:$AI$3))</f>
        <v>0</v>
      </c>
      <c r="Z25" s="27">
        <f ca="1">INDEX(Д2!$E$4:$AI$13,MATCH($D25,Д2!$D$4:$D$13),MATCH(Z$7,Д2!$E$3:$AI$3))</f>
        <v>0</v>
      </c>
      <c r="AA25" s="27">
        <f ca="1">INDEX(Д2!$E$4:$AI$13,MATCH($D25,Д2!$D$4:$D$13),MATCH(AA$7,Д2!$E$3:$AI$3))</f>
        <v>4</v>
      </c>
      <c r="AB25" s="27">
        <f ca="1">INDEX(Д2!$E$4:$AI$13,MATCH($D25,Д2!$D$4:$D$13),MATCH(AB$7,Д2!$E$3:$AI$3))</f>
        <v>8</v>
      </c>
      <c r="AC25" s="27">
        <f ca="1">INDEX(Д2!$E$4:$AI$13,MATCH($D25,Д2!$D$4:$D$13),MATCH(AC$7,Д2!$E$3:$AI$3))</f>
        <v>12</v>
      </c>
      <c r="AD25" s="27">
        <f ca="1">INDEX(Д2!$E$4:$AI$13,MATCH($D25,Д2!$D$4:$D$13),MATCH(AD$7,Д2!$E$3:$AI$3))</f>
        <v>4</v>
      </c>
      <c r="AE25" s="27">
        <f ca="1">INDEX(Д2!$E$4:$AI$13,MATCH($D25,Д2!$D$4:$D$13),MATCH(AE$7,Д2!$E$3:$AI$3))</f>
        <v>8</v>
      </c>
      <c r="AF25" s="27">
        <f ca="1">INDEX(Д2!$E$4:$AI$13,MATCH($D25,Д2!$D$4:$D$13),MATCH(AF$7,Д2!$E$3:$AI$3))</f>
        <v>12</v>
      </c>
      <c r="AG25" s="27"/>
      <c r="AH25" s="27"/>
      <c r="AI25" s="106"/>
      <c r="AJ25" s="143">
        <f>INDEX(Д2!AK$14:$AK$23,MATCH($C25,Д2!$C$14:$C$23),MATCH(E$7,Д2!$E$3:$AI$3))*AND(MONTH($E$8)=MONTH(Д2!$B$14))</f>
        <v>160</v>
      </c>
      <c r="AK25" s="144">
        <f ca="1">SUM(E25:AI26)</f>
        <v>176</v>
      </c>
      <c r="AL25" s="144"/>
      <c r="AM25" s="149">
        <f ca="1">SUM(F25:H26,J25:AI26)-AJ25+AL25-12</f>
        <v>-4</v>
      </c>
      <c r="AP25" s="136">
        <f t="shared" ref="AP25" ca="1" si="44">COUNTIF($E25:$AI26,"12")</f>
        <v>7</v>
      </c>
      <c r="AQ25" s="136">
        <f t="shared" ref="AQ25" ca="1" si="45">IF(COUNTIF($E25:$AI26,"СП")&gt;=1,(COUNTIF($E25:$AI26,"4")+COUNTIF($E25:$AI26,"8")-1)/2,(COUNTIF($E25:$AI26,"4")+COUNTIF($E25:$AI26,"8"))/2)</f>
        <v>7</v>
      </c>
      <c r="AR25" s="136">
        <f t="shared" ca="1" si="2"/>
        <v>84</v>
      </c>
      <c r="AS25" s="136">
        <f t="shared" ref="AS25" ca="1" si="46">IF(COUNTIF($E25:$AI26,"СП")&gt;=1,SUMIF($E25:$AI26,"4",$E25:$AI26)+SUMIF($E25:$AI26,"8",$E25:$AI26)-8,SUMIF($E25:$AI26,"4",$E25:$AI26)+SUMIF($E25:$AI26,"8",$E25:$AI26))</f>
        <v>84</v>
      </c>
      <c r="AT25" s="136">
        <f t="shared" ref="AT25" ca="1" si="47">$AR25+$AS25</f>
        <v>168</v>
      </c>
      <c r="AU25" s="136" t="str">
        <f t="shared" ref="AU25" ca="1" si="48">IF(AK25=AT25,"+","!")</f>
        <v>!</v>
      </c>
      <c r="AV25" s="136">
        <f t="shared" ref="AV25" ca="1" si="49">COUNTIF($E25:$AI26,"ОТ")</f>
        <v>0</v>
      </c>
      <c r="AW25" s="137" t="str">
        <f ca="1">IF(COUNTIF($A26:$AI26,"СП")&gt;0,IF(INDIRECT(ADDRESS(ROW(),MATCH("СП",$A26:$AI26),1))=8,"","!"),"")</f>
        <v>!</v>
      </c>
      <c r="AX25" s="137" t="str">
        <f ca="1">IF(COUNTIF($A26:$AI26,"СП")&gt;0,IF(INDIRECT(ADDRESS(ROW(),MATCH("СП",$A26:$AI26)-1,1))=4,"!",""),"")</f>
        <v/>
      </c>
    </row>
    <row r="26" spans="1:50" ht="16.5" thickBot="1" x14ac:dyDescent="0.3">
      <c r="A26" s="147"/>
      <c r="B26" s="139"/>
      <c r="C26" s="171"/>
      <c r="D26" s="50">
        <v>8</v>
      </c>
      <c r="E26" s="65" t="str">
        <f>INDEX(Д2!$E$14:$AI$23,MATCH($D26,Д2!$D$14:$D$23),MATCH(E$7,Д2!$E$3:$AI$3))</f>
        <v/>
      </c>
      <c r="F26" s="30" t="str">
        <f>INDEX(Д2!$E$4:$AI$13,MATCH($D26,Д2!$D$4:$D$13),MATCH(F$7,Д2!$E$3:$AI$3))</f>
        <v/>
      </c>
      <c r="G26" s="30" t="str">
        <f>INDEX(Д2!$E$4:$AI$13,MATCH($D26,Д2!$D$4:$D$13),MATCH(G$7,Д2!$E$3:$AI$3))</f>
        <v/>
      </c>
      <c r="H26" s="30" t="str">
        <f>INDEX(Д2!$E$4:$AI$13,MATCH($D26,Д2!$D$4:$D$13),MATCH(H$7,Д2!$E$3:$AI$3))</f>
        <v>СП</v>
      </c>
      <c r="I26" s="30" t="str">
        <f>INDEX(Д2!$E$4:$AI$13,MATCH($D26,Д2!$D$4:$D$13),MATCH(I$7,Д2!$E$3:$AI$3))</f>
        <v/>
      </c>
      <c r="J26" s="30" t="str">
        <f>INDEX(Д2!$E$4:$AI$13,MATCH($D26,Д2!$D$4:$D$13),MATCH(J$7,Д2!$E$3:$AI$3))</f>
        <v/>
      </c>
      <c r="K26" s="30" t="str">
        <f>INDEX(Д2!$E$4:$AI$13,MATCH($D26,Д2!$D$4:$D$13),MATCH(K$7,Д2!$E$3:$AI$3))</f>
        <v/>
      </c>
      <c r="L26" s="30" t="str">
        <f>INDEX(Д2!$E$4:$AI$13,MATCH($D26,Д2!$D$4:$D$13),MATCH(L$7,Д2!$E$3:$AI$3))</f>
        <v/>
      </c>
      <c r="M26" s="30" t="str">
        <f>INDEX(Д2!$E$4:$AI$13,MATCH($D26,Д2!$D$4:$D$13),MATCH(M$7,Д2!$E$3:$AI$3))</f>
        <v/>
      </c>
      <c r="N26" s="30" t="str">
        <f>INDEX(Д2!$E$4:$AI$13,MATCH($D26,Д2!$D$4:$D$13),MATCH(N$7,Д2!$E$3:$AI$3))</f>
        <v/>
      </c>
      <c r="O26" s="30" t="str">
        <f>INDEX(Д2!$E$4:$AI$13,MATCH($D26,Д2!$D$4:$D$13),MATCH(O$7,Д2!$E$3:$AI$3))</f>
        <v/>
      </c>
      <c r="P26" s="30" t="str">
        <f>INDEX(Д2!$E$4:$AI$13,MATCH($D26,Д2!$D$4:$D$13),MATCH(P$7,Д2!$E$3:$AI$3))</f>
        <v/>
      </c>
      <c r="Q26" s="30" t="str">
        <f>INDEX(Д2!$E$4:$AI$13,MATCH($D26,Д2!$D$4:$D$13),MATCH(Q$7,Д2!$E$3:$AI$3))</f>
        <v/>
      </c>
      <c r="R26" s="30" t="str">
        <f>INDEX(Д2!$E$4:$AI$13,MATCH($D26,Д2!$D$4:$D$13),MATCH(R$7,Д2!$E$3:$AI$3))</f>
        <v/>
      </c>
      <c r="S26" s="30" t="str">
        <f>INDEX(Д2!$E$4:$AI$13,MATCH($D26,Д2!$D$4:$D$13),MATCH(S$7,Д2!$E$3:$AI$3))</f>
        <v/>
      </c>
      <c r="T26" s="30" t="str">
        <f>INDEX(Д2!$E$4:$AI$13,MATCH($D26,Д2!$D$4:$D$13),MATCH(T$7,Д2!$E$3:$AI$3))</f>
        <v/>
      </c>
      <c r="U26" s="30" t="str">
        <f>INDEX(Д2!$E$4:$AI$13,MATCH($D26,Д2!$D$4:$D$13),MATCH(U$7,Д2!$E$3:$AI$3))</f>
        <v/>
      </c>
      <c r="V26" s="30" t="str">
        <f>INDEX(Д2!$E$4:$AI$13,MATCH($D26,Д2!$D$4:$D$13),MATCH(V$7,Д2!$E$3:$AI$3))</f>
        <v/>
      </c>
      <c r="W26" s="30" t="str">
        <f>INDEX(Д2!$E$4:$AI$13,MATCH($D26,Д2!$D$4:$D$13),MATCH(W$7,Д2!$E$3:$AI$3))</f>
        <v/>
      </c>
      <c r="X26" s="30" t="str">
        <f>INDEX(Д2!$E$4:$AI$13,MATCH($D26,Д2!$D$4:$D$13),MATCH(X$7,Д2!$E$3:$AI$3))</f>
        <v/>
      </c>
      <c r="Y26" s="30" t="str">
        <f>INDEX(Д2!$E$4:$AI$13,MATCH($D26,Д2!$D$4:$D$13),MATCH(Y$7,Д2!$E$3:$AI$3))</f>
        <v/>
      </c>
      <c r="Z26" s="30" t="str">
        <f>INDEX(Д2!$E$4:$AI$13,MATCH($D26,Д2!$D$4:$D$13),MATCH(Z$7,Д2!$E$3:$AI$3))</f>
        <v/>
      </c>
      <c r="AA26" s="30" t="str">
        <f>INDEX(Д2!$E$4:$AI$13,MATCH($D26,Д2!$D$4:$D$13),MATCH(AA$7,Д2!$E$3:$AI$3))</f>
        <v/>
      </c>
      <c r="AB26" s="30" t="str">
        <f>INDEX(Д2!$E$4:$AI$13,MATCH($D26,Д2!$D$4:$D$13),MATCH(AB$7,Д2!$E$3:$AI$3))</f>
        <v/>
      </c>
      <c r="AC26" s="30" t="str">
        <f>INDEX(Д2!$E$4:$AI$13,MATCH($D26,Д2!$D$4:$D$13),MATCH(AC$7,Д2!$E$3:$AI$3))</f>
        <v/>
      </c>
      <c r="AD26" s="30" t="str">
        <f>INDEX(Д2!$E$4:$AI$13,MATCH($D26,Д2!$D$4:$D$13),MATCH(AD$7,Д2!$E$3:$AI$3))</f>
        <v/>
      </c>
      <c r="AE26" s="30" t="str">
        <f>INDEX(Д2!$E$4:$AI$13,MATCH($D26,Д2!$D$4:$D$13),MATCH(AE$7,Д2!$E$3:$AI$3))</f>
        <v/>
      </c>
      <c r="AF26" s="30" t="str">
        <f>INDEX(Д2!$E$4:$AI$13,MATCH($D26,Д2!$D$4:$D$13),MATCH(AF$7,Д2!$E$3:$AI$3))</f>
        <v/>
      </c>
      <c r="AG26" s="30"/>
      <c r="AH26" s="30"/>
      <c r="AI26" s="103"/>
      <c r="AJ26" s="143"/>
      <c r="AK26" s="145"/>
      <c r="AL26" s="145"/>
      <c r="AM26" s="150"/>
      <c r="AP26" s="136"/>
      <c r="AQ26" s="136"/>
      <c r="AR26" s="136"/>
      <c r="AS26" s="136"/>
      <c r="AT26" s="136"/>
      <c r="AU26" s="136"/>
      <c r="AV26" s="136"/>
      <c r="AW26" s="137"/>
      <c r="AX26" s="137"/>
    </row>
    <row r="27" spans="1:50" ht="16.5" customHeight="1" thickBot="1" x14ac:dyDescent="0.3">
      <c r="A27" s="147"/>
      <c r="B27" s="139" t="s">
        <v>89</v>
      </c>
      <c r="C27" s="170">
        <v>5</v>
      </c>
      <c r="D27" s="49">
        <v>9</v>
      </c>
      <c r="E27" s="62" t="str">
        <f>INDEX(Д2!$E$14:$AI$23,MATCH($D27,Д2!$D$14:$D$23),MATCH(E$7,Д2!$E$3:$AI$3))</f>
        <v>-</v>
      </c>
      <c r="F27" s="28" t="str">
        <f>INDEX(Д2!$E$4:$AI$13,MATCH($D27,Д2!$D$4:$D$13),MATCH(F$7,Д2!$E$3:$AI$3))</f>
        <v>-</v>
      </c>
      <c r="G27" s="28" t="str">
        <f>INDEX(Д2!$E$4:$AI$13,MATCH($D27,Д2!$D$4:$D$13),MATCH(G$7,Д2!$E$3:$AI$3))</f>
        <v>-</v>
      </c>
      <c r="H27" s="28" t="str">
        <f>INDEX(Д2!$E$4:$AI$13,MATCH($D27,Д2!$D$4:$D$13),MATCH(H$7,Д2!$E$3:$AI$3))</f>
        <v>-</v>
      </c>
      <c r="I27" s="28" t="str">
        <f>INDEX(Д2!$E$4:$AI$13,MATCH($D27,Д2!$D$4:$D$13),MATCH(I$7,Д2!$E$3:$AI$3))</f>
        <v>-</v>
      </c>
      <c r="J27" s="28" t="str">
        <f>INDEX(Д2!$E$4:$AI$13,MATCH($D27,Д2!$D$4:$D$13),MATCH(J$7,Д2!$E$3:$AI$3))</f>
        <v>-</v>
      </c>
      <c r="K27" s="28" t="str">
        <f>INDEX(Д2!$E$4:$AI$13,MATCH($D27,Д2!$D$4:$D$13),MATCH(K$7,Д2!$E$3:$AI$3))</f>
        <v>-</v>
      </c>
      <c r="L27" s="28" t="str">
        <f>INDEX(Д2!$E$4:$AI$13,MATCH($D27,Д2!$D$4:$D$13),MATCH(L$7,Д2!$E$3:$AI$3))</f>
        <v>-</v>
      </c>
      <c r="M27" s="28" t="str">
        <f>INDEX(Д2!$E$4:$AI$13,MATCH($D27,Д2!$D$4:$D$13),MATCH(M$7,Д2!$E$3:$AI$3))</f>
        <v>-</v>
      </c>
      <c r="N27" s="28" t="str">
        <f>INDEX(Д2!$E$4:$AI$13,MATCH($D27,Д2!$D$4:$D$13),MATCH(N$7,Д2!$E$3:$AI$3))</f>
        <v>-</v>
      </c>
      <c r="O27" s="28" t="str">
        <f>INDEX(Д2!$E$4:$AI$13,MATCH($D27,Д2!$D$4:$D$13),MATCH(O$7,Д2!$E$3:$AI$3))</f>
        <v>-</v>
      </c>
      <c r="P27" s="28" t="str">
        <f>INDEX(Д2!$E$4:$AI$13,MATCH($D27,Д2!$D$4:$D$13),MATCH(P$7,Д2!$E$3:$AI$3))</f>
        <v>-</v>
      </c>
      <c r="Q27" s="28" t="str">
        <f>INDEX(Д2!$E$4:$AI$13,MATCH($D27,Д2!$D$4:$D$13),MATCH(Q$7,Д2!$E$3:$AI$3))</f>
        <v>-</v>
      </c>
      <c r="R27" s="28" t="str">
        <f>INDEX(Д2!$E$4:$AI$13,MATCH($D27,Д2!$D$4:$D$13),MATCH(R$7,Д2!$E$3:$AI$3))</f>
        <v>-</v>
      </c>
      <c r="S27" s="28" t="str">
        <f>INDEX(Д2!$E$4:$AI$13,MATCH($D27,Д2!$D$4:$D$13),MATCH(S$7,Д2!$E$3:$AI$3))</f>
        <v>-</v>
      </c>
      <c r="T27" s="28" t="str">
        <f>INDEX(Д2!$E$4:$AI$13,MATCH($D27,Д2!$D$4:$D$13),MATCH(T$7,Д2!$E$3:$AI$3))</f>
        <v>-</v>
      </c>
      <c r="U27" s="28" t="str">
        <f>INDEX(Д2!$E$4:$AI$13,MATCH($D27,Д2!$D$4:$D$13),MATCH(U$7,Д2!$E$3:$AI$3))</f>
        <v>-</v>
      </c>
      <c r="V27" s="28" t="str">
        <f>INDEX(Д2!$E$4:$AI$13,MATCH($D27,Д2!$D$4:$D$13),MATCH(V$7,Д2!$E$3:$AI$3))</f>
        <v>-</v>
      </c>
      <c r="W27" s="28" t="str">
        <f>INDEX(Д2!$E$4:$AI$13,MATCH($D27,Д2!$D$4:$D$13),MATCH(W$7,Д2!$E$3:$AI$3))</f>
        <v>-</v>
      </c>
      <c r="X27" s="28" t="str">
        <f>INDEX(Д2!$E$4:$AI$13,MATCH($D27,Д2!$D$4:$D$13),MATCH(X$7,Д2!$E$3:$AI$3))</f>
        <v>-</v>
      </c>
      <c r="Y27" s="28" t="str">
        <f>INDEX(Д2!$E$4:$AI$13,MATCH($D27,Д2!$D$4:$D$13),MATCH(Y$7,Д2!$E$3:$AI$3))</f>
        <v>-</v>
      </c>
      <c r="Z27" s="28" t="str">
        <f>INDEX(Д2!$E$4:$AI$13,MATCH($D27,Д2!$D$4:$D$13),MATCH(Z$7,Д2!$E$3:$AI$3))</f>
        <v>-</v>
      </c>
      <c r="AA27" s="28" t="str">
        <f>INDEX(Д2!$E$4:$AI$13,MATCH($D27,Д2!$D$4:$D$13),MATCH(AA$7,Д2!$E$3:$AI$3))</f>
        <v>-</v>
      </c>
      <c r="AB27" s="28" t="str">
        <f>INDEX(Д2!$E$4:$AI$13,MATCH($D27,Д2!$D$4:$D$13),MATCH(AB$7,Д2!$E$3:$AI$3))</f>
        <v>-</v>
      </c>
      <c r="AC27" s="28" t="str">
        <f>INDEX(Д2!$E$4:$AI$13,MATCH($D27,Д2!$D$4:$D$13),MATCH(AC$7,Д2!$E$3:$AI$3))</f>
        <v>-</v>
      </c>
      <c r="AD27" s="28" t="str">
        <f>INDEX(Д2!$E$4:$AI$13,MATCH($D27,Д2!$D$4:$D$13),MATCH(AD$7,Д2!$E$3:$AI$3))</f>
        <v>-</v>
      </c>
      <c r="AE27" s="28" t="str">
        <f>INDEX(Д2!$E$4:$AI$13,MATCH($D27,Д2!$D$4:$D$13),MATCH(AE$7,Д2!$E$3:$AI$3))</f>
        <v>-</v>
      </c>
      <c r="AF27" s="28" t="str">
        <f>INDEX(Д2!$E$4:$AI$13,MATCH($D27,Д2!$D$4:$D$13),MATCH(AF$7,Д2!$E$3:$AI$3))</f>
        <v>-</v>
      </c>
      <c r="AG27" s="28"/>
      <c r="AH27" s="28"/>
      <c r="AI27" s="108"/>
      <c r="AJ27" s="143">
        <f>INDEX(Д2!AK$14:$AK$23,MATCH($C27,Д2!$C$14:$C$23),MATCH(E$7,Д2!$E$3:$AI$3))*AND(MONTH($E$8)=MONTH(Д2!$B$14))</f>
        <v>160</v>
      </c>
      <c r="AK27" s="144">
        <f>SUM(E27:AI28)</f>
        <v>0</v>
      </c>
      <c r="AL27" s="144"/>
      <c r="AM27" s="149">
        <f>SUM(F27:H28,J27:AI28)-AJ27+AL27-12</f>
        <v>-172</v>
      </c>
      <c r="AP27" s="136">
        <f t="shared" ref="AP27" si="50">COUNTIF($E27:$AI28,"12")</f>
        <v>0</v>
      </c>
      <c r="AQ27" s="136">
        <f t="shared" ref="AQ27" si="51">IF(COUNTIF($E27:$AI28,"СП")&gt;=1,(COUNTIF($E27:$AI28,"4")+COUNTIF($E27:$AI28,"8")-1)/2,(COUNTIF($E27:$AI28,"4")+COUNTIF($E27:$AI28,"8"))/2)</f>
        <v>-0.5</v>
      </c>
      <c r="AR27" s="136">
        <f t="shared" si="2"/>
        <v>0</v>
      </c>
      <c r="AS27" s="136">
        <f t="shared" ref="AS27" si="52">IF(COUNTIF($E27:$AI28,"СП")&gt;=1,SUMIF($E27:$AI28,"4",$E27:$AI28)+SUMIF($E27:$AI28,"8",$E27:$AI28)-8,SUMIF($E27:$AI28,"4",$E27:$AI28)+SUMIF($E27:$AI28,"8",$E27:$AI28))</f>
        <v>-8</v>
      </c>
      <c r="AT27" s="136">
        <f t="shared" ref="AT27" si="53">$AR27+$AS27</f>
        <v>-8</v>
      </c>
      <c r="AU27" s="136" t="str">
        <f t="shared" ref="AU27" si="54">IF(AK27=AT27,"+","!")</f>
        <v>!</v>
      </c>
      <c r="AV27" s="136">
        <f t="shared" ref="AV27" si="55">COUNTIF($E27:$AI28,"ОТ")</f>
        <v>0</v>
      </c>
      <c r="AW27" s="137" t="str">
        <f ca="1">IF(COUNTIF($A28:$AI28,"СП")&gt;0,IF(INDIRECT(ADDRESS(ROW(),MATCH("СП",$A28:$AI28),1))=8,"","!"),"")</f>
        <v>!</v>
      </c>
      <c r="AX27" s="137" t="str">
        <f ca="1">IF(COUNTIF($A28:$AI28,"СП")&gt;0,IF(INDIRECT(ADDRESS(ROW(),MATCH("СП",$A28:$AI28)-1,1))=4,"!",""),"")</f>
        <v/>
      </c>
    </row>
    <row r="28" spans="1:50" ht="16.5" thickBot="1" x14ac:dyDescent="0.3">
      <c r="A28" s="148"/>
      <c r="B28" s="140"/>
      <c r="C28" s="172"/>
      <c r="D28" s="50">
        <v>10</v>
      </c>
      <c r="E28" s="66" t="str">
        <f>INDEX(Д2!$E$14:$AI$23,MATCH($D28,Д2!$D$14:$D$23),MATCH(E$7,Д2!$E$3:$AI$3))</f>
        <v/>
      </c>
      <c r="F28" s="67" t="str">
        <f>INDEX(Д2!$E$4:$AI$13,MATCH($D28,Д2!$D$4:$D$13),MATCH(F$7,Д2!$E$3:$AI$3))</f>
        <v/>
      </c>
      <c r="G28" s="67" t="str">
        <f>INDEX(Д2!$E$4:$AI$13,MATCH($D28,Д2!$D$4:$D$13),MATCH(G$7,Д2!$E$3:$AI$3))</f>
        <v/>
      </c>
      <c r="H28" s="67" t="str">
        <f>INDEX(Д2!$E$4:$AI$13,MATCH($D28,Д2!$D$4:$D$13),MATCH(H$7,Д2!$E$3:$AI$3))</f>
        <v/>
      </c>
      <c r="I28" s="67" t="str">
        <f>INDEX(Д2!$E$4:$AI$13,MATCH($D28,Д2!$D$4:$D$13),MATCH(I$7,Д2!$E$3:$AI$3))</f>
        <v>СП</v>
      </c>
      <c r="J28" s="67" t="str">
        <f>INDEX(Д2!$E$4:$AI$13,MATCH($D28,Д2!$D$4:$D$13),MATCH(J$7,Д2!$E$3:$AI$3))</f>
        <v/>
      </c>
      <c r="K28" s="67" t="str">
        <f>INDEX(Д2!$E$4:$AI$13,MATCH($D28,Д2!$D$4:$D$13),MATCH(K$7,Д2!$E$3:$AI$3))</f>
        <v/>
      </c>
      <c r="L28" s="67" t="str">
        <f>INDEX(Д2!$E$4:$AI$13,MATCH($D28,Д2!$D$4:$D$13),MATCH(L$7,Д2!$E$3:$AI$3))</f>
        <v/>
      </c>
      <c r="M28" s="67" t="str">
        <f>INDEX(Д2!$E$4:$AI$13,MATCH($D28,Д2!$D$4:$D$13),MATCH(M$7,Д2!$E$3:$AI$3))</f>
        <v/>
      </c>
      <c r="N28" s="67" t="str">
        <f>INDEX(Д2!$E$4:$AI$13,MATCH($D28,Д2!$D$4:$D$13),MATCH(N$7,Д2!$E$3:$AI$3))</f>
        <v/>
      </c>
      <c r="O28" s="67" t="str">
        <f>INDEX(Д2!$E$4:$AI$13,MATCH($D28,Д2!$D$4:$D$13),MATCH(O$7,Д2!$E$3:$AI$3))</f>
        <v/>
      </c>
      <c r="P28" s="67" t="str">
        <f>INDEX(Д2!$E$4:$AI$13,MATCH($D28,Д2!$D$4:$D$13),MATCH(P$7,Д2!$E$3:$AI$3))</f>
        <v/>
      </c>
      <c r="Q28" s="67" t="str">
        <f>INDEX(Д2!$E$4:$AI$13,MATCH($D28,Д2!$D$4:$D$13),MATCH(Q$7,Д2!$E$3:$AI$3))</f>
        <v/>
      </c>
      <c r="R28" s="67" t="str">
        <f>INDEX(Д2!$E$4:$AI$13,MATCH($D28,Д2!$D$4:$D$13),MATCH(R$7,Д2!$E$3:$AI$3))</f>
        <v/>
      </c>
      <c r="S28" s="67" t="str">
        <f>INDEX(Д2!$E$4:$AI$13,MATCH($D28,Д2!$D$4:$D$13),MATCH(S$7,Д2!$E$3:$AI$3))</f>
        <v/>
      </c>
      <c r="T28" s="67" t="str">
        <f>INDEX(Д2!$E$4:$AI$13,MATCH($D28,Д2!$D$4:$D$13),MATCH(T$7,Д2!$E$3:$AI$3))</f>
        <v/>
      </c>
      <c r="U28" s="67" t="str">
        <f>INDEX(Д2!$E$4:$AI$13,MATCH($D28,Д2!$D$4:$D$13),MATCH(U$7,Д2!$E$3:$AI$3))</f>
        <v/>
      </c>
      <c r="V28" s="67" t="str">
        <f>INDEX(Д2!$E$4:$AI$13,MATCH($D28,Д2!$D$4:$D$13),MATCH(V$7,Д2!$E$3:$AI$3))</f>
        <v/>
      </c>
      <c r="W28" s="67" t="str">
        <f>INDEX(Д2!$E$4:$AI$13,MATCH($D28,Д2!$D$4:$D$13),MATCH(W$7,Д2!$E$3:$AI$3))</f>
        <v/>
      </c>
      <c r="X28" s="67" t="str">
        <f>INDEX(Д2!$E$4:$AI$13,MATCH($D28,Д2!$D$4:$D$13),MATCH(X$7,Д2!$E$3:$AI$3))</f>
        <v/>
      </c>
      <c r="Y28" s="67" t="str">
        <f>INDEX(Д2!$E$4:$AI$13,MATCH($D28,Д2!$D$4:$D$13),MATCH(Y$7,Д2!$E$3:$AI$3))</f>
        <v/>
      </c>
      <c r="Z28" s="67" t="str">
        <f>INDEX(Д2!$E$4:$AI$13,MATCH($D28,Д2!$D$4:$D$13),MATCH(Z$7,Д2!$E$3:$AI$3))</f>
        <v/>
      </c>
      <c r="AA28" s="67" t="str">
        <f>INDEX(Д2!$E$4:$AI$13,MATCH($D28,Д2!$D$4:$D$13),MATCH(AA$7,Д2!$E$3:$AI$3))</f>
        <v/>
      </c>
      <c r="AB28" s="67" t="str">
        <f>INDEX(Д2!$E$4:$AI$13,MATCH($D28,Д2!$D$4:$D$13),MATCH(AB$7,Д2!$E$3:$AI$3))</f>
        <v/>
      </c>
      <c r="AC28" s="67" t="str">
        <f>INDEX(Д2!$E$4:$AI$13,MATCH($D28,Д2!$D$4:$D$13),MATCH(AC$7,Д2!$E$3:$AI$3))</f>
        <v/>
      </c>
      <c r="AD28" s="67" t="str">
        <f>INDEX(Д2!$E$4:$AI$13,MATCH($D28,Д2!$D$4:$D$13),MATCH(AD$7,Д2!$E$3:$AI$3))</f>
        <v/>
      </c>
      <c r="AE28" s="67" t="str">
        <f>INDEX(Д2!$E$4:$AI$13,MATCH($D28,Д2!$D$4:$D$13),MATCH(AE$7,Д2!$E$3:$AI$3))</f>
        <v/>
      </c>
      <c r="AF28" s="67" t="str">
        <f>INDEX(Д2!$E$4:$AI$13,MATCH($D28,Д2!$D$4:$D$13),MATCH(AF$7,Д2!$E$3:$AI$3))</f>
        <v/>
      </c>
      <c r="AG28" s="67"/>
      <c r="AH28" s="67"/>
      <c r="AI28" s="105"/>
      <c r="AJ28" s="153"/>
      <c r="AK28" s="158"/>
      <c r="AL28" s="158"/>
      <c r="AM28" s="150"/>
      <c r="AP28" s="136"/>
      <c r="AQ28" s="136"/>
      <c r="AR28" s="136"/>
      <c r="AS28" s="136"/>
      <c r="AT28" s="136"/>
      <c r="AU28" s="136"/>
      <c r="AV28" s="136"/>
      <c r="AW28" s="137"/>
      <c r="AX28" s="137"/>
    </row>
    <row r="29" spans="1:50" ht="17.25" customHeight="1" thickTop="1" thickBot="1" x14ac:dyDescent="0.3">
      <c r="A29" s="146" t="s">
        <v>102</v>
      </c>
      <c r="B29" s="151" t="s">
        <v>90</v>
      </c>
      <c r="C29" s="173">
        <v>1</v>
      </c>
      <c r="D29" s="49">
        <v>1</v>
      </c>
      <c r="E29" s="64">
        <f ca="1">INDEX(Д3!$E$14:$AI$23,MATCH($D29,Д3!$D$14:$D$23),MATCH(E$7,Д3!$E$3:$AI$3))</f>
        <v>12</v>
      </c>
      <c r="F29" s="27">
        <f ca="1">INDEX(Д3!$E$4:$AI$13,MATCH($D29,Д3!$D$4:$D$13),MATCH(F$7,Д3!$E$3:$AI$3))</f>
        <v>0</v>
      </c>
      <c r="G29" s="27">
        <f ca="1">INDEX(Д3!$E$4:$AI$13,MATCH($D29,Д3!$D$4:$D$13),MATCH(G$7,Д3!$E$3:$AI$3))</f>
        <v>4</v>
      </c>
      <c r="H29" s="27">
        <f ca="1">INDEX(Д3!$E$4:$AI$13,MATCH($D29,Д3!$D$4:$D$13),MATCH(H$7,Д3!$E$3:$AI$3))</f>
        <v>8</v>
      </c>
      <c r="I29" s="27">
        <f ca="1">INDEX(Д3!$E$4:$AI$13,MATCH($D29,Д3!$D$4:$D$13),MATCH(I$7,Д3!$E$3:$AI$3))</f>
        <v>12</v>
      </c>
      <c r="J29" s="27">
        <f ca="1">INDEX(Д3!$E$4:$AI$13,MATCH($D29,Д3!$D$4:$D$13),MATCH(J$7,Д3!$E$3:$AI$3))</f>
        <v>4</v>
      </c>
      <c r="K29" s="27">
        <f ca="1">INDEX(Д3!$E$4:$AI$13,MATCH($D29,Д3!$D$4:$D$13),MATCH(K$7,Д3!$E$3:$AI$3))</f>
        <v>8</v>
      </c>
      <c r="L29" s="27">
        <f ca="1">INDEX(Д3!$E$4:$AI$13,MATCH($D29,Д3!$D$4:$D$13),MATCH(L$7,Д3!$E$3:$AI$3))</f>
        <v>12</v>
      </c>
      <c r="M29" s="27">
        <f ca="1">INDEX(Д3!$E$4:$AI$13,MATCH($D29,Д3!$D$4:$D$13),MATCH(M$7,Д3!$E$3:$AI$3))</f>
        <v>0</v>
      </c>
      <c r="N29" s="27">
        <f ca="1">INDEX(Д3!$E$4:$AI$13,MATCH($D29,Д3!$D$4:$D$13),MATCH(N$7,Д3!$E$3:$AI$3))</f>
        <v>0</v>
      </c>
      <c r="O29" s="27">
        <f ca="1">INDEX(Д3!$E$4:$AI$13,MATCH($D29,Д3!$D$4:$D$13),MATCH(O$7,Д3!$E$3:$AI$3))</f>
        <v>4</v>
      </c>
      <c r="P29" s="27">
        <f ca="1">INDEX(Д3!$E$4:$AI$13,MATCH($D29,Д3!$D$4:$D$13),MATCH(P$7,Д3!$E$3:$AI$3))</f>
        <v>8</v>
      </c>
      <c r="Q29" s="27">
        <f ca="1">INDEX(Д3!$E$4:$AI$13,MATCH($D29,Д3!$D$4:$D$13),MATCH(Q$7,Д3!$E$3:$AI$3))</f>
        <v>12</v>
      </c>
      <c r="R29" s="27">
        <f ca="1">INDEX(Д3!$E$4:$AI$13,MATCH($D29,Д3!$D$4:$D$13),MATCH(R$7,Д3!$E$3:$AI$3))</f>
        <v>4</v>
      </c>
      <c r="S29" s="27">
        <f ca="1">INDEX(Д3!$E$4:$AI$13,MATCH($D29,Д3!$D$4:$D$13),MATCH(S$7,Д3!$E$3:$AI$3))</f>
        <v>8</v>
      </c>
      <c r="T29" s="27">
        <f ca="1">INDEX(Д3!$E$4:$AI$13,MATCH($D29,Д3!$D$4:$D$13),MATCH(T$7,Д3!$E$3:$AI$3))</f>
        <v>12</v>
      </c>
      <c r="U29" s="27">
        <f ca="1">INDEX(Д3!$E$4:$AI$13,MATCH($D29,Д3!$D$4:$D$13),MATCH(U$7,Д3!$E$3:$AI$3))</f>
        <v>0</v>
      </c>
      <c r="V29" s="27">
        <f ca="1">INDEX(Д3!$E$4:$AI$13,MATCH($D29,Д3!$D$4:$D$13),MATCH(V$7,Д3!$E$3:$AI$3))</f>
        <v>0</v>
      </c>
      <c r="W29" s="27">
        <f ca="1">INDEX(Д3!$E$4:$AI$13,MATCH($D29,Д3!$D$4:$D$13),MATCH(W$7,Д3!$E$3:$AI$3))</f>
        <v>4</v>
      </c>
      <c r="X29" s="27">
        <f ca="1">INDEX(Д3!$E$4:$AI$13,MATCH($D29,Д3!$D$4:$D$13),MATCH(X$7,Д3!$E$3:$AI$3))</f>
        <v>8</v>
      </c>
      <c r="Y29" s="27">
        <f ca="1">INDEX(Д3!$E$4:$AI$13,MATCH($D29,Д3!$D$4:$D$13),MATCH(Y$7,Д3!$E$3:$AI$3))</f>
        <v>12</v>
      </c>
      <c r="Z29" s="27">
        <f ca="1">INDEX(Д3!$E$4:$AI$13,MATCH($D29,Д3!$D$4:$D$13),MATCH(Z$7,Д3!$E$3:$AI$3))</f>
        <v>4</v>
      </c>
      <c r="AA29" s="27">
        <f ca="1">INDEX(Д3!$E$4:$AI$13,MATCH($D29,Д3!$D$4:$D$13),MATCH(AA$7,Д3!$E$3:$AI$3))</f>
        <v>8</v>
      </c>
      <c r="AB29" s="27">
        <f ca="1">INDEX(Д3!$E$4:$AI$13,MATCH($D29,Д3!$D$4:$D$13),MATCH(AB$7,Д3!$E$3:$AI$3))</f>
        <v>12</v>
      </c>
      <c r="AC29" s="27">
        <f ca="1">INDEX(Д3!$E$4:$AI$13,MATCH($D29,Д3!$D$4:$D$13),MATCH(AC$7,Д3!$E$3:$AI$3))</f>
        <v>0</v>
      </c>
      <c r="AD29" s="27">
        <f ca="1">INDEX(Д3!$E$4:$AI$13,MATCH($D29,Д3!$D$4:$D$13),MATCH(AD$7,Д3!$E$3:$AI$3))</f>
        <v>0</v>
      </c>
      <c r="AE29" s="27">
        <f ca="1">INDEX(Д3!$E$4:$AI$13,MATCH($D29,Д3!$D$4:$D$13),MATCH(AE$7,Д3!$E$3:$AI$3))</f>
        <v>4</v>
      </c>
      <c r="AF29" s="27">
        <f ca="1">INDEX(Д3!$E$4:$AI$13,MATCH($D29,Д3!$D$4:$D$13),MATCH(AF$7,Д3!$E$3:$AI$3))</f>
        <v>8</v>
      </c>
      <c r="AG29" s="27"/>
      <c r="AH29" s="27"/>
      <c r="AI29" s="106"/>
      <c r="AJ29" s="157">
        <f>INDEX(Д3!AK$14:$AK$23,MATCH($C29,Д3!$C$14:$C$23),MATCH(E$7,Д3!$E$3:$AI$3))*AND(MONTH($E$8)=MONTH(Д3!$B$14))</f>
        <v>160</v>
      </c>
      <c r="AK29" s="157">
        <f ca="1">SUM(E29:AI30)</f>
        <v>168</v>
      </c>
      <c r="AL29" s="145"/>
      <c r="AM29" s="149">
        <f ca="1">SUM(F29:H30,J29:AI30)-AJ29+AL29-12</f>
        <v>-28</v>
      </c>
      <c r="AP29" s="136">
        <f t="shared" ref="AP29" ca="1" si="56">COUNTIF($E29:$AI30,"12")</f>
        <v>7</v>
      </c>
      <c r="AQ29" s="136">
        <f t="shared" ref="AQ29" ca="1" si="57">IF(COUNTIF($E29:$AI30,"СП")&gt;=1,(COUNTIF($E29:$AI30,"4")+COUNTIF($E29:$AI30,"8")-1)/2,(COUNTIF($E29:$AI30,"4")+COUNTIF($E29:$AI30,"8"))/2)</f>
        <v>7</v>
      </c>
      <c r="AR29" s="136">
        <f t="shared" ca="1" si="2"/>
        <v>84</v>
      </c>
      <c r="AS29" s="136">
        <f t="shared" ref="AS29" ca="1" si="58">IF(COUNTIF($E29:$AI30,"СП")&gt;=1,SUMIF($E29:$AI30,"4",$E29:$AI30)+SUMIF($E29:$AI30,"8",$E29:$AI30)-8,SUMIF($E29:$AI30,"4",$E29:$AI30)+SUMIF($E29:$AI30,"8",$E29:$AI30))</f>
        <v>84</v>
      </c>
      <c r="AT29" s="136">
        <f t="shared" ref="AT29" ca="1" si="59">$AR29+$AS29</f>
        <v>168</v>
      </c>
      <c r="AU29" s="136" t="str">
        <f t="shared" ref="AU29" ca="1" si="60">IF(AK29=AT29,"+","!")</f>
        <v>+</v>
      </c>
      <c r="AV29" s="136">
        <f t="shared" ref="AV29" ca="1" si="61">COUNTIF($E29:$AI30,"ОТ")</f>
        <v>0</v>
      </c>
      <c r="AW29" s="137" t="str">
        <f ca="1">IF(COUNTIF($A30:$AI30,"СП")&gt;0,IF(INDIRECT(ADDRESS(ROW(),MATCH("СП",$A30:$AI30),1))=8,"","!"),"")</f>
        <v/>
      </c>
      <c r="AX29" s="137" t="str">
        <f ca="1">IF(COUNTIF($A30:$AI30,"СП")&gt;0,IF(INDIRECT(ADDRESS(ROW(),MATCH("СП",$A30:$AI30)-1,1))=4,"!",""),"")</f>
        <v/>
      </c>
    </row>
    <row r="30" spans="1:50" ht="16.5" thickBot="1" x14ac:dyDescent="0.3">
      <c r="A30" s="147"/>
      <c r="B30" s="139"/>
      <c r="C30" s="171"/>
      <c r="D30" s="50">
        <v>2</v>
      </c>
      <c r="E30" s="63" t="str">
        <f>INDEX(Д3!$E$14:$AI$23,MATCH($D30,Д3!$D$14:$D$23),MATCH(E$7,Д3!$E$3:$AI$3))</f>
        <v/>
      </c>
      <c r="F30" s="29" t="str">
        <f>INDEX(Д3!$E$4:$AI$13,MATCH($D30,Д3!$D$4:$D$13),MATCH(F$7,Д3!$E$3:$AI$3))</f>
        <v/>
      </c>
      <c r="G30" s="29" t="str">
        <f>INDEX(Д3!$E$4:$AI$13,MATCH($D30,Д3!$D$4:$D$13),MATCH(G$7,Д3!$E$3:$AI$3))</f>
        <v/>
      </c>
      <c r="H30" s="29" t="str">
        <f>INDEX(Д3!$E$4:$AI$13,MATCH($D30,Д3!$D$4:$D$13),MATCH(H$7,Д3!$E$3:$AI$3))</f>
        <v/>
      </c>
      <c r="I30" s="29" t="str">
        <f>INDEX(Д3!$E$4:$AI$13,MATCH($D30,Д3!$D$4:$D$13),MATCH(I$7,Д3!$E$3:$AI$3))</f>
        <v/>
      </c>
      <c r="J30" s="29" t="str">
        <f>INDEX(Д3!$E$4:$AI$13,MATCH($D30,Д3!$D$4:$D$13),MATCH(J$7,Д3!$E$3:$AI$3))</f>
        <v/>
      </c>
      <c r="K30" s="29" t="str">
        <f>INDEX(Д3!$E$4:$AI$13,MATCH($D30,Д3!$D$4:$D$13),MATCH(K$7,Д3!$E$3:$AI$3))</f>
        <v/>
      </c>
      <c r="L30" s="29" t="str">
        <f>INDEX(Д3!$E$4:$AI$13,MATCH($D30,Д3!$D$4:$D$13),MATCH(L$7,Д3!$E$3:$AI$3))</f>
        <v/>
      </c>
      <c r="M30" s="29" t="str">
        <f>INDEX(Д3!$E$4:$AI$13,MATCH($D30,Д3!$D$4:$D$13),MATCH(M$7,Д3!$E$3:$AI$3))</f>
        <v/>
      </c>
      <c r="N30" s="29" t="str">
        <f>INDEX(Д3!$E$4:$AI$13,MATCH($D30,Д3!$D$4:$D$13),MATCH(N$7,Д3!$E$3:$AI$3))</f>
        <v/>
      </c>
      <c r="O30" s="29" t="str">
        <f>INDEX(Д3!$E$4:$AI$13,MATCH($D30,Д3!$D$4:$D$13),MATCH(O$7,Д3!$E$3:$AI$3))</f>
        <v/>
      </c>
      <c r="P30" s="29" t="str">
        <f>INDEX(Д3!$E$4:$AI$13,MATCH($D30,Д3!$D$4:$D$13),MATCH(P$7,Д3!$E$3:$AI$3))</f>
        <v/>
      </c>
      <c r="Q30" s="29" t="str">
        <f>INDEX(Д3!$E$4:$AI$13,MATCH($D30,Д3!$D$4:$D$13),MATCH(Q$7,Д3!$E$3:$AI$3))</f>
        <v/>
      </c>
      <c r="R30" s="29" t="str">
        <f>INDEX(Д3!$E$4:$AI$13,MATCH($D30,Д3!$D$4:$D$13),MATCH(R$7,Д3!$E$3:$AI$3))</f>
        <v/>
      </c>
      <c r="S30" s="29" t="str">
        <f>INDEX(Д3!$E$4:$AI$13,MATCH($D30,Д3!$D$4:$D$13),MATCH(S$7,Д3!$E$3:$AI$3))</f>
        <v/>
      </c>
      <c r="T30" s="29" t="str">
        <f>INDEX(Д3!$E$4:$AI$13,MATCH($D30,Д3!$D$4:$D$13),MATCH(T$7,Д3!$E$3:$AI$3))</f>
        <v/>
      </c>
      <c r="U30" s="29" t="str">
        <f>INDEX(Д3!$E$4:$AI$13,MATCH($D30,Д3!$D$4:$D$13),MATCH(U$7,Д3!$E$3:$AI$3))</f>
        <v/>
      </c>
      <c r="V30" s="29" t="str">
        <f>INDEX(Д3!$E$4:$AI$13,MATCH($D30,Д3!$D$4:$D$13),MATCH(V$7,Д3!$E$3:$AI$3))</f>
        <v/>
      </c>
      <c r="W30" s="29" t="str">
        <f>INDEX(Д3!$E$4:$AI$13,MATCH($D30,Д3!$D$4:$D$13),MATCH(W$7,Д3!$E$3:$AI$3))</f>
        <v/>
      </c>
      <c r="X30" s="29" t="str">
        <f>INDEX(Д3!$E$4:$AI$13,MATCH($D30,Д3!$D$4:$D$13),MATCH(X$7,Д3!$E$3:$AI$3))</f>
        <v/>
      </c>
      <c r="Y30" s="29" t="str">
        <f>INDEX(Д3!$E$4:$AI$13,MATCH($D30,Д3!$D$4:$D$13),MATCH(Y$7,Д3!$E$3:$AI$3))</f>
        <v/>
      </c>
      <c r="Z30" s="29" t="str">
        <f>INDEX(Д3!$E$4:$AI$13,MATCH($D30,Д3!$D$4:$D$13),MATCH(Z$7,Д3!$E$3:$AI$3))</f>
        <v/>
      </c>
      <c r="AA30" s="29" t="str">
        <f>INDEX(Д3!$E$4:$AI$13,MATCH($D30,Д3!$D$4:$D$13),MATCH(AA$7,Д3!$E$3:$AI$3))</f>
        <v/>
      </c>
      <c r="AB30" s="29" t="str">
        <f>INDEX(Д3!$E$4:$AI$13,MATCH($D30,Д3!$D$4:$D$13),MATCH(AB$7,Д3!$E$3:$AI$3))</f>
        <v/>
      </c>
      <c r="AC30" s="29" t="str">
        <f>INDEX(Д3!$E$4:$AI$13,MATCH($D30,Д3!$D$4:$D$13),MATCH(AC$7,Д3!$E$3:$AI$3))</f>
        <v/>
      </c>
      <c r="AD30" s="29" t="str">
        <f>INDEX(Д3!$E$4:$AI$13,MATCH($D30,Д3!$D$4:$D$13),MATCH(AD$7,Д3!$E$3:$AI$3))</f>
        <v/>
      </c>
      <c r="AE30" s="29" t="str">
        <f>INDEX(Д3!$E$4:$AI$13,MATCH($D30,Д3!$D$4:$D$13),MATCH(AE$7,Д3!$E$3:$AI$3))</f>
        <v/>
      </c>
      <c r="AF30" s="29" t="str">
        <f>INDEX(Д3!$E$4:$AI$13,MATCH($D30,Д3!$D$4:$D$13),MATCH(AF$7,Д3!$E$3:$AI$3))</f>
        <v/>
      </c>
      <c r="AG30" s="29"/>
      <c r="AH30" s="29"/>
      <c r="AI30" s="107"/>
      <c r="AJ30" s="143"/>
      <c r="AK30" s="143"/>
      <c r="AL30" s="143"/>
      <c r="AM30" s="150"/>
      <c r="AP30" s="136"/>
      <c r="AQ30" s="136"/>
      <c r="AR30" s="136"/>
      <c r="AS30" s="136"/>
      <c r="AT30" s="136"/>
      <c r="AU30" s="136"/>
      <c r="AV30" s="136"/>
      <c r="AW30" s="137"/>
      <c r="AX30" s="137"/>
    </row>
    <row r="31" spans="1:50" ht="16.5" thickBot="1" x14ac:dyDescent="0.3">
      <c r="A31" s="147"/>
      <c r="B31" s="139" t="s">
        <v>91</v>
      </c>
      <c r="C31" s="170">
        <v>2</v>
      </c>
      <c r="D31" s="49">
        <v>3</v>
      </c>
      <c r="E31" s="64">
        <f ca="1">INDEX(Д3!$E$14:$AI$23,MATCH($D31,Д3!$D$14:$D$23),MATCH(E$7,Д3!$E$3:$AI$3))</f>
        <v>0</v>
      </c>
      <c r="F31" s="27">
        <f ca="1">INDEX(Д3!$E$4:$AI$13,MATCH($D31,Д3!$D$4:$D$13),MATCH(F$7,Д3!$E$3:$AI$3))</f>
        <v>8</v>
      </c>
      <c r="G31" s="27">
        <f ca="1">INDEX(Д3!$E$4:$AI$13,MATCH($D31,Д3!$D$4:$D$13),MATCH(G$7,Д3!$E$3:$AI$3))</f>
        <v>12</v>
      </c>
      <c r="H31" s="27">
        <f ca="1">INDEX(Д3!$E$4:$AI$13,MATCH($D31,Д3!$D$4:$D$13),MATCH(H$7,Д3!$E$3:$AI$3))</f>
        <v>4</v>
      </c>
      <c r="I31" s="27">
        <f ca="1">INDEX(Д3!$E$4:$AI$13,MATCH($D31,Д3!$D$4:$D$13),MATCH(I$7,Д3!$E$3:$AI$3))</f>
        <v>8</v>
      </c>
      <c r="J31" s="27">
        <f ca="1">INDEX(Д3!$E$4:$AI$13,MATCH($D31,Д3!$D$4:$D$13),MATCH(J$7,Д3!$E$3:$AI$3))</f>
        <v>12</v>
      </c>
      <c r="K31" s="27">
        <f ca="1">INDEX(Д3!$E$4:$AI$13,MATCH($D31,Д3!$D$4:$D$13),MATCH(K$7,Д3!$E$3:$AI$3))</f>
        <v>0</v>
      </c>
      <c r="L31" s="27">
        <f ca="1">INDEX(Д3!$E$4:$AI$13,MATCH($D31,Д3!$D$4:$D$13),MATCH(L$7,Д3!$E$3:$AI$3))</f>
        <v>0</v>
      </c>
      <c r="M31" s="27">
        <f ca="1">INDEX(Д3!$E$4:$AI$13,MATCH($D31,Д3!$D$4:$D$13),MATCH(M$7,Д3!$E$3:$AI$3))</f>
        <v>4</v>
      </c>
      <c r="N31" s="27">
        <f ca="1">INDEX(Д3!$E$4:$AI$13,MATCH($D31,Д3!$D$4:$D$13),MATCH(N$7,Д3!$E$3:$AI$3))</f>
        <v>8</v>
      </c>
      <c r="O31" s="27">
        <f ca="1">INDEX(Д3!$E$4:$AI$13,MATCH($D31,Д3!$D$4:$D$13),MATCH(O$7,Д3!$E$3:$AI$3))</f>
        <v>12</v>
      </c>
      <c r="P31" s="27">
        <f ca="1">INDEX(Д3!$E$4:$AI$13,MATCH($D31,Д3!$D$4:$D$13),MATCH(P$7,Д3!$E$3:$AI$3))</f>
        <v>4</v>
      </c>
      <c r="Q31" s="27">
        <f ca="1">INDEX(Д3!$E$4:$AI$13,MATCH($D31,Д3!$D$4:$D$13),MATCH(Q$7,Д3!$E$3:$AI$3))</f>
        <v>8</v>
      </c>
      <c r="R31" s="27">
        <f ca="1">INDEX(Д3!$E$4:$AI$13,MATCH($D31,Д3!$D$4:$D$13),MATCH(R$7,Д3!$E$3:$AI$3))</f>
        <v>12</v>
      </c>
      <c r="S31" s="27">
        <f ca="1">INDEX(Д3!$E$4:$AI$13,MATCH($D31,Д3!$D$4:$D$13),MATCH(S$7,Д3!$E$3:$AI$3))</f>
        <v>0</v>
      </c>
      <c r="T31" s="27">
        <f ca="1">INDEX(Д3!$E$4:$AI$13,MATCH($D31,Д3!$D$4:$D$13),MATCH(T$7,Д3!$E$3:$AI$3))</f>
        <v>0</v>
      </c>
      <c r="U31" s="27">
        <f ca="1">INDEX(Д3!$E$4:$AI$13,MATCH($D31,Д3!$D$4:$D$13),MATCH(U$7,Д3!$E$3:$AI$3))</f>
        <v>4</v>
      </c>
      <c r="V31" s="27">
        <f ca="1">INDEX(Д3!$E$4:$AI$13,MATCH($D31,Д3!$D$4:$D$13),MATCH(V$7,Д3!$E$3:$AI$3))</f>
        <v>8</v>
      </c>
      <c r="W31" s="27">
        <f ca="1">INDEX(Д3!$E$4:$AI$13,MATCH($D31,Д3!$D$4:$D$13),MATCH(W$7,Д3!$E$3:$AI$3))</f>
        <v>12</v>
      </c>
      <c r="X31" s="27">
        <f ca="1">INDEX(Д3!$E$4:$AI$13,MATCH($D31,Д3!$D$4:$D$13),MATCH(X$7,Д3!$E$3:$AI$3))</f>
        <v>4</v>
      </c>
      <c r="Y31" s="27">
        <f ca="1">INDEX(Д3!$E$4:$AI$13,MATCH($D31,Д3!$D$4:$D$13),MATCH(Y$7,Д3!$E$3:$AI$3))</f>
        <v>8</v>
      </c>
      <c r="Z31" s="27">
        <f ca="1">INDEX(Д3!$E$4:$AI$13,MATCH($D31,Д3!$D$4:$D$13),MATCH(Z$7,Д3!$E$3:$AI$3))</f>
        <v>12</v>
      </c>
      <c r="AA31" s="27">
        <f ca="1">INDEX(Д3!$E$4:$AI$13,MATCH($D31,Д3!$D$4:$D$13),MATCH(AA$7,Д3!$E$3:$AI$3))</f>
        <v>0</v>
      </c>
      <c r="AB31" s="27">
        <f ca="1">INDEX(Д3!$E$4:$AI$13,MATCH($D31,Д3!$D$4:$D$13),MATCH(AB$7,Д3!$E$3:$AI$3))</f>
        <v>0</v>
      </c>
      <c r="AC31" s="27">
        <f ca="1">INDEX(Д3!$E$4:$AI$13,MATCH($D31,Д3!$D$4:$D$13),MATCH(AC$7,Д3!$E$3:$AI$3))</f>
        <v>4</v>
      </c>
      <c r="AD31" s="27">
        <f ca="1">INDEX(Д3!$E$4:$AI$13,MATCH($D31,Д3!$D$4:$D$13),MATCH(AD$7,Д3!$E$3:$AI$3))</f>
        <v>8</v>
      </c>
      <c r="AE31" s="27">
        <f ca="1">INDEX(Д3!$E$4:$AI$13,MATCH($D31,Д3!$D$4:$D$13),MATCH(AE$7,Д3!$E$3:$AI$3))</f>
        <v>12</v>
      </c>
      <c r="AF31" s="27">
        <f ca="1">INDEX(Д3!$E$4:$AI$13,MATCH($D31,Д3!$D$4:$D$13),MATCH(AF$7,Д3!$E$3:$AI$3))</f>
        <v>4</v>
      </c>
      <c r="AG31" s="27"/>
      <c r="AH31" s="27"/>
      <c r="AI31" s="106"/>
      <c r="AJ31" s="143">
        <f>INDEX(Д3!AK$14:$AK$23,MATCH($C31,Д3!$C$14:$C$23),MATCH(E$7,Д3!$E$3:$AI$3))*AND(MONTH($E$8)=MONTH(Д3!$B$14))</f>
        <v>160</v>
      </c>
      <c r="AK31" s="143">
        <f ca="1">SUM(E31:AI32)</f>
        <v>168</v>
      </c>
      <c r="AL31" s="143"/>
      <c r="AM31" s="149">
        <f ca="1">SUM(F31:H32,J31:AI32)-AJ31+AL31-12</f>
        <v>-12</v>
      </c>
      <c r="AP31" s="136">
        <f t="shared" ref="AP31" ca="1" si="62">COUNTIF($E31:$AI32,"12")</f>
        <v>7</v>
      </c>
      <c r="AQ31" s="136">
        <f t="shared" ref="AQ31" ca="1" si="63">IF(COUNTIF($E31:$AI32,"СП")&gt;=1,(COUNTIF($E31:$AI32,"4")+COUNTIF($E31:$AI32,"8")-1)/2,(COUNTIF($E31:$AI32,"4")+COUNTIF($E31:$AI32,"8"))/2)</f>
        <v>6.5</v>
      </c>
      <c r="AR31" s="136">
        <f t="shared" ca="1" si="2"/>
        <v>84</v>
      </c>
      <c r="AS31" s="136">
        <f t="shared" ref="AS31" ca="1" si="64">IF(COUNTIF($E31:$AI32,"СП")&gt;=1,SUMIF($E31:$AI32,"4",$E31:$AI32)+SUMIF($E31:$AI32,"8",$E31:$AI32)-8,SUMIF($E31:$AI32,"4",$E31:$AI32)+SUMIF($E31:$AI32,"8",$E31:$AI32))</f>
        <v>76</v>
      </c>
      <c r="AT31" s="136">
        <f t="shared" ref="AT31" ca="1" si="65">$AR31+$AS31</f>
        <v>160</v>
      </c>
      <c r="AU31" s="136" t="str">
        <f t="shared" ref="AU31" ca="1" si="66">IF(AK31=AT31,"+","!")</f>
        <v>!</v>
      </c>
      <c r="AV31" s="136">
        <f t="shared" ref="AV31" ca="1" si="67">COUNTIF($E31:$AI32,"ОТ")</f>
        <v>0</v>
      </c>
      <c r="AW31" s="137" t="str">
        <f ca="1">IF(COUNTIF($A32:$AI32,"СП")&gt;0,IF(INDIRECT(ADDRESS(ROW(),MATCH("СП",$A32:$AI32),1))=8,"","!"),"")</f>
        <v>!</v>
      </c>
      <c r="AX31" s="137" t="str">
        <f ca="1">IF(COUNTIF($A32:$AI32,"СП")&gt;0,IF(INDIRECT(ADDRESS(ROW(),MATCH("СП",$A32:$AI32)-1,1))=4,"!",""),"")</f>
        <v/>
      </c>
    </row>
    <row r="32" spans="1:50" ht="16.5" thickBot="1" x14ac:dyDescent="0.3">
      <c r="A32" s="147"/>
      <c r="B32" s="139"/>
      <c r="C32" s="171"/>
      <c r="D32" s="50">
        <v>4</v>
      </c>
      <c r="E32" s="65" t="str">
        <f>INDEX(Д3!$E$14:$AI$23,MATCH($D32,Д3!$D$14:$D$23),MATCH(E$7,Д3!$E$3:$AI$3))</f>
        <v/>
      </c>
      <c r="F32" s="30" t="str">
        <f>INDEX(Д3!$E$4:$AI$13,MATCH($D32,Д3!$D$4:$D$13),MATCH(F$7,Д3!$E$3:$AI$3))</f>
        <v>СП</v>
      </c>
      <c r="G32" s="30" t="str">
        <f>INDEX(Д3!$E$4:$AI$13,MATCH($D32,Д3!$D$4:$D$13),MATCH(G$7,Д3!$E$3:$AI$3))</f>
        <v/>
      </c>
      <c r="H32" s="30" t="str">
        <f>INDEX(Д3!$E$4:$AI$13,MATCH($D32,Д3!$D$4:$D$13),MATCH(H$7,Д3!$E$3:$AI$3))</f>
        <v/>
      </c>
      <c r="I32" s="30" t="str">
        <f>INDEX(Д3!$E$4:$AI$13,MATCH($D32,Д3!$D$4:$D$13),MATCH(I$7,Д3!$E$3:$AI$3))</f>
        <v/>
      </c>
      <c r="J32" s="30" t="str">
        <f>INDEX(Д3!$E$4:$AI$13,MATCH($D32,Д3!$D$4:$D$13),MATCH(J$7,Д3!$E$3:$AI$3))</f>
        <v/>
      </c>
      <c r="K32" s="30" t="str">
        <f>INDEX(Д3!$E$4:$AI$13,MATCH($D32,Д3!$D$4:$D$13),MATCH(K$7,Д3!$E$3:$AI$3))</f>
        <v/>
      </c>
      <c r="L32" s="30" t="str">
        <f>INDEX(Д3!$E$4:$AI$13,MATCH($D32,Д3!$D$4:$D$13),MATCH(L$7,Д3!$E$3:$AI$3))</f>
        <v/>
      </c>
      <c r="M32" s="30" t="str">
        <f>INDEX(Д3!$E$4:$AI$13,MATCH($D32,Д3!$D$4:$D$13),MATCH(M$7,Д3!$E$3:$AI$3))</f>
        <v/>
      </c>
      <c r="N32" s="30" t="str">
        <f>INDEX(Д3!$E$4:$AI$13,MATCH($D32,Д3!$D$4:$D$13),MATCH(N$7,Д3!$E$3:$AI$3))</f>
        <v/>
      </c>
      <c r="O32" s="30" t="str">
        <f>INDEX(Д3!$E$4:$AI$13,MATCH($D32,Д3!$D$4:$D$13),MATCH(O$7,Д3!$E$3:$AI$3))</f>
        <v/>
      </c>
      <c r="P32" s="30" t="str">
        <f>INDEX(Д3!$E$4:$AI$13,MATCH($D32,Д3!$D$4:$D$13),MATCH(P$7,Д3!$E$3:$AI$3))</f>
        <v/>
      </c>
      <c r="Q32" s="30" t="str">
        <f>INDEX(Д3!$E$4:$AI$13,MATCH($D32,Д3!$D$4:$D$13),MATCH(Q$7,Д3!$E$3:$AI$3))</f>
        <v/>
      </c>
      <c r="R32" s="30" t="str">
        <f>INDEX(Д3!$E$4:$AI$13,MATCH($D32,Д3!$D$4:$D$13),MATCH(R$7,Д3!$E$3:$AI$3))</f>
        <v/>
      </c>
      <c r="S32" s="30" t="str">
        <f>INDEX(Д3!$E$4:$AI$13,MATCH($D32,Д3!$D$4:$D$13),MATCH(S$7,Д3!$E$3:$AI$3))</f>
        <v/>
      </c>
      <c r="T32" s="30" t="str">
        <f>INDEX(Д3!$E$4:$AI$13,MATCH($D32,Д3!$D$4:$D$13),MATCH(T$7,Д3!$E$3:$AI$3))</f>
        <v/>
      </c>
      <c r="U32" s="30" t="str">
        <f>INDEX(Д3!$E$4:$AI$13,MATCH($D32,Д3!$D$4:$D$13),MATCH(U$7,Д3!$E$3:$AI$3))</f>
        <v/>
      </c>
      <c r="V32" s="30" t="str">
        <f>INDEX(Д3!$E$4:$AI$13,MATCH($D32,Д3!$D$4:$D$13),MATCH(V$7,Д3!$E$3:$AI$3))</f>
        <v/>
      </c>
      <c r="W32" s="30" t="str">
        <f>INDEX(Д3!$E$4:$AI$13,MATCH($D32,Д3!$D$4:$D$13),MATCH(W$7,Д3!$E$3:$AI$3))</f>
        <v/>
      </c>
      <c r="X32" s="30" t="str">
        <f>INDEX(Д3!$E$4:$AI$13,MATCH($D32,Д3!$D$4:$D$13),MATCH(X$7,Д3!$E$3:$AI$3))</f>
        <v/>
      </c>
      <c r="Y32" s="30" t="str">
        <f>INDEX(Д3!$E$4:$AI$13,MATCH($D32,Д3!$D$4:$D$13),MATCH(Y$7,Д3!$E$3:$AI$3))</f>
        <v/>
      </c>
      <c r="Z32" s="30" t="str">
        <f>INDEX(Д3!$E$4:$AI$13,MATCH($D32,Д3!$D$4:$D$13),MATCH(Z$7,Д3!$E$3:$AI$3))</f>
        <v/>
      </c>
      <c r="AA32" s="30" t="str">
        <f>INDEX(Д3!$E$4:$AI$13,MATCH($D32,Д3!$D$4:$D$13),MATCH(AA$7,Д3!$E$3:$AI$3))</f>
        <v/>
      </c>
      <c r="AB32" s="30" t="str">
        <f>INDEX(Д3!$E$4:$AI$13,MATCH($D32,Д3!$D$4:$D$13),MATCH(AB$7,Д3!$E$3:$AI$3))</f>
        <v/>
      </c>
      <c r="AC32" s="30" t="str">
        <f>INDEX(Д3!$E$4:$AI$13,MATCH($D32,Д3!$D$4:$D$13),MATCH(AC$7,Д3!$E$3:$AI$3))</f>
        <v/>
      </c>
      <c r="AD32" s="30" t="str">
        <f>INDEX(Д3!$E$4:$AI$13,MATCH($D32,Д3!$D$4:$D$13),MATCH(AD$7,Д3!$E$3:$AI$3))</f>
        <v/>
      </c>
      <c r="AE32" s="30" t="str">
        <f>INDEX(Д3!$E$4:$AI$13,MATCH($D32,Д3!$D$4:$D$13),MATCH(AE$7,Д3!$E$3:$AI$3))</f>
        <v/>
      </c>
      <c r="AF32" s="30" t="str">
        <f>INDEX(Д3!$E$4:$AI$13,MATCH($D32,Д3!$D$4:$D$13),MATCH(AF$7,Д3!$E$3:$AI$3))</f>
        <v/>
      </c>
      <c r="AG32" s="30"/>
      <c r="AH32" s="30"/>
      <c r="AI32" s="103"/>
      <c r="AJ32" s="143"/>
      <c r="AK32" s="143"/>
      <c r="AL32" s="143"/>
      <c r="AM32" s="150"/>
      <c r="AP32" s="136"/>
      <c r="AQ32" s="136"/>
      <c r="AR32" s="136"/>
      <c r="AS32" s="136"/>
      <c r="AT32" s="136"/>
      <c r="AU32" s="136"/>
      <c r="AV32" s="136"/>
      <c r="AW32" s="137"/>
      <c r="AX32" s="137"/>
    </row>
    <row r="33" spans="1:50" ht="16.5" customHeight="1" thickBot="1" x14ac:dyDescent="0.3">
      <c r="A33" s="147"/>
      <c r="B33" s="139" t="s">
        <v>92</v>
      </c>
      <c r="C33" s="170">
        <v>3</v>
      </c>
      <c r="D33" s="49">
        <v>5</v>
      </c>
      <c r="E33" s="62">
        <f ca="1">INDEX(Д3!$E$14:$AI$23,MATCH($D33,Д3!$D$14:$D$23),MATCH(E$7,Д3!$E$3:$AI$3))</f>
        <v>4</v>
      </c>
      <c r="F33" s="28">
        <f ca="1">INDEX(Д3!$E$4:$AI$13,MATCH($D33,Д3!$D$4:$D$13),MATCH(F$7,Д3!$E$3:$AI$3))</f>
        <v>12</v>
      </c>
      <c r="G33" s="28">
        <f ca="1">INDEX(Д3!$E$4:$AI$13,MATCH($D33,Д3!$D$4:$D$13),MATCH(G$7,Д3!$E$3:$AI$3))</f>
        <v>8</v>
      </c>
      <c r="H33" s="28">
        <f ca="1">INDEX(Д3!$E$4:$AI$13,MATCH($D33,Д3!$D$4:$D$13),MATCH(H$7,Д3!$E$3:$AI$3))</f>
        <v>0</v>
      </c>
      <c r="I33" s="28">
        <f ca="1">INDEX(Д3!$E$4:$AI$13,MATCH($D33,Д3!$D$4:$D$13),MATCH(I$7,Д3!$E$3:$AI$3))</f>
        <v>4</v>
      </c>
      <c r="J33" s="28">
        <f ca="1">INDEX(Д3!$E$4:$AI$13,MATCH($D33,Д3!$D$4:$D$13),MATCH(J$7,Д3!$E$3:$AI$3))</f>
        <v>8</v>
      </c>
      <c r="K33" s="28">
        <f ca="1">INDEX(Д3!$E$4:$AI$13,MATCH($D33,Д3!$D$4:$D$13),MATCH(K$7,Д3!$E$3:$AI$3))</f>
        <v>12</v>
      </c>
      <c r="L33" s="28">
        <f ca="1">INDEX(Д3!$E$4:$AI$13,MATCH($D33,Д3!$D$4:$D$13),MATCH(L$7,Д3!$E$3:$AI$3))</f>
        <v>4</v>
      </c>
      <c r="M33" s="28">
        <f ca="1">INDEX(Д3!$E$4:$AI$13,MATCH($D33,Д3!$D$4:$D$13),MATCH(M$7,Д3!$E$3:$AI$3))</f>
        <v>8</v>
      </c>
      <c r="N33" s="28">
        <f ca="1">INDEX(Д3!$E$4:$AI$13,MATCH($D33,Д3!$D$4:$D$13),MATCH(N$7,Д3!$E$3:$AI$3))</f>
        <v>12</v>
      </c>
      <c r="O33" s="28">
        <f ca="1">INDEX(Д3!$E$4:$AI$13,MATCH($D33,Д3!$D$4:$D$13),MATCH(O$7,Д3!$E$3:$AI$3))</f>
        <v>0</v>
      </c>
      <c r="P33" s="28">
        <f ca="1">INDEX(Д3!$E$4:$AI$13,MATCH($D33,Д3!$D$4:$D$13),MATCH(P$7,Д3!$E$3:$AI$3))</f>
        <v>0</v>
      </c>
      <c r="Q33" s="28">
        <f ca="1">INDEX(Д3!$E$4:$AI$13,MATCH($D33,Д3!$D$4:$D$13),MATCH(Q$7,Д3!$E$3:$AI$3))</f>
        <v>4</v>
      </c>
      <c r="R33" s="28">
        <f ca="1">INDEX(Д3!$E$4:$AI$13,MATCH($D33,Д3!$D$4:$D$13),MATCH(R$7,Д3!$E$3:$AI$3))</f>
        <v>8</v>
      </c>
      <c r="S33" s="28">
        <f ca="1">INDEX(Д3!$E$4:$AI$13,MATCH($D33,Д3!$D$4:$D$13),MATCH(S$7,Д3!$E$3:$AI$3))</f>
        <v>12</v>
      </c>
      <c r="T33" s="28">
        <f ca="1">INDEX(Д3!$E$4:$AI$13,MATCH($D33,Д3!$D$4:$D$13),MATCH(T$7,Д3!$E$3:$AI$3))</f>
        <v>4</v>
      </c>
      <c r="U33" s="28">
        <f ca="1">INDEX(Д3!$E$4:$AI$13,MATCH($D33,Д3!$D$4:$D$13),MATCH(U$7,Д3!$E$3:$AI$3))</f>
        <v>8</v>
      </c>
      <c r="V33" s="28">
        <f ca="1">INDEX(Д3!$E$4:$AI$13,MATCH($D33,Д3!$D$4:$D$13),MATCH(V$7,Д3!$E$3:$AI$3))</f>
        <v>12</v>
      </c>
      <c r="W33" s="28">
        <f ca="1">INDEX(Д3!$E$4:$AI$13,MATCH($D33,Д3!$D$4:$D$13),MATCH(W$7,Д3!$E$3:$AI$3))</f>
        <v>0</v>
      </c>
      <c r="X33" s="28">
        <f ca="1">INDEX(Д3!$E$4:$AI$13,MATCH($D33,Д3!$D$4:$D$13),MATCH(X$7,Д3!$E$3:$AI$3))</f>
        <v>0</v>
      </c>
      <c r="Y33" s="28">
        <f ca="1">INDEX(Д3!$E$4:$AI$13,MATCH($D33,Д3!$D$4:$D$13),MATCH(Y$7,Д3!$E$3:$AI$3))</f>
        <v>4</v>
      </c>
      <c r="Z33" s="28">
        <f ca="1">INDEX(Д3!$E$4:$AI$13,MATCH($D33,Д3!$D$4:$D$13),MATCH(Z$7,Д3!$E$3:$AI$3))</f>
        <v>8</v>
      </c>
      <c r="AA33" s="28">
        <f ca="1">INDEX(Д3!$E$4:$AI$13,MATCH($D33,Д3!$D$4:$D$13),MATCH(AA$7,Д3!$E$3:$AI$3))</f>
        <v>12</v>
      </c>
      <c r="AB33" s="28">
        <f ca="1">INDEX(Д3!$E$4:$AI$13,MATCH($D33,Д3!$D$4:$D$13),MATCH(AB$7,Д3!$E$3:$AI$3))</f>
        <v>4</v>
      </c>
      <c r="AC33" s="28">
        <f ca="1">INDEX(Д3!$E$4:$AI$13,MATCH($D33,Д3!$D$4:$D$13),MATCH(AC$7,Д3!$E$3:$AI$3))</f>
        <v>8</v>
      </c>
      <c r="AD33" s="28">
        <f ca="1">INDEX(Д3!$E$4:$AI$13,MATCH($D33,Д3!$D$4:$D$13),MATCH(AD$7,Д3!$E$3:$AI$3))</f>
        <v>12</v>
      </c>
      <c r="AE33" s="28">
        <f ca="1">INDEX(Д3!$E$4:$AI$13,MATCH($D33,Д3!$D$4:$D$13),MATCH(AE$7,Д3!$E$3:$AI$3))</f>
        <v>0</v>
      </c>
      <c r="AF33" s="28">
        <f ca="1">INDEX(Д3!$E$4:$AI$13,MATCH($D33,Д3!$D$4:$D$13),MATCH(AF$7,Д3!$E$3:$AI$3))</f>
        <v>0</v>
      </c>
      <c r="AG33" s="28"/>
      <c r="AH33" s="28"/>
      <c r="AI33" s="108"/>
      <c r="AJ33" s="143">
        <f>INDEX(Д3!AK$14:$AK$23,MATCH($C33,Д3!$C$14:$C$23),MATCH(E$7,Д3!$E$3:$AI$3))*AND(MONTH($E$8)=MONTH(Д3!$B$14))</f>
        <v>160</v>
      </c>
      <c r="AK33" s="143">
        <f ca="1">SUM(E33:AI34)</f>
        <v>168</v>
      </c>
      <c r="AL33" s="143"/>
      <c r="AM33" s="149">
        <f ca="1">SUM(F33:H34,J33:AI34)-AJ33+AL33-12</f>
        <v>-12</v>
      </c>
      <c r="AP33" s="136">
        <f t="shared" ref="AP33" ca="1" si="68">COUNTIF($E33:$AI34,"12")</f>
        <v>7</v>
      </c>
      <c r="AQ33" s="136">
        <f t="shared" ref="AQ33" ca="1" si="69">IF(COUNTIF($E33:$AI34,"СП")&gt;=1,(COUNTIF($E33:$AI34,"4")+COUNTIF($E33:$AI34,"8")-1)/2,(COUNTIF($E33:$AI34,"4")+COUNTIF($E33:$AI34,"8"))/2)</f>
        <v>6.5</v>
      </c>
      <c r="AR33" s="136">
        <f t="shared" ca="1" si="2"/>
        <v>84</v>
      </c>
      <c r="AS33" s="136">
        <f t="shared" ref="AS33" ca="1" si="70">IF(COUNTIF($E33:$AI34,"СП")&gt;=1,SUMIF($E33:$AI34,"4",$E33:$AI34)+SUMIF($E33:$AI34,"8",$E33:$AI34)-8,SUMIF($E33:$AI34,"4",$E33:$AI34)+SUMIF($E33:$AI34,"8",$E33:$AI34))</f>
        <v>76</v>
      </c>
      <c r="AT33" s="136">
        <f t="shared" ref="AT33" ca="1" si="71">$AR33+$AS33</f>
        <v>160</v>
      </c>
      <c r="AU33" s="136" t="str">
        <f t="shared" ref="AU33" ca="1" si="72">IF(AK33=AT33,"+","!")</f>
        <v>!</v>
      </c>
      <c r="AV33" s="136">
        <f t="shared" ref="AV33" ca="1" si="73">COUNTIF($E33:$AI34,"ОТ")</f>
        <v>0</v>
      </c>
      <c r="AW33" s="137" t="str">
        <f ca="1">IF(COUNTIF($A34:$AI34,"СП")&gt;0,IF(INDIRECT(ADDRESS(ROW(),MATCH("СП",$A34:$AI34),1))=8,"","!"),"")</f>
        <v>!</v>
      </c>
      <c r="AX33" s="137" t="str">
        <f ca="1">IF(COUNTIF($A34:$AI34,"СП")&gt;0,IF(INDIRECT(ADDRESS(ROW(),MATCH("СП",$A34:$AI34)-1,1))=4,"!",""),"")</f>
        <v/>
      </c>
    </row>
    <row r="34" spans="1:50" ht="16.5" thickBot="1" x14ac:dyDescent="0.3">
      <c r="A34" s="147"/>
      <c r="B34" s="139"/>
      <c r="C34" s="171"/>
      <c r="D34" s="50">
        <v>6</v>
      </c>
      <c r="E34" s="63" t="str">
        <f>INDEX(Д3!$E$14:$AI$23,MATCH($D34,Д3!$D$14:$D$23),MATCH(E$7,Д3!$E$3:$AI$3))</f>
        <v/>
      </c>
      <c r="F34" s="29" t="str">
        <f>INDEX(Д3!$E$4:$AI$13,MATCH($D34,Д3!$D$4:$D$13),MATCH(F$7,Д3!$E$3:$AI$3))</f>
        <v/>
      </c>
      <c r="G34" s="29" t="str">
        <f>INDEX(Д3!$E$4:$AI$13,MATCH($D34,Д3!$D$4:$D$13),MATCH(G$7,Д3!$E$3:$AI$3))</f>
        <v>СП</v>
      </c>
      <c r="H34" s="29" t="str">
        <f>INDEX(Д3!$E$4:$AI$13,MATCH($D34,Д3!$D$4:$D$13),MATCH(H$7,Д3!$E$3:$AI$3))</f>
        <v/>
      </c>
      <c r="I34" s="29" t="str">
        <f>INDEX(Д3!$E$4:$AI$13,MATCH($D34,Д3!$D$4:$D$13),MATCH(I$7,Д3!$E$3:$AI$3))</f>
        <v/>
      </c>
      <c r="J34" s="29" t="str">
        <f>INDEX(Д3!$E$4:$AI$13,MATCH($D34,Д3!$D$4:$D$13),MATCH(J$7,Д3!$E$3:$AI$3))</f>
        <v/>
      </c>
      <c r="K34" s="29" t="str">
        <f>INDEX(Д3!$E$4:$AI$13,MATCH($D34,Д3!$D$4:$D$13),MATCH(K$7,Д3!$E$3:$AI$3))</f>
        <v/>
      </c>
      <c r="L34" s="29" t="str">
        <f>INDEX(Д3!$E$4:$AI$13,MATCH($D34,Д3!$D$4:$D$13),MATCH(L$7,Д3!$E$3:$AI$3))</f>
        <v/>
      </c>
      <c r="M34" s="29" t="str">
        <f>INDEX(Д3!$E$4:$AI$13,MATCH($D34,Д3!$D$4:$D$13),MATCH(M$7,Д3!$E$3:$AI$3))</f>
        <v/>
      </c>
      <c r="N34" s="29" t="str">
        <f>INDEX(Д3!$E$4:$AI$13,MATCH($D34,Д3!$D$4:$D$13),MATCH(N$7,Д3!$E$3:$AI$3))</f>
        <v/>
      </c>
      <c r="O34" s="29" t="str">
        <f>INDEX(Д3!$E$4:$AI$13,MATCH($D34,Д3!$D$4:$D$13),MATCH(O$7,Д3!$E$3:$AI$3))</f>
        <v/>
      </c>
      <c r="P34" s="29" t="str">
        <f>INDEX(Д3!$E$4:$AI$13,MATCH($D34,Д3!$D$4:$D$13),MATCH(P$7,Д3!$E$3:$AI$3))</f>
        <v/>
      </c>
      <c r="Q34" s="29" t="str">
        <f>INDEX(Д3!$E$4:$AI$13,MATCH($D34,Д3!$D$4:$D$13),MATCH(Q$7,Д3!$E$3:$AI$3))</f>
        <v/>
      </c>
      <c r="R34" s="29" t="str">
        <f>INDEX(Д3!$E$4:$AI$13,MATCH($D34,Д3!$D$4:$D$13),MATCH(R$7,Д3!$E$3:$AI$3))</f>
        <v/>
      </c>
      <c r="S34" s="29" t="str">
        <f>INDEX(Д3!$E$4:$AI$13,MATCH($D34,Д3!$D$4:$D$13),MATCH(S$7,Д3!$E$3:$AI$3))</f>
        <v/>
      </c>
      <c r="T34" s="29" t="str">
        <f>INDEX(Д3!$E$4:$AI$13,MATCH($D34,Д3!$D$4:$D$13),MATCH(T$7,Д3!$E$3:$AI$3))</f>
        <v/>
      </c>
      <c r="U34" s="29" t="str">
        <f>INDEX(Д3!$E$4:$AI$13,MATCH($D34,Д3!$D$4:$D$13),MATCH(U$7,Д3!$E$3:$AI$3))</f>
        <v/>
      </c>
      <c r="V34" s="29" t="str">
        <f>INDEX(Д3!$E$4:$AI$13,MATCH($D34,Д3!$D$4:$D$13),MATCH(V$7,Д3!$E$3:$AI$3))</f>
        <v/>
      </c>
      <c r="W34" s="29" t="str">
        <f>INDEX(Д3!$E$4:$AI$13,MATCH($D34,Д3!$D$4:$D$13),MATCH(W$7,Д3!$E$3:$AI$3))</f>
        <v/>
      </c>
      <c r="X34" s="29" t="str">
        <f>INDEX(Д3!$E$4:$AI$13,MATCH($D34,Д3!$D$4:$D$13),MATCH(X$7,Д3!$E$3:$AI$3))</f>
        <v/>
      </c>
      <c r="Y34" s="29" t="str">
        <f>INDEX(Д3!$E$4:$AI$13,MATCH($D34,Д3!$D$4:$D$13),MATCH(Y$7,Д3!$E$3:$AI$3))</f>
        <v/>
      </c>
      <c r="Z34" s="29" t="str">
        <f>INDEX(Д3!$E$4:$AI$13,MATCH($D34,Д3!$D$4:$D$13),MATCH(Z$7,Д3!$E$3:$AI$3))</f>
        <v/>
      </c>
      <c r="AA34" s="29" t="str">
        <f>INDEX(Д3!$E$4:$AI$13,MATCH($D34,Д3!$D$4:$D$13),MATCH(AA$7,Д3!$E$3:$AI$3))</f>
        <v/>
      </c>
      <c r="AB34" s="29" t="str">
        <f>INDEX(Д3!$E$4:$AI$13,MATCH($D34,Д3!$D$4:$D$13),MATCH(AB$7,Д3!$E$3:$AI$3))</f>
        <v/>
      </c>
      <c r="AC34" s="29" t="str">
        <f>INDEX(Д3!$E$4:$AI$13,MATCH($D34,Д3!$D$4:$D$13),MATCH(AC$7,Д3!$E$3:$AI$3))</f>
        <v/>
      </c>
      <c r="AD34" s="29" t="str">
        <f>INDEX(Д3!$E$4:$AI$13,MATCH($D34,Д3!$D$4:$D$13),MATCH(AD$7,Д3!$E$3:$AI$3))</f>
        <v/>
      </c>
      <c r="AE34" s="29" t="str">
        <f>INDEX(Д3!$E$4:$AI$13,MATCH($D34,Д3!$D$4:$D$13),MATCH(AE$7,Д3!$E$3:$AI$3))</f>
        <v/>
      </c>
      <c r="AF34" s="29" t="str">
        <f>INDEX(Д3!$E$4:$AI$13,MATCH($D34,Д3!$D$4:$D$13),MATCH(AF$7,Д3!$E$3:$AI$3))</f>
        <v/>
      </c>
      <c r="AG34" s="29"/>
      <c r="AH34" s="29"/>
      <c r="AI34" s="107"/>
      <c r="AJ34" s="143"/>
      <c r="AK34" s="143"/>
      <c r="AL34" s="143"/>
      <c r="AM34" s="150"/>
      <c r="AP34" s="136"/>
      <c r="AQ34" s="136"/>
      <c r="AR34" s="136"/>
      <c r="AS34" s="136"/>
      <c r="AT34" s="136"/>
      <c r="AU34" s="136"/>
      <c r="AV34" s="136"/>
      <c r="AW34" s="137"/>
      <c r="AX34" s="137"/>
    </row>
    <row r="35" spans="1:50" ht="16.5" customHeight="1" thickBot="1" x14ac:dyDescent="0.3">
      <c r="A35" s="147"/>
      <c r="B35" s="139" t="s">
        <v>93</v>
      </c>
      <c r="C35" s="170">
        <v>4</v>
      </c>
      <c r="D35" s="49">
        <v>7</v>
      </c>
      <c r="E35" s="64">
        <f ca="1">INDEX(Д3!$E$14:$AI$23,MATCH($D35,Д3!$D$14:$D$23),MATCH(E$7,Д3!$E$3:$AI$3))</f>
        <v>8</v>
      </c>
      <c r="F35" s="27">
        <f ca="1">INDEX(Д3!$E$4:$AI$13,MATCH($D35,Д3!$D$4:$D$13),MATCH(F$7,Д3!$E$3:$AI$3))</f>
        <v>4</v>
      </c>
      <c r="G35" s="27">
        <f ca="1">INDEX(Д3!$E$4:$AI$13,MATCH($D35,Д3!$D$4:$D$13),MATCH(G$7,Д3!$E$3:$AI$3))</f>
        <v>8</v>
      </c>
      <c r="H35" s="27">
        <f ca="1">INDEX(Д3!$E$4:$AI$13,MATCH($D35,Д3!$D$4:$D$13),MATCH(H$7,Д3!$E$3:$AI$3))</f>
        <v>12</v>
      </c>
      <c r="I35" s="27">
        <f ca="1">INDEX(Д3!$E$4:$AI$13,MATCH($D35,Д3!$D$4:$D$13),MATCH(I$7,Д3!$E$3:$AI$3))</f>
        <v>0</v>
      </c>
      <c r="J35" s="27">
        <f ca="1">INDEX(Д3!$E$4:$AI$13,MATCH($D35,Д3!$D$4:$D$13),MATCH(J$7,Д3!$E$3:$AI$3))</f>
        <v>0</v>
      </c>
      <c r="K35" s="27">
        <f ca="1">INDEX(Д3!$E$4:$AI$13,MATCH($D35,Д3!$D$4:$D$13),MATCH(K$7,Д3!$E$3:$AI$3))</f>
        <v>4</v>
      </c>
      <c r="L35" s="27">
        <f ca="1">INDEX(Д3!$E$4:$AI$13,MATCH($D35,Д3!$D$4:$D$13),MATCH(L$7,Д3!$E$3:$AI$3))</f>
        <v>8</v>
      </c>
      <c r="M35" s="27">
        <f ca="1">INDEX(Д3!$E$4:$AI$13,MATCH($D35,Д3!$D$4:$D$13),MATCH(M$7,Д3!$E$3:$AI$3))</f>
        <v>12</v>
      </c>
      <c r="N35" s="27">
        <f ca="1">INDEX(Д3!$E$4:$AI$13,MATCH($D35,Д3!$D$4:$D$13),MATCH(N$7,Д3!$E$3:$AI$3))</f>
        <v>4</v>
      </c>
      <c r="O35" s="27">
        <f ca="1">INDEX(Д3!$E$4:$AI$13,MATCH($D35,Д3!$D$4:$D$13),MATCH(O$7,Д3!$E$3:$AI$3))</f>
        <v>8</v>
      </c>
      <c r="P35" s="27">
        <f ca="1">INDEX(Д3!$E$4:$AI$13,MATCH($D35,Д3!$D$4:$D$13),MATCH(P$7,Д3!$E$3:$AI$3))</f>
        <v>12</v>
      </c>
      <c r="Q35" s="27">
        <f ca="1">INDEX(Д3!$E$4:$AI$13,MATCH($D35,Д3!$D$4:$D$13),MATCH(Q$7,Д3!$E$3:$AI$3))</f>
        <v>0</v>
      </c>
      <c r="R35" s="27">
        <f ca="1">INDEX(Д3!$E$4:$AI$13,MATCH($D35,Д3!$D$4:$D$13),MATCH(R$7,Д3!$E$3:$AI$3))</f>
        <v>0</v>
      </c>
      <c r="S35" s="27">
        <f ca="1">INDEX(Д3!$E$4:$AI$13,MATCH($D35,Д3!$D$4:$D$13),MATCH(S$7,Д3!$E$3:$AI$3))</f>
        <v>4</v>
      </c>
      <c r="T35" s="27">
        <f ca="1">INDEX(Д3!$E$4:$AI$13,MATCH($D35,Д3!$D$4:$D$13),MATCH(T$7,Д3!$E$3:$AI$3))</f>
        <v>8</v>
      </c>
      <c r="U35" s="27">
        <f ca="1">INDEX(Д3!$E$4:$AI$13,MATCH($D35,Д3!$D$4:$D$13),MATCH(U$7,Д3!$E$3:$AI$3))</f>
        <v>12</v>
      </c>
      <c r="V35" s="27">
        <f ca="1">INDEX(Д3!$E$4:$AI$13,MATCH($D35,Д3!$D$4:$D$13),MATCH(V$7,Д3!$E$3:$AI$3))</f>
        <v>4</v>
      </c>
      <c r="W35" s="27">
        <f ca="1">INDEX(Д3!$E$4:$AI$13,MATCH($D35,Д3!$D$4:$D$13),MATCH(W$7,Д3!$E$3:$AI$3))</f>
        <v>8</v>
      </c>
      <c r="X35" s="27">
        <f ca="1">INDEX(Д3!$E$4:$AI$13,MATCH($D35,Д3!$D$4:$D$13),MATCH(X$7,Д3!$E$3:$AI$3))</f>
        <v>12</v>
      </c>
      <c r="Y35" s="27">
        <f ca="1">INDEX(Д3!$E$4:$AI$13,MATCH($D35,Д3!$D$4:$D$13),MATCH(Y$7,Д3!$E$3:$AI$3))</f>
        <v>0</v>
      </c>
      <c r="Z35" s="27">
        <f ca="1">INDEX(Д3!$E$4:$AI$13,MATCH($D35,Д3!$D$4:$D$13),MATCH(Z$7,Д3!$E$3:$AI$3))</f>
        <v>0</v>
      </c>
      <c r="AA35" s="27">
        <f ca="1">INDEX(Д3!$E$4:$AI$13,MATCH($D35,Д3!$D$4:$D$13),MATCH(AA$7,Д3!$E$3:$AI$3))</f>
        <v>4</v>
      </c>
      <c r="AB35" s="27">
        <f ca="1">INDEX(Д3!$E$4:$AI$13,MATCH($D35,Д3!$D$4:$D$13),MATCH(AB$7,Д3!$E$3:$AI$3))</f>
        <v>8</v>
      </c>
      <c r="AC35" s="27">
        <f ca="1">INDEX(Д3!$E$4:$AI$13,MATCH($D35,Д3!$D$4:$D$13),MATCH(AC$7,Д3!$E$3:$AI$3))</f>
        <v>12</v>
      </c>
      <c r="AD35" s="27">
        <f ca="1">INDEX(Д3!$E$4:$AI$13,MATCH($D35,Д3!$D$4:$D$13),MATCH(AD$7,Д3!$E$3:$AI$3))</f>
        <v>4</v>
      </c>
      <c r="AE35" s="27">
        <f ca="1">INDEX(Д3!$E$4:$AI$13,MATCH($D35,Д3!$D$4:$D$13),MATCH(AE$7,Д3!$E$3:$AI$3))</f>
        <v>8</v>
      </c>
      <c r="AF35" s="27">
        <f ca="1">INDEX(Д3!$E$4:$AI$13,MATCH($D35,Д3!$D$4:$D$13),MATCH(AF$7,Д3!$E$3:$AI$3))</f>
        <v>12</v>
      </c>
      <c r="AG35" s="27"/>
      <c r="AH35" s="27"/>
      <c r="AI35" s="106"/>
      <c r="AJ35" s="143">
        <f>INDEX(Д3!AK$14:$AK$23,MATCH($C35,Д3!$C$14:$C$23),MATCH(E$7,Д3!$E$3:$AI$3))*AND(MONTH($E$8)=MONTH(Д3!$B$14))</f>
        <v>160</v>
      </c>
      <c r="AK35" s="143">
        <f ca="1">SUM(E35:AI36)</f>
        <v>176</v>
      </c>
      <c r="AL35" s="143"/>
      <c r="AM35" s="149">
        <f ca="1">SUM(F35:H36,J35:AI36)-AJ35+AL35-12</f>
        <v>-4</v>
      </c>
      <c r="AP35" s="136">
        <f t="shared" ref="AP35" ca="1" si="74">COUNTIF($E35:$AI36,"12")</f>
        <v>7</v>
      </c>
      <c r="AQ35" s="136">
        <f t="shared" ref="AQ35" ca="1" si="75">IF(COUNTIF($E35:$AI36,"СП")&gt;=1,(COUNTIF($E35:$AI36,"4")+COUNTIF($E35:$AI36,"8")-1)/2,(COUNTIF($E35:$AI36,"4")+COUNTIF($E35:$AI36,"8"))/2)</f>
        <v>7</v>
      </c>
      <c r="AR35" s="136">
        <f t="shared" ca="1" si="2"/>
        <v>84</v>
      </c>
      <c r="AS35" s="136">
        <f t="shared" ref="AS35" ca="1" si="76">IF(COUNTIF($E35:$AI36,"СП")&gt;=1,SUMIF($E35:$AI36,"4",$E35:$AI36)+SUMIF($E35:$AI36,"8",$E35:$AI36)-8,SUMIF($E35:$AI36,"4",$E35:$AI36)+SUMIF($E35:$AI36,"8",$E35:$AI36))</f>
        <v>84</v>
      </c>
      <c r="AT35" s="136">
        <f t="shared" ref="AT35" ca="1" si="77">$AR35+$AS35</f>
        <v>168</v>
      </c>
      <c r="AU35" s="136" t="str">
        <f t="shared" ref="AU35" ca="1" si="78">IF(AK35=AT35,"+","!")</f>
        <v>!</v>
      </c>
      <c r="AV35" s="136">
        <f t="shared" ref="AV35" ca="1" si="79">COUNTIF($E35:$AI36,"ОТ")</f>
        <v>0</v>
      </c>
      <c r="AW35" s="137" t="str">
        <f ca="1">IF(COUNTIF($A36:$AI36,"СП")&gt;0,IF(INDIRECT(ADDRESS(ROW(),MATCH("СП",$A36:$AI36),1))=8,"","!"),"")</f>
        <v>!</v>
      </c>
      <c r="AX35" s="137" t="str">
        <f ca="1">IF(COUNTIF($A36:$AI36,"СП")&gt;0,IF(INDIRECT(ADDRESS(ROW(),MATCH("СП",$A36:$AI36)-1,1))=4,"!",""),"")</f>
        <v/>
      </c>
    </row>
    <row r="36" spans="1:50" ht="16.5" thickBot="1" x14ac:dyDescent="0.3">
      <c r="A36" s="147"/>
      <c r="B36" s="139"/>
      <c r="C36" s="171"/>
      <c r="D36" s="50">
        <v>8</v>
      </c>
      <c r="E36" s="65" t="str">
        <f>INDEX(Д3!$E$14:$AI$23,MATCH($D36,Д3!$D$14:$D$23),MATCH(E$7,Д3!$E$3:$AI$3))</f>
        <v/>
      </c>
      <c r="F36" s="30" t="str">
        <f>INDEX(Д3!$E$4:$AI$13,MATCH($D36,Д3!$D$4:$D$13),MATCH(F$7,Д3!$E$3:$AI$3))</f>
        <v/>
      </c>
      <c r="G36" s="30" t="str">
        <f>INDEX(Д3!$E$4:$AI$13,MATCH($D36,Д3!$D$4:$D$13),MATCH(G$7,Д3!$E$3:$AI$3))</f>
        <v/>
      </c>
      <c r="H36" s="30" t="str">
        <f>INDEX(Д3!$E$4:$AI$13,MATCH($D36,Д3!$D$4:$D$13),MATCH(H$7,Д3!$E$3:$AI$3))</f>
        <v>СП</v>
      </c>
      <c r="I36" s="30" t="str">
        <f>INDEX(Д3!$E$4:$AI$13,MATCH($D36,Д3!$D$4:$D$13),MATCH(I$7,Д3!$E$3:$AI$3))</f>
        <v/>
      </c>
      <c r="J36" s="30" t="str">
        <f>INDEX(Д3!$E$4:$AI$13,MATCH($D36,Д3!$D$4:$D$13),MATCH(J$7,Д3!$E$3:$AI$3))</f>
        <v/>
      </c>
      <c r="K36" s="30" t="str">
        <f>INDEX(Д3!$E$4:$AI$13,MATCH($D36,Д3!$D$4:$D$13),MATCH(K$7,Д3!$E$3:$AI$3))</f>
        <v/>
      </c>
      <c r="L36" s="30" t="str">
        <f>INDEX(Д3!$E$4:$AI$13,MATCH($D36,Д3!$D$4:$D$13),MATCH(L$7,Д3!$E$3:$AI$3))</f>
        <v/>
      </c>
      <c r="M36" s="30" t="str">
        <f>INDEX(Д3!$E$4:$AI$13,MATCH($D36,Д3!$D$4:$D$13),MATCH(M$7,Д3!$E$3:$AI$3))</f>
        <v/>
      </c>
      <c r="N36" s="30" t="str">
        <f>INDEX(Д3!$E$4:$AI$13,MATCH($D36,Д3!$D$4:$D$13),MATCH(N$7,Д3!$E$3:$AI$3))</f>
        <v/>
      </c>
      <c r="O36" s="30" t="str">
        <f>INDEX(Д3!$E$4:$AI$13,MATCH($D36,Д3!$D$4:$D$13),MATCH(O$7,Д3!$E$3:$AI$3))</f>
        <v/>
      </c>
      <c r="P36" s="30" t="str">
        <f>INDEX(Д3!$E$4:$AI$13,MATCH($D36,Д3!$D$4:$D$13),MATCH(P$7,Д3!$E$3:$AI$3))</f>
        <v/>
      </c>
      <c r="Q36" s="30" t="str">
        <f>INDEX(Д3!$E$4:$AI$13,MATCH($D36,Д3!$D$4:$D$13),MATCH(Q$7,Д3!$E$3:$AI$3))</f>
        <v/>
      </c>
      <c r="R36" s="30" t="str">
        <f>INDEX(Д3!$E$4:$AI$13,MATCH($D36,Д3!$D$4:$D$13),MATCH(R$7,Д3!$E$3:$AI$3))</f>
        <v/>
      </c>
      <c r="S36" s="30" t="str">
        <f>INDEX(Д3!$E$4:$AI$13,MATCH($D36,Д3!$D$4:$D$13),MATCH(S$7,Д3!$E$3:$AI$3))</f>
        <v/>
      </c>
      <c r="T36" s="30" t="str">
        <f>INDEX(Д3!$E$4:$AI$13,MATCH($D36,Д3!$D$4:$D$13),MATCH(T$7,Д3!$E$3:$AI$3))</f>
        <v/>
      </c>
      <c r="U36" s="30" t="str">
        <f>INDEX(Д3!$E$4:$AI$13,MATCH($D36,Д3!$D$4:$D$13),MATCH(U$7,Д3!$E$3:$AI$3))</f>
        <v/>
      </c>
      <c r="V36" s="30" t="str">
        <f>INDEX(Д3!$E$4:$AI$13,MATCH($D36,Д3!$D$4:$D$13),MATCH(V$7,Д3!$E$3:$AI$3))</f>
        <v/>
      </c>
      <c r="W36" s="30" t="str">
        <f>INDEX(Д3!$E$4:$AI$13,MATCH($D36,Д3!$D$4:$D$13),MATCH(W$7,Д3!$E$3:$AI$3))</f>
        <v/>
      </c>
      <c r="X36" s="30" t="str">
        <f>INDEX(Д3!$E$4:$AI$13,MATCH($D36,Д3!$D$4:$D$13),MATCH(X$7,Д3!$E$3:$AI$3))</f>
        <v/>
      </c>
      <c r="Y36" s="30" t="str">
        <f>INDEX(Д3!$E$4:$AI$13,MATCH($D36,Д3!$D$4:$D$13),MATCH(Y$7,Д3!$E$3:$AI$3))</f>
        <v/>
      </c>
      <c r="Z36" s="30" t="str">
        <f>INDEX(Д3!$E$4:$AI$13,MATCH($D36,Д3!$D$4:$D$13),MATCH(Z$7,Д3!$E$3:$AI$3))</f>
        <v/>
      </c>
      <c r="AA36" s="30" t="str">
        <f>INDEX(Д3!$E$4:$AI$13,MATCH($D36,Д3!$D$4:$D$13),MATCH(AA$7,Д3!$E$3:$AI$3))</f>
        <v/>
      </c>
      <c r="AB36" s="30" t="str">
        <f>INDEX(Д3!$E$4:$AI$13,MATCH($D36,Д3!$D$4:$D$13),MATCH(AB$7,Д3!$E$3:$AI$3))</f>
        <v/>
      </c>
      <c r="AC36" s="30" t="str">
        <f>INDEX(Д3!$E$4:$AI$13,MATCH($D36,Д3!$D$4:$D$13),MATCH(AC$7,Д3!$E$3:$AI$3))</f>
        <v/>
      </c>
      <c r="AD36" s="30" t="str">
        <f>INDEX(Д3!$E$4:$AI$13,MATCH($D36,Д3!$D$4:$D$13),MATCH(AD$7,Д3!$E$3:$AI$3))</f>
        <v/>
      </c>
      <c r="AE36" s="30" t="str">
        <f>INDEX(Д3!$E$4:$AI$13,MATCH($D36,Д3!$D$4:$D$13),MATCH(AE$7,Д3!$E$3:$AI$3))</f>
        <v/>
      </c>
      <c r="AF36" s="30" t="str">
        <f>INDEX(Д3!$E$4:$AI$13,MATCH($D36,Д3!$D$4:$D$13),MATCH(AF$7,Д3!$E$3:$AI$3))</f>
        <v/>
      </c>
      <c r="AG36" s="30"/>
      <c r="AH36" s="30"/>
      <c r="AI36" s="103"/>
      <c r="AJ36" s="143"/>
      <c r="AK36" s="143"/>
      <c r="AL36" s="143"/>
      <c r="AM36" s="150"/>
      <c r="AP36" s="136"/>
      <c r="AQ36" s="136"/>
      <c r="AR36" s="136"/>
      <c r="AS36" s="136"/>
      <c r="AT36" s="136"/>
      <c r="AU36" s="136"/>
      <c r="AV36" s="136"/>
      <c r="AW36" s="137"/>
      <c r="AX36" s="137"/>
    </row>
    <row r="37" spans="1:50" ht="16.5" customHeight="1" thickBot="1" x14ac:dyDescent="0.3">
      <c r="A37" s="147"/>
      <c r="B37" s="139" t="s">
        <v>94</v>
      </c>
      <c r="C37" s="170">
        <v>5</v>
      </c>
      <c r="D37" s="49">
        <v>9</v>
      </c>
      <c r="E37" s="62" t="str">
        <f>INDEX(Д3!$E$14:$AI$23,MATCH($D37,Д3!$D$14:$D$23),MATCH(E$7,Д3!$E$3:$AI$3))</f>
        <v>-</v>
      </c>
      <c r="F37" s="28" t="str">
        <f>INDEX(Д3!$E$4:$AI$13,MATCH($D37,Д3!$D$4:$D$13),MATCH(F$7,Д3!$E$3:$AI$3))</f>
        <v>-</v>
      </c>
      <c r="G37" s="28" t="str">
        <f>INDEX(Д3!$E$4:$AI$13,MATCH($D37,Д3!$D$4:$D$13),MATCH(G$7,Д3!$E$3:$AI$3))</f>
        <v>-</v>
      </c>
      <c r="H37" s="28" t="str">
        <f>INDEX(Д3!$E$4:$AI$13,MATCH($D37,Д3!$D$4:$D$13),MATCH(H$7,Д3!$E$3:$AI$3))</f>
        <v>-</v>
      </c>
      <c r="I37" s="28" t="str">
        <f>INDEX(Д3!$E$4:$AI$13,MATCH($D37,Д3!$D$4:$D$13),MATCH(I$7,Д3!$E$3:$AI$3))</f>
        <v>-</v>
      </c>
      <c r="J37" s="28" t="str">
        <f>INDEX(Д3!$E$4:$AI$13,MATCH($D37,Д3!$D$4:$D$13),MATCH(J$7,Д3!$E$3:$AI$3))</f>
        <v>-</v>
      </c>
      <c r="K37" s="28" t="str">
        <f>INDEX(Д3!$E$4:$AI$13,MATCH($D37,Д3!$D$4:$D$13),MATCH(K$7,Д3!$E$3:$AI$3))</f>
        <v>-</v>
      </c>
      <c r="L37" s="28" t="str">
        <f>INDEX(Д3!$E$4:$AI$13,MATCH($D37,Д3!$D$4:$D$13),MATCH(L$7,Д3!$E$3:$AI$3))</f>
        <v>-</v>
      </c>
      <c r="M37" s="28" t="str">
        <f>INDEX(Д3!$E$4:$AI$13,MATCH($D37,Д3!$D$4:$D$13),MATCH(M$7,Д3!$E$3:$AI$3))</f>
        <v>-</v>
      </c>
      <c r="N37" s="28" t="str">
        <f>INDEX(Д3!$E$4:$AI$13,MATCH($D37,Д3!$D$4:$D$13),MATCH(N$7,Д3!$E$3:$AI$3))</f>
        <v>-</v>
      </c>
      <c r="O37" s="28" t="str">
        <f>INDEX(Д3!$E$4:$AI$13,MATCH($D37,Д3!$D$4:$D$13),MATCH(O$7,Д3!$E$3:$AI$3))</f>
        <v>-</v>
      </c>
      <c r="P37" s="28" t="str">
        <f>INDEX(Д3!$E$4:$AI$13,MATCH($D37,Д3!$D$4:$D$13),MATCH(P$7,Д3!$E$3:$AI$3))</f>
        <v>-</v>
      </c>
      <c r="Q37" s="28" t="str">
        <f>INDEX(Д3!$E$4:$AI$13,MATCH($D37,Д3!$D$4:$D$13),MATCH(Q$7,Д3!$E$3:$AI$3))</f>
        <v>-</v>
      </c>
      <c r="R37" s="28" t="str">
        <f>INDEX(Д3!$E$4:$AI$13,MATCH($D37,Д3!$D$4:$D$13),MATCH(R$7,Д3!$E$3:$AI$3))</f>
        <v>-</v>
      </c>
      <c r="S37" s="28" t="str">
        <f>INDEX(Д3!$E$4:$AI$13,MATCH($D37,Д3!$D$4:$D$13),MATCH(S$7,Д3!$E$3:$AI$3))</f>
        <v>-</v>
      </c>
      <c r="T37" s="28" t="str">
        <f>INDEX(Д3!$E$4:$AI$13,MATCH($D37,Д3!$D$4:$D$13),MATCH(T$7,Д3!$E$3:$AI$3))</f>
        <v>-</v>
      </c>
      <c r="U37" s="28" t="str">
        <f>INDEX(Д3!$E$4:$AI$13,MATCH($D37,Д3!$D$4:$D$13),MATCH(U$7,Д3!$E$3:$AI$3))</f>
        <v>-</v>
      </c>
      <c r="V37" s="28" t="str">
        <f>INDEX(Д3!$E$4:$AI$13,MATCH($D37,Д3!$D$4:$D$13),MATCH(V$7,Д3!$E$3:$AI$3))</f>
        <v>-</v>
      </c>
      <c r="W37" s="28" t="str">
        <f>INDEX(Д3!$E$4:$AI$13,MATCH($D37,Д3!$D$4:$D$13),MATCH(W$7,Д3!$E$3:$AI$3))</f>
        <v>-</v>
      </c>
      <c r="X37" s="28" t="str">
        <f>INDEX(Д3!$E$4:$AI$13,MATCH($D37,Д3!$D$4:$D$13),MATCH(X$7,Д3!$E$3:$AI$3))</f>
        <v>-</v>
      </c>
      <c r="Y37" s="28" t="str">
        <f>INDEX(Д3!$E$4:$AI$13,MATCH($D37,Д3!$D$4:$D$13),MATCH(Y$7,Д3!$E$3:$AI$3))</f>
        <v>-</v>
      </c>
      <c r="Z37" s="28" t="str">
        <f>INDEX(Д3!$E$4:$AI$13,MATCH($D37,Д3!$D$4:$D$13),MATCH(Z$7,Д3!$E$3:$AI$3))</f>
        <v>-</v>
      </c>
      <c r="AA37" s="28" t="str">
        <f>INDEX(Д3!$E$4:$AI$13,MATCH($D37,Д3!$D$4:$D$13),MATCH(AA$7,Д3!$E$3:$AI$3))</f>
        <v>-</v>
      </c>
      <c r="AB37" s="28" t="str">
        <f>INDEX(Д3!$E$4:$AI$13,MATCH($D37,Д3!$D$4:$D$13),MATCH(AB$7,Д3!$E$3:$AI$3))</f>
        <v>-</v>
      </c>
      <c r="AC37" s="28" t="str">
        <f>INDEX(Д3!$E$4:$AI$13,MATCH($D37,Д3!$D$4:$D$13),MATCH(AC$7,Д3!$E$3:$AI$3))</f>
        <v>-</v>
      </c>
      <c r="AD37" s="28" t="str">
        <f>INDEX(Д3!$E$4:$AI$13,MATCH($D37,Д3!$D$4:$D$13),MATCH(AD$7,Д3!$E$3:$AI$3))</f>
        <v>-</v>
      </c>
      <c r="AE37" s="28" t="str">
        <f>INDEX(Д3!$E$4:$AI$13,MATCH($D37,Д3!$D$4:$D$13),MATCH(AE$7,Д3!$E$3:$AI$3))</f>
        <v>-</v>
      </c>
      <c r="AF37" s="28" t="str">
        <f>INDEX(Д3!$E$4:$AI$13,MATCH($D37,Д3!$D$4:$D$13),MATCH(AF$7,Д3!$E$3:$AI$3))</f>
        <v>-</v>
      </c>
      <c r="AG37" s="28"/>
      <c r="AH37" s="28"/>
      <c r="AI37" s="108"/>
      <c r="AJ37" s="143">
        <f>INDEX(Д3!AK$14:$AK$23,MATCH($C37,Д3!$C$14:$C$23),MATCH(E$7,Д3!$E$3:$AI$3))*AND(MONTH($E$8)=MONTH(Д3!$B$14))</f>
        <v>160</v>
      </c>
      <c r="AK37" s="143">
        <f>SUM(E37:AJ38)</f>
        <v>160</v>
      </c>
      <c r="AL37" s="143"/>
      <c r="AM37" s="149">
        <f>SUM(F37:H38,J37:AI38)-AJ37+AL37-12</f>
        <v>-172</v>
      </c>
      <c r="AP37" s="136">
        <f t="shared" ref="AP37" si="80">COUNTIF($E37:$AI38,"12")</f>
        <v>0</v>
      </c>
      <c r="AQ37" s="136">
        <f t="shared" ref="AQ37" si="81">IF(COUNTIF($E37:$AI38,"СП")&gt;=1,(COUNTIF($E37:$AI38,"4")+COUNTIF($E37:$AI38,"8")-1)/2,(COUNTIF($E37:$AI38,"4")+COUNTIF($E37:$AI38,"8"))/2)</f>
        <v>-0.5</v>
      </c>
      <c r="AR37" s="136">
        <f t="shared" si="2"/>
        <v>0</v>
      </c>
      <c r="AS37" s="136">
        <f t="shared" ref="AS37" si="82">IF(COUNTIF($E37:$AI38,"СП")&gt;=1,SUMIF($E37:$AI38,"4",$E37:$AI38)+SUMIF($E37:$AI38,"8",$E37:$AI38)-8,SUMIF($E37:$AI38,"4",$E37:$AI38)+SUMIF($E37:$AI38,"8",$E37:$AI38))</f>
        <v>-8</v>
      </c>
      <c r="AT37" s="136">
        <f t="shared" ref="AT37" si="83">$AR37+$AS37</f>
        <v>-8</v>
      </c>
      <c r="AU37" s="136" t="str">
        <f t="shared" ref="AU37" si="84">IF(AK37=AT37,"+","!")</f>
        <v>!</v>
      </c>
      <c r="AV37" s="136">
        <f t="shared" ref="AV37" si="85">COUNTIF($E37:$AI38,"ОТ")</f>
        <v>0</v>
      </c>
      <c r="AW37" s="137" t="str">
        <f ca="1">IF(COUNTIF($A38:$AI38,"СП")&gt;0,IF(INDIRECT(ADDRESS(ROW(),MATCH("СП",$A38:$AI38),1))=8,"","!"),"")</f>
        <v>!</v>
      </c>
      <c r="AX37" s="137" t="str">
        <f ca="1">IF(COUNTIF($A38:$AI38,"СП")&gt;0,IF(INDIRECT(ADDRESS(ROW(),MATCH("СП",$A38:$AI38)-1,1))=4,"!",""),"")</f>
        <v/>
      </c>
    </row>
    <row r="38" spans="1:50" ht="16.5" thickBot="1" x14ac:dyDescent="0.3">
      <c r="A38" s="148"/>
      <c r="B38" s="140"/>
      <c r="C38" s="172"/>
      <c r="D38" s="50">
        <v>10</v>
      </c>
      <c r="E38" s="66" t="str">
        <f>INDEX(Д3!$E$14:$AI$23,MATCH($D38,Д3!$D$14:$D$23),MATCH(E$7,Д3!$E$3:$AI$3))</f>
        <v/>
      </c>
      <c r="F38" s="67" t="str">
        <f>INDEX(Д3!$E$4:$AI$13,MATCH($D38,Д3!$D$4:$D$13),MATCH(F$7,Д3!$E$3:$AI$3))</f>
        <v/>
      </c>
      <c r="G38" s="67" t="str">
        <f>INDEX(Д3!$E$4:$AI$13,MATCH($D38,Д3!$D$4:$D$13),MATCH(G$7,Д3!$E$3:$AI$3))</f>
        <v/>
      </c>
      <c r="H38" s="67" t="str">
        <f>INDEX(Д3!$E$4:$AI$13,MATCH($D38,Д3!$D$4:$D$13),MATCH(H$7,Д3!$E$3:$AI$3))</f>
        <v/>
      </c>
      <c r="I38" s="67" t="str">
        <f>INDEX(Д3!$E$4:$AI$13,MATCH($D38,Д3!$D$4:$D$13),MATCH(I$7,Д3!$E$3:$AI$3))</f>
        <v>СП</v>
      </c>
      <c r="J38" s="67" t="str">
        <f>INDEX(Д3!$E$4:$AI$13,MATCH($D38,Д3!$D$4:$D$13),MATCH(J$7,Д3!$E$3:$AI$3))</f>
        <v/>
      </c>
      <c r="K38" s="67" t="str">
        <f>INDEX(Д3!$E$4:$AI$13,MATCH($D38,Д3!$D$4:$D$13),MATCH(K$7,Д3!$E$3:$AI$3))</f>
        <v/>
      </c>
      <c r="L38" s="67" t="str">
        <f>INDEX(Д3!$E$4:$AI$13,MATCH($D38,Д3!$D$4:$D$13),MATCH(L$7,Д3!$E$3:$AI$3))</f>
        <v/>
      </c>
      <c r="M38" s="67" t="str">
        <f>INDEX(Д3!$E$4:$AI$13,MATCH($D38,Д3!$D$4:$D$13),MATCH(M$7,Д3!$E$3:$AI$3))</f>
        <v/>
      </c>
      <c r="N38" s="67" t="str">
        <f>INDEX(Д3!$E$4:$AI$13,MATCH($D38,Д3!$D$4:$D$13),MATCH(N$7,Д3!$E$3:$AI$3))</f>
        <v/>
      </c>
      <c r="O38" s="67" t="str">
        <f>INDEX(Д3!$E$4:$AI$13,MATCH($D38,Д3!$D$4:$D$13),MATCH(O$7,Д3!$E$3:$AI$3))</f>
        <v/>
      </c>
      <c r="P38" s="67" t="str">
        <f>INDEX(Д3!$E$4:$AI$13,MATCH($D38,Д3!$D$4:$D$13),MATCH(P$7,Д3!$E$3:$AI$3))</f>
        <v/>
      </c>
      <c r="Q38" s="67" t="str">
        <f>INDEX(Д3!$E$4:$AI$13,MATCH($D38,Д3!$D$4:$D$13),MATCH(Q$7,Д3!$E$3:$AI$3))</f>
        <v/>
      </c>
      <c r="R38" s="67" t="str">
        <f>INDEX(Д3!$E$4:$AI$13,MATCH($D38,Д3!$D$4:$D$13),MATCH(R$7,Д3!$E$3:$AI$3))</f>
        <v/>
      </c>
      <c r="S38" s="67" t="str">
        <f>INDEX(Д3!$E$4:$AI$13,MATCH($D38,Д3!$D$4:$D$13),MATCH(S$7,Д3!$E$3:$AI$3))</f>
        <v/>
      </c>
      <c r="T38" s="67" t="str">
        <f>INDEX(Д3!$E$4:$AI$13,MATCH($D38,Д3!$D$4:$D$13),MATCH(T$7,Д3!$E$3:$AI$3))</f>
        <v/>
      </c>
      <c r="U38" s="67" t="str">
        <f>INDEX(Д3!$E$4:$AI$13,MATCH($D38,Д3!$D$4:$D$13),MATCH(U$7,Д3!$E$3:$AI$3))</f>
        <v/>
      </c>
      <c r="V38" s="67" t="str">
        <f>INDEX(Д3!$E$4:$AI$13,MATCH($D38,Д3!$D$4:$D$13),MATCH(V$7,Д3!$E$3:$AI$3))</f>
        <v/>
      </c>
      <c r="W38" s="67" t="str">
        <f>INDEX(Д3!$E$4:$AI$13,MATCH($D38,Д3!$D$4:$D$13),MATCH(W$7,Д3!$E$3:$AI$3))</f>
        <v/>
      </c>
      <c r="X38" s="67" t="str">
        <f>INDEX(Д3!$E$4:$AI$13,MATCH($D38,Д3!$D$4:$D$13),MATCH(X$7,Д3!$E$3:$AI$3))</f>
        <v/>
      </c>
      <c r="Y38" s="67" t="str">
        <f>INDEX(Д3!$E$4:$AI$13,MATCH($D38,Д3!$D$4:$D$13),MATCH(Y$7,Д3!$E$3:$AI$3))</f>
        <v/>
      </c>
      <c r="Z38" s="67" t="str">
        <f>INDEX(Д3!$E$4:$AI$13,MATCH($D38,Д3!$D$4:$D$13),MATCH(Z$7,Д3!$E$3:$AI$3))</f>
        <v/>
      </c>
      <c r="AA38" s="67" t="str">
        <f>INDEX(Д3!$E$4:$AI$13,MATCH($D38,Д3!$D$4:$D$13),MATCH(AA$7,Д3!$E$3:$AI$3))</f>
        <v/>
      </c>
      <c r="AB38" s="67" t="str">
        <f>INDEX(Д3!$E$4:$AI$13,MATCH($D38,Д3!$D$4:$D$13),MATCH(AB$7,Д3!$E$3:$AI$3))</f>
        <v/>
      </c>
      <c r="AC38" s="67" t="str">
        <f>INDEX(Д3!$E$4:$AI$13,MATCH($D38,Д3!$D$4:$D$13),MATCH(AC$7,Д3!$E$3:$AI$3))</f>
        <v/>
      </c>
      <c r="AD38" s="67" t="str">
        <f>INDEX(Д3!$E$4:$AI$13,MATCH($D38,Д3!$D$4:$D$13),MATCH(AD$7,Д3!$E$3:$AI$3))</f>
        <v/>
      </c>
      <c r="AE38" s="67" t="str">
        <f>INDEX(Д3!$E$4:$AI$13,MATCH($D38,Д3!$D$4:$D$13),MATCH(AE$7,Д3!$E$3:$AI$3))</f>
        <v/>
      </c>
      <c r="AF38" s="67" t="str">
        <f>INDEX(Д3!$E$4:$AI$13,MATCH($D38,Д3!$D$4:$D$13),MATCH(AF$7,Д3!$E$3:$AI$3))</f>
        <v/>
      </c>
      <c r="AG38" s="67"/>
      <c r="AH38" s="67"/>
      <c r="AI38" s="105"/>
      <c r="AJ38" s="153"/>
      <c r="AK38" s="143"/>
      <c r="AL38" s="153"/>
      <c r="AM38" s="150"/>
      <c r="AP38" s="136"/>
      <c r="AQ38" s="136"/>
      <c r="AR38" s="136"/>
      <c r="AS38" s="136"/>
      <c r="AT38" s="136"/>
      <c r="AU38" s="136"/>
      <c r="AV38" s="136"/>
      <c r="AW38" s="137"/>
      <c r="AX38" s="137"/>
    </row>
    <row r="39" spans="1:50" ht="17.25" customHeight="1" thickTop="1" thickBot="1" x14ac:dyDescent="0.3">
      <c r="A39" s="146" t="s">
        <v>103</v>
      </c>
      <c r="B39" s="151" t="s">
        <v>95</v>
      </c>
      <c r="C39" s="173">
        <v>1</v>
      </c>
      <c r="D39" s="49">
        <v>1</v>
      </c>
      <c r="E39" s="64">
        <f ca="1">INDEX(Д4!$E$14:$AI$23,MATCH($D39,Д4!$D$14:$D$23),MATCH(E$7,Д4!$E$3:$AI$3))</f>
        <v>12</v>
      </c>
      <c r="F39" s="27">
        <f ca="1">INDEX(Д4!$E$4:$AI$13,MATCH($D39,Д4!$D$4:$D$13),MATCH(F$7,Д4!$E$3:$AI$3))</f>
        <v>0</v>
      </c>
      <c r="G39" s="27">
        <f ca="1">INDEX(Д4!$E$4:$AI$13,MATCH($D39,Д4!$D$4:$D$13),MATCH(G$7,Д4!$E$3:$AI$3))</f>
        <v>4</v>
      </c>
      <c r="H39" s="27">
        <f ca="1">INDEX(Д4!$E$4:$AI$13,MATCH($D39,Д4!$D$4:$D$13),MATCH(H$7,Д4!$E$3:$AI$3))</f>
        <v>8</v>
      </c>
      <c r="I39" s="27">
        <f ca="1">INDEX(Д4!$E$4:$AI$13,MATCH($D39,Д4!$D$4:$D$13),MATCH(I$7,Д4!$E$3:$AI$3))</f>
        <v>12</v>
      </c>
      <c r="J39" s="27">
        <f ca="1">INDEX(Д4!$E$4:$AI$13,MATCH($D39,Д4!$D$4:$D$13),MATCH(J$7,Д4!$E$3:$AI$3))</f>
        <v>4</v>
      </c>
      <c r="K39" s="27">
        <f ca="1">INDEX(Д4!$E$4:$AI$13,MATCH($D39,Д4!$D$4:$D$13),MATCH(K$7,Д4!$E$3:$AI$3))</f>
        <v>8</v>
      </c>
      <c r="L39" s="27">
        <f ca="1">INDEX(Д4!$E$4:$AI$13,MATCH($D39,Д4!$D$4:$D$13),MATCH(L$7,Д4!$E$3:$AI$3))</f>
        <v>12</v>
      </c>
      <c r="M39" s="27">
        <f ca="1">INDEX(Д4!$E$4:$AI$13,MATCH($D39,Д4!$D$4:$D$13),MATCH(M$7,Д4!$E$3:$AI$3))</f>
        <v>0</v>
      </c>
      <c r="N39" s="27">
        <f ca="1">INDEX(Д4!$E$4:$AI$13,MATCH($D39,Д4!$D$4:$D$13),MATCH(N$7,Д4!$E$3:$AI$3))</f>
        <v>0</v>
      </c>
      <c r="O39" s="27">
        <f ca="1">INDEX(Д4!$E$4:$AI$13,MATCH($D39,Д4!$D$4:$D$13),MATCH(O$7,Д4!$E$3:$AI$3))</f>
        <v>4</v>
      </c>
      <c r="P39" s="27">
        <f ca="1">INDEX(Д4!$E$4:$AI$13,MATCH($D39,Д4!$D$4:$D$13),MATCH(P$7,Д4!$E$3:$AI$3))</f>
        <v>8</v>
      </c>
      <c r="Q39" s="27">
        <f ca="1">INDEX(Д4!$E$4:$AI$13,MATCH($D39,Д4!$D$4:$D$13),MATCH(Q$7,Д4!$E$3:$AI$3))</f>
        <v>12</v>
      </c>
      <c r="R39" s="27">
        <f ca="1">INDEX(Д4!$E$4:$AI$13,MATCH($D39,Д4!$D$4:$D$13),MATCH(R$7,Д4!$E$3:$AI$3))</f>
        <v>4</v>
      </c>
      <c r="S39" s="27">
        <f ca="1">INDEX(Д4!$E$4:$AI$13,MATCH($D39,Д4!$D$4:$D$13),MATCH(S$7,Д4!$E$3:$AI$3))</f>
        <v>8</v>
      </c>
      <c r="T39" s="27">
        <f ca="1">INDEX(Д4!$E$4:$AI$13,MATCH($D39,Д4!$D$4:$D$13),MATCH(T$7,Д4!$E$3:$AI$3))</f>
        <v>12</v>
      </c>
      <c r="U39" s="27">
        <f ca="1">INDEX(Д4!$E$4:$AI$13,MATCH($D39,Д4!$D$4:$D$13),MATCH(U$7,Д4!$E$3:$AI$3))</f>
        <v>0</v>
      </c>
      <c r="V39" s="27">
        <f ca="1">INDEX(Д4!$E$4:$AI$13,MATCH($D39,Д4!$D$4:$D$13),MATCH(V$7,Д4!$E$3:$AI$3))</f>
        <v>0</v>
      </c>
      <c r="W39" s="27">
        <f ca="1">INDEX(Д4!$E$4:$AI$13,MATCH($D39,Д4!$D$4:$D$13),MATCH(W$7,Д4!$E$3:$AI$3))</f>
        <v>4</v>
      </c>
      <c r="X39" s="27">
        <f ca="1">INDEX(Д4!$E$4:$AI$13,MATCH($D39,Д4!$D$4:$D$13),MATCH(X$7,Д4!$E$3:$AI$3))</f>
        <v>8</v>
      </c>
      <c r="Y39" s="27">
        <f ca="1">INDEX(Д4!$E$4:$AI$13,MATCH($D39,Д4!$D$4:$D$13),MATCH(Y$7,Д4!$E$3:$AI$3))</f>
        <v>12</v>
      </c>
      <c r="Z39" s="27">
        <f ca="1">INDEX(Д4!$E$4:$AI$13,MATCH($D39,Д4!$D$4:$D$13),MATCH(Z$7,Д4!$E$3:$AI$3))</f>
        <v>4</v>
      </c>
      <c r="AA39" s="27">
        <f ca="1">INDEX(Д4!$E$4:$AI$13,MATCH($D39,Д4!$D$4:$D$13),MATCH(AA$7,Д4!$E$3:$AI$3))</f>
        <v>8</v>
      </c>
      <c r="AB39" s="27">
        <f ca="1">INDEX(Д4!$E$4:$AI$13,MATCH($D39,Д4!$D$4:$D$13),MATCH(AB$7,Д4!$E$3:$AI$3))</f>
        <v>12</v>
      </c>
      <c r="AC39" s="27">
        <f ca="1">INDEX(Д4!$E$4:$AI$13,MATCH($D39,Д4!$D$4:$D$13),MATCH(AC$7,Д4!$E$3:$AI$3))</f>
        <v>0</v>
      </c>
      <c r="AD39" s="27">
        <f ca="1">INDEX(Д4!$E$4:$AI$13,MATCH($D39,Д4!$D$4:$D$13),MATCH(AD$7,Д4!$E$3:$AI$3))</f>
        <v>0</v>
      </c>
      <c r="AE39" s="27">
        <f ca="1">INDEX(Д4!$E$4:$AI$13,MATCH($D39,Д4!$D$4:$D$13),MATCH(AE$7,Д4!$E$3:$AI$3))</f>
        <v>4</v>
      </c>
      <c r="AF39" s="27">
        <f ca="1">INDEX(Д4!$E$4:$AI$13,MATCH($D39,Д4!$D$4:$D$13),MATCH(AF$7,Д4!$E$3:$AI$3))</f>
        <v>8</v>
      </c>
      <c r="AG39" s="27"/>
      <c r="AH39" s="27"/>
      <c r="AI39" s="106"/>
      <c r="AJ39" s="143">
        <f>INDEX(Д4!AK$14:$AK$23,MATCH($C39,Д4!$C$14:$C$23),MATCH(E$7,Д4!$E$3:$AI$3))*AND(MONTH($E$8)=MONTH(Д4!$B$14))</f>
        <v>160</v>
      </c>
      <c r="AK39" s="154">
        <f ca="1">SUM(E39:AI40)</f>
        <v>168</v>
      </c>
      <c r="AL39" s="155"/>
      <c r="AM39" s="149">
        <f ca="1">SUM(F39:H40,J39:AI40)-AJ39+AL39-12</f>
        <v>-28</v>
      </c>
      <c r="AP39" s="136">
        <f t="shared" ref="AP39" ca="1" si="86">COUNTIF($E39:$AI40,"12")</f>
        <v>7</v>
      </c>
      <c r="AQ39" s="136">
        <f t="shared" ref="AQ39" ca="1" si="87">IF(COUNTIF($E39:$AI40,"СП")&gt;=1,(COUNTIF($E39:$AI40,"4")+COUNTIF($E39:$AI40,"8")-1)/2,(COUNTIF($E39:$AI40,"4")+COUNTIF($E39:$AI40,"8"))/2)</f>
        <v>7</v>
      </c>
      <c r="AR39" s="136">
        <f t="shared" ca="1" si="2"/>
        <v>84</v>
      </c>
      <c r="AS39" s="136">
        <f t="shared" ref="AS39" ca="1" si="88">IF(COUNTIF($E39:$AI40,"СП")&gt;=1,SUMIF($E39:$AI40,"4",$E39:$AI40)+SUMIF($E39:$AI40,"8",$E39:$AI40)-8,SUMIF($E39:$AI40,"4",$E39:$AI40)+SUMIF($E39:$AI40,"8",$E39:$AI40))</f>
        <v>84</v>
      </c>
      <c r="AT39" s="136">
        <f t="shared" ref="AT39" ca="1" si="89">$AR39+$AS39</f>
        <v>168</v>
      </c>
      <c r="AU39" s="136" t="str">
        <f t="shared" ref="AU39" ca="1" si="90">IF(AK39=AT39,"+","!")</f>
        <v>+</v>
      </c>
      <c r="AV39" s="136">
        <f t="shared" ref="AV39" ca="1" si="91">COUNTIF($E39:$AI40,"ОТ")</f>
        <v>0</v>
      </c>
      <c r="AW39" s="137" t="str">
        <f ca="1">IF(COUNTIF($A40:$AI40,"СП")&gt;0,IF(INDIRECT(ADDRESS(ROW(),MATCH("СП",$A40:$AI40),1))=8,"","!"),"")</f>
        <v/>
      </c>
      <c r="AX39" s="137" t="str">
        <f ca="1">IF(COUNTIF($A40:$AI40,"СП")&gt;0,IF(INDIRECT(ADDRESS(ROW(),MATCH("СП",$A40:$AI40)-1,1))=4,"!",""),"")</f>
        <v/>
      </c>
    </row>
    <row r="40" spans="1:50" ht="16.5" thickBot="1" x14ac:dyDescent="0.3">
      <c r="A40" s="147"/>
      <c r="B40" s="139"/>
      <c r="C40" s="171"/>
      <c r="D40" s="50">
        <v>2</v>
      </c>
      <c r="E40" s="63" t="str">
        <f>INDEX(Д4!$E$14:$AI$23,MATCH($D40,Д4!$D$14:$D$23),MATCH(E$7,Д4!$E$3:$AI$3))</f>
        <v/>
      </c>
      <c r="F40" s="29" t="str">
        <f>INDEX(Д4!$E$4:$AI$13,MATCH($D40,Д4!$D$4:$D$13),MATCH(F$7,Д4!$E$3:$AI$3))</f>
        <v/>
      </c>
      <c r="G40" s="29" t="str">
        <f>INDEX(Д4!$E$4:$AI$13,MATCH($D40,Д4!$D$4:$D$13),MATCH(G$7,Д4!$E$3:$AI$3))</f>
        <v/>
      </c>
      <c r="H40" s="29" t="str">
        <f>INDEX(Д4!$E$4:$AI$13,MATCH($D40,Д4!$D$4:$D$13),MATCH(H$7,Д4!$E$3:$AI$3))</f>
        <v/>
      </c>
      <c r="I40" s="29" t="str">
        <f>INDEX(Д4!$E$4:$AI$13,MATCH($D40,Д4!$D$4:$D$13),MATCH(I$7,Д4!$E$3:$AI$3))</f>
        <v/>
      </c>
      <c r="J40" s="29" t="str">
        <f>INDEX(Д4!$E$4:$AI$13,MATCH($D40,Д4!$D$4:$D$13),MATCH(J$7,Д4!$E$3:$AI$3))</f>
        <v/>
      </c>
      <c r="K40" s="29" t="str">
        <f>INDEX(Д4!$E$4:$AI$13,MATCH($D40,Д4!$D$4:$D$13),MATCH(K$7,Д4!$E$3:$AI$3))</f>
        <v/>
      </c>
      <c r="L40" s="29" t="str">
        <f>INDEX(Д4!$E$4:$AI$13,MATCH($D40,Д4!$D$4:$D$13),MATCH(L$7,Д4!$E$3:$AI$3))</f>
        <v/>
      </c>
      <c r="M40" s="29" t="str">
        <f>INDEX(Д4!$E$4:$AI$13,MATCH($D40,Д4!$D$4:$D$13),MATCH(M$7,Д4!$E$3:$AI$3))</f>
        <v/>
      </c>
      <c r="N40" s="29" t="str">
        <f>INDEX(Д4!$E$4:$AI$13,MATCH($D40,Д4!$D$4:$D$13),MATCH(N$7,Д4!$E$3:$AI$3))</f>
        <v/>
      </c>
      <c r="O40" s="29" t="str">
        <f>INDEX(Д4!$E$4:$AI$13,MATCH($D40,Д4!$D$4:$D$13),MATCH(O$7,Д4!$E$3:$AI$3))</f>
        <v/>
      </c>
      <c r="P40" s="29" t="str">
        <f>INDEX(Д4!$E$4:$AI$13,MATCH($D40,Д4!$D$4:$D$13),MATCH(P$7,Д4!$E$3:$AI$3))</f>
        <v/>
      </c>
      <c r="Q40" s="29" t="str">
        <f>INDEX(Д4!$E$4:$AI$13,MATCH($D40,Д4!$D$4:$D$13),MATCH(Q$7,Д4!$E$3:$AI$3))</f>
        <v/>
      </c>
      <c r="R40" s="29" t="str">
        <f>INDEX(Д4!$E$4:$AI$13,MATCH($D40,Д4!$D$4:$D$13),MATCH(R$7,Д4!$E$3:$AI$3))</f>
        <v/>
      </c>
      <c r="S40" s="29" t="str">
        <f>INDEX(Д4!$E$4:$AI$13,MATCH($D40,Д4!$D$4:$D$13),MATCH(S$7,Д4!$E$3:$AI$3))</f>
        <v/>
      </c>
      <c r="T40" s="29" t="str">
        <f>INDEX(Д4!$E$4:$AI$13,MATCH($D40,Д4!$D$4:$D$13),MATCH(T$7,Д4!$E$3:$AI$3))</f>
        <v/>
      </c>
      <c r="U40" s="29" t="str">
        <f>INDEX(Д4!$E$4:$AI$13,MATCH($D40,Д4!$D$4:$D$13),MATCH(U$7,Д4!$E$3:$AI$3))</f>
        <v/>
      </c>
      <c r="V40" s="29" t="str">
        <f>INDEX(Д4!$E$4:$AI$13,MATCH($D40,Д4!$D$4:$D$13),MATCH(V$7,Д4!$E$3:$AI$3))</f>
        <v/>
      </c>
      <c r="W40" s="29" t="str">
        <f>INDEX(Д4!$E$4:$AI$13,MATCH($D40,Д4!$D$4:$D$13),MATCH(W$7,Д4!$E$3:$AI$3))</f>
        <v/>
      </c>
      <c r="X40" s="29" t="str">
        <f>INDEX(Д4!$E$4:$AI$13,MATCH($D40,Д4!$D$4:$D$13),MATCH(X$7,Д4!$E$3:$AI$3))</f>
        <v/>
      </c>
      <c r="Y40" s="29" t="str">
        <f>INDEX(Д4!$E$4:$AI$13,MATCH($D40,Д4!$D$4:$D$13),MATCH(Y$7,Д4!$E$3:$AI$3))</f>
        <v/>
      </c>
      <c r="Z40" s="29" t="str">
        <f>INDEX(Д4!$E$4:$AI$13,MATCH($D40,Д4!$D$4:$D$13),MATCH(Z$7,Д4!$E$3:$AI$3))</f>
        <v/>
      </c>
      <c r="AA40" s="29" t="str">
        <f>INDEX(Д4!$E$4:$AI$13,MATCH($D40,Д4!$D$4:$D$13),MATCH(AA$7,Д4!$E$3:$AI$3))</f>
        <v/>
      </c>
      <c r="AB40" s="29" t="str">
        <f>INDEX(Д4!$E$4:$AI$13,MATCH($D40,Д4!$D$4:$D$13),MATCH(AB$7,Д4!$E$3:$AI$3))</f>
        <v/>
      </c>
      <c r="AC40" s="29" t="str">
        <f>INDEX(Д4!$E$4:$AI$13,MATCH($D40,Д4!$D$4:$D$13),MATCH(AC$7,Д4!$E$3:$AI$3))</f>
        <v/>
      </c>
      <c r="AD40" s="29" t="str">
        <f>INDEX(Д4!$E$4:$AI$13,MATCH($D40,Д4!$D$4:$D$13),MATCH(AD$7,Д4!$E$3:$AI$3))</f>
        <v/>
      </c>
      <c r="AE40" s="29" t="str">
        <f>INDEX(Д4!$E$4:$AI$13,MATCH($D40,Д4!$D$4:$D$13),MATCH(AE$7,Д4!$E$3:$AI$3))</f>
        <v/>
      </c>
      <c r="AF40" s="29" t="str">
        <f>INDEX(Д4!$E$4:$AI$13,MATCH($D40,Д4!$D$4:$D$13),MATCH(AF$7,Д4!$E$3:$AI$3))</f>
        <v/>
      </c>
      <c r="AG40" s="29"/>
      <c r="AH40" s="29"/>
      <c r="AI40" s="107"/>
      <c r="AJ40" s="153"/>
      <c r="AK40" s="145"/>
      <c r="AL40" s="145"/>
      <c r="AM40" s="150"/>
      <c r="AP40" s="136"/>
      <c r="AQ40" s="136"/>
      <c r="AR40" s="136"/>
      <c r="AS40" s="136"/>
      <c r="AT40" s="136"/>
      <c r="AU40" s="136"/>
      <c r="AV40" s="136"/>
      <c r="AW40" s="137"/>
      <c r="AX40" s="137"/>
    </row>
    <row r="41" spans="1:50" ht="16.5" customHeight="1" thickBot="1" x14ac:dyDescent="0.3">
      <c r="A41" s="147"/>
      <c r="B41" s="139" t="s">
        <v>96</v>
      </c>
      <c r="C41" s="170">
        <v>2</v>
      </c>
      <c r="D41" s="49">
        <v>3</v>
      </c>
      <c r="E41" s="64">
        <f ca="1">INDEX(Д4!$E$14:$AI$23,MATCH($D41,Д4!$D$14:$D$23),MATCH(E$7,Д4!$E$3:$AI$3))</f>
        <v>0</v>
      </c>
      <c r="F41" s="27">
        <f ca="1">INDEX(Д4!$E$4:$AI$13,MATCH($D41,Д4!$D$4:$D$13),MATCH(F$7,Д4!$E$3:$AI$3))</f>
        <v>8</v>
      </c>
      <c r="G41" s="27">
        <f ca="1">INDEX(Д4!$E$4:$AI$13,MATCH($D41,Д4!$D$4:$D$13),MATCH(G$7,Д4!$E$3:$AI$3))</f>
        <v>12</v>
      </c>
      <c r="H41" s="27">
        <f ca="1">INDEX(Д4!$E$4:$AI$13,MATCH($D41,Д4!$D$4:$D$13),MATCH(H$7,Д4!$E$3:$AI$3))</f>
        <v>4</v>
      </c>
      <c r="I41" s="27">
        <f ca="1">INDEX(Д4!$E$4:$AI$13,MATCH($D41,Д4!$D$4:$D$13),MATCH(I$7,Д4!$E$3:$AI$3))</f>
        <v>8</v>
      </c>
      <c r="J41" s="27">
        <f ca="1">INDEX(Д4!$E$4:$AI$13,MATCH($D41,Д4!$D$4:$D$13),MATCH(J$7,Д4!$E$3:$AI$3))</f>
        <v>12</v>
      </c>
      <c r="K41" s="27">
        <f ca="1">INDEX(Д4!$E$4:$AI$13,MATCH($D41,Д4!$D$4:$D$13),MATCH(K$7,Д4!$E$3:$AI$3))</f>
        <v>0</v>
      </c>
      <c r="L41" s="27">
        <f ca="1">INDEX(Д4!$E$4:$AI$13,MATCH($D41,Д4!$D$4:$D$13),MATCH(L$7,Д4!$E$3:$AI$3))</f>
        <v>0</v>
      </c>
      <c r="M41" s="27">
        <f ca="1">INDEX(Д4!$E$4:$AI$13,MATCH($D41,Д4!$D$4:$D$13),MATCH(M$7,Д4!$E$3:$AI$3))</f>
        <v>4</v>
      </c>
      <c r="N41" s="27">
        <f ca="1">INDEX(Д4!$E$4:$AI$13,MATCH($D41,Д4!$D$4:$D$13),MATCH(N$7,Д4!$E$3:$AI$3))</f>
        <v>8</v>
      </c>
      <c r="O41" s="27">
        <f ca="1">INDEX(Д4!$E$4:$AI$13,MATCH($D41,Д4!$D$4:$D$13),MATCH(O$7,Д4!$E$3:$AI$3))</f>
        <v>12</v>
      </c>
      <c r="P41" s="27">
        <f ca="1">INDEX(Д4!$E$4:$AI$13,MATCH($D41,Д4!$D$4:$D$13),MATCH(P$7,Д4!$E$3:$AI$3))</f>
        <v>4</v>
      </c>
      <c r="Q41" s="27">
        <f ca="1">INDEX(Д4!$E$4:$AI$13,MATCH($D41,Д4!$D$4:$D$13),MATCH(Q$7,Д4!$E$3:$AI$3))</f>
        <v>8</v>
      </c>
      <c r="R41" s="27">
        <f ca="1">INDEX(Д4!$E$4:$AI$13,MATCH($D41,Д4!$D$4:$D$13),MATCH(R$7,Д4!$E$3:$AI$3))</f>
        <v>12</v>
      </c>
      <c r="S41" s="27">
        <f ca="1">INDEX(Д4!$E$4:$AI$13,MATCH($D41,Д4!$D$4:$D$13),MATCH(S$7,Д4!$E$3:$AI$3))</f>
        <v>0</v>
      </c>
      <c r="T41" s="27">
        <f ca="1">INDEX(Д4!$E$4:$AI$13,MATCH($D41,Д4!$D$4:$D$13),MATCH(T$7,Д4!$E$3:$AI$3))</f>
        <v>0</v>
      </c>
      <c r="U41" s="27">
        <f ca="1">INDEX(Д4!$E$4:$AI$13,MATCH($D41,Д4!$D$4:$D$13),MATCH(U$7,Д4!$E$3:$AI$3))</f>
        <v>4</v>
      </c>
      <c r="V41" s="27">
        <f ca="1">INDEX(Д4!$E$4:$AI$13,MATCH($D41,Д4!$D$4:$D$13),MATCH(V$7,Д4!$E$3:$AI$3))</f>
        <v>8</v>
      </c>
      <c r="W41" s="27">
        <f ca="1">INDEX(Д4!$E$4:$AI$13,MATCH($D41,Д4!$D$4:$D$13),MATCH(W$7,Д4!$E$3:$AI$3))</f>
        <v>12</v>
      </c>
      <c r="X41" s="27">
        <f ca="1">INDEX(Д4!$E$4:$AI$13,MATCH($D41,Д4!$D$4:$D$13),MATCH(X$7,Д4!$E$3:$AI$3))</f>
        <v>4</v>
      </c>
      <c r="Y41" s="27">
        <f ca="1">INDEX(Д4!$E$4:$AI$13,MATCH($D41,Д4!$D$4:$D$13),MATCH(Y$7,Д4!$E$3:$AI$3))</f>
        <v>8</v>
      </c>
      <c r="Z41" s="27">
        <f ca="1">INDEX(Д4!$E$4:$AI$13,MATCH($D41,Д4!$D$4:$D$13),MATCH(Z$7,Д4!$E$3:$AI$3))</f>
        <v>12</v>
      </c>
      <c r="AA41" s="27">
        <f ca="1">INDEX(Д4!$E$4:$AI$13,MATCH($D41,Д4!$D$4:$D$13),MATCH(AA$7,Д4!$E$3:$AI$3))</f>
        <v>0</v>
      </c>
      <c r="AB41" s="27">
        <f ca="1">INDEX(Д4!$E$4:$AI$13,MATCH($D41,Д4!$D$4:$D$13),MATCH(AB$7,Д4!$E$3:$AI$3))</f>
        <v>0</v>
      </c>
      <c r="AC41" s="27">
        <f ca="1">INDEX(Д4!$E$4:$AI$13,MATCH($D41,Д4!$D$4:$D$13),MATCH(AC$7,Д4!$E$3:$AI$3))</f>
        <v>4</v>
      </c>
      <c r="AD41" s="27">
        <f ca="1">INDEX(Д4!$E$4:$AI$13,MATCH($D41,Д4!$D$4:$D$13),MATCH(AD$7,Д4!$E$3:$AI$3))</f>
        <v>8</v>
      </c>
      <c r="AE41" s="27">
        <f ca="1">INDEX(Д4!$E$4:$AI$13,MATCH($D41,Д4!$D$4:$D$13),MATCH(AE$7,Д4!$E$3:$AI$3))</f>
        <v>12</v>
      </c>
      <c r="AF41" s="27">
        <f ca="1">INDEX(Д4!$E$4:$AI$13,MATCH($D41,Д4!$D$4:$D$13),MATCH(AF$7,Д4!$E$3:$AI$3))</f>
        <v>4</v>
      </c>
      <c r="AG41" s="27"/>
      <c r="AH41" s="27"/>
      <c r="AI41" s="106"/>
      <c r="AJ41" s="143">
        <f>INDEX(Д4!AK$14:$AK$23,MATCH($C41,Д4!$C$14:$C$23),MATCH(E$7,Д4!$E$3:$AI$3))*AND(MONTH($E$8)=MONTH(Д4!$B$14))</f>
        <v>160</v>
      </c>
      <c r="AK41" s="144">
        <f ca="1">SUM(E41:AI42)</f>
        <v>168</v>
      </c>
      <c r="AL41" s="144"/>
      <c r="AM41" s="149">
        <f ca="1">SUM(F41:H42,J41:AI42)-AJ41+AL41-12</f>
        <v>-12</v>
      </c>
      <c r="AP41" s="136">
        <f t="shared" ref="AP41" ca="1" si="92">COUNTIF($E41:$AI42,"12")</f>
        <v>7</v>
      </c>
      <c r="AQ41" s="136">
        <f t="shared" ref="AQ41" ca="1" si="93">IF(COUNTIF($E41:$AI42,"СП")&gt;=1,(COUNTIF($E41:$AI42,"4")+COUNTIF($E41:$AI42,"8")-1)/2,(COUNTIF($E41:$AI42,"4")+COUNTIF($E41:$AI42,"8"))/2)</f>
        <v>6.5</v>
      </c>
      <c r="AR41" s="136">
        <f t="shared" ca="1" si="2"/>
        <v>84</v>
      </c>
      <c r="AS41" s="136">
        <f t="shared" ref="AS41" ca="1" si="94">IF(COUNTIF($E41:$AI42,"СП")&gt;=1,SUMIF($E41:$AI42,"4",$E41:$AI42)+SUMIF($E41:$AI42,"8",$E41:$AI42)-8,SUMIF($E41:$AI42,"4",$E41:$AI42)+SUMIF($E41:$AI42,"8",$E41:$AI42))</f>
        <v>76</v>
      </c>
      <c r="AT41" s="136">
        <f t="shared" ref="AT41" ca="1" si="95">$AR41+$AS41</f>
        <v>160</v>
      </c>
      <c r="AU41" s="136" t="str">
        <f t="shared" ref="AU41" ca="1" si="96">IF(AK41=AT41,"+","!")</f>
        <v>!</v>
      </c>
      <c r="AV41" s="136">
        <f t="shared" ref="AV41" ca="1" si="97">COUNTIF($E41:$AI42,"ОТ")</f>
        <v>0</v>
      </c>
      <c r="AW41" s="137" t="str">
        <f ca="1">IF(COUNTIF($A42:$AI42,"СП")&gt;0,IF(INDIRECT(ADDRESS(ROW(),MATCH("СП",$A42:$AI42),1))=8,"","!"),"")</f>
        <v>!</v>
      </c>
      <c r="AX41" s="137" t="str">
        <f ca="1">IF(COUNTIF($A42:$AI42,"СП")&gt;0,IF(INDIRECT(ADDRESS(ROW(),MATCH("СП",$A42:$AI42)-1,1))=4,"!",""),"")</f>
        <v/>
      </c>
    </row>
    <row r="42" spans="1:50" ht="16.5" thickBot="1" x14ac:dyDescent="0.3">
      <c r="A42" s="147"/>
      <c r="B42" s="139"/>
      <c r="C42" s="171"/>
      <c r="D42" s="50">
        <v>4</v>
      </c>
      <c r="E42" s="65" t="str">
        <f>INDEX(Д4!$E$14:$AI$23,MATCH($D42,Д4!$D$14:$D$23),MATCH(E$7,Д4!$E$3:$AI$3))</f>
        <v/>
      </c>
      <c r="F42" s="30" t="str">
        <f>INDEX(Д4!$E$4:$AI$13,MATCH($D42,Д4!$D$4:$D$13),MATCH(F$7,Д4!$E$3:$AI$3))</f>
        <v>СП</v>
      </c>
      <c r="G42" s="30" t="str">
        <f>INDEX(Д4!$E$4:$AI$13,MATCH($D42,Д4!$D$4:$D$13),MATCH(G$7,Д4!$E$3:$AI$3))</f>
        <v/>
      </c>
      <c r="H42" s="30" t="str">
        <f>INDEX(Д4!$E$4:$AI$13,MATCH($D42,Д4!$D$4:$D$13),MATCH(H$7,Д4!$E$3:$AI$3))</f>
        <v/>
      </c>
      <c r="I42" s="30" t="str">
        <f>INDEX(Д4!$E$4:$AI$13,MATCH($D42,Д4!$D$4:$D$13),MATCH(I$7,Д4!$E$3:$AI$3))</f>
        <v/>
      </c>
      <c r="J42" s="30" t="str">
        <f>INDEX(Д4!$E$4:$AI$13,MATCH($D42,Д4!$D$4:$D$13),MATCH(J$7,Д4!$E$3:$AI$3))</f>
        <v/>
      </c>
      <c r="K42" s="30" t="str">
        <f>INDEX(Д4!$E$4:$AI$13,MATCH($D42,Д4!$D$4:$D$13),MATCH(K$7,Д4!$E$3:$AI$3))</f>
        <v/>
      </c>
      <c r="L42" s="30" t="str">
        <f>INDEX(Д4!$E$4:$AI$13,MATCH($D42,Д4!$D$4:$D$13),MATCH(L$7,Д4!$E$3:$AI$3))</f>
        <v/>
      </c>
      <c r="M42" s="30" t="str">
        <f>INDEX(Д4!$E$4:$AI$13,MATCH($D42,Д4!$D$4:$D$13),MATCH(M$7,Д4!$E$3:$AI$3))</f>
        <v/>
      </c>
      <c r="N42" s="30" t="str">
        <f>INDEX(Д4!$E$4:$AI$13,MATCH($D42,Д4!$D$4:$D$13),MATCH(N$7,Д4!$E$3:$AI$3))</f>
        <v/>
      </c>
      <c r="O42" s="30" t="str">
        <f>INDEX(Д4!$E$4:$AI$13,MATCH($D42,Д4!$D$4:$D$13),MATCH(O$7,Д4!$E$3:$AI$3))</f>
        <v/>
      </c>
      <c r="P42" s="30" t="str">
        <f>INDEX(Д4!$E$4:$AI$13,MATCH($D42,Д4!$D$4:$D$13),MATCH(P$7,Д4!$E$3:$AI$3))</f>
        <v/>
      </c>
      <c r="Q42" s="30" t="str">
        <f>INDEX(Д4!$E$4:$AI$13,MATCH($D42,Д4!$D$4:$D$13),MATCH(Q$7,Д4!$E$3:$AI$3))</f>
        <v/>
      </c>
      <c r="R42" s="30" t="str">
        <f>INDEX(Д4!$E$4:$AI$13,MATCH($D42,Д4!$D$4:$D$13),MATCH(R$7,Д4!$E$3:$AI$3))</f>
        <v/>
      </c>
      <c r="S42" s="30" t="str">
        <f>INDEX(Д4!$E$4:$AI$13,MATCH($D42,Д4!$D$4:$D$13),MATCH(S$7,Д4!$E$3:$AI$3))</f>
        <v/>
      </c>
      <c r="T42" s="30" t="str">
        <f>INDEX(Д4!$E$4:$AI$13,MATCH($D42,Д4!$D$4:$D$13),MATCH(T$7,Д4!$E$3:$AI$3))</f>
        <v/>
      </c>
      <c r="U42" s="30" t="str">
        <f>INDEX(Д4!$E$4:$AI$13,MATCH($D42,Д4!$D$4:$D$13),MATCH(U$7,Д4!$E$3:$AI$3))</f>
        <v/>
      </c>
      <c r="V42" s="30" t="str">
        <f>INDEX(Д4!$E$4:$AI$13,MATCH($D42,Д4!$D$4:$D$13),MATCH(V$7,Д4!$E$3:$AI$3))</f>
        <v/>
      </c>
      <c r="W42" s="30" t="str">
        <f>INDEX(Д4!$E$4:$AI$13,MATCH($D42,Д4!$D$4:$D$13),MATCH(W$7,Д4!$E$3:$AI$3))</f>
        <v/>
      </c>
      <c r="X42" s="30" t="str">
        <f>INDEX(Д4!$E$4:$AI$13,MATCH($D42,Д4!$D$4:$D$13),MATCH(X$7,Д4!$E$3:$AI$3))</f>
        <v/>
      </c>
      <c r="Y42" s="30" t="str">
        <f>INDEX(Д4!$E$4:$AI$13,MATCH($D42,Д4!$D$4:$D$13),MATCH(Y$7,Д4!$E$3:$AI$3))</f>
        <v/>
      </c>
      <c r="Z42" s="30" t="str">
        <f>INDEX(Д4!$E$4:$AI$13,MATCH($D42,Д4!$D$4:$D$13),MATCH(Z$7,Д4!$E$3:$AI$3))</f>
        <v/>
      </c>
      <c r="AA42" s="30" t="str">
        <f>INDEX(Д4!$E$4:$AI$13,MATCH($D42,Д4!$D$4:$D$13),MATCH(AA$7,Д4!$E$3:$AI$3))</f>
        <v/>
      </c>
      <c r="AB42" s="30" t="str">
        <f>INDEX(Д4!$E$4:$AI$13,MATCH($D42,Д4!$D$4:$D$13),MATCH(AB$7,Д4!$E$3:$AI$3))</f>
        <v/>
      </c>
      <c r="AC42" s="30" t="str">
        <f>INDEX(Д4!$E$4:$AI$13,MATCH($D42,Д4!$D$4:$D$13),MATCH(AC$7,Д4!$E$3:$AI$3))</f>
        <v/>
      </c>
      <c r="AD42" s="30" t="str">
        <f>INDEX(Д4!$E$4:$AI$13,MATCH($D42,Д4!$D$4:$D$13),MATCH(AD$7,Д4!$E$3:$AI$3))</f>
        <v/>
      </c>
      <c r="AE42" s="30" t="str">
        <f>INDEX(Д4!$E$4:$AI$13,MATCH($D42,Д4!$D$4:$D$13),MATCH(AE$7,Д4!$E$3:$AI$3))</f>
        <v/>
      </c>
      <c r="AF42" s="30" t="str">
        <f>INDEX(Д4!$E$4:$AI$13,MATCH($D42,Д4!$D$4:$D$13),MATCH(AF$7,Д4!$E$3:$AI$3))</f>
        <v/>
      </c>
      <c r="AG42" s="30"/>
      <c r="AH42" s="30"/>
      <c r="AI42" s="103"/>
      <c r="AJ42" s="143"/>
      <c r="AK42" s="145"/>
      <c r="AL42" s="145"/>
      <c r="AM42" s="150"/>
      <c r="AP42" s="136"/>
      <c r="AQ42" s="136"/>
      <c r="AR42" s="136"/>
      <c r="AS42" s="136"/>
      <c r="AT42" s="136"/>
      <c r="AU42" s="136"/>
      <c r="AV42" s="136"/>
      <c r="AW42" s="137"/>
      <c r="AX42" s="137"/>
    </row>
    <row r="43" spans="1:50" ht="16.5" thickBot="1" x14ac:dyDescent="0.3">
      <c r="A43" s="147"/>
      <c r="B43" s="139" t="s">
        <v>97</v>
      </c>
      <c r="C43" s="170">
        <v>3</v>
      </c>
      <c r="D43" s="49">
        <v>5</v>
      </c>
      <c r="E43" s="62">
        <f ca="1">INDEX(Д4!$E$14:$AI$23,MATCH($D43,Д4!$D$14:$D$23),MATCH(E$7,Д4!$E$3:$AI$3))</f>
        <v>4</v>
      </c>
      <c r="F43" s="28">
        <f ca="1">INDEX(Д4!$E$4:$AI$13,MATCH($D43,Д4!$D$4:$D$13),MATCH(F$7,Д4!$E$3:$AI$3))</f>
        <v>12</v>
      </c>
      <c r="G43" s="28">
        <f ca="1">INDEX(Д4!$E$4:$AI$13,MATCH($D43,Д4!$D$4:$D$13),MATCH(G$7,Д4!$E$3:$AI$3))</f>
        <v>8</v>
      </c>
      <c r="H43" s="28">
        <f ca="1">INDEX(Д4!$E$4:$AI$13,MATCH($D43,Д4!$D$4:$D$13),MATCH(H$7,Д4!$E$3:$AI$3))</f>
        <v>0</v>
      </c>
      <c r="I43" s="28">
        <f ca="1">INDEX(Д4!$E$4:$AI$13,MATCH($D43,Д4!$D$4:$D$13),MATCH(I$7,Д4!$E$3:$AI$3))</f>
        <v>4</v>
      </c>
      <c r="J43" s="28">
        <f ca="1">INDEX(Д4!$E$4:$AI$13,MATCH($D43,Д4!$D$4:$D$13),MATCH(J$7,Д4!$E$3:$AI$3))</f>
        <v>8</v>
      </c>
      <c r="K43" s="28">
        <f ca="1">INDEX(Д4!$E$4:$AI$13,MATCH($D43,Д4!$D$4:$D$13),MATCH(K$7,Д4!$E$3:$AI$3))</f>
        <v>12</v>
      </c>
      <c r="L43" s="28">
        <f ca="1">INDEX(Д4!$E$4:$AI$13,MATCH($D43,Д4!$D$4:$D$13),MATCH(L$7,Д4!$E$3:$AI$3))</f>
        <v>4</v>
      </c>
      <c r="M43" s="28">
        <f ca="1">INDEX(Д4!$E$4:$AI$13,MATCH($D43,Д4!$D$4:$D$13),MATCH(M$7,Д4!$E$3:$AI$3))</f>
        <v>8</v>
      </c>
      <c r="N43" s="28">
        <f ca="1">INDEX(Д4!$E$4:$AI$13,MATCH($D43,Д4!$D$4:$D$13),MATCH(N$7,Д4!$E$3:$AI$3))</f>
        <v>12</v>
      </c>
      <c r="O43" s="28">
        <f ca="1">INDEX(Д4!$E$4:$AI$13,MATCH($D43,Д4!$D$4:$D$13),MATCH(O$7,Д4!$E$3:$AI$3))</f>
        <v>0</v>
      </c>
      <c r="P43" s="28">
        <f ca="1">INDEX(Д4!$E$4:$AI$13,MATCH($D43,Д4!$D$4:$D$13),MATCH(P$7,Д4!$E$3:$AI$3))</f>
        <v>0</v>
      </c>
      <c r="Q43" s="28">
        <f ca="1">INDEX(Д4!$E$4:$AI$13,MATCH($D43,Д4!$D$4:$D$13),MATCH(Q$7,Д4!$E$3:$AI$3))</f>
        <v>4</v>
      </c>
      <c r="R43" s="28">
        <f ca="1">INDEX(Д4!$E$4:$AI$13,MATCH($D43,Д4!$D$4:$D$13),MATCH(R$7,Д4!$E$3:$AI$3))</f>
        <v>8</v>
      </c>
      <c r="S43" s="28">
        <f ca="1">INDEX(Д4!$E$4:$AI$13,MATCH($D43,Д4!$D$4:$D$13),MATCH(S$7,Д4!$E$3:$AI$3))</f>
        <v>12</v>
      </c>
      <c r="T43" s="28">
        <f ca="1">INDEX(Д4!$E$4:$AI$13,MATCH($D43,Д4!$D$4:$D$13),MATCH(T$7,Д4!$E$3:$AI$3))</f>
        <v>4</v>
      </c>
      <c r="U43" s="28">
        <f ca="1">INDEX(Д4!$E$4:$AI$13,MATCH($D43,Д4!$D$4:$D$13),MATCH(U$7,Д4!$E$3:$AI$3))</f>
        <v>8</v>
      </c>
      <c r="V43" s="28">
        <f ca="1">INDEX(Д4!$E$4:$AI$13,MATCH($D43,Д4!$D$4:$D$13),MATCH(V$7,Д4!$E$3:$AI$3))</f>
        <v>12</v>
      </c>
      <c r="W43" s="28">
        <f ca="1">INDEX(Д4!$E$4:$AI$13,MATCH($D43,Д4!$D$4:$D$13),MATCH(W$7,Д4!$E$3:$AI$3))</f>
        <v>0</v>
      </c>
      <c r="X43" s="28">
        <f ca="1">INDEX(Д4!$E$4:$AI$13,MATCH($D43,Д4!$D$4:$D$13),MATCH(X$7,Д4!$E$3:$AI$3))</f>
        <v>0</v>
      </c>
      <c r="Y43" s="28">
        <f ca="1">INDEX(Д4!$E$4:$AI$13,MATCH($D43,Д4!$D$4:$D$13),MATCH(Y$7,Д4!$E$3:$AI$3))</f>
        <v>4</v>
      </c>
      <c r="Z43" s="28">
        <f ca="1">INDEX(Д4!$E$4:$AI$13,MATCH($D43,Д4!$D$4:$D$13),MATCH(Z$7,Д4!$E$3:$AI$3))</f>
        <v>8</v>
      </c>
      <c r="AA43" s="28">
        <f ca="1">INDEX(Д4!$E$4:$AI$13,MATCH($D43,Д4!$D$4:$D$13),MATCH(AA$7,Д4!$E$3:$AI$3))</f>
        <v>12</v>
      </c>
      <c r="AB43" s="28">
        <f ca="1">INDEX(Д4!$E$4:$AI$13,MATCH($D43,Д4!$D$4:$D$13),MATCH(AB$7,Д4!$E$3:$AI$3))</f>
        <v>4</v>
      </c>
      <c r="AC43" s="28">
        <f ca="1">INDEX(Д4!$E$4:$AI$13,MATCH($D43,Д4!$D$4:$D$13),MATCH(AC$7,Д4!$E$3:$AI$3))</f>
        <v>8</v>
      </c>
      <c r="AD43" s="28">
        <f ca="1">INDEX(Д4!$E$4:$AI$13,MATCH($D43,Д4!$D$4:$D$13),MATCH(AD$7,Д4!$E$3:$AI$3))</f>
        <v>12</v>
      </c>
      <c r="AE43" s="28">
        <f ca="1">INDEX(Д4!$E$4:$AI$13,MATCH($D43,Д4!$D$4:$D$13),MATCH(AE$7,Д4!$E$3:$AI$3))</f>
        <v>0</v>
      </c>
      <c r="AF43" s="28">
        <f ca="1">INDEX(Д4!$E$4:$AI$13,MATCH($D43,Д4!$D$4:$D$13),MATCH(AF$7,Д4!$E$3:$AI$3))</f>
        <v>0</v>
      </c>
      <c r="AG43" s="28"/>
      <c r="AH43" s="28"/>
      <c r="AI43" s="108"/>
      <c r="AJ43" s="143">
        <f>INDEX(Д4!AK$14:$AK$23,MATCH($C43,Д4!$C$14:$C$23),MATCH(E$7,Д4!$E$3:$AI$3))*AND(MONTH($E$8)=MONTH(Д4!$B$14))</f>
        <v>160</v>
      </c>
      <c r="AK43" s="144">
        <f ca="1">SUM(E43:AI44)</f>
        <v>168</v>
      </c>
      <c r="AL43" s="144"/>
      <c r="AM43" s="149">
        <f ca="1">SUM(F43:H44,J43:AI44)-AJ43+AL43-12</f>
        <v>-12</v>
      </c>
      <c r="AP43" s="136">
        <f t="shared" ref="AP43" ca="1" si="98">COUNTIF($E43:$AI44,"12")</f>
        <v>7</v>
      </c>
      <c r="AQ43" s="136">
        <f t="shared" ref="AQ43" ca="1" si="99">IF(COUNTIF($E43:$AI44,"СП")&gt;=1,(COUNTIF($E43:$AI44,"4")+COUNTIF($E43:$AI44,"8")-1)/2,(COUNTIF($E43:$AI44,"4")+COUNTIF($E43:$AI44,"8"))/2)</f>
        <v>6.5</v>
      </c>
      <c r="AR43" s="136">
        <f t="shared" ca="1" si="2"/>
        <v>84</v>
      </c>
      <c r="AS43" s="136">
        <f t="shared" ref="AS43" ca="1" si="100">IF(COUNTIF($E43:$AI44,"СП")&gt;=1,SUMIF($E43:$AI44,"4",$E43:$AI44)+SUMIF($E43:$AI44,"8",$E43:$AI44)-8,SUMIF($E43:$AI44,"4",$E43:$AI44)+SUMIF($E43:$AI44,"8",$E43:$AI44))</f>
        <v>76</v>
      </c>
      <c r="AT43" s="136">
        <f t="shared" ref="AT43" ca="1" si="101">$AR43+$AS43</f>
        <v>160</v>
      </c>
      <c r="AU43" s="136" t="str">
        <f t="shared" ref="AU43" ca="1" si="102">IF(AK43=AT43,"+","!")</f>
        <v>!</v>
      </c>
      <c r="AV43" s="136">
        <f t="shared" ref="AV43" ca="1" si="103">COUNTIF($E43:$AI44,"ОТ")</f>
        <v>0</v>
      </c>
      <c r="AW43" s="137" t="str">
        <f ca="1">IF(COUNTIF($A44:$AI44,"СП")&gt;0,IF(INDIRECT(ADDRESS(ROW(),MATCH("СП",$A44:$AI44),1))=8,"","!"),"")</f>
        <v>!</v>
      </c>
      <c r="AX43" s="137" t="str">
        <f ca="1">IF(COUNTIF($A44:$AI44,"СП")&gt;0,IF(INDIRECT(ADDRESS(ROW(),MATCH("СП",$A44:$AI44)-1,1))=4,"!",""),"")</f>
        <v/>
      </c>
    </row>
    <row r="44" spans="1:50" ht="16.5" thickBot="1" x14ac:dyDescent="0.3">
      <c r="A44" s="147"/>
      <c r="B44" s="139"/>
      <c r="C44" s="171"/>
      <c r="D44" s="50">
        <v>6</v>
      </c>
      <c r="E44" s="63" t="str">
        <f>INDEX(Д4!$E$14:$AI$23,MATCH($D44,Д4!$D$14:$D$23),MATCH(E$7,Д4!$E$3:$AI$3))</f>
        <v/>
      </c>
      <c r="F44" s="29" t="str">
        <f>INDEX(Д4!$E$4:$AI$13,MATCH($D44,Д4!$D$4:$D$13),MATCH(F$7,Д4!$E$3:$AI$3))</f>
        <v/>
      </c>
      <c r="G44" s="29" t="str">
        <f>INDEX(Д4!$E$4:$AI$13,MATCH($D44,Д4!$D$4:$D$13),MATCH(G$7,Д4!$E$3:$AI$3))</f>
        <v>СП</v>
      </c>
      <c r="H44" s="29" t="str">
        <f>INDEX(Д4!$E$4:$AI$13,MATCH($D44,Д4!$D$4:$D$13),MATCH(H$7,Д4!$E$3:$AI$3))</f>
        <v/>
      </c>
      <c r="I44" s="29" t="str">
        <f>INDEX(Д4!$E$4:$AI$13,MATCH($D44,Д4!$D$4:$D$13),MATCH(I$7,Д4!$E$3:$AI$3))</f>
        <v/>
      </c>
      <c r="J44" s="29" t="str">
        <f>INDEX(Д4!$E$4:$AI$13,MATCH($D44,Д4!$D$4:$D$13),MATCH(J$7,Д4!$E$3:$AI$3))</f>
        <v/>
      </c>
      <c r="K44" s="29" t="str">
        <f>INDEX(Д4!$E$4:$AI$13,MATCH($D44,Д4!$D$4:$D$13),MATCH(K$7,Д4!$E$3:$AI$3))</f>
        <v/>
      </c>
      <c r="L44" s="29" t="str">
        <f>INDEX(Д4!$E$4:$AI$13,MATCH($D44,Д4!$D$4:$D$13),MATCH(L$7,Д4!$E$3:$AI$3))</f>
        <v/>
      </c>
      <c r="M44" s="29" t="str">
        <f>INDEX(Д4!$E$4:$AI$13,MATCH($D44,Д4!$D$4:$D$13),MATCH(M$7,Д4!$E$3:$AI$3))</f>
        <v/>
      </c>
      <c r="N44" s="29" t="str">
        <f>INDEX(Д4!$E$4:$AI$13,MATCH($D44,Д4!$D$4:$D$13),MATCH(N$7,Д4!$E$3:$AI$3))</f>
        <v/>
      </c>
      <c r="O44" s="29" t="str">
        <f>INDEX(Д4!$E$4:$AI$13,MATCH($D44,Д4!$D$4:$D$13),MATCH(O$7,Д4!$E$3:$AI$3))</f>
        <v/>
      </c>
      <c r="P44" s="29" t="str">
        <f>INDEX(Д4!$E$4:$AI$13,MATCH($D44,Д4!$D$4:$D$13),MATCH(P$7,Д4!$E$3:$AI$3))</f>
        <v/>
      </c>
      <c r="Q44" s="29" t="str">
        <f>INDEX(Д4!$E$4:$AI$13,MATCH($D44,Д4!$D$4:$D$13),MATCH(Q$7,Д4!$E$3:$AI$3))</f>
        <v/>
      </c>
      <c r="R44" s="29" t="str">
        <f>INDEX(Д4!$E$4:$AI$13,MATCH($D44,Д4!$D$4:$D$13),MATCH(R$7,Д4!$E$3:$AI$3))</f>
        <v/>
      </c>
      <c r="S44" s="29" t="str">
        <f>INDEX(Д4!$E$4:$AI$13,MATCH($D44,Д4!$D$4:$D$13),MATCH(S$7,Д4!$E$3:$AI$3))</f>
        <v/>
      </c>
      <c r="T44" s="29" t="str">
        <f>INDEX(Д4!$E$4:$AI$13,MATCH($D44,Д4!$D$4:$D$13),MATCH(T$7,Д4!$E$3:$AI$3))</f>
        <v/>
      </c>
      <c r="U44" s="29" t="str">
        <f>INDEX(Д4!$E$4:$AI$13,MATCH($D44,Д4!$D$4:$D$13),MATCH(U$7,Д4!$E$3:$AI$3))</f>
        <v/>
      </c>
      <c r="V44" s="29" t="str">
        <f>INDEX(Д4!$E$4:$AI$13,MATCH($D44,Д4!$D$4:$D$13),MATCH(V$7,Д4!$E$3:$AI$3))</f>
        <v/>
      </c>
      <c r="W44" s="29" t="str">
        <f>INDEX(Д4!$E$4:$AI$13,MATCH($D44,Д4!$D$4:$D$13),MATCH(W$7,Д4!$E$3:$AI$3))</f>
        <v/>
      </c>
      <c r="X44" s="29" t="str">
        <f>INDEX(Д4!$E$4:$AI$13,MATCH($D44,Д4!$D$4:$D$13),MATCH(X$7,Д4!$E$3:$AI$3))</f>
        <v/>
      </c>
      <c r="Y44" s="29" t="str">
        <f>INDEX(Д4!$E$4:$AI$13,MATCH($D44,Д4!$D$4:$D$13),MATCH(Y$7,Д4!$E$3:$AI$3))</f>
        <v/>
      </c>
      <c r="Z44" s="29" t="str">
        <f>INDEX(Д4!$E$4:$AI$13,MATCH($D44,Д4!$D$4:$D$13),MATCH(Z$7,Д4!$E$3:$AI$3))</f>
        <v/>
      </c>
      <c r="AA44" s="29" t="str">
        <f>INDEX(Д4!$E$4:$AI$13,MATCH($D44,Д4!$D$4:$D$13),MATCH(AA$7,Д4!$E$3:$AI$3))</f>
        <v/>
      </c>
      <c r="AB44" s="29" t="str">
        <f>INDEX(Д4!$E$4:$AI$13,MATCH($D44,Д4!$D$4:$D$13),MATCH(AB$7,Д4!$E$3:$AI$3))</f>
        <v/>
      </c>
      <c r="AC44" s="29" t="str">
        <f>INDEX(Д4!$E$4:$AI$13,MATCH($D44,Д4!$D$4:$D$13),MATCH(AC$7,Д4!$E$3:$AI$3))</f>
        <v/>
      </c>
      <c r="AD44" s="29" t="str">
        <f>INDEX(Д4!$E$4:$AI$13,MATCH($D44,Д4!$D$4:$D$13),MATCH(AD$7,Д4!$E$3:$AI$3))</f>
        <v/>
      </c>
      <c r="AE44" s="29" t="str">
        <f>INDEX(Д4!$E$4:$AI$13,MATCH($D44,Д4!$D$4:$D$13),MATCH(AE$7,Д4!$E$3:$AI$3))</f>
        <v/>
      </c>
      <c r="AF44" s="29" t="str">
        <f>INDEX(Д4!$E$4:$AI$13,MATCH($D44,Д4!$D$4:$D$13),MATCH(AF$7,Д4!$E$3:$AI$3))</f>
        <v/>
      </c>
      <c r="AG44" s="29"/>
      <c r="AH44" s="29"/>
      <c r="AI44" s="107"/>
      <c r="AJ44" s="143"/>
      <c r="AK44" s="145"/>
      <c r="AL44" s="145"/>
      <c r="AM44" s="150"/>
      <c r="AP44" s="136"/>
      <c r="AQ44" s="136"/>
      <c r="AR44" s="136"/>
      <c r="AS44" s="136"/>
      <c r="AT44" s="136"/>
      <c r="AU44" s="136"/>
      <c r="AV44" s="136"/>
      <c r="AW44" s="137"/>
      <c r="AX44" s="137"/>
    </row>
    <row r="45" spans="1:50" ht="16.5" customHeight="1" thickBot="1" x14ac:dyDescent="0.3">
      <c r="A45" s="147"/>
      <c r="B45" s="139" t="s">
        <v>98</v>
      </c>
      <c r="C45" s="170">
        <v>4</v>
      </c>
      <c r="D45" s="49">
        <v>7</v>
      </c>
      <c r="E45" s="64">
        <f ca="1">INDEX(Д4!$E$14:$AI$23,MATCH($D45,Д4!$D$14:$D$23),MATCH(E$7,Д4!$E$3:$AI$3))</f>
        <v>8</v>
      </c>
      <c r="F45" s="27">
        <f ca="1">INDEX(Д4!$E$4:$AI$13,MATCH($D45,Д4!$D$4:$D$13),MATCH(F$7,Д4!$E$3:$AI$3))</f>
        <v>4</v>
      </c>
      <c r="G45" s="27">
        <f ca="1">INDEX(Д4!$E$4:$AI$13,MATCH($D45,Д4!$D$4:$D$13),MATCH(G$7,Д4!$E$3:$AI$3))</f>
        <v>8</v>
      </c>
      <c r="H45" s="27">
        <f ca="1">INDEX(Д4!$E$4:$AI$13,MATCH($D45,Д4!$D$4:$D$13),MATCH(H$7,Д4!$E$3:$AI$3))</f>
        <v>12</v>
      </c>
      <c r="I45" s="27">
        <f ca="1">INDEX(Д4!$E$4:$AI$13,MATCH($D45,Д4!$D$4:$D$13),MATCH(I$7,Д4!$E$3:$AI$3))</f>
        <v>0</v>
      </c>
      <c r="J45" s="27">
        <f ca="1">INDEX(Д4!$E$4:$AI$13,MATCH($D45,Д4!$D$4:$D$13),MATCH(J$7,Д4!$E$3:$AI$3))</f>
        <v>0</v>
      </c>
      <c r="K45" s="27">
        <f ca="1">INDEX(Д4!$E$4:$AI$13,MATCH($D45,Д4!$D$4:$D$13),MATCH(K$7,Д4!$E$3:$AI$3))</f>
        <v>4</v>
      </c>
      <c r="L45" s="27">
        <f ca="1">INDEX(Д4!$E$4:$AI$13,MATCH($D45,Д4!$D$4:$D$13),MATCH(L$7,Д4!$E$3:$AI$3))</f>
        <v>8</v>
      </c>
      <c r="M45" s="27">
        <f ca="1">INDEX(Д4!$E$4:$AI$13,MATCH($D45,Д4!$D$4:$D$13),MATCH(M$7,Д4!$E$3:$AI$3))</f>
        <v>12</v>
      </c>
      <c r="N45" s="27">
        <f ca="1">INDEX(Д4!$E$4:$AI$13,MATCH($D45,Д4!$D$4:$D$13),MATCH(N$7,Д4!$E$3:$AI$3))</f>
        <v>4</v>
      </c>
      <c r="O45" s="27">
        <f ca="1">INDEX(Д4!$E$4:$AI$13,MATCH($D45,Д4!$D$4:$D$13),MATCH(O$7,Д4!$E$3:$AI$3))</f>
        <v>8</v>
      </c>
      <c r="P45" s="27">
        <f ca="1">INDEX(Д4!$E$4:$AI$13,MATCH($D45,Д4!$D$4:$D$13),MATCH(P$7,Д4!$E$3:$AI$3))</f>
        <v>12</v>
      </c>
      <c r="Q45" s="27">
        <f ca="1">INDEX(Д4!$E$4:$AI$13,MATCH($D45,Д4!$D$4:$D$13),MATCH(Q$7,Д4!$E$3:$AI$3))</f>
        <v>0</v>
      </c>
      <c r="R45" s="27">
        <f ca="1">INDEX(Д4!$E$4:$AI$13,MATCH($D45,Д4!$D$4:$D$13),MATCH(R$7,Д4!$E$3:$AI$3))</f>
        <v>0</v>
      </c>
      <c r="S45" s="27">
        <f ca="1">INDEX(Д4!$E$4:$AI$13,MATCH($D45,Д4!$D$4:$D$13),MATCH(S$7,Д4!$E$3:$AI$3))</f>
        <v>4</v>
      </c>
      <c r="T45" s="27">
        <f ca="1">INDEX(Д4!$E$4:$AI$13,MATCH($D45,Д4!$D$4:$D$13),MATCH(T$7,Д4!$E$3:$AI$3))</f>
        <v>8</v>
      </c>
      <c r="U45" s="27">
        <f ca="1">INDEX(Д4!$E$4:$AI$13,MATCH($D45,Д4!$D$4:$D$13),MATCH(U$7,Д4!$E$3:$AI$3))</f>
        <v>12</v>
      </c>
      <c r="V45" s="27">
        <f ca="1">INDEX(Д4!$E$4:$AI$13,MATCH($D45,Д4!$D$4:$D$13),MATCH(V$7,Д4!$E$3:$AI$3))</f>
        <v>4</v>
      </c>
      <c r="W45" s="27">
        <f ca="1">INDEX(Д4!$E$4:$AI$13,MATCH($D45,Д4!$D$4:$D$13),MATCH(W$7,Д4!$E$3:$AI$3))</f>
        <v>8</v>
      </c>
      <c r="X45" s="27">
        <f ca="1">INDEX(Д4!$E$4:$AI$13,MATCH($D45,Д4!$D$4:$D$13),MATCH(X$7,Д4!$E$3:$AI$3))</f>
        <v>12</v>
      </c>
      <c r="Y45" s="27">
        <f ca="1">INDEX(Д4!$E$4:$AI$13,MATCH($D45,Д4!$D$4:$D$13),MATCH(Y$7,Д4!$E$3:$AI$3))</f>
        <v>0</v>
      </c>
      <c r="Z45" s="27">
        <f ca="1">INDEX(Д4!$E$4:$AI$13,MATCH($D45,Д4!$D$4:$D$13),MATCH(Z$7,Д4!$E$3:$AI$3))</f>
        <v>0</v>
      </c>
      <c r="AA45" s="27">
        <f ca="1">INDEX(Д4!$E$4:$AI$13,MATCH($D45,Д4!$D$4:$D$13),MATCH(AA$7,Д4!$E$3:$AI$3))</f>
        <v>4</v>
      </c>
      <c r="AB45" s="27">
        <f ca="1">INDEX(Д4!$E$4:$AI$13,MATCH($D45,Д4!$D$4:$D$13),MATCH(AB$7,Д4!$E$3:$AI$3))</f>
        <v>8</v>
      </c>
      <c r="AC45" s="27">
        <f ca="1">INDEX(Д4!$E$4:$AI$13,MATCH($D45,Д4!$D$4:$D$13),MATCH(AC$7,Д4!$E$3:$AI$3))</f>
        <v>12</v>
      </c>
      <c r="AD45" s="27">
        <f ca="1">INDEX(Д4!$E$4:$AI$13,MATCH($D45,Д4!$D$4:$D$13),MATCH(AD$7,Д4!$E$3:$AI$3))</f>
        <v>4</v>
      </c>
      <c r="AE45" s="27">
        <f ca="1">INDEX(Д4!$E$4:$AI$13,MATCH($D45,Д4!$D$4:$D$13),MATCH(AE$7,Д4!$E$3:$AI$3))</f>
        <v>8</v>
      </c>
      <c r="AF45" s="27">
        <f ca="1">INDEX(Д4!$E$4:$AI$13,MATCH($D45,Д4!$D$4:$D$13),MATCH(AF$7,Д4!$E$3:$AI$3))</f>
        <v>12</v>
      </c>
      <c r="AG45" s="27"/>
      <c r="AH45" s="27"/>
      <c r="AI45" s="106"/>
      <c r="AJ45" s="143">
        <f>INDEX(Д4!AK$14:$AK$23,MATCH($C45,Д4!$C$14:$C$23),MATCH(E$7,Д4!$E$3:$AI$3))*AND(MONTH($E$8)=MONTH(Д4!$B$14))</f>
        <v>160</v>
      </c>
      <c r="AK45" s="144">
        <f t="shared" ref="AK45" ca="1" si="104">SUM(E45:AI46)</f>
        <v>176</v>
      </c>
      <c r="AL45" s="144"/>
      <c r="AM45" s="149">
        <f ca="1">SUM(F45:H46,J45:AI46)-AJ45+AL45-12</f>
        <v>-4</v>
      </c>
      <c r="AP45" s="136">
        <f t="shared" ref="AP45" ca="1" si="105">COUNTIF($E45:$AI46,"12")</f>
        <v>7</v>
      </c>
      <c r="AQ45" s="136">
        <f t="shared" ref="AQ45" ca="1" si="106">IF(COUNTIF($E45:$AI46,"СП")&gt;=1,(COUNTIF($E45:$AI46,"4")+COUNTIF($E45:$AI46,"8")-1)/2,(COUNTIF($E45:$AI46,"4")+COUNTIF($E45:$AI46,"8"))/2)</f>
        <v>7</v>
      </c>
      <c r="AR45" s="136">
        <f t="shared" ca="1" si="2"/>
        <v>84</v>
      </c>
      <c r="AS45" s="136">
        <f t="shared" ref="AS45" ca="1" si="107">IF(COUNTIF($E45:$AI46,"СП")&gt;=1,SUMIF($E45:$AI46,"4",$E45:$AI46)+SUMIF($E45:$AI46,"8",$E45:$AI46)-8,SUMIF($E45:$AI46,"4",$E45:$AI46)+SUMIF($E45:$AI46,"8",$E45:$AI46))</f>
        <v>84</v>
      </c>
      <c r="AT45" s="136">
        <f t="shared" ref="AT45" ca="1" si="108">$AR45+$AS45</f>
        <v>168</v>
      </c>
      <c r="AU45" s="136" t="str">
        <f t="shared" ref="AU45" ca="1" si="109">IF(AK45=AT45,"+","!")</f>
        <v>!</v>
      </c>
      <c r="AV45" s="136">
        <f t="shared" ref="AV45" ca="1" si="110">COUNTIF($E45:$AI46,"ОТ")</f>
        <v>0</v>
      </c>
      <c r="AW45" s="137" t="str">
        <f ca="1">IF(COUNTIF($A46:$AI46,"СП")&gt;0,IF(INDIRECT(ADDRESS(ROW(),MATCH("СП",$A46:$AI46),1))=8,"","!"),"")</f>
        <v>!</v>
      </c>
      <c r="AX45" s="137" t="str">
        <f ca="1">IF(COUNTIF($A46:$AI46,"СП")&gt;0,IF(INDIRECT(ADDRESS(ROW(),MATCH("СП",$A46:$AI46)-1,1))=4,"!",""),"")</f>
        <v/>
      </c>
    </row>
    <row r="46" spans="1:50" ht="16.5" thickBot="1" x14ac:dyDescent="0.3">
      <c r="A46" s="147"/>
      <c r="B46" s="139"/>
      <c r="C46" s="171"/>
      <c r="D46" s="50">
        <v>8</v>
      </c>
      <c r="E46" s="65" t="str">
        <f>INDEX(Д4!$E$14:$AI$23,MATCH($D46,Д4!$D$14:$D$23),MATCH(E$7,Д4!$E$3:$AI$3))</f>
        <v/>
      </c>
      <c r="F46" s="30" t="str">
        <f>INDEX(Д4!$E$4:$AI$13,MATCH($D46,Д4!$D$4:$D$13),MATCH(F$7,Д4!$E$3:$AI$3))</f>
        <v/>
      </c>
      <c r="G46" s="30" t="str">
        <f>INDEX(Д4!$E$4:$AI$13,MATCH($D46,Д4!$D$4:$D$13),MATCH(G$7,Д4!$E$3:$AI$3))</f>
        <v/>
      </c>
      <c r="H46" s="30" t="str">
        <f>INDEX(Д4!$E$4:$AI$13,MATCH($D46,Д4!$D$4:$D$13),MATCH(H$7,Д4!$E$3:$AI$3))</f>
        <v>СП</v>
      </c>
      <c r="I46" s="30" t="str">
        <f>INDEX(Д4!$E$4:$AI$13,MATCH($D46,Д4!$D$4:$D$13),MATCH(I$7,Д4!$E$3:$AI$3))</f>
        <v/>
      </c>
      <c r="J46" s="30" t="str">
        <f>INDEX(Д4!$E$4:$AI$13,MATCH($D46,Д4!$D$4:$D$13),MATCH(J$7,Д4!$E$3:$AI$3))</f>
        <v/>
      </c>
      <c r="K46" s="30" t="str">
        <f>INDEX(Д4!$E$4:$AI$13,MATCH($D46,Д4!$D$4:$D$13),MATCH(K$7,Д4!$E$3:$AI$3))</f>
        <v/>
      </c>
      <c r="L46" s="30" t="str">
        <f>INDEX(Д4!$E$4:$AI$13,MATCH($D46,Д4!$D$4:$D$13),MATCH(L$7,Д4!$E$3:$AI$3))</f>
        <v/>
      </c>
      <c r="M46" s="30" t="str">
        <f>INDEX(Д4!$E$4:$AI$13,MATCH($D46,Д4!$D$4:$D$13),MATCH(M$7,Д4!$E$3:$AI$3))</f>
        <v/>
      </c>
      <c r="N46" s="30" t="str">
        <f>INDEX(Д4!$E$4:$AI$13,MATCH($D46,Д4!$D$4:$D$13),MATCH(N$7,Д4!$E$3:$AI$3))</f>
        <v/>
      </c>
      <c r="O46" s="30" t="str">
        <f>INDEX(Д4!$E$4:$AI$13,MATCH($D46,Д4!$D$4:$D$13),MATCH(O$7,Д4!$E$3:$AI$3))</f>
        <v/>
      </c>
      <c r="P46" s="30" t="str">
        <f>INDEX(Д4!$E$4:$AI$13,MATCH($D46,Д4!$D$4:$D$13),MATCH(P$7,Д4!$E$3:$AI$3))</f>
        <v/>
      </c>
      <c r="Q46" s="30" t="str">
        <f>INDEX(Д4!$E$4:$AI$13,MATCH($D46,Д4!$D$4:$D$13),MATCH(Q$7,Д4!$E$3:$AI$3))</f>
        <v/>
      </c>
      <c r="R46" s="30" t="str">
        <f>INDEX(Д4!$E$4:$AI$13,MATCH($D46,Д4!$D$4:$D$13),MATCH(R$7,Д4!$E$3:$AI$3))</f>
        <v/>
      </c>
      <c r="S46" s="30" t="str">
        <f>INDEX(Д4!$E$4:$AI$13,MATCH($D46,Д4!$D$4:$D$13),MATCH(S$7,Д4!$E$3:$AI$3))</f>
        <v/>
      </c>
      <c r="T46" s="30" t="str">
        <f>INDEX(Д4!$E$4:$AI$13,MATCH($D46,Д4!$D$4:$D$13),MATCH(T$7,Д4!$E$3:$AI$3))</f>
        <v/>
      </c>
      <c r="U46" s="30" t="str">
        <f>INDEX(Д4!$E$4:$AI$13,MATCH($D46,Д4!$D$4:$D$13),MATCH(U$7,Д4!$E$3:$AI$3))</f>
        <v/>
      </c>
      <c r="V46" s="30" t="str">
        <f>INDEX(Д4!$E$4:$AI$13,MATCH($D46,Д4!$D$4:$D$13),MATCH(V$7,Д4!$E$3:$AI$3))</f>
        <v/>
      </c>
      <c r="W46" s="30" t="str">
        <f>INDEX(Д4!$E$4:$AI$13,MATCH($D46,Д4!$D$4:$D$13),MATCH(W$7,Д4!$E$3:$AI$3))</f>
        <v/>
      </c>
      <c r="X46" s="30" t="str">
        <f>INDEX(Д4!$E$4:$AI$13,MATCH($D46,Д4!$D$4:$D$13),MATCH(X$7,Д4!$E$3:$AI$3))</f>
        <v/>
      </c>
      <c r="Y46" s="30" t="str">
        <f>INDEX(Д4!$E$4:$AI$13,MATCH($D46,Д4!$D$4:$D$13),MATCH(Y$7,Д4!$E$3:$AI$3))</f>
        <v/>
      </c>
      <c r="Z46" s="30" t="str">
        <f>INDEX(Д4!$E$4:$AI$13,MATCH($D46,Д4!$D$4:$D$13),MATCH(Z$7,Д4!$E$3:$AI$3))</f>
        <v/>
      </c>
      <c r="AA46" s="30" t="str">
        <f>INDEX(Д4!$E$4:$AI$13,MATCH($D46,Д4!$D$4:$D$13),MATCH(AA$7,Д4!$E$3:$AI$3))</f>
        <v/>
      </c>
      <c r="AB46" s="30" t="str">
        <f>INDEX(Д4!$E$4:$AI$13,MATCH($D46,Д4!$D$4:$D$13),MATCH(AB$7,Д4!$E$3:$AI$3))</f>
        <v/>
      </c>
      <c r="AC46" s="30" t="str">
        <f>INDEX(Д4!$E$4:$AI$13,MATCH($D46,Д4!$D$4:$D$13),MATCH(AC$7,Д4!$E$3:$AI$3))</f>
        <v/>
      </c>
      <c r="AD46" s="30" t="str">
        <f>INDEX(Д4!$E$4:$AI$13,MATCH($D46,Д4!$D$4:$D$13),MATCH(AD$7,Д4!$E$3:$AI$3))</f>
        <v/>
      </c>
      <c r="AE46" s="30" t="str">
        <f>INDEX(Д4!$E$4:$AI$13,MATCH($D46,Д4!$D$4:$D$13),MATCH(AE$7,Д4!$E$3:$AI$3))</f>
        <v/>
      </c>
      <c r="AF46" s="30" t="str">
        <f>INDEX(Д4!$E$4:$AI$13,MATCH($D46,Д4!$D$4:$D$13),MATCH(AF$7,Д4!$E$3:$AI$3))</f>
        <v/>
      </c>
      <c r="AG46" s="30"/>
      <c r="AH46" s="30"/>
      <c r="AI46" s="103"/>
      <c r="AJ46" s="143"/>
      <c r="AK46" s="145"/>
      <c r="AL46" s="145"/>
      <c r="AM46" s="150"/>
      <c r="AP46" s="136"/>
      <c r="AQ46" s="136"/>
      <c r="AR46" s="136"/>
      <c r="AS46" s="136"/>
      <c r="AT46" s="136"/>
      <c r="AU46" s="136"/>
      <c r="AV46" s="136"/>
      <c r="AW46" s="137"/>
      <c r="AX46" s="137"/>
    </row>
    <row r="47" spans="1:50" ht="16.5" customHeight="1" thickBot="1" x14ac:dyDescent="0.3">
      <c r="A47" s="147"/>
      <c r="B47" s="139" t="s">
        <v>99</v>
      </c>
      <c r="C47" s="170">
        <v>5</v>
      </c>
      <c r="D47" s="49">
        <v>9</v>
      </c>
      <c r="E47" s="62" t="str">
        <f>INDEX(Д4!$E$14:$AI$23,MATCH($D47,Д4!$D$14:$D$23),MATCH(E$7,Д4!$E$3:$AI$3))</f>
        <v>-</v>
      </c>
      <c r="F47" s="28" t="str">
        <f>INDEX(Д4!$E$4:$AI$13,MATCH($D47,Д4!$D$4:$D$13),MATCH(F$7,Д4!$E$3:$AI$3))</f>
        <v>-</v>
      </c>
      <c r="G47" s="28" t="str">
        <f>INDEX(Д4!$E$4:$AI$13,MATCH($D47,Д4!$D$4:$D$13),MATCH(G$7,Д4!$E$3:$AI$3))</f>
        <v>-</v>
      </c>
      <c r="H47" s="28" t="str">
        <f>INDEX(Д4!$E$4:$AI$13,MATCH($D47,Д4!$D$4:$D$13),MATCH(H$7,Д4!$E$3:$AI$3))</f>
        <v>-</v>
      </c>
      <c r="I47" s="28" t="str">
        <f>INDEX(Д4!$E$4:$AI$13,MATCH($D47,Д4!$D$4:$D$13),MATCH(I$7,Д4!$E$3:$AI$3))</f>
        <v>-</v>
      </c>
      <c r="J47" s="28" t="str">
        <f>INDEX(Д4!$E$4:$AI$13,MATCH($D47,Д4!$D$4:$D$13),MATCH(J$7,Д4!$E$3:$AI$3))</f>
        <v>-</v>
      </c>
      <c r="K47" s="28" t="str">
        <f>INDEX(Д4!$E$4:$AI$13,MATCH($D47,Д4!$D$4:$D$13),MATCH(K$7,Д4!$E$3:$AI$3))</f>
        <v>-</v>
      </c>
      <c r="L47" s="28" t="str">
        <f>INDEX(Д4!$E$4:$AI$13,MATCH($D47,Д4!$D$4:$D$13),MATCH(L$7,Д4!$E$3:$AI$3))</f>
        <v>-</v>
      </c>
      <c r="M47" s="28" t="str">
        <f>INDEX(Д4!$E$4:$AI$13,MATCH($D47,Д4!$D$4:$D$13),MATCH(M$7,Д4!$E$3:$AI$3))</f>
        <v>-</v>
      </c>
      <c r="N47" s="28" t="str">
        <f>INDEX(Д4!$E$4:$AI$13,MATCH($D47,Д4!$D$4:$D$13),MATCH(N$7,Д4!$E$3:$AI$3))</f>
        <v>-</v>
      </c>
      <c r="O47" s="28" t="str">
        <f>INDEX(Д4!$E$4:$AI$13,MATCH($D47,Д4!$D$4:$D$13),MATCH(O$7,Д4!$E$3:$AI$3))</f>
        <v>-</v>
      </c>
      <c r="P47" s="28" t="str">
        <f>INDEX(Д4!$E$4:$AI$13,MATCH($D47,Д4!$D$4:$D$13),MATCH(P$7,Д4!$E$3:$AI$3))</f>
        <v>-</v>
      </c>
      <c r="Q47" s="28" t="str">
        <f>INDEX(Д4!$E$4:$AI$13,MATCH($D47,Д4!$D$4:$D$13),MATCH(Q$7,Д4!$E$3:$AI$3))</f>
        <v>-</v>
      </c>
      <c r="R47" s="28" t="str">
        <f>INDEX(Д4!$E$4:$AI$13,MATCH($D47,Д4!$D$4:$D$13),MATCH(R$7,Д4!$E$3:$AI$3))</f>
        <v>-</v>
      </c>
      <c r="S47" s="28" t="str">
        <f>INDEX(Д4!$E$4:$AI$13,MATCH($D47,Д4!$D$4:$D$13),MATCH(S$7,Д4!$E$3:$AI$3))</f>
        <v>-</v>
      </c>
      <c r="T47" s="28" t="str">
        <f>INDEX(Д4!$E$4:$AI$13,MATCH($D47,Д4!$D$4:$D$13),MATCH(T$7,Д4!$E$3:$AI$3))</f>
        <v>-</v>
      </c>
      <c r="U47" s="28" t="str">
        <f>INDEX(Д4!$E$4:$AI$13,MATCH($D47,Д4!$D$4:$D$13),MATCH(U$7,Д4!$E$3:$AI$3))</f>
        <v>-</v>
      </c>
      <c r="V47" s="28" t="str">
        <f>INDEX(Д4!$E$4:$AI$13,MATCH($D47,Д4!$D$4:$D$13),MATCH(V$7,Д4!$E$3:$AI$3))</f>
        <v>-</v>
      </c>
      <c r="W47" s="28" t="str">
        <f>INDEX(Д4!$E$4:$AI$13,MATCH($D47,Д4!$D$4:$D$13),MATCH(W$7,Д4!$E$3:$AI$3))</f>
        <v>-</v>
      </c>
      <c r="X47" s="28" t="str">
        <f>INDEX(Д4!$E$4:$AI$13,MATCH($D47,Д4!$D$4:$D$13),MATCH(X$7,Д4!$E$3:$AI$3))</f>
        <v>-</v>
      </c>
      <c r="Y47" s="28" t="str">
        <f>INDEX(Д4!$E$4:$AI$13,MATCH($D47,Д4!$D$4:$D$13),MATCH(Y$7,Д4!$E$3:$AI$3))</f>
        <v>-</v>
      </c>
      <c r="Z47" s="28" t="str">
        <f>INDEX(Д4!$E$4:$AI$13,MATCH($D47,Д4!$D$4:$D$13),MATCH(Z$7,Д4!$E$3:$AI$3))</f>
        <v>-</v>
      </c>
      <c r="AA47" s="28" t="str">
        <f>INDEX(Д4!$E$4:$AI$13,MATCH($D47,Д4!$D$4:$D$13),MATCH(AA$7,Д4!$E$3:$AI$3))</f>
        <v>-</v>
      </c>
      <c r="AB47" s="28" t="str">
        <f>INDEX(Д4!$E$4:$AI$13,MATCH($D47,Д4!$D$4:$D$13),MATCH(AB$7,Д4!$E$3:$AI$3))</f>
        <v>-</v>
      </c>
      <c r="AC47" s="28" t="str">
        <f>INDEX(Д4!$E$4:$AI$13,MATCH($D47,Д4!$D$4:$D$13),MATCH(AC$7,Д4!$E$3:$AI$3))</f>
        <v>-</v>
      </c>
      <c r="AD47" s="28" t="str">
        <f>INDEX(Д4!$E$4:$AI$13,MATCH($D47,Д4!$D$4:$D$13),MATCH(AD$7,Д4!$E$3:$AI$3))</f>
        <v>-</v>
      </c>
      <c r="AE47" s="28" t="str">
        <f>INDEX(Д4!$E$4:$AI$13,MATCH($D47,Д4!$D$4:$D$13),MATCH(AE$7,Д4!$E$3:$AI$3))</f>
        <v>-</v>
      </c>
      <c r="AF47" s="28" t="str">
        <f>INDEX(Д4!$E$4:$AI$13,MATCH($D47,Д4!$D$4:$D$13),MATCH(AF$7,Д4!$E$3:$AI$3))</f>
        <v>-</v>
      </c>
      <c r="AG47" s="28"/>
      <c r="AH47" s="28"/>
      <c r="AI47" s="108"/>
      <c r="AJ47" s="143">
        <f>INDEX(Д4!AK$14:$AK$23,MATCH($C47,Д4!$C$14:$C$23),MATCH(E$7,Д4!$E$3:$AI$3))*AND(MONTH($E$8)=MONTH(Д4!$B$14))</f>
        <v>160</v>
      </c>
      <c r="AK47" s="144">
        <f t="shared" ref="AK47" si="111">SUM(E47:AI48)</f>
        <v>0</v>
      </c>
      <c r="AL47" s="144"/>
      <c r="AM47" s="149">
        <f>SUM(F47:H48,J47:AI48)-AJ47+AL47-12</f>
        <v>-172</v>
      </c>
      <c r="AP47" s="136">
        <f t="shared" ref="AP47" si="112">COUNTIF($E47:$AI48,"12")</f>
        <v>0</v>
      </c>
      <c r="AQ47" s="136">
        <f t="shared" ref="AQ47" si="113">IF(COUNTIF($E47:$AI48,"СП")&gt;=1,(COUNTIF($E47:$AI48,"4")+COUNTIF($E47:$AI48,"8")-1)/2,(COUNTIF($E47:$AI48,"4")+COUNTIF($E47:$AI48,"8"))/2)</f>
        <v>-0.5</v>
      </c>
      <c r="AR47" s="136">
        <f t="shared" si="2"/>
        <v>0</v>
      </c>
      <c r="AS47" s="136">
        <f t="shared" ref="AS47" si="114">IF(COUNTIF($E47:$AI48,"СП")&gt;=1,SUMIF($E47:$AI48,"4",$E47:$AI48)+SUMIF($E47:$AI48,"8",$E47:$AI48)-8,SUMIF($E47:$AI48,"4",$E47:$AI48)+SUMIF($E47:$AI48,"8",$E47:$AI48))</f>
        <v>-8</v>
      </c>
      <c r="AT47" s="136">
        <f t="shared" ref="AT47" si="115">$AR47+$AS47</f>
        <v>-8</v>
      </c>
      <c r="AU47" s="136" t="str">
        <f t="shared" ref="AU47" si="116">IF(AK47=AT47,"+","!")</f>
        <v>!</v>
      </c>
      <c r="AV47" s="136">
        <f t="shared" ref="AV47" si="117">COUNTIF($E47:$AI48,"ОТ")</f>
        <v>0</v>
      </c>
      <c r="AW47" s="137" t="str">
        <f ca="1">IF(COUNTIF($A48:$AI48,"СП")&gt;0,IF(INDIRECT(ADDRESS(ROW(),MATCH("СП",$A48:$AI48),1))=8,"","!"),"")</f>
        <v>!</v>
      </c>
      <c r="AX47" s="137" t="str">
        <f ca="1">IF(COUNTIF($A48:$AI48,"СП")&gt;0,IF(INDIRECT(ADDRESS(ROW(),MATCH("СП",$A48:$AI48)-1,1))=4,"!",""),"")</f>
        <v/>
      </c>
    </row>
    <row r="48" spans="1:50" ht="16.5" thickBot="1" x14ac:dyDescent="0.3">
      <c r="A48" s="148"/>
      <c r="B48" s="140"/>
      <c r="C48" s="171"/>
      <c r="D48" s="50">
        <v>10</v>
      </c>
      <c r="E48" s="63" t="str">
        <f>INDEX(Д4!$E$14:$AI$23,MATCH($D48,Д4!$D$14:$D$23),MATCH(E$7,Д4!$E$3:$AI$3))</f>
        <v/>
      </c>
      <c r="F48" s="29" t="str">
        <f>INDEX(Д4!$E$14:$AI$23,MATCH($D48,Д4!$D$14:$D$23),MATCH(F$7,Д4!$E$3:$AI$3))</f>
        <v/>
      </c>
      <c r="G48" s="29" t="str">
        <f>INDEX(Д4!$E$14:$AI$23,MATCH($D48,Д4!$D$14:$D$23),MATCH(G$7,Д4!$E$3:$AI$3))</f>
        <v/>
      </c>
      <c r="H48" s="29" t="str">
        <f>INDEX(Д4!$E$14:$AI$23,MATCH($D48,Д4!$D$14:$D$23),MATCH(H$7,Д4!$E$3:$AI$3))</f>
        <v/>
      </c>
      <c r="I48" s="29" t="str">
        <f>INDEX(Д4!$E$14:$AI$23,MATCH($D48,Д4!$D$14:$D$23),MATCH(I$7,Д4!$E$3:$AI$3))</f>
        <v/>
      </c>
      <c r="J48" s="29" t="str">
        <f>INDEX(Д4!$E$14:$AI$23,MATCH($D48,Д4!$D$14:$D$23),MATCH(J$7,Д4!$E$3:$AI$3))</f>
        <v>СП</v>
      </c>
      <c r="K48" s="29" t="str">
        <f>INDEX(Д4!$E$14:$AI$23,MATCH($D48,Д4!$D$14:$D$23),MATCH(K$7,Д4!$E$3:$AI$3))</f>
        <v/>
      </c>
      <c r="L48" s="29" t="str">
        <f>INDEX(Д4!$E$14:$AI$23,MATCH($D48,Д4!$D$14:$D$23),MATCH(L$7,Д4!$E$3:$AI$3))</f>
        <v/>
      </c>
      <c r="M48" s="29" t="str">
        <f>INDEX(Д4!$E$14:$AI$23,MATCH($D48,Д4!$D$14:$D$23),MATCH(M$7,Д4!$E$3:$AI$3))</f>
        <v/>
      </c>
      <c r="N48" s="29" t="str">
        <f>INDEX(Д4!$E$14:$AI$23,MATCH($D48,Д4!$D$14:$D$23),MATCH(N$7,Д4!$E$3:$AI$3))</f>
        <v/>
      </c>
      <c r="O48" s="29" t="str">
        <f>INDEX(Д4!$E$14:$AI$23,MATCH($D48,Д4!$D$14:$D$23),MATCH(O$7,Д4!$E$3:$AI$3))</f>
        <v/>
      </c>
      <c r="P48" s="29" t="str">
        <f>INDEX(Д4!$E$14:$AI$23,MATCH($D48,Д4!$D$14:$D$23),MATCH(P$7,Д4!$E$3:$AI$3))</f>
        <v/>
      </c>
      <c r="Q48" s="29" t="str">
        <f>INDEX(Д4!$E$14:$AI$23,MATCH($D48,Д4!$D$14:$D$23),MATCH(Q$7,Д4!$E$3:$AI$3))</f>
        <v/>
      </c>
      <c r="R48" s="29" t="str">
        <f>INDEX(Д4!$E$14:$AI$23,MATCH($D48,Д4!$D$14:$D$23),MATCH(R$7,Д4!$E$3:$AI$3))</f>
        <v/>
      </c>
      <c r="S48" s="29" t="str">
        <f>INDEX(Д4!$E$14:$AI$23,MATCH($D48,Д4!$D$14:$D$23),MATCH(S$7,Д4!$E$3:$AI$3))</f>
        <v/>
      </c>
      <c r="T48" s="29" t="str">
        <f>INDEX(Д4!$E$14:$AI$23,MATCH($D48,Д4!$D$14:$D$23),MATCH(T$7,Д4!$E$3:$AI$3))</f>
        <v/>
      </c>
      <c r="U48" s="29" t="str">
        <f>INDEX(Д4!$E$14:$AI$23,MATCH($D48,Д4!$D$14:$D$23),MATCH(U$7,Д4!$E$3:$AI$3))</f>
        <v/>
      </c>
      <c r="V48" s="29" t="str">
        <f>INDEX(Д4!$E$14:$AI$23,MATCH($D48,Д4!$D$14:$D$23),MATCH(V$7,Д4!$E$3:$AI$3))</f>
        <v/>
      </c>
      <c r="W48" s="29" t="str">
        <f>INDEX(Д4!$E$14:$AI$23,MATCH($D48,Д4!$D$14:$D$23),MATCH(W$7,Д4!$E$3:$AI$3))</f>
        <v/>
      </c>
      <c r="X48" s="29" t="str">
        <f>INDEX(Д4!$E$14:$AI$23,MATCH($D48,Д4!$D$14:$D$23),MATCH(X$7,Д4!$E$3:$AI$3))</f>
        <v/>
      </c>
      <c r="Y48" s="29" t="str">
        <f>INDEX(Д4!$E$14:$AI$23,MATCH($D48,Д4!$D$14:$D$23),MATCH(Y$7,Д4!$E$3:$AI$3))</f>
        <v/>
      </c>
      <c r="Z48" s="29" t="str">
        <f>INDEX(Д4!$E$14:$AI$23,MATCH($D48,Д4!$D$14:$D$23),MATCH(Z$7,Д4!$E$3:$AI$3))</f>
        <v/>
      </c>
      <c r="AA48" s="29" t="str">
        <f>INDEX(Д4!$E$14:$AI$23,MATCH($D48,Д4!$D$14:$D$23),MATCH(AA$7,Д4!$E$3:$AI$3))</f>
        <v/>
      </c>
      <c r="AB48" s="29" t="str">
        <f>INDEX(Д4!$E$14:$AI$23,MATCH($D48,Д4!$D$14:$D$23),MATCH(AB$7,Д4!$E$3:$AI$3))</f>
        <v/>
      </c>
      <c r="AC48" s="29" t="str">
        <f>INDEX(Д4!$E$14:$AI$23,MATCH($D48,Д4!$D$14:$D$23),MATCH(AC$7,Д4!$E$3:$AI$3))</f>
        <v/>
      </c>
      <c r="AD48" s="29" t="str">
        <f>INDEX(Д4!$E$14:$AI$23,MATCH($D48,Д4!$D$14:$D$23),MATCH(AD$7,Д4!$E$3:$AI$3))</f>
        <v/>
      </c>
      <c r="AE48" s="29" t="str">
        <f>INDEX(Д4!$E$14:$AI$23,MATCH($D48,Д4!$D$14:$D$23),MATCH(AE$7,Д4!$E$3:$AI$3))</f>
        <v/>
      </c>
      <c r="AF48" s="29" t="str">
        <f>INDEX(Д4!$E$14:$AI$23,MATCH($D48,Д4!$D$14:$D$23),MATCH(AF$7,Д4!$E$3:$AI$3))</f>
        <v/>
      </c>
      <c r="AG48" s="29"/>
      <c r="AH48" s="29"/>
      <c r="AI48" s="94"/>
      <c r="AJ48" s="143"/>
      <c r="AK48" s="145"/>
      <c r="AL48" s="145"/>
      <c r="AM48" s="150"/>
      <c r="AP48" s="136"/>
      <c r="AQ48" s="136"/>
      <c r="AR48" s="136"/>
      <c r="AS48" s="136"/>
      <c r="AT48" s="136"/>
      <c r="AU48" s="136"/>
      <c r="AV48" s="136"/>
      <c r="AW48" s="137"/>
      <c r="AX48" s="137"/>
    </row>
    <row r="49" spans="1:49" x14ac:dyDescent="0.25">
      <c r="AP49" s="5"/>
      <c r="AQ49" s="5"/>
      <c r="AR49" s="5"/>
      <c r="AS49" s="5"/>
      <c r="AT49" s="5"/>
      <c r="AU49" s="5"/>
      <c r="AV49" s="5"/>
      <c r="AW49" s="5"/>
    </row>
    <row r="50" spans="1:49" ht="15.75" x14ac:dyDescent="0.25">
      <c r="B50" s="131" t="s">
        <v>71</v>
      </c>
      <c r="C50" s="132"/>
      <c r="D50" s="165" t="s">
        <v>72</v>
      </c>
      <c r="E50" s="165"/>
      <c r="F50" s="165"/>
      <c r="G50" s="165"/>
      <c r="H50" s="165"/>
      <c r="I50" s="132"/>
      <c r="J50" s="166" t="s">
        <v>73</v>
      </c>
      <c r="K50" s="166"/>
      <c r="L50" s="166"/>
      <c r="M50" s="132"/>
      <c r="N50" s="167" t="s">
        <v>74</v>
      </c>
      <c r="O50" s="167"/>
      <c r="P50" s="167"/>
      <c r="Q50" s="167"/>
      <c r="R50" s="132"/>
      <c r="S50" s="168" t="s">
        <v>75</v>
      </c>
      <c r="T50" s="168"/>
      <c r="U50" s="168"/>
      <c r="V50" s="168"/>
      <c r="W50" s="168"/>
      <c r="X50" s="168"/>
      <c r="Y50" s="168"/>
      <c r="Z50" s="168"/>
      <c r="AA50" s="168"/>
      <c r="AB50" s="168"/>
      <c r="AC50" s="168"/>
      <c r="AD50" s="132"/>
      <c r="AE50" s="169" t="s">
        <v>76</v>
      </c>
      <c r="AF50" s="169"/>
      <c r="AG50" s="169"/>
      <c r="AH50" s="169"/>
      <c r="AI50" s="169"/>
      <c r="AJ50" s="169"/>
      <c r="AK50" s="169"/>
      <c r="AL50" s="132"/>
      <c r="AP50" s="5"/>
      <c r="AQ50" s="5"/>
      <c r="AR50" s="5"/>
      <c r="AS50" s="5"/>
      <c r="AT50" s="5"/>
      <c r="AU50" s="5"/>
      <c r="AV50" s="5"/>
      <c r="AW50" s="5"/>
    </row>
    <row r="51" spans="1:49" ht="15.75" thickBot="1" x14ac:dyDescent="0.3">
      <c r="AP51" s="5"/>
      <c r="AQ51" s="5"/>
      <c r="AR51" s="5"/>
      <c r="AS51" s="5"/>
      <c r="AT51" s="5"/>
      <c r="AU51" s="5"/>
      <c r="AV51" s="5"/>
      <c r="AW51" s="5"/>
    </row>
    <row r="52" spans="1:49" x14ac:dyDescent="0.25">
      <c r="A52" s="138" t="s">
        <v>12</v>
      </c>
      <c r="B52" s="8" t="str">
        <f>$A$9</f>
        <v>Должность1</v>
      </c>
      <c r="C52" s="8"/>
      <c r="D52" s="8"/>
      <c r="E52" s="16" t="str">
        <f ca="1">IF(AND(COUNTIF(E$9:E$18,"12")&gt;=1,COUNTIF(E$9:E$18,"4")&gt;=1,COUNTIF(E$9:E$18,"8")&gt;=1),"","!")</f>
        <v/>
      </c>
      <c r="F52" s="16" t="str">
        <f t="shared" ref="F52:AH52" ca="1" si="118">IF(AND(COUNTIF(F$9:F$18,"12")&gt;=1,COUNTIF(F$9:F$18,"4")&gt;=1,COUNTIF(F$9:F$18,"8")&gt;=1),"","!")</f>
        <v/>
      </c>
      <c r="G52" s="16" t="str">
        <f t="shared" ca="1" si="118"/>
        <v/>
      </c>
      <c r="H52" s="16" t="str">
        <f t="shared" ca="1" si="118"/>
        <v/>
      </c>
      <c r="I52" s="16" t="str">
        <f t="shared" ca="1" si="118"/>
        <v/>
      </c>
      <c r="J52" s="16" t="str">
        <f t="shared" ca="1" si="118"/>
        <v/>
      </c>
      <c r="K52" s="16" t="str">
        <f t="shared" ca="1" si="118"/>
        <v/>
      </c>
      <c r="L52" s="16" t="str">
        <f t="shared" ca="1" si="118"/>
        <v/>
      </c>
      <c r="M52" s="16" t="str">
        <f t="shared" ca="1" si="118"/>
        <v/>
      </c>
      <c r="N52" s="16" t="str">
        <f t="shared" ca="1" si="118"/>
        <v/>
      </c>
      <c r="O52" s="16" t="str">
        <f t="shared" ca="1" si="118"/>
        <v/>
      </c>
      <c r="P52" s="16" t="str">
        <f t="shared" ca="1" si="118"/>
        <v/>
      </c>
      <c r="Q52" s="16" t="str">
        <f t="shared" ca="1" si="118"/>
        <v/>
      </c>
      <c r="R52" s="16" t="str">
        <f t="shared" ca="1" si="118"/>
        <v/>
      </c>
      <c r="S52" s="16" t="str">
        <f t="shared" ca="1" si="118"/>
        <v/>
      </c>
      <c r="T52" s="16" t="str">
        <f t="shared" ca="1" si="118"/>
        <v/>
      </c>
      <c r="U52" s="16" t="str">
        <f t="shared" ca="1" si="118"/>
        <v/>
      </c>
      <c r="V52" s="16" t="str">
        <f t="shared" ca="1" si="118"/>
        <v/>
      </c>
      <c r="W52" s="16" t="str">
        <f t="shared" ca="1" si="118"/>
        <v/>
      </c>
      <c r="X52" s="16" t="str">
        <f t="shared" ca="1" si="118"/>
        <v/>
      </c>
      <c r="Y52" s="16" t="str">
        <f t="shared" ca="1" si="118"/>
        <v/>
      </c>
      <c r="Z52" s="16" t="str">
        <f t="shared" ca="1" si="118"/>
        <v/>
      </c>
      <c r="AA52" s="16" t="str">
        <f t="shared" ca="1" si="118"/>
        <v/>
      </c>
      <c r="AB52" s="16" t="str">
        <f t="shared" ca="1" si="118"/>
        <v/>
      </c>
      <c r="AC52" s="16" t="str">
        <f t="shared" ca="1" si="118"/>
        <v/>
      </c>
      <c r="AD52" s="16" t="str">
        <f t="shared" ca="1" si="118"/>
        <v/>
      </c>
      <c r="AE52" s="16" t="str">
        <f t="shared" ca="1" si="118"/>
        <v/>
      </c>
      <c r="AF52" s="16" t="str">
        <f t="shared" ca="1" si="118"/>
        <v/>
      </c>
      <c r="AG52" s="16" t="str">
        <f t="shared" si="118"/>
        <v>!</v>
      </c>
      <c r="AH52" s="16" t="str">
        <f t="shared" si="118"/>
        <v>!</v>
      </c>
      <c r="AI52" s="16" t="str">
        <f>IF(AND(COUNTIF(AI$9:AI$18,"12")&gt;=1,COUNTIF(AI$9:AI$18,"4")&gt;=1,COUNTIF(AI$9:AI$18,"8")&gt;=1),"","!")</f>
        <v>!</v>
      </c>
      <c r="AP52" s="5"/>
      <c r="AQ52" s="5"/>
      <c r="AR52" s="5"/>
      <c r="AS52" s="5"/>
      <c r="AT52" s="5"/>
      <c r="AU52" s="5"/>
      <c r="AV52" s="5"/>
      <c r="AW52" s="5"/>
    </row>
    <row r="53" spans="1:49" x14ac:dyDescent="0.25">
      <c r="A53" s="134"/>
      <c r="B53" t="str">
        <f>$A$19</f>
        <v>Должность2</v>
      </c>
      <c r="E53" s="5" t="str">
        <f ca="1">IF(AND(COUNTIF(E$19:E$28,"12")&gt;=1,COUNTIF(E$19:E$28,"4")&gt;=1,COUNTIF(E$19:E$28,"8")&gt;=1),"","!")</f>
        <v/>
      </c>
      <c r="F53" s="5" t="str">
        <f t="shared" ref="F53:AI53" ca="1" si="119">IF(AND(COUNTIF(F$19:F$28,"12")&gt;=1,COUNTIF(F$19:F$28,"4")&gt;=1,COUNTIF(F$19:F$28,"8")&gt;=1),"","!")</f>
        <v/>
      </c>
      <c r="G53" s="5" t="str">
        <f t="shared" ca="1" si="119"/>
        <v/>
      </c>
      <c r="H53" s="5" t="str">
        <f t="shared" ca="1" si="119"/>
        <v/>
      </c>
      <c r="I53" s="5" t="str">
        <f t="shared" ca="1" si="119"/>
        <v/>
      </c>
      <c r="J53" s="5" t="str">
        <f t="shared" ca="1" si="119"/>
        <v/>
      </c>
      <c r="K53" s="5" t="str">
        <f t="shared" ca="1" si="119"/>
        <v/>
      </c>
      <c r="L53" s="5" t="str">
        <f t="shared" ca="1" si="119"/>
        <v/>
      </c>
      <c r="M53" s="5" t="str">
        <f t="shared" ca="1" si="119"/>
        <v/>
      </c>
      <c r="N53" s="5" t="str">
        <f t="shared" ca="1" si="119"/>
        <v/>
      </c>
      <c r="O53" s="5" t="str">
        <f t="shared" ca="1" si="119"/>
        <v/>
      </c>
      <c r="P53" s="5" t="str">
        <f t="shared" ca="1" si="119"/>
        <v/>
      </c>
      <c r="Q53" s="5" t="str">
        <f t="shared" ca="1" si="119"/>
        <v/>
      </c>
      <c r="R53" s="5" t="str">
        <f t="shared" ca="1" si="119"/>
        <v/>
      </c>
      <c r="S53" s="5" t="str">
        <f t="shared" ca="1" si="119"/>
        <v/>
      </c>
      <c r="T53" s="5" t="str">
        <f t="shared" ca="1" si="119"/>
        <v/>
      </c>
      <c r="U53" s="5" t="str">
        <f t="shared" ca="1" si="119"/>
        <v/>
      </c>
      <c r="V53" s="5" t="str">
        <f t="shared" ca="1" si="119"/>
        <v/>
      </c>
      <c r="W53" s="5" t="str">
        <f t="shared" ca="1" si="119"/>
        <v/>
      </c>
      <c r="X53" s="5" t="str">
        <f t="shared" ca="1" si="119"/>
        <v/>
      </c>
      <c r="Y53" s="5" t="str">
        <f t="shared" ca="1" si="119"/>
        <v/>
      </c>
      <c r="Z53" s="5" t="str">
        <f t="shared" ca="1" si="119"/>
        <v/>
      </c>
      <c r="AA53" s="5" t="str">
        <f t="shared" ca="1" si="119"/>
        <v/>
      </c>
      <c r="AB53" s="5" t="str">
        <f t="shared" ca="1" si="119"/>
        <v/>
      </c>
      <c r="AC53" s="5" t="str">
        <f t="shared" ca="1" si="119"/>
        <v/>
      </c>
      <c r="AD53" s="5" t="str">
        <f t="shared" ca="1" si="119"/>
        <v/>
      </c>
      <c r="AE53" s="5" t="str">
        <f t="shared" ca="1" si="119"/>
        <v/>
      </c>
      <c r="AF53" s="5" t="str">
        <f t="shared" ca="1" si="119"/>
        <v/>
      </c>
      <c r="AG53" s="5" t="str">
        <f t="shared" si="119"/>
        <v>!</v>
      </c>
      <c r="AH53" s="5" t="str">
        <f t="shared" si="119"/>
        <v>!</v>
      </c>
      <c r="AI53" s="5" t="str">
        <f t="shared" si="119"/>
        <v>!</v>
      </c>
      <c r="AP53" s="5"/>
      <c r="AQ53" s="5"/>
      <c r="AR53" s="5"/>
      <c r="AS53" s="5"/>
      <c r="AT53" s="5"/>
      <c r="AU53" s="5"/>
      <c r="AV53" s="5"/>
      <c r="AW53" s="5"/>
    </row>
    <row r="54" spans="1:49" x14ac:dyDescent="0.25">
      <c r="A54" s="134"/>
      <c r="B54" t="str">
        <f>$A$29</f>
        <v>Должность3</v>
      </c>
      <c r="E54" s="5" t="str">
        <f ca="1">IF(AND(COUNTIF(E$29:E$38,"12")&gt;=1,COUNTIF(E$29:E$38,"4")&gt;=1,COUNTIF(E$29:E$38,"8")&gt;=1),"","!")</f>
        <v/>
      </c>
      <c r="F54" s="5" t="str">
        <f t="shared" ref="F54:AI54" ca="1" si="120">IF(AND(COUNTIF(F$29:F$38,"12")&gt;=1,COUNTIF(F$29:F$38,"4")&gt;=1,COUNTIF(F$29:F$38,"8")&gt;=1),"","!")</f>
        <v/>
      </c>
      <c r="G54" s="5" t="str">
        <f t="shared" ca="1" si="120"/>
        <v/>
      </c>
      <c r="H54" s="5" t="str">
        <f t="shared" ca="1" si="120"/>
        <v/>
      </c>
      <c r="I54" s="5" t="str">
        <f t="shared" ca="1" si="120"/>
        <v/>
      </c>
      <c r="J54" s="5" t="str">
        <f t="shared" ca="1" si="120"/>
        <v/>
      </c>
      <c r="K54" s="5" t="str">
        <f t="shared" ca="1" si="120"/>
        <v/>
      </c>
      <c r="L54" s="5" t="str">
        <f t="shared" ca="1" si="120"/>
        <v/>
      </c>
      <c r="M54" s="5" t="str">
        <f t="shared" ca="1" si="120"/>
        <v/>
      </c>
      <c r="N54" s="5" t="str">
        <f t="shared" ca="1" si="120"/>
        <v/>
      </c>
      <c r="O54" s="5" t="str">
        <f t="shared" ca="1" si="120"/>
        <v/>
      </c>
      <c r="P54" s="5" t="str">
        <f t="shared" ca="1" si="120"/>
        <v/>
      </c>
      <c r="Q54" s="5" t="str">
        <f t="shared" ca="1" si="120"/>
        <v/>
      </c>
      <c r="R54" s="5" t="str">
        <f t="shared" ca="1" si="120"/>
        <v/>
      </c>
      <c r="S54" s="5" t="str">
        <f t="shared" ca="1" si="120"/>
        <v/>
      </c>
      <c r="T54" s="5" t="str">
        <f t="shared" ca="1" si="120"/>
        <v/>
      </c>
      <c r="U54" s="5" t="str">
        <f t="shared" ca="1" si="120"/>
        <v/>
      </c>
      <c r="V54" s="5" t="str">
        <f t="shared" ca="1" si="120"/>
        <v/>
      </c>
      <c r="W54" s="5" t="str">
        <f t="shared" ca="1" si="120"/>
        <v/>
      </c>
      <c r="X54" s="5" t="str">
        <f t="shared" ca="1" si="120"/>
        <v/>
      </c>
      <c r="Y54" s="5" t="str">
        <f t="shared" ca="1" si="120"/>
        <v/>
      </c>
      <c r="Z54" s="5" t="str">
        <f t="shared" ca="1" si="120"/>
        <v/>
      </c>
      <c r="AA54" s="5" t="str">
        <f t="shared" ca="1" si="120"/>
        <v/>
      </c>
      <c r="AB54" s="5" t="str">
        <f t="shared" ca="1" si="120"/>
        <v/>
      </c>
      <c r="AC54" s="5" t="str">
        <f t="shared" ca="1" si="120"/>
        <v/>
      </c>
      <c r="AD54" s="5" t="str">
        <f t="shared" ca="1" si="120"/>
        <v/>
      </c>
      <c r="AE54" s="5" t="str">
        <f t="shared" ca="1" si="120"/>
        <v/>
      </c>
      <c r="AF54" s="5" t="str">
        <f t="shared" ca="1" si="120"/>
        <v/>
      </c>
      <c r="AG54" s="5" t="str">
        <f t="shared" si="120"/>
        <v>!</v>
      </c>
      <c r="AH54" s="5" t="str">
        <f t="shared" si="120"/>
        <v>!</v>
      </c>
      <c r="AI54" s="5" t="str">
        <f t="shared" si="120"/>
        <v>!</v>
      </c>
      <c r="AP54" s="5"/>
      <c r="AQ54" s="5"/>
      <c r="AR54" s="5"/>
      <c r="AS54" s="5"/>
      <c r="AT54" s="5"/>
      <c r="AU54" s="5"/>
      <c r="AV54" s="5"/>
      <c r="AW54" s="5"/>
    </row>
    <row r="55" spans="1:49" x14ac:dyDescent="0.25">
      <c r="A55" s="134"/>
      <c r="B55" t="str">
        <f>$A$39</f>
        <v>Должность4</v>
      </c>
      <c r="E55" s="5" t="str">
        <f ca="1">IF(AND(COUNTIF(E$39:E$48,"12")&gt;=1,COUNTIF(E$39:E$48,"4")&gt;=1,COUNTIF(E$39:E$48,"8")&gt;=1),"","!")</f>
        <v/>
      </c>
      <c r="F55" s="5" t="str">
        <f t="shared" ref="F55:AI55" ca="1" si="121">IF(AND(COUNTIF(F$39:F$48,"12")&gt;=1,COUNTIF(F$39:F$48,"4")&gt;=1,COUNTIF(F$39:F$48,"8")&gt;=1),"","!")</f>
        <v/>
      </c>
      <c r="G55" s="5" t="str">
        <f t="shared" ca="1" si="121"/>
        <v/>
      </c>
      <c r="H55" s="5" t="str">
        <f t="shared" ca="1" si="121"/>
        <v/>
      </c>
      <c r="I55" s="5" t="str">
        <f t="shared" ca="1" si="121"/>
        <v/>
      </c>
      <c r="J55" s="5" t="str">
        <f t="shared" ca="1" si="121"/>
        <v/>
      </c>
      <c r="K55" s="5" t="str">
        <f t="shared" ca="1" si="121"/>
        <v/>
      </c>
      <c r="L55" s="5" t="str">
        <f t="shared" ca="1" si="121"/>
        <v/>
      </c>
      <c r="M55" s="5" t="str">
        <f t="shared" ca="1" si="121"/>
        <v/>
      </c>
      <c r="N55" s="5" t="str">
        <f t="shared" ca="1" si="121"/>
        <v/>
      </c>
      <c r="O55" s="5" t="str">
        <f t="shared" ca="1" si="121"/>
        <v/>
      </c>
      <c r="P55" s="5" t="str">
        <f t="shared" ca="1" si="121"/>
        <v/>
      </c>
      <c r="Q55" s="5" t="str">
        <f t="shared" ca="1" si="121"/>
        <v/>
      </c>
      <c r="R55" s="5" t="str">
        <f t="shared" ca="1" si="121"/>
        <v/>
      </c>
      <c r="S55" s="5" t="str">
        <f t="shared" ca="1" si="121"/>
        <v/>
      </c>
      <c r="T55" s="5" t="str">
        <f t="shared" ca="1" si="121"/>
        <v/>
      </c>
      <c r="U55" s="5" t="str">
        <f t="shared" ca="1" si="121"/>
        <v/>
      </c>
      <c r="V55" s="5" t="str">
        <f t="shared" ca="1" si="121"/>
        <v/>
      </c>
      <c r="W55" s="5" t="str">
        <f t="shared" ca="1" si="121"/>
        <v/>
      </c>
      <c r="X55" s="5" t="str">
        <f t="shared" ca="1" si="121"/>
        <v/>
      </c>
      <c r="Y55" s="5" t="str">
        <f t="shared" ca="1" si="121"/>
        <v/>
      </c>
      <c r="Z55" s="5" t="str">
        <f t="shared" ca="1" si="121"/>
        <v/>
      </c>
      <c r="AA55" s="5" t="str">
        <f t="shared" ca="1" si="121"/>
        <v/>
      </c>
      <c r="AB55" s="5" t="str">
        <f t="shared" ca="1" si="121"/>
        <v/>
      </c>
      <c r="AC55" s="5" t="str">
        <f t="shared" ca="1" si="121"/>
        <v/>
      </c>
      <c r="AD55" s="5" t="str">
        <f t="shared" ca="1" si="121"/>
        <v/>
      </c>
      <c r="AE55" s="5" t="str">
        <f t="shared" ca="1" si="121"/>
        <v/>
      </c>
      <c r="AF55" s="5" t="str">
        <f t="shared" ca="1" si="121"/>
        <v/>
      </c>
      <c r="AG55" s="5" t="str">
        <f t="shared" si="121"/>
        <v>!</v>
      </c>
      <c r="AH55" s="5" t="str">
        <f t="shared" si="121"/>
        <v>!</v>
      </c>
      <c r="AI55" s="5" t="str">
        <f t="shared" si="121"/>
        <v>!</v>
      </c>
      <c r="AP55" s="5"/>
      <c r="AQ55" s="5"/>
      <c r="AR55" s="5"/>
      <c r="AS55" s="5"/>
      <c r="AT55" s="5"/>
      <c r="AU55" s="5"/>
      <c r="AV55" s="5"/>
      <c r="AW55" s="5"/>
    </row>
    <row r="56" spans="1:49" ht="5.45" customHeight="1" x14ac:dyDescent="0.25">
      <c r="A56" s="10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7"/>
      <c r="AI56" s="17"/>
      <c r="AP56" s="5"/>
      <c r="AQ56" s="5"/>
      <c r="AR56" s="5"/>
      <c r="AS56" s="5"/>
      <c r="AT56" s="5"/>
      <c r="AU56" s="5"/>
      <c r="AV56" s="5"/>
      <c r="AW56" s="5"/>
    </row>
    <row r="57" spans="1:49" x14ac:dyDescent="0.25">
      <c r="A57" s="134" t="s">
        <v>10</v>
      </c>
      <c r="B57" t="str">
        <f>$A$9</f>
        <v>Должность1</v>
      </c>
      <c r="E57" s="5" t="str">
        <f ca="1">IF(COUNTIF(E$9:E$18,"12")&gt;1,CONCATENATE("12*",COUNTIF(E$9:E$18,"12")),IF(COUNTIF(E$9:E$18,"4")&gt;1,CONCATENATE("4*",COUNTIF(E$9:E$18,"4")),IF(COUNTIF(E$9:E$18,"8")&gt;1,CONCATENATE("8*",COUNTIF(E$9:E$18,"8")),"")))</f>
        <v/>
      </c>
      <c r="F57" s="5" t="str">
        <f t="shared" ref="F57:AH57" ca="1" si="122">IF(COUNTIF(F$9:F$18,"12")&gt;1,CONCATENATE("12*",COUNTIF(F$9:F$18,"12")),IF(COUNTIF(F$9:F$18,"4")&gt;1,CONCATENATE("4*",COUNTIF(F$9:F$18,"4")),IF(COUNTIF(F$9:F$18,"8")&gt;1,CONCATENATE("8*",COUNTIF(F$9:F$18,"8")),"")))</f>
        <v/>
      </c>
      <c r="G57" s="5" t="str">
        <f t="shared" ca="1" si="122"/>
        <v>8*2</v>
      </c>
      <c r="H57" s="5" t="str">
        <f t="shared" ca="1" si="122"/>
        <v/>
      </c>
      <c r="I57" s="5" t="str">
        <f t="shared" ca="1" si="122"/>
        <v/>
      </c>
      <c r="J57" s="5" t="str">
        <f t="shared" ca="1" si="122"/>
        <v/>
      </c>
      <c r="K57" s="5" t="str">
        <f t="shared" ca="1" si="122"/>
        <v/>
      </c>
      <c r="L57" s="5" t="str">
        <f t="shared" ca="1" si="122"/>
        <v/>
      </c>
      <c r="M57" s="5" t="str">
        <f t="shared" ca="1" si="122"/>
        <v/>
      </c>
      <c r="N57" s="5" t="str">
        <f t="shared" ca="1" si="122"/>
        <v/>
      </c>
      <c r="O57" s="5" t="str">
        <f t="shared" ca="1" si="122"/>
        <v/>
      </c>
      <c r="P57" s="5" t="str">
        <f t="shared" ca="1" si="122"/>
        <v/>
      </c>
      <c r="Q57" s="5" t="str">
        <f t="shared" ca="1" si="122"/>
        <v/>
      </c>
      <c r="R57" s="5" t="str">
        <f t="shared" ca="1" si="122"/>
        <v/>
      </c>
      <c r="S57" s="5" t="str">
        <f t="shared" ca="1" si="122"/>
        <v/>
      </c>
      <c r="T57" s="5" t="str">
        <f t="shared" ca="1" si="122"/>
        <v/>
      </c>
      <c r="U57" s="5" t="str">
        <f t="shared" ca="1" si="122"/>
        <v/>
      </c>
      <c r="V57" s="5" t="str">
        <f t="shared" ca="1" si="122"/>
        <v/>
      </c>
      <c r="W57" s="5" t="str">
        <f t="shared" ca="1" si="122"/>
        <v/>
      </c>
      <c r="X57" s="5" t="str">
        <f t="shared" ca="1" si="122"/>
        <v/>
      </c>
      <c r="Y57" s="5" t="str">
        <f t="shared" ca="1" si="122"/>
        <v/>
      </c>
      <c r="Z57" s="5" t="str">
        <f t="shared" ca="1" si="122"/>
        <v/>
      </c>
      <c r="AA57" s="5" t="str">
        <f t="shared" ca="1" si="122"/>
        <v/>
      </c>
      <c r="AB57" s="5" t="str">
        <f t="shared" ca="1" si="122"/>
        <v/>
      </c>
      <c r="AC57" s="5" t="str">
        <f t="shared" ca="1" si="122"/>
        <v/>
      </c>
      <c r="AD57" s="5" t="str">
        <f t="shared" ca="1" si="122"/>
        <v/>
      </c>
      <c r="AE57" s="5" t="str">
        <f t="shared" ca="1" si="122"/>
        <v/>
      </c>
      <c r="AF57" s="5" t="str">
        <f t="shared" ca="1" si="122"/>
        <v/>
      </c>
      <c r="AG57" s="5" t="str">
        <f t="shared" si="122"/>
        <v/>
      </c>
      <c r="AH57" s="5" t="str">
        <f t="shared" si="122"/>
        <v/>
      </c>
      <c r="AI57" s="5" t="str">
        <f>IF(COUNTIF(AI$9:AI$18,"12")&gt;1,CONCATENATE("12*",COUNTIF(AI$9:AI$18,"12")),IF(COUNTIF(AI$9:AI$18,"4")&gt;1,CONCATENATE("4*",COUNTIF(AI$9:AI$18,"4")),IF(COUNTIF(AI$9:AI$18,"8")&gt;1,CONCATENATE("8*",COUNTIF(AI$9:AI$18,"8")),"")))</f>
        <v/>
      </c>
    </row>
    <row r="58" spans="1:49" x14ac:dyDescent="0.25">
      <c r="A58" s="134"/>
      <c r="B58" t="str">
        <f>$A$19</f>
        <v>Должность2</v>
      </c>
      <c r="E58" s="5" t="str">
        <f ca="1">IF(COUNTIF(E$19:E$28,"12")&gt;1,CONCATENATE("12*",COUNTIF(E$19:E$28,"12")),IF(COUNTIF(E$19:E$28,"4")&gt;1,CONCATENATE("4*",COUNTIF(E$19:E$28,"4")),IF(COUNTIF(E$19:E$28,"8")&gt;1,CONCATENATE("8*",COUNTIF(E$19:E$28,"8")),"")))</f>
        <v/>
      </c>
      <c r="F58" s="5" t="str">
        <f t="shared" ref="F58:AI58" ca="1" si="123">IF(COUNTIF(F$19:F$28,"12")&gt;1,CONCATENATE("12*",COUNTIF(F$19:F$28,"12")),IF(COUNTIF(F$19:F$28,"4")&gt;1,CONCATENATE("4*",COUNTIF(F$19:F$28,"4")),IF(COUNTIF(F$19:F$28,"8")&gt;1,CONCATENATE("8*",COUNTIF(F$19:F$28,"8")),"")))</f>
        <v/>
      </c>
      <c r="G58" s="5" t="str">
        <f t="shared" ca="1" si="123"/>
        <v>8*2</v>
      </c>
      <c r="H58" s="5" t="str">
        <f t="shared" ca="1" si="123"/>
        <v/>
      </c>
      <c r="I58" s="5" t="str">
        <f t="shared" ca="1" si="123"/>
        <v/>
      </c>
      <c r="J58" s="5" t="str">
        <f t="shared" ca="1" si="123"/>
        <v/>
      </c>
      <c r="K58" s="5" t="str">
        <f t="shared" ca="1" si="123"/>
        <v/>
      </c>
      <c r="L58" s="5" t="str">
        <f t="shared" ca="1" si="123"/>
        <v/>
      </c>
      <c r="M58" s="5" t="str">
        <f t="shared" ca="1" si="123"/>
        <v/>
      </c>
      <c r="N58" s="5" t="str">
        <f t="shared" ca="1" si="123"/>
        <v/>
      </c>
      <c r="O58" s="5" t="str">
        <f t="shared" ca="1" si="123"/>
        <v/>
      </c>
      <c r="P58" s="5" t="str">
        <f t="shared" ca="1" si="123"/>
        <v/>
      </c>
      <c r="Q58" s="5" t="str">
        <f t="shared" ca="1" si="123"/>
        <v/>
      </c>
      <c r="R58" s="5" t="str">
        <f t="shared" ca="1" si="123"/>
        <v/>
      </c>
      <c r="S58" s="5" t="str">
        <f t="shared" ca="1" si="123"/>
        <v/>
      </c>
      <c r="T58" s="5" t="str">
        <f t="shared" ca="1" si="123"/>
        <v/>
      </c>
      <c r="U58" s="5" t="str">
        <f t="shared" ca="1" si="123"/>
        <v/>
      </c>
      <c r="V58" s="5" t="str">
        <f t="shared" ca="1" si="123"/>
        <v/>
      </c>
      <c r="W58" s="5" t="str">
        <f t="shared" ca="1" si="123"/>
        <v/>
      </c>
      <c r="X58" s="5" t="str">
        <f t="shared" ca="1" si="123"/>
        <v/>
      </c>
      <c r="Y58" s="5" t="str">
        <f t="shared" ca="1" si="123"/>
        <v/>
      </c>
      <c r="Z58" s="5" t="str">
        <f t="shared" ca="1" si="123"/>
        <v/>
      </c>
      <c r="AA58" s="5" t="str">
        <f t="shared" ca="1" si="123"/>
        <v/>
      </c>
      <c r="AB58" s="5" t="str">
        <f t="shared" ca="1" si="123"/>
        <v/>
      </c>
      <c r="AC58" s="5" t="str">
        <f t="shared" ca="1" si="123"/>
        <v/>
      </c>
      <c r="AD58" s="5" t="str">
        <f t="shared" ca="1" si="123"/>
        <v/>
      </c>
      <c r="AE58" s="5" t="str">
        <f t="shared" ca="1" si="123"/>
        <v/>
      </c>
      <c r="AF58" s="5" t="str">
        <f t="shared" ca="1" si="123"/>
        <v/>
      </c>
      <c r="AG58" s="5" t="str">
        <f t="shared" si="123"/>
        <v/>
      </c>
      <c r="AH58" s="5" t="str">
        <f t="shared" si="123"/>
        <v/>
      </c>
      <c r="AI58" s="5" t="str">
        <f t="shared" si="123"/>
        <v/>
      </c>
    </row>
    <row r="59" spans="1:49" x14ac:dyDescent="0.25">
      <c r="A59" s="134"/>
      <c r="B59" t="str">
        <f>$A$29</f>
        <v>Должность3</v>
      </c>
      <c r="E59" s="5" t="str">
        <f ca="1">IF(COUNTIF(E$29:E$38,"12")&gt;1,CONCATENATE("12*",COUNTIF(E$29:E$38,"12")),IF(COUNTIF(E$29:E$38,"4")&gt;1,CONCATENATE("4*",COUNTIF(E$29:E$38,"4")),IF(COUNTIF(E$29:E$38,"8")&gt;1,CONCATENATE("8*",COUNTIF(E$29:E$38,"8")),"")))</f>
        <v/>
      </c>
      <c r="F59" s="5" t="str">
        <f t="shared" ref="F59:AI59" ca="1" si="124">IF(COUNTIF(F$29:F$38,"12")&gt;1,CONCATENATE("12*",COUNTIF(F$29:F$38,"12")),IF(COUNTIF(F$29:F$38,"4")&gt;1,CONCATENATE("4*",COUNTIF(F$29:F$38,"4")),IF(COUNTIF(F$29:F$38,"8")&gt;1,CONCATENATE("8*",COUNTIF(F$29:F$38,"8")),"")))</f>
        <v/>
      </c>
      <c r="G59" s="5" t="str">
        <f t="shared" ca="1" si="124"/>
        <v>8*2</v>
      </c>
      <c r="H59" s="5" t="str">
        <f t="shared" ca="1" si="124"/>
        <v/>
      </c>
      <c r="I59" s="5" t="str">
        <f t="shared" ca="1" si="124"/>
        <v/>
      </c>
      <c r="J59" s="5" t="str">
        <f t="shared" ca="1" si="124"/>
        <v/>
      </c>
      <c r="K59" s="5" t="str">
        <f t="shared" ca="1" si="124"/>
        <v/>
      </c>
      <c r="L59" s="5" t="str">
        <f t="shared" ca="1" si="124"/>
        <v/>
      </c>
      <c r="M59" s="5" t="str">
        <f t="shared" ca="1" si="124"/>
        <v/>
      </c>
      <c r="N59" s="5" t="str">
        <f t="shared" ca="1" si="124"/>
        <v/>
      </c>
      <c r="O59" s="5" t="str">
        <f t="shared" ca="1" si="124"/>
        <v/>
      </c>
      <c r="P59" s="5" t="str">
        <f t="shared" ca="1" si="124"/>
        <v/>
      </c>
      <c r="Q59" s="5" t="str">
        <f t="shared" ca="1" si="124"/>
        <v/>
      </c>
      <c r="R59" s="5" t="str">
        <f t="shared" ca="1" si="124"/>
        <v/>
      </c>
      <c r="S59" s="5" t="str">
        <f t="shared" ca="1" si="124"/>
        <v/>
      </c>
      <c r="T59" s="5" t="str">
        <f t="shared" ca="1" si="124"/>
        <v/>
      </c>
      <c r="U59" s="5" t="str">
        <f t="shared" ca="1" si="124"/>
        <v/>
      </c>
      <c r="V59" s="5" t="str">
        <f t="shared" ca="1" si="124"/>
        <v/>
      </c>
      <c r="W59" s="5" t="str">
        <f t="shared" ca="1" si="124"/>
        <v/>
      </c>
      <c r="X59" s="5" t="str">
        <f t="shared" ca="1" si="124"/>
        <v/>
      </c>
      <c r="Y59" s="5" t="str">
        <f t="shared" ca="1" si="124"/>
        <v/>
      </c>
      <c r="Z59" s="5" t="str">
        <f t="shared" ca="1" si="124"/>
        <v/>
      </c>
      <c r="AA59" s="5" t="str">
        <f t="shared" ca="1" si="124"/>
        <v/>
      </c>
      <c r="AB59" s="5" t="str">
        <f t="shared" ca="1" si="124"/>
        <v/>
      </c>
      <c r="AC59" s="5" t="str">
        <f t="shared" ca="1" si="124"/>
        <v/>
      </c>
      <c r="AD59" s="5" t="str">
        <f t="shared" ca="1" si="124"/>
        <v/>
      </c>
      <c r="AE59" s="5" t="str">
        <f t="shared" ca="1" si="124"/>
        <v/>
      </c>
      <c r="AF59" s="5" t="str">
        <f t="shared" ca="1" si="124"/>
        <v/>
      </c>
      <c r="AG59" s="5" t="str">
        <f t="shared" si="124"/>
        <v/>
      </c>
      <c r="AH59" s="5" t="str">
        <f t="shared" si="124"/>
        <v/>
      </c>
      <c r="AI59" s="5" t="str">
        <f t="shared" si="124"/>
        <v/>
      </c>
    </row>
    <row r="60" spans="1:49" ht="15.75" thickBot="1" x14ac:dyDescent="0.3">
      <c r="A60" s="135"/>
      <c r="B60" s="9" t="str">
        <f>$A$39</f>
        <v>Должность4</v>
      </c>
      <c r="C60" s="9"/>
      <c r="D60" s="9"/>
      <c r="E60" s="18" t="str">
        <f ca="1">IF(COUNTIF(E$39:E$48,"12")&gt;1,CONCATENATE("12*",COUNTIF(E$39:E$48,"12")),IF(COUNTIF(E$39:E$48,"4")&gt;1,CONCATENATE("4*",COUNTIF(E$39:E$48,"4")),IF(COUNTIF(E$39:E$48,"8")&gt;1,CONCATENATE("8*",COUNTIF(E$39:E$48,"8")),"")))</f>
        <v/>
      </c>
      <c r="F60" s="18" t="str">
        <f t="shared" ref="F60:AI60" ca="1" si="125">IF(COUNTIF(F$39:F$48,"12")&gt;1,CONCATENATE("12*",COUNTIF(F$39:F$48,"12")),IF(COUNTIF(F$39:F$48,"4")&gt;1,CONCATENATE("4*",COUNTIF(F$39:F$48,"4")),IF(COUNTIF(F$39:F$48,"8")&gt;1,CONCATENATE("8*",COUNTIF(F$39:F$48,"8")),"")))</f>
        <v/>
      </c>
      <c r="G60" s="18" t="str">
        <f t="shared" ca="1" si="125"/>
        <v>8*2</v>
      </c>
      <c r="H60" s="18" t="str">
        <f t="shared" ca="1" si="125"/>
        <v/>
      </c>
      <c r="I60" s="18" t="str">
        <f t="shared" ca="1" si="125"/>
        <v/>
      </c>
      <c r="J60" s="18" t="str">
        <f t="shared" ca="1" si="125"/>
        <v/>
      </c>
      <c r="K60" s="18" t="str">
        <f t="shared" ca="1" si="125"/>
        <v/>
      </c>
      <c r="L60" s="18" t="str">
        <f t="shared" ca="1" si="125"/>
        <v/>
      </c>
      <c r="M60" s="18" t="str">
        <f t="shared" ca="1" si="125"/>
        <v/>
      </c>
      <c r="N60" s="18" t="str">
        <f t="shared" ca="1" si="125"/>
        <v/>
      </c>
      <c r="O60" s="18" t="str">
        <f t="shared" ca="1" si="125"/>
        <v/>
      </c>
      <c r="P60" s="18" t="str">
        <f t="shared" ca="1" si="125"/>
        <v/>
      </c>
      <c r="Q60" s="18" t="str">
        <f t="shared" ca="1" si="125"/>
        <v/>
      </c>
      <c r="R60" s="18" t="str">
        <f t="shared" ca="1" si="125"/>
        <v/>
      </c>
      <c r="S60" s="18" t="str">
        <f t="shared" ca="1" si="125"/>
        <v/>
      </c>
      <c r="T60" s="18" t="str">
        <f t="shared" ca="1" si="125"/>
        <v/>
      </c>
      <c r="U60" s="18" t="str">
        <f t="shared" ca="1" si="125"/>
        <v/>
      </c>
      <c r="V60" s="18" t="str">
        <f t="shared" ca="1" si="125"/>
        <v/>
      </c>
      <c r="W60" s="18" t="str">
        <f t="shared" ca="1" si="125"/>
        <v/>
      </c>
      <c r="X60" s="18" t="str">
        <f t="shared" ca="1" si="125"/>
        <v/>
      </c>
      <c r="Y60" s="18" t="str">
        <f t="shared" ca="1" si="125"/>
        <v/>
      </c>
      <c r="Z60" s="18" t="str">
        <f t="shared" ca="1" si="125"/>
        <v/>
      </c>
      <c r="AA60" s="18" t="str">
        <f t="shared" ca="1" si="125"/>
        <v/>
      </c>
      <c r="AB60" s="18" t="str">
        <f t="shared" ca="1" si="125"/>
        <v/>
      </c>
      <c r="AC60" s="18" t="str">
        <f t="shared" ca="1" si="125"/>
        <v/>
      </c>
      <c r="AD60" s="18" t="str">
        <f t="shared" ca="1" si="125"/>
        <v/>
      </c>
      <c r="AE60" s="18" t="str">
        <f t="shared" ca="1" si="125"/>
        <v/>
      </c>
      <c r="AF60" s="18" t="str">
        <f t="shared" ca="1" si="125"/>
        <v/>
      </c>
      <c r="AG60" s="18" t="str">
        <f t="shared" si="125"/>
        <v/>
      </c>
      <c r="AH60" s="18" t="str">
        <f t="shared" si="125"/>
        <v/>
      </c>
      <c r="AI60" s="18" t="str">
        <f t="shared" si="125"/>
        <v/>
      </c>
    </row>
  </sheetData>
  <autoFilter ref="AP8:AX48" xr:uid="{00000000-0009-0000-0000-000000000000}"/>
  <mergeCells count="316">
    <mergeCell ref="AL47:AL48"/>
    <mergeCell ref="AM47:AM48"/>
    <mergeCell ref="AM27:AM28"/>
    <mergeCell ref="AL29:AL30"/>
    <mergeCell ref="AM29:AM30"/>
    <mergeCell ref="AL31:AL32"/>
    <mergeCell ref="AM31:AM32"/>
    <mergeCell ref="AL33:AL34"/>
    <mergeCell ref="AM33:AM34"/>
    <mergeCell ref="AL35:AL36"/>
    <mergeCell ref="AM35:AM36"/>
    <mergeCell ref="D50:H50"/>
    <mergeCell ref="J50:L50"/>
    <mergeCell ref="N50:Q50"/>
    <mergeCell ref="S50:AC50"/>
    <mergeCell ref="AE50:AK50"/>
    <mergeCell ref="AL9:AL10"/>
    <mergeCell ref="AM9:AM10"/>
    <mergeCell ref="AL11:AL12"/>
    <mergeCell ref="AM11:AM12"/>
    <mergeCell ref="AL13:AL14"/>
    <mergeCell ref="AM13:AM14"/>
    <mergeCell ref="AL15:AL16"/>
    <mergeCell ref="AM15:AM16"/>
    <mergeCell ref="AL17:AL18"/>
    <mergeCell ref="AM17:AM18"/>
    <mergeCell ref="AL19:AL20"/>
    <mergeCell ref="AM19:AM20"/>
    <mergeCell ref="AL21:AL22"/>
    <mergeCell ref="AM21:AM22"/>
    <mergeCell ref="AL23:AL24"/>
    <mergeCell ref="AM23:AM24"/>
    <mergeCell ref="AL25:AL26"/>
    <mergeCell ref="AM25:AM26"/>
    <mergeCell ref="AL27:AL28"/>
    <mergeCell ref="A57:A60"/>
    <mergeCell ref="AT47:AT48"/>
    <mergeCell ref="AU47:AU48"/>
    <mergeCell ref="AV47:AV48"/>
    <mergeCell ref="AW47:AW48"/>
    <mergeCell ref="AX47:AX48"/>
    <mergeCell ref="A52:A55"/>
    <mergeCell ref="AW45:AW46"/>
    <mergeCell ref="AX45:AX46"/>
    <mergeCell ref="B47:B48"/>
    <mergeCell ref="C47:C48"/>
    <mergeCell ref="AJ47:AJ48"/>
    <mergeCell ref="AK47:AK48"/>
    <mergeCell ref="AP47:AP48"/>
    <mergeCell ref="AQ47:AQ48"/>
    <mergeCell ref="AR47:AR48"/>
    <mergeCell ref="AS47:AS48"/>
    <mergeCell ref="AQ45:AQ46"/>
    <mergeCell ref="AR45:AR46"/>
    <mergeCell ref="AS45:AS46"/>
    <mergeCell ref="AT45:AT46"/>
    <mergeCell ref="AU45:AU46"/>
    <mergeCell ref="AV45:AV46"/>
    <mergeCell ref="A39:A48"/>
    <mergeCell ref="AT43:AT44"/>
    <mergeCell ref="AU43:AU44"/>
    <mergeCell ref="AV43:AV44"/>
    <mergeCell ref="AW43:AW44"/>
    <mergeCell ref="AX43:AX44"/>
    <mergeCell ref="B45:B46"/>
    <mergeCell ref="C45:C46"/>
    <mergeCell ref="AJ45:AJ46"/>
    <mergeCell ref="AK45:AK46"/>
    <mergeCell ref="AP45:AP46"/>
    <mergeCell ref="AL43:AL44"/>
    <mergeCell ref="AM43:AM44"/>
    <mergeCell ref="AL45:AL46"/>
    <mergeCell ref="AM45:AM46"/>
    <mergeCell ref="AT39:AT40"/>
    <mergeCell ref="AU39:AU40"/>
    <mergeCell ref="AV39:AV40"/>
    <mergeCell ref="AW39:AW40"/>
    <mergeCell ref="AX39:AX40"/>
    <mergeCell ref="B41:B42"/>
    <mergeCell ref="C41:C42"/>
    <mergeCell ref="AJ41:AJ42"/>
    <mergeCell ref="AK41:AK42"/>
    <mergeCell ref="AP41:AP42"/>
    <mergeCell ref="AW41:AW42"/>
    <mergeCell ref="AX41:AX42"/>
    <mergeCell ref="AQ41:AQ42"/>
    <mergeCell ref="AR41:AR42"/>
    <mergeCell ref="AS41:AS42"/>
    <mergeCell ref="AT41:AT42"/>
    <mergeCell ref="AU41:AU42"/>
    <mergeCell ref="AV41:AV42"/>
    <mergeCell ref="B39:B40"/>
    <mergeCell ref="C39:C40"/>
    <mergeCell ref="AJ39:AJ40"/>
    <mergeCell ref="AK39:AK40"/>
    <mergeCell ref="AP39:AP40"/>
    <mergeCell ref="AQ39:AQ40"/>
    <mergeCell ref="AR39:AR40"/>
    <mergeCell ref="AS39:AS40"/>
    <mergeCell ref="B43:B44"/>
    <mergeCell ref="C43:C44"/>
    <mergeCell ref="AJ43:AJ44"/>
    <mergeCell ref="AK43:AK44"/>
    <mergeCell ref="AP43:AP44"/>
    <mergeCell ref="AQ43:AQ44"/>
    <mergeCell ref="AR43:AR44"/>
    <mergeCell ref="AS43:AS44"/>
    <mergeCell ref="AL39:AL40"/>
    <mergeCell ref="AM39:AM40"/>
    <mergeCell ref="AL41:AL42"/>
    <mergeCell ref="AM41:AM42"/>
    <mergeCell ref="AK33:AK34"/>
    <mergeCell ref="AP33:AP34"/>
    <mergeCell ref="AQ33:AQ34"/>
    <mergeCell ref="AU35:AU36"/>
    <mergeCell ref="AV35:AV36"/>
    <mergeCell ref="AW35:AW36"/>
    <mergeCell ref="AX35:AX36"/>
    <mergeCell ref="B37:B38"/>
    <mergeCell ref="C37:C38"/>
    <mergeCell ref="AJ37:AJ38"/>
    <mergeCell ref="AK37:AK38"/>
    <mergeCell ref="AP37:AP38"/>
    <mergeCell ref="AQ37:AQ38"/>
    <mergeCell ref="AX37:AX38"/>
    <mergeCell ref="AR37:AR38"/>
    <mergeCell ref="AS37:AS38"/>
    <mergeCell ref="AT37:AT38"/>
    <mergeCell ref="AU37:AU38"/>
    <mergeCell ref="AV37:AV38"/>
    <mergeCell ref="AW37:AW38"/>
    <mergeCell ref="AL37:AL38"/>
    <mergeCell ref="AM37:AM38"/>
    <mergeCell ref="AW29:AW30"/>
    <mergeCell ref="AX29:AX30"/>
    <mergeCell ref="AS29:AS30"/>
    <mergeCell ref="AT29:AT30"/>
    <mergeCell ref="AU29:AU30"/>
    <mergeCell ref="AX33:AX34"/>
    <mergeCell ref="B35:B36"/>
    <mergeCell ref="C35:C36"/>
    <mergeCell ref="AJ35:AJ36"/>
    <mergeCell ref="AK35:AK36"/>
    <mergeCell ref="AP35:AP36"/>
    <mergeCell ref="AQ35:AQ36"/>
    <mergeCell ref="AR35:AR36"/>
    <mergeCell ref="AS35:AS36"/>
    <mergeCell ref="AT35:AT36"/>
    <mergeCell ref="AR33:AR34"/>
    <mergeCell ref="AS33:AS34"/>
    <mergeCell ref="AT33:AT34"/>
    <mergeCell ref="AU33:AU34"/>
    <mergeCell ref="AV33:AV34"/>
    <mergeCell ref="AW33:AW34"/>
    <mergeCell ref="B33:B34"/>
    <mergeCell ref="C33:C34"/>
    <mergeCell ref="AJ33:AJ34"/>
    <mergeCell ref="AW27:AW28"/>
    <mergeCell ref="AX27:AX28"/>
    <mergeCell ref="A29:A38"/>
    <mergeCell ref="B29:B30"/>
    <mergeCell ref="C29:C30"/>
    <mergeCell ref="AJ29:AJ30"/>
    <mergeCell ref="AK29:AK30"/>
    <mergeCell ref="B31:B32"/>
    <mergeCell ref="C31:C32"/>
    <mergeCell ref="AJ31:AJ32"/>
    <mergeCell ref="AK31:AK32"/>
    <mergeCell ref="AP31:AP32"/>
    <mergeCell ref="AQ31:AQ32"/>
    <mergeCell ref="AR31:AR32"/>
    <mergeCell ref="AP29:AP30"/>
    <mergeCell ref="AQ29:AQ30"/>
    <mergeCell ref="AR29:AR30"/>
    <mergeCell ref="AS31:AS32"/>
    <mergeCell ref="AT31:AT32"/>
    <mergeCell ref="AU31:AU32"/>
    <mergeCell ref="AV31:AV32"/>
    <mergeCell ref="AW31:AW32"/>
    <mergeCell ref="AX31:AX32"/>
    <mergeCell ref="AV29:AV30"/>
    <mergeCell ref="AS27:AS28"/>
    <mergeCell ref="AQ25:AQ26"/>
    <mergeCell ref="AR25:AR26"/>
    <mergeCell ref="AS25:AS26"/>
    <mergeCell ref="AT25:AT26"/>
    <mergeCell ref="AU25:AU26"/>
    <mergeCell ref="AV25:AV26"/>
    <mergeCell ref="AT27:AT28"/>
    <mergeCell ref="AU27:AU28"/>
    <mergeCell ref="AV27:AV28"/>
    <mergeCell ref="AT23:AT24"/>
    <mergeCell ref="AU23:AU24"/>
    <mergeCell ref="AV23:AV24"/>
    <mergeCell ref="AW23:AW24"/>
    <mergeCell ref="AX23:AX24"/>
    <mergeCell ref="B25:B26"/>
    <mergeCell ref="C25:C26"/>
    <mergeCell ref="AJ25:AJ26"/>
    <mergeCell ref="AK25:AK26"/>
    <mergeCell ref="AP25:AP26"/>
    <mergeCell ref="AW25:AW26"/>
    <mergeCell ref="AX25:AX26"/>
    <mergeCell ref="AT19:AT20"/>
    <mergeCell ref="AU19:AU20"/>
    <mergeCell ref="AV19:AV20"/>
    <mergeCell ref="AW19:AW20"/>
    <mergeCell ref="AX19:AX20"/>
    <mergeCell ref="B21:B22"/>
    <mergeCell ref="C21:C22"/>
    <mergeCell ref="AJ21:AJ22"/>
    <mergeCell ref="AK21:AK22"/>
    <mergeCell ref="AP21:AP22"/>
    <mergeCell ref="AW21:AW22"/>
    <mergeCell ref="AX21:AX22"/>
    <mergeCell ref="AQ21:AQ22"/>
    <mergeCell ref="AR21:AR22"/>
    <mergeCell ref="AS21:AS22"/>
    <mergeCell ref="AT21:AT22"/>
    <mergeCell ref="AU21:AU22"/>
    <mergeCell ref="AV21:AV22"/>
    <mergeCell ref="A19:A28"/>
    <mergeCell ref="B19:B20"/>
    <mergeCell ref="C19:C20"/>
    <mergeCell ref="AJ19:AJ20"/>
    <mergeCell ref="AK19:AK20"/>
    <mergeCell ref="AP19:AP20"/>
    <mergeCell ref="AQ19:AQ20"/>
    <mergeCell ref="AR19:AR20"/>
    <mergeCell ref="AS19:AS20"/>
    <mergeCell ref="B23:B24"/>
    <mergeCell ref="C23:C24"/>
    <mergeCell ref="AJ23:AJ24"/>
    <mergeCell ref="AK23:AK24"/>
    <mergeCell ref="AP23:AP24"/>
    <mergeCell ref="AQ23:AQ24"/>
    <mergeCell ref="AR23:AR24"/>
    <mergeCell ref="AS23:AS24"/>
    <mergeCell ref="B27:B28"/>
    <mergeCell ref="C27:C28"/>
    <mergeCell ref="AJ27:AJ28"/>
    <mergeCell ref="AK27:AK28"/>
    <mergeCell ref="AP27:AP28"/>
    <mergeCell ref="AQ27:AQ28"/>
    <mergeCell ref="AR27:AR28"/>
    <mergeCell ref="AU15:AU16"/>
    <mergeCell ref="AV15:AV16"/>
    <mergeCell ref="AW15:AW16"/>
    <mergeCell ref="AX15:AX16"/>
    <mergeCell ref="B17:B18"/>
    <mergeCell ref="C17:C18"/>
    <mergeCell ref="AJ17:AJ18"/>
    <mergeCell ref="AK17:AK18"/>
    <mergeCell ref="AP17:AP18"/>
    <mergeCell ref="AQ17:AQ18"/>
    <mergeCell ref="AX17:AX18"/>
    <mergeCell ref="AR17:AR18"/>
    <mergeCell ref="AS17:AS18"/>
    <mergeCell ref="AT17:AT18"/>
    <mergeCell ref="AU17:AU18"/>
    <mergeCell ref="AV17:AV18"/>
    <mergeCell ref="AW17:AW18"/>
    <mergeCell ref="AX11:AX12"/>
    <mergeCell ref="AV9:AV10"/>
    <mergeCell ref="AW9:AW10"/>
    <mergeCell ref="AX9:AX10"/>
    <mergeCell ref="AS9:AS10"/>
    <mergeCell ref="AT9:AT10"/>
    <mergeCell ref="AU9:AU10"/>
    <mergeCell ref="AX13:AX14"/>
    <mergeCell ref="B15:B16"/>
    <mergeCell ref="C15:C16"/>
    <mergeCell ref="AJ15:AJ16"/>
    <mergeCell ref="AK15:AK16"/>
    <mergeCell ref="AP15:AP16"/>
    <mergeCell ref="AQ15:AQ16"/>
    <mergeCell ref="AR15:AR16"/>
    <mergeCell ref="AS15:AS16"/>
    <mergeCell ref="AT15:AT16"/>
    <mergeCell ref="AR13:AR14"/>
    <mergeCell ref="AS13:AS14"/>
    <mergeCell ref="AT13:AT14"/>
    <mergeCell ref="AU13:AU14"/>
    <mergeCell ref="AV13:AV14"/>
    <mergeCell ref="AW13:AW14"/>
    <mergeCell ref="B13:B14"/>
    <mergeCell ref="AR11:AR12"/>
    <mergeCell ref="AP9:AP10"/>
    <mergeCell ref="AQ9:AQ10"/>
    <mergeCell ref="AR9:AR10"/>
    <mergeCell ref="AS11:AS12"/>
    <mergeCell ref="AT11:AT12"/>
    <mergeCell ref="AU11:AU12"/>
    <mergeCell ref="AV11:AV12"/>
    <mergeCell ref="AW11:AW12"/>
    <mergeCell ref="A1:AJ1"/>
    <mergeCell ref="AP1:AQ1"/>
    <mergeCell ref="AP2:AQ2"/>
    <mergeCell ref="A3:AJ3"/>
    <mergeCell ref="AP3:AQ3"/>
    <mergeCell ref="A9:A18"/>
    <mergeCell ref="B9:B10"/>
    <mergeCell ref="C9:C10"/>
    <mergeCell ref="AJ9:AJ10"/>
    <mergeCell ref="AK9:AK10"/>
    <mergeCell ref="B11:B12"/>
    <mergeCell ref="C11:C12"/>
    <mergeCell ref="AJ11:AJ12"/>
    <mergeCell ref="AK11:AK12"/>
    <mergeCell ref="AP11:AP12"/>
    <mergeCell ref="AQ11:AQ12"/>
    <mergeCell ref="C13:C14"/>
    <mergeCell ref="AJ13:AJ14"/>
    <mergeCell ref="AK13:AK14"/>
    <mergeCell ref="AP13:AP14"/>
    <mergeCell ref="AQ13:AQ14"/>
  </mergeCells>
  <conditionalFormatting sqref="AU9:AU48">
    <cfRule type="cellIs" dxfId="161" priority="17" operator="equal">
      <formula>"-"</formula>
    </cfRule>
  </conditionalFormatting>
  <conditionalFormatting sqref="E52:E55">
    <cfRule type="cellIs" dxfId="160" priority="16" operator="equal">
      <formula>"-"</formula>
    </cfRule>
  </conditionalFormatting>
  <conditionalFormatting sqref="F52:AI55">
    <cfRule type="cellIs" dxfId="159" priority="15" operator="equal">
      <formula>"-"</formula>
    </cfRule>
  </conditionalFormatting>
  <conditionalFormatting sqref="AI9:AI48">
    <cfRule type="cellIs" dxfId="158" priority="11" operator="equal">
      <formula>"Д"</formula>
    </cfRule>
    <cfRule type="cellIs" dxfId="157" priority="12" operator="equal">
      <formula>"СП"</formula>
    </cfRule>
    <cfRule type="cellIs" dxfId="156" priority="13" operator="equal">
      <formula>"ОТ"</formula>
    </cfRule>
  </conditionalFormatting>
  <conditionalFormatting sqref="E9:AH48">
    <cfRule type="cellIs" dxfId="155" priority="1" operator="equal">
      <formula>"В"</formula>
    </cfRule>
    <cfRule type="cellIs" dxfId="154" priority="2" operator="equal">
      <formula>"ПЗ"</formula>
    </cfRule>
    <cfRule type="cellIs" dxfId="153" priority="3" operator="equal">
      <formula>"ПК"</formula>
    </cfRule>
    <cfRule type="containsText" dxfId="152" priority="4" operator="containsText" text="Б">
      <formula>NOT(ISERROR(SEARCH("Б",E9)))</formula>
    </cfRule>
    <cfRule type="expression" dxfId="151" priority="9">
      <formula>E9=0</formula>
    </cfRule>
  </conditionalFormatting>
  <conditionalFormatting sqref="E9:AH48">
    <cfRule type="expression" dxfId="150" priority="5">
      <formula>AND(INDIRECT(ADDRESS(ROW(),COLUMN()))=8,INDIRECT(ADDRESS(ROW(),COLUMN()))="СП")</formula>
    </cfRule>
    <cfRule type="cellIs" dxfId="149" priority="7" operator="equal">
      <formula>"СП"</formula>
    </cfRule>
    <cfRule type="cellIs" dxfId="148" priority="8" operator="equal">
      <formula>"ОТ"</formula>
    </cfRule>
  </conditionalFormatting>
  <conditionalFormatting sqref="E8:AH48">
    <cfRule type="cellIs" dxfId="147" priority="6" operator="equal">
      <formula>"Д"</formula>
    </cfRule>
  </conditionalFormatting>
  <pageMargins left="0.25" right="0.25" top="0.75" bottom="0.75" header="0.3" footer="0.3"/>
  <pageSetup paperSize="9" scale="6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9" id="{6668901F-C17A-4DCB-AD9B-8065DE4BE40D}">
            <xm:f>OR(AND(WEEKDAY(E$8,2)&gt;5,E$6=1),ISNUMBER(MATCH(E$8,Подключения!$A$2:$A$1039,0)))</xm:f>
            <x14:dxf>
              <fill>
                <patternFill>
                  <bgColor theme="0" tint="-0.14996795556505021"/>
                </patternFill>
              </fill>
            </x14:dxf>
          </x14:cfRule>
          <xm:sqref>E8:AI48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FEA7B-BC6E-4589-8DC7-7A78CB0FB13D}">
  <sheetPr codeName="Лист14">
    <tabColor theme="3" tint="0.79998168889431442"/>
    <pageSetUpPr fitToPage="1"/>
  </sheetPr>
  <dimension ref="A1:AX61"/>
  <sheetViews>
    <sheetView zoomScale="70" zoomScaleNormal="70" workbookViewId="0">
      <pane xSplit="3" ySplit="8" topLeftCell="D9" activePane="bottomRight" state="frozen"/>
      <selection activeCell="AM19" sqref="AM19:AM20"/>
      <selection pane="topRight" activeCell="AM19" sqref="AM19:AM20"/>
      <selection pane="bottomLeft" activeCell="AM19" sqref="AM19:AM20"/>
      <selection pane="bottomRight" activeCell="D2" sqref="D1:D1048576"/>
    </sheetView>
  </sheetViews>
  <sheetFormatPr defaultRowHeight="15" x14ac:dyDescent="0.25"/>
  <cols>
    <col min="1" max="1" width="9.140625" customWidth="1"/>
    <col min="2" max="2" width="28" customWidth="1"/>
    <col min="3" max="3" width="4.7109375" customWidth="1"/>
    <col min="4" max="4" width="2.85546875" hidden="1" customWidth="1"/>
    <col min="5" max="5" width="5.42578125" customWidth="1"/>
    <col min="6" max="34" width="5" customWidth="1"/>
    <col min="35" max="35" width="4.85546875" customWidth="1"/>
    <col min="36" max="37" width="9.140625" customWidth="1"/>
    <col min="38" max="38" width="10.28515625" customWidth="1"/>
    <col min="39" max="39" width="10.140625" customWidth="1"/>
    <col min="40" max="41" width="2.7109375" customWidth="1"/>
    <col min="42" max="43" width="6.7109375" customWidth="1"/>
    <col min="44" max="44" width="12.42578125" customWidth="1"/>
    <col min="45" max="45" width="8.28515625" customWidth="1"/>
    <col min="46" max="46" width="6.7109375" customWidth="1"/>
    <col min="47" max="47" width="2.28515625" customWidth="1"/>
    <col min="48" max="48" width="6.7109375" customWidth="1"/>
    <col min="49" max="189" width="9.140625" customWidth="1"/>
  </cols>
  <sheetData>
    <row r="1" spans="1:50" ht="18.75" x14ac:dyDescent="0.25">
      <c r="A1" s="159"/>
      <c r="B1" s="159"/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"/>
      <c r="AL1" s="24"/>
      <c r="AO1" s="22"/>
      <c r="AP1" s="160" t="s">
        <v>14</v>
      </c>
      <c r="AQ1" s="161"/>
      <c r="AR1" s="20">
        <f>'Сводный годовой график'!AX1</f>
        <v>2025</v>
      </c>
      <c r="AS1" s="22"/>
      <c r="AT1" s="22"/>
      <c r="AU1" s="22"/>
      <c r="AV1" s="22"/>
      <c r="AW1" s="22"/>
      <c r="AX1" s="22"/>
    </row>
    <row r="2" spans="1:50" ht="18.75" x14ac:dyDescent="0.25">
      <c r="A2" s="7"/>
      <c r="B2" s="7"/>
      <c r="C2" s="14"/>
      <c r="D2" s="7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7"/>
      <c r="AK2" s="1"/>
      <c r="AO2" s="12"/>
      <c r="AP2" s="162" t="s">
        <v>15</v>
      </c>
      <c r="AQ2" s="163"/>
      <c r="AR2" s="23">
        <v>3</v>
      </c>
      <c r="AT2" s="12"/>
      <c r="AU2" s="12"/>
      <c r="AV2" s="12"/>
      <c r="AW2" s="12"/>
      <c r="AX2" s="12"/>
    </row>
    <row r="3" spans="1:50" ht="21" customHeight="1" x14ac:dyDescent="0.25">
      <c r="A3" s="164" t="str">
        <f>CONCATENATE("График работы персонала на ",LOWER(TEXT($E$8,"ММММ"))," ",TEXT($E$8,"ГГГГ")," года ","(",$AR$3,"/",$AJ$9, ")")</f>
        <v>График работы персонала на март 2025 года (21/167)</v>
      </c>
      <c r="B3" s="164"/>
      <c r="C3" s="164"/>
      <c r="D3" s="164"/>
      <c r="E3" s="164"/>
      <c r="F3" s="164"/>
      <c r="G3" s="164"/>
      <c r="H3" s="164"/>
      <c r="I3" s="164"/>
      <c r="J3" s="164"/>
      <c r="K3" s="164"/>
      <c r="L3" s="164"/>
      <c r="M3" s="164"/>
      <c r="N3" s="164"/>
      <c r="O3" s="164"/>
      <c r="P3" s="164"/>
      <c r="Q3" s="164"/>
      <c r="R3" s="164"/>
      <c r="S3" s="164"/>
      <c r="T3" s="164"/>
      <c r="U3" s="164"/>
      <c r="V3" s="164"/>
      <c r="W3" s="164"/>
      <c r="X3" s="164"/>
      <c r="Y3" s="164"/>
      <c r="Z3" s="164"/>
      <c r="AA3" s="164"/>
      <c r="AB3" s="164"/>
      <c r="AC3" s="164"/>
      <c r="AD3" s="164"/>
      <c r="AE3" s="164"/>
      <c r="AF3" s="164"/>
      <c r="AG3" s="164"/>
      <c r="AH3" s="164"/>
      <c r="AI3" s="164"/>
      <c r="AJ3" s="164"/>
      <c r="AK3" s="1"/>
      <c r="AL3" s="21"/>
      <c r="AP3" s="162" t="s">
        <v>16</v>
      </c>
      <c r="AQ3" s="163"/>
      <c r="AR3" s="23">
        <f>INDEX(Производственный_календарь[],MONTH($E$8),3)</f>
        <v>21</v>
      </c>
    </row>
    <row r="4" spans="1:50" ht="21" customHeight="1" x14ac:dyDescent="0.25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1"/>
      <c r="AL4" s="21"/>
      <c r="AP4" s="51" t="s">
        <v>20</v>
      </c>
      <c r="AQ4" s="52"/>
      <c r="AR4" s="53">
        <f>EOMONTH(DATE(AR1,AR2,1),0)-DATE(AR1,AR2,1)+1</f>
        <v>31</v>
      </c>
    </row>
    <row r="5" spans="1:50" ht="16.5" customHeight="1" thickBo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1"/>
      <c r="AL5" s="21"/>
      <c r="AP5" s="54" t="s">
        <v>21</v>
      </c>
      <c r="AQ5" s="55"/>
      <c r="AR5" s="56">
        <v>4</v>
      </c>
    </row>
    <row r="6" spans="1:50" ht="16.5" hidden="1" customHeight="1" x14ac:dyDescent="0.25">
      <c r="E6" s="48">
        <f>IF(COLUMN()-$AR$5&lt;=$AR$4,1,0)</f>
        <v>1</v>
      </c>
      <c r="F6" s="48">
        <f t="shared" ref="F6:AH6" si="0">IF(COLUMN()-$AR$5&lt;=$AR$4,1,0)</f>
        <v>1</v>
      </c>
      <c r="G6" s="48">
        <f t="shared" si="0"/>
        <v>1</v>
      </c>
      <c r="H6" s="48">
        <f t="shared" si="0"/>
        <v>1</v>
      </c>
      <c r="I6" s="48">
        <f t="shared" si="0"/>
        <v>1</v>
      </c>
      <c r="J6" s="48">
        <f t="shared" si="0"/>
        <v>1</v>
      </c>
      <c r="K6" s="48">
        <f t="shared" si="0"/>
        <v>1</v>
      </c>
      <c r="L6" s="48">
        <f t="shared" si="0"/>
        <v>1</v>
      </c>
      <c r="M6" s="48">
        <f t="shared" si="0"/>
        <v>1</v>
      </c>
      <c r="N6" s="48">
        <f t="shared" si="0"/>
        <v>1</v>
      </c>
      <c r="O6" s="48">
        <f t="shared" si="0"/>
        <v>1</v>
      </c>
      <c r="P6" s="48">
        <f t="shared" si="0"/>
        <v>1</v>
      </c>
      <c r="Q6" s="48">
        <f t="shared" si="0"/>
        <v>1</v>
      </c>
      <c r="R6" s="48">
        <f t="shared" si="0"/>
        <v>1</v>
      </c>
      <c r="S6" s="48">
        <f t="shared" si="0"/>
        <v>1</v>
      </c>
      <c r="T6" s="48">
        <f t="shared" si="0"/>
        <v>1</v>
      </c>
      <c r="U6" s="48">
        <f t="shared" si="0"/>
        <v>1</v>
      </c>
      <c r="V6" s="48">
        <f t="shared" si="0"/>
        <v>1</v>
      </c>
      <c r="W6" s="48">
        <f t="shared" si="0"/>
        <v>1</v>
      </c>
      <c r="X6" s="48">
        <f t="shared" si="0"/>
        <v>1</v>
      </c>
      <c r="Y6" s="48">
        <f t="shared" si="0"/>
        <v>1</v>
      </c>
      <c r="Z6" s="48">
        <f t="shared" si="0"/>
        <v>1</v>
      </c>
      <c r="AA6" s="48">
        <f t="shared" si="0"/>
        <v>1</v>
      </c>
      <c r="AB6" s="48">
        <f t="shared" si="0"/>
        <v>1</v>
      </c>
      <c r="AC6" s="48">
        <f t="shared" si="0"/>
        <v>1</v>
      </c>
      <c r="AD6" s="48">
        <f t="shared" si="0"/>
        <v>1</v>
      </c>
      <c r="AE6" s="48">
        <f t="shared" si="0"/>
        <v>1</v>
      </c>
      <c r="AF6" s="48">
        <f t="shared" si="0"/>
        <v>1</v>
      </c>
      <c r="AG6" s="48">
        <f t="shared" si="0"/>
        <v>1</v>
      </c>
      <c r="AH6" s="48">
        <f t="shared" si="0"/>
        <v>1</v>
      </c>
      <c r="AI6" s="48">
        <f>IF(COLUMN()-$AR$5&lt;=$AR$4,1,0)</f>
        <v>1</v>
      </c>
    </row>
    <row r="7" spans="1:50" ht="16.5" hidden="1" customHeight="1" thickBot="1" x14ac:dyDescent="0.3">
      <c r="E7" s="48">
        <v>1</v>
      </c>
      <c r="F7" s="48">
        <v>2</v>
      </c>
      <c r="G7" s="48">
        <v>3</v>
      </c>
      <c r="H7" s="48">
        <v>4</v>
      </c>
      <c r="I7" s="48">
        <v>5</v>
      </c>
      <c r="J7" s="48">
        <v>6</v>
      </c>
      <c r="K7" s="48">
        <v>7</v>
      </c>
      <c r="L7" s="48">
        <v>8</v>
      </c>
      <c r="M7" s="48">
        <v>9</v>
      </c>
      <c r="N7" s="48">
        <v>10</v>
      </c>
      <c r="O7" s="48">
        <v>11</v>
      </c>
      <c r="P7" s="48">
        <v>12</v>
      </c>
      <c r="Q7" s="48">
        <v>13</v>
      </c>
      <c r="R7" s="48">
        <v>14</v>
      </c>
      <c r="S7" s="48">
        <v>15</v>
      </c>
      <c r="T7" s="48">
        <v>16</v>
      </c>
      <c r="U7" s="48">
        <v>17</v>
      </c>
      <c r="V7" s="48">
        <v>18</v>
      </c>
      <c r="W7" s="48">
        <v>19</v>
      </c>
      <c r="X7" s="48">
        <v>20</v>
      </c>
      <c r="Y7" s="48">
        <v>21</v>
      </c>
      <c r="Z7" s="48">
        <v>22</v>
      </c>
      <c r="AA7" s="48">
        <v>23</v>
      </c>
      <c r="AB7" s="48">
        <v>24</v>
      </c>
      <c r="AC7" s="48">
        <v>25</v>
      </c>
      <c r="AD7" s="48">
        <v>26</v>
      </c>
      <c r="AE7" s="48">
        <v>27</v>
      </c>
      <c r="AF7" s="48">
        <v>28</v>
      </c>
      <c r="AG7" s="48">
        <v>29</v>
      </c>
      <c r="AH7" s="48">
        <v>30</v>
      </c>
      <c r="AI7" s="48">
        <v>31</v>
      </c>
    </row>
    <row r="8" spans="1:50" ht="47.45" customHeight="1" thickTop="1" thickBot="1" x14ac:dyDescent="0.3">
      <c r="A8" s="2" t="s">
        <v>0</v>
      </c>
      <c r="B8" s="3" t="s">
        <v>1</v>
      </c>
      <c r="C8" s="15" t="s">
        <v>2</v>
      </c>
      <c r="D8" s="3"/>
      <c r="E8" s="19">
        <f>DATE($AR$1,$AR$2,1)</f>
        <v>45717</v>
      </c>
      <c r="F8" s="19">
        <f>IF(E8,DATE($AR$1,$AR$2,DAY(E$8)+1),"")</f>
        <v>45718</v>
      </c>
      <c r="G8" s="19">
        <f t="shared" ref="G8:AI8" si="1">IF(F8,DATE($AR$1,$AR$2,DAY(F$8)+1),"")</f>
        <v>45719</v>
      </c>
      <c r="H8" s="19">
        <f t="shared" si="1"/>
        <v>45720</v>
      </c>
      <c r="I8" s="19">
        <f t="shared" si="1"/>
        <v>45721</v>
      </c>
      <c r="J8" s="19">
        <f t="shared" si="1"/>
        <v>45722</v>
      </c>
      <c r="K8" s="19">
        <f t="shared" si="1"/>
        <v>45723</v>
      </c>
      <c r="L8" s="19">
        <f t="shared" si="1"/>
        <v>45724</v>
      </c>
      <c r="M8" s="19">
        <f t="shared" si="1"/>
        <v>45725</v>
      </c>
      <c r="N8" s="19">
        <f t="shared" si="1"/>
        <v>45726</v>
      </c>
      <c r="O8" s="19">
        <f t="shared" si="1"/>
        <v>45727</v>
      </c>
      <c r="P8" s="19">
        <f t="shared" si="1"/>
        <v>45728</v>
      </c>
      <c r="Q8" s="19">
        <f t="shared" si="1"/>
        <v>45729</v>
      </c>
      <c r="R8" s="19">
        <f t="shared" si="1"/>
        <v>45730</v>
      </c>
      <c r="S8" s="19">
        <f t="shared" si="1"/>
        <v>45731</v>
      </c>
      <c r="T8" s="19">
        <f t="shared" si="1"/>
        <v>45732</v>
      </c>
      <c r="U8" s="19">
        <f t="shared" si="1"/>
        <v>45733</v>
      </c>
      <c r="V8" s="19">
        <f t="shared" si="1"/>
        <v>45734</v>
      </c>
      <c r="W8" s="19">
        <f t="shared" si="1"/>
        <v>45735</v>
      </c>
      <c r="X8" s="19">
        <f t="shared" si="1"/>
        <v>45736</v>
      </c>
      <c r="Y8" s="19">
        <f t="shared" si="1"/>
        <v>45737</v>
      </c>
      <c r="Z8" s="19">
        <f t="shared" si="1"/>
        <v>45738</v>
      </c>
      <c r="AA8" s="19">
        <f t="shared" si="1"/>
        <v>45739</v>
      </c>
      <c r="AB8" s="19">
        <f t="shared" si="1"/>
        <v>45740</v>
      </c>
      <c r="AC8" s="19">
        <f t="shared" si="1"/>
        <v>45741</v>
      </c>
      <c r="AD8" s="19">
        <f t="shared" si="1"/>
        <v>45742</v>
      </c>
      <c r="AE8" s="19">
        <f t="shared" si="1"/>
        <v>45743</v>
      </c>
      <c r="AF8" s="19">
        <f t="shared" si="1"/>
        <v>45744</v>
      </c>
      <c r="AG8" s="19">
        <f t="shared" si="1"/>
        <v>45745</v>
      </c>
      <c r="AH8" s="19">
        <f t="shared" si="1"/>
        <v>45746</v>
      </c>
      <c r="AI8" s="19">
        <f t="shared" si="1"/>
        <v>45747</v>
      </c>
      <c r="AJ8" s="2" t="s">
        <v>3</v>
      </c>
      <c r="AK8" s="4" t="s">
        <v>4</v>
      </c>
      <c r="AL8" s="31" t="s">
        <v>77</v>
      </c>
      <c r="AM8" s="31" t="s">
        <v>78</v>
      </c>
      <c r="AP8" s="4" t="s">
        <v>6</v>
      </c>
      <c r="AQ8" s="4" t="s">
        <v>5</v>
      </c>
      <c r="AR8" s="4" t="s">
        <v>7</v>
      </c>
      <c r="AS8" s="4" t="s">
        <v>8</v>
      </c>
      <c r="AT8" s="4" t="s">
        <v>13</v>
      </c>
      <c r="AU8" s="6" t="s">
        <v>9</v>
      </c>
      <c r="AV8" s="4" t="s">
        <v>11</v>
      </c>
      <c r="AW8" s="4" t="s">
        <v>18</v>
      </c>
      <c r="AX8" s="4" t="s">
        <v>19</v>
      </c>
    </row>
    <row r="9" spans="1:50" ht="17.25" customHeight="1" thickBot="1" x14ac:dyDescent="0.3">
      <c r="A9" s="146" t="s">
        <v>100</v>
      </c>
      <c r="B9" s="151" t="s">
        <v>80</v>
      </c>
      <c r="C9" s="170">
        <v>1</v>
      </c>
      <c r="D9" s="49">
        <v>1</v>
      </c>
      <c r="E9" s="62">
        <f ca="1">INDEX(Д1!$E$24:$AI$33,MATCH($D9,Д1!$D$24:$D$33),MATCH(E$7,Д1!$E$3:$AI$3))</f>
        <v>8</v>
      </c>
      <c r="F9" s="28">
        <f ca="1">INDEX(Д1!$E$24:$AI$33,MATCH($D9,Д1!$D$24:$D$33),MATCH(F$7,Д1!$E$3:$AI$3))</f>
        <v>12</v>
      </c>
      <c r="G9" s="28">
        <f ca="1">INDEX(Д1!$E$24:$AI$33,MATCH($D9,Д1!$D$24:$D$33),MATCH(G$7,Д1!$E$3:$AI$3))</f>
        <v>8</v>
      </c>
      <c r="H9" s="28">
        <f ca="1">INDEX(Д1!$E$24:$AI$33,MATCH($D9,Д1!$D$24:$D$33),MATCH(H$7,Д1!$E$3:$AI$3))</f>
        <v>8</v>
      </c>
      <c r="I9" s="28">
        <f ca="1">INDEX(Д1!$E$24:$AI$33,MATCH($D9,Д1!$D$24:$D$33),MATCH(I$7,Д1!$E$3:$AI$3))</f>
        <v>12</v>
      </c>
      <c r="J9" s="28">
        <f ca="1">INDEX(Д1!$E$24:$AI$33,MATCH($D9,Д1!$D$24:$D$33),MATCH(J$7,Д1!$E$3:$AI$3))</f>
        <v>0</v>
      </c>
      <c r="K9" s="28">
        <f ca="1">INDEX(Д1!$E$24:$AI$33,MATCH($D9,Д1!$D$24:$D$33),MATCH(K$7,Д1!$E$3:$AI$3))</f>
        <v>0</v>
      </c>
      <c r="L9" s="28">
        <f ca="1">INDEX(Д1!$E$24:$AI$33,MATCH($D9,Д1!$D$24:$D$33),MATCH(L$7,Д1!$E$3:$AI$3))</f>
        <v>4</v>
      </c>
      <c r="M9" s="28">
        <f ca="1">INDEX(Д1!$E$24:$AI$33,MATCH($D9,Д1!$D$24:$D$33),MATCH(M$7,Д1!$E$3:$AI$3))</f>
        <v>8</v>
      </c>
      <c r="N9" s="28">
        <f ca="1">INDEX(Д1!$E$24:$AI$33,MATCH($D9,Д1!$D$24:$D$33),MATCH(N$7,Д1!$E$3:$AI$3))</f>
        <v>12</v>
      </c>
      <c r="O9" s="28">
        <f ca="1">INDEX(Д1!$E$24:$AI$33,MATCH($D9,Д1!$D$24:$D$33),MATCH(O$7,Д1!$E$3:$AI$3))</f>
        <v>4</v>
      </c>
      <c r="P9" s="28">
        <f ca="1">INDEX(Д1!$E$24:$AI$33,MATCH($D9,Д1!$D$24:$D$33),MATCH(P$7,Д1!$E$3:$AI$3))</f>
        <v>8</v>
      </c>
      <c r="Q9" s="28">
        <f ca="1">INDEX(Д1!$E$24:$AI$33,MATCH($D9,Д1!$D$24:$D$33),MATCH(Q$7,Д1!$E$3:$AI$3))</f>
        <v>12</v>
      </c>
      <c r="R9" s="28">
        <f ca="1">INDEX(Д1!$E$24:$AI$33,MATCH($D9,Д1!$D$24:$D$33),MATCH(R$7,Д1!$E$3:$AI$3))</f>
        <v>0</v>
      </c>
      <c r="S9" s="28">
        <f ca="1">INDEX(Д1!$E$24:$AI$33,MATCH($D9,Д1!$D$24:$D$33),MATCH(S$7,Д1!$E$3:$AI$3))</f>
        <v>0</v>
      </c>
      <c r="T9" s="28">
        <f ca="1">INDEX(Д1!$E$24:$AI$33,MATCH($D9,Д1!$D$24:$D$33),MATCH(T$7,Д1!$E$3:$AI$3))</f>
        <v>4</v>
      </c>
      <c r="U9" s="28">
        <f ca="1">INDEX(Д1!$E$24:$AI$33,MATCH($D9,Д1!$D$24:$D$33),MATCH(U$7,Д1!$E$3:$AI$3))</f>
        <v>8</v>
      </c>
      <c r="V9" s="28">
        <f ca="1">INDEX(Д1!$E$24:$AI$33,MATCH($D9,Д1!$D$24:$D$33),MATCH(V$7,Д1!$E$3:$AI$3))</f>
        <v>12</v>
      </c>
      <c r="W9" s="28">
        <f ca="1">INDEX(Д1!$E$24:$AI$33,MATCH($D9,Д1!$D$24:$D$33),MATCH(W$7,Д1!$E$3:$AI$3))</f>
        <v>4</v>
      </c>
      <c r="X9" s="28">
        <f ca="1">INDEX(Д1!$E$24:$AI$33,MATCH($D9,Д1!$D$24:$D$33),MATCH(X$7,Д1!$E$3:$AI$3))</f>
        <v>8</v>
      </c>
      <c r="Y9" s="28">
        <f ca="1">INDEX(Д1!$E$24:$AI$33,MATCH($D9,Д1!$D$24:$D$33),MATCH(Y$7,Д1!$E$3:$AI$3))</f>
        <v>12</v>
      </c>
      <c r="Z9" s="28">
        <f ca="1">INDEX(Д1!$E$24:$AI$33,MATCH($D9,Д1!$D$24:$D$33),MATCH(Z$7,Д1!$E$3:$AI$3))</f>
        <v>0</v>
      </c>
      <c r="AA9" s="28">
        <f ca="1">INDEX(Д1!$E$24:$AI$33,MATCH($D9,Д1!$D$24:$D$33),MATCH(AA$7,Д1!$E$3:$AI$3))</f>
        <v>0</v>
      </c>
      <c r="AB9" s="28">
        <f ca="1">INDEX(Д1!$E$24:$AI$33,MATCH($D9,Д1!$D$24:$D$33),MATCH(AB$7,Д1!$E$3:$AI$3))</f>
        <v>4</v>
      </c>
      <c r="AC9" s="28">
        <f ca="1">INDEX(Д1!$E$24:$AI$33,MATCH($D9,Д1!$D$24:$D$33),MATCH(AC$7,Д1!$E$3:$AI$3))</f>
        <v>8</v>
      </c>
      <c r="AD9" s="28">
        <f ca="1">INDEX(Д1!$E$24:$AI$33,MATCH($D9,Д1!$D$24:$D$33),MATCH(AD$7,Д1!$E$3:$AI$3))</f>
        <v>12</v>
      </c>
      <c r="AE9" s="28">
        <f ca="1">INDEX(Д1!$E$24:$AI$33,MATCH($D9,Д1!$D$24:$D$33),MATCH(AE$7,Д1!$E$3:$AI$3))</f>
        <v>4</v>
      </c>
      <c r="AF9" s="28">
        <f ca="1">INDEX(Д1!$E$24:$AI$33,MATCH($D9,Д1!$D$24:$D$33),MATCH(AF$7,Д1!$E$3:$AI$3))</f>
        <v>8</v>
      </c>
      <c r="AG9" s="28">
        <f ca="1">INDEX(Д1!$E$24:$AI$33,MATCH($D9,Д1!$D$24:$D$33),MATCH(AG$7,Д1!$E$3:$AI$3))</f>
        <v>12</v>
      </c>
      <c r="AH9" s="28">
        <f ca="1">INDEX(Д1!$E$24:$AI$33,MATCH($D9,Д1!$D$24:$D$33),MATCH(AH$7,Д1!$E$3:$AI$3))</f>
        <v>0</v>
      </c>
      <c r="AI9" s="62">
        <f ca="1">INDEX(Д1!$E$24:$AI$33,MATCH($D9,Д1!$D$24:$D$33),MATCH(AI$7,Д1!$E$3:$AI$3))</f>
        <v>0</v>
      </c>
      <c r="AJ9" s="143">
        <f>INDEX(Д1!AK$24:$AK$33,MATCH($C9,Д1!$C$24:$C$33),MATCH(E$7,Д1!$E$3:$AI$3))*AND(MONTH($E$8)=MONTH(Д1!$B$24))</f>
        <v>167</v>
      </c>
      <c r="AK9" s="144">
        <f ca="1">SUM(E9:AI10)</f>
        <v>192</v>
      </c>
      <c r="AL9" s="144"/>
      <c r="AM9" s="149">
        <f ca="1">SUM(F9:H10,J9:AI10)-AJ9+AL9-12</f>
        <v>-7</v>
      </c>
      <c r="AP9" s="136">
        <f ca="1">COUNTIF($E9:$AI10,"12")</f>
        <v>8</v>
      </c>
      <c r="AQ9" s="136">
        <f ca="1">IF(COUNTIF($E9:$AI10,"СП")&gt;=1,(COUNTIF($E9:$AI10,"4")+COUNTIF($E9:$AI10,"8")-1)/2,(COUNTIF($E9:$AI10,"4")+COUNTIF($E9:$AI10,"8"))/2)</f>
        <v>7</v>
      </c>
      <c r="AR9" s="136">
        <f t="shared" ref="AR9:AR47" ca="1" si="2">SUMIF($E9:$AI10,"12",$E9:$AI10)</f>
        <v>96</v>
      </c>
      <c r="AS9" s="136">
        <f ca="1">IF(COUNTIF($E9:$AI10,"СП")&gt;=1,SUMIF($E9:$AI10,"4",$E9:$AI10)+SUMIF($E9:$AI10,"8",$E9:$AI10)-8,SUMIF($E9:$AI10,"4",$E9:$AI10)+SUMIF($E9:$AI10,"8",$E9:$AI10))</f>
        <v>88</v>
      </c>
      <c r="AT9" s="136">
        <f ca="1">$AR9+$AS9</f>
        <v>184</v>
      </c>
      <c r="AU9" s="136" t="str">
        <f ca="1">IF(AK9=AT9,"+","!")</f>
        <v>!</v>
      </c>
      <c r="AV9" s="136">
        <f ca="1">COUNTIF($E9:$AI10,"ОТ")</f>
        <v>0</v>
      </c>
      <c r="AW9" s="137" t="str">
        <f ca="1">IF(COUNTIF($A10:$AI10,"СП")&gt;0,IF(INDIRECT(ADDRESS(ROW(),MATCH("СП",$A10:$AI10),1))=8,"","!"),"")</f>
        <v>!</v>
      </c>
      <c r="AX9" s="137" t="str">
        <f ca="1">IF(COUNTIF($A10:$AI10,"СП")&gt;0,IF(INDIRECT(ADDRESS(ROW(),MATCH("СП",$A10:$AI10)-1,1))=4,"!",""),"")</f>
        <v/>
      </c>
    </row>
    <row r="10" spans="1:50" ht="16.5" thickBot="1" x14ac:dyDescent="0.3">
      <c r="A10" s="147"/>
      <c r="B10" s="139"/>
      <c r="C10" s="171"/>
      <c r="D10" s="50">
        <v>2</v>
      </c>
      <c r="E10" s="63" t="str">
        <f>INDEX(Д1!$E$24:$AI$33,MATCH($D10,Д1!$D$24:$D$33),MATCH(E$7,Д1!$E$3:$AI$3))</f>
        <v/>
      </c>
      <c r="F10" s="29" t="str">
        <f>INDEX(Д1!$E$24:$AI$33,MATCH($D10,Д1!$D$24:$D$33),MATCH(F$7,Д1!$E$3:$AI$3))</f>
        <v/>
      </c>
      <c r="G10" s="29" t="str">
        <f>INDEX(Д1!$E$24:$AI$33,MATCH($D10,Д1!$D$24:$D$33),MATCH(G$7,Д1!$E$3:$AI$3))</f>
        <v>СП</v>
      </c>
      <c r="H10" s="29" t="str">
        <f>INDEX(Д1!$E$24:$AI$33,MATCH($D10,Д1!$D$24:$D$33),MATCH(H$7,Д1!$E$3:$AI$3))</f>
        <v/>
      </c>
      <c r="I10" s="29" t="str">
        <f>INDEX(Д1!$E$24:$AI$33,MATCH($D10,Д1!$D$24:$D$33),MATCH(I$7,Д1!$E$3:$AI$3))</f>
        <v/>
      </c>
      <c r="J10" s="29" t="str">
        <f>INDEX(Д1!$E$24:$AI$33,MATCH($D10,Д1!$D$24:$D$33),MATCH(J$7,Д1!$E$3:$AI$3))</f>
        <v/>
      </c>
      <c r="K10" s="29" t="str">
        <f>INDEX(Д1!$E$24:$AI$33,MATCH($D10,Д1!$D$24:$D$33),MATCH(K$7,Д1!$E$3:$AI$3))</f>
        <v/>
      </c>
      <c r="L10" s="29" t="str">
        <f>INDEX(Д1!$E$24:$AI$33,MATCH($D10,Д1!$D$24:$D$33),MATCH(L$7,Д1!$E$3:$AI$3))</f>
        <v/>
      </c>
      <c r="M10" s="29" t="str">
        <f>INDEX(Д1!$E$24:$AI$33,MATCH($D10,Д1!$D$24:$D$33),MATCH(M$7,Д1!$E$3:$AI$3))</f>
        <v/>
      </c>
      <c r="N10" s="29" t="str">
        <f>INDEX(Д1!$E$24:$AI$33,MATCH($D10,Д1!$D$24:$D$33),MATCH(N$7,Д1!$E$3:$AI$3))</f>
        <v/>
      </c>
      <c r="O10" s="29" t="str">
        <f>INDEX(Д1!$E$24:$AI$33,MATCH($D10,Д1!$D$24:$D$33),MATCH(O$7,Д1!$E$3:$AI$3))</f>
        <v/>
      </c>
      <c r="P10" s="29" t="str">
        <f>INDEX(Д1!$E$24:$AI$33,MATCH($D10,Д1!$D$24:$D$33),MATCH(P$7,Д1!$E$3:$AI$3))</f>
        <v/>
      </c>
      <c r="Q10" s="29" t="str">
        <f>INDEX(Д1!$E$24:$AI$33,MATCH($D10,Д1!$D$24:$D$33),MATCH(Q$7,Д1!$E$3:$AI$3))</f>
        <v/>
      </c>
      <c r="R10" s="29" t="str">
        <f>INDEX(Д1!$E$24:$AI$33,MATCH($D10,Д1!$D$24:$D$33),MATCH(R$7,Д1!$E$3:$AI$3))</f>
        <v/>
      </c>
      <c r="S10" s="29" t="str">
        <f>INDEX(Д1!$E$24:$AI$33,MATCH($D10,Д1!$D$24:$D$33),MATCH(S$7,Д1!$E$3:$AI$3))</f>
        <v/>
      </c>
      <c r="T10" s="29" t="str">
        <f>INDEX(Д1!$E$24:$AI$33,MATCH($D10,Д1!$D$24:$D$33),MATCH(T$7,Д1!$E$3:$AI$3))</f>
        <v/>
      </c>
      <c r="U10" s="29" t="str">
        <f>INDEX(Д1!$E$24:$AI$33,MATCH($D10,Д1!$D$24:$D$33),MATCH(U$7,Д1!$E$3:$AI$3))</f>
        <v/>
      </c>
      <c r="V10" s="29" t="str">
        <f>INDEX(Д1!$E$24:$AI$33,MATCH($D10,Д1!$D$24:$D$33),MATCH(V$7,Д1!$E$3:$AI$3))</f>
        <v/>
      </c>
      <c r="W10" s="29" t="str">
        <f>INDEX(Д1!$E$24:$AI$33,MATCH($D10,Д1!$D$24:$D$33),MATCH(W$7,Д1!$E$3:$AI$3))</f>
        <v/>
      </c>
      <c r="X10" s="29" t="str">
        <f>INDEX(Д1!$E$24:$AI$33,MATCH($D10,Д1!$D$24:$D$33),MATCH(X$7,Д1!$E$3:$AI$3))</f>
        <v/>
      </c>
      <c r="Y10" s="29" t="str">
        <f>INDEX(Д1!$E$24:$AI$33,MATCH($D10,Д1!$D$24:$D$33),MATCH(Y$7,Д1!$E$3:$AI$3))</f>
        <v/>
      </c>
      <c r="Z10" s="29" t="str">
        <f>INDEX(Д1!$E$24:$AI$33,MATCH($D10,Д1!$D$24:$D$33),MATCH(Z$7,Д1!$E$3:$AI$3))</f>
        <v/>
      </c>
      <c r="AA10" s="29" t="str">
        <f>INDEX(Д1!$E$24:$AI$33,MATCH($D10,Д1!$D$24:$D$33),MATCH(AA$7,Д1!$E$3:$AI$3))</f>
        <v/>
      </c>
      <c r="AB10" s="29" t="str">
        <f>INDEX(Д1!$E$24:$AI$33,MATCH($D10,Д1!$D$24:$D$33),MATCH(AB$7,Д1!$E$3:$AI$3))</f>
        <v/>
      </c>
      <c r="AC10" s="29" t="str">
        <f>INDEX(Д1!$E$24:$AI$33,MATCH($D10,Д1!$D$24:$D$33),MATCH(AC$7,Д1!$E$3:$AI$3))</f>
        <v/>
      </c>
      <c r="AD10" s="29" t="str">
        <f>INDEX(Д1!$E$24:$AI$33,MATCH($D10,Д1!$D$24:$D$33),MATCH(AD$7,Д1!$E$3:$AI$3))</f>
        <v/>
      </c>
      <c r="AE10" s="29" t="str">
        <f>INDEX(Д1!$E$24:$AI$33,MATCH($D10,Д1!$D$24:$D$33),MATCH(AE$7,Д1!$E$3:$AI$3))</f>
        <v/>
      </c>
      <c r="AF10" s="29" t="str">
        <f>INDEX(Д1!$E$24:$AI$33,MATCH($D10,Д1!$D$24:$D$33),MATCH(AF$7,Д1!$E$3:$AI$3))</f>
        <v/>
      </c>
      <c r="AG10" s="29" t="str">
        <f>INDEX(Д1!$E$24:$AI$33,MATCH($D10,Д1!$D$24:$D$33),MATCH(AG$7,Д1!$E$3:$AI$3))</f>
        <v/>
      </c>
      <c r="AH10" s="29" t="str">
        <f>INDEX(Д1!$E$24:$AI$33,MATCH($D10,Д1!$D$24:$D$33),MATCH(AH$7,Д1!$E$3:$AI$3))</f>
        <v/>
      </c>
      <c r="AI10" s="63" t="str">
        <f>INDEX(Д1!$E$24:$AI$33,MATCH($D10,Д1!$D$24:$D$33),MATCH(AI$7,Д1!$E$3:$AI$3))</f>
        <v/>
      </c>
      <c r="AJ10" s="143"/>
      <c r="AK10" s="145"/>
      <c r="AL10" s="145"/>
      <c r="AM10" s="150"/>
      <c r="AP10" s="136"/>
      <c r="AQ10" s="136"/>
      <c r="AR10" s="136"/>
      <c r="AS10" s="136"/>
      <c r="AT10" s="136"/>
      <c r="AU10" s="136"/>
      <c r="AV10" s="136"/>
      <c r="AW10" s="137"/>
      <c r="AX10" s="137"/>
    </row>
    <row r="11" spans="1:50" ht="16.5" customHeight="1" thickBot="1" x14ac:dyDescent="0.3">
      <c r="A11" s="147"/>
      <c r="B11" s="139" t="s">
        <v>81</v>
      </c>
      <c r="C11" s="170">
        <v>2</v>
      </c>
      <c r="D11" s="49">
        <v>3</v>
      </c>
      <c r="E11" s="64">
        <f ca="1">INDEX(Д1!$E$24:$AI$33,MATCH($D11,Д1!$D$24:$D$33),MATCH(E$7,Д1!$E$3:$AI$3))</f>
        <v>4</v>
      </c>
      <c r="F11" s="27">
        <f ca="1">INDEX(Д1!$E$24:$AI$33,MATCH($D11,Д1!$D$24:$D$33),MATCH(F$7,Д1!$E$3:$AI$3))</f>
        <v>8</v>
      </c>
      <c r="G11" s="27">
        <f ca="1">INDEX(Д1!$E$24:$AI$33,MATCH($D11,Д1!$D$24:$D$33),MATCH(G$7,Д1!$E$3:$AI$3))</f>
        <v>12</v>
      </c>
      <c r="H11" s="27">
        <f ca="1">INDEX(Д1!$E$24:$AI$33,MATCH($D11,Д1!$D$24:$D$33),MATCH(H$7,Д1!$E$3:$AI$3))</f>
        <v>8</v>
      </c>
      <c r="I11" s="27">
        <f ca="1">INDEX(Д1!$E$24:$AI$33,MATCH($D11,Д1!$D$24:$D$33),MATCH(I$7,Д1!$E$3:$AI$3))</f>
        <v>0</v>
      </c>
      <c r="J11" s="27">
        <f ca="1">INDEX(Д1!$E$24:$AI$33,MATCH($D11,Д1!$D$24:$D$33),MATCH(J$7,Д1!$E$3:$AI$3))</f>
        <v>4</v>
      </c>
      <c r="K11" s="27">
        <f ca="1">INDEX(Д1!$E$24:$AI$33,MATCH($D11,Д1!$D$24:$D$33),MATCH(K$7,Д1!$E$3:$AI$3))</f>
        <v>8</v>
      </c>
      <c r="L11" s="27">
        <f ca="1">INDEX(Д1!$E$24:$AI$33,MATCH($D11,Д1!$D$24:$D$33),MATCH(L$7,Д1!$E$3:$AI$3))</f>
        <v>12</v>
      </c>
      <c r="M11" s="27">
        <f ca="1">INDEX(Д1!$E$24:$AI$33,MATCH($D11,Д1!$D$24:$D$33),MATCH(M$7,Д1!$E$3:$AI$3))</f>
        <v>4</v>
      </c>
      <c r="N11" s="27">
        <f ca="1">INDEX(Д1!$E$24:$AI$33,MATCH($D11,Д1!$D$24:$D$33),MATCH(N$7,Д1!$E$3:$AI$3))</f>
        <v>8</v>
      </c>
      <c r="O11" s="27">
        <f ca="1">INDEX(Д1!$E$24:$AI$33,MATCH($D11,Д1!$D$24:$D$33),MATCH(O$7,Д1!$E$3:$AI$3))</f>
        <v>12</v>
      </c>
      <c r="P11" s="27">
        <f ca="1">INDEX(Д1!$E$24:$AI$33,MATCH($D11,Д1!$D$24:$D$33),MATCH(P$7,Д1!$E$3:$AI$3))</f>
        <v>0</v>
      </c>
      <c r="Q11" s="27">
        <f ca="1">INDEX(Д1!$E$24:$AI$33,MATCH($D11,Д1!$D$24:$D$33),MATCH(Q$7,Д1!$E$3:$AI$3))</f>
        <v>0</v>
      </c>
      <c r="R11" s="27">
        <f ca="1">INDEX(Д1!$E$24:$AI$33,MATCH($D11,Д1!$D$24:$D$33),MATCH(R$7,Д1!$E$3:$AI$3))</f>
        <v>4</v>
      </c>
      <c r="S11" s="27">
        <f ca="1">INDEX(Д1!$E$24:$AI$33,MATCH($D11,Д1!$D$24:$D$33),MATCH(S$7,Д1!$E$3:$AI$3))</f>
        <v>8</v>
      </c>
      <c r="T11" s="27">
        <f ca="1">INDEX(Д1!$E$24:$AI$33,MATCH($D11,Д1!$D$24:$D$33),MATCH(T$7,Д1!$E$3:$AI$3))</f>
        <v>12</v>
      </c>
      <c r="U11" s="27">
        <f ca="1">INDEX(Д1!$E$24:$AI$33,MATCH($D11,Д1!$D$24:$D$33),MATCH(U$7,Д1!$E$3:$AI$3))</f>
        <v>4</v>
      </c>
      <c r="V11" s="27">
        <f ca="1">INDEX(Д1!$E$24:$AI$33,MATCH($D11,Д1!$D$24:$D$33),MATCH(V$7,Д1!$E$3:$AI$3))</f>
        <v>8</v>
      </c>
      <c r="W11" s="27">
        <f ca="1">INDEX(Д1!$E$24:$AI$33,MATCH($D11,Д1!$D$24:$D$33),MATCH(W$7,Д1!$E$3:$AI$3))</f>
        <v>12</v>
      </c>
      <c r="X11" s="27">
        <f ca="1">INDEX(Д1!$E$24:$AI$33,MATCH($D11,Д1!$D$24:$D$33),MATCH(X$7,Д1!$E$3:$AI$3))</f>
        <v>0</v>
      </c>
      <c r="Y11" s="27">
        <f ca="1">INDEX(Д1!$E$24:$AI$33,MATCH($D11,Д1!$D$24:$D$33),MATCH(Y$7,Д1!$E$3:$AI$3))</f>
        <v>0</v>
      </c>
      <c r="Z11" s="27">
        <f ca="1">INDEX(Д1!$E$24:$AI$33,MATCH($D11,Д1!$D$24:$D$33),MATCH(Z$7,Д1!$E$3:$AI$3))</f>
        <v>4</v>
      </c>
      <c r="AA11" s="27">
        <f ca="1">INDEX(Д1!$E$24:$AI$33,MATCH($D11,Д1!$D$24:$D$33),MATCH(AA$7,Д1!$E$3:$AI$3))</f>
        <v>8</v>
      </c>
      <c r="AB11" s="27">
        <f ca="1">INDEX(Д1!$E$24:$AI$33,MATCH($D11,Д1!$D$24:$D$33),MATCH(AB$7,Д1!$E$3:$AI$3))</f>
        <v>12</v>
      </c>
      <c r="AC11" s="27">
        <f ca="1">INDEX(Д1!$E$24:$AI$33,MATCH($D11,Д1!$D$24:$D$33),MATCH(AC$7,Д1!$E$3:$AI$3))</f>
        <v>4</v>
      </c>
      <c r="AD11" s="27">
        <f ca="1">INDEX(Д1!$E$24:$AI$33,MATCH($D11,Д1!$D$24:$D$33),MATCH(AD$7,Д1!$E$3:$AI$3))</f>
        <v>8</v>
      </c>
      <c r="AE11" s="27">
        <f ca="1">INDEX(Д1!$E$24:$AI$33,MATCH($D11,Д1!$D$24:$D$33),MATCH(AE$7,Д1!$E$3:$AI$3))</f>
        <v>12</v>
      </c>
      <c r="AF11" s="27">
        <f ca="1">INDEX(Д1!$E$24:$AI$33,MATCH($D11,Д1!$D$24:$D$33),MATCH(AF$7,Д1!$E$3:$AI$3))</f>
        <v>0</v>
      </c>
      <c r="AG11" s="27">
        <f ca="1">INDEX(Д1!$E$24:$AI$33,MATCH($D11,Д1!$D$24:$D$33),MATCH(AG$7,Д1!$E$3:$AI$3))</f>
        <v>0</v>
      </c>
      <c r="AH11" s="27">
        <f ca="1">INDEX(Д1!$E$24:$AI$33,MATCH($D11,Д1!$D$24:$D$33),MATCH(AH$7,Д1!$E$3:$AI$3))</f>
        <v>4</v>
      </c>
      <c r="AI11" s="64">
        <f ca="1">INDEX(Д1!$E$24:$AI$33,MATCH($D11,Д1!$D$24:$D$33),MATCH(AI$7,Д1!$E$3:$AI$3))</f>
        <v>8</v>
      </c>
      <c r="AJ11" s="143">
        <f>INDEX(Д1!AK$24:$AK$33,MATCH($C11,Д1!$C$24:$C$33),MATCH(E$7,Д1!$E$3:$AI$3))*AND(MONTH($E$8)=MONTH(Д1!$B$24))</f>
        <v>167</v>
      </c>
      <c r="AK11" s="144">
        <f ca="1">SUM(K11:AI12)</f>
        <v>152</v>
      </c>
      <c r="AL11" s="155"/>
      <c r="AM11" s="149">
        <f ca="1">SUM(F11:H12,J11:AI12)-AJ11+AL11-12</f>
        <v>5</v>
      </c>
      <c r="AP11" s="136">
        <f t="shared" ref="AP11" ca="1" si="3">COUNTIF($E11:$AI12,"12")</f>
        <v>7</v>
      </c>
      <c r="AQ11" s="136">
        <f t="shared" ref="AQ11" ca="1" si="4">IF(COUNTIF($E11:$AI12,"СП")&gt;=1,(COUNTIF($E11:$AI12,"4")+COUNTIF($E11:$AI12,"8")-1)/2,(COUNTIF($E11:$AI12,"4")+COUNTIF($E11:$AI12,"8"))/2)</f>
        <v>8</v>
      </c>
      <c r="AR11" s="136">
        <f t="shared" ca="1" si="2"/>
        <v>84</v>
      </c>
      <c r="AS11" s="136">
        <f t="shared" ref="AS11" ca="1" si="5">IF(COUNTIF($E11:$AI12,"СП")&gt;=1,SUMIF($E11:$AI12,"4",$E11:$AI12)+SUMIF($E11:$AI12,"8",$E11:$AI12)-8,SUMIF($E11:$AI12,"4",$E11:$AI12)+SUMIF($E11:$AI12,"8",$E11:$AI12))</f>
        <v>96</v>
      </c>
      <c r="AT11" s="136">
        <f t="shared" ref="AT11" ca="1" si="6">$AR11+$AS11</f>
        <v>180</v>
      </c>
      <c r="AU11" s="136" t="str">
        <f t="shared" ref="AU11" ca="1" si="7">IF(AK11=AT11,"+","!")</f>
        <v>!</v>
      </c>
      <c r="AV11" s="136">
        <f t="shared" ref="AV11" ca="1" si="8">COUNTIF($E11:$AI12,"ОТ")</f>
        <v>0</v>
      </c>
      <c r="AW11" s="137" t="str">
        <f ca="1">IF(COUNTIF($A12:$AI12,"СП")&gt;0,IF(INDIRECT(ADDRESS(ROW(),MATCH("СП",$A12:$AI12),1))=8,"","!"),"")</f>
        <v/>
      </c>
      <c r="AX11" s="137" t="str">
        <f ca="1">IF(COUNTIF($A12:$AI12,"СП")&gt;0,IF(INDIRECT(ADDRESS(ROW(),MATCH("СП",$A12:$AI12)-1,1))=4,"!",""),"")</f>
        <v>!</v>
      </c>
    </row>
    <row r="12" spans="1:50" ht="16.5" thickBot="1" x14ac:dyDescent="0.3">
      <c r="A12" s="147"/>
      <c r="B12" s="139"/>
      <c r="C12" s="171"/>
      <c r="D12" s="50">
        <v>4</v>
      </c>
      <c r="E12" s="65" t="str">
        <f>INDEX(Д1!$E$24:$AI$33,MATCH($D12,Д1!$D$24:$D$33),MATCH(E$7,Д1!$E$3:$AI$3))</f>
        <v/>
      </c>
      <c r="F12" s="30" t="str">
        <f>INDEX(Д1!$E$24:$AI$33,MATCH($D12,Д1!$D$24:$D$33),MATCH(F$7,Д1!$E$3:$AI$3))</f>
        <v/>
      </c>
      <c r="G12" s="30" t="str">
        <f>INDEX(Д1!$E$24:$AI$33,MATCH($D12,Д1!$D$24:$D$33),MATCH(G$7,Д1!$E$3:$AI$3))</f>
        <v/>
      </c>
      <c r="H12" s="30" t="str">
        <f>INDEX(Д1!$E$24:$AI$33,MATCH($D12,Д1!$D$24:$D$33),MATCH(H$7,Д1!$E$3:$AI$3))</f>
        <v>СП</v>
      </c>
      <c r="I12" s="30" t="str">
        <f>INDEX(Д1!$E$24:$AI$33,MATCH($D12,Д1!$D$24:$D$33),MATCH(I$7,Д1!$E$3:$AI$3))</f>
        <v/>
      </c>
      <c r="J12" s="30" t="str">
        <f>INDEX(Д1!$E$24:$AI$33,MATCH($D12,Д1!$D$24:$D$33),MATCH(J$7,Д1!$E$3:$AI$3))</f>
        <v/>
      </c>
      <c r="K12" s="30" t="str">
        <f>INDEX(Д1!$E$24:$AI$33,MATCH($D12,Д1!$D$24:$D$33),MATCH(K$7,Д1!$E$3:$AI$3))</f>
        <v/>
      </c>
      <c r="L12" s="30" t="str">
        <f>INDEX(Д1!$E$24:$AI$33,MATCH($D12,Д1!$D$24:$D$33),MATCH(L$7,Д1!$E$3:$AI$3))</f>
        <v/>
      </c>
      <c r="M12" s="30" t="str">
        <f>INDEX(Д1!$E$24:$AI$33,MATCH($D12,Д1!$D$24:$D$33),MATCH(M$7,Д1!$E$3:$AI$3))</f>
        <v/>
      </c>
      <c r="N12" s="30" t="str">
        <f>INDEX(Д1!$E$24:$AI$33,MATCH($D12,Д1!$D$24:$D$33),MATCH(N$7,Д1!$E$3:$AI$3))</f>
        <v/>
      </c>
      <c r="O12" s="30" t="str">
        <f>INDEX(Д1!$E$24:$AI$33,MATCH($D12,Д1!$D$24:$D$33),MATCH(O$7,Д1!$E$3:$AI$3))</f>
        <v/>
      </c>
      <c r="P12" s="30" t="str">
        <f>INDEX(Д1!$E$24:$AI$33,MATCH($D12,Д1!$D$24:$D$33),MATCH(P$7,Д1!$E$3:$AI$3))</f>
        <v/>
      </c>
      <c r="Q12" s="30" t="str">
        <f>INDEX(Д1!$E$24:$AI$33,MATCH($D12,Д1!$D$24:$D$33),MATCH(Q$7,Д1!$E$3:$AI$3))</f>
        <v/>
      </c>
      <c r="R12" s="30" t="str">
        <f>INDEX(Д1!$E$24:$AI$33,MATCH($D12,Д1!$D$24:$D$33),MATCH(R$7,Д1!$E$3:$AI$3))</f>
        <v/>
      </c>
      <c r="S12" s="30" t="str">
        <f>INDEX(Д1!$E$24:$AI$33,MATCH($D12,Д1!$D$24:$D$33),MATCH(S$7,Д1!$E$3:$AI$3))</f>
        <v/>
      </c>
      <c r="T12" s="30" t="str">
        <f>INDEX(Д1!$E$24:$AI$33,MATCH($D12,Д1!$D$24:$D$33),MATCH(T$7,Д1!$E$3:$AI$3))</f>
        <v/>
      </c>
      <c r="U12" s="30" t="str">
        <f>INDEX(Д1!$E$24:$AI$33,MATCH($D12,Д1!$D$24:$D$33),MATCH(U$7,Д1!$E$3:$AI$3))</f>
        <v/>
      </c>
      <c r="V12" s="30" t="str">
        <f>INDEX(Д1!$E$24:$AI$33,MATCH($D12,Д1!$D$24:$D$33),MATCH(V$7,Д1!$E$3:$AI$3))</f>
        <v/>
      </c>
      <c r="W12" s="30" t="str">
        <f>INDEX(Д1!$E$24:$AI$33,MATCH($D12,Д1!$D$24:$D$33),MATCH(W$7,Д1!$E$3:$AI$3))</f>
        <v/>
      </c>
      <c r="X12" s="30" t="str">
        <f>INDEX(Д1!$E$24:$AI$33,MATCH($D12,Д1!$D$24:$D$33),MATCH(X$7,Д1!$E$3:$AI$3))</f>
        <v/>
      </c>
      <c r="Y12" s="30" t="str">
        <f>INDEX(Д1!$E$24:$AI$33,MATCH($D12,Д1!$D$24:$D$33),MATCH(Y$7,Д1!$E$3:$AI$3))</f>
        <v/>
      </c>
      <c r="Z12" s="30" t="str">
        <f>INDEX(Д1!$E$24:$AI$33,MATCH($D12,Д1!$D$24:$D$33),MATCH(Z$7,Д1!$E$3:$AI$3))</f>
        <v/>
      </c>
      <c r="AA12" s="30" t="str">
        <f>INDEX(Д1!$E$24:$AI$33,MATCH($D12,Д1!$D$24:$D$33),MATCH(AA$7,Д1!$E$3:$AI$3))</f>
        <v/>
      </c>
      <c r="AB12" s="30" t="str">
        <f>INDEX(Д1!$E$24:$AI$33,MATCH($D12,Д1!$D$24:$D$33),MATCH(AB$7,Д1!$E$3:$AI$3))</f>
        <v/>
      </c>
      <c r="AC12" s="30" t="str">
        <f>INDEX(Д1!$E$24:$AI$33,MATCH($D12,Д1!$D$24:$D$33),MATCH(AC$7,Д1!$E$3:$AI$3))</f>
        <v/>
      </c>
      <c r="AD12" s="30" t="str">
        <f>INDEX(Д1!$E$24:$AI$33,MATCH($D12,Д1!$D$24:$D$33),MATCH(AD$7,Д1!$E$3:$AI$3))</f>
        <v/>
      </c>
      <c r="AE12" s="30" t="str">
        <f>INDEX(Д1!$E$24:$AI$33,MATCH($D12,Д1!$D$24:$D$33),MATCH(AE$7,Д1!$E$3:$AI$3))</f>
        <v/>
      </c>
      <c r="AF12" s="30" t="str">
        <f>INDEX(Д1!$E$24:$AI$33,MATCH($D12,Д1!$D$24:$D$33),MATCH(AF$7,Д1!$E$3:$AI$3))</f>
        <v/>
      </c>
      <c r="AG12" s="30" t="str">
        <f>INDEX(Д1!$E$24:$AI$33,MATCH($D12,Д1!$D$24:$D$33),MATCH(AG$7,Д1!$E$3:$AI$3))</f>
        <v/>
      </c>
      <c r="AH12" s="30" t="str">
        <f>INDEX(Д1!$E$24:$AI$33,MATCH($D12,Д1!$D$24:$D$33),MATCH(AH$7,Д1!$E$3:$AI$3))</f>
        <v/>
      </c>
      <c r="AI12" s="33" t="str">
        <f>INDEX(Д1!$E$24:$AI$33,MATCH($D12,Д1!$D$24:$D$33),MATCH(AI$7,Д1!$E$3:$AI$3))</f>
        <v/>
      </c>
      <c r="AJ12" s="143"/>
      <c r="AK12" s="145"/>
      <c r="AL12" s="155"/>
      <c r="AM12" s="150"/>
      <c r="AP12" s="136"/>
      <c r="AQ12" s="136"/>
      <c r="AR12" s="136"/>
      <c r="AS12" s="136"/>
      <c r="AT12" s="136"/>
      <c r="AU12" s="136"/>
      <c r="AV12" s="136"/>
      <c r="AW12" s="137"/>
      <c r="AX12" s="137"/>
    </row>
    <row r="13" spans="1:50" ht="16.5" thickBot="1" x14ac:dyDescent="0.3">
      <c r="A13" s="147"/>
      <c r="B13" s="139" t="s">
        <v>82</v>
      </c>
      <c r="C13" s="170">
        <v>3</v>
      </c>
      <c r="D13" s="49">
        <v>5</v>
      </c>
      <c r="E13" s="62">
        <f ca="1">INDEX(Д1!$E$24:$AI$33,MATCH($D13,Д1!$D$24:$D$33),MATCH(E$7,Д1!$E$3:$AI$3))</f>
        <v>0</v>
      </c>
      <c r="F13" s="28">
        <f ca="1">INDEX(Д1!$E$24:$AI$33,MATCH($D13,Д1!$D$24:$D$33),MATCH(F$7,Д1!$E$3:$AI$3))</f>
        <v>4</v>
      </c>
      <c r="G13" s="28">
        <f ca="1">INDEX(Д1!$E$24:$AI$33,MATCH($D13,Д1!$D$24:$D$33),MATCH(G$7,Д1!$E$3:$AI$3))</f>
        <v>8</v>
      </c>
      <c r="H13" s="28">
        <f ca="1">INDEX(Д1!$E$24:$AI$33,MATCH($D13,Д1!$D$24:$D$33),MATCH(H$7,Д1!$E$3:$AI$3))</f>
        <v>12</v>
      </c>
      <c r="I13" s="28">
        <f ca="1">INDEX(Д1!$E$24:$AI$33,MATCH($D13,Д1!$D$24:$D$33),MATCH(I$7,Д1!$E$3:$AI$3))</f>
        <v>8</v>
      </c>
      <c r="J13" s="28">
        <f ca="1">INDEX(Д1!$E$24:$AI$33,MATCH($D13,Д1!$D$24:$D$33),MATCH(J$7,Д1!$E$3:$AI$3))</f>
        <v>8</v>
      </c>
      <c r="K13" s="28">
        <f ca="1">INDEX(Д1!$E$24:$AI$33,MATCH($D13,Д1!$D$24:$D$33),MATCH(K$7,Д1!$E$3:$AI$3))</f>
        <v>12</v>
      </c>
      <c r="L13" s="28">
        <f ca="1">INDEX(Д1!$E$24:$AI$33,MATCH($D13,Д1!$D$24:$D$33),MATCH(L$7,Д1!$E$3:$AI$3))</f>
        <v>0</v>
      </c>
      <c r="M13" s="28">
        <f ca="1">INDEX(Д1!$E$24:$AI$33,MATCH($D13,Д1!$D$24:$D$33),MATCH(M$7,Д1!$E$3:$AI$3))</f>
        <v>0</v>
      </c>
      <c r="N13" s="28">
        <f ca="1">INDEX(Д1!$E$24:$AI$33,MATCH($D13,Д1!$D$24:$D$33),MATCH(N$7,Д1!$E$3:$AI$3))</f>
        <v>4</v>
      </c>
      <c r="O13" s="28">
        <f ca="1">INDEX(Д1!$E$24:$AI$33,MATCH($D13,Д1!$D$24:$D$33),MATCH(O$7,Д1!$E$3:$AI$3))</f>
        <v>8</v>
      </c>
      <c r="P13" s="28">
        <f ca="1">INDEX(Д1!$E$24:$AI$33,MATCH($D13,Д1!$D$24:$D$33),MATCH(P$7,Д1!$E$3:$AI$3))</f>
        <v>12</v>
      </c>
      <c r="Q13" s="28">
        <f ca="1">INDEX(Д1!$E$24:$AI$33,MATCH($D13,Д1!$D$24:$D$33),MATCH(Q$7,Д1!$E$3:$AI$3))</f>
        <v>4</v>
      </c>
      <c r="R13" s="28">
        <f ca="1">INDEX(Д1!$E$24:$AI$33,MATCH($D13,Д1!$D$24:$D$33),MATCH(R$7,Д1!$E$3:$AI$3))</f>
        <v>8</v>
      </c>
      <c r="S13" s="28">
        <f ca="1">INDEX(Д1!$E$24:$AI$33,MATCH($D13,Д1!$D$24:$D$33),MATCH(S$7,Д1!$E$3:$AI$3))</f>
        <v>12</v>
      </c>
      <c r="T13" s="28">
        <f ca="1">INDEX(Д1!$E$24:$AI$33,MATCH($D13,Д1!$D$24:$D$33),MATCH(T$7,Д1!$E$3:$AI$3))</f>
        <v>0</v>
      </c>
      <c r="U13" s="28">
        <f ca="1">INDEX(Д1!$E$24:$AI$33,MATCH($D13,Д1!$D$24:$D$33),MATCH(U$7,Д1!$E$3:$AI$3))</f>
        <v>0</v>
      </c>
      <c r="V13" s="28">
        <f ca="1">INDEX(Д1!$E$24:$AI$33,MATCH($D13,Д1!$D$24:$D$33),MATCH(V$7,Д1!$E$3:$AI$3))</f>
        <v>4</v>
      </c>
      <c r="W13" s="28">
        <f ca="1">INDEX(Д1!$E$24:$AI$33,MATCH($D13,Д1!$D$24:$D$33),MATCH(W$7,Д1!$E$3:$AI$3))</f>
        <v>8</v>
      </c>
      <c r="X13" s="28">
        <f ca="1">INDEX(Д1!$E$24:$AI$33,MATCH($D13,Д1!$D$24:$D$33),MATCH(X$7,Д1!$E$3:$AI$3))</f>
        <v>12</v>
      </c>
      <c r="Y13" s="28">
        <f ca="1">INDEX(Д1!$E$24:$AI$33,MATCH($D13,Д1!$D$24:$D$33),MATCH(Y$7,Д1!$E$3:$AI$3))</f>
        <v>4</v>
      </c>
      <c r="Z13" s="28">
        <f ca="1">INDEX(Д1!$E$24:$AI$33,MATCH($D13,Д1!$D$24:$D$33),MATCH(Z$7,Д1!$E$3:$AI$3))</f>
        <v>8</v>
      </c>
      <c r="AA13" s="28">
        <f ca="1">INDEX(Д1!$E$24:$AI$33,MATCH($D13,Д1!$D$24:$D$33),MATCH(AA$7,Д1!$E$3:$AI$3))</f>
        <v>12</v>
      </c>
      <c r="AB13" s="28">
        <f ca="1">INDEX(Д1!$E$24:$AI$33,MATCH($D13,Д1!$D$24:$D$33),MATCH(AB$7,Д1!$E$3:$AI$3))</f>
        <v>0</v>
      </c>
      <c r="AC13" s="28">
        <f ca="1">INDEX(Д1!$E$24:$AI$33,MATCH($D13,Д1!$D$24:$D$33),MATCH(AC$7,Д1!$E$3:$AI$3))</f>
        <v>0</v>
      </c>
      <c r="AD13" s="28">
        <f ca="1">INDEX(Д1!$E$24:$AI$33,MATCH($D13,Д1!$D$24:$D$33),MATCH(AD$7,Д1!$E$3:$AI$3))</f>
        <v>4</v>
      </c>
      <c r="AE13" s="28">
        <f ca="1">INDEX(Д1!$E$24:$AI$33,MATCH($D13,Д1!$D$24:$D$33),MATCH(AE$7,Д1!$E$3:$AI$3))</f>
        <v>8</v>
      </c>
      <c r="AF13" s="28">
        <f ca="1">INDEX(Д1!$E$24:$AI$33,MATCH($D13,Д1!$D$24:$D$33),MATCH(AF$7,Д1!$E$3:$AI$3))</f>
        <v>12</v>
      </c>
      <c r="AG13" s="28">
        <f ca="1">INDEX(Д1!$E$24:$AI$33,MATCH($D13,Д1!$D$24:$D$33),MATCH(AG$7,Д1!$E$3:$AI$3))</f>
        <v>4</v>
      </c>
      <c r="AH13" s="28">
        <f ca="1">INDEX(Д1!$E$24:$AI$33,MATCH($D13,Д1!$D$24:$D$33),MATCH(AH$7,Д1!$E$3:$AI$3))</f>
        <v>8</v>
      </c>
      <c r="AI13" s="62">
        <f ca="1">INDEX(Д1!$E$24:$AI$33,MATCH($D13,Д1!$D$24:$D$33),MATCH(AI$7,Д1!$E$3:$AI$3))</f>
        <v>12</v>
      </c>
      <c r="AJ13" s="143">
        <f>INDEX(Д1!AK$24:$AK$33,MATCH($C13,Д1!$C$24:$C$33),MATCH(E$7,Д1!$E$3:$AI$3))*AND(MONTH($E$8)=MONTH(Д1!$B$24))</f>
        <v>167</v>
      </c>
      <c r="AK13" s="144">
        <f ca="1">SUM(E13:K14)</f>
        <v>52</v>
      </c>
      <c r="AL13" s="144"/>
      <c r="AM13" s="149">
        <f ca="1">SUM(F13:H14,J13:AI14)-AJ13+AL13-12</f>
        <v>9</v>
      </c>
      <c r="AP13" s="136">
        <f t="shared" ref="AP13" ca="1" si="9">COUNTIF($E13:$AI14,"12")</f>
        <v>8</v>
      </c>
      <c r="AQ13" s="136">
        <f t="shared" ref="AQ13" ca="1" si="10">IF(COUNTIF($E13:$AI14,"СП")&gt;=1,(COUNTIF($E13:$AI14,"4")+COUNTIF($E13:$AI14,"8")-1)/2,(COUNTIF($E13:$AI14,"4")+COUNTIF($E13:$AI14,"8"))/2)</f>
        <v>7.5</v>
      </c>
      <c r="AR13" s="136">
        <f t="shared" ca="1" si="2"/>
        <v>96</v>
      </c>
      <c r="AS13" s="136">
        <f t="shared" ref="AS13" ca="1" si="11">IF(COUNTIF($E13:$AI14,"СП")&gt;=1,SUMIF($E13:$AI14,"4",$E13:$AI14)+SUMIF($E13:$AI14,"8",$E13:$AI14)-8,SUMIF($E13:$AI14,"4",$E13:$AI14)+SUMIF($E13:$AI14,"8",$E13:$AI14))</f>
        <v>92</v>
      </c>
      <c r="AT13" s="136">
        <f t="shared" ref="AT13" ca="1" si="12">$AR13+$AS13</f>
        <v>188</v>
      </c>
      <c r="AU13" s="136" t="str">
        <f t="shared" ref="AU13" ca="1" si="13">IF(AK13=AT13,"+","!")</f>
        <v>!</v>
      </c>
      <c r="AV13" s="136">
        <f ca="1">COUNTIF($E13:$AI14,"ОТ")</f>
        <v>0</v>
      </c>
      <c r="AW13" s="137" t="str">
        <f ca="1">IF(COUNTIF($A14:$AI14,"СП")&gt;0,IF(INDIRECT(ADDRESS(ROW(),MATCH("СП",$A14:$AI14),1))=8,"","!"),"")</f>
        <v>!</v>
      </c>
      <c r="AX13" s="137" t="str">
        <f ca="1">IF(COUNTIF($A14:$AI14,"СП")&gt;0,IF(INDIRECT(ADDRESS(ROW(),MATCH("СП",$A14:$AI14)-1,1))=4,"!",""),"")</f>
        <v/>
      </c>
    </row>
    <row r="14" spans="1:50" ht="16.5" thickBot="1" x14ac:dyDescent="0.3">
      <c r="A14" s="147"/>
      <c r="B14" s="139"/>
      <c r="C14" s="171"/>
      <c r="D14" s="50">
        <v>6</v>
      </c>
      <c r="E14" s="63" t="str">
        <f>INDEX(Д1!$E$24:$AI$33,MATCH($D14,Д1!$D$24:$D$33),MATCH(E$7,Д1!$E$3:$AI$3))</f>
        <v/>
      </c>
      <c r="F14" s="29" t="str">
        <f>INDEX(Д1!$E$24:$AI$33,MATCH($D14,Д1!$D$24:$D$33),MATCH(F$7,Д1!$E$3:$AI$3))</f>
        <v/>
      </c>
      <c r="G14" s="29" t="str">
        <f>INDEX(Д1!$E$24:$AI$33,MATCH($D14,Д1!$D$24:$D$33),MATCH(G$7,Д1!$E$3:$AI$3))</f>
        <v/>
      </c>
      <c r="H14" s="29" t="str">
        <f>INDEX(Д1!$E$24:$AI$33,MATCH($D14,Д1!$D$24:$D$33),MATCH(H$7,Д1!$E$3:$AI$3))</f>
        <v/>
      </c>
      <c r="I14" s="29" t="str">
        <f>INDEX(Д1!$E$24:$AI$33,MATCH($D14,Д1!$D$24:$D$33),MATCH(I$7,Д1!$E$3:$AI$3))</f>
        <v>СП</v>
      </c>
      <c r="J14" s="29" t="str">
        <f>INDEX(Д1!$E$24:$AI$33,MATCH($D14,Д1!$D$24:$D$33),MATCH(J$7,Д1!$E$3:$AI$3))</f>
        <v/>
      </c>
      <c r="K14" s="29" t="str">
        <f>INDEX(Д1!$E$24:$AI$33,MATCH($D14,Д1!$D$24:$D$33),MATCH(K$7,Д1!$E$3:$AI$3))</f>
        <v/>
      </c>
      <c r="L14" s="29" t="str">
        <f>INDEX(Д1!$E$24:$AI$33,MATCH($D14,Д1!$D$24:$D$33),MATCH(L$7,Д1!$E$3:$AI$3))</f>
        <v/>
      </c>
      <c r="M14" s="29" t="str">
        <f>INDEX(Д1!$E$24:$AI$33,MATCH($D14,Д1!$D$24:$D$33),MATCH(M$7,Д1!$E$3:$AI$3))</f>
        <v/>
      </c>
      <c r="N14" s="29" t="str">
        <f>INDEX(Д1!$E$24:$AI$33,MATCH($D14,Д1!$D$24:$D$33),MATCH(N$7,Д1!$E$3:$AI$3))</f>
        <v/>
      </c>
      <c r="O14" s="29" t="str">
        <f>INDEX(Д1!$E$24:$AI$33,MATCH($D14,Д1!$D$24:$D$33),MATCH(O$7,Д1!$E$3:$AI$3))</f>
        <v/>
      </c>
      <c r="P14" s="29" t="str">
        <f>INDEX(Д1!$E$24:$AI$33,MATCH($D14,Д1!$D$24:$D$33),MATCH(P$7,Д1!$E$3:$AI$3))</f>
        <v/>
      </c>
      <c r="Q14" s="29" t="str">
        <f>INDEX(Д1!$E$24:$AI$33,MATCH($D14,Д1!$D$24:$D$33),MATCH(Q$7,Д1!$E$3:$AI$3))</f>
        <v/>
      </c>
      <c r="R14" s="29" t="str">
        <f>INDEX(Д1!$E$24:$AI$33,MATCH($D14,Д1!$D$24:$D$33),MATCH(R$7,Д1!$E$3:$AI$3))</f>
        <v/>
      </c>
      <c r="S14" s="29" t="str">
        <f>INDEX(Д1!$E$24:$AI$33,MATCH($D14,Д1!$D$24:$D$33),MATCH(S$7,Д1!$E$3:$AI$3))</f>
        <v/>
      </c>
      <c r="T14" s="29" t="str">
        <f>INDEX(Д1!$E$24:$AI$33,MATCH($D14,Д1!$D$24:$D$33),MATCH(T$7,Д1!$E$3:$AI$3))</f>
        <v/>
      </c>
      <c r="U14" s="29" t="str">
        <f>INDEX(Д1!$E$24:$AI$33,MATCH($D14,Д1!$D$24:$D$33),MATCH(U$7,Д1!$E$3:$AI$3))</f>
        <v/>
      </c>
      <c r="V14" s="29" t="str">
        <f>INDEX(Д1!$E$24:$AI$33,MATCH($D14,Д1!$D$24:$D$33),MATCH(V$7,Д1!$E$3:$AI$3))</f>
        <v/>
      </c>
      <c r="W14" s="29" t="str">
        <f>INDEX(Д1!$E$24:$AI$33,MATCH($D14,Д1!$D$24:$D$33),MATCH(W$7,Д1!$E$3:$AI$3))</f>
        <v/>
      </c>
      <c r="X14" s="29" t="str">
        <f>INDEX(Д1!$E$24:$AI$33,MATCH($D14,Д1!$D$24:$D$33),MATCH(X$7,Д1!$E$3:$AI$3))</f>
        <v/>
      </c>
      <c r="Y14" s="29" t="str">
        <f>INDEX(Д1!$E$24:$AI$33,MATCH($D14,Д1!$D$24:$D$33),MATCH(Y$7,Д1!$E$3:$AI$3))</f>
        <v/>
      </c>
      <c r="Z14" s="29" t="str">
        <f>INDEX(Д1!$E$24:$AI$33,MATCH($D14,Д1!$D$24:$D$33),MATCH(Z$7,Д1!$E$3:$AI$3))</f>
        <v/>
      </c>
      <c r="AA14" s="29" t="str">
        <f>INDEX(Д1!$E$24:$AI$33,MATCH($D14,Д1!$D$24:$D$33),MATCH(AA$7,Д1!$E$3:$AI$3))</f>
        <v/>
      </c>
      <c r="AB14" s="29" t="str">
        <f>INDEX(Д1!$E$24:$AI$33,MATCH($D14,Д1!$D$24:$D$33),MATCH(AB$7,Д1!$E$3:$AI$3))</f>
        <v/>
      </c>
      <c r="AC14" s="29" t="str">
        <f>INDEX(Д1!$E$24:$AI$33,MATCH($D14,Д1!$D$24:$D$33),MATCH(AC$7,Д1!$E$3:$AI$3))</f>
        <v/>
      </c>
      <c r="AD14" s="29" t="str">
        <f>INDEX(Д1!$E$24:$AI$33,MATCH($D14,Д1!$D$24:$D$33),MATCH(AD$7,Д1!$E$3:$AI$3))</f>
        <v/>
      </c>
      <c r="AE14" s="29" t="str">
        <f>INDEX(Д1!$E$24:$AI$33,MATCH($D14,Д1!$D$24:$D$33),MATCH(AE$7,Д1!$E$3:$AI$3))</f>
        <v/>
      </c>
      <c r="AF14" s="29" t="str">
        <f>INDEX(Д1!$E$24:$AI$33,MATCH($D14,Д1!$D$24:$D$33),MATCH(AF$7,Д1!$E$3:$AI$3))</f>
        <v/>
      </c>
      <c r="AG14" s="29" t="str">
        <f>INDEX(Д1!$E$24:$AI$33,MATCH($D14,Д1!$D$24:$D$33),MATCH(AG$7,Д1!$E$3:$AI$3))</f>
        <v/>
      </c>
      <c r="AH14" s="29" t="str">
        <f>INDEX(Д1!$E$24:$AI$33,MATCH($D14,Д1!$D$24:$D$33),MATCH(AH$7,Д1!$E$3:$AI$3))</f>
        <v/>
      </c>
      <c r="AI14" s="63" t="str">
        <f>INDEX(Д1!$E$24:$AI$33,MATCH($D14,Д1!$D$24:$D$33),MATCH(AI$7,Д1!$E$3:$AI$3))</f>
        <v/>
      </c>
      <c r="AJ14" s="143"/>
      <c r="AK14" s="145"/>
      <c r="AL14" s="145"/>
      <c r="AM14" s="150"/>
      <c r="AP14" s="136"/>
      <c r="AQ14" s="136"/>
      <c r="AR14" s="136"/>
      <c r="AS14" s="136"/>
      <c r="AT14" s="136"/>
      <c r="AU14" s="136"/>
      <c r="AV14" s="136"/>
      <c r="AW14" s="137"/>
      <c r="AX14" s="137"/>
    </row>
    <row r="15" spans="1:50" ht="16.5" customHeight="1" thickBot="1" x14ac:dyDescent="0.3">
      <c r="A15" s="147"/>
      <c r="B15" s="139" t="s">
        <v>83</v>
      </c>
      <c r="C15" s="170">
        <v>4</v>
      </c>
      <c r="D15" s="49">
        <v>7</v>
      </c>
      <c r="E15" s="64">
        <f ca="1">INDEX(Д1!$E$24:$AI$33,MATCH($D15,Д1!$D$24:$D$33),MATCH(E$7,Д1!$E$3:$AI$3))</f>
        <v>12</v>
      </c>
      <c r="F15" s="27">
        <f ca="1">INDEX(Д1!$E$24:$AI$33,MATCH($D15,Д1!$D$24:$D$33),MATCH(F$7,Д1!$E$3:$AI$3))</f>
        <v>0</v>
      </c>
      <c r="G15" s="27">
        <f ca="1">INDEX(Д1!$E$24:$AI$33,MATCH($D15,Д1!$D$24:$D$33),MATCH(G$7,Д1!$E$3:$AI$3))</f>
        <v>0</v>
      </c>
      <c r="H15" s="27">
        <f ca="1">INDEX(Д1!$E$24:$AI$33,MATCH($D15,Д1!$D$24:$D$33),MATCH(H$7,Д1!$E$3:$AI$3))</f>
        <v>4</v>
      </c>
      <c r="I15" s="27">
        <f ca="1">INDEX(Д1!$E$24:$AI$33,MATCH($D15,Д1!$D$24:$D$33),MATCH(I$7,Д1!$E$3:$AI$3))</f>
        <v>8</v>
      </c>
      <c r="J15" s="27">
        <f ca="1">INDEX(Д1!$E$24:$AI$33,MATCH($D15,Д1!$D$24:$D$33),MATCH(J$7,Д1!$E$3:$AI$3))</f>
        <v>12</v>
      </c>
      <c r="K15" s="27">
        <f ca="1">INDEX(Д1!$E$24:$AI$33,MATCH($D15,Д1!$D$24:$D$33),MATCH(K$7,Д1!$E$3:$AI$3))</f>
        <v>4</v>
      </c>
      <c r="L15" s="27">
        <f ca="1">INDEX(Д1!$E$24:$AI$33,MATCH($D15,Д1!$D$24:$D$33),MATCH(L$7,Д1!$E$3:$AI$3))</f>
        <v>8</v>
      </c>
      <c r="M15" s="27">
        <f ca="1">INDEX(Д1!$E$24:$AI$33,MATCH($D15,Д1!$D$24:$D$33),MATCH(M$7,Д1!$E$3:$AI$3))</f>
        <v>12</v>
      </c>
      <c r="N15" s="27">
        <f ca="1">INDEX(Д1!$E$24:$AI$33,MATCH($D15,Д1!$D$24:$D$33),MATCH(N$7,Д1!$E$3:$AI$3))</f>
        <v>0</v>
      </c>
      <c r="O15" s="27">
        <f ca="1">INDEX(Д1!$E$24:$AI$33,MATCH($D15,Д1!$D$24:$D$33),MATCH(O$7,Д1!$E$3:$AI$3))</f>
        <v>0</v>
      </c>
      <c r="P15" s="27">
        <f ca="1">INDEX(Д1!$E$24:$AI$33,MATCH($D15,Д1!$D$24:$D$33),MATCH(P$7,Д1!$E$3:$AI$3))</f>
        <v>4</v>
      </c>
      <c r="Q15" s="27">
        <f ca="1">INDEX(Д1!$E$24:$AI$33,MATCH($D15,Д1!$D$24:$D$33),MATCH(Q$7,Д1!$E$3:$AI$3))</f>
        <v>8</v>
      </c>
      <c r="R15" s="27">
        <f ca="1">INDEX(Д1!$E$24:$AI$33,MATCH($D15,Д1!$D$24:$D$33),MATCH(R$7,Д1!$E$3:$AI$3))</f>
        <v>12</v>
      </c>
      <c r="S15" s="27">
        <f ca="1">INDEX(Д1!$E$24:$AI$33,MATCH($D15,Д1!$D$24:$D$33),MATCH(S$7,Д1!$E$3:$AI$3))</f>
        <v>4</v>
      </c>
      <c r="T15" s="27">
        <f ca="1">INDEX(Д1!$E$24:$AI$33,MATCH($D15,Д1!$D$24:$D$33),MATCH(T$7,Д1!$E$3:$AI$3))</f>
        <v>8</v>
      </c>
      <c r="U15" s="27">
        <f ca="1">INDEX(Д1!$E$24:$AI$33,MATCH($D15,Д1!$D$24:$D$33),MATCH(U$7,Д1!$E$3:$AI$3))</f>
        <v>12</v>
      </c>
      <c r="V15" s="27">
        <f ca="1">INDEX(Д1!$E$24:$AI$33,MATCH($D15,Д1!$D$24:$D$33),MATCH(V$7,Д1!$E$3:$AI$3))</f>
        <v>0</v>
      </c>
      <c r="W15" s="27">
        <f ca="1">INDEX(Д1!$E$24:$AI$33,MATCH($D15,Д1!$D$24:$D$33),MATCH(W$7,Д1!$E$3:$AI$3))</f>
        <v>0</v>
      </c>
      <c r="X15" s="27">
        <f ca="1">INDEX(Д1!$E$24:$AI$33,MATCH($D15,Д1!$D$24:$D$33),MATCH(X$7,Д1!$E$3:$AI$3))</f>
        <v>4</v>
      </c>
      <c r="Y15" s="27">
        <f ca="1">INDEX(Д1!$E$24:$AI$33,MATCH($D15,Д1!$D$24:$D$33),MATCH(Y$7,Д1!$E$3:$AI$3))</f>
        <v>8</v>
      </c>
      <c r="Z15" s="27">
        <f ca="1">INDEX(Д1!$E$24:$AI$33,MATCH($D15,Д1!$D$24:$D$33),MATCH(Z$7,Д1!$E$3:$AI$3))</f>
        <v>12</v>
      </c>
      <c r="AA15" s="27">
        <f ca="1">INDEX(Д1!$E$24:$AI$33,MATCH($D15,Д1!$D$24:$D$33),MATCH(AA$7,Д1!$E$3:$AI$3))</f>
        <v>4</v>
      </c>
      <c r="AB15" s="27">
        <f ca="1">INDEX(Д1!$E$24:$AI$33,MATCH($D15,Д1!$D$24:$D$33),MATCH(AB$7,Д1!$E$3:$AI$3))</f>
        <v>8</v>
      </c>
      <c r="AC15" s="27">
        <f ca="1">INDEX(Д1!$E$24:$AI$33,MATCH($D15,Д1!$D$24:$D$33),MATCH(AC$7,Д1!$E$3:$AI$3))</f>
        <v>12</v>
      </c>
      <c r="AD15" s="27">
        <f ca="1">INDEX(Д1!$E$24:$AI$33,MATCH($D15,Д1!$D$24:$D$33),MATCH(AD$7,Д1!$E$3:$AI$3))</f>
        <v>0</v>
      </c>
      <c r="AE15" s="27">
        <f ca="1">INDEX(Д1!$E$24:$AI$33,MATCH($D15,Д1!$D$24:$D$33),MATCH(AE$7,Д1!$E$3:$AI$3))</f>
        <v>0</v>
      </c>
      <c r="AF15" s="27">
        <f ca="1">INDEX(Д1!$E$24:$AI$33,MATCH($D15,Д1!$D$24:$D$33),MATCH(AF$7,Д1!$E$3:$AI$3))</f>
        <v>4</v>
      </c>
      <c r="AG15" s="27">
        <f ca="1">INDEX(Д1!$E$24:$AI$33,MATCH($D15,Д1!$D$24:$D$33),MATCH(AG$7,Д1!$E$3:$AI$3))</f>
        <v>8</v>
      </c>
      <c r="AH15" s="27">
        <f ca="1">INDEX(Д1!$E$24:$AI$33,MATCH($D15,Д1!$D$24:$D$33),MATCH(AH$7,Д1!$E$3:$AI$3))</f>
        <v>12</v>
      </c>
      <c r="AI15" s="64">
        <f ca="1">INDEX(Д1!$E$24:$AI$33,MATCH($D15,Д1!$D$24:$D$33),MATCH(AI$7,Д1!$E$3:$AI$3))</f>
        <v>4</v>
      </c>
      <c r="AJ15" s="143">
        <f>INDEX(Д1!AK$24:$AK$33,MATCH($C15,Д1!$C$24:$C$33),MATCH(E$7,Д1!$E$3:$AI$3))*AND(MONTH($E$8)=MONTH(Д1!$B$24))</f>
        <v>167</v>
      </c>
      <c r="AK15" s="144">
        <f ca="1">SUM(E15:AI16)</f>
        <v>184</v>
      </c>
      <c r="AL15" s="155"/>
      <c r="AM15" s="149">
        <f ca="1">SUM(F15:H16,J15:AI16)-AJ15+AL15-12</f>
        <v>-15</v>
      </c>
      <c r="AP15" s="136">
        <f t="shared" ref="AP15" ca="1" si="14">COUNTIF($E15:$AI16,"12")</f>
        <v>8</v>
      </c>
      <c r="AQ15" s="136">
        <f t="shared" ref="AQ15" ca="1" si="15">IF(COUNTIF($E15:$AI16,"СП")&gt;=1,(COUNTIF($E15:$AI16,"4")+COUNTIF($E15:$AI16,"8")-1)/2,(COUNTIF($E15:$AI16,"4")+COUNTIF($E15:$AI16,"8"))/2)</f>
        <v>7</v>
      </c>
      <c r="AR15" s="136">
        <f t="shared" ca="1" si="2"/>
        <v>96</v>
      </c>
      <c r="AS15" s="136">
        <f t="shared" ref="AS15" ca="1" si="16">IF(COUNTIF($E15:$AI16,"СП")&gt;=1,SUMIF($E15:$AI16,"4",$E15:$AI16)+SUMIF($E15:$AI16,"8",$E15:$AI16)-8,SUMIF($E15:$AI16,"4",$E15:$AI16)+SUMIF($E15:$AI16,"8",$E15:$AI16))</f>
        <v>80</v>
      </c>
      <c r="AT15" s="136">
        <f t="shared" ref="AT15" ca="1" si="17">$AR15+$AS15</f>
        <v>176</v>
      </c>
      <c r="AU15" s="136" t="str">
        <f t="shared" ref="AU15" ca="1" si="18">IF(AK15=AT15,"+","!")</f>
        <v>!</v>
      </c>
      <c r="AV15" s="136">
        <f t="shared" ref="AV15" ca="1" si="19">COUNTIF($E15:$AI16,"ОТ")</f>
        <v>0</v>
      </c>
      <c r="AW15" s="137" t="str">
        <f ca="1">IF(COUNTIF($A16:$AI16,"СП")&gt;0,IF(INDIRECT(ADDRESS(ROW(),MATCH("СП",$A16:$AI16),1))=8,"","!"),"")</f>
        <v>!</v>
      </c>
      <c r="AX15" s="137" t="str">
        <f ca="1">IF(COUNTIF($A16:$AI16,"СП")&gt;0,IF(INDIRECT(ADDRESS(ROW(),MATCH("СП",$A16:$AI16)-1,1))=4,"!",""),"")</f>
        <v/>
      </c>
    </row>
    <row r="16" spans="1:50" ht="16.5" thickBot="1" x14ac:dyDescent="0.3">
      <c r="A16" s="147"/>
      <c r="B16" s="139"/>
      <c r="C16" s="171"/>
      <c r="D16" s="50">
        <v>8</v>
      </c>
      <c r="E16" s="65" t="str">
        <f>INDEX(Д1!$E$24:$AI$33,MATCH($D16,Д1!$D$24:$D$33),MATCH(E$7,Д1!$E$3:$AI$3))</f>
        <v/>
      </c>
      <c r="F16" s="30" t="str">
        <f>INDEX(Д1!$E$24:$AI$33,MATCH($D16,Д1!$D$24:$D$33),MATCH(F$7,Д1!$E$3:$AI$3))</f>
        <v/>
      </c>
      <c r="G16" s="30" t="str">
        <f>INDEX(Д1!$E$24:$AI$33,MATCH($D16,Д1!$D$24:$D$33),MATCH(G$7,Д1!$E$3:$AI$3))</f>
        <v/>
      </c>
      <c r="H16" s="30" t="str">
        <f>INDEX(Д1!$E$24:$AI$33,MATCH($D16,Д1!$D$24:$D$33),MATCH(H$7,Д1!$E$3:$AI$3))</f>
        <v/>
      </c>
      <c r="I16" s="30" t="str">
        <f>INDEX(Д1!$E$24:$AI$33,MATCH($D16,Д1!$D$24:$D$33),MATCH(I$7,Д1!$E$3:$AI$3))</f>
        <v/>
      </c>
      <c r="J16" s="30" t="str">
        <f>INDEX(Д1!$E$24:$AI$33,MATCH($D16,Д1!$D$24:$D$33),MATCH(J$7,Д1!$E$3:$AI$3))</f>
        <v>СП</v>
      </c>
      <c r="K16" s="30" t="str">
        <f>INDEX(Д1!$E$24:$AI$33,MATCH($D16,Д1!$D$24:$D$33),MATCH(K$7,Д1!$E$3:$AI$3))</f>
        <v/>
      </c>
      <c r="L16" s="30" t="str">
        <f>INDEX(Д1!$E$24:$AI$33,MATCH($D16,Д1!$D$24:$D$33),MATCH(L$7,Д1!$E$3:$AI$3))</f>
        <v/>
      </c>
      <c r="M16" s="30" t="str">
        <f>INDEX(Д1!$E$24:$AI$33,MATCH($D16,Д1!$D$24:$D$33),MATCH(M$7,Д1!$E$3:$AI$3))</f>
        <v/>
      </c>
      <c r="N16" s="30" t="str">
        <f>INDEX(Д1!$E$24:$AI$33,MATCH($D16,Д1!$D$24:$D$33),MATCH(N$7,Д1!$E$3:$AI$3))</f>
        <v/>
      </c>
      <c r="O16" s="30" t="str">
        <f>INDEX(Д1!$E$24:$AI$33,MATCH($D16,Д1!$D$24:$D$33),MATCH(O$7,Д1!$E$3:$AI$3))</f>
        <v/>
      </c>
      <c r="P16" s="30" t="str">
        <f>INDEX(Д1!$E$24:$AI$33,MATCH($D16,Д1!$D$24:$D$33),MATCH(P$7,Д1!$E$3:$AI$3))</f>
        <v/>
      </c>
      <c r="Q16" s="30" t="str">
        <f>INDEX(Д1!$E$24:$AI$33,MATCH($D16,Д1!$D$24:$D$33),MATCH(Q$7,Д1!$E$3:$AI$3))</f>
        <v/>
      </c>
      <c r="R16" s="30" t="str">
        <f>INDEX(Д1!$E$24:$AI$33,MATCH($D16,Д1!$D$24:$D$33),MATCH(R$7,Д1!$E$3:$AI$3))</f>
        <v/>
      </c>
      <c r="S16" s="30" t="str">
        <f>INDEX(Д1!$E$24:$AI$33,MATCH($D16,Д1!$D$24:$D$33),MATCH(S$7,Д1!$E$3:$AI$3))</f>
        <v/>
      </c>
      <c r="T16" s="30" t="str">
        <f>INDEX(Д1!$E$24:$AI$33,MATCH($D16,Д1!$D$24:$D$33),MATCH(T$7,Д1!$E$3:$AI$3))</f>
        <v/>
      </c>
      <c r="U16" s="30" t="str">
        <f>INDEX(Д1!$E$24:$AI$33,MATCH($D16,Д1!$D$24:$D$33),MATCH(U$7,Д1!$E$3:$AI$3))</f>
        <v/>
      </c>
      <c r="V16" s="30" t="str">
        <f>INDEX(Д1!$E$24:$AI$33,MATCH($D16,Д1!$D$24:$D$33),MATCH(V$7,Д1!$E$3:$AI$3))</f>
        <v/>
      </c>
      <c r="W16" s="30" t="str">
        <f>INDEX(Д1!$E$24:$AI$33,MATCH($D16,Д1!$D$24:$D$33),MATCH(W$7,Д1!$E$3:$AI$3))</f>
        <v/>
      </c>
      <c r="X16" s="30" t="str">
        <f>INDEX(Д1!$E$24:$AI$33,MATCH($D16,Д1!$D$24:$D$33),MATCH(X$7,Д1!$E$3:$AI$3))</f>
        <v/>
      </c>
      <c r="Y16" s="30" t="str">
        <f>INDEX(Д1!$E$24:$AI$33,MATCH($D16,Д1!$D$24:$D$33),MATCH(Y$7,Д1!$E$3:$AI$3))</f>
        <v/>
      </c>
      <c r="Z16" s="30" t="str">
        <f>INDEX(Д1!$E$24:$AI$33,MATCH($D16,Д1!$D$24:$D$33),MATCH(Z$7,Д1!$E$3:$AI$3))</f>
        <v/>
      </c>
      <c r="AA16" s="30" t="str">
        <f>INDEX(Д1!$E$24:$AI$33,MATCH($D16,Д1!$D$24:$D$33),MATCH(AA$7,Д1!$E$3:$AI$3))</f>
        <v/>
      </c>
      <c r="AB16" s="30" t="str">
        <f>INDEX(Д1!$E$24:$AI$33,MATCH($D16,Д1!$D$24:$D$33),MATCH(AB$7,Д1!$E$3:$AI$3))</f>
        <v/>
      </c>
      <c r="AC16" s="30" t="str">
        <f>INDEX(Д1!$E$24:$AI$33,MATCH($D16,Д1!$D$24:$D$33),MATCH(AC$7,Д1!$E$3:$AI$3))</f>
        <v/>
      </c>
      <c r="AD16" s="30" t="str">
        <f>INDEX(Д1!$E$24:$AI$33,MATCH($D16,Д1!$D$24:$D$33),MATCH(AD$7,Д1!$E$3:$AI$3))</f>
        <v/>
      </c>
      <c r="AE16" s="30" t="str">
        <f>INDEX(Д1!$E$24:$AI$33,MATCH($D16,Д1!$D$24:$D$33),MATCH(AE$7,Д1!$E$3:$AI$3))</f>
        <v/>
      </c>
      <c r="AF16" s="30" t="str">
        <f>INDEX(Д1!$E$24:$AI$33,MATCH($D16,Д1!$D$24:$D$33),MATCH(AF$7,Д1!$E$3:$AI$3))</f>
        <v/>
      </c>
      <c r="AG16" s="30" t="str">
        <f>INDEX(Д1!$E$24:$AI$33,MATCH($D16,Д1!$D$24:$D$33),MATCH(AG$7,Д1!$E$3:$AI$3))</f>
        <v/>
      </c>
      <c r="AH16" s="30" t="str">
        <f>INDEX(Д1!$E$24:$AI$33,MATCH($D16,Д1!$D$24:$D$33),MATCH(AH$7,Д1!$E$3:$AI$3))</f>
        <v/>
      </c>
      <c r="AI16" s="65" t="str">
        <f>INDEX(Д1!$E$24:$AI$33,MATCH($D16,Д1!$D$24:$D$33),MATCH(AI$7,Д1!$E$3:$AI$3))</f>
        <v/>
      </c>
      <c r="AJ16" s="143"/>
      <c r="AK16" s="145"/>
      <c r="AL16" s="145"/>
      <c r="AM16" s="150"/>
      <c r="AP16" s="136"/>
      <c r="AQ16" s="136"/>
      <c r="AR16" s="136"/>
      <c r="AS16" s="136"/>
      <c r="AT16" s="136"/>
      <c r="AU16" s="136"/>
      <c r="AV16" s="136"/>
      <c r="AW16" s="137"/>
      <c r="AX16" s="137"/>
    </row>
    <row r="17" spans="1:50" ht="16.5" customHeight="1" thickBot="1" x14ac:dyDescent="0.3">
      <c r="A17" s="147"/>
      <c r="B17" s="139" t="s">
        <v>84</v>
      </c>
      <c r="C17" s="170">
        <v>5</v>
      </c>
      <c r="D17" s="49">
        <v>9</v>
      </c>
      <c r="E17" s="62" t="str">
        <f>INDEX(Д1!$E$24:$AI$33,MATCH($D17,Д1!$D$24:$D$33),MATCH(E$7,Д1!$E$3:$AI$3))</f>
        <v>-</v>
      </c>
      <c r="F17" s="28" t="str">
        <f>INDEX(Д1!$E$24:$AI$33,MATCH($D17,Д1!$D$24:$D$33),MATCH(F$7,Д1!$E$3:$AI$3))</f>
        <v>-</v>
      </c>
      <c r="G17" s="28" t="str">
        <f>INDEX(Д1!$E$24:$AI$33,MATCH($D17,Д1!$D$24:$D$33),MATCH(G$7,Д1!$E$3:$AI$3))</f>
        <v>-</v>
      </c>
      <c r="H17" s="28" t="str">
        <f>INDEX(Д1!$E$24:$AI$33,MATCH($D17,Д1!$D$24:$D$33),MATCH(H$7,Д1!$E$3:$AI$3))</f>
        <v>-</v>
      </c>
      <c r="I17" s="28" t="str">
        <f>INDEX(Д1!$E$24:$AI$33,MATCH($D17,Д1!$D$24:$D$33),MATCH(I$7,Д1!$E$3:$AI$3))</f>
        <v>-</v>
      </c>
      <c r="J17" s="28" t="str">
        <f>INDEX(Д1!$E$24:$AI$33,MATCH($D17,Д1!$D$24:$D$33),MATCH(J$7,Д1!$E$3:$AI$3))</f>
        <v>-</v>
      </c>
      <c r="K17" s="28" t="str">
        <f>INDEX(Д1!$E$24:$AI$33,MATCH($D17,Д1!$D$24:$D$33),MATCH(K$7,Д1!$E$3:$AI$3))</f>
        <v>-</v>
      </c>
      <c r="L17" s="28" t="str">
        <f>INDEX(Д1!$E$24:$AI$33,MATCH($D17,Д1!$D$24:$D$33),MATCH(L$7,Д1!$E$3:$AI$3))</f>
        <v>-</v>
      </c>
      <c r="M17" s="28" t="str">
        <f>INDEX(Д1!$E$24:$AI$33,MATCH($D17,Д1!$D$24:$D$33),MATCH(M$7,Д1!$E$3:$AI$3))</f>
        <v>-</v>
      </c>
      <c r="N17" s="28" t="str">
        <f>INDEX(Д1!$E$24:$AI$33,MATCH($D17,Д1!$D$24:$D$33),MATCH(N$7,Д1!$E$3:$AI$3))</f>
        <v>-</v>
      </c>
      <c r="O17" s="28" t="str">
        <f>INDEX(Д1!$E$24:$AI$33,MATCH($D17,Д1!$D$24:$D$33),MATCH(O$7,Д1!$E$3:$AI$3))</f>
        <v>-</v>
      </c>
      <c r="P17" s="28" t="str">
        <f>INDEX(Д1!$E$24:$AI$33,MATCH($D17,Д1!$D$24:$D$33),MATCH(P$7,Д1!$E$3:$AI$3))</f>
        <v>-</v>
      </c>
      <c r="Q17" s="28" t="str">
        <f>INDEX(Д1!$E$24:$AI$33,MATCH($D17,Д1!$D$24:$D$33),MATCH(Q$7,Д1!$E$3:$AI$3))</f>
        <v>-</v>
      </c>
      <c r="R17" s="28" t="str">
        <f>INDEX(Д1!$E$24:$AI$33,MATCH($D17,Д1!$D$24:$D$33),MATCH(R$7,Д1!$E$3:$AI$3))</f>
        <v>-</v>
      </c>
      <c r="S17" s="28" t="str">
        <f>INDEX(Д1!$E$24:$AI$33,MATCH($D17,Д1!$D$24:$D$33),MATCH(S$7,Д1!$E$3:$AI$3))</f>
        <v>-</v>
      </c>
      <c r="T17" s="28" t="str">
        <f>INDEX(Д1!$E$24:$AI$33,MATCH($D17,Д1!$D$24:$D$33),MATCH(T$7,Д1!$E$3:$AI$3))</f>
        <v>-</v>
      </c>
      <c r="U17" s="28" t="str">
        <f>INDEX(Д1!$E$24:$AI$33,MATCH($D17,Д1!$D$24:$D$33),MATCH(U$7,Д1!$E$3:$AI$3))</f>
        <v>-</v>
      </c>
      <c r="V17" s="28" t="str">
        <f>INDEX(Д1!$E$24:$AI$33,MATCH($D17,Д1!$D$24:$D$33),MATCH(V$7,Д1!$E$3:$AI$3))</f>
        <v>-</v>
      </c>
      <c r="W17" s="28" t="str">
        <f>INDEX(Д1!$E$24:$AI$33,MATCH($D17,Д1!$D$24:$D$33),MATCH(W$7,Д1!$E$3:$AI$3))</f>
        <v>-</v>
      </c>
      <c r="X17" s="28" t="str">
        <f>INDEX(Д1!$E$24:$AI$33,MATCH($D17,Д1!$D$24:$D$33),MATCH(X$7,Д1!$E$3:$AI$3))</f>
        <v>-</v>
      </c>
      <c r="Y17" s="28" t="str">
        <f>INDEX(Д1!$E$24:$AI$33,MATCH($D17,Д1!$D$24:$D$33),MATCH(Y$7,Д1!$E$3:$AI$3))</f>
        <v>-</v>
      </c>
      <c r="Z17" s="28" t="str">
        <f>INDEX(Д1!$E$24:$AI$33,MATCH($D17,Д1!$D$24:$D$33),MATCH(Z$7,Д1!$E$3:$AI$3))</f>
        <v>-</v>
      </c>
      <c r="AA17" s="28" t="str">
        <f>INDEX(Д1!$E$24:$AI$33,MATCH($D17,Д1!$D$24:$D$33),MATCH(AA$7,Д1!$E$3:$AI$3))</f>
        <v>-</v>
      </c>
      <c r="AB17" s="28" t="str">
        <f>INDEX(Д1!$E$24:$AI$33,MATCH($D17,Д1!$D$24:$D$33),MATCH(AB$7,Д1!$E$3:$AI$3))</f>
        <v>-</v>
      </c>
      <c r="AC17" s="28" t="str">
        <f>INDEX(Д1!$E$24:$AI$33,MATCH($D17,Д1!$D$24:$D$33),MATCH(AC$7,Д1!$E$3:$AI$3))</f>
        <v>-</v>
      </c>
      <c r="AD17" s="28" t="str">
        <f>INDEX(Д1!$E$24:$AI$33,MATCH($D17,Д1!$D$24:$D$33),MATCH(AD$7,Д1!$E$3:$AI$3))</f>
        <v>-</v>
      </c>
      <c r="AE17" s="28" t="str">
        <f>INDEX(Д1!$E$24:$AI$33,MATCH($D17,Д1!$D$24:$D$33),MATCH(AE$7,Д1!$E$3:$AI$3))</f>
        <v>-</v>
      </c>
      <c r="AF17" s="28" t="str">
        <f>INDEX(Д1!$E$24:$AI$33,MATCH($D17,Д1!$D$24:$D$33),MATCH(AF$7,Д1!$E$3:$AI$3))</f>
        <v>-</v>
      </c>
      <c r="AG17" s="28" t="str">
        <f>INDEX(Д1!$E$24:$AI$33,MATCH($D17,Д1!$D$24:$D$33),MATCH(AG$7,Д1!$E$3:$AI$3))</f>
        <v>-</v>
      </c>
      <c r="AH17" s="28" t="str">
        <f>INDEX(Д1!$E$24:$AI$33,MATCH($D17,Д1!$D$24:$D$33),MATCH(AH$7,Д1!$E$3:$AI$3))</f>
        <v>-</v>
      </c>
      <c r="AI17" s="62" t="str">
        <f>INDEX(Д1!$E$24:$AI$33,MATCH($D17,Д1!$D$24:$D$33),MATCH(AI$7,Д1!$E$3:$AI$3))</f>
        <v>-</v>
      </c>
      <c r="AJ17" s="143">
        <f>INDEX(Д1!AK$24:$AK$33,MATCH($C17,Д1!$C$24:$C$33),MATCH(E$7,Д1!$E$3:$AI$3))*AND(MONTH($E$8)=MONTH(Д1!$B$24))</f>
        <v>167</v>
      </c>
      <c r="AK17" s="144">
        <f>SUM(E17:AI17)</f>
        <v>0</v>
      </c>
      <c r="AL17" s="144"/>
      <c r="AM17" s="149">
        <f>SUM(F17:H18,J17:AI18)-AJ17+AL17-12</f>
        <v>-179</v>
      </c>
      <c r="AP17" s="136">
        <f t="shared" ref="AP17" si="20">COUNTIF($E17:$AI18,"12")</f>
        <v>0</v>
      </c>
      <c r="AQ17" s="136">
        <f t="shared" ref="AQ17" si="21">IF(COUNTIF($E17:$AI18,"СП")&gt;=1,(COUNTIF($E17:$AI18,"4")+COUNTIF($E17:$AI18,"8")-1)/2,(COUNTIF($E17:$AI18,"4")+COUNTIF($E17:$AI18,"8"))/2)</f>
        <v>-0.5</v>
      </c>
      <c r="AR17" s="136">
        <f t="shared" si="2"/>
        <v>0</v>
      </c>
      <c r="AS17" s="136">
        <f t="shared" ref="AS17" si="22">IF(COUNTIF($E17:$AI18,"СП")&gt;=1,SUMIF($E17:$AI18,"4",$E17:$AI18)+SUMIF($E17:$AI18,"8",$E17:$AI18)-8,SUMIF($E17:$AI18,"4",$E17:$AI18)+SUMIF($E17:$AI18,"8",$E17:$AI18))</f>
        <v>-8</v>
      </c>
      <c r="AT17" s="136">
        <f t="shared" ref="AT17" si="23">$AR17+$AS17</f>
        <v>-8</v>
      </c>
      <c r="AU17" s="136" t="str">
        <f t="shared" ref="AU17" si="24">IF(AK17=AT17,"+","!")</f>
        <v>!</v>
      </c>
      <c r="AV17" s="136">
        <f t="shared" ref="AV17" si="25">COUNTIF($E17:$AI18,"ОТ")</f>
        <v>0</v>
      </c>
      <c r="AW17" s="137" t="str">
        <f ca="1">IF(COUNTIF($A18:$AI18,"СП")&gt;0,IF(INDIRECT(ADDRESS(ROW(),MATCH("СП",$A18:$AI18),1))=8,"","!"),"")</f>
        <v>!</v>
      </c>
      <c r="AX17" s="137" t="str">
        <f ca="1">IF(COUNTIF($A18:$AI18,"СП")&gt;0,IF(INDIRECT(ADDRESS(ROW(),MATCH("СП",$A18:$AI18)-1,1))=4,"!",""),"")</f>
        <v/>
      </c>
    </row>
    <row r="18" spans="1:50" ht="16.5" thickBot="1" x14ac:dyDescent="0.3">
      <c r="A18" s="148"/>
      <c r="B18" s="140"/>
      <c r="C18" s="172"/>
      <c r="D18" s="50">
        <v>10</v>
      </c>
      <c r="E18" s="66" t="str">
        <f>INDEX(Д1!$E$24:$AI$33,MATCH($D18,Д1!$D$24:$D$33),MATCH(E$7,Д1!$E$3:$AI$3))</f>
        <v/>
      </c>
      <c r="F18" s="67" t="str">
        <f>INDEX(Д1!$E$24:$AI$33,MATCH($D18,Д1!$D$24:$D$33),MATCH(F$7,Д1!$E$3:$AI$3))</f>
        <v/>
      </c>
      <c r="G18" s="67" t="str">
        <f>INDEX(Д1!$E$24:$AI$33,MATCH($D18,Д1!$D$24:$D$33),MATCH(G$7,Д1!$E$3:$AI$3))</f>
        <v/>
      </c>
      <c r="H18" s="67" t="str">
        <f>INDEX(Д1!$E$24:$AI$33,MATCH($D18,Д1!$D$24:$D$33),MATCH(H$7,Д1!$E$3:$AI$3))</f>
        <v/>
      </c>
      <c r="I18" s="67" t="str">
        <f>INDEX(Д1!$E$24:$AI$33,MATCH($D18,Д1!$D$24:$D$33),MATCH(I$7,Д1!$E$3:$AI$3))</f>
        <v/>
      </c>
      <c r="J18" s="67" t="str">
        <f>INDEX(Д1!$E$24:$AI$33,MATCH($D18,Д1!$D$24:$D$33),MATCH(J$7,Д1!$E$3:$AI$3))</f>
        <v/>
      </c>
      <c r="K18" s="67" t="str">
        <f>INDEX(Д1!$E$24:$AI$33,MATCH($D18,Д1!$D$24:$D$33),MATCH(K$7,Д1!$E$3:$AI$3))</f>
        <v>СП</v>
      </c>
      <c r="L18" s="67" t="str">
        <f>INDEX(Д1!$E$24:$AI$33,MATCH($D18,Д1!$D$24:$D$33),MATCH(L$7,Д1!$E$3:$AI$3))</f>
        <v/>
      </c>
      <c r="M18" s="67" t="str">
        <f>INDEX(Д1!$E$24:$AI$33,MATCH($D18,Д1!$D$24:$D$33),MATCH(M$7,Д1!$E$3:$AI$3))</f>
        <v/>
      </c>
      <c r="N18" s="67" t="str">
        <f>INDEX(Д1!$E$24:$AI$33,MATCH($D18,Д1!$D$24:$D$33),MATCH(N$7,Д1!$E$3:$AI$3))</f>
        <v/>
      </c>
      <c r="O18" s="67" t="str">
        <f>INDEX(Д1!$E$24:$AI$33,MATCH($D18,Д1!$D$24:$D$33),MATCH(O$7,Д1!$E$3:$AI$3))</f>
        <v/>
      </c>
      <c r="P18" s="67" t="str">
        <f>INDEX(Д1!$E$24:$AI$33,MATCH($D18,Д1!$D$24:$D$33),MATCH(P$7,Д1!$E$3:$AI$3))</f>
        <v/>
      </c>
      <c r="Q18" s="67" t="str">
        <f>INDEX(Д1!$E$24:$AI$33,MATCH($D18,Д1!$D$24:$D$33),MATCH(Q$7,Д1!$E$3:$AI$3))</f>
        <v/>
      </c>
      <c r="R18" s="67" t="str">
        <f>INDEX(Д1!$E$24:$AI$33,MATCH($D18,Д1!$D$24:$D$33),MATCH(R$7,Д1!$E$3:$AI$3))</f>
        <v/>
      </c>
      <c r="S18" s="67" t="str">
        <f>INDEX(Д1!$E$24:$AI$33,MATCH($D18,Д1!$D$24:$D$33),MATCH(S$7,Д1!$E$3:$AI$3))</f>
        <v/>
      </c>
      <c r="T18" s="67" t="str">
        <f>INDEX(Д1!$E$24:$AI$33,MATCH($D18,Д1!$D$24:$D$33),MATCH(T$7,Д1!$E$3:$AI$3))</f>
        <v/>
      </c>
      <c r="U18" s="67" t="str">
        <f>INDEX(Д1!$E$24:$AI$33,MATCH($D18,Д1!$D$24:$D$33),MATCH(U$7,Д1!$E$3:$AI$3))</f>
        <v/>
      </c>
      <c r="V18" s="67" t="str">
        <f>INDEX(Д1!$E$24:$AI$33,MATCH($D18,Д1!$D$24:$D$33),MATCH(V$7,Д1!$E$3:$AI$3))</f>
        <v/>
      </c>
      <c r="W18" s="67" t="str">
        <f>INDEX(Д1!$E$24:$AI$33,MATCH($D18,Д1!$D$24:$D$33),MATCH(W$7,Д1!$E$3:$AI$3))</f>
        <v/>
      </c>
      <c r="X18" s="67" t="str">
        <f>INDEX(Д1!$E$24:$AI$33,MATCH($D18,Д1!$D$24:$D$33),MATCH(X$7,Д1!$E$3:$AI$3))</f>
        <v/>
      </c>
      <c r="Y18" s="67" t="str">
        <f>INDEX(Д1!$E$24:$AI$33,MATCH($D18,Д1!$D$24:$D$33),MATCH(Y$7,Д1!$E$3:$AI$3))</f>
        <v/>
      </c>
      <c r="Z18" s="67" t="str">
        <f>INDEX(Д1!$E$24:$AI$33,MATCH($D18,Д1!$D$24:$D$33),MATCH(Z$7,Д1!$E$3:$AI$3))</f>
        <v/>
      </c>
      <c r="AA18" s="67" t="str">
        <f>INDEX(Д1!$E$24:$AI$33,MATCH($D18,Д1!$D$24:$D$33),MATCH(AA$7,Д1!$E$3:$AI$3))</f>
        <v/>
      </c>
      <c r="AB18" s="67" t="str">
        <f>INDEX(Д1!$E$24:$AI$33,MATCH($D18,Д1!$D$24:$D$33),MATCH(AB$7,Д1!$E$3:$AI$3))</f>
        <v/>
      </c>
      <c r="AC18" s="67" t="str">
        <f>INDEX(Д1!$E$24:$AI$33,MATCH($D18,Д1!$D$24:$D$33),MATCH(AC$7,Д1!$E$3:$AI$3))</f>
        <v/>
      </c>
      <c r="AD18" s="67" t="str">
        <f>INDEX(Д1!$E$24:$AI$33,MATCH($D18,Д1!$D$24:$D$33),MATCH(AD$7,Д1!$E$3:$AI$3))</f>
        <v/>
      </c>
      <c r="AE18" s="67" t="str">
        <f>INDEX(Д1!$E$24:$AI$33,MATCH($D18,Д1!$D$24:$D$33),MATCH(AE$7,Д1!$E$3:$AI$3))</f>
        <v/>
      </c>
      <c r="AF18" s="67" t="str">
        <f>INDEX(Д1!$E$24:$AI$33,MATCH($D18,Д1!$D$24:$D$33),MATCH(AF$7,Д1!$E$3:$AI$3))</f>
        <v/>
      </c>
      <c r="AG18" s="67" t="str">
        <f>INDEX(Д1!$E$24:$AI$33,MATCH($D18,Д1!$D$24:$D$33),MATCH(AG$7,Д1!$E$3:$AI$3))</f>
        <v/>
      </c>
      <c r="AH18" s="67" t="str">
        <f>INDEX(Д1!$E$24:$AI$33,MATCH($D18,Д1!$D$24:$D$33),MATCH(AH$7,Д1!$E$3:$AI$3))</f>
        <v/>
      </c>
      <c r="AI18" s="68" t="str">
        <f>INDEX(Д1!$E$24:$AI$33,MATCH($D18,Д1!$D$24:$D$33),MATCH(AI$7,Д1!$E$3:$AI$3))</f>
        <v/>
      </c>
      <c r="AJ18" s="153"/>
      <c r="AK18" s="158"/>
      <c r="AL18" s="158"/>
      <c r="AM18" s="150"/>
      <c r="AP18" s="136"/>
      <c r="AQ18" s="136"/>
      <c r="AR18" s="136"/>
      <c r="AS18" s="136"/>
      <c r="AT18" s="136"/>
      <c r="AU18" s="136"/>
      <c r="AV18" s="136"/>
      <c r="AW18" s="137"/>
      <c r="AX18" s="137"/>
    </row>
    <row r="19" spans="1:50" ht="17.25" customHeight="1" thickTop="1" thickBot="1" x14ac:dyDescent="0.3">
      <c r="A19" s="146" t="s">
        <v>101</v>
      </c>
      <c r="B19" s="151" t="s">
        <v>85</v>
      </c>
      <c r="C19" s="173">
        <v>1</v>
      </c>
      <c r="D19" s="49">
        <v>1</v>
      </c>
      <c r="E19" s="64">
        <f ca="1">INDEX(Д2!$E$24:$AI$33,MATCH($D19,Д2!$D$24:$D$33),MATCH(E$7,Д2!$E$3:$AI$3))</f>
        <v>8</v>
      </c>
      <c r="F19" s="64">
        <f ca="1">INDEX(Д2!$E$24:$AI$33,MATCH($D19,Д2!$D$24:$D$33),MATCH(F$7,Д2!$E$3:$AI$3))</f>
        <v>12</v>
      </c>
      <c r="G19" s="64">
        <f ca="1">INDEX(Д2!$E$24:$AI$33,MATCH($D19,Д2!$D$24:$D$33),MATCH(G$7,Д2!$E$3:$AI$3))</f>
        <v>8</v>
      </c>
      <c r="H19" s="64">
        <f ca="1">INDEX(Д2!$E$24:$AI$33,MATCH($D19,Д2!$D$24:$D$33),MATCH(H$7,Д2!$E$3:$AI$3))</f>
        <v>8</v>
      </c>
      <c r="I19" s="64">
        <f ca="1">INDEX(Д2!$E$24:$AI$33,MATCH($D19,Д2!$D$24:$D$33),MATCH(I$7,Д2!$E$3:$AI$3))</f>
        <v>12</v>
      </c>
      <c r="J19" s="64">
        <f ca="1">INDEX(Д2!$E$24:$AI$33,MATCH($D19,Д2!$D$24:$D$33),MATCH(J$7,Д2!$E$3:$AI$3))</f>
        <v>0</v>
      </c>
      <c r="K19" s="64">
        <f ca="1">INDEX(Д2!$E$24:$AI$33,MATCH($D19,Д2!$D$24:$D$33),MATCH(K$7,Д2!$E$3:$AI$3))</f>
        <v>0</v>
      </c>
      <c r="L19" s="64">
        <f ca="1">INDEX(Д2!$E$24:$AI$33,MATCH($D19,Д2!$D$24:$D$33),MATCH(L$7,Д2!$E$3:$AI$3))</f>
        <v>4</v>
      </c>
      <c r="M19" s="64">
        <f ca="1">INDEX(Д2!$E$24:$AI$33,MATCH($D19,Д2!$D$24:$D$33),MATCH(M$7,Д2!$E$3:$AI$3))</f>
        <v>8</v>
      </c>
      <c r="N19" s="64">
        <f ca="1">INDEX(Д2!$E$24:$AI$33,MATCH($D19,Д2!$D$24:$D$33),MATCH(N$7,Д2!$E$3:$AI$3))</f>
        <v>12</v>
      </c>
      <c r="O19" s="64">
        <f ca="1">INDEX(Д2!$E$24:$AI$33,MATCH($D19,Д2!$D$24:$D$33),MATCH(O$7,Д2!$E$3:$AI$3))</f>
        <v>4</v>
      </c>
      <c r="P19" s="64">
        <f ca="1">INDEX(Д2!$E$24:$AI$33,MATCH($D19,Д2!$D$24:$D$33),MATCH(P$7,Д2!$E$3:$AI$3))</f>
        <v>8</v>
      </c>
      <c r="Q19" s="64">
        <f ca="1">INDEX(Д2!$E$24:$AI$33,MATCH($D19,Д2!$D$24:$D$33),MATCH(Q$7,Д2!$E$3:$AI$3))</f>
        <v>12</v>
      </c>
      <c r="R19" s="64">
        <f ca="1">INDEX(Д2!$E$24:$AI$33,MATCH($D19,Д2!$D$24:$D$33),MATCH(R$7,Д2!$E$3:$AI$3))</f>
        <v>0</v>
      </c>
      <c r="S19" s="64">
        <f ca="1">INDEX(Д2!$E$24:$AI$33,MATCH($D19,Д2!$D$24:$D$33),MATCH(S$7,Д2!$E$3:$AI$3))</f>
        <v>0</v>
      </c>
      <c r="T19" s="64">
        <f ca="1">INDEX(Д2!$E$24:$AI$33,MATCH($D19,Д2!$D$24:$D$33),MATCH(T$7,Д2!$E$3:$AI$3))</f>
        <v>4</v>
      </c>
      <c r="U19" s="64">
        <f ca="1">INDEX(Д2!$E$24:$AI$33,MATCH($D19,Д2!$D$24:$D$33),MATCH(U$7,Д2!$E$3:$AI$3))</f>
        <v>8</v>
      </c>
      <c r="V19" s="64">
        <f ca="1">INDEX(Д2!$E$24:$AI$33,MATCH($D19,Д2!$D$24:$D$33),MATCH(V$7,Д2!$E$3:$AI$3))</f>
        <v>12</v>
      </c>
      <c r="W19" s="64">
        <f ca="1">INDEX(Д2!$E$24:$AI$33,MATCH($D19,Д2!$D$24:$D$33),MATCH(W$7,Д2!$E$3:$AI$3))</f>
        <v>4</v>
      </c>
      <c r="X19" s="64">
        <f ca="1">INDEX(Д2!$E$24:$AI$33,MATCH($D19,Д2!$D$24:$D$33),MATCH(X$7,Д2!$E$3:$AI$3))</f>
        <v>8</v>
      </c>
      <c r="Y19" s="64">
        <f ca="1">INDEX(Д2!$E$24:$AI$33,MATCH($D19,Д2!$D$24:$D$33),MATCH(Y$7,Д2!$E$3:$AI$3))</f>
        <v>12</v>
      </c>
      <c r="Z19" s="64">
        <f ca="1">INDEX(Д2!$E$24:$AI$33,MATCH($D19,Д2!$D$24:$D$33),MATCH(Z$7,Д2!$E$3:$AI$3))</f>
        <v>0</v>
      </c>
      <c r="AA19" s="64">
        <f ca="1">INDEX(Д2!$E$24:$AI$33,MATCH($D19,Д2!$D$24:$D$33),MATCH(AA$7,Д2!$E$3:$AI$3))</f>
        <v>0</v>
      </c>
      <c r="AB19" s="64">
        <f ca="1">INDEX(Д2!$E$24:$AI$33,MATCH($D19,Д2!$D$24:$D$33),MATCH(AB$7,Д2!$E$3:$AI$3))</f>
        <v>4</v>
      </c>
      <c r="AC19" s="64">
        <f ca="1">INDEX(Д2!$E$24:$AI$33,MATCH($D19,Д2!$D$24:$D$33),MATCH(AC$7,Д2!$E$3:$AI$3))</f>
        <v>8</v>
      </c>
      <c r="AD19" s="64">
        <f ca="1">INDEX(Д2!$E$24:$AI$33,MATCH($D19,Д2!$D$24:$D$33),MATCH(AD$7,Д2!$E$3:$AI$3))</f>
        <v>12</v>
      </c>
      <c r="AE19" s="64">
        <f ca="1">INDEX(Д2!$E$24:$AI$33,MATCH($D19,Д2!$D$24:$D$33),MATCH(AE$7,Д2!$E$3:$AI$3))</f>
        <v>4</v>
      </c>
      <c r="AF19" s="64">
        <f ca="1">INDEX(Д2!$E$24:$AI$33,MATCH($D19,Д2!$D$24:$D$33),MATCH(AF$7,Д2!$E$3:$AI$3))</f>
        <v>8</v>
      </c>
      <c r="AG19" s="64">
        <f ca="1">INDEX(Д2!$E$24:$AI$33,MATCH($D19,Д2!$D$24:$D$33),MATCH(AG$7,Д2!$E$3:$AI$3))</f>
        <v>12</v>
      </c>
      <c r="AH19" s="64">
        <f ca="1">INDEX(Д2!$E$24:$AI$33,MATCH($D19,Д2!$D$24:$D$33),MATCH(AH$7,Д2!$E$3:$AI$3))</f>
        <v>0</v>
      </c>
      <c r="AI19" s="32">
        <f ca="1">INDEX(Д2!$E$24:$AI$33,MATCH($D19,Д2!$D$24:$D$33),MATCH(AI$7,Д2!$E$3:$AI$3))</f>
        <v>0</v>
      </c>
      <c r="AJ19" s="157">
        <f>INDEX(Д2!AK$24:$AK$33,MATCH($C19,Д2!$C$24:$C$33),MATCH(E$7,Д2!$E$3:$AI$3))*AND(MONTH($E$8)=MONTH(Д2!$B$24))</f>
        <v>167</v>
      </c>
      <c r="AK19" s="154">
        <v>0</v>
      </c>
      <c r="AL19" s="155"/>
      <c r="AM19" s="149">
        <f ca="1">SUM(F19:H20,J19:AI20)-AJ19+AL19-12</f>
        <v>-7</v>
      </c>
      <c r="AP19" s="136">
        <f t="shared" ref="AP19" ca="1" si="26">COUNTIF($E19:$AI20,"12")</f>
        <v>8</v>
      </c>
      <c r="AQ19" s="136">
        <f t="shared" ref="AQ19" ca="1" si="27">IF(COUNTIF($E19:$AI20,"СП")&gt;=1,(COUNTIF($E19:$AI20,"4")+COUNTIF($E19:$AI20,"8")-1)/2,(COUNTIF($E19:$AI20,"4")+COUNTIF($E19:$AI20,"8"))/2)</f>
        <v>7</v>
      </c>
      <c r="AR19" s="136">
        <f t="shared" ca="1" si="2"/>
        <v>96</v>
      </c>
      <c r="AS19" s="136">
        <f t="shared" ref="AS19" ca="1" si="28">IF(COUNTIF($E19:$AI20,"СП")&gt;=1,SUMIF($E19:$AI20,"4",$E19:$AI20)+SUMIF($E19:$AI20,"8",$E19:$AI20)-8,SUMIF($E19:$AI20,"4",$E19:$AI20)+SUMIF($E19:$AI20,"8",$E19:$AI20))</f>
        <v>88</v>
      </c>
      <c r="AT19" s="136">
        <f t="shared" ref="AT19" ca="1" si="29">$AR19+$AS19</f>
        <v>184</v>
      </c>
      <c r="AU19" s="136" t="str">
        <f t="shared" ref="AU19" ca="1" si="30">IF(AK19=AT19,"+","!")</f>
        <v>!</v>
      </c>
      <c r="AV19" s="136">
        <f t="shared" ref="AV19" ca="1" si="31">COUNTIF($E19:$AI20,"ОТ")</f>
        <v>0</v>
      </c>
      <c r="AW19" s="137" t="str">
        <f ca="1">IF(COUNTIF($A20:$AI20,"СП")&gt;0,IF(INDIRECT(ADDRESS(ROW(),MATCH("СП",$A20:$AI20),1))=8,"","!"),"")</f>
        <v>!</v>
      </c>
      <c r="AX19" s="137" t="str">
        <f ca="1">IF(COUNTIF($A20:$AI20,"СП")&gt;0,IF(INDIRECT(ADDRESS(ROW(),MATCH("СП",$A20:$AI20)-1,1))=4,"!",""),"")</f>
        <v/>
      </c>
    </row>
    <row r="20" spans="1:50" ht="16.5" thickBot="1" x14ac:dyDescent="0.3">
      <c r="A20" s="147"/>
      <c r="B20" s="139"/>
      <c r="C20" s="171"/>
      <c r="D20" s="50">
        <v>2</v>
      </c>
      <c r="E20" s="63" t="str">
        <f>INDEX(Д2!$E$24:$AI$33,MATCH($D20,Д2!$D$24:$D$33),MATCH(E$7,Д2!$E$3:$AI$3))</f>
        <v/>
      </c>
      <c r="F20" s="29" t="str">
        <f>INDEX(Д2!$E$24:$AI$33,MATCH($D20,Д2!$D$24:$D$33),MATCH(F$7,Д2!$E$3:$AI$3))</f>
        <v/>
      </c>
      <c r="G20" s="29" t="str">
        <f>INDEX(Д2!$E$24:$AI$33,MATCH($D20,Д2!$D$24:$D$33),MATCH(G$7,Д2!$E$3:$AI$3))</f>
        <v>СП</v>
      </c>
      <c r="H20" s="29" t="str">
        <f>INDEX(Д2!$E$24:$AI$33,MATCH($D20,Д2!$D$24:$D$33),MATCH(H$7,Д2!$E$3:$AI$3))</f>
        <v/>
      </c>
      <c r="I20" s="29" t="str">
        <f>INDEX(Д2!$E$24:$AI$33,MATCH($D20,Д2!$D$24:$D$33),MATCH(I$7,Д2!$E$3:$AI$3))</f>
        <v/>
      </c>
      <c r="J20" s="29" t="str">
        <f>INDEX(Д2!$E$24:$AI$33,MATCH($D20,Д2!$D$24:$D$33),MATCH(J$7,Д2!$E$3:$AI$3))</f>
        <v/>
      </c>
      <c r="K20" s="29" t="str">
        <f>INDEX(Д2!$E$24:$AI$33,MATCH($D20,Д2!$D$24:$D$33),MATCH(K$7,Д2!$E$3:$AI$3))</f>
        <v/>
      </c>
      <c r="L20" s="29" t="str">
        <f>INDEX(Д2!$E$24:$AI$33,MATCH($D20,Д2!$D$24:$D$33),MATCH(L$7,Д2!$E$3:$AI$3))</f>
        <v/>
      </c>
      <c r="M20" s="29" t="str">
        <f>INDEX(Д2!$E$24:$AI$33,MATCH($D20,Д2!$D$24:$D$33),MATCH(M$7,Д2!$E$3:$AI$3))</f>
        <v/>
      </c>
      <c r="N20" s="29" t="str">
        <f>INDEX(Д2!$E$24:$AI$33,MATCH($D20,Д2!$D$24:$D$33),MATCH(N$7,Д2!$E$3:$AI$3))</f>
        <v/>
      </c>
      <c r="O20" s="29" t="str">
        <f>INDEX(Д2!$E$24:$AI$33,MATCH($D20,Д2!$D$24:$D$33),MATCH(O$7,Д2!$E$3:$AI$3))</f>
        <v/>
      </c>
      <c r="P20" s="29" t="str">
        <f>INDEX(Д2!$E$24:$AI$33,MATCH($D20,Д2!$D$24:$D$33),MATCH(P$7,Д2!$E$3:$AI$3))</f>
        <v/>
      </c>
      <c r="Q20" s="29" t="str">
        <f>INDEX(Д2!$E$24:$AI$33,MATCH($D20,Д2!$D$24:$D$33),MATCH(Q$7,Д2!$E$3:$AI$3))</f>
        <v/>
      </c>
      <c r="R20" s="29" t="str">
        <f>INDEX(Д2!$E$24:$AI$33,MATCH($D20,Д2!$D$24:$D$33),MATCH(R$7,Д2!$E$3:$AI$3))</f>
        <v/>
      </c>
      <c r="S20" s="29" t="str">
        <f>INDEX(Д2!$E$24:$AI$33,MATCH($D20,Д2!$D$24:$D$33),MATCH(S$7,Д2!$E$3:$AI$3))</f>
        <v/>
      </c>
      <c r="T20" s="29" t="str">
        <f>INDEX(Д2!$E$24:$AI$33,MATCH($D20,Д2!$D$24:$D$33),MATCH(T$7,Д2!$E$3:$AI$3))</f>
        <v/>
      </c>
      <c r="U20" s="29" t="str">
        <f>INDEX(Д2!$E$24:$AI$33,MATCH($D20,Д2!$D$24:$D$33),MATCH(U$7,Д2!$E$3:$AI$3))</f>
        <v/>
      </c>
      <c r="V20" s="29" t="str">
        <f>INDEX(Д2!$E$24:$AI$33,MATCH($D20,Д2!$D$24:$D$33),MATCH(V$7,Д2!$E$3:$AI$3))</f>
        <v/>
      </c>
      <c r="W20" s="29" t="str">
        <f>INDEX(Д2!$E$24:$AI$33,MATCH($D20,Д2!$D$24:$D$33),MATCH(W$7,Д2!$E$3:$AI$3))</f>
        <v/>
      </c>
      <c r="X20" s="29" t="str">
        <f>INDEX(Д2!$E$24:$AI$33,MATCH($D20,Д2!$D$24:$D$33),MATCH(X$7,Д2!$E$3:$AI$3))</f>
        <v/>
      </c>
      <c r="Y20" s="29" t="str">
        <f>INDEX(Д2!$E$24:$AI$33,MATCH($D20,Д2!$D$24:$D$33),MATCH(Y$7,Д2!$E$3:$AI$3))</f>
        <v/>
      </c>
      <c r="Z20" s="29" t="str">
        <f>INDEX(Д2!$E$24:$AI$33,MATCH($D20,Д2!$D$24:$D$33),MATCH(Z$7,Д2!$E$3:$AI$3))</f>
        <v/>
      </c>
      <c r="AA20" s="29" t="str">
        <f>INDEX(Д2!$E$24:$AI$33,MATCH($D20,Д2!$D$24:$D$33),MATCH(AA$7,Д2!$E$3:$AI$3))</f>
        <v/>
      </c>
      <c r="AB20" s="29" t="str">
        <f>INDEX(Д2!$E$24:$AI$33,MATCH($D20,Д2!$D$24:$D$33),MATCH(AB$7,Д2!$E$3:$AI$3))</f>
        <v/>
      </c>
      <c r="AC20" s="29" t="str">
        <f>INDEX(Д2!$E$24:$AI$33,MATCH($D20,Д2!$D$24:$D$33),MATCH(AC$7,Д2!$E$3:$AI$3))</f>
        <v/>
      </c>
      <c r="AD20" s="29" t="str">
        <f>INDEX(Д2!$E$24:$AI$33,MATCH($D20,Д2!$D$24:$D$33),MATCH(AD$7,Д2!$E$3:$AI$3))</f>
        <v/>
      </c>
      <c r="AE20" s="29" t="str">
        <f>INDEX(Д2!$E$24:$AI$33,MATCH($D20,Д2!$D$24:$D$33),MATCH(AE$7,Д2!$E$3:$AI$3))</f>
        <v/>
      </c>
      <c r="AF20" s="29" t="str">
        <f>INDEX(Д2!$E$24:$AI$33,MATCH($D20,Д2!$D$24:$D$33),MATCH(AF$7,Д2!$E$3:$AI$3))</f>
        <v/>
      </c>
      <c r="AG20" s="29" t="str">
        <f>INDEX(Д2!$E$24:$AI$33,MATCH($D20,Д2!$D$24:$D$33),MATCH(AG$7,Д2!$E$3:$AI$3))</f>
        <v/>
      </c>
      <c r="AH20" s="29" t="str">
        <f>INDEX(Д2!$E$24:$AI$33,MATCH($D20,Д2!$D$24:$D$33),MATCH(AH$7,Д2!$E$3:$AI$3))</f>
        <v/>
      </c>
      <c r="AI20" s="61" t="str">
        <f>INDEX(Д2!$E$24:$AI$33,MATCH($D20,Д2!$D$24:$D$33),MATCH(AI$7,Д2!$E$3:$AI$3))</f>
        <v/>
      </c>
      <c r="AJ20" s="143"/>
      <c r="AK20" s="145"/>
      <c r="AL20" s="145" t="s">
        <v>17</v>
      </c>
      <c r="AM20" s="150"/>
      <c r="AP20" s="136"/>
      <c r="AQ20" s="136"/>
      <c r="AR20" s="136"/>
      <c r="AS20" s="136"/>
      <c r="AT20" s="136"/>
      <c r="AU20" s="136"/>
      <c r="AV20" s="136"/>
      <c r="AW20" s="137"/>
      <c r="AX20" s="137"/>
    </row>
    <row r="21" spans="1:50" ht="16.5" customHeight="1" thickBot="1" x14ac:dyDescent="0.3">
      <c r="A21" s="147"/>
      <c r="B21" s="139" t="s">
        <v>86</v>
      </c>
      <c r="C21" s="170">
        <v>2</v>
      </c>
      <c r="D21" s="49">
        <v>3</v>
      </c>
      <c r="E21" s="64">
        <f ca="1">INDEX(Д2!$E$24:$AI$33,MATCH($D21,Д2!$D$24:$D$33),MATCH(E$7,Д2!$E$3:$AI$3))</f>
        <v>4</v>
      </c>
      <c r="F21" s="27">
        <f ca="1">INDEX(Д2!$E$24:$AI$33,MATCH($D21,Д2!$D$24:$D$33),MATCH(F$7,Д2!$E$3:$AI$3))</f>
        <v>8</v>
      </c>
      <c r="G21" s="27">
        <f ca="1">INDEX(Д2!$E$24:$AI$33,MATCH($D21,Д2!$D$24:$D$33),MATCH(G$7,Д2!$E$3:$AI$3))</f>
        <v>12</v>
      </c>
      <c r="H21" s="27">
        <f ca="1">INDEX(Д2!$E$24:$AI$33,MATCH($D21,Д2!$D$24:$D$33),MATCH(H$7,Д2!$E$3:$AI$3))</f>
        <v>8</v>
      </c>
      <c r="I21" s="27">
        <f ca="1">INDEX(Д2!$E$24:$AI$33,MATCH($D21,Д2!$D$24:$D$33),MATCH(I$7,Д2!$E$3:$AI$3))</f>
        <v>0</v>
      </c>
      <c r="J21" s="27">
        <f ca="1">INDEX(Д2!$E$24:$AI$33,MATCH($D21,Д2!$D$24:$D$33),MATCH(J$7,Д2!$E$3:$AI$3))</f>
        <v>4</v>
      </c>
      <c r="K21" s="27">
        <f ca="1">INDEX(Д2!$E$24:$AI$33,MATCH($D21,Д2!$D$24:$D$33),MATCH(K$7,Д2!$E$3:$AI$3))</f>
        <v>8</v>
      </c>
      <c r="L21" s="27">
        <f ca="1">INDEX(Д2!$E$24:$AI$33,MATCH($D21,Д2!$D$24:$D$33),MATCH(L$7,Д2!$E$3:$AI$3))</f>
        <v>12</v>
      </c>
      <c r="M21" s="27">
        <f ca="1">INDEX(Д2!$E$24:$AI$33,MATCH($D21,Д2!$D$24:$D$33),MATCH(M$7,Д2!$E$3:$AI$3))</f>
        <v>4</v>
      </c>
      <c r="N21" s="27">
        <f ca="1">INDEX(Д2!$E$24:$AI$33,MATCH($D21,Д2!$D$24:$D$33),MATCH(N$7,Д2!$E$3:$AI$3))</f>
        <v>8</v>
      </c>
      <c r="O21" s="27">
        <f ca="1">INDEX(Д2!$E$24:$AI$33,MATCH($D21,Д2!$D$24:$D$33),MATCH(O$7,Д2!$E$3:$AI$3))</f>
        <v>12</v>
      </c>
      <c r="P21" s="27">
        <f ca="1">INDEX(Д2!$E$24:$AI$33,MATCH($D21,Д2!$D$24:$D$33),MATCH(P$7,Д2!$E$3:$AI$3))</f>
        <v>0</v>
      </c>
      <c r="Q21" s="27">
        <f ca="1">INDEX(Д2!$E$24:$AI$33,MATCH($D21,Д2!$D$24:$D$33),MATCH(Q$7,Д2!$E$3:$AI$3))</f>
        <v>0</v>
      </c>
      <c r="R21" s="27">
        <f ca="1">INDEX(Д2!$E$24:$AI$33,MATCH($D21,Д2!$D$24:$D$33),MATCH(R$7,Д2!$E$3:$AI$3))</f>
        <v>4</v>
      </c>
      <c r="S21" s="27">
        <f ca="1">INDEX(Д2!$E$24:$AI$33,MATCH($D21,Д2!$D$24:$D$33),MATCH(S$7,Д2!$E$3:$AI$3))</f>
        <v>8</v>
      </c>
      <c r="T21" s="27">
        <f ca="1">INDEX(Д2!$E$24:$AI$33,MATCH($D21,Д2!$D$24:$D$33),MATCH(T$7,Д2!$E$3:$AI$3))</f>
        <v>12</v>
      </c>
      <c r="U21" s="27">
        <f ca="1">INDEX(Д2!$E$24:$AI$33,MATCH($D21,Д2!$D$24:$D$33),MATCH(U$7,Д2!$E$3:$AI$3))</f>
        <v>4</v>
      </c>
      <c r="V21" s="27">
        <f ca="1">INDEX(Д2!$E$24:$AI$33,MATCH($D21,Д2!$D$24:$D$33),MATCH(V$7,Д2!$E$3:$AI$3))</f>
        <v>8</v>
      </c>
      <c r="W21" s="27">
        <f ca="1">INDEX(Д2!$E$24:$AI$33,MATCH($D21,Д2!$D$24:$D$33),MATCH(W$7,Д2!$E$3:$AI$3))</f>
        <v>12</v>
      </c>
      <c r="X21" s="27">
        <f ca="1">INDEX(Д2!$E$24:$AI$33,MATCH($D21,Д2!$D$24:$D$33),MATCH(X$7,Д2!$E$3:$AI$3))</f>
        <v>0</v>
      </c>
      <c r="Y21" s="27">
        <f ca="1">INDEX(Д2!$E$24:$AI$33,MATCH($D21,Д2!$D$24:$D$33),MATCH(Y$7,Д2!$E$3:$AI$3))</f>
        <v>0</v>
      </c>
      <c r="Z21" s="27">
        <f ca="1">INDEX(Д2!$E$24:$AI$33,MATCH($D21,Д2!$D$24:$D$33),MATCH(Z$7,Д2!$E$3:$AI$3))</f>
        <v>4</v>
      </c>
      <c r="AA21" s="27">
        <f ca="1">INDEX(Д2!$E$24:$AI$33,MATCH($D21,Д2!$D$24:$D$33),MATCH(AA$7,Д2!$E$3:$AI$3))</f>
        <v>8</v>
      </c>
      <c r="AB21" s="27">
        <f ca="1">INDEX(Д2!$E$24:$AI$33,MATCH($D21,Д2!$D$24:$D$33),MATCH(AB$7,Д2!$E$3:$AI$3))</f>
        <v>12</v>
      </c>
      <c r="AC21" s="27">
        <f ca="1">INDEX(Д2!$E$24:$AI$33,MATCH($D21,Д2!$D$24:$D$33),MATCH(AC$7,Д2!$E$3:$AI$3))</f>
        <v>4</v>
      </c>
      <c r="AD21" s="27">
        <f ca="1">INDEX(Д2!$E$24:$AI$33,MATCH($D21,Д2!$D$24:$D$33),MATCH(AD$7,Д2!$E$3:$AI$3))</f>
        <v>8</v>
      </c>
      <c r="AE21" s="27">
        <f ca="1">INDEX(Д2!$E$24:$AI$33,MATCH($D21,Д2!$D$24:$D$33),MATCH(AE$7,Д2!$E$3:$AI$3))</f>
        <v>12</v>
      </c>
      <c r="AF21" s="27">
        <f ca="1">INDEX(Д2!$E$24:$AI$33,MATCH($D21,Д2!$D$24:$D$33),MATCH(AF$7,Д2!$E$3:$AI$3))</f>
        <v>0</v>
      </c>
      <c r="AG21" s="27">
        <f ca="1">INDEX(Д2!$E$24:$AI$33,MATCH($D21,Д2!$D$24:$D$33),MATCH(AG$7,Д2!$E$3:$AI$3))</f>
        <v>0</v>
      </c>
      <c r="AH21" s="27">
        <f ca="1">INDEX(Д2!$E$24:$AI$33,MATCH($D21,Д2!$D$24:$D$33),MATCH(AH$7,Д2!$E$3:$AI$3))</f>
        <v>4</v>
      </c>
      <c r="AI21" s="32">
        <f ca="1">INDEX(Д2!$E$24:$AI$33,MATCH($D21,Д2!$D$24:$D$33),MATCH(AI$7,Д2!$E$3:$AI$3))</f>
        <v>8</v>
      </c>
      <c r="AJ21" s="143">
        <f>INDEX(Д2!AK$24:$AK$33,MATCH($C21,Д2!$C$24:$C$33),MATCH(E$7,Д2!$E$3:$AI$3))*AND(MONTH($E$8)=MONTH(Д2!$B$24))</f>
        <v>167</v>
      </c>
      <c r="AK21" s="144">
        <f ca="1">SUM(E21:AI22)</f>
        <v>188</v>
      </c>
      <c r="AL21" s="144"/>
      <c r="AM21" s="149">
        <f ca="1">SUM(F21:H22,J21:AI22)-AJ21+AL21-12</f>
        <v>5</v>
      </c>
      <c r="AP21" s="136">
        <f t="shared" ref="AP21" ca="1" si="32">COUNTIF($E21:$AI22,"12")</f>
        <v>7</v>
      </c>
      <c r="AQ21" s="136">
        <f t="shared" ref="AQ21" ca="1" si="33">IF(COUNTIF($E21:$AI22,"СП")&gt;=1,(COUNTIF($E21:$AI22,"4")+COUNTIF($E21:$AI22,"8")-1)/2,(COUNTIF($E21:$AI22,"4")+COUNTIF($E21:$AI22,"8"))/2)</f>
        <v>8</v>
      </c>
      <c r="AR21" s="136">
        <f t="shared" ca="1" si="2"/>
        <v>84</v>
      </c>
      <c r="AS21" s="136">
        <f t="shared" ref="AS21" ca="1" si="34">IF(COUNTIF($E21:$AI22,"СП")&gt;=1,SUMIF($E21:$AI22,"4",$E21:$AI22)+SUMIF($E21:$AI22,"8",$E21:$AI22)-8,SUMIF($E21:$AI22,"4",$E21:$AI22)+SUMIF($E21:$AI22,"8",$E21:$AI22))</f>
        <v>96</v>
      </c>
      <c r="AT21" s="136">
        <f t="shared" ref="AT21" ca="1" si="35">$AR21+$AS21</f>
        <v>180</v>
      </c>
      <c r="AU21" s="136" t="str">
        <f t="shared" ref="AU21" ca="1" si="36">IF(AK21=AT21,"+","!")</f>
        <v>!</v>
      </c>
      <c r="AV21" s="136">
        <f t="shared" ref="AV21" ca="1" si="37">COUNTIF($E21:$AI22,"ОТ")</f>
        <v>0</v>
      </c>
      <c r="AW21" s="137" t="str">
        <f ca="1">IF(COUNTIF($A22:$AI22,"СП")&gt;0,IF(INDIRECT(ADDRESS(ROW(),MATCH("СП",$A22:$AI22),1))=8,"","!"),"")</f>
        <v/>
      </c>
      <c r="AX21" s="137" t="str">
        <f ca="1">IF(COUNTIF($A22:$AI22,"СП")&gt;0,IF(INDIRECT(ADDRESS(ROW(),MATCH("СП",$A22:$AI22)-1,1))=4,"!",""),"")</f>
        <v>!</v>
      </c>
    </row>
    <row r="22" spans="1:50" ht="16.5" thickBot="1" x14ac:dyDescent="0.3">
      <c r="A22" s="147"/>
      <c r="B22" s="139"/>
      <c r="C22" s="171"/>
      <c r="D22" s="50">
        <v>4</v>
      </c>
      <c r="E22" s="65" t="str">
        <f>INDEX(Д2!$E$24:$AI$33,MATCH($D22,Д2!$D$24:$D$33),MATCH(E$7,Д2!$E$3:$AI$3))</f>
        <v/>
      </c>
      <c r="F22" s="30" t="str">
        <f>INDEX(Д2!$E$24:$AI$33,MATCH($D22,Д2!$D$24:$D$33),MATCH(F$7,Д2!$E$3:$AI$3))</f>
        <v/>
      </c>
      <c r="G22" s="30" t="str">
        <f>INDEX(Д2!$E$24:$AI$33,MATCH($D22,Д2!$D$24:$D$33),MATCH(G$7,Д2!$E$3:$AI$3))</f>
        <v/>
      </c>
      <c r="H22" s="30" t="str">
        <f>INDEX(Д2!$E$24:$AI$33,MATCH($D22,Д2!$D$24:$D$33),MATCH(H$7,Д2!$E$3:$AI$3))</f>
        <v>СП</v>
      </c>
      <c r="I22" s="30" t="str">
        <f>INDEX(Д2!$E$24:$AI$33,MATCH($D22,Д2!$D$24:$D$33),MATCH(I$7,Д2!$E$3:$AI$3))</f>
        <v/>
      </c>
      <c r="J22" s="30" t="str">
        <f>INDEX(Д2!$E$24:$AI$33,MATCH($D22,Д2!$D$24:$D$33),MATCH(J$7,Д2!$E$3:$AI$3))</f>
        <v/>
      </c>
      <c r="K22" s="30" t="str">
        <f>INDEX(Д2!$E$24:$AI$33,MATCH($D22,Д2!$D$24:$D$33),MATCH(K$7,Д2!$E$3:$AI$3))</f>
        <v/>
      </c>
      <c r="L22" s="30" t="str">
        <f>INDEX(Д2!$E$24:$AI$33,MATCH($D22,Д2!$D$24:$D$33),MATCH(L$7,Д2!$E$3:$AI$3))</f>
        <v/>
      </c>
      <c r="M22" s="30" t="str">
        <f>INDEX(Д2!$E$24:$AI$33,MATCH($D22,Д2!$D$24:$D$33),MATCH(M$7,Д2!$E$3:$AI$3))</f>
        <v/>
      </c>
      <c r="N22" s="30" t="str">
        <f>INDEX(Д2!$E$24:$AI$33,MATCH($D22,Д2!$D$24:$D$33),MATCH(N$7,Д2!$E$3:$AI$3))</f>
        <v/>
      </c>
      <c r="O22" s="30" t="str">
        <f>INDEX(Д2!$E$24:$AI$33,MATCH($D22,Д2!$D$24:$D$33),MATCH(O$7,Д2!$E$3:$AI$3))</f>
        <v/>
      </c>
      <c r="P22" s="30" t="str">
        <f>INDEX(Д2!$E$24:$AI$33,MATCH($D22,Д2!$D$24:$D$33),MATCH(P$7,Д2!$E$3:$AI$3))</f>
        <v/>
      </c>
      <c r="Q22" s="30" t="str">
        <f>INDEX(Д2!$E$24:$AI$33,MATCH($D22,Д2!$D$24:$D$33),MATCH(Q$7,Д2!$E$3:$AI$3))</f>
        <v/>
      </c>
      <c r="R22" s="30" t="str">
        <f>INDEX(Д2!$E$24:$AI$33,MATCH($D22,Д2!$D$24:$D$33),MATCH(R$7,Д2!$E$3:$AI$3))</f>
        <v/>
      </c>
      <c r="S22" s="30" t="str">
        <f>INDEX(Д2!$E$24:$AI$33,MATCH($D22,Д2!$D$24:$D$33),MATCH(S$7,Д2!$E$3:$AI$3))</f>
        <v/>
      </c>
      <c r="T22" s="30" t="str">
        <f>INDEX(Д2!$E$24:$AI$33,MATCH($D22,Д2!$D$24:$D$33),MATCH(T$7,Д2!$E$3:$AI$3))</f>
        <v/>
      </c>
      <c r="U22" s="30" t="str">
        <f>INDEX(Д2!$E$24:$AI$33,MATCH($D22,Д2!$D$24:$D$33),MATCH(U$7,Д2!$E$3:$AI$3))</f>
        <v/>
      </c>
      <c r="V22" s="30" t="str">
        <f>INDEX(Д2!$E$24:$AI$33,MATCH($D22,Д2!$D$24:$D$33),MATCH(V$7,Д2!$E$3:$AI$3))</f>
        <v/>
      </c>
      <c r="W22" s="30" t="str">
        <f>INDEX(Д2!$E$24:$AI$33,MATCH($D22,Д2!$D$24:$D$33),MATCH(W$7,Д2!$E$3:$AI$3))</f>
        <v/>
      </c>
      <c r="X22" s="30" t="str">
        <f>INDEX(Д2!$E$24:$AI$33,MATCH($D22,Д2!$D$24:$D$33),MATCH(X$7,Д2!$E$3:$AI$3))</f>
        <v/>
      </c>
      <c r="Y22" s="30" t="str">
        <f>INDEX(Д2!$E$24:$AI$33,MATCH($D22,Д2!$D$24:$D$33),MATCH(Y$7,Д2!$E$3:$AI$3))</f>
        <v/>
      </c>
      <c r="Z22" s="30" t="str">
        <f>INDEX(Д2!$E$24:$AI$33,MATCH($D22,Д2!$D$24:$D$33),MATCH(Z$7,Д2!$E$3:$AI$3))</f>
        <v/>
      </c>
      <c r="AA22" s="30" t="str">
        <f>INDEX(Д2!$E$24:$AI$33,MATCH($D22,Д2!$D$24:$D$33),MATCH(AA$7,Д2!$E$3:$AI$3))</f>
        <v/>
      </c>
      <c r="AB22" s="30" t="str">
        <f>INDEX(Д2!$E$24:$AI$33,MATCH($D22,Д2!$D$24:$D$33),MATCH(AB$7,Д2!$E$3:$AI$3))</f>
        <v/>
      </c>
      <c r="AC22" s="30" t="str">
        <f>INDEX(Д2!$E$24:$AI$33,MATCH($D22,Д2!$D$24:$D$33),MATCH(AC$7,Д2!$E$3:$AI$3))</f>
        <v/>
      </c>
      <c r="AD22" s="30" t="str">
        <f>INDEX(Д2!$E$24:$AI$33,MATCH($D22,Д2!$D$24:$D$33),MATCH(AD$7,Д2!$E$3:$AI$3))</f>
        <v/>
      </c>
      <c r="AE22" s="30" t="str">
        <f>INDEX(Д2!$E$24:$AI$33,MATCH($D22,Д2!$D$24:$D$33),MATCH(AE$7,Д2!$E$3:$AI$3))</f>
        <v/>
      </c>
      <c r="AF22" s="30" t="str">
        <f>INDEX(Д2!$E$24:$AI$33,MATCH($D22,Д2!$D$24:$D$33),MATCH(AF$7,Д2!$E$3:$AI$3))</f>
        <v/>
      </c>
      <c r="AG22" s="30" t="str">
        <f>INDEX(Д2!$E$24:$AI$33,MATCH($D22,Д2!$D$24:$D$33),MATCH(AG$7,Д2!$E$3:$AI$3))</f>
        <v/>
      </c>
      <c r="AH22" s="30" t="str">
        <f>INDEX(Д2!$E$24:$AI$33,MATCH($D22,Д2!$D$24:$D$33),MATCH(AH$7,Д2!$E$3:$AI$3))</f>
        <v/>
      </c>
      <c r="AI22" s="33" t="str">
        <f>INDEX(Д2!$E$24:$AI$33,MATCH($D22,Д2!$D$24:$D$33),MATCH(AI$7,Д2!$E$3:$AI$3))</f>
        <v/>
      </c>
      <c r="AJ22" s="143"/>
      <c r="AK22" s="145"/>
      <c r="AL22" s="145"/>
      <c r="AM22" s="150"/>
      <c r="AP22" s="136"/>
      <c r="AQ22" s="136"/>
      <c r="AR22" s="136"/>
      <c r="AS22" s="136"/>
      <c r="AT22" s="136"/>
      <c r="AU22" s="136"/>
      <c r="AV22" s="136"/>
      <c r="AW22" s="137"/>
      <c r="AX22" s="137"/>
    </row>
    <row r="23" spans="1:50" ht="16.5" customHeight="1" thickBot="1" x14ac:dyDescent="0.3">
      <c r="A23" s="147"/>
      <c r="B23" s="139" t="s">
        <v>87</v>
      </c>
      <c r="C23" s="170">
        <v>3</v>
      </c>
      <c r="D23" s="49">
        <v>5</v>
      </c>
      <c r="E23" s="62">
        <f ca="1">INDEX(Д2!$E$24:$AI$33,MATCH($D23,Д2!$D$24:$D$33),MATCH(E$7,Д2!$E$3:$AI$3))</f>
        <v>0</v>
      </c>
      <c r="F23" s="28">
        <f ca="1">INDEX(Д2!$E$24:$AI$33,MATCH($D23,Д2!$D$24:$D$33),MATCH(F$7,Д2!$E$3:$AI$3))</f>
        <v>4</v>
      </c>
      <c r="G23" s="28">
        <f ca="1">INDEX(Д2!$E$24:$AI$33,MATCH($D23,Д2!$D$24:$D$33),MATCH(G$7,Д2!$E$3:$AI$3))</f>
        <v>8</v>
      </c>
      <c r="H23" s="28">
        <f ca="1">INDEX(Д2!$E$24:$AI$33,MATCH($D23,Д2!$D$24:$D$33),MATCH(H$7,Д2!$E$3:$AI$3))</f>
        <v>12</v>
      </c>
      <c r="I23" s="28">
        <f ca="1">INDEX(Д2!$E$24:$AI$33,MATCH($D23,Д2!$D$24:$D$33),MATCH(I$7,Д2!$E$3:$AI$3))</f>
        <v>8</v>
      </c>
      <c r="J23" s="28">
        <f ca="1">INDEX(Д2!$E$24:$AI$33,MATCH($D23,Д2!$D$24:$D$33),MATCH(J$7,Д2!$E$3:$AI$3))</f>
        <v>8</v>
      </c>
      <c r="K23" s="28">
        <f ca="1">INDEX(Д2!$E$24:$AI$33,MATCH($D23,Д2!$D$24:$D$33),MATCH(K$7,Д2!$E$3:$AI$3))</f>
        <v>12</v>
      </c>
      <c r="L23" s="28">
        <f ca="1">INDEX(Д2!$E$24:$AI$33,MATCH($D23,Д2!$D$24:$D$33),MATCH(L$7,Д2!$E$3:$AI$3))</f>
        <v>0</v>
      </c>
      <c r="M23" s="28">
        <f ca="1">INDEX(Д2!$E$24:$AI$33,MATCH($D23,Д2!$D$24:$D$33),MATCH(M$7,Д2!$E$3:$AI$3))</f>
        <v>0</v>
      </c>
      <c r="N23" s="28">
        <f ca="1">INDEX(Д2!$E$24:$AI$33,MATCH($D23,Д2!$D$24:$D$33),MATCH(N$7,Д2!$E$3:$AI$3))</f>
        <v>4</v>
      </c>
      <c r="O23" s="28">
        <f ca="1">INDEX(Д2!$E$24:$AI$33,MATCH($D23,Д2!$D$24:$D$33),MATCH(O$7,Д2!$E$3:$AI$3))</f>
        <v>8</v>
      </c>
      <c r="P23" s="28">
        <f ca="1">INDEX(Д2!$E$24:$AI$33,MATCH($D23,Д2!$D$24:$D$33),MATCH(P$7,Д2!$E$3:$AI$3))</f>
        <v>12</v>
      </c>
      <c r="Q23" s="28">
        <f ca="1">INDEX(Д2!$E$24:$AI$33,MATCH($D23,Д2!$D$24:$D$33),MATCH(Q$7,Д2!$E$3:$AI$3))</f>
        <v>4</v>
      </c>
      <c r="R23" s="28">
        <f ca="1">INDEX(Д2!$E$24:$AI$33,MATCH($D23,Д2!$D$24:$D$33),MATCH(R$7,Д2!$E$3:$AI$3))</f>
        <v>8</v>
      </c>
      <c r="S23" s="28">
        <f ca="1">INDEX(Д2!$E$24:$AI$33,MATCH($D23,Д2!$D$24:$D$33),MATCH(S$7,Д2!$E$3:$AI$3))</f>
        <v>12</v>
      </c>
      <c r="T23" s="28">
        <f ca="1">INDEX(Д2!$E$24:$AI$33,MATCH($D23,Д2!$D$24:$D$33),MATCH(T$7,Д2!$E$3:$AI$3))</f>
        <v>0</v>
      </c>
      <c r="U23" s="28">
        <f ca="1">INDEX(Д2!$E$24:$AI$33,MATCH($D23,Д2!$D$24:$D$33),MATCH(U$7,Д2!$E$3:$AI$3))</f>
        <v>0</v>
      </c>
      <c r="V23" s="28">
        <f ca="1">INDEX(Д2!$E$24:$AI$33,MATCH($D23,Д2!$D$24:$D$33),MATCH(V$7,Д2!$E$3:$AI$3))</f>
        <v>4</v>
      </c>
      <c r="W23" s="28">
        <f ca="1">INDEX(Д2!$E$24:$AI$33,MATCH($D23,Д2!$D$24:$D$33),MATCH(W$7,Д2!$E$3:$AI$3))</f>
        <v>8</v>
      </c>
      <c r="X23" s="28">
        <f ca="1">INDEX(Д2!$E$24:$AI$33,MATCH($D23,Д2!$D$24:$D$33),MATCH(X$7,Д2!$E$3:$AI$3))</f>
        <v>12</v>
      </c>
      <c r="Y23" s="28">
        <f ca="1">INDEX(Д2!$E$24:$AI$33,MATCH($D23,Д2!$D$24:$D$33),MATCH(Y$7,Д2!$E$3:$AI$3))</f>
        <v>4</v>
      </c>
      <c r="Z23" s="28">
        <f ca="1">INDEX(Д2!$E$24:$AI$33,MATCH($D23,Д2!$D$24:$D$33),MATCH(Z$7,Д2!$E$3:$AI$3))</f>
        <v>8</v>
      </c>
      <c r="AA23" s="28">
        <f ca="1">INDEX(Д2!$E$24:$AI$33,MATCH($D23,Д2!$D$24:$D$33),MATCH(AA$7,Д2!$E$3:$AI$3))</f>
        <v>12</v>
      </c>
      <c r="AB23" s="28">
        <f ca="1">INDEX(Д2!$E$24:$AI$33,MATCH($D23,Д2!$D$24:$D$33),MATCH(AB$7,Д2!$E$3:$AI$3))</f>
        <v>0</v>
      </c>
      <c r="AC23" s="28">
        <f ca="1">INDEX(Д2!$E$24:$AI$33,MATCH($D23,Д2!$D$24:$D$33),MATCH(AC$7,Д2!$E$3:$AI$3))</f>
        <v>0</v>
      </c>
      <c r="AD23" s="28">
        <f ca="1">INDEX(Д2!$E$24:$AI$33,MATCH($D23,Д2!$D$24:$D$33),MATCH(AD$7,Д2!$E$3:$AI$3))</f>
        <v>4</v>
      </c>
      <c r="AE23" s="28">
        <f ca="1">INDEX(Д2!$E$24:$AI$33,MATCH($D23,Д2!$D$24:$D$33),MATCH(AE$7,Д2!$E$3:$AI$3))</f>
        <v>8</v>
      </c>
      <c r="AF23" s="28">
        <f ca="1">INDEX(Д2!$E$24:$AI$33,MATCH($D23,Д2!$D$24:$D$33),MATCH(AF$7,Д2!$E$3:$AI$3))</f>
        <v>12</v>
      </c>
      <c r="AG23" s="28">
        <f ca="1">INDEX(Д2!$E$24:$AI$33,MATCH($D23,Д2!$D$24:$D$33),MATCH(AG$7,Д2!$E$3:$AI$3))</f>
        <v>4</v>
      </c>
      <c r="AH23" s="28">
        <f ca="1">INDEX(Д2!$E$24:$AI$33,MATCH($D23,Д2!$D$24:$D$33),MATCH(AH$7,Д2!$E$3:$AI$3))</f>
        <v>8</v>
      </c>
      <c r="AI23" s="60">
        <f ca="1">INDEX(Д2!$E$24:$AI$33,MATCH($D23,Д2!$D$24:$D$33),MATCH(AI$7,Д2!$E$3:$AI$3))</f>
        <v>12</v>
      </c>
      <c r="AJ23" s="143">
        <f>INDEX(Д2!AK$24:$AK$33,MATCH($C23,Д2!$C$24:$C$33),MATCH(E$7,Д2!$E$3:$AI$3))*AND(MONTH($E$8)=MONTH(Д2!$B$24))</f>
        <v>167</v>
      </c>
      <c r="AK23" s="144">
        <f ca="1">SUM(E23:AI24)</f>
        <v>196</v>
      </c>
      <c r="AL23" s="144"/>
      <c r="AM23" s="149">
        <f ca="1">SUM(F23:H24,J23:AI24)-AJ23+AL23-12</f>
        <v>9</v>
      </c>
      <c r="AP23" s="136">
        <f t="shared" ref="AP23" ca="1" si="38">COUNTIF($E23:$AI24,"12")</f>
        <v>8</v>
      </c>
      <c r="AQ23" s="136">
        <f t="shared" ref="AQ23" ca="1" si="39">IF(COUNTIF($E23:$AI24,"СП")&gt;=1,(COUNTIF($E23:$AI24,"4")+COUNTIF($E23:$AI24,"8")-1)/2,(COUNTIF($E23:$AI24,"4")+COUNTIF($E23:$AI24,"8"))/2)</f>
        <v>7.5</v>
      </c>
      <c r="AR23" s="136">
        <f t="shared" ca="1" si="2"/>
        <v>96</v>
      </c>
      <c r="AS23" s="136">
        <f t="shared" ref="AS23" ca="1" si="40">IF(COUNTIF($E23:$AI24,"СП")&gt;=1,SUMIF($E23:$AI24,"4",$E23:$AI24)+SUMIF($E23:$AI24,"8",$E23:$AI24)-8,SUMIF($E23:$AI24,"4",$E23:$AI24)+SUMIF($E23:$AI24,"8",$E23:$AI24))</f>
        <v>92</v>
      </c>
      <c r="AT23" s="136">
        <f t="shared" ref="AT23" ca="1" si="41">$AR23+$AS23</f>
        <v>188</v>
      </c>
      <c r="AU23" s="136" t="str">
        <f t="shared" ref="AU23" ca="1" si="42">IF(AK23=AT23,"+","!")</f>
        <v>!</v>
      </c>
      <c r="AV23" s="136">
        <f t="shared" ref="AV23" ca="1" si="43">COUNTIF($E23:$AI24,"ОТ")</f>
        <v>0</v>
      </c>
      <c r="AW23" s="137" t="str">
        <f ca="1">IF(COUNTIF($A24:$AI24,"СП")&gt;0,IF(INDIRECT(ADDRESS(ROW(),MATCH("СП",$A24:$AI24),1))=8,"","!"),"")</f>
        <v>!</v>
      </c>
      <c r="AX23" s="137" t="str">
        <f ca="1">IF(COUNTIF($A24:$AI24,"СП")&gt;0,IF(INDIRECT(ADDRESS(ROW(),MATCH("СП",$A24:$AI24)-1,1))=4,"!",""),"")</f>
        <v/>
      </c>
    </row>
    <row r="24" spans="1:50" ht="16.5" thickBot="1" x14ac:dyDescent="0.3">
      <c r="A24" s="147"/>
      <c r="B24" s="139"/>
      <c r="C24" s="171"/>
      <c r="D24" s="50">
        <v>6</v>
      </c>
      <c r="E24" s="63" t="str">
        <f>INDEX(Д2!$E$24:$AI$33,MATCH($D24,Д2!$D$24:$D$33),MATCH(E$7,Д2!$E$3:$AI$3))</f>
        <v/>
      </c>
      <c r="F24" s="29" t="str">
        <f>INDEX(Д2!$E$24:$AI$33,MATCH($D24,Д2!$D$24:$D$33),MATCH(F$7,Д2!$E$3:$AI$3))</f>
        <v/>
      </c>
      <c r="G24" s="29" t="str">
        <f>INDEX(Д2!$E$24:$AI$33,MATCH($D24,Д2!$D$24:$D$33),MATCH(G$7,Д2!$E$3:$AI$3))</f>
        <v/>
      </c>
      <c r="H24" s="29" t="str">
        <f>INDEX(Д2!$E$24:$AI$33,MATCH($D24,Д2!$D$24:$D$33),MATCH(H$7,Д2!$E$3:$AI$3))</f>
        <v/>
      </c>
      <c r="I24" s="29" t="str">
        <f>INDEX(Д2!$E$24:$AI$33,MATCH($D24,Д2!$D$24:$D$33),MATCH(I$7,Д2!$E$3:$AI$3))</f>
        <v>СП</v>
      </c>
      <c r="J24" s="29" t="str">
        <f>INDEX(Д2!$E$24:$AI$33,MATCH($D24,Д2!$D$24:$D$33),MATCH(J$7,Д2!$E$3:$AI$3))</f>
        <v/>
      </c>
      <c r="K24" s="29" t="str">
        <f>INDEX(Д2!$E$24:$AI$33,MATCH($D24,Д2!$D$24:$D$33),MATCH(K$7,Д2!$E$3:$AI$3))</f>
        <v/>
      </c>
      <c r="L24" s="29" t="str">
        <f>INDEX(Д2!$E$24:$AI$33,MATCH($D24,Д2!$D$24:$D$33),MATCH(L$7,Д2!$E$3:$AI$3))</f>
        <v/>
      </c>
      <c r="M24" s="29" t="str">
        <f>INDEX(Д2!$E$24:$AI$33,MATCH($D24,Д2!$D$24:$D$33),MATCH(M$7,Д2!$E$3:$AI$3))</f>
        <v/>
      </c>
      <c r="N24" s="29" t="str">
        <f>INDEX(Д2!$E$24:$AI$33,MATCH($D24,Д2!$D$24:$D$33),MATCH(N$7,Д2!$E$3:$AI$3))</f>
        <v/>
      </c>
      <c r="O24" s="29" t="str">
        <f>INDEX(Д2!$E$24:$AI$33,MATCH($D24,Д2!$D$24:$D$33),MATCH(O$7,Д2!$E$3:$AI$3))</f>
        <v/>
      </c>
      <c r="P24" s="29" t="str">
        <f>INDEX(Д2!$E$24:$AI$33,MATCH($D24,Д2!$D$24:$D$33),MATCH(P$7,Д2!$E$3:$AI$3))</f>
        <v/>
      </c>
      <c r="Q24" s="29" t="str">
        <f>INDEX(Д2!$E$24:$AI$33,MATCH($D24,Д2!$D$24:$D$33),MATCH(Q$7,Д2!$E$3:$AI$3))</f>
        <v/>
      </c>
      <c r="R24" s="29" t="str">
        <f>INDEX(Д2!$E$24:$AI$33,MATCH($D24,Д2!$D$24:$D$33),MATCH(R$7,Д2!$E$3:$AI$3))</f>
        <v/>
      </c>
      <c r="S24" s="29" t="str">
        <f>INDEX(Д2!$E$24:$AI$33,MATCH($D24,Д2!$D$24:$D$33),MATCH(S$7,Д2!$E$3:$AI$3))</f>
        <v/>
      </c>
      <c r="T24" s="29" t="str">
        <f>INDEX(Д2!$E$24:$AI$33,MATCH($D24,Д2!$D$24:$D$33),MATCH(T$7,Д2!$E$3:$AI$3))</f>
        <v/>
      </c>
      <c r="U24" s="29" t="str">
        <f>INDEX(Д2!$E$24:$AI$33,MATCH($D24,Д2!$D$24:$D$33),MATCH(U$7,Д2!$E$3:$AI$3))</f>
        <v/>
      </c>
      <c r="V24" s="29" t="str">
        <f>INDEX(Д2!$E$24:$AI$33,MATCH($D24,Д2!$D$24:$D$33),MATCH(V$7,Д2!$E$3:$AI$3))</f>
        <v/>
      </c>
      <c r="W24" s="29" t="str">
        <f>INDEX(Д2!$E$24:$AI$33,MATCH($D24,Д2!$D$24:$D$33),MATCH(W$7,Д2!$E$3:$AI$3))</f>
        <v/>
      </c>
      <c r="X24" s="29" t="str">
        <f>INDEX(Д2!$E$24:$AI$33,MATCH($D24,Д2!$D$24:$D$33),MATCH(X$7,Д2!$E$3:$AI$3))</f>
        <v/>
      </c>
      <c r="Y24" s="29" t="str">
        <f>INDEX(Д2!$E$24:$AI$33,MATCH($D24,Д2!$D$24:$D$33),MATCH(Y$7,Д2!$E$3:$AI$3))</f>
        <v/>
      </c>
      <c r="Z24" s="29" t="str">
        <f>INDEX(Д2!$E$24:$AI$33,MATCH($D24,Д2!$D$24:$D$33),MATCH(Z$7,Д2!$E$3:$AI$3))</f>
        <v/>
      </c>
      <c r="AA24" s="29" t="str">
        <f>INDEX(Д2!$E$24:$AI$33,MATCH($D24,Д2!$D$24:$D$33),MATCH(AA$7,Д2!$E$3:$AI$3))</f>
        <v/>
      </c>
      <c r="AB24" s="29" t="str">
        <f>INDEX(Д2!$E$24:$AI$33,MATCH($D24,Д2!$D$24:$D$33),MATCH(AB$7,Д2!$E$3:$AI$3))</f>
        <v/>
      </c>
      <c r="AC24" s="29" t="str">
        <f>INDEX(Д2!$E$24:$AI$33,MATCH($D24,Д2!$D$24:$D$33),MATCH(AC$7,Д2!$E$3:$AI$3))</f>
        <v/>
      </c>
      <c r="AD24" s="29" t="str">
        <f>INDEX(Д2!$E$24:$AI$33,MATCH($D24,Д2!$D$24:$D$33),MATCH(AD$7,Д2!$E$3:$AI$3))</f>
        <v/>
      </c>
      <c r="AE24" s="29" t="str">
        <f>INDEX(Д2!$E$24:$AI$33,MATCH($D24,Д2!$D$24:$D$33),MATCH(AE$7,Д2!$E$3:$AI$3))</f>
        <v/>
      </c>
      <c r="AF24" s="29" t="str">
        <f>INDEX(Д2!$E$24:$AI$33,MATCH($D24,Д2!$D$24:$D$33),MATCH(AF$7,Д2!$E$3:$AI$3))</f>
        <v/>
      </c>
      <c r="AG24" s="29" t="str">
        <f>INDEX(Д2!$E$24:$AI$33,MATCH($D24,Д2!$D$24:$D$33),MATCH(AG$7,Д2!$E$3:$AI$3))</f>
        <v/>
      </c>
      <c r="AH24" s="29" t="str">
        <f>INDEX(Д2!$E$24:$AI$33,MATCH($D24,Д2!$D$24:$D$33),MATCH(AH$7,Д2!$E$3:$AI$3))</f>
        <v/>
      </c>
      <c r="AI24" s="61" t="str">
        <f>INDEX(Д2!$E$24:$AI$33,MATCH($D24,Д2!$D$24:$D$33),MATCH(AI$7,Д2!$E$3:$AI$3))</f>
        <v/>
      </c>
      <c r="AJ24" s="143"/>
      <c r="AK24" s="145"/>
      <c r="AL24" s="145"/>
      <c r="AM24" s="150"/>
      <c r="AP24" s="136"/>
      <c r="AQ24" s="136"/>
      <c r="AR24" s="136"/>
      <c r="AS24" s="136"/>
      <c r="AT24" s="136"/>
      <c r="AU24" s="136"/>
      <c r="AV24" s="136"/>
      <c r="AW24" s="137"/>
      <c r="AX24" s="137"/>
    </row>
    <row r="25" spans="1:50" ht="16.5" customHeight="1" thickBot="1" x14ac:dyDescent="0.3">
      <c r="A25" s="147"/>
      <c r="B25" s="139" t="s">
        <v>88</v>
      </c>
      <c r="C25" s="170">
        <v>4</v>
      </c>
      <c r="D25" s="49">
        <v>7</v>
      </c>
      <c r="E25" s="64">
        <f ca="1">INDEX(Д2!$E$24:$AI$33,MATCH($D25,Д2!$D$24:$D$33),MATCH(E$7,Д2!$E$3:$AI$3))</f>
        <v>12</v>
      </c>
      <c r="F25" s="27">
        <f ca="1">INDEX(Д2!$E$24:$AI$33,MATCH($D25,Д2!$D$24:$D$33),MATCH(F$7,Д2!$E$3:$AI$3))</f>
        <v>0</v>
      </c>
      <c r="G25" s="27">
        <f ca="1">INDEX(Д2!$E$24:$AI$33,MATCH($D25,Д2!$D$24:$D$33),MATCH(G$7,Д2!$E$3:$AI$3))</f>
        <v>0</v>
      </c>
      <c r="H25" s="27">
        <f ca="1">INDEX(Д2!$E$24:$AI$33,MATCH($D25,Д2!$D$24:$D$33),MATCH(H$7,Д2!$E$3:$AI$3))</f>
        <v>4</v>
      </c>
      <c r="I25" s="27">
        <f ca="1">INDEX(Д2!$E$24:$AI$33,MATCH($D25,Д2!$D$24:$D$33),MATCH(I$7,Д2!$E$3:$AI$3))</f>
        <v>8</v>
      </c>
      <c r="J25" s="27">
        <f ca="1">INDEX(Д2!$E$24:$AI$33,MATCH($D25,Д2!$D$24:$D$33),MATCH(J$7,Д2!$E$3:$AI$3))</f>
        <v>12</v>
      </c>
      <c r="K25" s="27">
        <f ca="1">INDEX(Д2!$E$24:$AI$33,MATCH($D25,Д2!$D$24:$D$33),MATCH(K$7,Д2!$E$3:$AI$3))</f>
        <v>4</v>
      </c>
      <c r="L25" s="27">
        <f ca="1">INDEX(Д2!$E$24:$AI$33,MATCH($D25,Д2!$D$24:$D$33),MATCH(L$7,Д2!$E$3:$AI$3))</f>
        <v>8</v>
      </c>
      <c r="M25" s="27">
        <f ca="1">INDEX(Д2!$E$24:$AI$33,MATCH($D25,Д2!$D$24:$D$33),MATCH(M$7,Д2!$E$3:$AI$3))</f>
        <v>12</v>
      </c>
      <c r="N25" s="27">
        <f ca="1">INDEX(Д2!$E$24:$AI$33,MATCH($D25,Д2!$D$24:$D$33),MATCH(N$7,Д2!$E$3:$AI$3))</f>
        <v>0</v>
      </c>
      <c r="O25" s="27">
        <f ca="1">INDEX(Д2!$E$24:$AI$33,MATCH($D25,Д2!$D$24:$D$33),MATCH(O$7,Д2!$E$3:$AI$3))</f>
        <v>0</v>
      </c>
      <c r="P25" s="27">
        <f ca="1">INDEX(Д2!$E$24:$AI$33,MATCH($D25,Д2!$D$24:$D$33),MATCH(P$7,Д2!$E$3:$AI$3))</f>
        <v>4</v>
      </c>
      <c r="Q25" s="27">
        <f ca="1">INDEX(Д2!$E$24:$AI$33,MATCH($D25,Д2!$D$24:$D$33),MATCH(Q$7,Д2!$E$3:$AI$3))</f>
        <v>8</v>
      </c>
      <c r="R25" s="27">
        <f ca="1">INDEX(Д2!$E$24:$AI$33,MATCH($D25,Д2!$D$24:$D$33),MATCH(R$7,Д2!$E$3:$AI$3))</f>
        <v>12</v>
      </c>
      <c r="S25" s="27">
        <f ca="1">INDEX(Д2!$E$24:$AI$33,MATCH($D25,Д2!$D$24:$D$33),MATCH(S$7,Д2!$E$3:$AI$3))</f>
        <v>4</v>
      </c>
      <c r="T25" s="27">
        <f ca="1">INDEX(Д2!$E$24:$AI$33,MATCH($D25,Д2!$D$24:$D$33),MATCH(T$7,Д2!$E$3:$AI$3))</f>
        <v>8</v>
      </c>
      <c r="U25" s="27">
        <f ca="1">INDEX(Д2!$E$24:$AI$33,MATCH($D25,Д2!$D$24:$D$33),MATCH(U$7,Д2!$E$3:$AI$3))</f>
        <v>12</v>
      </c>
      <c r="V25" s="27">
        <f ca="1">INDEX(Д2!$E$24:$AI$33,MATCH($D25,Д2!$D$24:$D$33),MATCH(V$7,Д2!$E$3:$AI$3))</f>
        <v>0</v>
      </c>
      <c r="W25" s="27">
        <f ca="1">INDEX(Д2!$E$24:$AI$33,MATCH($D25,Д2!$D$24:$D$33),MATCH(W$7,Д2!$E$3:$AI$3))</f>
        <v>0</v>
      </c>
      <c r="X25" s="27">
        <f ca="1">INDEX(Д2!$E$24:$AI$33,MATCH($D25,Д2!$D$24:$D$33),MATCH(X$7,Д2!$E$3:$AI$3))</f>
        <v>4</v>
      </c>
      <c r="Y25" s="27">
        <f ca="1">INDEX(Д2!$E$24:$AI$33,MATCH($D25,Д2!$D$24:$D$33),MATCH(Y$7,Д2!$E$3:$AI$3))</f>
        <v>8</v>
      </c>
      <c r="Z25" s="27">
        <f ca="1">INDEX(Д2!$E$24:$AI$33,MATCH($D25,Д2!$D$24:$D$33),MATCH(Z$7,Д2!$E$3:$AI$3))</f>
        <v>12</v>
      </c>
      <c r="AA25" s="27">
        <f ca="1">INDEX(Д2!$E$24:$AI$33,MATCH($D25,Д2!$D$24:$D$33),MATCH(AA$7,Д2!$E$3:$AI$3))</f>
        <v>4</v>
      </c>
      <c r="AB25" s="27">
        <f ca="1">INDEX(Д2!$E$24:$AI$33,MATCH($D25,Д2!$D$24:$D$33),MATCH(AB$7,Д2!$E$3:$AI$3))</f>
        <v>8</v>
      </c>
      <c r="AC25" s="27">
        <f ca="1">INDEX(Д2!$E$24:$AI$33,MATCH($D25,Д2!$D$24:$D$33),MATCH(AC$7,Д2!$E$3:$AI$3))</f>
        <v>12</v>
      </c>
      <c r="AD25" s="27">
        <f ca="1">INDEX(Д2!$E$24:$AI$33,MATCH($D25,Д2!$D$24:$D$33),MATCH(AD$7,Д2!$E$3:$AI$3))</f>
        <v>0</v>
      </c>
      <c r="AE25" s="27">
        <f ca="1">INDEX(Д2!$E$24:$AI$33,MATCH($D25,Д2!$D$24:$D$33),MATCH(AE$7,Д2!$E$3:$AI$3))</f>
        <v>0</v>
      </c>
      <c r="AF25" s="27">
        <f ca="1">INDEX(Д2!$E$24:$AI$33,MATCH($D25,Д2!$D$24:$D$33),MATCH(AF$7,Д2!$E$3:$AI$3))</f>
        <v>4</v>
      </c>
      <c r="AG25" s="27">
        <f ca="1">INDEX(Д2!$E$24:$AI$33,MATCH($D25,Д2!$D$24:$D$33),MATCH(AG$7,Д2!$E$3:$AI$3))</f>
        <v>8</v>
      </c>
      <c r="AH25" s="27">
        <f ca="1">INDEX(Д2!$E$24:$AI$33,MATCH($D25,Д2!$D$24:$D$33),MATCH(AH$7,Д2!$E$3:$AI$3))</f>
        <v>12</v>
      </c>
      <c r="AI25" s="32">
        <f ca="1">INDEX(Д2!$E$24:$AI$33,MATCH($D25,Д2!$D$24:$D$33),MATCH(AI$7,Д2!$E$3:$AI$3))</f>
        <v>4</v>
      </c>
      <c r="AJ25" s="143">
        <f>INDEX(Д2!AK$24:$AK$33,MATCH($C25,Д2!$C$24:$C$33),MATCH(E$7,Д2!$E$3:$AI$3))*AND(MONTH($E$8)=MONTH(Д2!$B$24))</f>
        <v>167</v>
      </c>
      <c r="AK25" s="144">
        <f ca="1">SUM(E25:AI26)</f>
        <v>184</v>
      </c>
      <c r="AL25" s="144"/>
      <c r="AM25" s="149">
        <f ca="1">SUM(F25:H26,J25:AI26)-AJ25+AL25-12</f>
        <v>-15</v>
      </c>
      <c r="AP25" s="136">
        <f t="shared" ref="AP25" ca="1" si="44">COUNTIF($E25:$AI26,"12")</f>
        <v>8</v>
      </c>
      <c r="AQ25" s="136">
        <f t="shared" ref="AQ25" ca="1" si="45">IF(COUNTIF($E25:$AI26,"СП")&gt;=1,(COUNTIF($E25:$AI26,"4")+COUNTIF($E25:$AI26,"8")-1)/2,(COUNTIF($E25:$AI26,"4")+COUNTIF($E25:$AI26,"8"))/2)</f>
        <v>7</v>
      </c>
      <c r="AR25" s="136">
        <f t="shared" ca="1" si="2"/>
        <v>96</v>
      </c>
      <c r="AS25" s="136">
        <f t="shared" ref="AS25" ca="1" si="46">IF(COUNTIF($E25:$AI26,"СП")&gt;=1,SUMIF($E25:$AI26,"4",$E25:$AI26)+SUMIF($E25:$AI26,"8",$E25:$AI26)-8,SUMIF($E25:$AI26,"4",$E25:$AI26)+SUMIF($E25:$AI26,"8",$E25:$AI26))</f>
        <v>80</v>
      </c>
      <c r="AT25" s="136">
        <f t="shared" ref="AT25" ca="1" si="47">$AR25+$AS25</f>
        <v>176</v>
      </c>
      <c r="AU25" s="136" t="str">
        <f t="shared" ref="AU25" ca="1" si="48">IF(AK25=AT25,"+","!")</f>
        <v>!</v>
      </c>
      <c r="AV25" s="136">
        <f t="shared" ref="AV25" ca="1" si="49">COUNTIF($E25:$AI26,"ОТ")</f>
        <v>0</v>
      </c>
      <c r="AW25" s="137" t="str">
        <f ca="1">IF(COUNTIF($A26:$AI26,"СП")&gt;0,IF(INDIRECT(ADDRESS(ROW(),MATCH("СП",$A26:$AI26),1))=8,"","!"),"")</f>
        <v>!</v>
      </c>
      <c r="AX25" s="137" t="str">
        <f ca="1">IF(COUNTIF($A26:$AI26,"СП")&gt;0,IF(INDIRECT(ADDRESS(ROW(),MATCH("СП",$A26:$AI26)-1,1))=4,"!",""),"")</f>
        <v/>
      </c>
    </row>
    <row r="26" spans="1:50" ht="16.5" thickBot="1" x14ac:dyDescent="0.3">
      <c r="A26" s="147"/>
      <c r="B26" s="139"/>
      <c r="C26" s="171"/>
      <c r="D26" s="50">
        <v>8</v>
      </c>
      <c r="E26" s="65" t="str">
        <f>INDEX(Д2!$E$24:$AI$33,MATCH($D26,Д2!$D$24:$D$33),MATCH(E$7,Д2!$E$3:$AI$3))</f>
        <v/>
      </c>
      <c r="F26" s="30" t="str">
        <f>INDEX(Д2!$E$24:$AI$33,MATCH($D26,Д2!$D$24:$D$33),MATCH(F$7,Д2!$E$3:$AI$3))</f>
        <v/>
      </c>
      <c r="G26" s="30" t="str">
        <f>INDEX(Д2!$E$24:$AI$33,MATCH($D26,Д2!$D$24:$D$33),MATCH(G$7,Д2!$E$3:$AI$3))</f>
        <v/>
      </c>
      <c r="H26" s="30" t="str">
        <f>INDEX(Д2!$E$24:$AI$33,MATCH($D26,Д2!$D$24:$D$33),MATCH(H$7,Д2!$E$3:$AI$3))</f>
        <v/>
      </c>
      <c r="I26" s="30" t="str">
        <f>INDEX(Д2!$E$24:$AI$33,MATCH($D26,Д2!$D$24:$D$33),MATCH(I$7,Д2!$E$3:$AI$3))</f>
        <v/>
      </c>
      <c r="J26" s="30" t="str">
        <f>INDEX(Д2!$E$24:$AI$33,MATCH($D26,Д2!$D$24:$D$33),MATCH(J$7,Д2!$E$3:$AI$3))</f>
        <v>СП</v>
      </c>
      <c r="K26" s="30" t="str">
        <f>INDEX(Д2!$E$24:$AI$33,MATCH($D26,Д2!$D$24:$D$33),MATCH(K$7,Д2!$E$3:$AI$3))</f>
        <v/>
      </c>
      <c r="L26" s="30" t="str">
        <f>INDEX(Д2!$E$24:$AI$33,MATCH($D26,Д2!$D$24:$D$33),MATCH(L$7,Д2!$E$3:$AI$3))</f>
        <v/>
      </c>
      <c r="M26" s="30" t="str">
        <f>INDEX(Д2!$E$24:$AI$33,MATCH($D26,Д2!$D$24:$D$33),MATCH(M$7,Д2!$E$3:$AI$3))</f>
        <v/>
      </c>
      <c r="N26" s="30" t="str">
        <f>INDEX(Д2!$E$24:$AI$33,MATCH($D26,Д2!$D$24:$D$33),MATCH(N$7,Д2!$E$3:$AI$3))</f>
        <v/>
      </c>
      <c r="O26" s="30" t="str">
        <f>INDEX(Д2!$E$24:$AI$33,MATCH($D26,Д2!$D$24:$D$33),MATCH(O$7,Д2!$E$3:$AI$3))</f>
        <v/>
      </c>
      <c r="P26" s="30" t="str">
        <f>INDEX(Д2!$E$24:$AI$33,MATCH($D26,Д2!$D$24:$D$33),MATCH(P$7,Д2!$E$3:$AI$3))</f>
        <v/>
      </c>
      <c r="Q26" s="30" t="str">
        <f>INDEX(Д2!$E$24:$AI$33,MATCH($D26,Д2!$D$24:$D$33),MATCH(Q$7,Д2!$E$3:$AI$3))</f>
        <v/>
      </c>
      <c r="R26" s="30" t="str">
        <f>INDEX(Д2!$E$24:$AI$33,MATCH($D26,Д2!$D$24:$D$33),MATCH(R$7,Д2!$E$3:$AI$3))</f>
        <v/>
      </c>
      <c r="S26" s="30" t="str">
        <f>INDEX(Д2!$E$24:$AI$33,MATCH($D26,Д2!$D$24:$D$33),MATCH(S$7,Д2!$E$3:$AI$3))</f>
        <v/>
      </c>
      <c r="T26" s="30" t="str">
        <f>INDEX(Д2!$E$24:$AI$33,MATCH($D26,Д2!$D$24:$D$33),MATCH(T$7,Д2!$E$3:$AI$3))</f>
        <v/>
      </c>
      <c r="U26" s="30" t="str">
        <f>INDEX(Д2!$E$24:$AI$33,MATCH($D26,Д2!$D$24:$D$33),MATCH(U$7,Д2!$E$3:$AI$3))</f>
        <v/>
      </c>
      <c r="V26" s="30" t="str">
        <f>INDEX(Д2!$E$24:$AI$33,MATCH($D26,Д2!$D$24:$D$33),MATCH(V$7,Д2!$E$3:$AI$3))</f>
        <v/>
      </c>
      <c r="W26" s="30" t="str">
        <f>INDEX(Д2!$E$24:$AI$33,MATCH($D26,Д2!$D$24:$D$33),MATCH(W$7,Д2!$E$3:$AI$3))</f>
        <v/>
      </c>
      <c r="X26" s="30" t="str">
        <f>INDEX(Д2!$E$24:$AI$33,MATCH($D26,Д2!$D$24:$D$33),MATCH(X$7,Д2!$E$3:$AI$3))</f>
        <v/>
      </c>
      <c r="Y26" s="30" t="str">
        <f>INDEX(Д2!$E$24:$AI$33,MATCH($D26,Д2!$D$24:$D$33),MATCH(Y$7,Д2!$E$3:$AI$3))</f>
        <v/>
      </c>
      <c r="Z26" s="30" t="str">
        <f>INDEX(Д2!$E$24:$AI$33,MATCH($D26,Д2!$D$24:$D$33),MATCH(Z$7,Д2!$E$3:$AI$3))</f>
        <v/>
      </c>
      <c r="AA26" s="30" t="str">
        <f>INDEX(Д2!$E$24:$AI$33,MATCH($D26,Д2!$D$24:$D$33),MATCH(AA$7,Д2!$E$3:$AI$3))</f>
        <v/>
      </c>
      <c r="AB26" s="30" t="str">
        <f>INDEX(Д2!$E$24:$AI$33,MATCH($D26,Д2!$D$24:$D$33),MATCH(AB$7,Д2!$E$3:$AI$3))</f>
        <v/>
      </c>
      <c r="AC26" s="30" t="str">
        <f>INDEX(Д2!$E$24:$AI$33,MATCH($D26,Д2!$D$24:$D$33),MATCH(AC$7,Д2!$E$3:$AI$3))</f>
        <v/>
      </c>
      <c r="AD26" s="30" t="str">
        <f>INDEX(Д2!$E$24:$AI$33,MATCH($D26,Д2!$D$24:$D$33),MATCH(AD$7,Д2!$E$3:$AI$3))</f>
        <v/>
      </c>
      <c r="AE26" s="30" t="str">
        <f>INDEX(Д2!$E$24:$AI$33,MATCH($D26,Д2!$D$24:$D$33),MATCH(AE$7,Д2!$E$3:$AI$3))</f>
        <v/>
      </c>
      <c r="AF26" s="30" t="str">
        <f>INDEX(Д2!$E$24:$AI$33,MATCH($D26,Д2!$D$24:$D$33),MATCH(AF$7,Д2!$E$3:$AI$3))</f>
        <v/>
      </c>
      <c r="AG26" s="30" t="str">
        <f>INDEX(Д2!$E$24:$AI$33,MATCH($D26,Д2!$D$24:$D$33),MATCH(AG$7,Д2!$E$3:$AI$3))</f>
        <v/>
      </c>
      <c r="AH26" s="30" t="str">
        <f>INDEX(Д2!$E$24:$AI$33,MATCH($D26,Д2!$D$24:$D$33),MATCH(AH$7,Д2!$E$3:$AI$3))</f>
        <v/>
      </c>
      <c r="AI26" s="33" t="str">
        <f>INDEX(Д2!$E$24:$AI$33,MATCH($D26,Д2!$D$24:$D$33),MATCH(AI$7,Д2!$E$3:$AI$3))</f>
        <v/>
      </c>
      <c r="AJ26" s="143"/>
      <c r="AK26" s="145"/>
      <c r="AL26" s="145"/>
      <c r="AM26" s="150"/>
      <c r="AP26" s="136"/>
      <c r="AQ26" s="136"/>
      <c r="AR26" s="136"/>
      <c r="AS26" s="136"/>
      <c r="AT26" s="136"/>
      <c r="AU26" s="136"/>
      <c r="AV26" s="136"/>
      <c r="AW26" s="137"/>
      <c r="AX26" s="137"/>
    </row>
    <row r="27" spans="1:50" ht="16.5" customHeight="1" thickBot="1" x14ac:dyDescent="0.3">
      <c r="A27" s="147"/>
      <c r="B27" s="139" t="s">
        <v>89</v>
      </c>
      <c r="C27" s="170">
        <v>5</v>
      </c>
      <c r="D27" s="49">
        <v>9</v>
      </c>
      <c r="E27" s="62" t="str">
        <f>INDEX(Д2!$E$24:$AI$33,MATCH($D27,Д2!$D$24:$D$33),MATCH(E$7,Д2!$E$3:$AI$3))</f>
        <v>-</v>
      </c>
      <c r="F27" s="28" t="str">
        <f>INDEX(Д2!$E$24:$AI$33,MATCH($D27,Д2!$D$24:$D$33),MATCH(F$7,Д2!$E$3:$AI$3))</f>
        <v>-</v>
      </c>
      <c r="G27" s="28" t="str">
        <f>INDEX(Д2!$E$24:$AI$33,MATCH($D27,Д2!$D$24:$D$33),MATCH(G$7,Д2!$E$3:$AI$3))</f>
        <v>-</v>
      </c>
      <c r="H27" s="28" t="str">
        <f>INDEX(Д2!$E$24:$AI$33,MATCH($D27,Д2!$D$24:$D$33),MATCH(H$7,Д2!$E$3:$AI$3))</f>
        <v>-</v>
      </c>
      <c r="I27" s="28" t="str">
        <f>INDEX(Д2!$E$24:$AI$33,MATCH($D27,Д2!$D$24:$D$33),MATCH(I$7,Д2!$E$3:$AI$3))</f>
        <v>-</v>
      </c>
      <c r="J27" s="28" t="str">
        <f>INDEX(Д2!$E$24:$AI$33,MATCH($D27,Д2!$D$24:$D$33),MATCH(J$7,Д2!$E$3:$AI$3))</f>
        <v>-</v>
      </c>
      <c r="K27" s="28" t="str">
        <f>INDEX(Д2!$E$24:$AI$33,MATCH($D27,Д2!$D$24:$D$33),MATCH(K$7,Д2!$E$3:$AI$3))</f>
        <v>-</v>
      </c>
      <c r="L27" s="28" t="str">
        <f>INDEX(Д2!$E$24:$AI$33,MATCH($D27,Д2!$D$24:$D$33),MATCH(L$7,Д2!$E$3:$AI$3))</f>
        <v>-</v>
      </c>
      <c r="M27" s="28" t="str">
        <f>INDEX(Д2!$E$24:$AI$33,MATCH($D27,Д2!$D$24:$D$33),MATCH(M$7,Д2!$E$3:$AI$3))</f>
        <v>-</v>
      </c>
      <c r="N27" s="28" t="str">
        <f>INDEX(Д2!$E$24:$AI$33,MATCH($D27,Д2!$D$24:$D$33),MATCH(N$7,Д2!$E$3:$AI$3))</f>
        <v>-</v>
      </c>
      <c r="O27" s="28" t="str">
        <f>INDEX(Д2!$E$24:$AI$33,MATCH($D27,Д2!$D$24:$D$33),MATCH(O$7,Д2!$E$3:$AI$3))</f>
        <v>-</v>
      </c>
      <c r="P27" s="28" t="str">
        <f>INDEX(Д2!$E$24:$AI$33,MATCH($D27,Д2!$D$24:$D$33),MATCH(P$7,Д2!$E$3:$AI$3))</f>
        <v>-</v>
      </c>
      <c r="Q27" s="28" t="str">
        <f>INDEX(Д2!$E$24:$AI$33,MATCH($D27,Д2!$D$24:$D$33),MATCH(Q$7,Д2!$E$3:$AI$3))</f>
        <v>-</v>
      </c>
      <c r="R27" s="28" t="str">
        <f>INDEX(Д2!$E$24:$AI$33,MATCH($D27,Д2!$D$24:$D$33),MATCH(R$7,Д2!$E$3:$AI$3))</f>
        <v>-</v>
      </c>
      <c r="S27" s="28" t="str">
        <f>INDEX(Д2!$E$24:$AI$33,MATCH($D27,Д2!$D$24:$D$33),MATCH(S$7,Д2!$E$3:$AI$3))</f>
        <v>-</v>
      </c>
      <c r="T27" s="28" t="str">
        <f>INDEX(Д2!$E$24:$AI$33,MATCH($D27,Д2!$D$24:$D$33),MATCH(T$7,Д2!$E$3:$AI$3))</f>
        <v>-</v>
      </c>
      <c r="U27" s="28" t="str">
        <f>INDEX(Д2!$E$24:$AI$33,MATCH($D27,Д2!$D$24:$D$33),MATCH(U$7,Д2!$E$3:$AI$3))</f>
        <v>-</v>
      </c>
      <c r="V27" s="28" t="str">
        <f>INDEX(Д2!$E$24:$AI$33,MATCH($D27,Д2!$D$24:$D$33),MATCH(V$7,Д2!$E$3:$AI$3))</f>
        <v>-</v>
      </c>
      <c r="W27" s="28" t="str">
        <f>INDEX(Д2!$E$24:$AI$33,MATCH($D27,Д2!$D$24:$D$33),MATCH(W$7,Д2!$E$3:$AI$3))</f>
        <v>-</v>
      </c>
      <c r="X27" s="28" t="str">
        <f>INDEX(Д2!$E$24:$AI$33,MATCH($D27,Д2!$D$24:$D$33),MATCH(X$7,Д2!$E$3:$AI$3))</f>
        <v>-</v>
      </c>
      <c r="Y27" s="28" t="str">
        <f>INDEX(Д2!$E$24:$AI$33,MATCH($D27,Д2!$D$24:$D$33),MATCH(Y$7,Д2!$E$3:$AI$3))</f>
        <v>-</v>
      </c>
      <c r="Z27" s="28" t="str">
        <f>INDEX(Д2!$E$24:$AI$33,MATCH($D27,Д2!$D$24:$D$33),MATCH(Z$7,Д2!$E$3:$AI$3))</f>
        <v>-</v>
      </c>
      <c r="AA27" s="28" t="str">
        <f>INDEX(Д2!$E$24:$AI$33,MATCH($D27,Д2!$D$24:$D$33),MATCH(AA$7,Д2!$E$3:$AI$3))</f>
        <v>-</v>
      </c>
      <c r="AB27" s="28" t="str">
        <f>INDEX(Д2!$E$24:$AI$33,MATCH($D27,Д2!$D$24:$D$33),MATCH(AB$7,Д2!$E$3:$AI$3))</f>
        <v>-</v>
      </c>
      <c r="AC27" s="28" t="str">
        <f>INDEX(Д2!$E$24:$AI$33,MATCH($D27,Д2!$D$24:$D$33),MATCH(AC$7,Д2!$E$3:$AI$3))</f>
        <v>-</v>
      </c>
      <c r="AD27" s="28" t="str">
        <f>INDEX(Д2!$E$24:$AI$33,MATCH($D27,Д2!$D$24:$D$33),MATCH(AD$7,Д2!$E$3:$AI$3))</f>
        <v>-</v>
      </c>
      <c r="AE27" s="28" t="str">
        <f>INDEX(Д2!$E$24:$AI$33,MATCH($D27,Д2!$D$24:$D$33),MATCH(AE$7,Д2!$E$3:$AI$3))</f>
        <v>-</v>
      </c>
      <c r="AF27" s="28" t="str">
        <f>INDEX(Д2!$E$24:$AI$33,MATCH($D27,Д2!$D$24:$D$33),MATCH(AF$7,Д2!$E$3:$AI$3))</f>
        <v>-</v>
      </c>
      <c r="AG27" s="28" t="str">
        <f>INDEX(Д2!$E$24:$AI$33,MATCH($D27,Д2!$D$24:$D$33),MATCH(AG$7,Д2!$E$3:$AI$3))</f>
        <v>-</v>
      </c>
      <c r="AH27" s="28" t="str">
        <f>INDEX(Д2!$E$24:$AI$33,MATCH($D27,Д2!$D$24:$D$33),MATCH(AH$7,Д2!$E$3:$AI$3))</f>
        <v>-</v>
      </c>
      <c r="AI27" s="60" t="str">
        <f>INDEX(Д2!$E$24:$AI$33,MATCH($D27,Д2!$D$24:$D$33),MATCH(AI$7,Д2!$E$3:$AI$3))</f>
        <v>-</v>
      </c>
      <c r="AJ27" s="143">
        <f>INDEX(Д2!AK$24:$AK$33,MATCH($C27,Д2!$C$24:$C$33),MATCH(E$7,Д2!$E$3:$AI$3))*AND(MONTH($E$8)=MONTH(Д2!$B$24))</f>
        <v>167</v>
      </c>
      <c r="AK27" s="144">
        <f>SUM(E27:AI28)</f>
        <v>0</v>
      </c>
      <c r="AL27" s="144"/>
      <c r="AM27" s="149">
        <f>SUM(F27:H28,J27:AI28)-AJ27+AL27-12</f>
        <v>-179</v>
      </c>
      <c r="AP27" s="136">
        <f t="shared" ref="AP27" si="50">COUNTIF($E27:$AI28,"12")</f>
        <v>0</v>
      </c>
      <c r="AQ27" s="136">
        <f t="shared" ref="AQ27" si="51">IF(COUNTIF($E27:$AI28,"СП")&gt;=1,(COUNTIF($E27:$AI28,"4")+COUNTIF($E27:$AI28,"8")-1)/2,(COUNTIF($E27:$AI28,"4")+COUNTIF($E27:$AI28,"8"))/2)</f>
        <v>-0.5</v>
      </c>
      <c r="AR27" s="136">
        <f t="shared" si="2"/>
        <v>0</v>
      </c>
      <c r="AS27" s="136">
        <f t="shared" ref="AS27" si="52">IF(COUNTIF($E27:$AI28,"СП")&gt;=1,SUMIF($E27:$AI28,"4",$E27:$AI28)+SUMIF($E27:$AI28,"8",$E27:$AI28)-8,SUMIF($E27:$AI28,"4",$E27:$AI28)+SUMIF($E27:$AI28,"8",$E27:$AI28))</f>
        <v>-8</v>
      </c>
      <c r="AT27" s="136">
        <f t="shared" ref="AT27" si="53">$AR27+$AS27</f>
        <v>-8</v>
      </c>
      <c r="AU27" s="136" t="str">
        <f t="shared" ref="AU27" si="54">IF(AK27=AT27,"+","!")</f>
        <v>!</v>
      </c>
      <c r="AV27" s="136">
        <f t="shared" ref="AV27" si="55">COUNTIF($E27:$AI28,"ОТ")</f>
        <v>0</v>
      </c>
      <c r="AW27" s="137" t="str">
        <f ca="1">IF(COUNTIF($A28:$AI28,"СП")&gt;0,IF(INDIRECT(ADDRESS(ROW(),MATCH("СП",$A28:$AI28),1))=8,"","!"),"")</f>
        <v>!</v>
      </c>
      <c r="AX27" s="137" t="str">
        <f ca="1">IF(COUNTIF($A28:$AI28,"СП")&gt;0,IF(INDIRECT(ADDRESS(ROW(),MATCH("СП",$A28:$AI28)-1,1))=4,"!",""),"")</f>
        <v/>
      </c>
    </row>
    <row r="28" spans="1:50" ht="16.5" thickBot="1" x14ac:dyDescent="0.3">
      <c r="A28" s="148"/>
      <c r="B28" s="140"/>
      <c r="C28" s="172"/>
      <c r="D28" s="50">
        <v>10</v>
      </c>
      <c r="E28" s="66" t="str">
        <f>INDEX(Д2!$E$24:$AI$33,MATCH($D28,Д2!$D$24:$D$33),MATCH(E$7,Д2!$E$3:$AI$3))</f>
        <v/>
      </c>
      <c r="F28" s="67" t="str">
        <f>INDEX(Д2!$E$24:$AI$33,MATCH($D28,Д2!$D$24:$D$33),MATCH(F$7,Д2!$E$3:$AI$3))</f>
        <v/>
      </c>
      <c r="G28" s="67" t="str">
        <f>INDEX(Д2!$E$24:$AI$33,MATCH($D28,Д2!$D$24:$D$33),MATCH(G$7,Д2!$E$3:$AI$3))</f>
        <v/>
      </c>
      <c r="H28" s="67" t="str">
        <f>INDEX(Д2!$E$24:$AI$33,MATCH($D28,Д2!$D$24:$D$33),MATCH(H$7,Д2!$E$3:$AI$3))</f>
        <v/>
      </c>
      <c r="I28" s="67" t="str">
        <f>INDEX(Д2!$E$24:$AI$33,MATCH($D28,Д2!$D$24:$D$33),MATCH(I$7,Д2!$E$3:$AI$3))</f>
        <v/>
      </c>
      <c r="J28" s="67" t="str">
        <f>INDEX(Д2!$E$24:$AI$33,MATCH($D28,Д2!$D$24:$D$33),MATCH(J$7,Д2!$E$3:$AI$3))</f>
        <v/>
      </c>
      <c r="K28" s="67" t="str">
        <f>INDEX(Д2!$E$24:$AI$33,MATCH($D28,Д2!$D$24:$D$33),MATCH(K$7,Д2!$E$3:$AI$3))</f>
        <v>СП</v>
      </c>
      <c r="L28" s="67" t="str">
        <f>INDEX(Д2!$E$24:$AI$33,MATCH($D28,Д2!$D$24:$D$33),MATCH(L$7,Д2!$E$3:$AI$3))</f>
        <v/>
      </c>
      <c r="M28" s="67" t="str">
        <f>INDEX(Д2!$E$24:$AI$33,MATCH($D28,Д2!$D$24:$D$33),MATCH(M$7,Д2!$E$3:$AI$3))</f>
        <v/>
      </c>
      <c r="N28" s="67" t="str">
        <f>INDEX(Д2!$E$24:$AI$33,MATCH($D28,Д2!$D$24:$D$33),MATCH(N$7,Д2!$E$3:$AI$3))</f>
        <v/>
      </c>
      <c r="O28" s="67" t="str">
        <f>INDEX(Д2!$E$24:$AI$33,MATCH($D28,Д2!$D$24:$D$33),MATCH(O$7,Д2!$E$3:$AI$3))</f>
        <v/>
      </c>
      <c r="P28" s="67" t="str">
        <f>INDEX(Д2!$E$24:$AI$33,MATCH($D28,Д2!$D$24:$D$33),MATCH(P$7,Д2!$E$3:$AI$3))</f>
        <v/>
      </c>
      <c r="Q28" s="67" t="str">
        <f>INDEX(Д2!$E$24:$AI$33,MATCH($D28,Д2!$D$24:$D$33),MATCH(Q$7,Д2!$E$3:$AI$3))</f>
        <v/>
      </c>
      <c r="R28" s="67" t="str">
        <f>INDEX(Д2!$E$24:$AI$33,MATCH($D28,Д2!$D$24:$D$33),MATCH(R$7,Д2!$E$3:$AI$3))</f>
        <v/>
      </c>
      <c r="S28" s="67" t="str">
        <f>INDEX(Д2!$E$24:$AI$33,MATCH($D28,Д2!$D$24:$D$33),MATCH(S$7,Д2!$E$3:$AI$3))</f>
        <v/>
      </c>
      <c r="T28" s="67" t="str">
        <f>INDEX(Д2!$E$24:$AI$33,MATCH($D28,Д2!$D$24:$D$33),MATCH(T$7,Д2!$E$3:$AI$3))</f>
        <v/>
      </c>
      <c r="U28" s="67" t="str">
        <f>INDEX(Д2!$E$24:$AI$33,MATCH($D28,Д2!$D$24:$D$33),MATCH(U$7,Д2!$E$3:$AI$3))</f>
        <v/>
      </c>
      <c r="V28" s="67" t="str">
        <f>INDEX(Д2!$E$24:$AI$33,MATCH($D28,Д2!$D$24:$D$33),MATCH(V$7,Д2!$E$3:$AI$3))</f>
        <v/>
      </c>
      <c r="W28" s="67" t="str">
        <f>INDEX(Д2!$E$24:$AI$33,MATCH($D28,Д2!$D$24:$D$33),MATCH(W$7,Д2!$E$3:$AI$3))</f>
        <v/>
      </c>
      <c r="X28" s="67" t="str">
        <f>INDEX(Д2!$E$24:$AI$33,MATCH($D28,Д2!$D$24:$D$33),MATCH(X$7,Д2!$E$3:$AI$3))</f>
        <v/>
      </c>
      <c r="Y28" s="67" t="str">
        <f>INDEX(Д2!$E$24:$AI$33,MATCH($D28,Д2!$D$24:$D$33),MATCH(Y$7,Д2!$E$3:$AI$3))</f>
        <v/>
      </c>
      <c r="Z28" s="67" t="str">
        <f>INDEX(Д2!$E$24:$AI$33,MATCH($D28,Д2!$D$24:$D$33),MATCH(Z$7,Д2!$E$3:$AI$3))</f>
        <v/>
      </c>
      <c r="AA28" s="67" t="str">
        <f>INDEX(Д2!$E$24:$AI$33,MATCH($D28,Д2!$D$24:$D$33),MATCH(AA$7,Д2!$E$3:$AI$3))</f>
        <v/>
      </c>
      <c r="AB28" s="67" t="str">
        <f>INDEX(Д2!$E$24:$AI$33,MATCH($D28,Д2!$D$24:$D$33),MATCH(AB$7,Д2!$E$3:$AI$3))</f>
        <v/>
      </c>
      <c r="AC28" s="67" t="str">
        <f>INDEX(Д2!$E$24:$AI$33,MATCH($D28,Д2!$D$24:$D$33),MATCH(AC$7,Д2!$E$3:$AI$3))</f>
        <v/>
      </c>
      <c r="AD28" s="67" t="str">
        <f>INDEX(Д2!$E$24:$AI$33,MATCH($D28,Д2!$D$24:$D$33),MATCH(AD$7,Д2!$E$3:$AI$3))</f>
        <v/>
      </c>
      <c r="AE28" s="67" t="str">
        <f>INDEX(Д2!$E$24:$AI$33,MATCH($D28,Д2!$D$24:$D$33),MATCH(AE$7,Д2!$E$3:$AI$3))</f>
        <v/>
      </c>
      <c r="AF28" s="67" t="str">
        <f>INDEX(Д2!$E$24:$AI$33,MATCH($D28,Д2!$D$24:$D$33),MATCH(AF$7,Д2!$E$3:$AI$3))</f>
        <v/>
      </c>
      <c r="AG28" s="67" t="str">
        <f>INDEX(Д2!$E$24:$AI$33,MATCH($D28,Д2!$D$24:$D$33),MATCH(AG$7,Д2!$E$3:$AI$3))</f>
        <v/>
      </c>
      <c r="AH28" s="67" t="str">
        <f>INDEX(Д2!$E$24:$AI$33,MATCH($D28,Д2!$D$24:$D$33),MATCH(AH$7,Д2!$E$3:$AI$3))</f>
        <v/>
      </c>
      <c r="AI28" s="68" t="str">
        <f>INDEX(Д2!$E$24:$AI$33,MATCH($D28,Д2!$D$24:$D$33),MATCH(AI$7,Д2!$E$3:$AI$3))</f>
        <v/>
      </c>
      <c r="AJ28" s="153"/>
      <c r="AK28" s="158"/>
      <c r="AL28" s="158"/>
      <c r="AM28" s="150"/>
      <c r="AP28" s="136"/>
      <c r="AQ28" s="136"/>
      <c r="AR28" s="136"/>
      <c r="AS28" s="136"/>
      <c r="AT28" s="136"/>
      <c r="AU28" s="136"/>
      <c r="AV28" s="136"/>
      <c r="AW28" s="137"/>
      <c r="AX28" s="137"/>
    </row>
    <row r="29" spans="1:50" ht="17.25" customHeight="1" thickTop="1" thickBot="1" x14ac:dyDescent="0.3">
      <c r="A29" s="146" t="s">
        <v>102</v>
      </c>
      <c r="B29" s="151" t="s">
        <v>90</v>
      </c>
      <c r="C29" s="173">
        <v>1</v>
      </c>
      <c r="D29" s="49">
        <v>1</v>
      </c>
      <c r="E29" s="64">
        <f ca="1">INDEX(Д3!$E$24:$AI$33,MATCH($D29,Д3!$D$24:$D$33),MATCH(E$7,Д3!$E$3:$AI$3))</f>
        <v>8</v>
      </c>
      <c r="F29" s="27">
        <f ca="1">INDEX(Д3!$E$24:$AI$33,MATCH($D29,Д3!$D$24:$D$33),MATCH(F$7,Д3!$E$3:$AI$3))</f>
        <v>12</v>
      </c>
      <c r="G29" s="27">
        <f ca="1">INDEX(Д3!$E$24:$AI$33,MATCH($D29,Д3!$D$24:$D$33),MATCH(G$7,Д3!$E$3:$AI$3))</f>
        <v>8</v>
      </c>
      <c r="H29" s="27">
        <f ca="1">INDEX(Д3!$E$24:$AI$33,MATCH($D29,Д3!$D$24:$D$33),MATCH(H$7,Д3!$E$3:$AI$3))</f>
        <v>8</v>
      </c>
      <c r="I29" s="27">
        <f ca="1">INDEX(Д3!$E$24:$AI$33,MATCH($D29,Д3!$D$24:$D$33),MATCH(I$7,Д3!$E$3:$AI$3))</f>
        <v>12</v>
      </c>
      <c r="J29" s="27">
        <f ca="1">INDEX(Д3!$E$24:$AI$33,MATCH($D29,Д3!$D$24:$D$33),MATCH(J$7,Д3!$E$3:$AI$3))</f>
        <v>0</v>
      </c>
      <c r="K29" s="27">
        <f ca="1">INDEX(Д3!$E$24:$AI$33,MATCH($D29,Д3!$D$24:$D$33),MATCH(K$7,Д3!$E$3:$AI$3))</f>
        <v>0</v>
      </c>
      <c r="L29" s="27">
        <f ca="1">INDEX(Д3!$E$24:$AI$33,MATCH($D29,Д3!$D$24:$D$33),MATCH(L$7,Д3!$E$3:$AI$3))</f>
        <v>4</v>
      </c>
      <c r="M29" s="27">
        <f ca="1">INDEX(Д3!$E$24:$AI$33,MATCH($D29,Д3!$D$24:$D$33),MATCH(M$7,Д3!$E$3:$AI$3))</f>
        <v>8</v>
      </c>
      <c r="N29" s="27">
        <f ca="1">INDEX(Д3!$E$24:$AI$33,MATCH($D29,Д3!$D$24:$D$33),MATCH(N$7,Д3!$E$3:$AI$3))</f>
        <v>12</v>
      </c>
      <c r="O29" s="27">
        <f ca="1">INDEX(Д3!$E$24:$AI$33,MATCH($D29,Д3!$D$24:$D$33),MATCH(O$7,Д3!$E$3:$AI$3))</f>
        <v>4</v>
      </c>
      <c r="P29" s="27">
        <f ca="1">INDEX(Д3!$E$24:$AI$33,MATCH($D29,Д3!$D$24:$D$33),MATCH(P$7,Д3!$E$3:$AI$3))</f>
        <v>8</v>
      </c>
      <c r="Q29" s="27">
        <f ca="1">INDEX(Д3!$E$24:$AI$33,MATCH($D29,Д3!$D$24:$D$33),MATCH(Q$7,Д3!$E$3:$AI$3))</f>
        <v>12</v>
      </c>
      <c r="R29" s="27">
        <f ca="1">INDEX(Д3!$E$24:$AI$33,MATCH($D29,Д3!$D$24:$D$33),MATCH(R$7,Д3!$E$3:$AI$3))</f>
        <v>0</v>
      </c>
      <c r="S29" s="27">
        <f ca="1">INDEX(Д3!$E$24:$AI$33,MATCH($D29,Д3!$D$24:$D$33),MATCH(S$7,Д3!$E$3:$AI$3))</f>
        <v>0</v>
      </c>
      <c r="T29" s="27">
        <f ca="1">INDEX(Д3!$E$24:$AI$33,MATCH($D29,Д3!$D$24:$D$33),MATCH(T$7,Д3!$E$3:$AI$3))</f>
        <v>4</v>
      </c>
      <c r="U29" s="27">
        <f ca="1">INDEX(Д3!$E$24:$AI$33,MATCH($D29,Д3!$D$24:$D$33),MATCH(U$7,Д3!$E$3:$AI$3))</f>
        <v>8</v>
      </c>
      <c r="V29" s="27">
        <f ca="1">INDEX(Д3!$E$24:$AI$33,MATCH($D29,Д3!$D$24:$D$33),MATCH(V$7,Д3!$E$3:$AI$3))</f>
        <v>12</v>
      </c>
      <c r="W29" s="27">
        <f ca="1">INDEX(Д3!$E$24:$AI$33,MATCH($D29,Д3!$D$24:$D$33),MATCH(W$7,Д3!$E$3:$AI$3))</f>
        <v>4</v>
      </c>
      <c r="X29" s="27">
        <f ca="1">INDEX(Д3!$E$24:$AI$33,MATCH($D29,Д3!$D$24:$D$33),MATCH(X$7,Д3!$E$3:$AI$3))</f>
        <v>8</v>
      </c>
      <c r="Y29" s="27">
        <f ca="1">INDEX(Д3!$E$24:$AI$33,MATCH($D29,Д3!$D$24:$D$33),MATCH(Y$7,Д3!$E$3:$AI$3))</f>
        <v>12</v>
      </c>
      <c r="Z29" s="27">
        <f ca="1">INDEX(Д3!$E$24:$AI$33,MATCH($D29,Д3!$D$24:$D$33),MATCH(Z$7,Д3!$E$3:$AI$3))</f>
        <v>0</v>
      </c>
      <c r="AA29" s="27">
        <f ca="1">INDEX(Д3!$E$24:$AI$33,MATCH($D29,Д3!$D$24:$D$33),MATCH(AA$7,Д3!$E$3:$AI$3))</f>
        <v>0</v>
      </c>
      <c r="AB29" s="27">
        <f ca="1">INDEX(Д3!$E$24:$AI$33,MATCH($D29,Д3!$D$24:$D$33),MATCH(AB$7,Д3!$E$3:$AI$3))</f>
        <v>4</v>
      </c>
      <c r="AC29" s="27">
        <f ca="1">INDEX(Д3!$E$24:$AI$33,MATCH($D29,Д3!$D$24:$D$33),MATCH(AC$7,Д3!$E$3:$AI$3))</f>
        <v>8</v>
      </c>
      <c r="AD29" s="27">
        <f ca="1">INDEX(Д3!$E$24:$AI$33,MATCH($D29,Д3!$D$24:$D$33),MATCH(AD$7,Д3!$E$3:$AI$3))</f>
        <v>12</v>
      </c>
      <c r="AE29" s="27">
        <f ca="1">INDEX(Д3!$E$24:$AI$33,MATCH($D29,Д3!$D$24:$D$33),MATCH(AE$7,Д3!$E$3:$AI$3))</f>
        <v>4</v>
      </c>
      <c r="AF29" s="27">
        <f ca="1">INDEX(Д3!$E$24:$AI$33,MATCH($D29,Д3!$D$24:$D$33),MATCH(AF$7,Д3!$E$3:$AI$3))</f>
        <v>8</v>
      </c>
      <c r="AG29" s="27">
        <f ca="1">INDEX(Д3!$E$24:$AI$33,MATCH($D29,Д3!$D$24:$D$33),MATCH(AG$7,Д3!$E$3:$AI$3))</f>
        <v>12</v>
      </c>
      <c r="AH29" s="27">
        <f ca="1">INDEX(Д3!$E$24:$AI$33,MATCH($D29,Д3!$D$24:$D$33),MATCH(AH$7,Д3!$E$3:$AI$3))</f>
        <v>0</v>
      </c>
      <c r="AI29" s="32">
        <f ca="1">INDEX(Д3!$E$24:$AI$33,MATCH($D29,Д3!$D$24:$D$33),MATCH(AI$7,Д3!$E$3:$AI$3))</f>
        <v>0</v>
      </c>
      <c r="AJ29" s="157">
        <f>INDEX(Д3!AK$24:$AK$33,MATCH($C29,Д3!$C$24:$C$33),MATCH(E$7,Д3!$E$3:$AI$3))*AND(MONTH($E$8)=MONTH(Д3!$B$24))</f>
        <v>167</v>
      </c>
      <c r="AK29" s="157">
        <f ca="1">SUM(E29:AI30)</f>
        <v>192</v>
      </c>
      <c r="AL29" s="145"/>
      <c r="AM29" s="149">
        <f ca="1">SUM(F29:H30,J29:AI30)-AJ29+AL29-12</f>
        <v>-7</v>
      </c>
      <c r="AP29" s="136">
        <f t="shared" ref="AP29" ca="1" si="56">COUNTIF($E29:$AI30,"12")</f>
        <v>8</v>
      </c>
      <c r="AQ29" s="136">
        <f t="shared" ref="AQ29" ca="1" si="57">IF(COUNTIF($E29:$AI30,"СП")&gt;=1,(COUNTIF($E29:$AI30,"4")+COUNTIF($E29:$AI30,"8")-1)/2,(COUNTIF($E29:$AI30,"4")+COUNTIF($E29:$AI30,"8"))/2)</f>
        <v>7</v>
      </c>
      <c r="AR29" s="136">
        <f t="shared" ca="1" si="2"/>
        <v>96</v>
      </c>
      <c r="AS29" s="136">
        <f t="shared" ref="AS29" ca="1" si="58">IF(COUNTIF($E29:$AI30,"СП")&gt;=1,SUMIF($E29:$AI30,"4",$E29:$AI30)+SUMIF($E29:$AI30,"8",$E29:$AI30)-8,SUMIF($E29:$AI30,"4",$E29:$AI30)+SUMIF($E29:$AI30,"8",$E29:$AI30))</f>
        <v>88</v>
      </c>
      <c r="AT29" s="136">
        <f t="shared" ref="AT29" ca="1" si="59">$AR29+$AS29</f>
        <v>184</v>
      </c>
      <c r="AU29" s="136" t="str">
        <f t="shared" ref="AU29" ca="1" si="60">IF(AK29=AT29,"+","!")</f>
        <v>!</v>
      </c>
      <c r="AV29" s="136">
        <f t="shared" ref="AV29" ca="1" si="61">COUNTIF($E29:$AI30,"ОТ")</f>
        <v>0</v>
      </c>
      <c r="AW29" s="137" t="str">
        <f ca="1">IF(COUNTIF($A30:$AI30,"СП")&gt;0,IF(INDIRECT(ADDRESS(ROW(),MATCH("СП",$A30:$AI30),1))=8,"","!"),"")</f>
        <v>!</v>
      </c>
      <c r="AX29" s="137" t="str">
        <f ca="1">IF(COUNTIF($A30:$AI30,"СП")&gt;0,IF(INDIRECT(ADDRESS(ROW(),MATCH("СП",$A30:$AI30)-1,1))=4,"!",""),"")</f>
        <v/>
      </c>
    </row>
    <row r="30" spans="1:50" ht="16.5" thickBot="1" x14ac:dyDescent="0.3">
      <c r="A30" s="147"/>
      <c r="B30" s="139"/>
      <c r="C30" s="171"/>
      <c r="D30" s="50">
        <v>2</v>
      </c>
      <c r="E30" s="63" t="str">
        <f>INDEX(Д3!$E$24:$AI$33,MATCH($D30,Д3!$D$24:$D$33),MATCH(E$7,Д3!$E$3:$AI$3))</f>
        <v/>
      </c>
      <c r="F30" s="29" t="str">
        <f>INDEX(Д3!$E$24:$AI$33,MATCH($D30,Д3!$D$24:$D$33),MATCH(F$7,Д3!$E$3:$AI$3))</f>
        <v/>
      </c>
      <c r="G30" s="29" t="str">
        <f>INDEX(Д3!$E$24:$AI$33,MATCH($D30,Д3!$D$24:$D$33),MATCH(G$7,Д3!$E$3:$AI$3))</f>
        <v>СП</v>
      </c>
      <c r="H30" s="29" t="str">
        <f>INDEX(Д3!$E$24:$AI$33,MATCH($D30,Д3!$D$24:$D$33),MATCH(H$7,Д3!$E$3:$AI$3))</f>
        <v/>
      </c>
      <c r="I30" s="29" t="str">
        <f>INDEX(Д3!$E$24:$AI$33,MATCH($D30,Д3!$D$24:$D$33),MATCH(I$7,Д3!$E$3:$AI$3))</f>
        <v/>
      </c>
      <c r="J30" s="29" t="str">
        <f>INDEX(Д3!$E$24:$AI$33,MATCH($D30,Д3!$D$24:$D$33),MATCH(J$7,Д3!$E$3:$AI$3))</f>
        <v/>
      </c>
      <c r="K30" s="29" t="str">
        <f>INDEX(Д3!$E$24:$AI$33,MATCH($D30,Д3!$D$24:$D$33),MATCH(K$7,Д3!$E$3:$AI$3))</f>
        <v/>
      </c>
      <c r="L30" s="29" t="str">
        <f>INDEX(Д3!$E$24:$AI$33,MATCH($D30,Д3!$D$24:$D$33),MATCH(L$7,Д3!$E$3:$AI$3))</f>
        <v/>
      </c>
      <c r="M30" s="29" t="str">
        <f>INDEX(Д3!$E$24:$AI$33,MATCH($D30,Д3!$D$24:$D$33),MATCH(M$7,Д3!$E$3:$AI$3))</f>
        <v/>
      </c>
      <c r="N30" s="29" t="str">
        <f>INDEX(Д3!$E$24:$AI$33,MATCH($D30,Д3!$D$24:$D$33),MATCH(N$7,Д3!$E$3:$AI$3))</f>
        <v/>
      </c>
      <c r="O30" s="29" t="str">
        <f>INDEX(Д3!$E$24:$AI$33,MATCH($D30,Д3!$D$24:$D$33),MATCH(O$7,Д3!$E$3:$AI$3))</f>
        <v/>
      </c>
      <c r="P30" s="29" t="str">
        <f>INDEX(Д3!$E$24:$AI$33,MATCH($D30,Д3!$D$24:$D$33),MATCH(P$7,Д3!$E$3:$AI$3))</f>
        <v/>
      </c>
      <c r="Q30" s="29" t="str">
        <f>INDEX(Д3!$E$24:$AI$33,MATCH($D30,Д3!$D$24:$D$33),MATCH(Q$7,Д3!$E$3:$AI$3))</f>
        <v/>
      </c>
      <c r="R30" s="29" t="str">
        <f>INDEX(Д3!$E$24:$AI$33,MATCH($D30,Д3!$D$24:$D$33),MATCH(R$7,Д3!$E$3:$AI$3))</f>
        <v/>
      </c>
      <c r="S30" s="29" t="str">
        <f>INDEX(Д3!$E$24:$AI$33,MATCH($D30,Д3!$D$24:$D$33),MATCH(S$7,Д3!$E$3:$AI$3))</f>
        <v/>
      </c>
      <c r="T30" s="29" t="str">
        <f>INDEX(Д3!$E$24:$AI$33,MATCH($D30,Д3!$D$24:$D$33),MATCH(T$7,Д3!$E$3:$AI$3))</f>
        <v/>
      </c>
      <c r="U30" s="29" t="str">
        <f>INDEX(Д3!$E$24:$AI$33,MATCH($D30,Д3!$D$24:$D$33),MATCH(U$7,Д3!$E$3:$AI$3))</f>
        <v/>
      </c>
      <c r="V30" s="29" t="str">
        <f>INDEX(Д3!$E$24:$AI$33,MATCH($D30,Д3!$D$24:$D$33),MATCH(V$7,Д3!$E$3:$AI$3))</f>
        <v/>
      </c>
      <c r="W30" s="29" t="str">
        <f>INDEX(Д3!$E$24:$AI$33,MATCH($D30,Д3!$D$24:$D$33),MATCH(W$7,Д3!$E$3:$AI$3))</f>
        <v/>
      </c>
      <c r="X30" s="29" t="str">
        <f>INDEX(Д3!$E$24:$AI$33,MATCH($D30,Д3!$D$24:$D$33),MATCH(X$7,Д3!$E$3:$AI$3))</f>
        <v/>
      </c>
      <c r="Y30" s="29" t="str">
        <f>INDEX(Д3!$E$24:$AI$33,MATCH($D30,Д3!$D$24:$D$33),MATCH(Y$7,Д3!$E$3:$AI$3))</f>
        <v/>
      </c>
      <c r="Z30" s="29" t="str">
        <f>INDEX(Д3!$E$24:$AI$33,MATCH($D30,Д3!$D$24:$D$33),MATCH(Z$7,Д3!$E$3:$AI$3))</f>
        <v/>
      </c>
      <c r="AA30" s="29" t="str">
        <f>INDEX(Д3!$E$24:$AI$33,MATCH($D30,Д3!$D$24:$D$33),MATCH(AA$7,Д3!$E$3:$AI$3))</f>
        <v/>
      </c>
      <c r="AB30" s="29" t="str">
        <f>INDEX(Д3!$E$24:$AI$33,MATCH($D30,Д3!$D$24:$D$33),MATCH(AB$7,Д3!$E$3:$AI$3))</f>
        <v/>
      </c>
      <c r="AC30" s="29" t="str">
        <f>INDEX(Д3!$E$24:$AI$33,MATCH($D30,Д3!$D$24:$D$33),MATCH(AC$7,Д3!$E$3:$AI$3))</f>
        <v/>
      </c>
      <c r="AD30" s="29" t="str">
        <f>INDEX(Д3!$E$24:$AI$33,MATCH($D30,Д3!$D$24:$D$33),MATCH(AD$7,Д3!$E$3:$AI$3))</f>
        <v/>
      </c>
      <c r="AE30" s="29" t="str">
        <f>INDEX(Д3!$E$24:$AI$33,MATCH($D30,Д3!$D$24:$D$33),MATCH(AE$7,Д3!$E$3:$AI$3))</f>
        <v/>
      </c>
      <c r="AF30" s="29" t="str">
        <f>INDEX(Д3!$E$24:$AI$33,MATCH($D30,Д3!$D$24:$D$33),MATCH(AF$7,Д3!$E$3:$AI$3))</f>
        <v/>
      </c>
      <c r="AG30" s="29" t="str">
        <f>INDEX(Д3!$E$24:$AI$33,MATCH($D30,Д3!$D$24:$D$33),MATCH(AG$7,Д3!$E$3:$AI$3))</f>
        <v/>
      </c>
      <c r="AH30" s="29" t="str">
        <f>INDEX(Д3!$E$24:$AI$33,MATCH($D30,Д3!$D$24:$D$33),MATCH(AH$7,Д3!$E$3:$AI$3))</f>
        <v/>
      </c>
      <c r="AI30" s="61" t="str">
        <f>INDEX(Д3!$E$24:$AI$33,MATCH($D30,Д3!$D$24:$D$33),MATCH(AI$7,Д3!$E$3:$AI$3))</f>
        <v/>
      </c>
      <c r="AJ30" s="143"/>
      <c r="AK30" s="143"/>
      <c r="AL30" s="143"/>
      <c r="AM30" s="150"/>
      <c r="AP30" s="136"/>
      <c r="AQ30" s="136"/>
      <c r="AR30" s="136"/>
      <c r="AS30" s="136"/>
      <c r="AT30" s="136"/>
      <c r="AU30" s="136"/>
      <c r="AV30" s="136"/>
      <c r="AW30" s="137"/>
      <c r="AX30" s="137"/>
    </row>
    <row r="31" spans="1:50" ht="16.5" thickBot="1" x14ac:dyDescent="0.3">
      <c r="A31" s="147"/>
      <c r="B31" s="139" t="s">
        <v>91</v>
      </c>
      <c r="C31" s="170">
        <v>2</v>
      </c>
      <c r="D31" s="49">
        <v>3</v>
      </c>
      <c r="E31" s="64">
        <f ca="1">INDEX(Д3!$E$24:$AI$33,MATCH($D31,Д3!$D$24:$D$33),MATCH(E$7,Д3!$E$3:$AI$3))</f>
        <v>4</v>
      </c>
      <c r="F31" s="27">
        <f ca="1">INDEX(Д3!$E$24:$AI$33,MATCH($D31,Д3!$D$24:$D$33),MATCH(F$7,Д3!$E$3:$AI$3))</f>
        <v>8</v>
      </c>
      <c r="G31" s="27">
        <f ca="1">INDEX(Д3!$E$24:$AI$33,MATCH($D31,Д3!$D$24:$D$33),MATCH(G$7,Д3!$E$3:$AI$3))</f>
        <v>12</v>
      </c>
      <c r="H31" s="27">
        <f ca="1">INDEX(Д3!$E$24:$AI$33,MATCH($D31,Д3!$D$24:$D$33),MATCH(H$7,Д3!$E$3:$AI$3))</f>
        <v>8</v>
      </c>
      <c r="I31" s="27">
        <f ca="1">INDEX(Д3!$E$24:$AI$33,MATCH($D31,Д3!$D$24:$D$33),MATCH(I$7,Д3!$E$3:$AI$3))</f>
        <v>0</v>
      </c>
      <c r="J31" s="27">
        <f ca="1">INDEX(Д3!$E$24:$AI$33,MATCH($D31,Д3!$D$24:$D$33),MATCH(J$7,Д3!$E$3:$AI$3))</f>
        <v>4</v>
      </c>
      <c r="K31" s="27">
        <f ca="1">INDEX(Д3!$E$24:$AI$33,MATCH($D31,Д3!$D$24:$D$33),MATCH(K$7,Д3!$E$3:$AI$3))</f>
        <v>8</v>
      </c>
      <c r="L31" s="27">
        <f ca="1">INDEX(Д3!$E$24:$AI$33,MATCH($D31,Д3!$D$24:$D$33),MATCH(L$7,Д3!$E$3:$AI$3))</f>
        <v>12</v>
      </c>
      <c r="M31" s="27">
        <f ca="1">INDEX(Д3!$E$24:$AI$33,MATCH($D31,Д3!$D$24:$D$33),MATCH(M$7,Д3!$E$3:$AI$3))</f>
        <v>4</v>
      </c>
      <c r="N31" s="27">
        <f ca="1">INDEX(Д3!$E$24:$AI$33,MATCH($D31,Д3!$D$24:$D$33),MATCH(N$7,Д3!$E$3:$AI$3))</f>
        <v>8</v>
      </c>
      <c r="O31" s="27">
        <f ca="1">INDEX(Д3!$E$24:$AI$33,MATCH($D31,Д3!$D$24:$D$33),MATCH(O$7,Д3!$E$3:$AI$3))</f>
        <v>12</v>
      </c>
      <c r="P31" s="27">
        <f ca="1">INDEX(Д3!$E$24:$AI$33,MATCH($D31,Д3!$D$24:$D$33),MATCH(P$7,Д3!$E$3:$AI$3))</f>
        <v>0</v>
      </c>
      <c r="Q31" s="27">
        <f ca="1">INDEX(Д3!$E$24:$AI$33,MATCH($D31,Д3!$D$24:$D$33),MATCH(Q$7,Д3!$E$3:$AI$3))</f>
        <v>0</v>
      </c>
      <c r="R31" s="27">
        <f ca="1">INDEX(Д3!$E$24:$AI$33,MATCH($D31,Д3!$D$24:$D$33),MATCH(R$7,Д3!$E$3:$AI$3))</f>
        <v>4</v>
      </c>
      <c r="S31" s="27">
        <f ca="1">INDEX(Д3!$E$24:$AI$33,MATCH($D31,Д3!$D$24:$D$33),MATCH(S$7,Д3!$E$3:$AI$3))</f>
        <v>8</v>
      </c>
      <c r="T31" s="27">
        <f ca="1">INDEX(Д3!$E$24:$AI$33,MATCH($D31,Д3!$D$24:$D$33),MATCH(T$7,Д3!$E$3:$AI$3))</f>
        <v>12</v>
      </c>
      <c r="U31" s="27">
        <f ca="1">INDEX(Д3!$E$24:$AI$33,MATCH($D31,Д3!$D$24:$D$33),MATCH(U$7,Д3!$E$3:$AI$3))</f>
        <v>4</v>
      </c>
      <c r="V31" s="27">
        <f ca="1">INDEX(Д3!$E$24:$AI$33,MATCH($D31,Д3!$D$24:$D$33),MATCH(V$7,Д3!$E$3:$AI$3))</f>
        <v>8</v>
      </c>
      <c r="W31" s="27">
        <f ca="1">INDEX(Д3!$E$24:$AI$33,MATCH($D31,Д3!$D$24:$D$33),MATCH(W$7,Д3!$E$3:$AI$3))</f>
        <v>12</v>
      </c>
      <c r="X31" s="27">
        <f ca="1">INDEX(Д3!$E$24:$AI$33,MATCH($D31,Д3!$D$24:$D$33),MATCH(X$7,Д3!$E$3:$AI$3))</f>
        <v>0</v>
      </c>
      <c r="Y31" s="27">
        <f ca="1">INDEX(Д3!$E$24:$AI$33,MATCH($D31,Д3!$D$24:$D$33),MATCH(Y$7,Д3!$E$3:$AI$3))</f>
        <v>0</v>
      </c>
      <c r="Z31" s="27">
        <f ca="1">INDEX(Д3!$E$24:$AI$33,MATCH($D31,Д3!$D$24:$D$33),MATCH(Z$7,Д3!$E$3:$AI$3))</f>
        <v>4</v>
      </c>
      <c r="AA31" s="27">
        <f ca="1">INDEX(Д3!$E$24:$AI$33,MATCH($D31,Д3!$D$24:$D$33),MATCH(AA$7,Д3!$E$3:$AI$3))</f>
        <v>8</v>
      </c>
      <c r="AB31" s="27">
        <f ca="1">INDEX(Д3!$E$24:$AI$33,MATCH($D31,Д3!$D$24:$D$33),MATCH(AB$7,Д3!$E$3:$AI$3))</f>
        <v>12</v>
      </c>
      <c r="AC31" s="27">
        <f ca="1">INDEX(Д3!$E$24:$AI$33,MATCH($D31,Д3!$D$24:$D$33),MATCH(AC$7,Д3!$E$3:$AI$3))</f>
        <v>4</v>
      </c>
      <c r="AD31" s="27">
        <f ca="1">INDEX(Д3!$E$24:$AI$33,MATCH($D31,Д3!$D$24:$D$33),MATCH(AD$7,Д3!$E$3:$AI$3))</f>
        <v>8</v>
      </c>
      <c r="AE31" s="27">
        <f ca="1">INDEX(Д3!$E$24:$AI$33,MATCH($D31,Д3!$D$24:$D$33),MATCH(AE$7,Д3!$E$3:$AI$3))</f>
        <v>12</v>
      </c>
      <c r="AF31" s="27">
        <f ca="1">INDEX(Д3!$E$24:$AI$33,MATCH($D31,Д3!$D$24:$D$33),MATCH(AF$7,Д3!$E$3:$AI$3))</f>
        <v>0</v>
      </c>
      <c r="AG31" s="27">
        <f ca="1">INDEX(Д3!$E$24:$AI$33,MATCH($D31,Д3!$D$24:$D$33),MATCH(AG$7,Д3!$E$3:$AI$3))</f>
        <v>0</v>
      </c>
      <c r="AH31" s="27">
        <f ca="1">INDEX(Д3!$E$24:$AI$33,MATCH($D31,Д3!$D$24:$D$33),MATCH(AH$7,Д3!$E$3:$AI$3))</f>
        <v>4</v>
      </c>
      <c r="AI31" s="32">
        <f ca="1">INDEX(Д3!$E$24:$AI$33,MATCH($D31,Д3!$D$24:$D$33),MATCH(AI$7,Д3!$E$3:$AI$3))</f>
        <v>8</v>
      </c>
      <c r="AJ31" s="143">
        <f>INDEX(Д3!AK$24:$AK$33,MATCH($C31,Д3!$C$24:$C$33),MATCH(E$7,Д3!$E$3:$AI$3))*AND(MONTH($E$8)=MONTH(Д3!$B$24))</f>
        <v>167</v>
      </c>
      <c r="AK31" s="143">
        <f ca="1">SUM(E31:AI32)</f>
        <v>188</v>
      </c>
      <c r="AL31" s="143"/>
      <c r="AM31" s="149">
        <f ca="1">SUM(F31:H32,J31:AI32)-AJ31+AL31-12</f>
        <v>5</v>
      </c>
      <c r="AP31" s="136">
        <f t="shared" ref="AP31" ca="1" si="62">COUNTIF($E31:$AI32,"12")</f>
        <v>7</v>
      </c>
      <c r="AQ31" s="136">
        <f t="shared" ref="AQ31" ca="1" si="63">IF(COUNTIF($E31:$AI32,"СП")&gt;=1,(COUNTIF($E31:$AI32,"4")+COUNTIF($E31:$AI32,"8")-1)/2,(COUNTIF($E31:$AI32,"4")+COUNTIF($E31:$AI32,"8"))/2)</f>
        <v>8</v>
      </c>
      <c r="AR31" s="136">
        <f t="shared" ca="1" si="2"/>
        <v>84</v>
      </c>
      <c r="AS31" s="136">
        <f t="shared" ref="AS31" ca="1" si="64">IF(COUNTIF($E31:$AI32,"СП")&gt;=1,SUMIF($E31:$AI32,"4",$E31:$AI32)+SUMIF($E31:$AI32,"8",$E31:$AI32)-8,SUMIF($E31:$AI32,"4",$E31:$AI32)+SUMIF($E31:$AI32,"8",$E31:$AI32))</f>
        <v>96</v>
      </c>
      <c r="AT31" s="136">
        <f t="shared" ref="AT31" ca="1" si="65">$AR31+$AS31</f>
        <v>180</v>
      </c>
      <c r="AU31" s="136" t="str">
        <f t="shared" ref="AU31" ca="1" si="66">IF(AK31=AT31,"+","!")</f>
        <v>!</v>
      </c>
      <c r="AV31" s="136">
        <f t="shared" ref="AV31" ca="1" si="67">COUNTIF($E31:$AI32,"ОТ")</f>
        <v>0</v>
      </c>
      <c r="AW31" s="137" t="str">
        <f ca="1">IF(COUNTIF($A32:$AI32,"СП")&gt;0,IF(INDIRECT(ADDRESS(ROW(),MATCH("СП",$A32:$AI32),1))=8,"","!"),"")</f>
        <v/>
      </c>
      <c r="AX31" s="137" t="str">
        <f ca="1">IF(COUNTIF($A32:$AI32,"СП")&gt;0,IF(INDIRECT(ADDRESS(ROW(),MATCH("СП",$A32:$AI32)-1,1))=4,"!",""),"")</f>
        <v>!</v>
      </c>
    </row>
    <row r="32" spans="1:50" ht="16.5" thickBot="1" x14ac:dyDescent="0.3">
      <c r="A32" s="147"/>
      <c r="B32" s="139"/>
      <c r="C32" s="171"/>
      <c r="D32" s="50">
        <v>4</v>
      </c>
      <c r="E32" s="65" t="str">
        <f>INDEX(Д3!$E$24:$AI$33,MATCH($D32,Д3!$D$24:$D$33),MATCH(E$7,Д3!$E$3:$AI$3))</f>
        <v/>
      </c>
      <c r="F32" s="30" t="str">
        <f>INDEX(Д3!$E$24:$AI$33,MATCH($D32,Д3!$D$24:$D$33),MATCH(F$7,Д3!$E$3:$AI$3))</f>
        <v/>
      </c>
      <c r="G32" s="30" t="str">
        <f>INDEX(Д3!$E$24:$AI$33,MATCH($D32,Д3!$D$24:$D$33),MATCH(G$7,Д3!$E$3:$AI$3))</f>
        <v/>
      </c>
      <c r="H32" s="30" t="str">
        <f>INDEX(Д3!$E$24:$AI$33,MATCH($D32,Д3!$D$24:$D$33),MATCH(H$7,Д3!$E$3:$AI$3))</f>
        <v>СП</v>
      </c>
      <c r="I32" s="30" t="str">
        <f>INDEX(Д3!$E$24:$AI$33,MATCH($D32,Д3!$D$24:$D$33),MATCH(I$7,Д3!$E$3:$AI$3))</f>
        <v/>
      </c>
      <c r="J32" s="30" t="str">
        <f>INDEX(Д3!$E$24:$AI$33,MATCH($D32,Д3!$D$24:$D$33),MATCH(J$7,Д3!$E$3:$AI$3))</f>
        <v/>
      </c>
      <c r="K32" s="30" t="str">
        <f>INDEX(Д3!$E$24:$AI$33,MATCH($D32,Д3!$D$24:$D$33),MATCH(K$7,Д3!$E$3:$AI$3))</f>
        <v/>
      </c>
      <c r="L32" s="30" t="str">
        <f>INDEX(Д3!$E$24:$AI$33,MATCH($D32,Д3!$D$24:$D$33),MATCH(L$7,Д3!$E$3:$AI$3))</f>
        <v/>
      </c>
      <c r="M32" s="30" t="str">
        <f>INDEX(Д3!$E$24:$AI$33,MATCH($D32,Д3!$D$24:$D$33),MATCH(M$7,Д3!$E$3:$AI$3))</f>
        <v/>
      </c>
      <c r="N32" s="30" t="str">
        <f>INDEX(Д3!$E$24:$AI$33,MATCH($D32,Д3!$D$24:$D$33),MATCH(N$7,Д3!$E$3:$AI$3))</f>
        <v/>
      </c>
      <c r="O32" s="30" t="str">
        <f>INDEX(Д3!$E$24:$AI$33,MATCH($D32,Д3!$D$24:$D$33),MATCH(O$7,Д3!$E$3:$AI$3))</f>
        <v/>
      </c>
      <c r="P32" s="30" t="str">
        <f>INDEX(Д3!$E$24:$AI$33,MATCH($D32,Д3!$D$24:$D$33),MATCH(P$7,Д3!$E$3:$AI$3))</f>
        <v/>
      </c>
      <c r="Q32" s="30" t="str">
        <f>INDEX(Д3!$E$24:$AI$33,MATCH($D32,Д3!$D$24:$D$33),MATCH(Q$7,Д3!$E$3:$AI$3))</f>
        <v/>
      </c>
      <c r="R32" s="30" t="str">
        <f>INDEX(Д3!$E$24:$AI$33,MATCH($D32,Д3!$D$24:$D$33),MATCH(R$7,Д3!$E$3:$AI$3))</f>
        <v/>
      </c>
      <c r="S32" s="30" t="str">
        <f>INDEX(Д3!$E$24:$AI$33,MATCH($D32,Д3!$D$24:$D$33),MATCH(S$7,Д3!$E$3:$AI$3))</f>
        <v/>
      </c>
      <c r="T32" s="30" t="str">
        <f>INDEX(Д3!$E$24:$AI$33,MATCH($D32,Д3!$D$24:$D$33),MATCH(T$7,Д3!$E$3:$AI$3))</f>
        <v/>
      </c>
      <c r="U32" s="30" t="str">
        <f>INDEX(Д3!$E$24:$AI$33,MATCH($D32,Д3!$D$24:$D$33),MATCH(U$7,Д3!$E$3:$AI$3))</f>
        <v/>
      </c>
      <c r="V32" s="30" t="str">
        <f>INDEX(Д3!$E$24:$AI$33,MATCH($D32,Д3!$D$24:$D$33),MATCH(V$7,Д3!$E$3:$AI$3))</f>
        <v/>
      </c>
      <c r="W32" s="30" t="str">
        <f>INDEX(Д3!$E$24:$AI$33,MATCH($D32,Д3!$D$24:$D$33),MATCH(W$7,Д3!$E$3:$AI$3))</f>
        <v/>
      </c>
      <c r="X32" s="30" t="str">
        <f>INDEX(Д3!$E$24:$AI$33,MATCH($D32,Д3!$D$24:$D$33),MATCH(X$7,Д3!$E$3:$AI$3))</f>
        <v/>
      </c>
      <c r="Y32" s="30" t="str">
        <f>INDEX(Д3!$E$24:$AI$33,MATCH($D32,Д3!$D$24:$D$33),MATCH(Y$7,Д3!$E$3:$AI$3))</f>
        <v/>
      </c>
      <c r="Z32" s="30" t="str">
        <f>INDEX(Д3!$E$24:$AI$33,MATCH($D32,Д3!$D$24:$D$33),MATCH(Z$7,Д3!$E$3:$AI$3))</f>
        <v/>
      </c>
      <c r="AA32" s="30" t="str">
        <f>INDEX(Д3!$E$24:$AI$33,MATCH($D32,Д3!$D$24:$D$33),MATCH(AA$7,Д3!$E$3:$AI$3))</f>
        <v/>
      </c>
      <c r="AB32" s="30" t="str">
        <f>INDEX(Д3!$E$24:$AI$33,MATCH($D32,Д3!$D$24:$D$33),MATCH(AB$7,Д3!$E$3:$AI$3))</f>
        <v/>
      </c>
      <c r="AC32" s="30" t="str">
        <f>INDEX(Д3!$E$24:$AI$33,MATCH($D32,Д3!$D$24:$D$33),MATCH(AC$7,Д3!$E$3:$AI$3))</f>
        <v/>
      </c>
      <c r="AD32" s="30" t="str">
        <f>INDEX(Д3!$E$24:$AI$33,MATCH($D32,Д3!$D$24:$D$33),MATCH(AD$7,Д3!$E$3:$AI$3))</f>
        <v/>
      </c>
      <c r="AE32" s="30" t="str">
        <f>INDEX(Д3!$E$24:$AI$33,MATCH($D32,Д3!$D$24:$D$33),MATCH(AE$7,Д3!$E$3:$AI$3))</f>
        <v/>
      </c>
      <c r="AF32" s="30" t="str">
        <f>INDEX(Д3!$E$24:$AI$33,MATCH($D32,Д3!$D$24:$D$33),MATCH(AF$7,Д3!$E$3:$AI$3))</f>
        <v/>
      </c>
      <c r="AG32" s="30" t="str">
        <f>INDEX(Д3!$E$24:$AI$33,MATCH($D32,Д3!$D$24:$D$33),MATCH(AG$7,Д3!$E$3:$AI$3))</f>
        <v/>
      </c>
      <c r="AH32" s="30" t="str">
        <f>INDEX(Д3!$E$24:$AI$33,MATCH($D32,Д3!$D$24:$D$33),MATCH(AH$7,Д3!$E$3:$AI$3))</f>
        <v/>
      </c>
      <c r="AI32" s="33" t="str">
        <f>INDEX(Д3!$E$24:$AI$33,MATCH($D32,Д3!$D$24:$D$33),MATCH(AI$7,Д3!$E$3:$AI$3))</f>
        <v/>
      </c>
      <c r="AJ32" s="143"/>
      <c r="AK32" s="143"/>
      <c r="AL32" s="143"/>
      <c r="AM32" s="150"/>
      <c r="AP32" s="136"/>
      <c r="AQ32" s="136"/>
      <c r="AR32" s="136"/>
      <c r="AS32" s="136"/>
      <c r="AT32" s="136"/>
      <c r="AU32" s="136"/>
      <c r="AV32" s="136"/>
      <c r="AW32" s="137"/>
      <c r="AX32" s="137"/>
    </row>
    <row r="33" spans="1:50" ht="16.5" customHeight="1" thickBot="1" x14ac:dyDescent="0.3">
      <c r="A33" s="147"/>
      <c r="B33" s="139" t="s">
        <v>92</v>
      </c>
      <c r="C33" s="170">
        <v>3</v>
      </c>
      <c r="D33" s="49">
        <v>5</v>
      </c>
      <c r="E33" s="62">
        <f ca="1">INDEX(Д3!$E$24:$AI$33,MATCH($D33,Д3!$D$24:$D$33),MATCH(E$7,Д3!$E$3:$AI$3))</f>
        <v>0</v>
      </c>
      <c r="F33" s="28">
        <f ca="1">INDEX(Д3!$E$24:$AI$33,MATCH($D33,Д3!$D$24:$D$33),MATCH(F$7,Д3!$E$3:$AI$3))</f>
        <v>4</v>
      </c>
      <c r="G33" s="28">
        <f ca="1">INDEX(Д3!$E$24:$AI$33,MATCH($D33,Д3!$D$24:$D$33),MATCH(G$7,Д3!$E$3:$AI$3))</f>
        <v>8</v>
      </c>
      <c r="H33" s="28">
        <f ca="1">INDEX(Д3!$E$24:$AI$33,MATCH($D33,Д3!$D$24:$D$33),MATCH(H$7,Д3!$E$3:$AI$3))</f>
        <v>12</v>
      </c>
      <c r="I33" s="28">
        <f ca="1">INDEX(Д3!$E$24:$AI$33,MATCH($D33,Д3!$D$24:$D$33),MATCH(I$7,Д3!$E$3:$AI$3))</f>
        <v>8</v>
      </c>
      <c r="J33" s="28">
        <f ca="1">INDEX(Д3!$E$24:$AI$33,MATCH($D33,Д3!$D$24:$D$33),MATCH(J$7,Д3!$E$3:$AI$3))</f>
        <v>8</v>
      </c>
      <c r="K33" s="28">
        <f ca="1">INDEX(Д3!$E$24:$AI$33,MATCH($D33,Д3!$D$24:$D$33),MATCH(K$7,Д3!$E$3:$AI$3))</f>
        <v>12</v>
      </c>
      <c r="L33" s="28">
        <f ca="1">INDEX(Д3!$E$24:$AI$33,MATCH($D33,Д3!$D$24:$D$33),MATCH(L$7,Д3!$E$3:$AI$3))</f>
        <v>0</v>
      </c>
      <c r="M33" s="28">
        <f ca="1">INDEX(Д3!$E$24:$AI$33,MATCH($D33,Д3!$D$24:$D$33),MATCH(M$7,Д3!$E$3:$AI$3))</f>
        <v>0</v>
      </c>
      <c r="N33" s="28">
        <f ca="1">INDEX(Д3!$E$24:$AI$33,MATCH($D33,Д3!$D$24:$D$33),MATCH(N$7,Д3!$E$3:$AI$3))</f>
        <v>4</v>
      </c>
      <c r="O33" s="28">
        <f ca="1">INDEX(Д3!$E$24:$AI$33,MATCH($D33,Д3!$D$24:$D$33),MATCH(O$7,Д3!$E$3:$AI$3))</f>
        <v>8</v>
      </c>
      <c r="P33" s="28">
        <f ca="1">INDEX(Д3!$E$24:$AI$33,MATCH($D33,Д3!$D$24:$D$33),MATCH(P$7,Д3!$E$3:$AI$3))</f>
        <v>12</v>
      </c>
      <c r="Q33" s="28">
        <f ca="1">INDEX(Д3!$E$24:$AI$33,MATCH($D33,Д3!$D$24:$D$33),MATCH(Q$7,Д3!$E$3:$AI$3))</f>
        <v>4</v>
      </c>
      <c r="R33" s="28">
        <f ca="1">INDEX(Д3!$E$24:$AI$33,MATCH($D33,Д3!$D$24:$D$33),MATCH(R$7,Д3!$E$3:$AI$3))</f>
        <v>8</v>
      </c>
      <c r="S33" s="28">
        <f ca="1">INDEX(Д3!$E$24:$AI$33,MATCH($D33,Д3!$D$24:$D$33),MATCH(S$7,Д3!$E$3:$AI$3))</f>
        <v>12</v>
      </c>
      <c r="T33" s="28">
        <f ca="1">INDEX(Д3!$E$24:$AI$33,MATCH($D33,Д3!$D$24:$D$33),MATCH(T$7,Д3!$E$3:$AI$3))</f>
        <v>0</v>
      </c>
      <c r="U33" s="28">
        <f ca="1">INDEX(Д3!$E$24:$AI$33,MATCH($D33,Д3!$D$24:$D$33),MATCH(U$7,Д3!$E$3:$AI$3))</f>
        <v>0</v>
      </c>
      <c r="V33" s="28">
        <f ca="1">INDEX(Д3!$E$24:$AI$33,MATCH($D33,Д3!$D$24:$D$33),MATCH(V$7,Д3!$E$3:$AI$3))</f>
        <v>4</v>
      </c>
      <c r="W33" s="28">
        <f ca="1">INDEX(Д3!$E$24:$AI$33,MATCH($D33,Д3!$D$24:$D$33),MATCH(W$7,Д3!$E$3:$AI$3))</f>
        <v>8</v>
      </c>
      <c r="X33" s="28">
        <f ca="1">INDEX(Д3!$E$24:$AI$33,MATCH($D33,Д3!$D$24:$D$33),MATCH(X$7,Д3!$E$3:$AI$3))</f>
        <v>12</v>
      </c>
      <c r="Y33" s="28">
        <f ca="1">INDEX(Д3!$E$24:$AI$33,MATCH($D33,Д3!$D$24:$D$33),MATCH(Y$7,Д3!$E$3:$AI$3))</f>
        <v>4</v>
      </c>
      <c r="Z33" s="28">
        <f ca="1">INDEX(Д3!$E$24:$AI$33,MATCH($D33,Д3!$D$24:$D$33),MATCH(Z$7,Д3!$E$3:$AI$3))</f>
        <v>8</v>
      </c>
      <c r="AA33" s="28">
        <f ca="1">INDEX(Д3!$E$24:$AI$33,MATCH($D33,Д3!$D$24:$D$33),MATCH(AA$7,Д3!$E$3:$AI$3))</f>
        <v>12</v>
      </c>
      <c r="AB33" s="28">
        <f ca="1">INDEX(Д3!$E$24:$AI$33,MATCH($D33,Д3!$D$24:$D$33),MATCH(AB$7,Д3!$E$3:$AI$3))</f>
        <v>0</v>
      </c>
      <c r="AC33" s="28">
        <f ca="1">INDEX(Д3!$E$24:$AI$33,MATCH($D33,Д3!$D$24:$D$33),MATCH(AC$7,Д3!$E$3:$AI$3))</f>
        <v>0</v>
      </c>
      <c r="AD33" s="28">
        <f ca="1">INDEX(Д3!$E$24:$AI$33,MATCH($D33,Д3!$D$24:$D$33),MATCH(AD$7,Д3!$E$3:$AI$3))</f>
        <v>4</v>
      </c>
      <c r="AE33" s="28">
        <f ca="1">INDEX(Д3!$E$24:$AI$33,MATCH($D33,Д3!$D$24:$D$33),MATCH(AE$7,Д3!$E$3:$AI$3))</f>
        <v>8</v>
      </c>
      <c r="AF33" s="28">
        <f ca="1">INDEX(Д3!$E$24:$AI$33,MATCH($D33,Д3!$D$24:$D$33),MATCH(AF$7,Д3!$E$3:$AI$3))</f>
        <v>12</v>
      </c>
      <c r="AG33" s="28">
        <f ca="1">INDEX(Д3!$E$24:$AI$33,MATCH($D33,Д3!$D$24:$D$33),MATCH(AG$7,Д3!$E$3:$AI$3))</f>
        <v>4</v>
      </c>
      <c r="AH33" s="28">
        <f ca="1">INDEX(Д3!$E$24:$AI$33,MATCH($D33,Д3!$D$24:$D$33),MATCH(AH$7,Д3!$E$3:$AI$3))</f>
        <v>8</v>
      </c>
      <c r="AI33" s="60">
        <f ca="1">INDEX(Д3!$E$24:$AI$33,MATCH($D33,Д3!$D$24:$D$33),MATCH(AI$7,Д3!$E$3:$AI$3))</f>
        <v>12</v>
      </c>
      <c r="AJ33" s="143">
        <f>INDEX(Д3!AK$24:$AK$33,MATCH($C33,Д3!$C$24:$C$33),MATCH(E$7,Д3!$E$3:$AI$3))*AND(MONTH($E$8)=MONTH(Д3!$B$24))</f>
        <v>167</v>
      </c>
      <c r="AK33" s="143">
        <f ca="1">SUM(E33:AI34)</f>
        <v>196</v>
      </c>
      <c r="AL33" s="143"/>
      <c r="AM33" s="149">
        <f ca="1">SUM(F33:H34,J33:AI34)-AJ33+AL33-12</f>
        <v>9</v>
      </c>
      <c r="AP33" s="136">
        <f t="shared" ref="AP33" ca="1" si="68">COUNTIF($E33:$AI34,"12")</f>
        <v>8</v>
      </c>
      <c r="AQ33" s="136">
        <f t="shared" ref="AQ33" ca="1" si="69">IF(COUNTIF($E33:$AI34,"СП")&gt;=1,(COUNTIF($E33:$AI34,"4")+COUNTIF($E33:$AI34,"8")-1)/2,(COUNTIF($E33:$AI34,"4")+COUNTIF($E33:$AI34,"8"))/2)</f>
        <v>7.5</v>
      </c>
      <c r="AR33" s="136">
        <f t="shared" ca="1" si="2"/>
        <v>96</v>
      </c>
      <c r="AS33" s="136">
        <f t="shared" ref="AS33" ca="1" si="70">IF(COUNTIF($E33:$AI34,"СП")&gt;=1,SUMIF($E33:$AI34,"4",$E33:$AI34)+SUMIF($E33:$AI34,"8",$E33:$AI34)-8,SUMIF($E33:$AI34,"4",$E33:$AI34)+SUMIF($E33:$AI34,"8",$E33:$AI34))</f>
        <v>92</v>
      </c>
      <c r="AT33" s="136">
        <f t="shared" ref="AT33" ca="1" si="71">$AR33+$AS33</f>
        <v>188</v>
      </c>
      <c r="AU33" s="136" t="str">
        <f t="shared" ref="AU33" ca="1" si="72">IF(AK33=AT33,"+","!")</f>
        <v>!</v>
      </c>
      <c r="AV33" s="136">
        <f t="shared" ref="AV33" ca="1" si="73">COUNTIF($E33:$AI34,"ОТ")</f>
        <v>0</v>
      </c>
      <c r="AW33" s="137" t="str">
        <f ca="1">IF(COUNTIF($A34:$AI34,"СП")&gt;0,IF(INDIRECT(ADDRESS(ROW(),MATCH("СП",$A34:$AI34),1))=8,"","!"),"")</f>
        <v>!</v>
      </c>
      <c r="AX33" s="137" t="str">
        <f ca="1">IF(COUNTIF($A34:$AI34,"СП")&gt;0,IF(INDIRECT(ADDRESS(ROW(),MATCH("СП",$A34:$AI34)-1,1))=4,"!",""),"")</f>
        <v/>
      </c>
    </row>
    <row r="34" spans="1:50" ht="16.5" thickBot="1" x14ac:dyDescent="0.3">
      <c r="A34" s="147"/>
      <c r="B34" s="139"/>
      <c r="C34" s="171"/>
      <c r="D34" s="50">
        <v>6</v>
      </c>
      <c r="E34" s="63" t="str">
        <f>INDEX(Д3!$E$24:$AI$33,MATCH($D34,Д3!$D$24:$D$33),MATCH(E$7,Д3!$E$3:$AI$3))</f>
        <v/>
      </c>
      <c r="F34" s="29" t="str">
        <f>INDEX(Д3!$E$24:$AI$33,MATCH($D34,Д3!$D$24:$D$33),MATCH(F$7,Д3!$E$3:$AI$3))</f>
        <v/>
      </c>
      <c r="G34" s="29" t="str">
        <f>INDEX(Д3!$E$24:$AI$33,MATCH($D34,Д3!$D$24:$D$33),MATCH(G$7,Д3!$E$3:$AI$3))</f>
        <v/>
      </c>
      <c r="H34" s="29" t="str">
        <f>INDEX(Д3!$E$24:$AI$33,MATCH($D34,Д3!$D$24:$D$33),MATCH(H$7,Д3!$E$3:$AI$3))</f>
        <v/>
      </c>
      <c r="I34" s="29" t="str">
        <f>INDEX(Д3!$E$24:$AI$33,MATCH($D34,Д3!$D$24:$D$33),MATCH(I$7,Д3!$E$3:$AI$3))</f>
        <v>СП</v>
      </c>
      <c r="J34" s="29" t="str">
        <f>INDEX(Д3!$E$24:$AI$33,MATCH($D34,Д3!$D$24:$D$33),MATCH(J$7,Д3!$E$3:$AI$3))</f>
        <v/>
      </c>
      <c r="K34" s="29" t="str">
        <f>INDEX(Д3!$E$24:$AI$33,MATCH($D34,Д3!$D$24:$D$33),MATCH(K$7,Д3!$E$3:$AI$3))</f>
        <v/>
      </c>
      <c r="L34" s="29" t="str">
        <f>INDEX(Д3!$E$24:$AI$33,MATCH($D34,Д3!$D$24:$D$33),MATCH(L$7,Д3!$E$3:$AI$3))</f>
        <v/>
      </c>
      <c r="M34" s="29" t="str">
        <f>INDEX(Д3!$E$24:$AI$33,MATCH($D34,Д3!$D$24:$D$33),MATCH(M$7,Д3!$E$3:$AI$3))</f>
        <v/>
      </c>
      <c r="N34" s="29" t="str">
        <f>INDEX(Д3!$E$24:$AI$33,MATCH($D34,Д3!$D$24:$D$33),MATCH(N$7,Д3!$E$3:$AI$3))</f>
        <v/>
      </c>
      <c r="O34" s="29" t="str">
        <f>INDEX(Д3!$E$24:$AI$33,MATCH($D34,Д3!$D$24:$D$33),MATCH(O$7,Д3!$E$3:$AI$3))</f>
        <v/>
      </c>
      <c r="P34" s="29" t="str">
        <f>INDEX(Д3!$E$24:$AI$33,MATCH($D34,Д3!$D$24:$D$33),MATCH(P$7,Д3!$E$3:$AI$3))</f>
        <v/>
      </c>
      <c r="Q34" s="29" t="str">
        <f>INDEX(Д3!$E$24:$AI$33,MATCH($D34,Д3!$D$24:$D$33),MATCH(Q$7,Д3!$E$3:$AI$3))</f>
        <v/>
      </c>
      <c r="R34" s="29" t="str">
        <f>INDEX(Д3!$E$24:$AI$33,MATCH($D34,Д3!$D$24:$D$33),MATCH(R$7,Д3!$E$3:$AI$3))</f>
        <v/>
      </c>
      <c r="S34" s="29" t="str">
        <f>INDEX(Д3!$E$24:$AI$33,MATCH($D34,Д3!$D$24:$D$33),MATCH(S$7,Д3!$E$3:$AI$3))</f>
        <v/>
      </c>
      <c r="T34" s="29" t="str">
        <f>INDEX(Д3!$E$24:$AI$33,MATCH($D34,Д3!$D$24:$D$33),MATCH(T$7,Д3!$E$3:$AI$3))</f>
        <v/>
      </c>
      <c r="U34" s="29" t="str">
        <f>INDEX(Д3!$E$24:$AI$33,MATCH($D34,Д3!$D$24:$D$33),MATCH(U$7,Д3!$E$3:$AI$3))</f>
        <v/>
      </c>
      <c r="V34" s="29" t="str">
        <f>INDEX(Д3!$E$24:$AI$33,MATCH($D34,Д3!$D$24:$D$33),MATCH(V$7,Д3!$E$3:$AI$3))</f>
        <v/>
      </c>
      <c r="W34" s="29" t="str">
        <f>INDEX(Д3!$E$24:$AI$33,MATCH($D34,Д3!$D$24:$D$33),MATCH(W$7,Д3!$E$3:$AI$3))</f>
        <v/>
      </c>
      <c r="X34" s="29" t="str">
        <f>INDEX(Д3!$E$24:$AI$33,MATCH($D34,Д3!$D$24:$D$33),MATCH(X$7,Д3!$E$3:$AI$3))</f>
        <v/>
      </c>
      <c r="Y34" s="29" t="str">
        <f>INDEX(Д3!$E$24:$AI$33,MATCH($D34,Д3!$D$24:$D$33),MATCH(Y$7,Д3!$E$3:$AI$3))</f>
        <v/>
      </c>
      <c r="Z34" s="29" t="str">
        <f>INDEX(Д3!$E$24:$AI$33,MATCH($D34,Д3!$D$24:$D$33),MATCH(Z$7,Д3!$E$3:$AI$3))</f>
        <v/>
      </c>
      <c r="AA34" s="29" t="str">
        <f>INDEX(Д3!$E$24:$AI$33,MATCH($D34,Д3!$D$24:$D$33),MATCH(AA$7,Д3!$E$3:$AI$3))</f>
        <v/>
      </c>
      <c r="AB34" s="29" t="str">
        <f>INDEX(Д3!$E$24:$AI$33,MATCH($D34,Д3!$D$24:$D$33),MATCH(AB$7,Д3!$E$3:$AI$3))</f>
        <v/>
      </c>
      <c r="AC34" s="29" t="str">
        <f>INDEX(Д3!$E$24:$AI$33,MATCH($D34,Д3!$D$24:$D$33),MATCH(AC$7,Д3!$E$3:$AI$3))</f>
        <v/>
      </c>
      <c r="AD34" s="29" t="str">
        <f>INDEX(Д3!$E$24:$AI$33,MATCH($D34,Д3!$D$24:$D$33),MATCH(AD$7,Д3!$E$3:$AI$3))</f>
        <v/>
      </c>
      <c r="AE34" s="29" t="str">
        <f>INDEX(Д3!$E$24:$AI$33,MATCH($D34,Д3!$D$24:$D$33),MATCH(AE$7,Д3!$E$3:$AI$3))</f>
        <v/>
      </c>
      <c r="AF34" s="29" t="str">
        <f>INDEX(Д3!$E$24:$AI$33,MATCH($D34,Д3!$D$24:$D$33),MATCH(AF$7,Д3!$E$3:$AI$3))</f>
        <v/>
      </c>
      <c r="AG34" s="29" t="str">
        <f>INDEX(Д3!$E$24:$AI$33,MATCH($D34,Д3!$D$24:$D$33),MATCH(AG$7,Д3!$E$3:$AI$3))</f>
        <v/>
      </c>
      <c r="AH34" s="29" t="str">
        <f>INDEX(Д3!$E$24:$AI$33,MATCH($D34,Д3!$D$24:$D$33),MATCH(AH$7,Д3!$E$3:$AI$3))</f>
        <v/>
      </c>
      <c r="AI34" s="61" t="str">
        <f>INDEX(Д3!$E$24:$AI$33,MATCH($D34,Д3!$D$24:$D$33),MATCH(AI$7,Д3!$E$3:$AI$3))</f>
        <v/>
      </c>
      <c r="AJ34" s="143"/>
      <c r="AK34" s="143"/>
      <c r="AL34" s="143"/>
      <c r="AM34" s="150"/>
      <c r="AP34" s="136"/>
      <c r="AQ34" s="136"/>
      <c r="AR34" s="136"/>
      <c r="AS34" s="136"/>
      <c r="AT34" s="136"/>
      <c r="AU34" s="136"/>
      <c r="AV34" s="136"/>
      <c r="AW34" s="137"/>
      <c r="AX34" s="137"/>
    </row>
    <row r="35" spans="1:50" ht="16.5" customHeight="1" thickBot="1" x14ac:dyDescent="0.3">
      <c r="A35" s="147"/>
      <c r="B35" s="139" t="s">
        <v>93</v>
      </c>
      <c r="C35" s="170">
        <v>4</v>
      </c>
      <c r="D35" s="49">
        <v>7</v>
      </c>
      <c r="E35" s="64">
        <f ca="1">INDEX(Д3!$E$24:$AI$33,MATCH($D35,Д3!$D$24:$D$33),MATCH(E$7,Д3!$E$3:$AI$3))</f>
        <v>12</v>
      </c>
      <c r="F35" s="27">
        <f ca="1">INDEX(Д3!$E$24:$AI$33,MATCH($D35,Д3!$D$24:$D$33),MATCH(F$7,Д3!$E$3:$AI$3))</f>
        <v>0</v>
      </c>
      <c r="G35" s="27">
        <f ca="1">INDEX(Д3!$E$24:$AI$33,MATCH($D35,Д3!$D$24:$D$33),MATCH(G$7,Д3!$E$3:$AI$3))</f>
        <v>0</v>
      </c>
      <c r="H35" s="27">
        <f ca="1">INDEX(Д3!$E$24:$AI$33,MATCH($D35,Д3!$D$24:$D$33),MATCH(H$7,Д3!$E$3:$AI$3))</f>
        <v>4</v>
      </c>
      <c r="I35" s="27">
        <f ca="1">INDEX(Д3!$E$24:$AI$33,MATCH($D35,Д3!$D$24:$D$33),MATCH(I$7,Д3!$E$3:$AI$3))</f>
        <v>8</v>
      </c>
      <c r="J35" s="27">
        <f ca="1">INDEX(Д3!$E$24:$AI$33,MATCH($D35,Д3!$D$24:$D$33),MATCH(J$7,Д3!$E$3:$AI$3))</f>
        <v>12</v>
      </c>
      <c r="K35" s="27">
        <f ca="1">INDEX(Д3!$E$24:$AI$33,MATCH($D35,Д3!$D$24:$D$33),MATCH(K$7,Д3!$E$3:$AI$3))</f>
        <v>4</v>
      </c>
      <c r="L35" s="27">
        <f ca="1">INDEX(Д3!$E$24:$AI$33,MATCH($D35,Д3!$D$24:$D$33),MATCH(L$7,Д3!$E$3:$AI$3))</f>
        <v>8</v>
      </c>
      <c r="M35" s="27">
        <f ca="1">INDEX(Д3!$E$24:$AI$33,MATCH($D35,Д3!$D$24:$D$33),MATCH(M$7,Д3!$E$3:$AI$3))</f>
        <v>12</v>
      </c>
      <c r="N35" s="27">
        <f ca="1">INDEX(Д3!$E$24:$AI$33,MATCH($D35,Д3!$D$24:$D$33),MATCH(N$7,Д3!$E$3:$AI$3))</f>
        <v>0</v>
      </c>
      <c r="O35" s="27">
        <f ca="1">INDEX(Д3!$E$24:$AI$33,MATCH($D35,Д3!$D$24:$D$33),MATCH(O$7,Д3!$E$3:$AI$3))</f>
        <v>0</v>
      </c>
      <c r="P35" s="27">
        <f ca="1">INDEX(Д3!$E$24:$AI$33,MATCH($D35,Д3!$D$24:$D$33),MATCH(P$7,Д3!$E$3:$AI$3))</f>
        <v>4</v>
      </c>
      <c r="Q35" s="27">
        <f ca="1">INDEX(Д3!$E$24:$AI$33,MATCH($D35,Д3!$D$24:$D$33),MATCH(Q$7,Д3!$E$3:$AI$3))</f>
        <v>8</v>
      </c>
      <c r="R35" s="27">
        <f ca="1">INDEX(Д3!$E$24:$AI$33,MATCH($D35,Д3!$D$24:$D$33),MATCH(R$7,Д3!$E$3:$AI$3))</f>
        <v>12</v>
      </c>
      <c r="S35" s="27">
        <f ca="1">INDEX(Д3!$E$24:$AI$33,MATCH($D35,Д3!$D$24:$D$33),MATCH(S$7,Д3!$E$3:$AI$3))</f>
        <v>4</v>
      </c>
      <c r="T35" s="27">
        <f ca="1">INDEX(Д3!$E$24:$AI$33,MATCH($D35,Д3!$D$24:$D$33),MATCH(T$7,Д3!$E$3:$AI$3))</f>
        <v>8</v>
      </c>
      <c r="U35" s="27">
        <f ca="1">INDEX(Д3!$E$24:$AI$33,MATCH($D35,Д3!$D$24:$D$33),MATCH(U$7,Д3!$E$3:$AI$3))</f>
        <v>12</v>
      </c>
      <c r="V35" s="27">
        <f ca="1">INDEX(Д3!$E$24:$AI$33,MATCH($D35,Д3!$D$24:$D$33),MATCH(V$7,Д3!$E$3:$AI$3))</f>
        <v>0</v>
      </c>
      <c r="W35" s="27">
        <f ca="1">INDEX(Д3!$E$24:$AI$33,MATCH($D35,Д3!$D$24:$D$33),MATCH(W$7,Д3!$E$3:$AI$3))</f>
        <v>0</v>
      </c>
      <c r="X35" s="27">
        <f ca="1">INDEX(Д3!$E$24:$AI$33,MATCH($D35,Д3!$D$24:$D$33),MATCH(X$7,Д3!$E$3:$AI$3))</f>
        <v>4</v>
      </c>
      <c r="Y35" s="27">
        <f ca="1">INDEX(Д3!$E$24:$AI$33,MATCH($D35,Д3!$D$24:$D$33),MATCH(Y$7,Д3!$E$3:$AI$3))</f>
        <v>8</v>
      </c>
      <c r="Z35" s="27">
        <f ca="1">INDEX(Д3!$E$24:$AI$33,MATCH($D35,Д3!$D$24:$D$33),MATCH(Z$7,Д3!$E$3:$AI$3))</f>
        <v>12</v>
      </c>
      <c r="AA35" s="27">
        <f ca="1">INDEX(Д3!$E$24:$AI$33,MATCH($D35,Д3!$D$24:$D$33),MATCH(AA$7,Д3!$E$3:$AI$3))</f>
        <v>4</v>
      </c>
      <c r="AB35" s="27">
        <f ca="1">INDEX(Д3!$E$24:$AI$33,MATCH($D35,Д3!$D$24:$D$33),MATCH(AB$7,Д3!$E$3:$AI$3))</f>
        <v>8</v>
      </c>
      <c r="AC35" s="27">
        <f ca="1">INDEX(Д3!$E$24:$AI$33,MATCH($D35,Д3!$D$24:$D$33),MATCH(AC$7,Д3!$E$3:$AI$3))</f>
        <v>12</v>
      </c>
      <c r="AD35" s="27">
        <f ca="1">INDEX(Д3!$E$24:$AI$33,MATCH($D35,Д3!$D$24:$D$33),MATCH(AD$7,Д3!$E$3:$AI$3))</f>
        <v>0</v>
      </c>
      <c r="AE35" s="27">
        <f ca="1">INDEX(Д3!$E$24:$AI$33,MATCH($D35,Д3!$D$24:$D$33),MATCH(AE$7,Д3!$E$3:$AI$3))</f>
        <v>0</v>
      </c>
      <c r="AF35" s="27">
        <f ca="1">INDEX(Д3!$E$24:$AI$33,MATCH($D35,Д3!$D$24:$D$33),MATCH(AF$7,Д3!$E$3:$AI$3))</f>
        <v>4</v>
      </c>
      <c r="AG35" s="27">
        <f ca="1">INDEX(Д3!$E$24:$AI$33,MATCH($D35,Д3!$D$24:$D$33),MATCH(AG$7,Д3!$E$3:$AI$3))</f>
        <v>8</v>
      </c>
      <c r="AH35" s="27">
        <f ca="1">INDEX(Д3!$E$24:$AI$33,MATCH($D35,Д3!$D$24:$D$33),MATCH(AH$7,Д3!$E$3:$AI$3))</f>
        <v>12</v>
      </c>
      <c r="AI35" s="32">
        <f ca="1">INDEX(Д3!$E$24:$AI$33,MATCH($D35,Д3!$D$24:$D$33),MATCH(AI$7,Д3!$E$3:$AI$3))</f>
        <v>4</v>
      </c>
      <c r="AJ35" s="143">
        <f>INDEX(Д3!AK$24:$AK$33,MATCH($C35,Д3!$C$24:$C$33),MATCH(E$7,Д3!$E$3:$AI$3))*AND(MONTH($E$8)=MONTH(Д3!$B$24))</f>
        <v>167</v>
      </c>
      <c r="AK35" s="143">
        <f ca="1">SUM(E35:AI36)</f>
        <v>184</v>
      </c>
      <c r="AL35" s="143"/>
      <c r="AM35" s="149">
        <f ca="1">SUM(F35:H36,J35:AI36)-AJ35+AL35-12</f>
        <v>-15</v>
      </c>
      <c r="AP35" s="136">
        <f t="shared" ref="AP35" ca="1" si="74">COUNTIF($E35:$AI36,"12")</f>
        <v>8</v>
      </c>
      <c r="AQ35" s="136">
        <f t="shared" ref="AQ35" ca="1" si="75">IF(COUNTIF($E35:$AI36,"СП")&gt;=1,(COUNTIF($E35:$AI36,"4")+COUNTIF($E35:$AI36,"8")-1)/2,(COUNTIF($E35:$AI36,"4")+COUNTIF($E35:$AI36,"8"))/2)</f>
        <v>7</v>
      </c>
      <c r="AR35" s="136">
        <f t="shared" ca="1" si="2"/>
        <v>96</v>
      </c>
      <c r="AS35" s="136">
        <f t="shared" ref="AS35" ca="1" si="76">IF(COUNTIF($E35:$AI36,"СП")&gt;=1,SUMIF($E35:$AI36,"4",$E35:$AI36)+SUMIF($E35:$AI36,"8",$E35:$AI36)-8,SUMIF($E35:$AI36,"4",$E35:$AI36)+SUMIF($E35:$AI36,"8",$E35:$AI36))</f>
        <v>80</v>
      </c>
      <c r="AT35" s="136">
        <f t="shared" ref="AT35" ca="1" si="77">$AR35+$AS35</f>
        <v>176</v>
      </c>
      <c r="AU35" s="136" t="str">
        <f t="shared" ref="AU35" ca="1" si="78">IF(AK35=AT35,"+","!")</f>
        <v>!</v>
      </c>
      <c r="AV35" s="136">
        <f t="shared" ref="AV35" ca="1" si="79">COUNTIF($E35:$AI36,"ОТ")</f>
        <v>0</v>
      </c>
      <c r="AW35" s="137" t="str">
        <f ca="1">IF(COUNTIF($A36:$AI36,"СП")&gt;0,IF(INDIRECT(ADDRESS(ROW(),MATCH("СП",$A36:$AI36),1))=8,"","!"),"")</f>
        <v>!</v>
      </c>
      <c r="AX35" s="137" t="str">
        <f ca="1">IF(COUNTIF($A36:$AI36,"СП")&gt;0,IF(INDIRECT(ADDRESS(ROW(),MATCH("СП",$A36:$AI36)-1,1))=4,"!",""),"")</f>
        <v/>
      </c>
    </row>
    <row r="36" spans="1:50" ht="16.5" thickBot="1" x14ac:dyDescent="0.3">
      <c r="A36" s="147"/>
      <c r="B36" s="139"/>
      <c r="C36" s="171"/>
      <c r="D36" s="50">
        <v>8</v>
      </c>
      <c r="E36" s="65" t="str">
        <f>INDEX(Д3!$E$24:$AI$33,MATCH($D36,Д3!$D$24:$D$33),MATCH(E$7,Д3!$E$3:$AI$3))</f>
        <v/>
      </c>
      <c r="F36" s="30" t="str">
        <f>INDEX(Д3!$E$24:$AI$33,MATCH($D36,Д3!$D$24:$D$33),MATCH(F$7,Д3!$E$3:$AI$3))</f>
        <v/>
      </c>
      <c r="G36" s="30" t="str">
        <f>INDEX(Д3!$E$24:$AI$33,MATCH($D36,Д3!$D$24:$D$33),MATCH(G$7,Д3!$E$3:$AI$3))</f>
        <v/>
      </c>
      <c r="H36" s="30" t="str">
        <f>INDEX(Д3!$E$24:$AI$33,MATCH($D36,Д3!$D$24:$D$33),MATCH(H$7,Д3!$E$3:$AI$3))</f>
        <v/>
      </c>
      <c r="I36" s="30" t="str">
        <f>INDEX(Д3!$E$24:$AI$33,MATCH($D36,Д3!$D$24:$D$33),MATCH(I$7,Д3!$E$3:$AI$3))</f>
        <v/>
      </c>
      <c r="J36" s="30" t="str">
        <f>INDEX(Д3!$E$24:$AI$33,MATCH($D36,Д3!$D$24:$D$33),MATCH(J$7,Д3!$E$3:$AI$3))</f>
        <v>СП</v>
      </c>
      <c r="K36" s="30" t="str">
        <f>INDEX(Д3!$E$24:$AI$33,MATCH($D36,Д3!$D$24:$D$33),MATCH(K$7,Д3!$E$3:$AI$3))</f>
        <v/>
      </c>
      <c r="L36" s="30" t="str">
        <f>INDEX(Д3!$E$24:$AI$33,MATCH($D36,Д3!$D$24:$D$33),MATCH(L$7,Д3!$E$3:$AI$3))</f>
        <v/>
      </c>
      <c r="M36" s="30" t="str">
        <f>INDEX(Д3!$E$24:$AI$33,MATCH($D36,Д3!$D$24:$D$33),MATCH(M$7,Д3!$E$3:$AI$3))</f>
        <v/>
      </c>
      <c r="N36" s="30" t="str">
        <f>INDEX(Д3!$E$24:$AI$33,MATCH($D36,Д3!$D$24:$D$33),MATCH(N$7,Д3!$E$3:$AI$3))</f>
        <v/>
      </c>
      <c r="O36" s="30" t="str">
        <f>INDEX(Д3!$E$24:$AI$33,MATCH($D36,Д3!$D$24:$D$33),MATCH(O$7,Д3!$E$3:$AI$3))</f>
        <v/>
      </c>
      <c r="P36" s="30" t="str">
        <f>INDEX(Д3!$E$24:$AI$33,MATCH($D36,Д3!$D$24:$D$33),MATCH(P$7,Д3!$E$3:$AI$3))</f>
        <v/>
      </c>
      <c r="Q36" s="30" t="str">
        <f>INDEX(Д3!$E$24:$AI$33,MATCH($D36,Д3!$D$24:$D$33),MATCH(Q$7,Д3!$E$3:$AI$3))</f>
        <v/>
      </c>
      <c r="R36" s="30" t="str">
        <f>INDEX(Д3!$E$24:$AI$33,MATCH($D36,Д3!$D$24:$D$33),MATCH(R$7,Д3!$E$3:$AI$3))</f>
        <v/>
      </c>
      <c r="S36" s="30" t="str">
        <f>INDEX(Д3!$E$24:$AI$33,MATCH($D36,Д3!$D$24:$D$33),MATCH(S$7,Д3!$E$3:$AI$3))</f>
        <v/>
      </c>
      <c r="T36" s="30" t="str">
        <f>INDEX(Д3!$E$24:$AI$33,MATCH($D36,Д3!$D$24:$D$33),MATCH(T$7,Д3!$E$3:$AI$3))</f>
        <v/>
      </c>
      <c r="U36" s="30" t="str">
        <f>INDEX(Д3!$E$24:$AI$33,MATCH($D36,Д3!$D$24:$D$33),MATCH(U$7,Д3!$E$3:$AI$3))</f>
        <v/>
      </c>
      <c r="V36" s="30" t="str">
        <f>INDEX(Д3!$E$24:$AI$33,MATCH($D36,Д3!$D$24:$D$33),MATCH(V$7,Д3!$E$3:$AI$3))</f>
        <v/>
      </c>
      <c r="W36" s="30" t="str">
        <f>INDEX(Д3!$E$24:$AI$33,MATCH($D36,Д3!$D$24:$D$33),MATCH(W$7,Д3!$E$3:$AI$3))</f>
        <v/>
      </c>
      <c r="X36" s="30" t="str">
        <f>INDEX(Д3!$E$24:$AI$33,MATCH($D36,Д3!$D$24:$D$33),MATCH(X$7,Д3!$E$3:$AI$3))</f>
        <v/>
      </c>
      <c r="Y36" s="30" t="str">
        <f>INDEX(Д3!$E$24:$AI$33,MATCH($D36,Д3!$D$24:$D$33),MATCH(Y$7,Д3!$E$3:$AI$3))</f>
        <v/>
      </c>
      <c r="Z36" s="30" t="str">
        <f>INDEX(Д3!$E$24:$AI$33,MATCH($D36,Д3!$D$24:$D$33),MATCH(Z$7,Д3!$E$3:$AI$3))</f>
        <v/>
      </c>
      <c r="AA36" s="30" t="str">
        <f>INDEX(Д3!$E$24:$AI$33,MATCH($D36,Д3!$D$24:$D$33),MATCH(AA$7,Д3!$E$3:$AI$3))</f>
        <v/>
      </c>
      <c r="AB36" s="30" t="str">
        <f>INDEX(Д3!$E$24:$AI$33,MATCH($D36,Д3!$D$24:$D$33),MATCH(AB$7,Д3!$E$3:$AI$3))</f>
        <v/>
      </c>
      <c r="AC36" s="30" t="str">
        <f>INDEX(Д3!$E$24:$AI$33,MATCH($D36,Д3!$D$24:$D$33),MATCH(AC$7,Д3!$E$3:$AI$3))</f>
        <v/>
      </c>
      <c r="AD36" s="30" t="str">
        <f>INDEX(Д3!$E$24:$AI$33,MATCH($D36,Д3!$D$24:$D$33),MATCH(AD$7,Д3!$E$3:$AI$3))</f>
        <v/>
      </c>
      <c r="AE36" s="30" t="str">
        <f>INDEX(Д3!$E$24:$AI$33,MATCH($D36,Д3!$D$24:$D$33),MATCH(AE$7,Д3!$E$3:$AI$3))</f>
        <v/>
      </c>
      <c r="AF36" s="30" t="str">
        <f>INDEX(Д3!$E$24:$AI$33,MATCH($D36,Д3!$D$24:$D$33),MATCH(AF$7,Д3!$E$3:$AI$3))</f>
        <v/>
      </c>
      <c r="AG36" s="30" t="str">
        <f>INDEX(Д3!$E$24:$AI$33,MATCH($D36,Д3!$D$24:$D$33),MATCH(AG$7,Д3!$E$3:$AI$3))</f>
        <v/>
      </c>
      <c r="AH36" s="30" t="str">
        <f>INDEX(Д3!$E$24:$AI$33,MATCH($D36,Д3!$D$24:$D$33),MATCH(AH$7,Д3!$E$3:$AI$3))</f>
        <v/>
      </c>
      <c r="AI36" s="33" t="str">
        <f>INDEX(Д3!$E$24:$AI$33,MATCH($D36,Д3!$D$24:$D$33),MATCH(AI$7,Д3!$E$3:$AI$3))</f>
        <v/>
      </c>
      <c r="AJ36" s="143"/>
      <c r="AK36" s="143"/>
      <c r="AL36" s="143"/>
      <c r="AM36" s="150"/>
      <c r="AP36" s="136"/>
      <c r="AQ36" s="136"/>
      <c r="AR36" s="136"/>
      <c r="AS36" s="136"/>
      <c r="AT36" s="136"/>
      <c r="AU36" s="136"/>
      <c r="AV36" s="136"/>
      <c r="AW36" s="137"/>
      <c r="AX36" s="137"/>
    </row>
    <row r="37" spans="1:50" ht="16.5" customHeight="1" thickBot="1" x14ac:dyDescent="0.3">
      <c r="A37" s="147"/>
      <c r="B37" s="139" t="s">
        <v>94</v>
      </c>
      <c r="C37" s="170">
        <v>5</v>
      </c>
      <c r="D37" s="49">
        <v>9</v>
      </c>
      <c r="E37" s="62" t="str">
        <f>INDEX(Д3!$E$24:$AI$33,MATCH($D37,Д3!$D$24:$D$33),MATCH(E$7,Д3!$E$3:$AI$3))</f>
        <v>-</v>
      </c>
      <c r="F37" s="28" t="str">
        <f>INDEX(Д3!$E$24:$AI$33,MATCH($D37,Д3!$D$24:$D$33),MATCH(F$7,Д3!$E$3:$AI$3))</f>
        <v>-</v>
      </c>
      <c r="G37" s="28" t="str">
        <f>INDEX(Д3!$E$24:$AI$33,MATCH($D37,Д3!$D$24:$D$33),MATCH(G$7,Д3!$E$3:$AI$3))</f>
        <v>-</v>
      </c>
      <c r="H37" s="28" t="str">
        <f>INDEX(Д3!$E$24:$AI$33,MATCH($D37,Д3!$D$24:$D$33),MATCH(H$7,Д3!$E$3:$AI$3))</f>
        <v>-</v>
      </c>
      <c r="I37" s="28" t="str">
        <f>INDEX(Д3!$E$24:$AI$33,MATCH($D37,Д3!$D$24:$D$33),MATCH(I$7,Д3!$E$3:$AI$3))</f>
        <v>-</v>
      </c>
      <c r="J37" s="28" t="str">
        <f>INDEX(Д3!$E$24:$AI$33,MATCH($D37,Д3!$D$24:$D$33),MATCH(J$7,Д3!$E$3:$AI$3))</f>
        <v>-</v>
      </c>
      <c r="K37" s="28" t="str">
        <f>INDEX(Д3!$E$24:$AI$33,MATCH($D37,Д3!$D$24:$D$33),MATCH(K$7,Д3!$E$3:$AI$3))</f>
        <v>-</v>
      </c>
      <c r="L37" s="28" t="str">
        <f>INDEX(Д3!$E$24:$AI$33,MATCH($D37,Д3!$D$24:$D$33),MATCH(L$7,Д3!$E$3:$AI$3))</f>
        <v>-</v>
      </c>
      <c r="M37" s="28" t="str">
        <f>INDEX(Д3!$E$24:$AI$33,MATCH($D37,Д3!$D$24:$D$33),MATCH(M$7,Д3!$E$3:$AI$3))</f>
        <v>-</v>
      </c>
      <c r="N37" s="28" t="str">
        <f>INDEX(Д3!$E$24:$AI$33,MATCH($D37,Д3!$D$24:$D$33),MATCH(N$7,Д3!$E$3:$AI$3))</f>
        <v>-</v>
      </c>
      <c r="O37" s="28" t="str">
        <f>INDEX(Д3!$E$24:$AI$33,MATCH($D37,Д3!$D$24:$D$33),MATCH(O$7,Д3!$E$3:$AI$3))</f>
        <v>-</v>
      </c>
      <c r="P37" s="28" t="str">
        <f>INDEX(Д3!$E$24:$AI$33,MATCH($D37,Д3!$D$24:$D$33),MATCH(P$7,Д3!$E$3:$AI$3))</f>
        <v>-</v>
      </c>
      <c r="Q37" s="28" t="str">
        <f>INDEX(Д3!$E$24:$AI$33,MATCH($D37,Д3!$D$24:$D$33),MATCH(Q$7,Д3!$E$3:$AI$3))</f>
        <v>-</v>
      </c>
      <c r="R37" s="28" t="str">
        <f>INDEX(Д3!$E$24:$AI$33,MATCH($D37,Д3!$D$24:$D$33),MATCH(R$7,Д3!$E$3:$AI$3))</f>
        <v>-</v>
      </c>
      <c r="S37" s="28" t="str">
        <f>INDEX(Д3!$E$24:$AI$33,MATCH($D37,Д3!$D$24:$D$33),MATCH(S$7,Д3!$E$3:$AI$3))</f>
        <v>-</v>
      </c>
      <c r="T37" s="28" t="str">
        <f>INDEX(Д3!$E$24:$AI$33,MATCH($D37,Д3!$D$24:$D$33),MATCH(T$7,Д3!$E$3:$AI$3))</f>
        <v>-</v>
      </c>
      <c r="U37" s="28" t="str">
        <f>INDEX(Д3!$E$24:$AI$33,MATCH($D37,Д3!$D$24:$D$33),MATCH(U$7,Д3!$E$3:$AI$3))</f>
        <v>-</v>
      </c>
      <c r="V37" s="28" t="str">
        <f>INDEX(Д3!$E$24:$AI$33,MATCH($D37,Д3!$D$24:$D$33),MATCH(V$7,Д3!$E$3:$AI$3))</f>
        <v>-</v>
      </c>
      <c r="W37" s="28" t="str">
        <f>INDEX(Д3!$E$24:$AI$33,MATCH($D37,Д3!$D$24:$D$33),MATCH(W$7,Д3!$E$3:$AI$3))</f>
        <v>-</v>
      </c>
      <c r="X37" s="28" t="str">
        <f>INDEX(Д3!$E$24:$AI$33,MATCH($D37,Д3!$D$24:$D$33),MATCH(X$7,Д3!$E$3:$AI$3))</f>
        <v>-</v>
      </c>
      <c r="Y37" s="28" t="str">
        <f>INDEX(Д3!$E$24:$AI$33,MATCH($D37,Д3!$D$24:$D$33),MATCH(Y$7,Д3!$E$3:$AI$3))</f>
        <v>-</v>
      </c>
      <c r="Z37" s="28" t="str">
        <f>INDEX(Д3!$E$24:$AI$33,MATCH($D37,Д3!$D$24:$D$33),MATCH(Z$7,Д3!$E$3:$AI$3))</f>
        <v>-</v>
      </c>
      <c r="AA37" s="28" t="str">
        <f>INDEX(Д3!$E$24:$AI$33,MATCH($D37,Д3!$D$24:$D$33),MATCH(AA$7,Д3!$E$3:$AI$3))</f>
        <v>-</v>
      </c>
      <c r="AB37" s="28" t="str">
        <f>INDEX(Д3!$E$24:$AI$33,MATCH($D37,Д3!$D$24:$D$33),MATCH(AB$7,Д3!$E$3:$AI$3))</f>
        <v>-</v>
      </c>
      <c r="AC37" s="28" t="str">
        <f>INDEX(Д3!$E$24:$AI$33,MATCH($D37,Д3!$D$24:$D$33),MATCH(AC$7,Д3!$E$3:$AI$3))</f>
        <v>-</v>
      </c>
      <c r="AD37" s="28" t="str">
        <f>INDEX(Д3!$E$24:$AI$33,MATCH($D37,Д3!$D$24:$D$33),MATCH(AD$7,Д3!$E$3:$AI$3))</f>
        <v>-</v>
      </c>
      <c r="AE37" s="28" t="str">
        <f>INDEX(Д3!$E$24:$AI$33,MATCH($D37,Д3!$D$24:$D$33),MATCH(AE$7,Д3!$E$3:$AI$3))</f>
        <v>-</v>
      </c>
      <c r="AF37" s="28" t="str">
        <f>INDEX(Д3!$E$24:$AI$33,MATCH($D37,Д3!$D$24:$D$33),MATCH(AF$7,Д3!$E$3:$AI$3))</f>
        <v>-</v>
      </c>
      <c r="AG37" s="28" t="str">
        <f>INDEX(Д3!$E$24:$AI$33,MATCH($D37,Д3!$D$24:$D$33),MATCH(AG$7,Д3!$E$3:$AI$3))</f>
        <v>-</v>
      </c>
      <c r="AH37" s="28" t="str">
        <f>INDEX(Д3!$E$24:$AI$33,MATCH($D37,Д3!$D$24:$D$33),MATCH(AH$7,Д3!$E$3:$AI$3))</f>
        <v>-</v>
      </c>
      <c r="AI37" s="60" t="str">
        <f>INDEX(Д3!$E$24:$AI$33,MATCH($D37,Д3!$D$24:$D$33),MATCH(AI$7,Д3!$E$3:$AI$3))</f>
        <v>-</v>
      </c>
      <c r="AJ37" s="143">
        <f>INDEX(Д3!AK$24:$AK$33,MATCH($C37,Д3!$C$24:$C$33),MATCH(E$7,Д3!$E$3:$AI$3))*AND(MONTH($E$8)=MONTH(Д3!$B$24))</f>
        <v>167</v>
      </c>
      <c r="AK37" s="143">
        <f>SUM(E37:AJ38)</f>
        <v>167</v>
      </c>
      <c r="AL37" s="143"/>
      <c r="AM37" s="149">
        <f>SUM(F37:H38,J37:AI38)-AJ37+AL37-12</f>
        <v>-179</v>
      </c>
      <c r="AP37" s="136">
        <f t="shared" ref="AP37" si="80">COUNTIF($E37:$AI38,"12")</f>
        <v>0</v>
      </c>
      <c r="AQ37" s="136">
        <f t="shared" ref="AQ37" si="81">IF(COUNTIF($E37:$AI38,"СП")&gt;=1,(COUNTIF($E37:$AI38,"4")+COUNTIF($E37:$AI38,"8")-1)/2,(COUNTIF($E37:$AI38,"4")+COUNTIF($E37:$AI38,"8"))/2)</f>
        <v>-0.5</v>
      </c>
      <c r="AR37" s="136">
        <f t="shared" si="2"/>
        <v>0</v>
      </c>
      <c r="AS37" s="136">
        <f t="shared" ref="AS37" si="82">IF(COUNTIF($E37:$AI38,"СП")&gt;=1,SUMIF($E37:$AI38,"4",$E37:$AI38)+SUMIF($E37:$AI38,"8",$E37:$AI38)-8,SUMIF($E37:$AI38,"4",$E37:$AI38)+SUMIF($E37:$AI38,"8",$E37:$AI38))</f>
        <v>-8</v>
      </c>
      <c r="AT37" s="136">
        <f t="shared" ref="AT37" si="83">$AR37+$AS37</f>
        <v>-8</v>
      </c>
      <c r="AU37" s="136" t="str">
        <f t="shared" ref="AU37" si="84">IF(AK37=AT37,"+","!")</f>
        <v>!</v>
      </c>
      <c r="AV37" s="136">
        <f t="shared" ref="AV37" si="85">COUNTIF($E37:$AI38,"ОТ")</f>
        <v>0</v>
      </c>
      <c r="AW37" s="137" t="str">
        <f ca="1">IF(COUNTIF($A38:$AI38,"СП")&gt;0,IF(INDIRECT(ADDRESS(ROW(),MATCH("СП",$A38:$AI38),1))=8,"","!"),"")</f>
        <v>!</v>
      </c>
      <c r="AX37" s="137" t="str">
        <f ca="1">IF(COUNTIF($A38:$AI38,"СП")&gt;0,IF(INDIRECT(ADDRESS(ROW(),MATCH("СП",$A38:$AI38)-1,1))=4,"!",""),"")</f>
        <v/>
      </c>
    </row>
    <row r="38" spans="1:50" ht="16.5" thickBot="1" x14ac:dyDescent="0.3">
      <c r="A38" s="148"/>
      <c r="B38" s="140"/>
      <c r="C38" s="172"/>
      <c r="D38" s="50">
        <v>10</v>
      </c>
      <c r="E38" s="66" t="str">
        <f>INDEX(Д3!$E$24:$AI$33,MATCH($D38,Д3!$D$24:$D$33),MATCH(E$7,Д3!$E$3:$AI$3))</f>
        <v/>
      </c>
      <c r="F38" s="67" t="str">
        <f>INDEX(Д3!$E$24:$AI$33,MATCH($D38,Д3!$D$24:$D$33),MATCH(F$7,Д3!$E$3:$AI$3))</f>
        <v/>
      </c>
      <c r="G38" s="67" t="str">
        <f>INDEX(Д3!$E$24:$AI$33,MATCH($D38,Д3!$D$24:$D$33),MATCH(G$7,Д3!$E$3:$AI$3))</f>
        <v/>
      </c>
      <c r="H38" s="67" t="str">
        <f>INDEX(Д3!$E$24:$AI$33,MATCH($D38,Д3!$D$24:$D$33),MATCH(H$7,Д3!$E$3:$AI$3))</f>
        <v/>
      </c>
      <c r="I38" s="67" t="str">
        <f>INDEX(Д3!$E$24:$AI$33,MATCH($D38,Д3!$D$24:$D$33),MATCH(I$7,Д3!$E$3:$AI$3))</f>
        <v/>
      </c>
      <c r="J38" s="67" t="str">
        <f>INDEX(Д3!$E$24:$AI$33,MATCH($D38,Д3!$D$24:$D$33),MATCH(J$7,Д3!$E$3:$AI$3))</f>
        <v/>
      </c>
      <c r="K38" s="67" t="str">
        <f>INDEX(Д3!$E$24:$AI$33,MATCH($D38,Д3!$D$24:$D$33),MATCH(K$7,Д3!$E$3:$AI$3))</f>
        <v>СП</v>
      </c>
      <c r="L38" s="67" t="str">
        <f>INDEX(Д3!$E$24:$AI$33,MATCH($D38,Д3!$D$24:$D$33),MATCH(L$7,Д3!$E$3:$AI$3))</f>
        <v/>
      </c>
      <c r="M38" s="67" t="str">
        <f>INDEX(Д3!$E$24:$AI$33,MATCH($D38,Д3!$D$24:$D$33),MATCH(M$7,Д3!$E$3:$AI$3))</f>
        <v/>
      </c>
      <c r="N38" s="67" t="str">
        <f>INDEX(Д3!$E$24:$AI$33,MATCH($D38,Д3!$D$24:$D$33),MATCH(N$7,Д3!$E$3:$AI$3))</f>
        <v/>
      </c>
      <c r="O38" s="67" t="str">
        <f>INDEX(Д3!$E$24:$AI$33,MATCH($D38,Д3!$D$24:$D$33),MATCH(O$7,Д3!$E$3:$AI$3))</f>
        <v/>
      </c>
      <c r="P38" s="67" t="str">
        <f>INDEX(Д3!$E$24:$AI$33,MATCH($D38,Д3!$D$24:$D$33),MATCH(P$7,Д3!$E$3:$AI$3))</f>
        <v/>
      </c>
      <c r="Q38" s="67" t="str">
        <f>INDEX(Д3!$E$24:$AI$33,MATCH($D38,Д3!$D$24:$D$33),MATCH(Q$7,Д3!$E$3:$AI$3))</f>
        <v/>
      </c>
      <c r="R38" s="67" t="str">
        <f>INDEX(Д3!$E$24:$AI$33,MATCH($D38,Д3!$D$24:$D$33),MATCH(R$7,Д3!$E$3:$AI$3))</f>
        <v/>
      </c>
      <c r="S38" s="67" t="str">
        <f>INDEX(Д3!$E$24:$AI$33,MATCH($D38,Д3!$D$24:$D$33),MATCH(S$7,Д3!$E$3:$AI$3))</f>
        <v/>
      </c>
      <c r="T38" s="67" t="str">
        <f>INDEX(Д3!$E$24:$AI$33,MATCH($D38,Д3!$D$24:$D$33),MATCH(T$7,Д3!$E$3:$AI$3))</f>
        <v/>
      </c>
      <c r="U38" s="67" t="str">
        <f>INDEX(Д3!$E$24:$AI$33,MATCH($D38,Д3!$D$24:$D$33),MATCH(U$7,Д3!$E$3:$AI$3))</f>
        <v/>
      </c>
      <c r="V38" s="67" t="str">
        <f>INDEX(Д3!$E$24:$AI$33,MATCH($D38,Д3!$D$24:$D$33),MATCH(V$7,Д3!$E$3:$AI$3))</f>
        <v/>
      </c>
      <c r="W38" s="67" t="str">
        <f>INDEX(Д3!$E$24:$AI$33,MATCH($D38,Д3!$D$24:$D$33),MATCH(W$7,Д3!$E$3:$AI$3))</f>
        <v/>
      </c>
      <c r="X38" s="67" t="str">
        <f>INDEX(Д3!$E$24:$AI$33,MATCH($D38,Д3!$D$24:$D$33),MATCH(X$7,Д3!$E$3:$AI$3))</f>
        <v/>
      </c>
      <c r="Y38" s="67" t="str">
        <f>INDEX(Д3!$E$24:$AI$33,MATCH($D38,Д3!$D$24:$D$33),MATCH(Y$7,Д3!$E$3:$AI$3))</f>
        <v/>
      </c>
      <c r="Z38" s="67" t="str">
        <f>INDEX(Д3!$E$24:$AI$33,MATCH($D38,Д3!$D$24:$D$33),MATCH(Z$7,Д3!$E$3:$AI$3))</f>
        <v/>
      </c>
      <c r="AA38" s="67" t="str">
        <f>INDEX(Д3!$E$24:$AI$33,MATCH($D38,Д3!$D$24:$D$33),MATCH(AA$7,Д3!$E$3:$AI$3))</f>
        <v/>
      </c>
      <c r="AB38" s="67" t="str">
        <f>INDEX(Д3!$E$24:$AI$33,MATCH($D38,Д3!$D$24:$D$33),MATCH(AB$7,Д3!$E$3:$AI$3))</f>
        <v/>
      </c>
      <c r="AC38" s="67" t="str">
        <f>INDEX(Д3!$E$24:$AI$33,MATCH($D38,Д3!$D$24:$D$33),MATCH(AC$7,Д3!$E$3:$AI$3))</f>
        <v/>
      </c>
      <c r="AD38" s="67" t="str">
        <f>INDEX(Д3!$E$24:$AI$33,MATCH($D38,Д3!$D$24:$D$33),MATCH(AD$7,Д3!$E$3:$AI$3))</f>
        <v/>
      </c>
      <c r="AE38" s="67" t="str">
        <f>INDEX(Д3!$E$24:$AI$33,MATCH($D38,Д3!$D$24:$D$33),MATCH(AE$7,Д3!$E$3:$AI$3))</f>
        <v/>
      </c>
      <c r="AF38" s="67" t="str">
        <f>INDEX(Д3!$E$24:$AI$33,MATCH($D38,Д3!$D$24:$D$33),MATCH(AF$7,Д3!$E$3:$AI$3))</f>
        <v/>
      </c>
      <c r="AG38" s="67" t="str">
        <f>INDEX(Д3!$E$24:$AI$33,MATCH($D38,Д3!$D$24:$D$33),MATCH(AG$7,Д3!$E$3:$AI$3))</f>
        <v/>
      </c>
      <c r="AH38" s="67" t="str">
        <f>INDEX(Д3!$E$24:$AI$33,MATCH($D38,Д3!$D$24:$D$33),MATCH(AH$7,Д3!$E$3:$AI$3))</f>
        <v/>
      </c>
      <c r="AI38" s="68" t="str">
        <f>INDEX(Д3!$E$24:$AI$33,MATCH($D38,Д3!$D$24:$D$33),MATCH(AI$7,Д3!$E$3:$AI$3))</f>
        <v/>
      </c>
      <c r="AJ38" s="153"/>
      <c r="AK38" s="143"/>
      <c r="AL38" s="153"/>
      <c r="AM38" s="150"/>
      <c r="AP38" s="136"/>
      <c r="AQ38" s="136"/>
      <c r="AR38" s="136"/>
      <c r="AS38" s="136"/>
      <c r="AT38" s="136"/>
      <c r="AU38" s="136"/>
      <c r="AV38" s="136"/>
      <c r="AW38" s="137"/>
      <c r="AX38" s="137"/>
    </row>
    <row r="39" spans="1:50" ht="17.25" customHeight="1" thickTop="1" thickBot="1" x14ac:dyDescent="0.3">
      <c r="A39" s="146" t="s">
        <v>103</v>
      </c>
      <c r="B39" s="151" t="s">
        <v>95</v>
      </c>
      <c r="C39" s="173">
        <v>1</v>
      </c>
      <c r="D39" s="49">
        <v>1</v>
      </c>
      <c r="E39" s="64">
        <f ca="1">INDEX(Д4!$E$24:$AI$33,MATCH($D39,Д4!$D$24:$D$33),MATCH(E$7,Д4!$E$3:$AI$3))</f>
        <v>8</v>
      </c>
      <c r="F39" s="27">
        <f ca="1">INDEX(Д4!$E$24:$AI$33,MATCH($D39,Д4!$D$24:$D$33),MATCH(F$7,Д4!$E$3:$AI$3))</f>
        <v>12</v>
      </c>
      <c r="G39" s="27">
        <f ca="1">INDEX(Д4!$E$24:$AI$33,MATCH($D39,Д4!$D$24:$D$33),MATCH(G$7,Д4!$E$3:$AI$3))</f>
        <v>8</v>
      </c>
      <c r="H39" s="27">
        <f ca="1">INDEX(Д4!$E$24:$AI$33,MATCH($D39,Д4!$D$24:$D$33),MATCH(H$7,Д4!$E$3:$AI$3))</f>
        <v>8</v>
      </c>
      <c r="I39" s="27">
        <f ca="1">INDEX(Д4!$E$24:$AI$33,MATCH($D39,Д4!$D$24:$D$33),MATCH(I$7,Д4!$E$3:$AI$3))</f>
        <v>12</v>
      </c>
      <c r="J39" s="27">
        <f ca="1">INDEX(Д4!$E$24:$AI$33,MATCH($D39,Д4!$D$24:$D$33),MATCH(J$7,Д4!$E$3:$AI$3))</f>
        <v>0</v>
      </c>
      <c r="K39" s="27">
        <f ca="1">INDEX(Д4!$E$24:$AI$33,MATCH($D39,Д4!$D$24:$D$33),MATCH(K$7,Д4!$E$3:$AI$3))</f>
        <v>0</v>
      </c>
      <c r="L39" s="27">
        <f ca="1">INDEX(Д4!$E$24:$AI$33,MATCH($D39,Д4!$D$24:$D$33),MATCH(L$7,Д4!$E$3:$AI$3))</f>
        <v>4</v>
      </c>
      <c r="M39" s="27">
        <f ca="1">INDEX(Д4!$E$24:$AI$33,MATCH($D39,Д4!$D$24:$D$33),MATCH(M$7,Д4!$E$3:$AI$3))</f>
        <v>8</v>
      </c>
      <c r="N39" s="27">
        <f ca="1">INDEX(Д4!$E$24:$AI$33,MATCH($D39,Д4!$D$24:$D$33),MATCH(N$7,Д4!$E$3:$AI$3))</f>
        <v>12</v>
      </c>
      <c r="O39" s="27">
        <f ca="1">INDEX(Д4!$E$24:$AI$33,MATCH($D39,Д4!$D$24:$D$33),MATCH(O$7,Д4!$E$3:$AI$3))</f>
        <v>4</v>
      </c>
      <c r="P39" s="27">
        <f ca="1">INDEX(Д4!$E$24:$AI$33,MATCH($D39,Д4!$D$24:$D$33),MATCH(P$7,Д4!$E$3:$AI$3))</f>
        <v>8</v>
      </c>
      <c r="Q39" s="27">
        <f ca="1">INDEX(Д4!$E$24:$AI$33,MATCH($D39,Д4!$D$24:$D$33),MATCH(Q$7,Д4!$E$3:$AI$3))</f>
        <v>12</v>
      </c>
      <c r="R39" s="27">
        <f ca="1">INDEX(Д4!$E$24:$AI$33,MATCH($D39,Д4!$D$24:$D$33),MATCH(R$7,Д4!$E$3:$AI$3))</f>
        <v>0</v>
      </c>
      <c r="S39" s="27">
        <f ca="1">INDEX(Д4!$E$24:$AI$33,MATCH($D39,Д4!$D$24:$D$33),MATCH(S$7,Д4!$E$3:$AI$3))</f>
        <v>0</v>
      </c>
      <c r="T39" s="27">
        <f ca="1">INDEX(Д4!$E$24:$AI$33,MATCH($D39,Д4!$D$24:$D$33),MATCH(T$7,Д4!$E$3:$AI$3))</f>
        <v>4</v>
      </c>
      <c r="U39" s="27">
        <f ca="1">INDEX(Д4!$E$24:$AI$33,MATCH($D39,Д4!$D$24:$D$33),MATCH(U$7,Д4!$E$3:$AI$3))</f>
        <v>8</v>
      </c>
      <c r="V39" s="27">
        <f ca="1">INDEX(Д4!$E$24:$AI$33,MATCH($D39,Д4!$D$24:$D$33),MATCH(V$7,Д4!$E$3:$AI$3))</f>
        <v>12</v>
      </c>
      <c r="W39" s="27">
        <f ca="1">INDEX(Д4!$E$24:$AI$33,MATCH($D39,Д4!$D$24:$D$33),MATCH(W$7,Д4!$E$3:$AI$3))</f>
        <v>4</v>
      </c>
      <c r="X39" s="27">
        <f ca="1">INDEX(Д4!$E$24:$AI$33,MATCH($D39,Д4!$D$24:$D$33),MATCH(X$7,Д4!$E$3:$AI$3))</f>
        <v>8</v>
      </c>
      <c r="Y39" s="27">
        <f ca="1">INDEX(Д4!$E$24:$AI$33,MATCH($D39,Д4!$D$24:$D$33),MATCH(Y$7,Д4!$E$3:$AI$3))</f>
        <v>12</v>
      </c>
      <c r="Z39" s="27">
        <f ca="1">INDEX(Д4!$E$24:$AI$33,MATCH($D39,Д4!$D$24:$D$33),MATCH(Z$7,Д4!$E$3:$AI$3))</f>
        <v>0</v>
      </c>
      <c r="AA39" s="27">
        <f ca="1">INDEX(Д4!$E$24:$AI$33,MATCH($D39,Д4!$D$24:$D$33),MATCH(AA$7,Д4!$E$3:$AI$3))</f>
        <v>0</v>
      </c>
      <c r="AB39" s="27">
        <f ca="1">INDEX(Д4!$E$24:$AI$33,MATCH($D39,Д4!$D$24:$D$33),MATCH(AB$7,Д4!$E$3:$AI$3))</f>
        <v>4</v>
      </c>
      <c r="AC39" s="27">
        <f ca="1">INDEX(Д4!$E$24:$AI$33,MATCH($D39,Д4!$D$24:$D$33),MATCH(AC$7,Д4!$E$3:$AI$3))</f>
        <v>8</v>
      </c>
      <c r="AD39" s="27">
        <f ca="1">INDEX(Д4!$E$24:$AI$33,MATCH($D39,Д4!$D$24:$D$33),MATCH(AD$7,Д4!$E$3:$AI$3))</f>
        <v>12</v>
      </c>
      <c r="AE39" s="27">
        <f ca="1">INDEX(Д4!$E$24:$AI$33,MATCH($D39,Д4!$D$24:$D$33),MATCH(AE$7,Д4!$E$3:$AI$3))</f>
        <v>4</v>
      </c>
      <c r="AF39" s="27">
        <f ca="1">INDEX(Д4!$E$24:$AI$33,MATCH($D39,Д4!$D$24:$D$33),MATCH(AF$7,Д4!$E$3:$AI$3))</f>
        <v>8</v>
      </c>
      <c r="AG39" s="27">
        <f ca="1">INDEX(Д4!$E$24:$AI$33,MATCH($D39,Д4!$D$24:$D$33),MATCH(AG$7,Д4!$E$3:$AI$3))</f>
        <v>12</v>
      </c>
      <c r="AH39" s="27">
        <f ca="1">INDEX(Д4!$E$24:$AI$33,MATCH($D39,Д4!$D$24:$D$33),MATCH(AH$7,Д4!$E$3:$AI$3))</f>
        <v>0</v>
      </c>
      <c r="AI39" s="32">
        <f ca="1">INDEX(Д4!$E$24:$AI$33,MATCH($D39,Д4!$D$24:$D$33),MATCH(AI$7,Д4!$E$3:$AI$3))</f>
        <v>0</v>
      </c>
      <c r="AJ39" s="143">
        <f>INDEX(Д4!AK$24:$AK$33,MATCH($C39,Д4!$C$24:$C$33),MATCH(E$7,Д4!$E$3:$AI$3))*AND(MONTH($E$8)=MONTH(Д4!$B$24))</f>
        <v>167</v>
      </c>
      <c r="AK39" s="154">
        <f ca="1">SUM(E39:AI40)</f>
        <v>192</v>
      </c>
      <c r="AL39" s="155"/>
      <c r="AM39" s="149">
        <f ca="1">SUM(F39:H40,J39:AI40)-AJ39+AL39-12</f>
        <v>-7</v>
      </c>
      <c r="AP39" s="136">
        <f t="shared" ref="AP39" ca="1" si="86">COUNTIF($E39:$AI40,"12")</f>
        <v>8</v>
      </c>
      <c r="AQ39" s="136">
        <f t="shared" ref="AQ39" ca="1" si="87">IF(COUNTIF($E39:$AI40,"СП")&gt;=1,(COUNTIF($E39:$AI40,"4")+COUNTIF($E39:$AI40,"8")-1)/2,(COUNTIF($E39:$AI40,"4")+COUNTIF($E39:$AI40,"8"))/2)</f>
        <v>7</v>
      </c>
      <c r="AR39" s="136">
        <f t="shared" ca="1" si="2"/>
        <v>96</v>
      </c>
      <c r="AS39" s="136">
        <f t="shared" ref="AS39" ca="1" si="88">IF(COUNTIF($E39:$AI40,"СП")&gt;=1,SUMIF($E39:$AI40,"4",$E39:$AI40)+SUMIF($E39:$AI40,"8",$E39:$AI40)-8,SUMIF($E39:$AI40,"4",$E39:$AI40)+SUMIF($E39:$AI40,"8",$E39:$AI40))</f>
        <v>88</v>
      </c>
      <c r="AT39" s="136">
        <f t="shared" ref="AT39" ca="1" si="89">$AR39+$AS39</f>
        <v>184</v>
      </c>
      <c r="AU39" s="136" t="str">
        <f t="shared" ref="AU39" ca="1" si="90">IF(AK39=AT39,"+","!")</f>
        <v>!</v>
      </c>
      <c r="AV39" s="136">
        <f t="shared" ref="AV39" ca="1" si="91">COUNTIF($E39:$AI40,"ОТ")</f>
        <v>0</v>
      </c>
      <c r="AW39" s="137" t="str">
        <f ca="1">IF(COUNTIF($A40:$AI40,"СП")&gt;0,IF(INDIRECT(ADDRESS(ROW(),MATCH("СП",$A40:$AI40),1))=8,"","!"),"")</f>
        <v>!</v>
      </c>
      <c r="AX39" s="137" t="str">
        <f ca="1">IF(COUNTIF($A40:$AI40,"СП")&gt;0,IF(INDIRECT(ADDRESS(ROW(),MATCH("СП",$A40:$AI40)-1,1))=4,"!",""),"")</f>
        <v/>
      </c>
    </row>
    <row r="40" spans="1:50" ht="16.5" thickBot="1" x14ac:dyDescent="0.3">
      <c r="A40" s="147"/>
      <c r="B40" s="139"/>
      <c r="C40" s="171"/>
      <c r="D40" s="50">
        <v>2</v>
      </c>
      <c r="E40" s="63" t="str">
        <f>INDEX(Д4!$E$24:$AI$33,MATCH($D40,Д4!$D$24:$D$33),MATCH(E$7,Д4!$E$3:$AI$3))</f>
        <v/>
      </c>
      <c r="F40" s="29" t="str">
        <f>INDEX(Д4!$E$24:$AI$33,MATCH($D40,Д4!$D$24:$D$33),MATCH(F$7,Д4!$E$3:$AI$3))</f>
        <v/>
      </c>
      <c r="G40" s="29" t="str">
        <f>INDEX(Д4!$E$24:$AI$33,MATCH($D40,Д4!$D$24:$D$33),MATCH(G$7,Д4!$E$3:$AI$3))</f>
        <v>СП</v>
      </c>
      <c r="H40" s="29" t="str">
        <f>INDEX(Д4!$E$24:$AI$33,MATCH($D40,Д4!$D$24:$D$33),MATCH(H$7,Д4!$E$3:$AI$3))</f>
        <v/>
      </c>
      <c r="I40" s="29" t="str">
        <f>INDEX(Д4!$E$24:$AI$33,MATCH($D40,Д4!$D$24:$D$33),MATCH(I$7,Д4!$E$3:$AI$3))</f>
        <v/>
      </c>
      <c r="J40" s="29" t="str">
        <f>INDEX(Д4!$E$24:$AI$33,MATCH($D40,Д4!$D$24:$D$33),MATCH(J$7,Д4!$E$3:$AI$3))</f>
        <v/>
      </c>
      <c r="K40" s="29" t="str">
        <f>INDEX(Д4!$E$24:$AI$33,MATCH($D40,Д4!$D$24:$D$33),MATCH(K$7,Д4!$E$3:$AI$3))</f>
        <v/>
      </c>
      <c r="L40" s="29" t="str">
        <f>INDEX(Д4!$E$24:$AI$33,MATCH($D40,Д4!$D$24:$D$33),MATCH(L$7,Д4!$E$3:$AI$3))</f>
        <v/>
      </c>
      <c r="M40" s="29" t="str">
        <f>INDEX(Д4!$E$24:$AI$33,MATCH($D40,Д4!$D$24:$D$33),MATCH(M$7,Д4!$E$3:$AI$3))</f>
        <v/>
      </c>
      <c r="N40" s="29" t="str">
        <f>INDEX(Д4!$E$24:$AI$33,MATCH($D40,Д4!$D$24:$D$33),MATCH(N$7,Д4!$E$3:$AI$3))</f>
        <v/>
      </c>
      <c r="O40" s="29" t="str">
        <f>INDEX(Д4!$E$24:$AI$33,MATCH($D40,Д4!$D$24:$D$33),MATCH(O$7,Д4!$E$3:$AI$3))</f>
        <v/>
      </c>
      <c r="P40" s="29" t="str">
        <f>INDEX(Д4!$E$24:$AI$33,MATCH($D40,Д4!$D$24:$D$33),MATCH(P$7,Д4!$E$3:$AI$3))</f>
        <v/>
      </c>
      <c r="Q40" s="29" t="str">
        <f>INDEX(Д4!$E$24:$AI$33,MATCH($D40,Д4!$D$24:$D$33),MATCH(Q$7,Д4!$E$3:$AI$3))</f>
        <v/>
      </c>
      <c r="R40" s="29" t="str">
        <f>INDEX(Д4!$E$24:$AI$33,MATCH($D40,Д4!$D$24:$D$33),MATCH(R$7,Д4!$E$3:$AI$3))</f>
        <v/>
      </c>
      <c r="S40" s="29" t="str">
        <f>INDEX(Д4!$E$24:$AI$33,MATCH($D40,Д4!$D$24:$D$33),MATCH(S$7,Д4!$E$3:$AI$3))</f>
        <v/>
      </c>
      <c r="T40" s="29" t="str">
        <f>INDEX(Д4!$E$24:$AI$33,MATCH($D40,Д4!$D$24:$D$33),MATCH(T$7,Д4!$E$3:$AI$3))</f>
        <v/>
      </c>
      <c r="U40" s="29" t="str">
        <f>INDEX(Д4!$E$24:$AI$33,MATCH($D40,Д4!$D$24:$D$33),MATCH(U$7,Д4!$E$3:$AI$3))</f>
        <v/>
      </c>
      <c r="V40" s="29" t="str">
        <f>INDEX(Д4!$E$24:$AI$33,MATCH($D40,Д4!$D$24:$D$33),MATCH(V$7,Д4!$E$3:$AI$3))</f>
        <v/>
      </c>
      <c r="W40" s="29" t="str">
        <f>INDEX(Д4!$E$24:$AI$33,MATCH($D40,Д4!$D$24:$D$33),MATCH(W$7,Д4!$E$3:$AI$3))</f>
        <v/>
      </c>
      <c r="X40" s="29" t="str">
        <f>INDEX(Д4!$E$24:$AI$33,MATCH($D40,Д4!$D$24:$D$33),MATCH(X$7,Д4!$E$3:$AI$3))</f>
        <v/>
      </c>
      <c r="Y40" s="29" t="str">
        <f>INDEX(Д4!$E$24:$AI$33,MATCH($D40,Д4!$D$24:$D$33),MATCH(Y$7,Д4!$E$3:$AI$3))</f>
        <v/>
      </c>
      <c r="Z40" s="29" t="str">
        <f>INDEX(Д4!$E$24:$AI$33,MATCH($D40,Д4!$D$24:$D$33),MATCH(Z$7,Д4!$E$3:$AI$3))</f>
        <v/>
      </c>
      <c r="AA40" s="29" t="str">
        <f>INDEX(Д4!$E$24:$AI$33,MATCH($D40,Д4!$D$24:$D$33),MATCH(AA$7,Д4!$E$3:$AI$3))</f>
        <v/>
      </c>
      <c r="AB40" s="29" t="str">
        <f>INDEX(Д4!$E$24:$AI$33,MATCH($D40,Д4!$D$24:$D$33),MATCH(AB$7,Д4!$E$3:$AI$3))</f>
        <v/>
      </c>
      <c r="AC40" s="29" t="str">
        <f>INDEX(Д4!$E$24:$AI$33,MATCH($D40,Д4!$D$24:$D$33),MATCH(AC$7,Д4!$E$3:$AI$3))</f>
        <v/>
      </c>
      <c r="AD40" s="29" t="str">
        <f>INDEX(Д4!$E$24:$AI$33,MATCH($D40,Д4!$D$24:$D$33),MATCH(AD$7,Д4!$E$3:$AI$3))</f>
        <v/>
      </c>
      <c r="AE40" s="29" t="str">
        <f>INDEX(Д4!$E$24:$AI$33,MATCH($D40,Д4!$D$24:$D$33),MATCH(AE$7,Д4!$E$3:$AI$3))</f>
        <v/>
      </c>
      <c r="AF40" s="29" t="str">
        <f>INDEX(Д4!$E$24:$AI$33,MATCH($D40,Д4!$D$24:$D$33),MATCH(AF$7,Д4!$E$3:$AI$3))</f>
        <v/>
      </c>
      <c r="AG40" s="29" t="str">
        <f>INDEX(Д4!$E$24:$AI$33,MATCH($D40,Д4!$D$24:$D$33),MATCH(AG$7,Д4!$E$3:$AI$3))</f>
        <v/>
      </c>
      <c r="AH40" s="29" t="str">
        <f>INDEX(Д4!$E$24:$AI$33,MATCH($D40,Д4!$D$24:$D$33),MATCH(AH$7,Д4!$E$3:$AI$3))</f>
        <v/>
      </c>
      <c r="AI40" s="61" t="str">
        <f>INDEX(Д4!$E$24:$AI$33,MATCH($D40,Д4!$D$24:$D$33),MATCH(AI$7,Д4!$E$3:$AI$3))</f>
        <v/>
      </c>
      <c r="AJ40" s="153"/>
      <c r="AK40" s="145"/>
      <c r="AL40" s="145"/>
      <c r="AM40" s="150"/>
      <c r="AP40" s="136"/>
      <c r="AQ40" s="136"/>
      <c r="AR40" s="136"/>
      <c r="AS40" s="136"/>
      <c r="AT40" s="136"/>
      <c r="AU40" s="136"/>
      <c r="AV40" s="136"/>
      <c r="AW40" s="137"/>
      <c r="AX40" s="137"/>
    </row>
    <row r="41" spans="1:50" ht="16.5" customHeight="1" thickBot="1" x14ac:dyDescent="0.3">
      <c r="A41" s="147"/>
      <c r="B41" s="139" t="s">
        <v>96</v>
      </c>
      <c r="C41" s="170">
        <v>2</v>
      </c>
      <c r="D41" s="49">
        <v>3</v>
      </c>
      <c r="E41" s="64">
        <f ca="1">INDEX(Д4!$E$24:$AI$33,MATCH($D41,Д4!$D$24:$D$33),MATCH(E$7,Д4!$E$3:$AI$3))</f>
        <v>4</v>
      </c>
      <c r="F41" s="27">
        <f ca="1">INDEX(Д4!$E$24:$AI$33,MATCH($D41,Д4!$D$24:$D$33),MATCH(F$7,Д4!$E$3:$AI$3))</f>
        <v>8</v>
      </c>
      <c r="G41" s="27">
        <f ca="1">INDEX(Д4!$E$24:$AI$33,MATCH($D41,Д4!$D$24:$D$33),MATCH(G$7,Д4!$E$3:$AI$3))</f>
        <v>12</v>
      </c>
      <c r="H41" s="27">
        <f ca="1">INDEX(Д4!$E$24:$AI$33,MATCH($D41,Д4!$D$24:$D$33),MATCH(H$7,Д4!$E$3:$AI$3))</f>
        <v>8</v>
      </c>
      <c r="I41" s="27">
        <f ca="1">INDEX(Д4!$E$24:$AI$33,MATCH($D41,Д4!$D$24:$D$33),MATCH(I$7,Д4!$E$3:$AI$3))</f>
        <v>0</v>
      </c>
      <c r="J41" s="27">
        <f ca="1">INDEX(Д4!$E$24:$AI$33,MATCH($D41,Д4!$D$24:$D$33),MATCH(J$7,Д4!$E$3:$AI$3))</f>
        <v>4</v>
      </c>
      <c r="K41" s="27">
        <f ca="1">INDEX(Д4!$E$24:$AI$33,MATCH($D41,Д4!$D$24:$D$33),MATCH(K$7,Д4!$E$3:$AI$3))</f>
        <v>8</v>
      </c>
      <c r="L41" s="27">
        <f ca="1">INDEX(Д4!$E$24:$AI$33,MATCH($D41,Д4!$D$24:$D$33),MATCH(L$7,Д4!$E$3:$AI$3))</f>
        <v>12</v>
      </c>
      <c r="M41" s="27">
        <f ca="1">INDEX(Д4!$E$24:$AI$33,MATCH($D41,Д4!$D$24:$D$33),MATCH(M$7,Д4!$E$3:$AI$3))</f>
        <v>4</v>
      </c>
      <c r="N41" s="27">
        <f ca="1">INDEX(Д4!$E$24:$AI$33,MATCH($D41,Д4!$D$24:$D$33),MATCH(N$7,Д4!$E$3:$AI$3))</f>
        <v>8</v>
      </c>
      <c r="O41" s="27">
        <f ca="1">INDEX(Д4!$E$24:$AI$33,MATCH($D41,Д4!$D$24:$D$33),MATCH(O$7,Д4!$E$3:$AI$3))</f>
        <v>12</v>
      </c>
      <c r="P41" s="27">
        <f ca="1">INDEX(Д4!$E$24:$AI$33,MATCH($D41,Д4!$D$24:$D$33),MATCH(P$7,Д4!$E$3:$AI$3))</f>
        <v>0</v>
      </c>
      <c r="Q41" s="27">
        <f ca="1">INDEX(Д4!$E$24:$AI$33,MATCH($D41,Д4!$D$24:$D$33),MATCH(Q$7,Д4!$E$3:$AI$3))</f>
        <v>0</v>
      </c>
      <c r="R41" s="27">
        <f ca="1">INDEX(Д4!$E$24:$AI$33,MATCH($D41,Д4!$D$24:$D$33),MATCH(R$7,Д4!$E$3:$AI$3))</f>
        <v>4</v>
      </c>
      <c r="S41" s="27">
        <f ca="1">INDEX(Д4!$E$24:$AI$33,MATCH($D41,Д4!$D$24:$D$33),MATCH(S$7,Д4!$E$3:$AI$3))</f>
        <v>8</v>
      </c>
      <c r="T41" s="27">
        <f ca="1">INDEX(Д4!$E$24:$AI$33,MATCH($D41,Д4!$D$24:$D$33),MATCH(T$7,Д4!$E$3:$AI$3))</f>
        <v>12</v>
      </c>
      <c r="U41" s="27">
        <f ca="1">INDEX(Д4!$E$24:$AI$33,MATCH($D41,Д4!$D$24:$D$33),MATCH(U$7,Д4!$E$3:$AI$3))</f>
        <v>4</v>
      </c>
      <c r="V41" s="27">
        <f ca="1">INDEX(Д4!$E$24:$AI$33,MATCH($D41,Д4!$D$24:$D$33),MATCH(V$7,Д4!$E$3:$AI$3))</f>
        <v>8</v>
      </c>
      <c r="W41" s="27">
        <f ca="1">INDEX(Д4!$E$24:$AI$33,MATCH($D41,Д4!$D$24:$D$33),MATCH(W$7,Д4!$E$3:$AI$3))</f>
        <v>12</v>
      </c>
      <c r="X41" s="27">
        <f ca="1">INDEX(Д4!$E$24:$AI$33,MATCH($D41,Д4!$D$24:$D$33),MATCH(X$7,Д4!$E$3:$AI$3))</f>
        <v>0</v>
      </c>
      <c r="Y41" s="27">
        <f ca="1">INDEX(Д4!$E$24:$AI$33,MATCH($D41,Д4!$D$24:$D$33),MATCH(Y$7,Д4!$E$3:$AI$3))</f>
        <v>0</v>
      </c>
      <c r="Z41" s="27">
        <f ca="1">INDEX(Д4!$E$24:$AI$33,MATCH($D41,Д4!$D$24:$D$33),MATCH(Z$7,Д4!$E$3:$AI$3))</f>
        <v>4</v>
      </c>
      <c r="AA41" s="27">
        <f ca="1">INDEX(Д4!$E$24:$AI$33,MATCH($D41,Д4!$D$24:$D$33),MATCH(AA$7,Д4!$E$3:$AI$3))</f>
        <v>8</v>
      </c>
      <c r="AB41" s="27">
        <f ca="1">INDEX(Д4!$E$24:$AI$33,MATCH($D41,Д4!$D$24:$D$33),MATCH(AB$7,Д4!$E$3:$AI$3))</f>
        <v>12</v>
      </c>
      <c r="AC41" s="27">
        <f ca="1">INDEX(Д4!$E$24:$AI$33,MATCH($D41,Д4!$D$24:$D$33),MATCH(AC$7,Д4!$E$3:$AI$3))</f>
        <v>4</v>
      </c>
      <c r="AD41" s="27">
        <f ca="1">INDEX(Д4!$E$24:$AI$33,MATCH($D41,Д4!$D$24:$D$33),MATCH(AD$7,Д4!$E$3:$AI$3))</f>
        <v>8</v>
      </c>
      <c r="AE41" s="27">
        <f ca="1">INDEX(Д4!$E$24:$AI$33,MATCH($D41,Д4!$D$24:$D$33),MATCH(AE$7,Д4!$E$3:$AI$3))</f>
        <v>12</v>
      </c>
      <c r="AF41" s="27">
        <f ca="1">INDEX(Д4!$E$24:$AI$33,MATCH($D41,Д4!$D$24:$D$33),MATCH(AF$7,Д4!$E$3:$AI$3))</f>
        <v>0</v>
      </c>
      <c r="AG41" s="27">
        <f ca="1">INDEX(Д4!$E$24:$AI$33,MATCH($D41,Д4!$D$24:$D$33),MATCH(AG$7,Д4!$E$3:$AI$3))</f>
        <v>0</v>
      </c>
      <c r="AH41" s="27">
        <f ca="1">INDEX(Д4!$E$24:$AI$33,MATCH($D41,Д4!$D$24:$D$33),MATCH(AH$7,Д4!$E$3:$AI$3))</f>
        <v>4</v>
      </c>
      <c r="AI41" s="32">
        <f ca="1">INDEX(Д4!$E$24:$AI$33,MATCH($D41,Д4!$D$24:$D$33),MATCH(AI$7,Д4!$E$3:$AI$3))</f>
        <v>8</v>
      </c>
      <c r="AJ41" s="143">
        <f>INDEX(Д4!AK$24:$AK$33,MATCH($C41,Д4!$C$24:$C$33),MATCH(E$7,Д4!$E$3:$AI$3))*AND(MONTH($E$8)=MONTH(Д4!$B$24))</f>
        <v>167</v>
      </c>
      <c r="AK41" s="144">
        <f ca="1">SUM(E41:AI42)</f>
        <v>188</v>
      </c>
      <c r="AL41" s="144"/>
      <c r="AM41" s="149">
        <f ca="1">SUM(F41:H42,J41:AI42)-AJ41+AL41-12</f>
        <v>5</v>
      </c>
      <c r="AP41" s="136">
        <f t="shared" ref="AP41" ca="1" si="92">COUNTIF($E41:$AI42,"12")</f>
        <v>7</v>
      </c>
      <c r="AQ41" s="136">
        <f t="shared" ref="AQ41" ca="1" si="93">IF(COUNTIF($E41:$AI42,"СП")&gt;=1,(COUNTIF($E41:$AI42,"4")+COUNTIF($E41:$AI42,"8")-1)/2,(COUNTIF($E41:$AI42,"4")+COUNTIF($E41:$AI42,"8"))/2)</f>
        <v>8</v>
      </c>
      <c r="AR41" s="136">
        <f t="shared" ca="1" si="2"/>
        <v>84</v>
      </c>
      <c r="AS41" s="136">
        <f t="shared" ref="AS41" ca="1" si="94">IF(COUNTIF($E41:$AI42,"СП")&gt;=1,SUMIF($E41:$AI42,"4",$E41:$AI42)+SUMIF($E41:$AI42,"8",$E41:$AI42)-8,SUMIF($E41:$AI42,"4",$E41:$AI42)+SUMIF($E41:$AI42,"8",$E41:$AI42))</f>
        <v>96</v>
      </c>
      <c r="AT41" s="136">
        <f t="shared" ref="AT41" ca="1" si="95">$AR41+$AS41</f>
        <v>180</v>
      </c>
      <c r="AU41" s="136" t="str">
        <f t="shared" ref="AU41" ca="1" si="96">IF(AK41=AT41,"+","!")</f>
        <v>!</v>
      </c>
      <c r="AV41" s="136">
        <f t="shared" ref="AV41" ca="1" si="97">COUNTIF($E41:$AI42,"ОТ")</f>
        <v>0</v>
      </c>
      <c r="AW41" s="137" t="str">
        <f ca="1">IF(COUNTIF($A42:$AI42,"СП")&gt;0,IF(INDIRECT(ADDRESS(ROW(),MATCH("СП",$A42:$AI42),1))=8,"","!"),"")</f>
        <v/>
      </c>
      <c r="AX41" s="137" t="str">
        <f ca="1">IF(COUNTIF($A42:$AI42,"СП")&gt;0,IF(INDIRECT(ADDRESS(ROW(),MATCH("СП",$A42:$AI42)-1,1))=4,"!",""),"")</f>
        <v>!</v>
      </c>
    </row>
    <row r="42" spans="1:50" ht="16.5" thickBot="1" x14ac:dyDescent="0.3">
      <c r="A42" s="147"/>
      <c r="B42" s="139"/>
      <c r="C42" s="171"/>
      <c r="D42" s="50">
        <v>4</v>
      </c>
      <c r="E42" s="65" t="str">
        <f>INDEX(Д4!$E$24:$AI$33,MATCH($D42,Д4!$D$24:$D$33),MATCH(E$7,Д4!$E$3:$AI$3))</f>
        <v/>
      </c>
      <c r="F42" s="30" t="str">
        <f>INDEX(Д4!$E$24:$AI$33,MATCH($D42,Д4!$D$24:$D$33),MATCH(F$7,Д4!$E$3:$AI$3))</f>
        <v/>
      </c>
      <c r="G42" s="30" t="str">
        <f>INDEX(Д4!$E$24:$AI$33,MATCH($D42,Д4!$D$24:$D$33),MATCH(G$7,Д4!$E$3:$AI$3))</f>
        <v/>
      </c>
      <c r="H42" s="30" t="str">
        <f>INDEX(Д4!$E$24:$AI$33,MATCH($D42,Д4!$D$24:$D$33),MATCH(H$7,Д4!$E$3:$AI$3))</f>
        <v>СП</v>
      </c>
      <c r="I42" s="30" t="str">
        <f>INDEX(Д4!$E$24:$AI$33,MATCH($D42,Д4!$D$24:$D$33),MATCH(I$7,Д4!$E$3:$AI$3))</f>
        <v/>
      </c>
      <c r="J42" s="30" t="str">
        <f>INDEX(Д4!$E$24:$AI$33,MATCH($D42,Д4!$D$24:$D$33),MATCH(J$7,Д4!$E$3:$AI$3))</f>
        <v/>
      </c>
      <c r="K42" s="30" t="str">
        <f>INDEX(Д4!$E$24:$AI$33,MATCH($D42,Д4!$D$24:$D$33),MATCH(K$7,Д4!$E$3:$AI$3))</f>
        <v/>
      </c>
      <c r="L42" s="30" t="str">
        <f>INDEX(Д4!$E$24:$AI$33,MATCH($D42,Д4!$D$24:$D$33),MATCH(L$7,Д4!$E$3:$AI$3))</f>
        <v/>
      </c>
      <c r="M42" s="30" t="str">
        <f>INDEX(Д4!$E$24:$AI$33,MATCH($D42,Д4!$D$24:$D$33),MATCH(M$7,Д4!$E$3:$AI$3))</f>
        <v/>
      </c>
      <c r="N42" s="30" t="str">
        <f>INDEX(Д4!$E$24:$AI$33,MATCH($D42,Д4!$D$24:$D$33),MATCH(N$7,Д4!$E$3:$AI$3))</f>
        <v/>
      </c>
      <c r="O42" s="30" t="str">
        <f>INDEX(Д4!$E$24:$AI$33,MATCH($D42,Д4!$D$24:$D$33),MATCH(O$7,Д4!$E$3:$AI$3))</f>
        <v/>
      </c>
      <c r="P42" s="30" t="str">
        <f>INDEX(Д4!$E$24:$AI$33,MATCH($D42,Д4!$D$24:$D$33),MATCH(P$7,Д4!$E$3:$AI$3))</f>
        <v/>
      </c>
      <c r="Q42" s="30" t="str">
        <f>INDEX(Д4!$E$24:$AI$33,MATCH($D42,Д4!$D$24:$D$33),MATCH(Q$7,Д4!$E$3:$AI$3))</f>
        <v/>
      </c>
      <c r="R42" s="30" t="str">
        <f>INDEX(Д4!$E$24:$AI$33,MATCH($D42,Д4!$D$24:$D$33),MATCH(R$7,Д4!$E$3:$AI$3))</f>
        <v/>
      </c>
      <c r="S42" s="30" t="str">
        <f>INDEX(Д4!$E$24:$AI$33,MATCH($D42,Д4!$D$24:$D$33),MATCH(S$7,Д4!$E$3:$AI$3))</f>
        <v/>
      </c>
      <c r="T42" s="30" t="str">
        <f>INDEX(Д4!$E$24:$AI$33,MATCH($D42,Д4!$D$24:$D$33),MATCH(T$7,Д4!$E$3:$AI$3))</f>
        <v/>
      </c>
      <c r="U42" s="30" t="str">
        <f>INDEX(Д4!$E$24:$AI$33,MATCH($D42,Д4!$D$24:$D$33),MATCH(U$7,Д4!$E$3:$AI$3))</f>
        <v/>
      </c>
      <c r="V42" s="30" t="str">
        <f>INDEX(Д4!$E$24:$AI$33,MATCH($D42,Д4!$D$24:$D$33),MATCH(V$7,Д4!$E$3:$AI$3))</f>
        <v/>
      </c>
      <c r="W42" s="30" t="str">
        <f>INDEX(Д4!$E$24:$AI$33,MATCH($D42,Д4!$D$24:$D$33),MATCH(W$7,Д4!$E$3:$AI$3))</f>
        <v/>
      </c>
      <c r="X42" s="30" t="str">
        <f>INDEX(Д4!$E$24:$AI$33,MATCH($D42,Д4!$D$24:$D$33),MATCH(X$7,Д4!$E$3:$AI$3))</f>
        <v/>
      </c>
      <c r="Y42" s="30" t="str">
        <f>INDEX(Д4!$E$24:$AI$33,MATCH($D42,Д4!$D$24:$D$33),MATCH(Y$7,Д4!$E$3:$AI$3))</f>
        <v/>
      </c>
      <c r="Z42" s="30" t="str">
        <f>INDEX(Д4!$E$24:$AI$33,MATCH($D42,Д4!$D$24:$D$33),MATCH(Z$7,Д4!$E$3:$AI$3))</f>
        <v/>
      </c>
      <c r="AA42" s="30" t="str">
        <f>INDEX(Д4!$E$24:$AI$33,MATCH($D42,Д4!$D$24:$D$33),MATCH(AA$7,Д4!$E$3:$AI$3))</f>
        <v/>
      </c>
      <c r="AB42" s="30" t="str">
        <f>INDEX(Д4!$E$24:$AI$33,MATCH($D42,Д4!$D$24:$D$33),MATCH(AB$7,Д4!$E$3:$AI$3))</f>
        <v/>
      </c>
      <c r="AC42" s="30" t="str">
        <f>INDEX(Д4!$E$24:$AI$33,MATCH($D42,Д4!$D$24:$D$33),MATCH(AC$7,Д4!$E$3:$AI$3))</f>
        <v/>
      </c>
      <c r="AD42" s="30" t="str">
        <f>INDEX(Д4!$E$24:$AI$33,MATCH($D42,Д4!$D$24:$D$33),MATCH(AD$7,Д4!$E$3:$AI$3))</f>
        <v/>
      </c>
      <c r="AE42" s="30" t="str">
        <f>INDEX(Д4!$E$24:$AI$33,MATCH($D42,Д4!$D$24:$D$33),MATCH(AE$7,Д4!$E$3:$AI$3))</f>
        <v/>
      </c>
      <c r="AF42" s="30" t="str">
        <f>INDEX(Д4!$E$24:$AI$33,MATCH($D42,Д4!$D$24:$D$33),MATCH(AF$7,Д4!$E$3:$AI$3))</f>
        <v/>
      </c>
      <c r="AG42" s="30" t="str">
        <f>INDEX(Д4!$E$24:$AI$33,MATCH($D42,Д4!$D$24:$D$33),MATCH(AG$7,Д4!$E$3:$AI$3))</f>
        <v/>
      </c>
      <c r="AH42" s="30" t="str">
        <f>INDEX(Д4!$E$24:$AI$33,MATCH($D42,Д4!$D$24:$D$33),MATCH(AH$7,Д4!$E$3:$AI$3))</f>
        <v/>
      </c>
      <c r="AI42" s="33" t="str">
        <f>INDEX(Д4!$E$24:$AI$33,MATCH($D42,Д4!$D$24:$D$33),MATCH(AI$7,Д4!$E$3:$AI$3))</f>
        <v/>
      </c>
      <c r="AJ42" s="143"/>
      <c r="AK42" s="145"/>
      <c r="AL42" s="145"/>
      <c r="AM42" s="150"/>
      <c r="AP42" s="136"/>
      <c r="AQ42" s="136"/>
      <c r="AR42" s="136"/>
      <c r="AS42" s="136"/>
      <c r="AT42" s="136"/>
      <c r="AU42" s="136"/>
      <c r="AV42" s="136"/>
      <c r="AW42" s="137"/>
      <c r="AX42" s="137"/>
    </row>
    <row r="43" spans="1:50" ht="16.5" thickBot="1" x14ac:dyDescent="0.3">
      <c r="A43" s="147"/>
      <c r="B43" s="139" t="s">
        <v>97</v>
      </c>
      <c r="C43" s="170">
        <v>3</v>
      </c>
      <c r="D43" s="49">
        <v>5</v>
      </c>
      <c r="E43" s="62">
        <f ca="1">INDEX(Д4!$E$24:$AI$33,MATCH($D43,Д4!$D$24:$D$33),MATCH(E$7,Д4!$E$3:$AI$3))</f>
        <v>0</v>
      </c>
      <c r="F43" s="28">
        <f ca="1">INDEX(Д4!$E$24:$AI$33,MATCH($D43,Д4!$D$24:$D$33),MATCH(F$7,Д4!$E$3:$AI$3))</f>
        <v>4</v>
      </c>
      <c r="G43" s="28">
        <f ca="1">INDEX(Д4!$E$24:$AI$33,MATCH($D43,Д4!$D$24:$D$33),MATCH(G$7,Д4!$E$3:$AI$3))</f>
        <v>8</v>
      </c>
      <c r="H43" s="28">
        <f ca="1">INDEX(Д4!$E$24:$AI$33,MATCH($D43,Д4!$D$24:$D$33),MATCH(H$7,Д4!$E$3:$AI$3))</f>
        <v>12</v>
      </c>
      <c r="I43" s="28">
        <f ca="1">INDEX(Д4!$E$24:$AI$33,MATCH($D43,Д4!$D$24:$D$33),MATCH(I$7,Д4!$E$3:$AI$3))</f>
        <v>8</v>
      </c>
      <c r="J43" s="28">
        <f ca="1">INDEX(Д4!$E$24:$AI$33,MATCH($D43,Д4!$D$24:$D$33),MATCH(J$7,Д4!$E$3:$AI$3))</f>
        <v>8</v>
      </c>
      <c r="K43" s="28">
        <f ca="1">INDEX(Д4!$E$24:$AI$33,MATCH($D43,Д4!$D$24:$D$33),MATCH(K$7,Д4!$E$3:$AI$3))</f>
        <v>12</v>
      </c>
      <c r="L43" s="28">
        <f ca="1">INDEX(Д4!$E$24:$AI$33,MATCH($D43,Д4!$D$24:$D$33),MATCH(L$7,Д4!$E$3:$AI$3))</f>
        <v>0</v>
      </c>
      <c r="M43" s="28">
        <f ca="1">INDEX(Д4!$E$24:$AI$33,MATCH($D43,Д4!$D$24:$D$33),MATCH(M$7,Д4!$E$3:$AI$3))</f>
        <v>0</v>
      </c>
      <c r="N43" s="28">
        <f ca="1">INDEX(Д4!$E$24:$AI$33,MATCH($D43,Д4!$D$24:$D$33),MATCH(N$7,Д4!$E$3:$AI$3))</f>
        <v>4</v>
      </c>
      <c r="O43" s="28">
        <f ca="1">INDEX(Д4!$E$24:$AI$33,MATCH($D43,Д4!$D$24:$D$33),MATCH(O$7,Д4!$E$3:$AI$3))</f>
        <v>8</v>
      </c>
      <c r="P43" s="28">
        <f ca="1">INDEX(Д4!$E$24:$AI$33,MATCH($D43,Д4!$D$24:$D$33),MATCH(P$7,Д4!$E$3:$AI$3))</f>
        <v>12</v>
      </c>
      <c r="Q43" s="28">
        <f ca="1">INDEX(Д4!$E$24:$AI$33,MATCH($D43,Д4!$D$24:$D$33),MATCH(Q$7,Д4!$E$3:$AI$3))</f>
        <v>4</v>
      </c>
      <c r="R43" s="28">
        <f ca="1">INDEX(Д4!$E$24:$AI$33,MATCH($D43,Д4!$D$24:$D$33),MATCH(R$7,Д4!$E$3:$AI$3))</f>
        <v>8</v>
      </c>
      <c r="S43" s="28">
        <f ca="1">INDEX(Д4!$E$24:$AI$33,MATCH($D43,Д4!$D$24:$D$33),MATCH(S$7,Д4!$E$3:$AI$3))</f>
        <v>12</v>
      </c>
      <c r="T43" s="28">
        <f ca="1">INDEX(Д4!$E$24:$AI$33,MATCH($D43,Д4!$D$24:$D$33),MATCH(T$7,Д4!$E$3:$AI$3))</f>
        <v>0</v>
      </c>
      <c r="U43" s="28">
        <f ca="1">INDEX(Д4!$E$24:$AI$33,MATCH($D43,Д4!$D$24:$D$33),MATCH(U$7,Д4!$E$3:$AI$3))</f>
        <v>0</v>
      </c>
      <c r="V43" s="28">
        <f ca="1">INDEX(Д4!$E$24:$AI$33,MATCH($D43,Д4!$D$24:$D$33),MATCH(V$7,Д4!$E$3:$AI$3))</f>
        <v>4</v>
      </c>
      <c r="W43" s="28">
        <f ca="1">INDEX(Д4!$E$24:$AI$33,MATCH($D43,Д4!$D$24:$D$33),MATCH(W$7,Д4!$E$3:$AI$3))</f>
        <v>8</v>
      </c>
      <c r="X43" s="28">
        <f ca="1">INDEX(Д4!$E$24:$AI$33,MATCH($D43,Д4!$D$24:$D$33),MATCH(X$7,Д4!$E$3:$AI$3))</f>
        <v>12</v>
      </c>
      <c r="Y43" s="28">
        <f ca="1">INDEX(Д4!$E$24:$AI$33,MATCH($D43,Д4!$D$24:$D$33),MATCH(Y$7,Д4!$E$3:$AI$3))</f>
        <v>4</v>
      </c>
      <c r="Z43" s="28">
        <f ca="1">INDEX(Д4!$E$24:$AI$33,MATCH($D43,Д4!$D$24:$D$33),MATCH(Z$7,Д4!$E$3:$AI$3))</f>
        <v>8</v>
      </c>
      <c r="AA43" s="28">
        <f ca="1">INDEX(Д4!$E$24:$AI$33,MATCH($D43,Д4!$D$24:$D$33),MATCH(AA$7,Д4!$E$3:$AI$3))</f>
        <v>12</v>
      </c>
      <c r="AB43" s="28">
        <f ca="1">INDEX(Д4!$E$24:$AI$33,MATCH($D43,Д4!$D$24:$D$33),MATCH(AB$7,Д4!$E$3:$AI$3))</f>
        <v>0</v>
      </c>
      <c r="AC43" s="28">
        <f ca="1">INDEX(Д4!$E$24:$AI$33,MATCH($D43,Д4!$D$24:$D$33),MATCH(AC$7,Д4!$E$3:$AI$3))</f>
        <v>0</v>
      </c>
      <c r="AD43" s="28">
        <f ca="1">INDEX(Д4!$E$24:$AI$33,MATCH($D43,Д4!$D$24:$D$33),MATCH(AD$7,Д4!$E$3:$AI$3))</f>
        <v>4</v>
      </c>
      <c r="AE43" s="28">
        <f ca="1">INDEX(Д4!$E$24:$AI$33,MATCH($D43,Д4!$D$24:$D$33),MATCH(AE$7,Д4!$E$3:$AI$3))</f>
        <v>8</v>
      </c>
      <c r="AF43" s="28">
        <f ca="1">INDEX(Д4!$E$24:$AI$33,MATCH($D43,Д4!$D$24:$D$33),MATCH(AF$7,Д4!$E$3:$AI$3))</f>
        <v>12</v>
      </c>
      <c r="AG43" s="28">
        <f ca="1">INDEX(Д4!$E$24:$AI$33,MATCH($D43,Д4!$D$24:$D$33),MATCH(AG$7,Д4!$E$3:$AI$3))</f>
        <v>4</v>
      </c>
      <c r="AH43" s="28">
        <f ca="1">INDEX(Д4!$E$24:$AI$33,MATCH($D43,Д4!$D$24:$D$33),MATCH(AH$7,Д4!$E$3:$AI$3))</f>
        <v>8</v>
      </c>
      <c r="AI43" s="60">
        <f ca="1">INDEX(Д4!$E$24:$AI$33,MATCH($D43,Д4!$D$24:$D$33),MATCH(AI$7,Д4!$E$3:$AI$3))</f>
        <v>12</v>
      </c>
      <c r="AJ43" s="143">
        <f>INDEX(Д4!AK$24:$AK$33,MATCH($C43,Д4!$C$24:$C$33),MATCH(E$7,Д4!$E$3:$AI$3))*AND(MONTH($E$8)=MONTH(Д4!$B$24))</f>
        <v>167</v>
      </c>
      <c r="AK43" s="144">
        <f ca="1">SUM(E43:AI44)</f>
        <v>196</v>
      </c>
      <c r="AL43" s="144"/>
      <c r="AM43" s="149">
        <f ca="1">SUM(F43:H44,J43:AI44)-AJ43+AL43-12</f>
        <v>9</v>
      </c>
      <c r="AP43" s="136">
        <f t="shared" ref="AP43" ca="1" si="98">COUNTIF($E43:$AI44,"12")</f>
        <v>8</v>
      </c>
      <c r="AQ43" s="136">
        <f t="shared" ref="AQ43" ca="1" si="99">IF(COUNTIF($E43:$AI44,"СП")&gt;=1,(COUNTIF($E43:$AI44,"4")+COUNTIF($E43:$AI44,"8")-1)/2,(COUNTIF($E43:$AI44,"4")+COUNTIF($E43:$AI44,"8"))/2)</f>
        <v>7.5</v>
      </c>
      <c r="AR43" s="136">
        <f t="shared" ca="1" si="2"/>
        <v>96</v>
      </c>
      <c r="AS43" s="136">
        <f t="shared" ref="AS43" ca="1" si="100">IF(COUNTIF($E43:$AI44,"СП")&gt;=1,SUMIF($E43:$AI44,"4",$E43:$AI44)+SUMIF($E43:$AI44,"8",$E43:$AI44)-8,SUMIF($E43:$AI44,"4",$E43:$AI44)+SUMIF($E43:$AI44,"8",$E43:$AI44))</f>
        <v>92</v>
      </c>
      <c r="AT43" s="136">
        <f t="shared" ref="AT43" ca="1" si="101">$AR43+$AS43</f>
        <v>188</v>
      </c>
      <c r="AU43" s="136" t="str">
        <f t="shared" ref="AU43" ca="1" si="102">IF(AK43=AT43,"+","!")</f>
        <v>!</v>
      </c>
      <c r="AV43" s="136">
        <f t="shared" ref="AV43" ca="1" si="103">COUNTIF($E43:$AI44,"ОТ")</f>
        <v>0</v>
      </c>
      <c r="AW43" s="137" t="str">
        <f ca="1">IF(COUNTIF($A44:$AI44,"СП")&gt;0,IF(INDIRECT(ADDRESS(ROW(),MATCH("СП",$A44:$AI44),1))=8,"","!"),"")</f>
        <v>!</v>
      </c>
      <c r="AX43" s="137" t="str">
        <f ca="1">IF(COUNTIF($A44:$AI44,"СП")&gt;0,IF(INDIRECT(ADDRESS(ROW(),MATCH("СП",$A44:$AI44)-1,1))=4,"!",""),"")</f>
        <v/>
      </c>
    </row>
    <row r="44" spans="1:50" ht="16.5" thickBot="1" x14ac:dyDescent="0.3">
      <c r="A44" s="147"/>
      <c r="B44" s="139"/>
      <c r="C44" s="171"/>
      <c r="D44" s="50">
        <v>6</v>
      </c>
      <c r="E44" s="63" t="str">
        <f>INDEX(Д4!$E$24:$AI$33,MATCH($D44,Д4!$D$24:$D$33),MATCH(E$7,Д4!$E$3:$AI$3))</f>
        <v/>
      </c>
      <c r="F44" s="29" t="str">
        <f>INDEX(Д4!$E$24:$AI$33,MATCH($D44,Д4!$D$24:$D$33),MATCH(F$7,Д4!$E$3:$AI$3))</f>
        <v/>
      </c>
      <c r="G44" s="29" t="str">
        <f>INDEX(Д4!$E$24:$AI$33,MATCH($D44,Д4!$D$24:$D$33),MATCH(G$7,Д4!$E$3:$AI$3))</f>
        <v/>
      </c>
      <c r="H44" s="29" t="str">
        <f>INDEX(Д4!$E$24:$AI$33,MATCH($D44,Д4!$D$24:$D$33),MATCH(H$7,Д4!$E$3:$AI$3))</f>
        <v/>
      </c>
      <c r="I44" s="29" t="str">
        <f>INDEX(Д4!$E$24:$AI$33,MATCH($D44,Д4!$D$24:$D$33),MATCH(I$7,Д4!$E$3:$AI$3))</f>
        <v>СП</v>
      </c>
      <c r="J44" s="29" t="str">
        <f>INDEX(Д4!$E$24:$AI$33,MATCH($D44,Д4!$D$24:$D$33),MATCH(J$7,Д4!$E$3:$AI$3))</f>
        <v/>
      </c>
      <c r="K44" s="29" t="str">
        <f>INDEX(Д4!$E$24:$AI$33,MATCH($D44,Д4!$D$24:$D$33),MATCH(K$7,Д4!$E$3:$AI$3))</f>
        <v/>
      </c>
      <c r="L44" s="29" t="str">
        <f>INDEX(Д4!$E$24:$AI$33,MATCH($D44,Д4!$D$24:$D$33),MATCH(L$7,Д4!$E$3:$AI$3))</f>
        <v/>
      </c>
      <c r="M44" s="29" t="str">
        <f>INDEX(Д4!$E$24:$AI$33,MATCH($D44,Д4!$D$24:$D$33),MATCH(M$7,Д4!$E$3:$AI$3))</f>
        <v/>
      </c>
      <c r="N44" s="29" t="str">
        <f>INDEX(Д4!$E$24:$AI$33,MATCH($D44,Д4!$D$24:$D$33),MATCH(N$7,Д4!$E$3:$AI$3))</f>
        <v/>
      </c>
      <c r="O44" s="29" t="str">
        <f>INDEX(Д4!$E$24:$AI$33,MATCH($D44,Д4!$D$24:$D$33),MATCH(O$7,Д4!$E$3:$AI$3))</f>
        <v/>
      </c>
      <c r="P44" s="29" t="str">
        <f>INDEX(Д4!$E$24:$AI$33,MATCH($D44,Д4!$D$24:$D$33),MATCH(P$7,Д4!$E$3:$AI$3))</f>
        <v/>
      </c>
      <c r="Q44" s="29" t="str">
        <f>INDEX(Д4!$E$24:$AI$33,MATCH($D44,Д4!$D$24:$D$33),MATCH(Q$7,Д4!$E$3:$AI$3))</f>
        <v/>
      </c>
      <c r="R44" s="29" t="str">
        <f>INDEX(Д4!$E$24:$AI$33,MATCH($D44,Д4!$D$24:$D$33),MATCH(R$7,Д4!$E$3:$AI$3))</f>
        <v/>
      </c>
      <c r="S44" s="29" t="str">
        <f>INDEX(Д4!$E$24:$AI$33,MATCH($D44,Д4!$D$24:$D$33),MATCH(S$7,Д4!$E$3:$AI$3))</f>
        <v/>
      </c>
      <c r="T44" s="29" t="str">
        <f>INDEX(Д4!$E$24:$AI$33,MATCH($D44,Д4!$D$24:$D$33),MATCH(T$7,Д4!$E$3:$AI$3))</f>
        <v/>
      </c>
      <c r="U44" s="29" t="str">
        <f>INDEX(Д4!$E$24:$AI$33,MATCH($D44,Д4!$D$24:$D$33),MATCH(U$7,Д4!$E$3:$AI$3))</f>
        <v/>
      </c>
      <c r="V44" s="29" t="str">
        <f>INDEX(Д4!$E$24:$AI$33,MATCH($D44,Д4!$D$24:$D$33),MATCH(V$7,Д4!$E$3:$AI$3))</f>
        <v/>
      </c>
      <c r="W44" s="29" t="str">
        <f>INDEX(Д4!$E$24:$AI$33,MATCH($D44,Д4!$D$24:$D$33),MATCH(W$7,Д4!$E$3:$AI$3))</f>
        <v/>
      </c>
      <c r="X44" s="29" t="str">
        <f>INDEX(Д4!$E$24:$AI$33,MATCH($D44,Д4!$D$24:$D$33),MATCH(X$7,Д4!$E$3:$AI$3))</f>
        <v/>
      </c>
      <c r="Y44" s="29" t="str">
        <f>INDEX(Д4!$E$24:$AI$33,MATCH($D44,Д4!$D$24:$D$33),MATCH(Y$7,Д4!$E$3:$AI$3))</f>
        <v/>
      </c>
      <c r="Z44" s="29" t="str">
        <f>INDEX(Д4!$E$24:$AI$33,MATCH($D44,Д4!$D$24:$D$33),MATCH(Z$7,Д4!$E$3:$AI$3))</f>
        <v/>
      </c>
      <c r="AA44" s="29" t="str">
        <f>INDEX(Д4!$E$24:$AI$33,MATCH($D44,Д4!$D$24:$D$33),MATCH(AA$7,Д4!$E$3:$AI$3))</f>
        <v/>
      </c>
      <c r="AB44" s="29" t="str">
        <f>INDEX(Д4!$E$24:$AI$33,MATCH($D44,Д4!$D$24:$D$33),MATCH(AB$7,Д4!$E$3:$AI$3))</f>
        <v/>
      </c>
      <c r="AC44" s="29" t="str">
        <f>INDEX(Д4!$E$24:$AI$33,MATCH($D44,Д4!$D$24:$D$33),MATCH(AC$7,Д4!$E$3:$AI$3))</f>
        <v/>
      </c>
      <c r="AD44" s="29" t="str">
        <f>INDEX(Д4!$E$24:$AI$33,MATCH($D44,Д4!$D$24:$D$33),MATCH(AD$7,Д4!$E$3:$AI$3))</f>
        <v/>
      </c>
      <c r="AE44" s="29" t="str">
        <f>INDEX(Д4!$E$24:$AI$33,MATCH($D44,Д4!$D$24:$D$33),MATCH(AE$7,Д4!$E$3:$AI$3))</f>
        <v/>
      </c>
      <c r="AF44" s="29" t="str">
        <f>INDEX(Д4!$E$24:$AI$33,MATCH($D44,Д4!$D$24:$D$33),MATCH(AF$7,Д4!$E$3:$AI$3))</f>
        <v/>
      </c>
      <c r="AG44" s="29" t="str">
        <f>INDEX(Д4!$E$24:$AI$33,MATCH($D44,Д4!$D$24:$D$33),MATCH(AG$7,Д4!$E$3:$AI$3))</f>
        <v/>
      </c>
      <c r="AH44" s="29" t="str">
        <f>INDEX(Д4!$E$24:$AI$33,MATCH($D44,Д4!$D$24:$D$33),MATCH(AH$7,Д4!$E$3:$AI$3))</f>
        <v/>
      </c>
      <c r="AI44" s="61" t="str">
        <f>INDEX(Д4!$E$24:$AI$33,MATCH($D44,Д4!$D$24:$D$33),MATCH(AI$7,Д4!$E$3:$AI$3))</f>
        <v/>
      </c>
      <c r="AJ44" s="143"/>
      <c r="AK44" s="145"/>
      <c r="AL44" s="145"/>
      <c r="AM44" s="150"/>
      <c r="AP44" s="136"/>
      <c r="AQ44" s="136"/>
      <c r="AR44" s="136"/>
      <c r="AS44" s="136"/>
      <c r="AT44" s="136"/>
      <c r="AU44" s="136"/>
      <c r="AV44" s="136"/>
      <c r="AW44" s="137"/>
      <c r="AX44" s="137"/>
    </row>
    <row r="45" spans="1:50" ht="16.5" customHeight="1" thickBot="1" x14ac:dyDescent="0.3">
      <c r="A45" s="147"/>
      <c r="B45" s="139" t="s">
        <v>98</v>
      </c>
      <c r="C45" s="170">
        <v>4</v>
      </c>
      <c r="D45" s="49">
        <v>7</v>
      </c>
      <c r="E45" s="64">
        <f ca="1">INDEX(Д4!$E$24:$AI$33,MATCH($D45,Д4!$D$24:$D$33),MATCH(E$7,Д4!$E$3:$AI$3))</f>
        <v>12</v>
      </c>
      <c r="F45" s="27">
        <f ca="1">INDEX(Д4!$E$24:$AI$33,MATCH($D45,Д4!$D$24:$D$33),MATCH(F$7,Д4!$E$3:$AI$3))</f>
        <v>0</v>
      </c>
      <c r="G45" s="27">
        <f ca="1">INDEX(Д4!$E$24:$AI$33,MATCH($D45,Д4!$D$24:$D$33),MATCH(G$7,Д4!$E$3:$AI$3))</f>
        <v>0</v>
      </c>
      <c r="H45" s="27">
        <f ca="1">INDEX(Д4!$E$24:$AI$33,MATCH($D45,Д4!$D$24:$D$33),MATCH(H$7,Д4!$E$3:$AI$3))</f>
        <v>4</v>
      </c>
      <c r="I45" s="27">
        <f ca="1">INDEX(Д4!$E$24:$AI$33,MATCH($D45,Д4!$D$24:$D$33),MATCH(I$7,Д4!$E$3:$AI$3))</f>
        <v>8</v>
      </c>
      <c r="J45" s="27">
        <f ca="1">INDEX(Д4!$E$24:$AI$33,MATCH($D45,Д4!$D$24:$D$33),MATCH(J$7,Д4!$E$3:$AI$3))</f>
        <v>12</v>
      </c>
      <c r="K45" s="27">
        <f ca="1">INDEX(Д4!$E$24:$AI$33,MATCH($D45,Д4!$D$24:$D$33),MATCH(K$7,Д4!$E$3:$AI$3))</f>
        <v>4</v>
      </c>
      <c r="L45" s="27">
        <f ca="1">INDEX(Д4!$E$24:$AI$33,MATCH($D45,Д4!$D$24:$D$33),MATCH(L$7,Д4!$E$3:$AI$3))</f>
        <v>8</v>
      </c>
      <c r="M45" s="27">
        <f ca="1">INDEX(Д4!$E$24:$AI$33,MATCH($D45,Д4!$D$24:$D$33),MATCH(M$7,Д4!$E$3:$AI$3))</f>
        <v>12</v>
      </c>
      <c r="N45" s="27">
        <f ca="1">INDEX(Д4!$E$24:$AI$33,MATCH($D45,Д4!$D$24:$D$33),MATCH(N$7,Д4!$E$3:$AI$3))</f>
        <v>0</v>
      </c>
      <c r="O45" s="27">
        <f ca="1">INDEX(Д4!$E$24:$AI$33,MATCH($D45,Д4!$D$24:$D$33),MATCH(O$7,Д4!$E$3:$AI$3))</f>
        <v>0</v>
      </c>
      <c r="P45" s="27">
        <f ca="1">INDEX(Д4!$E$24:$AI$33,MATCH($D45,Д4!$D$24:$D$33),MATCH(P$7,Д4!$E$3:$AI$3))</f>
        <v>4</v>
      </c>
      <c r="Q45" s="27">
        <f ca="1">INDEX(Д4!$E$24:$AI$33,MATCH($D45,Д4!$D$24:$D$33),MATCH(Q$7,Д4!$E$3:$AI$3))</f>
        <v>8</v>
      </c>
      <c r="R45" s="27">
        <f ca="1">INDEX(Д4!$E$24:$AI$33,MATCH($D45,Д4!$D$24:$D$33),MATCH(R$7,Д4!$E$3:$AI$3))</f>
        <v>12</v>
      </c>
      <c r="S45" s="27">
        <f ca="1">INDEX(Д4!$E$24:$AI$33,MATCH($D45,Д4!$D$24:$D$33),MATCH(S$7,Д4!$E$3:$AI$3))</f>
        <v>4</v>
      </c>
      <c r="T45" s="27">
        <f ca="1">INDEX(Д4!$E$24:$AI$33,MATCH($D45,Д4!$D$24:$D$33),MATCH(T$7,Д4!$E$3:$AI$3))</f>
        <v>8</v>
      </c>
      <c r="U45" s="27">
        <f ca="1">INDEX(Д4!$E$24:$AI$33,MATCH($D45,Д4!$D$24:$D$33),MATCH(U$7,Д4!$E$3:$AI$3))</f>
        <v>12</v>
      </c>
      <c r="V45" s="27">
        <f ca="1">INDEX(Д4!$E$24:$AI$33,MATCH($D45,Д4!$D$24:$D$33),MATCH(V$7,Д4!$E$3:$AI$3))</f>
        <v>0</v>
      </c>
      <c r="W45" s="27">
        <f ca="1">INDEX(Д4!$E$24:$AI$33,MATCH($D45,Д4!$D$24:$D$33),MATCH(W$7,Д4!$E$3:$AI$3))</f>
        <v>0</v>
      </c>
      <c r="X45" s="27">
        <f ca="1">INDEX(Д4!$E$24:$AI$33,MATCH($D45,Д4!$D$24:$D$33),MATCH(X$7,Д4!$E$3:$AI$3))</f>
        <v>4</v>
      </c>
      <c r="Y45" s="27">
        <f ca="1">INDEX(Д4!$E$24:$AI$33,MATCH($D45,Д4!$D$24:$D$33),MATCH(Y$7,Д4!$E$3:$AI$3))</f>
        <v>8</v>
      </c>
      <c r="Z45" s="27">
        <f ca="1">INDEX(Д4!$E$24:$AI$33,MATCH($D45,Д4!$D$24:$D$33),MATCH(Z$7,Д4!$E$3:$AI$3))</f>
        <v>12</v>
      </c>
      <c r="AA45" s="27">
        <f ca="1">INDEX(Д4!$E$24:$AI$33,MATCH($D45,Д4!$D$24:$D$33),MATCH(AA$7,Д4!$E$3:$AI$3))</f>
        <v>4</v>
      </c>
      <c r="AB45" s="27">
        <f ca="1">INDEX(Д4!$E$24:$AI$33,MATCH($D45,Д4!$D$24:$D$33),MATCH(AB$7,Д4!$E$3:$AI$3))</f>
        <v>8</v>
      </c>
      <c r="AC45" s="27">
        <f ca="1">INDEX(Д4!$E$24:$AI$33,MATCH($D45,Д4!$D$24:$D$33),MATCH(AC$7,Д4!$E$3:$AI$3))</f>
        <v>12</v>
      </c>
      <c r="AD45" s="27">
        <f ca="1">INDEX(Д4!$E$24:$AI$33,MATCH($D45,Д4!$D$24:$D$33),MATCH(AD$7,Д4!$E$3:$AI$3))</f>
        <v>0</v>
      </c>
      <c r="AE45" s="27">
        <f ca="1">INDEX(Д4!$E$24:$AI$33,MATCH($D45,Д4!$D$24:$D$33),MATCH(AE$7,Д4!$E$3:$AI$3))</f>
        <v>0</v>
      </c>
      <c r="AF45" s="27">
        <f ca="1">INDEX(Д4!$E$24:$AI$33,MATCH($D45,Д4!$D$24:$D$33),MATCH(AF$7,Д4!$E$3:$AI$3))</f>
        <v>4</v>
      </c>
      <c r="AG45" s="27">
        <f ca="1">INDEX(Д4!$E$24:$AI$33,MATCH($D45,Д4!$D$24:$D$33),MATCH(AG$7,Д4!$E$3:$AI$3))</f>
        <v>8</v>
      </c>
      <c r="AH45" s="27">
        <f ca="1">INDEX(Д4!$E$24:$AI$33,MATCH($D45,Д4!$D$24:$D$33),MATCH(AH$7,Д4!$E$3:$AI$3))</f>
        <v>12</v>
      </c>
      <c r="AI45" s="32">
        <f ca="1">INDEX(Д4!$E$24:$AI$33,MATCH($D45,Д4!$D$24:$D$33),MATCH(AI$7,Д4!$E$3:$AI$3))</f>
        <v>4</v>
      </c>
      <c r="AJ45" s="143">
        <f>INDEX(Д4!AK$24:$AK$33,MATCH($C45,Д4!$C$24:$C$33),MATCH(E$7,Д4!$E$3:$AI$3))*AND(MONTH($E$8)=MONTH(Д4!$B$24))</f>
        <v>167</v>
      </c>
      <c r="AK45" s="144">
        <f t="shared" ref="AK45" ca="1" si="104">SUM(E45:AI46)</f>
        <v>184</v>
      </c>
      <c r="AL45" s="144"/>
      <c r="AM45" s="149">
        <f ca="1">SUM(F45:H46,J45:AI46)-AJ45+AL45-12</f>
        <v>-15</v>
      </c>
      <c r="AP45" s="136">
        <f t="shared" ref="AP45" ca="1" si="105">COUNTIF($E45:$AI46,"12")</f>
        <v>8</v>
      </c>
      <c r="AQ45" s="136">
        <f t="shared" ref="AQ45" ca="1" si="106">IF(COUNTIF($E45:$AI46,"СП")&gt;=1,(COUNTIF($E45:$AI46,"4")+COUNTIF($E45:$AI46,"8")-1)/2,(COUNTIF($E45:$AI46,"4")+COUNTIF($E45:$AI46,"8"))/2)</f>
        <v>7</v>
      </c>
      <c r="AR45" s="136">
        <f t="shared" ca="1" si="2"/>
        <v>96</v>
      </c>
      <c r="AS45" s="136">
        <f t="shared" ref="AS45" ca="1" si="107">IF(COUNTIF($E45:$AI46,"СП")&gt;=1,SUMIF($E45:$AI46,"4",$E45:$AI46)+SUMIF($E45:$AI46,"8",$E45:$AI46)-8,SUMIF($E45:$AI46,"4",$E45:$AI46)+SUMIF($E45:$AI46,"8",$E45:$AI46))</f>
        <v>80</v>
      </c>
      <c r="AT45" s="136">
        <f t="shared" ref="AT45" ca="1" si="108">$AR45+$AS45</f>
        <v>176</v>
      </c>
      <c r="AU45" s="136" t="str">
        <f t="shared" ref="AU45" ca="1" si="109">IF(AK45=AT45,"+","!")</f>
        <v>!</v>
      </c>
      <c r="AV45" s="136">
        <f t="shared" ref="AV45" ca="1" si="110">COUNTIF($E45:$AI46,"ОТ")</f>
        <v>0</v>
      </c>
      <c r="AW45" s="137" t="str">
        <f ca="1">IF(COUNTIF($A46:$AI46,"СП")&gt;0,IF(INDIRECT(ADDRESS(ROW(),MATCH("СП",$A46:$AI46),1))=8,"","!"),"")</f>
        <v>!</v>
      </c>
      <c r="AX45" s="137" t="str">
        <f ca="1">IF(COUNTIF($A46:$AI46,"СП")&gt;0,IF(INDIRECT(ADDRESS(ROW(),MATCH("СП",$A46:$AI46)-1,1))=4,"!",""),"")</f>
        <v/>
      </c>
    </row>
    <row r="46" spans="1:50" ht="16.5" thickBot="1" x14ac:dyDescent="0.3">
      <c r="A46" s="147"/>
      <c r="B46" s="139"/>
      <c r="C46" s="171"/>
      <c r="D46" s="50">
        <v>8</v>
      </c>
      <c r="E46" s="65" t="str">
        <f>INDEX(Д4!$E$24:$AI$33,MATCH($D46,Д4!$D$24:$D$33),MATCH(E$7,Д4!$E$3:$AI$3))</f>
        <v/>
      </c>
      <c r="F46" s="30" t="str">
        <f>INDEX(Д4!$E$24:$AI$33,MATCH($D46,Д4!$D$24:$D$33),MATCH(F$7,Д4!$E$3:$AI$3))</f>
        <v/>
      </c>
      <c r="G46" s="30" t="str">
        <f>INDEX(Д4!$E$24:$AI$33,MATCH($D46,Д4!$D$24:$D$33),MATCH(G$7,Д4!$E$3:$AI$3))</f>
        <v/>
      </c>
      <c r="H46" s="30" t="str">
        <f>INDEX(Д4!$E$24:$AI$33,MATCH($D46,Д4!$D$24:$D$33),MATCH(H$7,Д4!$E$3:$AI$3))</f>
        <v/>
      </c>
      <c r="I46" s="30" t="str">
        <f>INDEX(Д4!$E$24:$AI$33,MATCH($D46,Д4!$D$24:$D$33),MATCH(I$7,Д4!$E$3:$AI$3))</f>
        <v/>
      </c>
      <c r="J46" s="30" t="str">
        <f>INDEX(Д4!$E$24:$AI$33,MATCH($D46,Д4!$D$24:$D$33),MATCH(J$7,Д4!$E$3:$AI$3))</f>
        <v>СП</v>
      </c>
      <c r="K46" s="30" t="str">
        <f>INDEX(Д4!$E$24:$AI$33,MATCH($D46,Д4!$D$24:$D$33),MATCH(K$7,Д4!$E$3:$AI$3))</f>
        <v/>
      </c>
      <c r="L46" s="30" t="str">
        <f>INDEX(Д4!$E$24:$AI$33,MATCH($D46,Д4!$D$24:$D$33),MATCH(L$7,Д4!$E$3:$AI$3))</f>
        <v/>
      </c>
      <c r="M46" s="30" t="str">
        <f>INDEX(Д4!$E$24:$AI$33,MATCH($D46,Д4!$D$24:$D$33),MATCH(M$7,Д4!$E$3:$AI$3))</f>
        <v/>
      </c>
      <c r="N46" s="30" t="str">
        <f>INDEX(Д4!$E$24:$AI$33,MATCH($D46,Д4!$D$24:$D$33),MATCH(N$7,Д4!$E$3:$AI$3))</f>
        <v/>
      </c>
      <c r="O46" s="30" t="str">
        <f>INDEX(Д4!$E$24:$AI$33,MATCH($D46,Д4!$D$24:$D$33),MATCH(O$7,Д4!$E$3:$AI$3))</f>
        <v/>
      </c>
      <c r="P46" s="30" t="str">
        <f>INDEX(Д4!$E$24:$AI$33,MATCH($D46,Д4!$D$24:$D$33),MATCH(P$7,Д4!$E$3:$AI$3))</f>
        <v/>
      </c>
      <c r="Q46" s="30" t="str">
        <f>INDEX(Д4!$E$24:$AI$33,MATCH($D46,Д4!$D$24:$D$33),MATCH(Q$7,Д4!$E$3:$AI$3))</f>
        <v/>
      </c>
      <c r="R46" s="30" t="str">
        <f>INDEX(Д4!$E$24:$AI$33,MATCH($D46,Д4!$D$24:$D$33),MATCH(R$7,Д4!$E$3:$AI$3))</f>
        <v/>
      </c>
      <c r="S46" s="30" t="str">
        <f>INDEX(Д4!$E$24:$AI$33,MATCH($D46,Д4!$D$24:$D$33),MATCH(S$7,Д4!$E$3:$AI$3))</f>
        <v/>
      </c>
      <c r="T46" s="30" t="str">
        <f>INDEX(Д4!$E$24:$AI$33,MATCH($D46,Д4!$D$24:$D$33),MATCH(T$7,Д4!$E$3:$AI$3))</f>
        <v/>
      </c>
      <c r="U46" s="30" t="str">
        <f>INDEX(Д4!$E$24:$AI$33,MATCH($D46,Д4!$D$24:$D$33),MATCH(U$7,Д4!$E$3:$AI$3))</f>
        <v/>
      </c>
      <c r="V46" s="30" t="str">
        <f>INDEX(Д4!$E$24:$AI$33,MATCH($D46,Д4!$D$24:$D$33),MATCH(V$7,Д4!$E$3:$AI$3))</f>
        <v/>
      </c>
      <c r="W46" s="30" t="str">
        <f>INDEX(Д4!$E$24:$AI$33,MATCH($D46,Д4!$D$24:$D$33),MATCH(W$7,Д4!$E$3:$AI$3))</f>
        <v/>
      </c>
      <c r="X46" s="30" t="str">
        <f>INDEX(Д4!$E$24:$AI$33,MATCH($D46,Д4!$D$24:$D$33),MATCH(X$7,Д4!$E$3:$AI$3))</f>
        <v/>
      </c>
      <c r="Y46" s="30" t="str">
        <f>INDEX(Д4!$E$24:$AI$33,MATCH($D46,Д4!$D$24:$D$33),MATCH(Y$7,Д4!$E$3:$AI$3))</f>
        <v/>
      </c>
      <c r="Z46" s="30" t="str">
        <f>INDEX(Д4!$E$24:$AI$33,MATCH($D46,Д4!$D$24:$D$33),MATCH(Z$7,Д4!$E$3:$AI$3))</f>
        <v/>
      </c>
      <c r="AA46" s="30" t="str">
        <f>INDEX(Д4!$E$24:$AI$33,MATCH($D46,Д4!$D$24:$D$33),MATCH(AA$7,Д4!$E$3:$AI$3))</f>
        <v/>
      </c>
      <c r="AB46" s="30" t="str">
        <f>INDEX(Д4!$E$24:$AI$33,MATCH($D46,Д4!$D$24:$D$33),MATCH(AB$7,Д4!$E$3:$AI$3))</f>
        <v/>
      </c>
      <c r="AC46" s="30" t="str">
        <f>INDEX(Д4!$E$24:$AI$33,MATCH($D46,Д4!$D$24:$D$33),MATCH(AC$7,Д4!$E$3:$AI$3))</f>
        <v/>
      </c>
      <c r="AD46" s="30" t="str">
        <f>INDEX(Д4!$E$24:$AI$33,MATCH($D46,Д4!$D$24:$D$33),MATCH(AD$7,Д4!$E$3:$AI$3))</f>
        <v/>
      </c>
      <c r="AE46" s="30" t="str">
        <f>INDEX(Д4!$E$24:$AI$33,MATCH($D46,Д4!$D$24:$D$33),MATCH(AE$7,Д4!$E$3:$AI$3))</f>
        <v/>
      </c>
      <c r="AF46" s="30" t="str">
        <f>INDEX(Д4!$E$24:$AI$33,MATCH($D46,Д4!$D$24:$D$33),MATCH(AF$7,Д4!$E$3:$AI$3))</f>
        <v/>
      </c>
      <c r="AG46" s="30" t="str">
        <f>INDEX(Д4!$E$24:$AI$33,MATCH($D46,Д4!$D$24:$D$33),MATCH(AG$7,Д4!$E$3:$AI$3))</f>
        <v/>
      </c>
      <c r="AH46" s="30" t="str">
        <f>INDEX(Д4!$E$24:$AI$33,MATCH($D46,Д4!$D$24:$D$33),MATCH(AH$7,Д4!$E$3:$AI$3))</f>
        <v/>
      </c>
      <c r="AI46" s="33" t="str">
        <f>INDEX(Д4!$E$24:$AI$33,MATCH($D46,Д4!$D$24:$D$33),MATCH(AI$7,Д4!$E$3:$AI$3))</f>
        <v/>
      </c>
      <c r="AJ46" s="143"/>
      <c r="AK46" s="145"/>
      <c r="AL46" s="145"/>
      <c r="AM46" s="150"/>
      <c r="AP46" s="136"/>
      <c r="AQ46" s="136"/>
      <c r="AR46" s="136"/>
      <c r="AS46" s="136"/>
      <c r="AT46" s="136"/>
      <c r="AU46" s="136"/>
      <c r="AV46" s="136"/>
      <c r="AW46" s="137"/>
      <c r="AX46" s="137"/>
    </row>
    <row r="47" spans="1:50" ht="16.5" customHeight="1" thickBot="1" x14ac:dyDescent="0.3">
      <c r="A47" s="147"/>
      <c r="B47" s="139" t="s">
        <v>99</v>
      </c>
      <c r="C47" s="170">
        <v>5</v>
      </c>
      <c r="D47" s="49">
        <v>9</v>
      </c>
      <c r="E47" s="62" t="str">
        <f>INDEX(Д4!$E$24:$AI$33,MATCH($D47,Д4!$D$24:$D$33),MATCH(E$7,Д4!$E$3:$AI$3))</f>
        <v>-</v>
      </c>
      <c r="F47" s="28" t="str">
        <f>INDEX(Д4!$E$24:$AI$33,MATCH($D47,Д4!$D$24:$D$33),MATCH(F$7,Д4!$E$3:$AI$3))</f>
        <v>-</v>
      </c>
      <c r="G47" s="28" t="str">
        <f>INDEX(Д4!$E$24:$AI$33,MATCH($D47,Д4!$D$24:$D$33),MATCH(G$7,Д4!$E$3:$AI$3))</f>
        <v>-</v>
      </c>
      <c r="H47" s="28" t="str">
        <f>INDEX(Д4!$E$24:$AI$33,MATCH($D47,Д4!$D$24:$D$33),MATCH(H$7,Д4!$E$3:$AI$3))</f>
        <v>-</v>
      </c>
      <c r="I47" s="28" t="str">
        <f>INDEX(Д4!$E$24:$AI$33,MATCH($D47,Д4!$D$24:$D$33),MATCH(I$7,Д4!$E$3:$AI$3))</f>
        <v>-</v>
      </c>
      <c r="J47" s="28" t="str">
        <f>INDEX(Д4!$E$24:$AI$33,MATCH($D47,Д4!$D$24:$D$33),MATCH(J$7,Д4!$E$3:$AI$3))</f>
        <v>-</v>
      </c>
      <c r="K47" s="28" t="str">
        <f>INDEX(Д4!$E$24:$AI$33,MATCH($D47,Д4!$D$24:$D$33),MATCH(K$7,Д4!$E$3:$AI$3))</f>
        <v>-</v>
      </c>
      <c r="L47" s="28" t="str">
        <f>INDEX(Д4!$E$24:$AI$33,MATCH($D47,Д4!$D$24:$D$33),MATCH(L$7,Д4!$E$3:$AI$3))</f>
        <v>-</v>
      </c>
      <c r="M47" s="28" t="str">
        <f>INDEX(Д4!$E$24:$AI$33,MATCH($D47,Д4!$D$24:$D$33),MATCH(M$7,Д4!$E$3:$AI$3))</f>
        <v>-</v>
      </c>
      <c r="N47" s="28" t="str">
        <f>INDEX(Д4!$E$24:$AI$33,MATCH($D47,Д4!$D$24:$D$33),MATCH(N$7,Д4!$E$3:$AI$3))</f>
        <v>-</v>
      </c>
      <c r="O47" s="28" t="str">
        <f>INDEX(Д4!$E$24:$AI$33,MATCH($D47,Д4!$D$24:$D$33),MATCH(O$7,Д4!$E$3:$AI$3))</f>
        <v>-</v>
      </c>
      <c r="P47" s="28" t="str">
        <f>INDEX(Д4!$E$24:$AI$33,MATCH($D47,Д4!$D$24:$D$33),MATCH(P$7,Д4!$E$3:$AI$3))</f>
        <v>-</v>
      </c>
      <c r="Q47" s="28" t="str">
        <f>INDEX(Д4!$E$24:$AI$33,MATCH($D47,Д4!$D$24:$D$33),MATCH(Q$7,Д4!$E$3:$AI$3))</f>
        <v>-</v>
      </c>
      <c r="R47" s="28" t="str">
        <f>INDEX(Д4!$E$24:$AI$33,MATCH($D47,Д4!$D$24:$D$33),MATCH(R$7,Д4!$E$3:$AI$3))</f>
        <v>-</v>
      </c>
      <c r="S47" s="28" t="str">
        <f>INDEX(Д4!$E$24:$AI$33,MATCH($D47,Д4!$D$24:$D$33),MATCH(S$7,Д4!$E$3:$AI$3))</f>
        <v>-</v>
      </c>
      <c r="T47" s="28" t="str">
        <f>INDEX(Д4!$E$24:$AI$33,MATCH($D47,Д4!$D$24:$D$33),MATCH(T$7,Д4!$E$3:$AI$3))</f>
        <v>-</v>
      </c>
      <c r="U47" s="28" t="str">
        <f>INDEX(Д4!$E$24:$AI$33,MATCH($D47,Д4!$D$24:$D$33),MATCH(U$7,Д4!$E$3:$AI$3))</f>
        <v>-</v>
      </c>
      <c r="V47" s="28" t="str">
        <f>INDEX(Д4!$E$24:$AI$33,MATCH($D47,Д4!$D$24:$D$33),MATCH(V$7,Д4!$E$3:$AI$3))</f>
        <v>-</v>
      </c>
      <c r="W47" s="28" t="str">
        <f>INDEX(Д4!$E$24:$AI$33,MATCH($D47,Д4!$D$24:$D$33),MATCH(W$7,Д4!$E$3:$AI$3))</f>
        <v>-</v>
      </c>
      <c r="X47" s="28" t="str">
        <f>INDEX(Д4!$E$24:$AI$33,MATCH($D47,Д4!$D$24:$D$33),MATCH(X$7,Д4!$E$3:$AI$3))</f>
        <v>-</v>
      </c>
      <c r="Y47" s="28" t="str">
        <f>INDEX(Д4!$E$24:$AI$33,MATCH($D47,Д4!$D$24:$D$33),MATCH(Y$7,Д4!$E$3:$AI$3))</f>
        <v>-</v>
      </c>
      <c r="Z47" s="28" t="str">
        <f>INDEX(Д4!$E$24:$AI$33,MATCH($D47,Д4!$D$24:$D$33),MATCH(Z$7,Д4!$E$3:$AI$3))</f>
        <v>-</v>
      </c>
      <c r="AA47" s="28" t="str">
        <f>INDEX(Д4!$E$24:$AI$33,MATCH($D47,Д4!$D$24:$D$33),MATCH(AA$7,Д4!$E$3:$AI$3))</f>
        <v>-</v>
      </c>
      <c r="AB47" s="28" t="str">
        <f>INDEX(Д4!$E$24:$AI$33,MATCH($D47,Д4!$D$24:$D$33),MATCH(AB$7,Д4!$E$3:$AI$3))</f>
        <v>-</v>
      </c>
      <c r="AC47" s="28" t="str">
        <f>INDEX(Д4!$E$24:$AI$33,MATCH($D47,Д4!$D$24:$D$33),MATCH(AC$7,Д4!$E$3:$AI$3))</f>
        <v>-</v>
      </c>
      <c r="AD47" s="28" t="str">
        <f>INDEX(Д4!$E$24:$AI$33,MATCH($D47,Д4!$D$24:$D$33),MATCH(AD$7,Д4!$E$3:$AI$3))</f>
        <v>-</v>
      </c>
      <c r="AE47" s="28" t="str">
        <f>INDEX(Д4!$E$24:$AI$33,MATCH($D47,Д4!$D$24:$D$33),MATCH(AE$7,Д4!$E$3:$AI$3))</f>
        <v>-</v>
      </c>
      <c r="AF47" s="28" t="str">
        <f>INDEX(Д4!$E$24:$AI$33,MATCH($D47,Д4!$D$24:$D$33),MATCH(AF$7,Д4!$E$3:$AI$3))</f>
        <v>-</v>
      </c>
      <c r="AG47" s="28" t="str">
        <f>INDEX(Д4!$E$24:$AI$33,MATCH($D47,Д4!$D$24:$D$33),MATCH(AG$7,Д4!$E$3:$AI$3))</f>
        <v>-</v>
      </c>
      <c r="AH47" s="28" t="str">
        <f>INDEX(Д4!$E$24:$AI$33,MATCH($D47,Д4!$D$24:$D$33),MATCH(AH$7,Д4!$E$3:$AI$3))</f>
        <v>-</v>
      </c>
      <c r="AI47" s="60" t="str">
        <f>INDEX(Д4!$E$24:$AI$33,MATCH($D47,Д4!$D$24:$D$33),MATCH(AI$7,Д4!$E$3:$AI$3))</f>
        <v>-</v>
      </c>
      <c r="AJ47" s="143">
        <f>INDEX(Д4!AK$24:$AK$33,MATCH($C47,Д4!$C$24:$C$33),MATCH(E$7,Д4!$E$3:$AI$3))*AND(MONTH($E$8)=MONTH(Д4!$B$24))</f>
        <v>167</v>
      </c>
      <c r="AK47" s="144">
        <f t="shared" ref="AK47" si="111">SUM(E47:AI48)</f>
        <v>0</v>
      </c>
      <c r="AL47" s="144"/>
      <c r="AM47" s="149">
        <f>SUM(F47:H48,J47:AI48)-AJ47+AL47-12</f>
        <v>-179</v>
      </c>
      <c r="AP47" s="136">
        <f t="shared" ref="AP47" si="112">COUNTIF($E47:$AI48,"12")</f>
        <v>0</v>
      </c>
      <c r="AQ47" s="136">
        <f t="shared" ref="AQ47" si="113">IF(COUNTIF($E47:$AI48,"СП")&gt;=1,(COUNTIF($E47:$AI48,"4")+COUNTIF($E47:$AI48,"8")-1)/2,(COUNTIF($E47:$AI48,"4")+COUNTIF($E47:$AI48,"8"))/2)</f>
        <v>-0.5</v>
      </c>
      <c r="AR47" s="136">
        <f t="shared" si="2"/>
        <v>0</v>
      </c>
      <c r="AS47" s="136">
        <f t="shared" ref="AS47" si="114">IF(COUNTIF($E47:$AI48,"СП")&gt;=1,SUMIF($E47:$AI48,"4",$E47:$AI48)+SUMIF($E47:$AI48,"8",$E47:$AI48)-8,SUMIF($E47:$AI48,"4",$E47:$AI48)+SUMIF($E47:$AI48,"8",$E47:$AI48))</f>
        <v>-8</v>
      </c>
      <c r="AT47" s="136">
        <f t="shared" ref="AT47" si="115">$AR47+$AS47</f>
        <v>-8</v>
      </c>
      <c r="AU47" s="136" t="str">
        <f t="shared" ref="AU47" si="116">IF(AK47=AT47,"+","!")</f>
        <v>!</v>
      </c>
      <c r="AV47" s="136">
        <f t="shared" ref="AV47" si="117">COUNTIF($E47:$AI48,"ОТ")</f>
        <v>0</v>
      </c>
      <c r="AW47" s="137" t="str">
        <f ca="1">IF(COUNTIF($A48:$AI48,"СП")&gt;0,IF(INDIRECT(ADDRESS(ROW(),MATCH("СП",$A48:$AI48),1))=8,"","!"),"")</f>
        <v>!</v>
      </c>
      <c r="AX47" s="137" t="str">
        <f ca="1">IF(COUNTIF($A48:$AI48,"СП")&gt;0,IF(INDIRECT(ADDRESS(ROW(),MATCH("СП",$A48:$AI48)-1,1))=4,"!",""),"")</f>
        <v/>
      </c>
    </row>
    <row r="48" spans="1:50" ht="16.5" thickBot="1" x14ac:dyDescent="0.3">
      <c r="A48" s="148"/>
      <c r="B48" s="140"/>
      <c r="C48" s="171"/>
      <c r="D48" s="50">
        <v>10</v>
      </c>
      <c r="E48" s="63" t="str">
        <f>INDEX(Д4!$E$24:$AI$33,MATCH($D48,Д4!$D$24:$D$33),MATCH(E$7,Д4!$E$3:$AI$3))</f>
        <v/>
      </c>
      <c r="F48" s="29" t="str">
        <f>INDEX(Д4!$E$24:$AI$33,MATCH($D48,Д4!$D$24:$D$33),MATCH(F$7,Д4!$E$3:$AI$3))</f>
        <v/>
      </c>
      <c r="G48" s="29" t="str">
        <f>INDEX(Д4!$E$24:$AI$33,MATCH($D48,Д4!$D$24:$D$33),MATCH(G$7,Д4!$E$3:$AI$3))</f>
        <v/>
      </c>
      <c r="H48" s="29" t="str">
        <f>INDEX(Д4!$E$24:$AI$33,MATCH($D48,Д4!$D$24:$D$33),MATCH(H$7,Д4!$E$3:$AI$3))</f>
        <v/>
      </c>
      <c r="I48" s="29" t="str">
        <f>INDEX(Д4!$E$24:$AI$33,MATCH($D48,Д4!$D$24:$D$33),MATCH(I$7,Д4!$E$3:$AI$3))</f>
        <v/>
      </c>
      <c r="J48" s="29" t="str">
        <f>INDEX(Д4!$E$24:$AI$33,MATCH($D48,Д4!$D$24:$D$33),MATCH(J$7,Д4!$E$3:$AI$3))</f>
        <v/>
      </c>
      <c r="K48" s="29" t="str">
        <f>INDEX(Д4!$E$24:$AI$33,MATCH($D48,Д4!$D$24:$D$33),MATCH(K$7,Д4!$E$3:$AI$3))</f>
        <v>СП</v>
      </c>
      <c r="L48" s="29" t="str">
        <f>INDEX(Д4!$E$24:$AI$33,MATCH($D48,Д4!$D$24:$D$33),MATCH(L$7,Д4!$E$3:$AI$3))</f>
        <v/>
      </c>
      <c r="M48" s="29" t="str">
        <f>INDEX(Д4!$E$24:$AI$33,MATCH($D48,Д4!$D$24:$D$33),MATCH(M$7,Д4!$E$3:$AI$3))</f>
        <v/>
      </c>
      <c r="N48" s="29" t="str">
        <f>INDEX(Д4!$E$24:$AI$33,MATCH($D48,Д4!$D$24:$D$33),MATCH(N$7,Д4!$E$3:$AI$3))</f>
        <v/>
      </c>
      <c r="O48" s="29" t="str">
        <f>INDEX(Д4!$E$24:$AI$33,MATCH($D48,Д4!$D$24:$D$33),MATCH(O$7,Д4!$E$3:$AI$3))</f>
        <v/>
      </c>
      <c r="P48" s="29" t="str">
        <f>INDEX(Д4!$E$24:$AI$33,MATCH($D48,Д4!$D$24:$D$33),MATCH(P$7,Д4!$E$3:$AI$3))</f>
        <v/>
      </c>
      <c r="Q48" s="29" t="str">
        <f>INDEX(Д4!$E$24:$AI$33,MATCH($D48,Д4!$D$24:$D$33),MATCH(Q$7,Д4!$E$3:$AI$3))</f>
        <v/>
      </c>
      <c r="R48" s="29" t="str">
        <f>INDEX(Д4!$E$24:$AI$33,MATCH($D48,Д4!$D$24:$D$33),MATCH(R$7,Д4!$E$3:$AI$3))</f>
        <v/>
      </c>
      <c r="S48" s="29" t="str">
        <f>INDEX(Д4!$E$24:$AI$33,MATCH($D48,Д4!$D$24:$D$33),MATCH(S$7,Д4!$E$3:$AI$3))</f>
        <v/>
      </c>
      <c r="T48" s="29" t="str">
        <f>INDEX(Д4!$E$24:$AI$33,MATCH($D48,Д4!$D$24:$D$33),MATCH(T$7,Д4!$E$3:$AI$3))</f>
        <v/>
      </c>
      <c r="U48" s="29" t="str">
        <f>INDEX(Д4!$E$24:$AI$33,MATCH($D48,Д4!$D$24:$D$33),MATCH(U$7,Д4!$E$3:$AI$3))</f>
        <v/>
      </c>
      <c r="V48" s="29" t="str">
        <f>INDEX(Д4!$E$24:$AI$33,MATCH($D48,Д4!$D$24:$D$33),MATCH(V$7,Д4!$E$3:$AI$3))</f>
        <v/>
      </c>
      <c r="W48" s="29" t="str">
        <f>INDEX(Д4!$E$24:$AI$33,MATCH($D48,Д4!$D$24:$D$33),MATCH(W$7,Д4!$E$3:$AI$3))</f>
        <v/>
      </c>
      <c r="X48" s="29" t="str">
        <f>INDEX(Д4!$E$24:$AI$33,MATCH($D48,Д4!$D$24:$D$33),MATCH(X$7,Д4!$E$3:$AI$3))</f>
        <v/>
      </c>
      <c r="Y48" s="29" t="str">
        <f>INDEX(Д4!$E$24:$AI$33,MATCH($D48,Д4!$D$24:$D$33),MATCH(Y$7,Д4!$E$3:$AI$3))</f>
        <v/>
      </c>
      <c r="Z48" s="29" t="str">
        <f>INDEX(Д4!$E$24:$AI$33,MATCH($D48,Д4!$D$24:$D$33),MATCH(Z$7,Д4!$E$3:$AI$3))</f>
        <v/>
      </c>
      <c r="AA48" s="29" t="str">
        <f>INDEX(Д4!$E$24:$AI$33,MATCH($D48,Д4!$D$24:$D$33),MATCH(AA$7,Д4!$E$3:$AI$3))</f>
        <v/>
      </c>
      <c r="AB48" s="29" t="str">
        <f>INDEX(Д4!$E$24:$AI$33,MATCH($D48,Д4!$D$24:$D$33),MATCH(AB$7,Д4!$E$3:$AI$3))</f>
        <v/>
      </c>
      <c r="AC48" s="29" t="str">
        <f>INDEX(Д4!$E$24:$AI$33,MATCH($D48,Д4!$D$24:$D$33),MATCH(AC$7,Д4!$E$3:$AI$3))</f>
        <v/>
      </c>
      <c r="AD48" s="29" t="str">
        <f>INDEX(Д4!$E$24:$AI$33,MATCH($D48,Д4!$D$24:$D$33),MATCH(AD$7,Д4!$E$3:$AI$3))</f>
        <v/>
      </c>
      <c r="AE48" s="29" t="str">
        <f>INDEX(Д4!$E$24:$AI$33,MATCH($D48,Д4!$D$24:$D$33),MATCH(AE$7,Д4!$E$3:$AI$3))</f>
        <v/>
      </c>
      <c r="AF48" s="29" t="str">
        <f>INDEX(Д4!$E$24:$AI$33,MATCH($D48,Д4!$D$24:$D$33),MATCH(AF$7,Д4!$E$3:$AI$3))</f>
        <v/>
      </c>
      <c r="AG48" s="29" t="str">
        <f>INDEX(Д4!$E$24:$AI$33,MATCH($D48,Д4!$D$24:$D$33),MATCH(AG$7,Д4!$E$3:$AI$3))</f>
        <v/>
      </c>
      <c r="AH48" s="29" t="str">
        <f>INDEX(Д4!$E$24:$AI$33,MATCH($D48,Д4!$D$24:$D$33),MATCH(AH$7,Д4!$E$3:$AI$3))</f>
        <v/>
      </c>
      <c r="AI48" s="29" t="str">
        <f>INDEX(Д4!$E$24:$AI$33,MATCH($D48,Д4!$D$24:$D$33),MATCH(AI$7,Д4!$E$3:$AI$3))</f>
        <v/>
      </c>
      <c r="AJ48" s="143"/>
      <c r="AK48" s="145"/>
      <c r="AL48" s="145"/>
      <c r="AM48" s="150"/>
      <c r="AP48" s="136"/>
      <c r="AQ48" s="136"/>
      <c r="AR48" s="136"/>
      <c r="AS48" s="136"/>
      <c r="AT48" s="136"/>
      <c r="AU48" s="136"/>
      <c r="AV48" s="136"/>
      <c r="AW48" s="137"/>
      <c r="AX48" s="137"/>
    </row>
    <row r="49" spans="1:49" x14ac:dyDescent="0.25">
      <c r="AP49" s="5"/>
      <c r="AQ49" s="5"/>
      <c r="AR49" s="5"/>
      <c r="AS49" s="5"/>
      <c r="AT49" s="5"/>
      <c r="AU49" s="5"/>
      <c r="AV49" s="5"/>
      <c r="AW49" s="5"/>
    </row>
    <row r="50" spans="1:49" ht="15.75" x14ac:dyDescent="0.25">
      <c r="B50" s="131" t="s">
        <v>71</v>
      </c>
      <c r="C50" s="132"/>
      <c r="D50" s="165" t="s">
        <v>72</v>
      </c>
      <c r="E50" s="165"/>
      <c r="F50" s="165"/>
      <c r="G50" s="165"/>
      <c r="H50" s="165"/>
      <c r="I50" s="132"/>
      <c r="J50" s="166" t="s">
        <v>73</v>
      </c>
      <c r="K50" s="166"/>
      <c r="L50" s="166"/>
      <c r="M50" s="132"/>
      <c r="N50" s="167" t="s">
        <v>74</v>
      </c>
      <c r="O50" s="167"/>
      <c r="P50" s="167"/>
      <c r="Q50" s="167"/>
      <c r="R50" s="132"/>
      <c r="S50" s="168" t="s">
        <v>75</v>
      </c>
      <c r="T50" s="168"/>
      <c r="U50" s="168"/>
      <c r="V50" s="168"/>
      <c r="W50" s="168"/>
      <c r="X50" s="168"/>
      <c r="Y50" s="168"/>
      <c r="Z50" s="168"/>
      <c r="AA50" s="168"/>
      <c r="AB50" s="168"/>
      <c r="AC50" s="168"/>
      <c r="AD50" s="132"/>
      <c r="AE50" s="169" t="s">
        <v>76</v>
      </c>
      <c r="AF50" s="169"/>
      <c r="AG50" s="169"/>
      <c r="AH50" s="169"/>
      <c r="AI50" s="169"/>
      <c r="AJ50" s="169"/>
      <c r="AK50" s="169"/>
      <c r="AL50" s="132"/>
      <c r="AP50" s="5"/>
      <c r="AQ50" s="5"/>
      <c r="AR50" s="5"/>
      <c r="AS50" s="5"/>
      <c r="AT50" s="5"/>
      <c r="AU50" s="5"/>
      <c r="AV50" s="5"/>
      <c r="AW50" s="5"/>
    </row>
    <row r="51" spans="1:49" ht="15.75" thickBot="1" x14ac:dyDescent="0.3">
      <c r="AP51" s="5"/>
      <c r="AQ51" s="5"/>
      <c r="AR51" s="5"/>
      <c r="AS51" s="5"/>
      <c r="AT51" s="5"/>
      <c r="AU51" s="5"/>
      <c r="AV51" s="5"/>
      <c r="AW51" s="5"/>
    </row>
    <row r="52" spans="1:49" x14ac:dyDescent="0.25">
      <c r="A52" s="138" t="s">
        <v>12</v>
      </c>
      <c r="B52" s="8" t="str">
        <f>$A$9</f>
        <v>Должность1</v>
      </c>
      <c r="C52" s="8"/>
      <c r="D52" s="8"/>
      <c r="E52" s="16" t="str">
        <f ca="1">IF(AND(COUNTIF(E$9:E$18,"12")&gt;=1,COUNTIF(E$9:E$18,"4")&gt;=1,COUNTIF(E$9:E$18,"8")&gt;=1),"","!")</f>
        <v/>
      </c>
      <c r="F52" s="16" t="str">
        <f t="shared" ref="F52:AH52" ca="1" si="118">IF(AND(COUNTIF(F$9:F$18,"12")&gt;=1,COUNTIF(F$9:F$18,"4")&gt;=1,COUNTIF(F$9:F$18,"8")&gt;=1),"","!")</f>
        <v/>
      </c>
      <c r="G52" s="16" t="str">
        <f t="shared" ca="1" si="118"/>
        <v>!</v>
      </c>
      <c r="H52" s="16" t="str">
        <f t="shared" ca="1" si="118"/>
        <v/>
      </c>
      <c r="I52" s="16" t="str">
        <f t="shared" ca="1" si="118"/>
        <v>!</v>
      </c>
      <c r="J52" s="16" t="str">
        <f t="shared" ca="1" si="118"/>
        <v/>
      </c>
      <c r="K52" s="16" t="str">
        <f t="shared" ca="1" si="118"/>
        <v/>
      </c>
      <c r="L52" s="16" t="str">
        <f t="shared" ca="1" si="118"/>
        <v/>
      </c>
      <c r="M52" s="16" t="str">
        <f t="shared" ca="1" si="118"/>
        <v/>
      </c>
      <c r="N52" s="16" t="str">
        <f t="shared" ca="1" si="118"/>
        <v/>
      </c>
      <c r="O52" s="16" t="str">
        <f t="shared" ca="1" si="118"/>
        <v/>
      </c>
      <c r="P52" s="16" t="str">
        <f t="shared" ca="1" si="118"/>
        <v/>
      </c>
      <c r="Q52" s="16" t="str">
        <f t="shared" ca="1" si="118"/>
        <v/>
      </c>
      <c r="R52" s="16" t="str">
        <f t="shared" ca="1" si="118"/>
        <v/>
      </c>
      <c r="S52" s="16" t="str">
        <f t="shared" ca="1" si="118"/>
        <v/>
      </c>
      <c r="T52" s="16" t="str">
        <f t="shared" ca="1" si="118"/>
        <v/>
      </c>
      <c r="U52" s="16" t="str">
        <f t="shared" ca="1" si="118"/>
        <v/>
      </c>
      <c r="V52" s="16" t="str">
        <f t="shared" ca="1" si="118"/>
        <v/>
      </c>
      <c r="W52" s="16" t="str">
        <f t="shared" ca="1" si="118"/>
        <v/>
      </c>
      <c r="X52" s="16" t="str">
        <f t="shared" ca="1" si="118"/>
        <v/>
      </c>
      <c r="Y52" s="16" t="str">
        <f t="shared" ca="1" si="118"/>
        <v/>
      </c>
      <c r="Z52" s="16" t="str">
        <f t="shared" ca="1" si="118"/>
        <v/>
      </c>
      <c r="AA52" s="16" t="str">
        <f t="shared" ca="1" si="118"/>
        <v/>
      </c>
      <c r="AB52" s="16" t="str">
        <f t="shared" ca="1" si="118"/>
        <v/>
      </c>
      <c r="AC52" s="16" t="str">
        <f t="shared" ca="1" si="118"/>
        <v/>
      </c>
      <c r="AD52" s="16" t="str">
        <f t="shared" ca="1" si="118"/>
        <v/>
      </c>
      <c r="AE52" s="16" t="str">
        <f t="shared" ca="1" si="118"/>
        <v/>
      </c>
      <c r="AF52" s="16" t="str">
        <f t="shared" ca="1" si="118"/>
        <v/>
      </c>
      <c r="AG52" s="16" t="str">
        <f t="shared" ca="1" si="118"/>
        <v/>
      </c>
      <c r="AH52" s="16" t="str">
        <f t="shared" ca="1" si="118"/>
        <v/>
      </c>
      <c r="AI52" s="16" t="str">
        <f ca="1">IF(AND(COUNTIF(AI$9:AI$18,"12")&gt;=1,COUNTIF(AI$9:AI$18,"4")&gt;=1,COUNTIF(AI$9:AI$18,"8")&gt;=1),"","!")</f>
        <v/>
      </c>
      <c r="AP52" s="5"/>
      <c r="AQ52" s="5"/>
      <c r="AR52" s="5"/>
      <c r="AS52" s="5"/>
      <c r="AT52" s="5"/>
      <c r="AU52" s="5"/>
      <c r="AV52" s="5"/>
      <c r="AW52" s="5"/>
    </row>
    <row r="53" spans="1:49" x14ac:dyDescent="0.25">
      <c r="A53" s="134"/>
      <c r="B53" t="str">
        <f>$A$19</f>
        <v>Должность2</v>
      </c>
      <c r="E53" s="5" t="str">
        <f ca="1">IF(AND(COUNTIF(E$19:E$28,"12")&gt;=1,COUNTIF(E$19:E$28,"4")&gt;=1,COUNTIF(E$19:E$28,"8")&gt;=1),"","!")</f>
        <v/>
      </c>
      <c r="F53" s="5" t="str">
        <f t="shared" ref="F53:AI53" ca="1" si="119">IF(AND(COUNTIF(F$19:F$28,"12")&gt;=1,COUNTIF(F$19:F$28,"4")&gt;=1,COUNTIF(F$19:F$28,"8")&gt;=1),"","!")</f>
        <v/>
      </c>
      <c r="G53" s="5" t="str">
        <f t="shared" ca="1" si="119"/>
        <v>!</v>
      </c>
      <c r="H53" s="5" t="str">
        <f t="shared" ca="1" si="119"/>
        <v/>
      </c>
      <c r="I53" s="5" t="str">
        <f t="shared" ca="1" si="119"/>
        <v>!</v>
      </c>
      <c r="J53" s="5" t="str">
        <f t="shared" ca="1" si="119"/>
        <v/>
      </c>
      <c r="K53" s="5" t="str">
        <f t="shared" ca="1" si="119"/>
        <v/>
      </c>
      <c r="L53" s="5" t="str">
        <f t="shared" ca="1" si="119"/>
        <v/>
      </c>
      <c r="M53" s="5" t="str">
        <f t="shared" ca="1" si="119"/>
        <v/>
      </c>
      <c r="N53" s="5" t="str">
        <f t="shared" ca="1" si="119"/>
        <v/>
      </c>
      <c r="O53" s="5" t="str">
        <f t="shared" ca="1" si="119"/>
        <v/>
      </c>
      <c r="P53" s="5" t="str">
        <f t="shared" ca="1" si="119"/>
        <v/>
      </c>
      <c r="Q53" s="5" t="str">
        <f t="shared" ca="1" si="119"/>
        <v/>
      </c>
      <c r="R53" s="5" t="str">
        <f t="shared" ca="1" si="119"/>
        <v/>
      </c>
      <c r="S53" s="5" t="str">
        <f t="shared" ca="1" si="119"/>
        <v/>
      </c>
      <c r="T53" s="5" t="str">
        <f t="shared" ca="1" si="119"/>
        <v/>
      </c>
      <c r="U53" s="5" t="str">
        <f t="shared" ca="1" si="119"/>
        <v/>
      </c>
      <c r="V53" s="5" t="str">
        <f t="shared" ca="1" si="119"/>
        <v/>
      </c>
      <c r="W53" s="5" t="str">
        <f t="shared" ca="1" si="119"/>
        <v/>
      </c>
      <c r="X53" s="5" t="str">
        <f t="shared" ca="1" si="119"/>
        <v/>
      </c>
      <c r="Y53" s="5" t="str">
        <f t="shared" ca="1" si="119"/>
        <v/>
      </c>
      <c r="Z53" s="5" t="str">
        <f t="shared" ca="1" si="119"/>
        <v/>
      </c>
      <c r="AA53" s="5" t="str">
        <f t="shared" ca="1" si="119"/>
        <v/>
      </c>
      <c r="AB53" s="5" t="str">
        <f t="shared" ca="1" si="119"/>
        <v/>
      </c>
      <c r="AC53" s="5" t="str">
        <f t="shared" ca="1" si="119"/>
        <v/>
      </c>
      <c r="AD53" s="5" t="str">
        <f t="shared" ca="1" si="119"/>
        <v/>
      </c>
      <c r="AE53" s="5" t="str">
        <f t="shared" ca="1" si="119"/>
        <v/>
      </c>
      <c r="AF53" s="5" t="str">
        <f t="shared" ca="1" si="119"/>
        <v/>
      </c>
      <c r="AG53" s="5" t="str">
        <f t="shared" ca="1" si="119"/>
        <v/>
      </c>
      <c r="AH53" s="5" t="str">
        <f t="shared" ca="1" si="119"/>
        <v/>
      </c>
      <c r="AI53" s="5" t="str">
        <f t="shared" ca="1" si="119"/>
        <v/>
      </c>
      <c r="AP53" s="5"/>
      <c r="AQ53" s="5"/>
      <c r="AR53" s="5"/>
      <c r="AS53" s="5"/>
      <c r="AT53" s="5"/>
      <c r="AU53" s="5"/>
      <c r="AV53" s="5"/>
      <c r="AW53" s="5"/>
    </row>
    <row r="54" spans="1:49" x14ac:dyDescent="0.25">
      <c r="A54" s="134"/>
      <c r="B54" t="str">
        <f>$A$29</f>
        <v>Должность3</v>
      </c>
      <c r="E54" s="5" t="str">
        <f ca="1">IF(AND(COUNTIF(E$29:E$38,"12")&gt;=1,COUNTIF(E$29:E$38,"4")&gt;=1,COUNTIF(E$29:E$38,"8")&gt;=1),"","!")</f>
        <v/>
      </c>
      <c r="F54" s="5" t="str">
        <f t="shared" ref="F54:AI54" ca="1" si="120">IF(AND(COUNTIF(F$29:F$38,"12")&gt;=1,COUNTIF(F$29:F$38,"4")&gt;=1,COUNTIF(F$29:F$38,"8")&gt;=1),"","!")</f>
        <v/>
      </c>
      <c r="G54" s="5" t="str">
        <f t="shared" ca="1" si="120"/>
        <v>!</v>
      </c>
      <c r="H54" s="5" t="str">
        <f t="shared" ca="1" si="120"/>
        <v/>
      </c>
      <c r="I54" s="5" t="str">
        <f t="shared" ca="1" si="120"/>
        <v>!</v>
      </c>
      <c r="J54" s="5" t="str">
        <f t="shared" ca="1" si="120"/>
        <v/>
      </c>
      <c r="K54" s="5" t="str">
        <f t="shared" ca="1" si="120"/>
        <v/>
      </c>
      <c r="L54" s="5" t="str">
        <f t="shared" ca="1" si="120"/>
        <v/>
      </c>
      <c r="M54" s="5" t="str">
        <f t="shared" ca="1" si="120"/>
        <v/>
      </c>
      <c r="N54" s="5" t="str">
        <f t="shared" ca="1" si="120"/>
        <v/>
      </c>
      <c r="O54" s="5" t="str">
        <f t="shared" ca="1" si="120"/>
        <v/>
      </c>
      <c r="P54" s="5" t="str">
        <f t="shared" ca="1" si="120"/>
        <v/>
      </c>
      <c r="Q54" s="5" t="str">
        <f t="shared" ca="1" si="120"/>
        <v/>
      </c>
      <c r="R54" s="5" t="str">
        <f t="shared" ca="1" si="120"/>
        <v/>
      </c>
      <c r="S54" s="5" t="str">
        <f t="shared" ca="1" si="120"/>
        <v/>
      </c>
      <c r="T54" s="5" t="str">
        <f t="shared" ca="1" si="120"/>
        <v/>
      </c>
      <c r="U54" s="5" t="str">
        <f t="shared" ca="1" si="120"/>
        <v/>
      </c>
      <c r="V54" s="5" t="str">
        <f t="shared" ca="1" si="120"/>
        <v/>
      </c>
      <c r="W54" s="5" t="str">
        <f t="shared" ca="1" si="120"/>
        <v/>
      </c>
      <c r="X54" s="5" t="str">
        <f t="shared" ca="1" si="120"/>
        <v/>
      </c>
      <c r="Y54" s="5" t="str">
        <f t="shared" ca="1" si="120"/>
        <v/>
      </c>
      <c r="Z54" s="5" t="str">
        <f t="shared" ca="1" si="120"/>
        <v/>
      </c>
      <c r="AA54" s="5" t="str">
        <f t="shared" ca="1" si="120"/>
        <v/>
      </c>
      <c r="AB54" s="5" t="str">
        <f t="shared" ca="1" si="120"/>
        <v/>
      </c>
      <c r="AC54" s="5" t="str">
        <f t="shared" ca="1" si="120"/>
        <v/>
      </c>
      <c r="AD54" s="5" t="str">
        <f t="shared" ca="1" si="120"/>
        <v/>
      </c>
      <c r="AE54" s="5" t="str">
        <f t="shared" ca="1" si="120"/>
        <v/>
      </c>
      <c r="AF54" s="5" t="str">
        <f t="shared" ca="1" si="120"/>
        <v/>
      </c>
      <c r="AG54" s="5" t="str">
        <f t="shared" ca="1" si="120"/>
        <v/>
      </c>
      <c r="AH54" s="5" t="str">
        <f t="shared" ca="1" si="120"/>
        <v/>
      </c>
      <c r="AI54" s="5" t="str">
        <f t="shared" ca="1" si="120"/>
        <v/>
      </c>
      <c r="AP54" s="5"/>
      <c r="AQ54" s="5"/>
      <c r="AR54" s="5"/>
      <c r="AS54" s="5"/>
      <c r="AT54" s="5"/>
      <c r="AU54" s="5"/>
      <c r="AV54" s="5"/>
      <c r="AW54" s="5"/>
    </row>
    <row r="55" spans="1:49" x14ac:dyDescent="0.25">
      <c r="A55" s="134"/>
      <c r="B55" t="str">
        <f>$A$39</f>
        <v>Должность4</v>
      </c>
      <c r="E55" s="5" t="str">
        <f ca="1">IF(AND(COUNTIF(E$39:E$48,"12")&gt;=1,COUNTIF(E$39:E$48,"4")&gt;=1,COUNTIF(E$39:E$48,"8")&gt;=1),"","!")</f>
        <v/>
      </c>
      <c r="F55" s="5" t="str">
        <f t="shared" ref="F55:AI55" ca="1" si="121">IF(AND(COUNTIF(F$39:F$48,"12")&gt;=1,COUNTIF(F$39:F$48,"4")&gt;=1,COUNTIF(F$39:F$48,"8")&gt;=1),"","!")</f>
        <v/>
      </c>
      <c r="G55" s="5" t="str">
        <f t="shared" ca="1" si="121"/>
        <v>!</v>
      </c>
      <c r="H55" s="5" t="str">
        <f t="shared" ca="1" si="121"/>
        <v/>
      </c>
      <c r="I55" s="5" t="str">
        <f t="shared" ca="1" si="121"/>
        <v>!</v>
      </c>
      <c r="J55" s="5" t="str">
        <f t="shared" ca="1" si="121"/>
        <v/>
      </c>
      <c r="K55" s="5" t="str">
        <f t="shared" ca="1" si="121"/>
        <v/>
      </c>
      <c r="L55" s="5" t="str">
        <f t="shared" ca="1" si="121"/>
        <v/>
      </c>
      <c r="M55" s="5" t="str">
        <f t="shared" ca="1" si="121"/>
        <v/>
      </c>
      <c r="N55" s="5" t="str">
        <f t="shared" ca="1" si="121"/>
        <v/>
      </c>
      <c r="O55" s="5" t="str">
        <f t="shared" ca="1" si="121"/>
        <v/>
      </c>
      <c r="P55" s="5" t="str">
        <f t="shared" ca="1" si="121"/>
        <v/>
      </c>
      <c r="Q55" s="5" t="str">
        <f t="shared" ca="1" si="121"/>
        <v/>
      </c>
      <c r="R55" s="5" t="str">
        <f t="shared" ca="1" si="121"/>
        <v/>
      </c>
      <c r="S55" s="5" t="str">
        <f t="shared" ca="1" si="121"/>
        <v/>
      </c>
      <c r="T55" s="5" t="str">
        <f t="shared" ca="1" si="121"/>
        <v/>
      </c>
      <c r="U55" s="5" t="str">
        <f t="shared" ca="1" si="121"/>
        <v/>
      </c>
      <c r="V55" s="5" t="str">
        <f t="shared" ca="1" si="121"/>
        <v/>
      </c>
      <c r="W55" s="5" t="str">
        <f t="shared" ca="1" si="121"/>
        <v/>
      </c>
      <c r="X55" s="5" t="str">
        <f t="shared" ca="1" si="121"/>
        <v/>
      </c>
      <c r="Y55" s="5" t="str">
        <f t="shared" ca="1" si="121"/>
        <v/>
      </c>
      <c r="Z55" s="5" t="str">
        <f t="shared" ca="1" si="121"/>
        <v/>
      </c>
      <c r="AA55" s="5" t="str">
        <f t="shared" ca="1" si="121"/>
        <v/>
      </c>
      <c r="AB55" s="5" t="str">
        <f t="shared" ca="1" si="121"/>
        <v/>
      </c>
      <c r="AC55" s="5" t="str">
        <f t="shared" ca="1" si="121"/>
        <v/>
      </c>
      <c r="AD55" s="5" t="str">
        <f t="shared" ca="1" si="121"/>
        <v/>
      </c>
      <c r="AE55" s="5" t="str">
        <f t="shared" ca="1" si="121"/>
        <v/>
      </c>
      <c r="AF55" s="5" t="str">
        <f t="shared" ca="1" si="121"/>
        <v/>
      </c>
      <c r="AG55" s="5" t="str">
        <f t="shared" ca="1" si="121"/>
        <v/>
      </c>
      <c r="AH55" s="5" t="str">
        <f t="shared" ca="1" si="121"/>
        <v/>
      </c>
      <c r="AI55" s="5" t="str">
        <f t="shared" ca="1" si="121"/>
        <v/>
      </c>
      <c r="AP55" s="5"/>
      <c r="AQ55" s="5"/>
      <c r="AR55" s="5"/>
      <c r="AS55" s="5"/>
      <c r="AT55" s="5"/>
      <c r="AU55" s="5"/>
      <c r="AV55" s="5"/>
      <c r="AW55" s="5"/>
    </row>
    <row r="56" spans="1:49" ht="5.45" customHeight="1" x14ac:dyDescent="0.25">
      <c r="A56" s="10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7"/>
      <c r="AI56" s="17"/>
      <c r="AP56" s="5"/>
      <c r="AQ56" s="5"/>
      <c r="AR56" s="5"/>
      <c r="AS56" s="5"/>
      <c r="AT56" s="5"/>
      <c r="AU56" s="5"/>
      <c r="AV56" s="5"/>
      <c r="AW56" s="5"/>
    </row>
    <row r="57" spans="1:49" x14ac:dyDescent="0.25">
      <c r="A57" s="134" t="s">
        <v>10</v>
      </c>
      <c r="B57" t="str">
        <f>$A$9</f>
        <v>Должность1</v>
      </c>
      <c r="E57" s="5" t="str">
        <f ca="1">IF(COUNTIF(E$9:E$18,"12")&gt;1,CONCATENATE("12*",COUNTIF(E$9:E$18,"12")),IF(COUNTIF(E$9:E$18,"4")&gt;1,CONCATENATE("4*",COUNTIF(E$9:E$18,"4")),IF(COUNTIF(E$9:E$18,"8")&gt;1,CONCATENATE("8*",COUNTIF(E$9:E$18,"8")),"")))</f>
        <v/>
      </c>
      <c r="F57" s="5" t="str">
        <f t="shared" ref="F57:AH57" ca="1" si="122">IF(COUNTIF(F$9:F$18,"12")&gt;1,CONCATENATE("12*",COUNTIF(F$9:F$18,"12")),IF(COUNTIF(F$9:F$18,"4")&gt;1,CONCATENATE("4*",COUNTIF(F$9:F$18,"4")),IF(COUNTIF(F$9:F$18,"8")&gt;1,CONCATENATE("8*",COUNTIF(F$9:F$18,"8")),"")))</f>
        <v/>
      </c>
      <c r="G57" s="5" t="str">
        <f t="shared" ca="1" si="122"/>
        <v>8*2</v>
      </c>
      <c r="H57" s="5" t="str">
        <f t="shared" ca="1" si="122"/>
        <v>8*2</v>
      </c>
      <c r="I57" s="5" t="str">
        <f t="shared" ca="1" si="122"/>
        <v>8*2</v>
      </c>
      <c r="J57" s="5" t="str">
        <f t="shared" ca="1" si="122"/>
        <v/>
      </c>
      <c r="K57" s="5" t="str">
        <f t="shared" ca="1" si="122"/>
        <v/>
      </c>
      <c r="L57" s="5" t="str">
        <f t="shared" ca="1" si="122"/>
        <v/>
      </c>
      <c r="M57" s="5" t="str">
        <f t="shared" ca="1" si="122"/>
        <v/>
      </c>
      <c r="N57" s="5" t="str">
        <f t="shared" ca="1" si="122"/>
        <v/>
      </c>
      <c r="O57" s="5" t="str">
        <f t="shared" ca="1" si="122"/>
        <v/>
      </c>
      <c r="P57" s="5" t="str">
        <f t="shared" ca="1" si="122"/>
        <v/>
      </c>
      <c r="Q57" s="5" t="str">
        <f t="shared" ca="1" si="122"/>
        <v/>
      </c>
      <c r="R57" s="5" t="str">
        <f t="shared" ca="1" si="122"/>
        <v/>
      </c>
      <c r="S57" s="5" t="str">
        <f t="shared" ca="1" si="122"/>
        <v/>
      </c>
      <c r="T57" s="5" t="str">
        <f t="shared" ca="1" si="122"/>
        <v/>
      </c>
      <c r="U57" s="5" t="str">
        <f t="shared" ca="1" si="122"/>
        <v/>
      </c>
      <c r="V57" s="5" t="str">
        <f t="shared" ca="1" si="122"/>
        <v/>
      </c>
      <c r="W57" s="5" t="str">
        <f t="shared" ca="1" si="122"/>
        <v/>
      </c>
      <c r="X57" s="5" t="str">
        <f t="shared" ca="1" si="122"/>
        <v/>
      </c>
      <c r="Y57" s="5" t="str">
        <f t="shared" ca="1" si="122"/>
        <v/>
      </c>
      <c r="Z57" s="5" t="str">
        <f t="shared" ca="1" si="122"/>
        <v/>
      </c>
      <c r="AA57" s="5" t="str">
        <f t="shared" ca="1" si="122"/>
        <v/>
      </c>
      <c r="AB57" s="5" t="str">
        <f t="shared" ca="1" si="122"/>
        <v/>
      </c>
      <c r="AC57" s="5" t="str">
        <f t="shared" ca="1" si="122"/>
        <v/>
      </c>
      <c r="AD57" s="5" t="str">
        <f t="shared" ca="1" si="122"/>
        <v/>
      </c>
      <c r="AE57" s="5" t="str">
        <f t="shared" ca="1" si="122"/>
        <v/>
      </c>
      <c r="AF57" s="5" t="str">
        <f t="shared" ca="1" si="122"/>
        <v/>
      </c>
      <c r="AG57" s="5" t="str">
        <f t="shared" ca="1" si="122"/>
        <v/>
      </c>
      <c r="AH57" s="5" t="str">
        <f t="shared" ca="1" si="122"/>
        <v/>
      </c>
      <c r="AI57" s="5" t="str">
        <f ca="1">IF(COUNTIF(AI$9:AI$18,"12")&gt;1,CONCATENATE("12*",COUNTIF(AI$9:AI$18,"12")),IF(COUNTIF(AI$9:AI$18,"4")&gt;1,CONCATENATE("4*",COUNTIF(AI$9:AI$18,"4")),IF(COUNTIF(AI$9:AI$18,"8")&gt;1,CONCATENATE("8*",COUNTIF(AI$9:AI$18,"8")),"")))</f>
        <v/>
      </c>
    </row>
    <row r="58" spans="1:49" x14ac:dyDescent="0.25">
      <c r="A58" s="134"/>
      <c r="B58" t="str">
        <f>$A$19</f>
        <v>Должность2</v>
      </c>
      <c r="E58" s="5" t="str">
        <f ca="1">IF(COUNTIF(E$19:E$28,"12")&gt;1,CONCATENATE("12*",COUNTIF(E$19:E$28,"12")),IF(COUNTIF(E$19:E$28,"4")&gt;1,CONCATENATE("4*",COUNTIF(E$19:E$28,"4")),IF(COUNTIF(E$19:E$28,"8")&gt;1,CONCATENATE("8*",COUNTIF(E$19:E$28,"8")),"")))</f>
        <v/>
      </c>
      <c r="F58" s="5" t="str">
        <f t="shared" ref="F58:AI58" ca="1" si="123">IF(COUNTIF(F$19:F$28,"12")&gt;1,CONCATENATE("12*",COUNTIF(F$19:F$28,"12")),IF(COUNTIF(F$19:F$28,"4")&gt;1,CONCATENATE("4*",COUNTIF(F$19:F$28,"4")),IF(COUNTIF(F$19:F$28,"8")&gt;1,CONCATENATE("8*",COUNTIF(F$19:F$28,"8")),"")))</f>
        <v/>
      </c>
      <c r="G58" s="5" t="str">
        <f t="shared" ca="1" si="123"/>
        <v>8*2</v>
      </c>
      <c r="H58" s="5" t="str">
        <f t="shared" ca="1" si="123"/>
        <v>8*2</v>
      </c>
      <c r="I58" s="5" t="str">
        <f t="shared" ca="1" si="123"/>
        <v>8*2</v>
      </c>
      <c r="J58" s="5" t="str">
        <f t="shared" ca="1" si="123"/>
        <v/>
      </c>
      <c r="K58" s="5" t="str">
        <f t="shared" ca="1" si="123"/>
        <v/>
      </c>
      <c r="L58" s="5" t="str">
        <f t="shared" ca="1" si="123"/>
        <v/>
      </c>
      <c r="M58" s="5" t="str">
        <f t="shared" ca="1" si="123"/>
        <v/>
      </c>
      <c r="N58" s="5" t="str">
        <f t="shared" ca="1" si="123"/>
        <v/>
      </c>
      <c r="O58" s="5" t="str">
        <f t="shared" ca="1" si="123"/>
        <v/>
      </c>
      <c r="P58" s="5" t="str">
        <f t="shared" ca="1" si="123"/>
        <v/>
      </c>
      <c r="Q58" s="5" t="str">
        <f t="shared" ca="1" si="123"/>
        <v/>
      </c>
      <c r="R58" s="5" t="str">
        <f t="shared" ca="1" si="123"/>
        <v/>
      </c>
      <c r="S58" s="5" t="str">
        <f t="shared" ca="1" si="123"/>
        <v/>
      </c>
      <c r="T58" s="5" t="str">
        <f t="shared" ca="1" si="123"/>
        <v/>
      </c>
      <c r="U58" s="5" t="str">
        <f t="shared" ca="1" si="123"/>
        <v/>
      </c>
      <c r="V58" s="5" t="str">
        <f t="shared" ca="1" si="123"/>
        <v/>
      </c>
      <c r="W58" s="5" t="str">
        <f t="shared" ca="1" si="123"/>
        <v/>
      </c>
      <c r="X58" s="5" t="str">
        <f t="shared" ca="1" si="123"/>
        <v/>
      </c>
      <c r="Y58" s="5" t="str">
        <f t="shared" ca="1" si="123"/>
        <v/>
      </c>
      <c r="Z58" s="5" t="str">
        <f t="shared" ca="1" si="123"/>
        <v/>
      </c>
      <c r="AA58" s="5" t="str">
        <f t="shared" ca="1" si="123"/>
        <v/>
      </c>
      <c r="AB58" s="5" t="str">
        <f t="shared" ca="1" si="123"/>
        <v/>
      </c>
      <c r="AC58" s="5" t="str">
        <f t="shared" ca="1" si="123"/>
        <v/>
      </c>
      <c r="AD58" s="5" t="str">
        <f t="shared" ca="1" si="123"/>
        <v/>
      </c>
      <c r="AE58" s="5" t="str">
        <f t="shared" ca="1" si="123"/>
        <v/>
      </c>
      <c r="AF58" s="5" t="str">
        <f t="shared" ca="1" si="123"/>
        <v/>
      </c>
      <c r="AG58" s="5" t="str">
        <f t="shared" ca="1" si="123"/>
        <v/>
      </c>
      <c r="AH58" s="5" t="str">
        <f t="shared" ca="1" si="123"/>
        <v/>
      </c>
      <c r="AI58" s="5" t="str">
        <f t="shared" ca="1" si="123"/>
        <v/>
      </c>
    </row>
    <row r="59" spans="1:49" x14ac:dyDescent="0.25">
      <c r="A59" s="134"/>
      <c r="B59" t="str">
        <f>$A$29</f>
        <v>Должность3</v>
      </c>
      <c r="E59" s="5" t="str">
        <f ca="1">IF(COUNTIF(E$29:E$38,"12")&gt;1,CONCATENATE("12*",COUNTIF(E$29:E$38,"12")),IF(COUNTIF(E$29:E$38,"4")&gt;1,CONCATENATE("4*",COUNTIF(E$29:E$38,"4")),IF(COUNTIF(E$29:E$38,"8")&gt;1,CONCATENATE("8*",COUNTIF(E$29:E$38,"8")),"")))</f>
        <v/>
      </c>
      <c r="F59" s="5" t="str">
        <f t="shared" ref="F59:AI59" ca="1" si="124">IF(COUNTIF(F$29:F$38,"12")&gt;1,CONCATENATE("12*",COUNTIF(F$29:F$38,"12")),IF(COUNTIF(F$29:F$38,"4")&gt;1,CONCATENATE("4*",COUNTIF(F$29:F$38,"4")),IF(COUNTIF(F$29:F$38,"8")&gt;1,CONCATENATE("8*",COUNTIF(F$29:F$38,"8")),"")))</f>
        <v/>
      </c>
      <c r="G59" s="5" t="str">
        <f t="shared" ca="1" si="124"/>
        <v>8*2</v>
      </c>
      <c r="H59" s="5" t="str">
        <f t="shared" ca="1" si="124"/>
        <v>8*2</v>
      </c>
      <c r="I59" s="5" t="str">
        <f t="shared" ca="1" si="124"/>
        <v>8*2</v>
      </c>
      <c r="J59" s="5" t="str">
        <f t="shared" ca="1" si="124"/>
        <v/>
      </c>
      <c r="K59" s="5" t="str">
        <f t="shared" ca="1" si="124"/>
        <v/>
      </c>
      <c r="L59" s="5" t="str">
        <f t="shared" ca="1" si="124"/>
        <v/>
      </c>
      <c r="M59" s="5" t="str">
        <f t="shared" ca="1" si="124"/>
        <v/>
      </c>
      <c r="N59" s="5" t="str">
        <f t="shared" ca="1" si="124"/>
        <v/>
      </c>
      <c r="O59" s="5" t="str">
        <f t="shared" ca="1" si="124"/>
        <v/>
      </c>
      <c r="P59" s="5" t="str">
        <f t="shared" ca="1" si="124"/>
        <v/>
      </c>
      <c r="Q59" s="5" t="str">
        <f t="shared" ca="1" si="124"/>
        <v/>
      </c>
      <c r="R59" s="5" t="str">
        <f t="shared" ca="1" si="124"/>
        <v/>
      </c>
      <c r="S59" s="5" t="str">
        <f t="shared" ca="1" si="124"/>
        <v/>
      </c>
      <c r="T59" s="5" t="str">
        <f t="shared" ca="1" si="124"/>
        <v/>
      </c>
      <c r="U59" s="5" t="str">
        <f t="shared" ca="1" si="124"/>
        <v/>
      </c>
      <c r="V59" s="5" t="str">
        <f t="shared" ca="1" si="124"/>
        <v/>
      </c>
      <c r="W59" s="5" t="str">
        <f t="shared" ca="1" si="124"/>
        <v/>
      </c>
      <c r="X59" s="5" t="str">
        <f t="shared" ca="1" si="124"/>
        <v/>
      </c>
      <c r="Y59" s="5" t="str">
        <f t="shared" ca="1" si="124"/>
        <v/>
      </c>
      <c r="Z59" s="5" t="str">
        <f t="shared" ca="1" si="124"/>
        <v/>
      </c>
      <c r="AA59" s="5" t="str">
        <f t="shared" ca="1" si="124"/>
        <v/>
      </c>
      <c r="AB59" s="5" t="str">
        <f t="shared" ca="1" si="124"/>
        <v/>
      </c>
      <c r="AC59" s="5" t="str">
        <f t="shared" ca="1" si="124"/>
        <v/>
      </c>
      <c r="AD59" s="5" t="str">
        <f t="shared" ca="1" si="124"/>
        <v/>
      </c>
      <c r="AE59" s="5" t="str">
        <f t="shared" ca="1" si="124"/>
        <v/>
      </c>
      <c r="AF59" s="5" t="str">
        <f t="shared" ca="1" si="124"/>
        <v/>
      </c>
      <c r="AG59" s="5" t="str">
        <f t="shared" ca="1" si="124"/>
        <v/>
      </c>
      <c r="AH59" s="5" t="str">
        <f t="shared" ca="1" si="124"/>
        <v/>
      </c>
      <c r="AI59" s="5" t="str">
        <f t="shared" ca="1" si="124"/>
        <v/>
      </c>
    </row>
    <row r="60" spans="1:49" ht="15.75" thickBot="1" x14ac:dyDescent="0.3">
      <c r="A60" s="135"/>
      <c r="B60" s="9" t="str">
        <f>$A$39</f>
        <v>Должность4</v>
      </c>
      <c r="C60" s="9"/>
      <c r="D60" s="9"/>
      <c r="E60" s="18" t="str">
        <f ca="1">IF(COUNTIF(E$39:E$48,"12")&gt;1,CONCATENATE("12*",COUNTIF(E$39:E$48,"12")),IF(COUNTIF(E$39:E$48,"4")&gt;1,CONCATENATE("4*",COUNTIF(E$39:E$48,"4")),IF(COUNTIF(E$39:E$48,"8")&gt;1,CONCATENATE("8*",COUNTIF(E$39:E$48,"8")),"")))</f>
        <v/>
      </c>
      <c r="F60" s="18" t="str">
        <f t="shared" ref="F60:AI60" ca="1" si="125">IF(COUNTIF(F$39:F$48,"12")&gt;1,CONCATENATE("12*",COUNTIF(F$39:F$48,"12")),IF(COUNTIF(F$39:F$48,"4")&gt;1,CONCATENATE("4*",COUNTIF(F$39:F$48,"4")),IF(COUNTIF(F$39:F$48,"8")&gt;1,CONCATENATE("8*",COUNTIF(F$39:F$48,"8")),"")))</f>
        <v/>
      </c>
      <c r="G60" s="18" t="str">
        <f t="shared" ca="1" si="125"/>
        <v>8*2</v>
      </c>
      <c r="H60" s="18" t="str">
        <f t="shared" ca="1" si="125"/>
        <v>8*2</v>
      </c>
      <c r="I60" s="18" t="str">
        <f t="shared" ca="1" si="125"/>
        <v>8*2</v>
      </c>
      <c r="J60" s="18" t="str">
        <f t="shared" ca="1" si="125"/>
        <v/>
      </c>
      <c r="K60" s="18" t="str">
        <f t="shared" ca="1" si="125"/>
        <v/>
      </c>
      <c r="L60" s="18" t="str">
        <f t="shared" ca="1" si="125"/>
        <v/>
      </c>
      <c r="M60" s="18" t="str">
        <f t="shared" ca="1" si="125"/>
        <v/>
      </c>
      <c r="N60" s="18" t="str">
        <f t="shared" ca="1" si="125"/>
        <v/>
      </c>
      <c r="O60" s="18" t="str">
        <f t="shared" ca="1" si="125"/>
        <v/>
      </c>
      <c r="P60" s="18" t="str">
        <f t="shared" ca="1" si="125"/>
        <v/>
      </c>
      <c r="Q60" s="18" t="str">
        <f t="shared" ca="1" si="125"/>
        <v/>
      </c>
      <c r="R60" s="18" t="str">
        <f t="shared" ca="1" si="125"/>
        <v/>
      </c>
      <c r="S60" s="18" t="str">
        <f t="shared" ca="1" si="125"/>
        <v/>
      </c>
      <c r="T60" s="18" t="str">
        <f t="shared" ca="1" si="125"/>
        <v/>
      </c>
      <c r="U60" s="18" t="str">
        <f t="shared" ca="1" si="125"/>
        <v/>
      </c>
      <c r="V60" s="18" t="str">
        <f t="shared" ca="1" si="125"/>
        <v/>
      </c>
      <c r="W60" s="18" t="str">
        <f t="shared" ca="1" si="125"/>
        <v/>
      </c>
      <c r="X60" s="18" t="str">
        <f t="shared" ca="1" si="125"/>
        <v/>
      </c>
      <c r="Y60" s="18" t="str">
        <f t="shared" ca="1" si="125"/>
        <v/>
      </c>
      <c r="Z60" s="18" t="str">
        <f t="shared" ca="1" si="125"/>
        <v/>
      </c>
      <c r="AA60" s="18" t="str">
        <f t="shared" ca="1" si="125"/>
        <v/>
      </c>
      <c r="AB60" s="18" t="str">
        <f t="shared" ca="1" si="125"/>
        <v/>
      </c>
      <c r="AC60" s="18" t="str">
        <f t="shared" ca="1" si="125"/>
        <v/>
      </c>
      <c r="AD60" s="18" t="str">
        <f t="shared" ca="1" si="125"/>
        <v/>
      </c>
      <c r="AE60" s="18" t="str">
        <f t="shared" ca="1" si="125"/>
        <v/>
      </c>
      <c r="AF60" s="18" t="str">
        <f t="shared" ca="1" si="125"/>
        <v/>
      </c>
      <c r="AG60" s="18" t="str">
        <f t="shared" ca="1" si="125"/>
        <v/>
      </c>
      <c r="AH60" s="18" t="str">
        <f t="shared" ca="1" si="125"/>
        <v/>
      </c>
      <c r="AI60" s="18" t="str">
        <f t="shared" ca="1" si="125"/>
        <v/>
      </c>
    </row>
    <row r="61" spans="1:49" ht="22.5" customHeight="1" x14ac:dyDescent="0.25"/>
  </sheetData>
  <autoFilter ref="AP8:AX48" xr:uid="{00000000-0009-0000-0000-000000000000}"/>
  <mergeCells count="316">
    <mergeCell ref="AL47:AL48"/>
    <mergeCell ref="AM47:AM48"/>
    <mergeCell ref="AM27:AM28"/>
    <mergeCell ref="AL29:AL30"/>
    <mergeCell ref="AM29:AM30"/>
    <mergeCell ref="AL31:AL32"/>
    <mergeCell ref="AM31:AM32"/>
    <mergeCell ref="AL33:AL34"/>
    <mergeCell ref="AM33:AM34"/>
    <mergeCell ref="AL35:AL36"/>
    <mergeCell ref="AM35:AM36"/>
    <mergeCell ref="D50:H50"/>
    <mergeCell ref="J50:L50"/>
    <mergeCell ref="N50:Q50"/>
    <mergeCell ref="S50:AC50"/>
    <mergeCell ref="AE50:AK50"/>
    <mergeCell ref="AL9:AL10"/>
    <mergeCell ref="AM9:AM10"/>
    <mergeCell ref="AL11:AL12"/>
    <mergeCell ref="AM11:AM12"/>
    <mergeCell ref="AL13:AL14"/>
    <mergeCell ref="AM13:AM14"/>
    <mergeCell ref="AL15:AL16"/>
    <mergeCell ref="AM15:AM16"/>
    <mergeCell ref="AL17:AL18"/>
    <mergeCell ref="AM17:AM18"/>
    <mergeCell ref="AL19:AL20"/>
    <mergeCell ref="AM19:AM20"/>
    <mergeCell ref="AL21:AL22"/>
    <mergeCell ref="AM21:AM22"/>
    <mergeCell ref="AL23:AL24"/>
    <mergeCell ref="AM23:AM24"/>
    <mergeCell ref="AL25:AL26"/>
    <mergeCell ref="AM25:AM26"/>
    <mergeCell ref="AL27:AL28"/>
    <mergeCell ref="A57:A60"/>
    <mergeCell ref="AT47:AT48"/>
    <mergeCell ref="AU47:AU48"/>
    <mergeCell ref="AV47:AV48"/>
    <mergeCell ref="AW47:AW48"/>
    <mergeCell ref="AX47:AX48"/>
    <mergeCell ref="A52:A55"/>
    <mergeCell ref="AW45:AW46"/>
    <mergeCell ref="AX45:AX46"/>
    <mergeCell ref="B47:B48"/>
    <mergeCell ref="C47:C48"/>
    <mergeCell ref="AJ47:AJ48"/>
    <mergeCell ref="AK47:AK48"/>
    <mergeCell ref="AP47:AP48"/>
    <mergeCell ref="AQ47:AQ48"/>
    <mergeCell ref="AR47:AR48"/>
    <mergeCell ref="AS47:AS48"/>
    <mergeCell ref="AQ45:AQ46"/>
    <mergeCell ref="AR45:AR46"/>
    <mergeCell ref="AS45:AS46"/>
    <mergeCell ref="AT45:AT46"/>
    <mergeCell ref="AU45:AU46"/>
    <mergeCell ref="AV45:AV46"/>
    <mergeCell ref="A39:A48"/>
    <mergeCell ref="AT43:AT44"/>
    <mergeCell ref="AU43:AU44"/>
    <mergeCell ref="AV43:AV44"/>
    <mergeCell ref="AW43:AW44"/>
    <mergeCell ref="AX43:AX44"/>
    <mergeCell ref="B45:B46"/>
    <mergeCell ref="C45:C46"/>
    <mergeCell ref="AJ45:AJ46"/>
    <mergeCell ref="AK45:AK46"/>
    <mergeCell ref="AP45:AP46"/>
    <mergeCell ref="AL43:AL44"/>
    <mergeCell ref="AM43:AM44"/>
    <mergeCell ref="AL45:AL46"/>
    <mergeCell ref="AM45:AM46"/>
    <mergeCell ref="AT39:AT40"/>
    <mergeCell ref="AU39:AU40"/>
    <mergeCell ref="AV39:AV40"/>
    <mergeCell ref="AW39:AW40"/>
    <mergeCell ref="AX39:AX40"/>
    <mergeCell ref="B41:B42"/>
    <mergeCell ref="C41:C42"/>
    <mergeCell ref="AJ41:AJ42"/>
    <mergeCell ref="AK41:AK42"/>
    <mergeCell ref="AP41:AP42"/>
    <mergeCell ref="AW41:AW42"/>
    <mergeCell ref="AX41:AX42"/>
    <mergeCell ref="AQ41:AQ42"/>
    <mergeCell ref="AR41:AR42"/>
    <mergeCell ref="AS41:AS42"/>
    <mergeCell ref="AT41:AT42"/>
    <mergeCell ref="AU41:AU42"/>
    <mergeCell ref="AV41:AV42"/>
    <mergeCell ref="B39:B40"/>
    <mergeCell ref="C39:C40"/>
    <mergeCell ref="AJ39:AJ40"/>
    <mergeCell ref="AK39:AK40"/>
    <mergeCell ref="AP39:AP40"/>
    <mergeCell ref="AQ39:AQ40"/>
    <mergeCell ref="AR39:AR40"/>
    <mergeCell ref="AS39:AS40"/>
    <mergeCell ref="B43:B44"/>
    <mergeCell ref="C43:C44"/>
    <mergeCell ref="AJ43:AJ44"/>
    <mergeCell ref="AK43:AK44"/>
    <mergeCell ref="AP43:AP44"/>
    <mergeCell ref="AQ43:AQ44"/>
    <mergeCell ref="AR43:AR44"/>
    <mergeCell ref="AS43:AS44"/>
    <mergeCell ref="AL39:AL40"/>
    <mergeCell ref="AM39:AM40"/>
    <mergeCell ref="AL41:AL42"/>
    <mergeCell ref="AM41:AM42"/>
    <mergeCell ref="AK33:AK34"/>
    <mergeCell ref="AP33:AP34"/>
    <mergeCell ref="AQ33:AQ34"/>
    <mergeCell ref="AU35:AU36"/>
    <mergeCell ref="AV35:AV36"/>
    <mergeCell ref="AW35:AW36"/>
    <mergeCell ref="AX35:AX36"/>
    <mergeCell ref="B37:B38"/>
    <mergeCell ref="C37:C38"/>
    <mergeCell ref="AJ37:AJ38"/>
    <mergeCell ref="AK37:AK38"/>
    <mergeCell ref="AP37:AP38"/>
    <mergeCell ref="AQ37:AQ38"/>
    <mergeCell ref="AX37:AX38"/>
    <mergeCell ref="AR37:AR38"/>
    <mergeCell ref="AS37:AS38"/>
    <mergeCell ref="AT37:AT38"/>
    <mergeCell ref="AU37:AU38"/>
    <mergeCell ref="AV37:AV38"/>
    <mergeCell ref="AW37:AW38"/>
    <mergeCell ref="AL37:AL38"/>
    <mergeCell ref="AM37:AM38"/>
    <mergeCell ref="AW29:AW30"/>
    <mergeCell ref="AX29:AX30"/>
    <mergeCell ref="AS29:AS30"/>
    <mergeCell ref="AT29:AT30"/>
    <mergeCell ref="AU29:AU30"/>
    <mergeCell ref="AX33:AX34"/>
    <mergeCell ref="B35:B36"/>
    <mergeCell ref="C35:C36"/>
    <mergeCell ref="AJ35:AJ36"/>
    <mergeCell ref="AK35:AK36"/>
    <mergeCell ref="AP35:AP36"/>
    <mergeCell ref="AQ35:AQ36"/>
    <mergeCell ref="AR35:AR36"/>
    <mergeCell ref="AS35:AS36"/>
    <mergeCell ref="AT35:AT36"/>
    <mergeCell ref="AR33:AR34"/>
    <mergeCell ref="AS33:AS34"/>
    <mergeCell ref="AT33:AT34"/>
    <mergeCell ref="AU33:AU34"/>
    <mergeCell ref="AV33:AV34"/>
    <mergeCell ref="AW33:AW34"/>
    <mergeCell ref="B33:B34"/>
    <mergeCell ref="C33:C34"/>
    <mergeCell ref="AJ33:AJ34"/>
    <mergeCell ref="AW27:AW28"/>
    <mergeCell ref="AX27:AX28"/>
    <mergeCell ref="A29:A38"/>
    <mergeCell ref="B29:B30"/>
    <mergeCell ref="C29:C30"/>
    <mergeCell ref="AJ29:AJ30"/>
    <mergeCell ref="AK29:AK30"/>
    <mergeCell ref="B31:B32"/>
    <mergeCell ref="C31:C32"/>
    <mergeCell ref="AJ31:AJ32"/>
    <mergeCell ref="AK31:AK32"/>
    <mergeCell ref="AP31:AP32"/>
    <mergeCell ref="AQ31:AQ32"/>
    <mergeCell ref="AR31:AR32"/>
    <mergeCell ref="AP29:AP30"/>
    <mergeCell ref="AQ29:AQ30"/>
    <mergeCell ref="AR29:AR30"/>
    <mergeCell ref="AS31:AS32"/>
    <mergeCell ref="AT31:AT32"/>
    <mergeCell ref="AU31:AU32"/>
    <mergeCell ref="AV31:AV32"/>
    <mergeCell ref="AW31:AW32"/>
    <mergeCell ref="AX31:AX32"/>
    <mergeCell ref="AV29:AV30"/>
    <mergeCell ref="AS27:AS28"/>
    <mergeCell ref="AQ25:AQ26"/>
    <mergeCell ref="AR25:AR26"/>
    <mergeCell ref="AS25:AS26"/>
    <mergeCell ref="AT25:AT26"/>
    <mergeCell ref="AU25:AU26"/>
    <mergeCell ref="AV25:AV26"/>
    <mergeCell ref="AT27:AT28"/>
    <mergeCell ref="AU27:AU28"/>
    <mergeCell ref="AV27:AV28"/>
    <mergeCell ref="AT23:AT24"/>
    <mergeCell ref="AU23:AU24"/>
    <mergeCell ref="AV23:AV24"/>
    <mergeCell ref="AW23:AW24"/>
    <mergeCell ref="AX23:AX24"/>
    <mergeCell ref="B25:B26"/>
    <mergeCell ref="C25:C26"/>
    <mergeCell ref="AJ25:AJ26"/>
    <mergeCell ref="AK25:AK26"/>
    <mergeCell ref="AP25:AP26"/>
    <mergeCell ref="AW25:AW26"/>
    <mergeCell ref="AX25:AX26"/>
    <mergeCell ref="AT19:AT20"/>
    <mergeCell ref="AU19:AU20"/>
    <mergeCell ref="AV19:AV20"/>
    <mergeCell ref="AW19:AW20"/>
    <mergeCell ref="AX19:AX20"/>
    <mergeCell ref="B21:B22"/>
    <mergeCell ref="C21:C22"/>
    <mergeCell ref="AJ21:AJ22"/>
    <mergeCell ref="AK21:AK22"/>
    <mergeCell ref="AP21:AP22"/>
    <mergeCell ref="AW21:AW22"/>
    <mergeCell ref="AX21:AX22"/>
    <mergeCell ref="AQ21:AQ22"/>
    <mergeCell ref="AR21:AR22"/>
    <mergeCell ref="AS21:AS22"/>
    <mergeCell ref="AT21:AT22"/>
    <mergeCell ref="AU21:AU22"/>
    <mergeCell ref="AV21:AV22"/>
    <mergeCell ref="A19:A28"/>
    <mergeCell ref="B19:B20"/>
    <mergeCell ref="C19:C20"/>
    <mergeCell ref="AJ19:AJ20"/>
    <mergeCell ref="AK19:AK20"/>
    <mergeCell ref="AP19:AP20"/>
    <mergeCell ref="AQ19:AQ20"/>
    <mergeCell ref="AR19:AR20"/>
    <mergeCell ref="AS19:AS20"/>
    <mergeCell ref="B23:B24"/>
    <mergeCell ref="C23:C24"/>
    <mergeCell ref="AJ23:AJ24"/>
    <mergeCell ref="AK23:AK24"/>
    <mergeCell ref="AP23:AP24"/>
    <mergeCell ref="AQ23:AQ24"/>
    <mergeCell ref="AR23:AR24"/>
    <mergeCell ref="AS23:AS24"/>
    <mergeCell ref="B27:B28"/>
    <mergeCell ref="C27:C28"/>
    <mergeCell ref="AJ27:AJ28"/>
    <mergeCell ref="AK27:AK28"/>
    <mergeCell ref="AP27:AP28"/>
    <mergeCell ref="AQ27:AQ28"/>
    <mergeCell ref="AR27:AR28"/>
    <mergeCell ref="AU15:AU16"/>
    <mergeCell ref="AV15:AV16"/>
    <mergeCell ref="AW15:AW16"/>
    <mergeCell ref="AX15:AX16"/>
    <mergeCell ref="B17:B18"/>
    <mergeCell ref="C17:C18"/>
    <mergeCell ref="AJ17:AJ18"/>
    <mergeCell ref="AK17:AK18"/>
    <mergeCell ref="AP17:AP18"/>
    <mergeCell ref="AQ17:AQ18"/>
    <mergeCell ref="AX17:AX18"/>
    <mergeCell ref="AR17:AR18"/>
    <mergeCell ref="AS17:AS18"/>
    <mergeCell ref="AT17:AT18"/>
    <mergeCell ref="AU17:AU18"/>
    <mergeCell ref="AV17:AV18"/>
    <mergeCell ref="AW17:AW18"/>
    <mergeCell ref="AX11:AX12"/>
    <mergeCell ref="AV9:AV10"/>
    <mergeCell ref="AW9:AW10"/>
    <mergeCell ref="AX9:AX10"/>
    <mergeCell ref="AS9:AS10"/>
    <mergeCell ref="AT9:AT10"/>
    <mergeCell ref="AU9:AU10"/>
    <mergeCell ref="AX13:AX14"/>
    <mergeCell ref="B15:B16"/>
    <mergeCell ref="C15:C16"/>
    <mergeCell ref="AJ15:AJ16"/>
    <mergeCell ref="AK15:AK16"/>
    <mergeCell ref="AP15:AP16"/>
    <mergeCell ref="AQ15:AQ16"/>
    <mergeCell ref="AR15:AR16"/>
    <mergeCell ref="AS15:AS16"/>
    <mergeCell ref="AT15:AT16"/>
    <mergeCell ref="AR13:AR14"/>
    <mergeCell ref="AS13:AS14"/>
    <mergeCell ref="AT13:AT14"/>
    <mergeCell ref="AU13:AU14"/>
    <mergeCell ref="AV13:AV14"/>
    <mergeCell ref="AW13:AW14"/>
    <mergeCell ref="B13:B14"/>
    <mergeCell ref="AR11:AR12"/>
    <mergeCell ref="AP9:AP10"/>
    <mergeCell ref="AQ9:AQ10"/>
    <mergeCell ref="AR9:AR10"/>
    <mergeCell ref="AS11:AS12"/>
    <mergeCell ref="AT11:AT12"/>
    <mergeCell ref="AU11:AU12"/>
    <mergeCell ref="AV11:AV12"/>
    <mergeCell ref="AW11:AW12"/>
    <mergeCell ref="A1:AJ1"/>
    <mergeCell ref="AP1:AQ1"/>
    <mergeCell ref="AP2:AQ2"/>
    <mergeCell ref="A3:AJ3"/>
    <mergeCell ref="AP3:AQ3"/>
    <mergeCell ref="A9:A18"/>
    <mergeCell ref="B9:B10"/>
    <mergeCell ref="C9:C10"/>
    <mergeCell ref="AJ9:AJ10"/>
    <mergeCell ref="AK9:AK10"/>
    <mergeCell ref="B11:B12"/>
    <mergeCell ref="C11:C12"/>
    <mergeCell ref="AJ11:AJ12"/>
    <mergeCell ref="AK11:AK12"/>
    <mergeCell ref="AP11:AP12"/>
    <mergeCell ref="AQ11:AQ12"/>
    <mergeCell ref="C13:C14"/>
    <mergeCell ref="AJ13:AJ14"/>
    <mergeCell ref="AK13:AK14"/>
    <mergeCell ref="AP13:AP14"/>
    <mergeCell ref="AQ13:AQ14"/>
  </mergeCells>
  <conditionalFormatting sqref="AU9:AU48">
    <cfRule type="cellIs" dxfId="145" priority="17" operator="equal">
      <formula>"-"</formula>
    </cfRule>
  </conditionalFormatting>
  <conditionalFormatting sqref="E52:E55">
    <cfRule type="cellIs" dxfId="144" priority="16" operator="equal">
      <formula>"-"</formula>
    </cfRule>
  </conditionalFormatting>
  <conditionalFormatting sqref="F52:AI55">
    <cfRule type="cellIs" dxfId="143" priority="15" operator="equal">
      <formula>"-"</formula>
    </cfRule>
  </conditionalFormatting>
  <conditionalFormatting sqref="AI9:AI48">
    <cfRule type="cellIs" dxfId="142" priority="11" operator="equal">
      <formula>"Д"</formula>
    </cfRule>
    <cfRule type="cellIs" dxfId="141" priority="12" operator="equal">
      <formula>"СП"</formula>
    </cfRule>
    <cfRule type="cellIs" dxfId="140" priority="13" operator="equal">
      <formula>"ОТ"</formula>
    </cfRule>
  </conditionalFormatting>
  <conditionalFormatting sqref="E9:AH48">
    <cfRule type="cellIs" dxfId="139" priority="1" operator="equal">
      <formula>"В"</formula>
    </cfRule>
    <cfRule type="cellIs" dxfId="138" priority="2" operator="equal">
      <formula>"ПЗ"</formula>
    </cfRule>
    <cfRule type="cellIs" dxfId="137" priority="3" operator="equal">
      <formula>"ПК"</formula>
    </cfRule>
    <cfRule type="containsText" dxfId="136" priority="4" operator="containsText" text="Б">
      <formula>NOT(ISERROR(SEARCH("Б",E9)))</formula>
    </cfRule>
    <cfRule type="expression" dxfId="135" priority="9">
      <formula>E9=0</formula>
    </cfRule>
  </conditionalFormatting>
  <conditionalFormatting sqref="E9:AH48">
    <cfRule type="expression" dxfId="134" priority="5">
      <formula>AND(INDIRECT(ADDRESS(ROW(),COLUMN()))=8,INDIRECT(ADDRESS(ROW(),COLUMN()))="СП")</formula>
    </cfRule>
    <cfRule type="cellIs" dxfId="133" priority="7" operator="equal">
      <formula>"СП"</formula>
    </cfRule>
    <cfRule type="cellIs" dxfId="132" priority="8" operator="equal">
      <formula>"ОТ"</formula>
    </cfRule>
  </conditionalFormatting>
  <conditionalFormatting sqref="E8:AH48">
    <cfRule type="cellIs" dxfId="131" priority="6" operator="equal">
      <formula>"Д"</formula>
    </cfRule>
  </conditionalFormatting>
  <pageMargins left="0.25" right="0.25" top="0.75" bottom="0.75" header="0.3" footer="0.3"/>
  <pageSetup paperSize="9" scale="6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01" id="{0E2381D9-60D6-46DA-964A-D3F96B50C7A4}">
            <xm:f>OR(AND(WEEKDAY(E$8,2)&gt;5,E$6=1),ISNUMBER(MATCH(E$8,Подключения!$A$2:$A$1039,0)))</xm:f>
            <x14:dxf>
              <fill>
                <patternFill>
                  <bgColor theme="0" tint="-0.14996795556505021"/>
                </patternFill>
              </fill>
            </x14:dxf>
          </x14:cfRule>
          <xm:sqref>E8:AI48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91A77-57A5-4CA2-81E4-10E45A7AACD8}">
  <sheetPr codeName="Лист15">
    <tabColor theme="9" tint="0.79998168889431442"/>
    <pageSetUpPr fitToPage="1"/>
  </sheetPr>
  <dimension ref="A1:AX60"/>
  <sheetViews>
    <sheetView zoomScale="70" zoomScaleNormal="70" workbookViewId="0">
      <pane xSplit="3" ySplit="8" topLeftCell="D9" activePane="bottomRight" state="frozen"/>
      <selection activeCell="AM19" sqref="AM19:AM20"/>
      <selection pane="topRight" activeCell="AM19" sqref="AM19:AM20"/>
      <selection pane="bottomLeft" activeCell="AM19" sqref="AM19:AM20"/>
      <selection pane="bottomRight" activeCell="D2" sqref="D1:D1048576"/>
    </sheetView>
  </sheetViews>
  <sheetFormatPr defaultRowHeight="15" x14ac:dyDescent="0.25"/>
  <cols>
    <col min="1" max="1" width="9.140625" customWidth="1"/>
    <col min="2" max="2" width="28" customWidth="1"/>
    <col min="3" max="3" width="4.7109375" customWidth="1"/>
    <col min="4" max="4" width="2.85546875" hidden="1" customWidth="1"/>
    <col min="5" max="5" width="5.42578125" customWidth="1"/>
    <col min="6" max="34" width="5" customWidth="1"/>
    <col min="35" max="35" width="4.85546875" hidden="1" customWidth="1"/>
    <col min="36" max="37" width="9.140625" customWidth="1"/>
    <col min="38" max="38" width="10.28515625" customWidth="1"/>
    <col min="39" max="39" width="9.42578125" customWidth="1"/>
    <col min="40" max="41" width="2.7109375" customWidth="1"/>
    <col min="42" max="43" width="6.7109375" customWidth="1"/>
    <col min="44" max="44" width="12.42578125" customWidth="1"/>
    <col min="45" max="45" width="8.28515625" customWidth="1"/>
    <col min="46" max="46" width="6.7109375" customWidth="1"/>
    <col min="47" max="47" width="2.28515625" customWidth="1"/>
    <col min="48" max="48" width="6.7109375" customWidth="1"/>
    <col min="49" max="189" width="9.140625" customWidth="1"/>
  </cols>
  <sheetData>
    <row r="1" spans="1:50" ht="18.75" x14ac:dyDescent="0.25">
      <c r="A1" s="159"/>
      <c r="B1" s="159"/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"/>
      <c r="AL1" s="24"/>
      <c r="AO1" s="22"/>
      <c r="AP1" s="160" t="s">
        <v>14</v>
      </c>
      <c r="AQ1" s="161"/>
      <c r="AR1" s="20">
        <f>'Сводный годовой график'!AX1</f>
        <v>2025</v>
      </c>
      <c r="AS1" s="22"/>
      <c r="AT1" s="22"/>
      <c r="AU1" s="22"/>
      <c r="AV1" s="22"/>
      <c r="AW1" s="22"/>
      <c r="AX1" s="22"/>
    </row>
    <row r="2" spans="1:50" ht="18.75" x14ac:dyDescent="0.25">
      <c r="A2" s="7"/>
      <c r="B2" s="7"/>
      <c r="C2" s="14"/>
      <c r="D2" s="7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7"/>
      <c r="AK2" s="1"/>
      <c r="AO2" s="12"/>
      <c r="AP2" s="162" t="s">
        <v>15</v>
      </c>
      <c r="AQ2" s="163"/>
      <c r="AR2" s="23">
        <v>4</v>
      </c>
      <c r="AT2" s="12"/>
      <c r="AU2" s="12"/>
      <c r="AV2" s="12"/>
      <c r="AW2" s="12"/>
      <c r="AX2" s="12"/>
    </row>
    <row r="3" spans="1:50" ht="21" customHeight="1" x14ac:dyDescent="0.25">
      <c r="A3" s="164" t="str">
        <f>CONCATENATE("График работы персонала на ",LOWER(TEXT($E$8,"ММММ"))," ",TEXT($E$8,"ГГГГ")," года ","(",$AR$3,"/",$AJ$9, ")")</f>
        <v>График работы персонала на апрель 2025 года (22/175)</v>
      </c>
      <c r="B3" s="164"/>
      <c r="C3" s="164"/>
      <c r="D3" s="164"/>
      <c r="E3" s="164"/>
      <c r="F3" s="164"/>
      <c r="G3" s="164"/>
      <c r="H3" s="164"/>
      <c r="I3" s="164"/>
      <c r="J3" s="164"/>
      <c r="K3" s="164"/>
      <c r="L3" s="164"/>
      <c r="M3" s="164"/>
      <c r="N3" s="164"/>
      <c r="O3" s="164"/>
      <c r="P3" s="164"/>
      <c r="Q3" s="164"/>
      <c r="R3" s="164"/>
      <c r="S3" s="164"/>
      <c r="T3" s="164"/>
      <c r="U3" s="164"/>
      <c r="V3" s="164"/>
      <c r="W3" s="164"/>
      <c r="X3" s="164"/>
      <c r="Y3" s="164"/>
      <c r="Z3" s="164"/>
      <c r="AA3" s="164"/>
      <c r="AB3" s="164"/>
      <c r="AC3" s="164"/>
      <c r="AD3" s="164"/>
      <c r="AE3" s="164"/>
      <c r="AF3" s="164"/>
      <c r="AG3" s="164"/>
      <c r="AH3" s="164"/>
      <c r="AI3" s="164"/>
      <c r="AJ3" s="164"/>
      <c r="AK3" s="1"/>
      <c r="AL3" s="21"/>
      <c r="AP3" s="162" t="s">
        <v>16</v>
      </c>
      <c r="AQ3" s="163"/>
      <c r="AR3" s="23">
        <f>INDEX(Производственный_календарь[],MONTH($E$8),3)</f>
        <v>22</v>
      </c>
    </row>
    <row r="4" spans="1:50" ht="21" customHeight="1" x14ac:dyDescent="0.25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1"/>
      <c r="AL4" s="21"/>
      <c r="AP4" s="51" t="s">
        <v>20</v>
      </c>
      <c r="AQ4" s="52"/>
      <c r="AR4" s="53">
        <f>EOMONTH(DATE(AR1,AR2,1),0)-DATE(AR1,AR2,1)+1</f>
        <v>30</v>
      </c>
    </row>
    <row r="5" spans="1:50" ht="16.5" customHeight="1" thickBo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1"/>
      <c r="AL5" s="21"/>
      <c r="AP5" s="54" t="s">
        <v>21</v>
      </c>
      <c r="AQ5" s="55"/>
      <c r="AR5" s="56">
        <v>4</v>
      </c>
    </row>
    <row r="6" spans="1:50" ht="16.5" hidden="1" customHeight="1" x14ac:dyDescent="0.25">
      <c r="E6" s="48">
        <f>IF(COLUMN()-$AR$5&lt;=$AR$4,1,0)</f>
        <v>1</v>
      </c>
      <c r="F6" s="48">
        <f t="shared" ref="F6:AH6" si="0">IF(COLUMN()-$AR$5&lt;=$AR$4,1,0)</f>
        <v>1</v>
      </c>
      <c r="G6" s="48">
        <f t="shared" si="0"/>
        <v>1</v>
      </c>
      <c r="H6" s="48">
        <f t="shared" si="0"/>
        <v>1</v>
      </c>
      <c r="I6" s="48">
        <f t="shared" si="0"/>
        <v>1</v>
      </c>
      <c r="J6" s="48">
        <f t="shared" si="0"/>
        <v>1</v>
      </c>
      <c r="K6" s="48">
        <f t="shared" si="0"/>
        <v>1</v>
      </c>
      <c r="L6" s="48">
        <f t="shared" si="0"/>
        <v>1</v>
      </c>
      <c r="M6" s="48">
        <f t="shared" si="0"/>
        <v>1</v>
      </c>
      <c r="N6" s="48">
        <f t="shared" si="0"/>
        <v>1</v>
      </c>
      <c r="O6" s="48">
        <f t="shared" si="0"/>
        <v>1</v>
      </c>
      <c r="P6" s="48">
        <f t="shared" si="0"/>
        <v>1</v>
      </c>
      <c r="Q6" s="48">
        <f t="shared" si="0"/>
        <v>1</v>
      </c>
      <c r="R6" s="48">
        <f t="shared" si="0"/>
        <v>1</v>
      </c>
      <c r="S6" s="48">
        <f t="shared" si="0"/>
        <v>1</v>
      </c>
      <c r="T6" s="48">
        <f t="shared" si="0"/>
        <v>1</v>
      </c>
      <c r="U6" s="48">
        <f t="shared" si="0"/>
        <v>1</v>
      </c>
      <c r="V6" s="48">
        <f t="shared" si="0"/>
        <v>1</v>
      </c>
      <c r="W6" s="48">
        <f t="shared" si="0"/>
        <v>1</v>
      </c>
      <c r="X6" s="48">
        <f t="shared" si="0"/>
        <v>1</v>
      </c>
      <c r="Y6" s="48">
        <f t="shared" si="0"/>
        <v>1</v>
      </c>
      <c r="Z6" s="48">
        <f t="shared" si="0"/>
        <v>1</v>
      </c>
      <c r="AA6" s="48">
        <f t="shared" si="0"/>
        <v>1</v>
      </c>
      <c r="AB6" s="48">
        <f t="shared" si="0"/>
        <v>1</v>
      </c>
      <c r="AC6" s="48">
        <f t="shared" si="0"/>
        <v>1</v>
      </c>
      <c r="AD6" s="48">
        <f t="shared" si="0"/>
        <v>1</v>
      </c>
      <c r="AE6" s="48">
        <f t="shared" si="0"/>
        <v>1</v>
      </c>
      <c r="AF6" s="48">
        <f t="shared" si="0"/>
        <v>1</v>
      </c>
      <c r="AG6" s="48">
        <f t="shared" si="0"/>
        <v>1</v>
      </c>
      <c r="AH6" s="48">
        <f t="shared" si="0"/>
        <v>1</v>
      </c>
      <c r="AI6" s="48">
        <f>IF(COLUMN()-$AR$5&lt;=$AR$4,1,0)</f>
        <v>0</v>
      </c>
    </row>
    <row r="7" spans="1:50" ht="16.5" hidden="1" customHeight="1" thickBot="1" x14ac:dyDescent="0.3">
      <c r="E7" s="48">
        <v>1</v>
      </c>
      <c r="F7" s="48">
        <v>2</v>
      </c>
      <c r="G7" s="48">
        <v>3</v>
      </c>
      <c r="H7" s="48">
        <v>4</v>
      </c>
      <c r="I7" s="48">
        <v>5</v>
      </c>
      <c r="J7" s="48">
        <v>6</v>
      </c>
      <c r="K7" s="48">
        <v>7</v>
      </c>
      <c r="L7" s="48">
        <v>8</v>
      </c>
      <c r="M7" s="48">
        <v>9</v>
      </c>
      <c r="N7" s="48">
        <v>10</v>
      </c>
      <c r="O7" s="48">
        <v>11</v>
      </c>
      <c r="P7" s="48">
        <v>12</v>
      </c>
      <c r="Q7" s="48">
        <v>13</v>
      </c>
      <c r="R7" s="48">
        <v>14</v>
      </c>
      <c r="S7" s="48">
        <v>15</v>
      </c>
      <c r="T7" s="48">
        <v>16</v>
      </c>
      <c r="U7" s="48">
        <v>17</v>
      </c>
      <c r="V7" s="48">
        <v>18</v>
      </c>
      <c r="W7" s="48">
        <v>19</v>
      </c>
      <c r="X7" s="48">
        <v>20</v>
      </c>
      <c r="Y7" s="48">
        <v>21</v>
      </c>
      <c r="Z7" s="48">
        <v>22</v>
      </c>
      <c r="AA7" s="48">
        <v>23</v>
      </c>
      <c r="AB7" s="48">
        <v>24</v>
      </c>
      <c r="AC7" s="48">
        <v>25</v>
      </c>
      <c r="AD7" s="48">
        <v>26</v>
      </c>
      <c r="AE7" s="48">
        <v>27</v>
      </c>
      <c r="AF7" s="48">
        <v>28</v>
      </c>
      <c r="AG7" s="48">
        <v>29</v>
      </c>
      <c r="AH7" s="48">
        <v>30</v>
      </c>
      <c r="AI7" s="48">
        <v>31</v>
      </c>
    </row>
    <row r="8" spans="1:50" ht="47.45" customHeight="1" thickTop="1" thickBot="1" x14ac:dyDescent="0.3">
      <c r="A8" s="2" t="s">
        <v>0</v>
      </c>
      <c r="B8" s="3" t="s">
        <v>1</v>
      </c>
      <c r="C8" s="15" t="s">
        <v>2</v>
      </c>
      <c r="D8" s="3"/>
      <c r="E8" s="19">
        <f>DATE($AR$1,$AR$2,1)</f>
        <v>45748</v>
      </c>
      <c r="F8" s="19">
        <f>IF(E8,DATE($AR$1,$AR$2,DAY(E$8)+1),"")</f>
        <v>45749</v>
      </c>
      <c r="G8" s="19">
        <f t="shared" ref="G8:AI8" si="1">IF(F8,DATE($AR$1,$AR$2,DAY(F$8)+1),"")</f>
        <v>45750</v>
      </c>
      <c r="H8" s="19">
        <f t="shared" si="1"/>
        <v>45751</v>
      </c>
      <c r="I8" s="19">
        <f t="shared" si="1"/>
        <v>45752</v>
      </c>
      <c r="J8" s="19">
        <f t="shared" si="1"/>
        <v>45753</v>
      </c>
      <c r="K8" s="19">
        <f t="shared" si="1"/>
        <v>45754</v>
      </c>
      <c r="L8" s="19">
        <f t="shared" si="1"/>
        <v>45755</v>
      </c>
      <c r="M8" s="19">
        <f t="shared" si="1"/>
        <v>45756</v>
      </c>
      <c r="N8" s="19">
        <f t="shared" si="1"/>
        <v>45757</v>
      </c>
      <c r="O8" s="19">
        <f t="shared" si="1"/>
        <v>45758</v>
      </c>
      <c r="P8" s="19">
        <f t="shared" si="1"/>
        <v>45759</v>
      </c>
      <c r="Q8" s="19">
        <f t="shared" si="1"/>
        <v>45760</v>
      </c>
      <c r="R8" s="19">
        <f t="shared" si="1"/>
        <v>45761</v>
      </c>
      <c r="S8" s="19">
        <f t="shared" si="1"/>
        <v>45762</v>
      </c>
      <c r="T8" s="19">
        <f t="shared" si="1"/>
        <v>45763</v>
      </c>
      <c r="U8" s="19">
        <f t="shared" si="1"/>
        <v>45764</v>
      </c>
      <c r="V8" s="19">
        <f t="shared" si="1"/>
        <v>45765</v>
      </c>
      <c r="W8" s="19">
        <f t="shared" si="1"/>
        <v>45766</v>
      </c>
      <c r="X8" s="19">
        <f t="shared" si="1"/>
        <v>45767</v>
      </c>
      <c r="Y8" s="19">
        <f t="shared" si="1"/>
        <v>45768</v>
      </c>
      <c r="Z8" s="19">
        <f t="shared" si="1"/>
        <v>45769</v>
      </c>
      <c r="AA8" s="19">
        <f t="shared" si="1"/>
        <v>45770</v>
      </c>
      <c r="AB8" s="19">
        <f t="shared" si="1"/>
        <v>45771</v>
      </c>
      <c r="AC8" s="19">
        <f t="shared" si="1"/>
        <v>45772</v>
      </c>
      <c r="AD8" s="19">
        <f t="shared" si="1"/>
        <v>45773</v>
      </c>
      <c r="AE8" s="19">
        <f t="shared" si="1"/>
        <v>45774</v>
      </c>
      <c r="AF8" s="19">
        <f t="shared" si="1"/>
        <v>45775</v>
      </c>
      <c r="AG8" s="19">
        <f t="shared" si="1"/>
        <v>45776</v>
      </c>
      <c r="AH8" s="19">
        <f t="shared" si="1"/>
        <v>45777</v>
      </c>
      <c r="AI8" s="19">
        <f t="shared" si="1"/>
        <v>45778</v>
      </c>
      <c r="AJ8" s="2" t="s">
        <v>3</v>
      </c>
      <c r="AK8" s="4" t="s">
        <v>4</v>
      </c>
      <c r="AL8" s="31" t="s">
        <v>77</v>
      </c>
      <c r="AM8" s="31" t="s">
        <v>78</v>
      </c>
      <c r="AP8" s="4" t="s">
        <v>6</v>
      </c>
      <c r="AQ8" s="4" t="s">
        <v>5</v>
      </c>
      <c r="AR8" s="4" t="s">
        <v>7</v>
      </c>
      <c r="AS8" s="4" t="s">
        <v>8</v>
      </c>
      <c r="AT8" s="4" t="s">
        <v>13</v>
      </c>
      <c r="AU8" s="6" t="s">
        <v>9</v>
      </c>
      <c r="AV8" s="4" t="s">
        <v>11</v>
      </c>
      <c r="AW8" s="4" t="s">
        <v>18</v>
      </c>
      <c r="AX8" s="4" t="s">
        <v>19</v>
      </c>
    </row>
    <row r="9" spans="1:50" ht="17.25" customHeight="1" thickBot="1" x14ac:dyDescent="0.3">
      <c r="A9" s="146" t="s">
        <v>100</v>
      </c>
      <c r="B9" s="151" t="s">
        <v>80</v>
      </c>
      <c r="C9" s="170">
        <v>1</v>
      </c>
      <c r="D9" s="49">
        <v>1</v>
      </c>
      <c r="E9" s="62">
        <f ca="1">INDEX(Д1!$E$34:$AI$43,MATCH($D9,Д1!$D$34:$D$43),MATCH(E$7,Д1!$E$3:$AI$3))</f>
        <v>4</v>
      </c>
      <c r="F9" s="28">
        <f ca="1">INDEX(Д1!$E$34:$AI$43,MATCH($D9,Д1!$D$34:$D$43),MATCH(F$7,Д1!$E$3:$AI$3))</f>
        <v>8</v>
      </c>
      <c r="G9" s="28">
        <f ca="1">INDEX(Д1!$E$34:$AI$43,MATCH($D9,Д1!$D$34:$D$43),MATCH(G$7,Д1!$E$3:$AI$3))</f>
        <v>12</v>
      </c>
      <c r="H9" s="28">
        <f ca="1">INDEX(Д1!$E$34:$AI$43,MATCH($D9,Д1!$D$34:$D$43),MATCH(H$7,Д1!$E$3:$AI$3))</f>
        <v>8</v>
      </c>
      <c r="I9" s="28">
        <f ca="1">INDEX(Д1!$E$34:$AI$43,MATCH($D9,Д1!$D$34:$D$43),MATCH(I$7,Д1!$E$3:$AI$3))</f>
        <v>8</v>
      </c>
      <c r="J9" s="28">
        <f ca="1">INDEX(Д1!$E$34:$AI$43,MATCH($D9,Д1!$D$34:$D$43),MATCH(J$7,Д1!$E$3:$AI$3))</f>
        <v>12</v>
      </c>
      <c r="K9" s="28">
        <f ca="1">INDEX(Д1!$E$34:$AI$43,MATCH($D9,Д1!$D$34:$D$43),MATCH(K$7,Д1!$E$3:$AI$3))</f>
        <v>0</v>
      </c>
      <c r="L9" s="28">
        <f ca="1">INDEX(Д1!$E$34:$AI$43,MATCH($D9,Д1!$D$34:$D$43),MATCH(L$7,Д1!$E$3:$AI$3))</f>
        <v>0</v>
      </c>
      <c r="M9" s="28">
        <f ca="1">INDEX(Д1!$E$34:$AI$43,MATCH($D9,Д1!$D$34:$D$43),MATCH(M$7,Д1!$E$3:$AI$3))</f>
        <v>4</v>
      </c>
      <c r="N9" s="28">
        <f ca="1">INDEX(Д1!$E$34:$AI$43,MATCH($D9,Д1!$D$34:$D$43),MATCH(N$7,Д1!$E$3:$AI$3))</f>
        <v>8</v>
      </c>
      <c r="O9" s="28">
        <f ca="1">INDEX(Д1!$E$34:$AI$43,MATCH($D9,Д1!$D$34:$D$43),MATCH(O$7,Д1!$E$3:$AI$3))</f>
        <v>12</v>
      </c>
      <c r="P9" s="28">
        <f ca="1">INDEX(Д1!$E$34:$AI$43,MATCH($D9,Д1!$D$34:$D$43),MATCH(P$7,Д1!$E$3:$AI$3))</f>
        <v>4</v>
      </c>
      <c r="Q9" s="28">
        <f ca="1">INDEX(Д1!$E$34:$AI$43,MATCH($D9,Д1!$D$34:$D$43),MATCH(Q$7,Д1!$E$3:$AI$3))</f>
        <v>8</v>
      </c>
      <c r="R9" s="28">
        <f ca="1">INDEX(Д1!$E$34:$AI$43,MATCH($D9,Д1!$D$34:$D$43),MATCH(R$7,Д1!$E$3:$AI$3))</f>
        <v>12</v>
      </c>
      <c r="S9" s="28">
        <f ca="1">INDEX(Д1!$E$34:$AI$43,MATCH($D9,Д1!$D$34:$D$43),MATCH(S$7,Д1!$E$3:$AI$3))</f>
        <v>0</v>
      </c>
      <c r="T9" s="28">
        <f ca="1">INDEX(Д1!$E$34:$AI$43,MATCH($D9,Д1!$D$34:$D$43),MATCH(T$7,Д1!$E$3:$AI$3))</f>
        <v>0</v>
      </c>
      <c r="U9" s="28">
        <f ca="1">INDEX(Д1!$E$34:$AI$43,MATCH($D9,Д1!$D$34:$D$43),MATCH(U$7,Д1!$E$3:$AI$3))</f>
        <v>4</v>
      </c>
      <c r="V9" s="28">
        <f ca="1">INDEX(Д1!$E$34:$AI$43,MATCH($D9,Д1!$D$34:$D$43),MATCH(V$7,Д1!$E$3:$AI$3))</f>
        <v>8</v>
      </c>
      <c r="W9" s="28">
        <f ca="1">INDEX(Д1!$E$34:$AI$43,MATCH($D9,Д1!$D$34:$D$43),MATCH(W$7,Д1!$E$3:$AI$3))</f>
        <v>12</v>
      </c>
      <c r="X9" s="28">
        <f ca="1">INDEX(Д1!$E$34:$AI$43,MATCH($D9,Д1!$D$34:$D$43),MATCH(X$7,Д1!$E$3:$AI$3))</f>
        <v>4</v>
      </c>
      <c r="Y9" s="28">
        <f ca="1">INDEX(Д1!$E$34:$AI$43,MATCH($D9,Д1!$D$34:$D$43),MATCH(Y$7,Д1!$E$3:$AI$3))</f>
        <v>8</v>
      </c>
      <c r="Z9" s="28">
        <f ca="1">INDEX(Д1!$E$34:$AI$43,MATCH($D9,Д1!$D$34:$D$43),MATCH(Z$7,Д1!$E$3:$AI$3))</f>
        <v>12</v>
      </c>
      <c r="AA9" s="28">
        <f ca="1">INDEX(Д1!$E$34:$AI$43,MATCH($D9,Д1!$D$34:$D$43),MATCH(AA$7,Д1!$E$3:$AI$3))</f>
        <v>0</v>
      </c>
      <c r="AB9" s="28">
        <f ca="1">INDEX(Д1!$E$34:$AI$43,MATCH($D9,Д1!$D$34:$D$43),MATCH(AB$7,Д1!$E$3:$AI$3))</f>
        <v>0</v>
      </c>
      <c r="AC9" s="28">
        <f ca="1">INDEX(Д1!$E$34:$AI$43,MATCH($D9,Д1!$D$34:$D$43),MATCH(AC$7,Д1!$E$3:$AI$3))</f>
        <v>4</v>
      </c>
      <c r="AD9" s="28">
        <f ca="1">INDEX(Д1!$E$34:$AI$43,MATCH($D9,Д1!$D$34:$D$43),MATCH(AD$7,Д1!$E$3:$AI$3))</f>
        <v>8</v>
      </c>
      <c r="AE9" s="28">
        <f ca="1">INDEX(Д1!$E$34:$AI$43,MATCH($D9,Д1!$D$34:$D$43),MATCH(AE$7,Д1!$E$3:$AI$3))</f>
        <v>12</v>
      </c>
      <c r="AF9" s="28">
        <f ca="1">INDEX(Д1!$E$34:$AI$43,MATCH($D9,Д1!$D$34:$D$43),MATCH(AF$7,Д1!$E$3:$AI$3))</f>
        <v>4</v>
      </c>
      <c r="AG9" s="28">
        <f ca="1">INDEX(Д1!$E$34:$AI$43,MATCH($D9,Д1!$D$34:$D$43),MATCH(AG$7,Д1!$E$3:$AI$3))</f>
        <v>8</v>
      </c>
      <c r="AH9" s="28">
        <f ca="1">INDEX(Д1!$E$34:$AI$43,MATCH($D9,Д1!$D$34:$D$43),MATCH(AH$7,Д1!$E$3:$AI$3))</f>
        <v>12</v>
      </c>
      <c r="AI9" s="100"/>
      <c r="AJ9" s="143">
        <f>INDEX(Д1!AK$34:$AK$43,MATCH($C9,Д1!$C$34:$C$43),MATCH(E$7,Д1!$E$3:$AI$3))*AND(MONTH($E$8)=MONTH(Д1!$B$34))</f>
        <v>175</v>
      </c>
      <c r="AK9" s="144">
        <f ca="1">SUM(E9:AI10)</f>
        <v>196</v>
      </c>
      <c r="AL9" s="144"/>
      <c r="AM9" s="149">
        <f ca="1">SUM(F9:H10,J9:AI10)-AJ9+AL9-12</f>
        <v>-3</v>
      </c>
      <c r="AP9" s="136">
        <f ca="1">COUNTIF($E9:$AI10,"12")</f>
        <v>8</v>
      </c>
      <c r="AQ9" s="136">
        <f ca="1">IF(COUNTIF($E9:$AI10,"СП")&gt;=1,(COUNTIF($E9:$AI10,"4")+COUNTIF($E9:$AI10,"8")-1)/2,(COUNTIF($E9:$AI10,"4")+COUNTIF($E9:$AI10,"8"))/2)</f>
        <v>7.5</v>
      </c>
      <c r="AR9" s="136">
        <f t="shared" ref="AR9:AR47" ca="1" si="2">SUMIF($E9:$AI10,"12",$E9:$AI10)</f>
        <v>96</v>
      </c>
      <c r="AS9" s="136">
        <f ca="1">IF(COUNTIF($E9:$AI10,"СП")&gt;=1,SUMIF($E9:$AI10,"4",$E9:$AI10)+SUMIF($E9:$AI10,"8",$E9:$AI10)-8,SUMIF($E9:$AI10,"4",$E9:$AI10)+SUMIF($E9:$AI10,"8",$E9:$AI10))</f>
        <v>92</v>
      </c>
      <c r="AT9" s="136">
        <f ca="1">$AR9+$AS9</f>
        <v>188</v>
      </c>
      <c r="AU9" s="136" t="str">
        <f ca="1">IF(AK9=AT9,"+","!")</f>
        <v>!</v>
      </c>
      <c r="AV9" s="136">
        <f ca="1">COUNTIF($E9:$AI10,"ОТ")</f>
        <v>0</v>
      </c>
      <c r="AW9" s="137" t="str">
        <f ca="1">IF(COUNTIF($A10:$AI10,"СП")&gt;0,IF(INDIRECT(ADDRESS(ROW(),MATCH("СП",$A10:$AI10),1))=8,"","!"),"")</f>
        <v>!</v>
      </c>
      <c r="AX9" s="137" t="str">
        <f ca="1">IF(COUNTIF($A10:$AI10,"СП")&gt;0,IF(INDIRECT(ADDRESS(ROW(),MATCH("СП",$A10:$AI10)-1,1))=4,"!",""),"")</f>
        <v/>
      </c>
    </row>
    <row r="10" spans="1:50" ht="16.5" thickBot="1" x14ac:dyDescent="0.3">
      <c r="A10" s="147"/>
      <c r="B10" s="139"/>
      <c r="C10" s="171"/>
      <c r="D10" s="50">
        <v>2</v>
      </c>
      <c r="E10" s="63" t="str">
        <f>INDEX(Д1!$E$34:$AI$43,MATCH($D10,Д1!$D$34:$D$43),MATCH(E$7,Д1!$E$3:$AI$3))</f>
        <v/>
      </c>
      <c r="F10" s="29" t="str">
        <f>INDEX(Д1!$E$34:$AI$43,MATCH($D10,Д1!$D$34:$D$43),MATCH(F$7,Д1!$E$3:$AI$3))</f>
        <v/>
      </c>
      <c r="G10" s="29" t="str">
        <f>INDEX(Д1!$E$34:$AI$43,MATCH($D10,Д1!$D$34:$D$43),MATCH(G$7,Д1!$E$3:$AI$3))</f>
        <v/>
      </c>
      <c r="H10" s="29" t="str">
        <f>INDEX(Д1!$E$34:$AI$43,MATCH($D10,Д1!$D$34:$D$43),MATCH(H$7,Д1!$E$3:$AI$3))</f>
        <v>СП</v>
      </c>
      <c r="I10" s="29" t="str">
        <f>INDEX(Д1!$E$34:$AI$43,MATCH($D10,Д1!$D$34:$D$43),MATCH(I$7,Д1!$E$3:$AI$3))</f>
        <v/>
      </c>
      <c r="J10" s="29" t="str">
        <f>INDEX(Д1!$E$34:$AI$43,MATCH($D10,Д1!$D$34:$D$43),MATCH(J$7,Д1!$E$3:$AI$3))</f>
        <v/>
      </c>
      <c r="K10" s="29" t="str">
        <f>INDEX(Д1!$E$34:$AI$43,MATCH($D10,Д1!$D$34:$D$43),MATCH(K$7,Д1!$E$3:$AI$3))</f>
        <v/>
      </c>
      <c r="L10" s="29" t="str">
        <f>INDEX(Д1!$E$34:$AI$43,MATCH($D10,Д1!$D$34:$D$43),MATCH(L$7,Д1!$E$3:$AI$3))</f>
        <v/>
      </c>
      <c r="M10" s="29" t="str">
        <f>INDEX(Д1!$E$34:$AI$43,MATCH($D10,Д1!$D$34:$D$43),MATCH(M$7,Д1!$E$3:$AI$3))</f>
        <v/>
      </c>
      <c r="N10" s="29" t="str">
        <f>INDEX(Д1!$E$34:$AI$43,MATCH($D10,Д1!$D$34:$D$43),MATCH(N$7,Д1!$E$3:$AI$3))</f>
        <v/>
      </c>
      <c r="O10" s="29" t="str">
        <f>INDEX(Д1!$E$34:$AI$43,MATCH($D10,Д1!$D$34:$D$43),MATCH(O$7,Д1!$E$3:$AI$3))</f>
        <v/>
      </c>
      <c r="P10" s="29" t="str">
        <f>INDEX(Д1!$E$34:$AI$43,MATCH($D10,Д1!$D$34:$D$43),MATCH(P$7,Д1!$E$3:$AI$3))</f>
        <v/>
      </c>
      <c r="Q10" s="29" t="str">
        <f>INDEX(Д1!$E$34:$AI$43,MATCH($D10,Д1!$D$34:$D$43),MATCH(Q$7,Д1!$E$3:$AI$3))</f>
        <v/>
      </c>
      <c r="R10" s="29" t="str">
        <f>INDEX(Д1!$E$34:$AI$43,MATCH($D10,Д1!$D$34:$D$43),MATCH(R$7,Д1!$E$3:$AI$3))</f>
        <v/>
      </c>
      <c r="S10" s="29" t="str">
        <f>INDEX(Д1!$E$34:$AI$43,MATCH($D10,Д1!$D$34:$D$43),MATCH(S$7,Д1!$E$3:$AI$3))</f>
        <v/>
      </c>
      <c r="T10" s="29" t="str">
        <f>INDEX(Д1!$E$34:$AI$43,MATCH($D10,Д1!$D$34:$D$43),MATCH(T$7,Д1!$E$3:$AI$3))</f>
        <v/>
      </c>
      <c r="U10" s="29" t="str">
        <f>INDEX(Д1!$E$34:$AI$43,MATCH($D10,Д1!$D$34:$D$43),MATCH(U$7,Д1!$E$3:$AI$3))</f>
        <v/>
      </c>
      <c r="V10" s="29" t="str">
        <f>INDEX(Д1!$E$34:$AI$43,MATCH($D10,Д1!$D$34:$D$43),MATCH(V$7,Д1!$E$3:$AI$3))</f>
        <v/>
      </c>
      <c r="W10" s="29" t="str">
        <f>INDEX(Д1!$E$34:$AI$43,MATCH($D10,Д1!$D$34:$D$43),MATCH(W$7,Д1!$E$3:$AI$3))</f>
        <v/>
      </c>
      <c r="X10" s="29" t="str">
        <f>INDEX(Д1!$E$34:$AI$43,MATCH($D10,Д1!$D$34:$D$43),MATCH(X$7,Д1!$E$3:$AI$3))</f>
        <v/>
      </c>
      <c r="Y10" s="29" t="str">
        <f>INDEX(Д1!$E$34:$AI$43,MATCH($D10,Д1!$D$34:$D$43),MATCH(Y$7,Д1!$E$3:$AI$3))</f>
        <v/>
      </c>
      <c r="Z10" s="29" t="str">
        <f>INDEX(Д1!$E$34:$AI$43,MATCH($D10,Д1!$D$34:$D$43),MATCH(Z$7,Д1!$E$3:$AI$3))</f>
        <v/>
      </c>
      <c r="AA10" s="29" t="str">
        <f>INDEX(Д1!$E$34:$AI$43,MATCH($D10,Д1!$D$34:$D$43),MATCH(AA$7,Д1!$E$3:$AI$3))</f>
        <v/>
      </c>
      <c r="AB10" s="29" t="str">
        <f>INDEX(Д1!$E$34:$AI$43,MATCH($D10,Д1!$D$34:$D$43),MATCH(AB$7,Д1!$E$3:$AI$3))</f>
        <v/>
      </c>
      <c r="AC10" s="29" t="str">
        <f>INDEX(Д1!$E$34:$AI$43,MATCH($D10,Д1!$D$34:$D$43),MATCH(AC$7,Д1!$E$3:$AI$3))</f>
        <v/>
      </c>
      <c r="AD10" s="29" t="str">
        <f>INDEX(Д1!$E$34:$AI$43,MATCH($D10,Д1!$D$34:$D$43),MATCH(AD$7,Д1!$E$3:$AI$3))</f>
        <v/>
      </c>
      <c r="AE10" s="29" t="str">
        <f>INDEX(Д1!$E$34:$AI$43,MATCH($D10,Д1!$D$34:$D$43),MATCH(AE$7,Д1!$E$3:$AI$3))</f>
        <v/>
      </c>
      <c r="AF10" s="29" t="str">
        <f>INDEX(Д1!$E$34:$AI$43,MATCH($D10,Д1!$D$34:$D$43),MATCH(AF$7,Д1!$E$3:$AI$3))</f>
        <v/>
      </c>
      <c r="AG10" s="29" t="str">
        <f>INDEX(Д1!$E$34:$AI$43,MATCH($D10,Д1!$D$34:$D$43),MATCH(AG$7,Д1!$E$3:$AI$3))</f>
        <v/>
      </c>
      <c r="AH10" s="29" t="str">
        <f>INDEX(Д1!$E$34:$AI$43,MATCH($D10,Д1!$D$34:$D$43),MATCH(AH$7,Д1!$E$3:$AI$3))</f>
        <v/>
      </c>
      <c r="AI10" s="101"/>
      <c r="AJ10" s="143"/>
      <c r="AK10" s="145"/>
      <c r="AL10" s="145"/>
      <c r="AM10" s="150"/>
      <c r="AP10" s="136"/>
      <c r="AQ10" s="136"/>
      <c r="AR10" s="136"/>
      <c r="AS10" s="136"/>
      <c r="AT10" s="136"/>
      <c r="AU10" s="136"/>
      <c r="AV10" s="136"/>
      <c r="AW10" s="137"/>
      <c r="AX10" s="137"/>
    </row>
    <row r="11" spans="1:50" ht="16.5" customHeight="1" thickBot="1" x14ac:dyDescent="0.3">
      <c r="A11" s="147"/>
      <c r="B11" s="139" t="s">
        <v>81</v>
      </c>
      <c r="C11" s="170">
        <v>2</v>
      </c>
      <c r="D11" s="49">
        <v>3</v>
      </c>
      <c r="E11" s="64">
        <f ca="1">INDEX(Д1!$E$34:$AI$43,MATCH($D11,Д1!$D$34:$D$43),MATCH(E$7,Д1!$E$3:$AI$3))</f>
        <v>12</v>
      </c>
      <c r="F11" s="27">
        <f ca="1">INDEX(Д1!$E$34:$AI$43,MATCH($D11,Д1!$D$34:$D$43),MATCH(F$7,Д1!$E$3:$AI$3))</f>
        <v>4</v>
      </c>
      <c r="G11" s="27">
        <f ca="1">INDEX(Д1!$E$34:$AI$43,MATCH($D11,Д1!$D$34:$D$43),MATCH(G$7,Д1!$E$3:$AI$3))</f>
        <v>8</v>
      </c>
      <c r="H11" s="27">
        <f ca="1">INDEX(Д1!$E$34:$AI$43,MATCH($D11,Д1!$D$34:$D$43),MATCH(H$7,Д1!$E$3:$AI$3))</f>
        <v>12</v>
      </c>
      <c r="I11" s="27">
        <f ca="1">INDEX(Д1!$E$34:$AI$43,MATCH($D11,Д1!$D$34:$D$43),MATCH(I$7,Д1!$E$3:$AI$3))</f>
        <v>8</v>
      </c>
      <c r="J11" s="27">
        <f ca="1">INDEX(Д1!$E$34:$AI$43,MATCH($D11,Д1!$D$34:$D$43),MATCH(J$7,Д1!$E$3:$AI$3))</f>
        <v>0</v>
      </c>
      <c r="K11" s="27">
        <f ca="1">INDEX(Д1!$E$34:$AI$43,MATCH($D11,Д1!$D$34:$D$43),MATCH(K$7,Д1!$E$3:$AI$3))</f>
        <v>4</v>
      </c>
      <c r="L11" s="27">
        <f ca="1">INDEX(Д1!$E$34:$AI$43,MATCH($D11,Д1!$D$34:$D$43),MATCH(L$7,Д1!$E$3:$AI$3))</f>
        <v>8</v>
      </c>
      <c r="M11" s="27">
        <f ca="1">INDEX(Д1!$E$34:$AI$43,MATCH($D11,Д1!$D$34:$D$43),MATCH(M$7,Д1!$E$3:$AI$3))</f>
        <v>12</v>
      </c>
      <c r="N11" s="27">
        <f ca="1">INDEX(Д1!$E$34:$AI$43,MATCH($D11,Д1!$D$34:$D$43),MATCH(N$7,Д1!$E$3:$AI$3))</f>
        <v>4</v>
      </c>
      <c r="O11" s="27">
        <f ca="1">INDEX(Д1!$E$34:$AI$43,MATCH($D11,Д1!$D$34:$D$43),MATCH(O$7,Д1!$E$3:$AI$3))</f>
        <v>8</v>
      </c>
      <c r="P11" s="27">
        <f ca="1">INDEX(Д1!$E$34:$AI$43,MATCH($D11,Д1!$D$34:$D$43),MATCH(P$7,Д1!$E$3:$AI$3))</f>
        <v>12</v>
      </c>
      <c r="Q11" s="27">
        <f ca="1">INDEX(Д1!$E$34:$AI$43,MATCH($D11,Д1!$D$34:$D$43),MATCH(Q$7,Д1!$E$3:$AI$3))</f>
        <v>0</v>
      </c>
      <c r="R11" s="27">
        <f ca="1">INDEX(Д1!$E$34:$AI$43,MATCH($D11,Д1!$D$34:$D$43),MATCH(R$7,Д1!$E$3:$AI$3))</f>
        <v>0</v>
      </c>
      <c r="S11" s="27">
        <f ca="1">INDEX(Д1!$E$34:$AI$43,MATCH($D11,Д1!$D$34:$D$43),MATCH(S$7,Д1!$E$3:$AI$3))</f>
        <v>4</v>
      </c>
      <c r="T11" s="27">
        <f ca="1">INDEX(Д1!$E$34:$AI$43,MATCH($D11,Д1!$D$34:$D$43),MATCH(T$7,Д1!$E$3:$AI$3))</f>
        <v>8</v>
      </c>
      <c r="U11" s="27">
        <f ca="1">INDEX(Д1!$E$34:$AI$43,MATCH($D11,Д1!$D$34:$D$43),MATCH(U$7,Д1!$E$3:$AI$3))</f>
        <v>12</v>
      </c>
      <c r="V11" s="27">
        <f ca="1">INDEX(Д1!$E$34:$AI$43,MATCH($D11,Д1!$D$34:$D$43),MATCH(V$7,Д1!$E$3:$AI$3))</f>
        <v>4</v>
      </c>
      <c r="W11" s="27">
        <f ca="1">INDEX(Д1!$E$34:$AI$43,MATCH($D11,Д1!$D$34:$D$43),MATCH(W$7,Д1!$E$3:$AI$3))</f>
        <v>8</v>
      </c>
      <c r="X11" s="27">
        <f ca="1">INDEX(Д1!$E$34:$AI$43,MATCH($D11,Д1!$D$34:$D$43),MATCH(X$7,Д1!$E$3:$AI$3))</f>
        <v>12</v>
      </c>
      <c r="Y11" s="27">
        <f ca="1">INDEX(Д1!$E$34:$AI$43,MATCH($D11,Д1!$D$34:$D$43),MATCH(Y$7,Д1!$E$3:$AI$3))</f>
        <v>0</v>
      </c>
      <c r="Z11" s="27">
        <f ca="1">INDEX(Д1!$E$34:$AI$43,MATCH($D11,Д1!$D$34:$D$43),MATCH(Z$7,Д1!$E$3:$AI$3))</f>
        <v>0</v>
      </c>
      <c r="AA11" s="27">
        <f ca="1">INDEX(Д1!$E$34:$AI$43,MATCH($D11,Д1!$D$34:$D$43),MATCH(AA$7,Д1!$E$3:$AI$3))</f>
        <v>4</v>
      </c>
      <c r="AB11" s="27">
        <f ca="1">INDEX(Д1!$E$34:$AI$43,MATCH($D11,Д1!$D$34:$D$43),MATCH(AB$7,Д1!$E$3:$AI$3))</f>
        <v>8</v>
      </c>
      <c r="AC11" s="27">
        <f ca="1">INDEX(Д1!$E$34:$AI$43,MATCH($D11,Д1!$D$34:$D$43),MATCH(AC$7,Д1!$E$3:$AI$3))</f>
        <v>12</v>
      </c>
      <c r="AD11" s="27">
        <f ca="1">INDEX(Д1!$E$34:$AI$43,MATCH($D11,Д1!$D$34:$D$43),MATCH(AD$7,Д1!$E$3:$AI$3))</f>
        <v>4</v>
      </c>
      <c r="AE11" s="27">
        <f ca="1">INDEX(Д1!$E$34:$AI$43,MATCH($D11,Д1!$D$34:$D$43),MATCH(AE$7,Д1!$E$3:$AI$3))</f>
        <v>8</v>
      </c>
      <c r="AF11" s="27">
        <f ca="1">INDEX(Д1!$E$34:$AI$43,MATCH($D11,Д1!$D$34:$D$43),MATCH(AF$7,Д1!$E$3:$AI$3))</f>
        <v>12</v>
      </c>
      <c r="AG11" s="27">
        <f ca="1">INDEX(Д1!$E$34:$AI$43,MATCH($D11,Д1!$D$34:$D$43),MATCH(AG$7,Д1!$E$3:$AI$3))</f>
        <v>0</v>
      </c>
      <c r="AH11" s="27">
        <f ca="1">INDEX(Д1!$E$34:$AI$43,MATCH($D11,Д1!$D$34:$D$43),MATCH(AH$7,Д1!$E$3:$AI$3))</f>
        <v>0</v>
      </c>
      <c r="AI11" s="102"/>
      <c r="AJ11" s="143">
        <f>INDEX(Д1!AK$34:$AK$43,MATCH($C11,Д1!$C$34:$C$43),MATCH(E$7,Д1!$E$3:$AI$3))*AND(MONTH($E$8)=MONTH(Д1!$B$34))</f>
        <v>175</v>
      </c>
      <c r="AK11" s="144">
        <f ca="1">SUM(K11:AI12)</f>
        <v>144</v>
      </c>
      <c r="AL11" s="155"/>
      <c r="AM11" s="149">
        <f ca="1">SUM(F11:H12,J11:AI12)-AJ11+AL11-12</f>
        <v>-19</v>
      </c>
      <c r="AP11" s="136">
        <f t="shared" ref="AP11" ca="1" si="3">COUNTIF($E11:$AI12,"12")</f>
        <v>8</v>
      </c>
      <c r="AQ11" s="136">
        <f t="shared" ref="AQ11" ca="1" si="4">IF(COUNTIF($E11:$AI12,"СП")&gt;=1,(COUNTIF($E11:$AI12,"4")+COUNTIF($E11:$AI12,"8")-1)/2,(COUNTIF($E11:$AI12,"4")+COUNTIF($E11:$AI12,"8"))/2)</f>
        <v>7</v>
      </c>
      <c r="AR11" s="136">
        <f t="shared" ca="1" si="2"/>
        <v>96</v>
      </c>
      <c r="AS11" s="136">
        <f t="shared" ref="AS11" ca="1" si="5">IF(COUNTIF($E11:$AI12,"СП")&gt;=1,SUMIF($E11:$AI12,"4",$E11:$AI12)+SUMIF($E11:$AI12,"8",$E11:$AI12)-8,SUMIF($E11:$AI12,"4",$E11:$AI12)+SUMIF($E11:$AI12,"8",$E11:$AI12))</f>
        <v>84</v>
      </c>
      <c r="AT11" s="136">
        <f t="shared" ref="AT11" ca="1" si="6">$AR11+$AS11</f>
        <v>180</v>
      </c>
      <c r="AU11" s="136" t="str">
        <f t="shared" ref="AU11" ca="1" si="7">IF(AK11=AT11,"+","!")</f>
        <v>!</v>
      </c>
      <c r="AV11" s="136">
        <f t="shared" ref="AV11" ca="1" si="8">COUNTIF($E11:$AI12,"ОТ")</f>
        <v>0</v>
      </c>
      <c r="AW11" s="137" t="str">
        <f ca="1">IF(COUNTIF($A12:$AI12,"СП")&gt;0,IF(INDIRECT(ADDRESS(ROW(),MATCH("СП",$A12:$AI12),1))=8,"","!"),"")</f>
        <v>!</v>
      </c>
      <c r="AX11" s="137" t="str">
        <f ca="1">IF(COUNTIF($A12:$AI12,"СП")&gt;0,IF(INDIRECT(ADDRESS(ROW(),MATCH("СП",$A12:$AI12)-1,1))=4,"!",""),"")</f>
        <v/>
      </c>
    </row>
    <row r="12" spans="1:50" ht="16.5" thickBot="1" x14ac:dyDescent="0.3">
      <c r="A12" s="147"/>
      <c r="B12" s="139"/>
      <c r="C12" s="171"/>
      <c r="D12" s="50">
        <v>4</v>
      </c>
      <c r="E12" s="65" t="str">
        <f>INDEX(Д1!$E$34:$AI$43,MATCH($D12,Д1!$D$34:$D$43),MATCH(E$7,Д1!$E$3:$AI$3))</f>
        <v/>
      </c>
      <c r="F12" s="30" t="str">
        <f>INDEX(Д1!$E$34:$AI$43,MATCH($D12,Д1!$D$34:$D$43),MATCH(F$7,Д1!$E$3:$AI$3))</f>
        <v/>
      </c>
      <c r="G12" s="30" t="str">
        <f>INDEX(Д1!$E$34:$AI$43,MATCH($D12,Д1!$D$34:$D$43),MATCH(G$7,Д1!$E$3:$AI$3))</f>
        <v/>
      </c>
      <c r="H12" s="30" t="str">
        <f>INDEX(Д1!$E$34:$AI$43,MATCH($D12,Д1!$D$34:$D$43),MATCH(H$7,Д1!$E$3:$AI$3))</f>
        <v/>
      </c>
      <c r="I12" s="30" t="str">
        <f>INDEX(Д1!$E$34:$AI$43,MATCH($D12,Д1!$D$34:$D$43),MATCH(I$7,Д1!$E$3:$AI$3))</f>
        <v>СП</v>
      </c>
      <c r="J12" s="30" t="str">
        <f>INDEX(Д1!$E$34:$AI$43,MATCH($D12,Д1!$D$34:$D$43),MATCH(J$7,Д1!$E$3:$AI$3))</f>
        <v/>
      </c>
      <c r="K12" s="30" t="str">
        <f>INDEX(Д1!$E$34:$AI$43,MATCH($D12,Д1!$D$34:$D$43),MATCH(K$7,Д1!$E$3:$AI$3))</f>
        <v/>
      </c>
      <c r="L12" s="30" t="str">
        <f>INDEX(Д1!$E$34:$AI$43,MATCH($D12,Д1!$D$34:$D$43),MATCH(L$7,Д1!$E$3:$AI$3))</f>
        <v/>
      </c>
      <c r="M12" s="30" t="str">
        <f>INDEX(Д1!$E$34:$AI$43,MATCH($D12,Д1!$D$34:$D$43),MATCH(M$7,Д1!$E$3:$AI$3))</f>
        <v/>
      </c>
      <c r="N12" s="30" t="str">
        <f>INDEX(Д1!$E$34:$AI$43,MATCH($D12,Д1!$D$34:$D$43),MATCH(N$7,Д1!$E$3:$AI$3))</f>
        <v/>
      </c>
      <c r="O12" s="30" t="str">
        <f>INDEX(Д1!$E$34:$AI$43,MATCH($D12,Д1!$D$34:$D$43),MATCH(O$7,Д1!$E$3:$AI$3))</f>
        <v/>
      </c>
      <c r="P12" s="30" t="str">
        <f>INDEX(Д1!$E$34:$AI$43,MATCH($D12,Д1!$D$34:$D$43),MATCH(P$7,Д1!$E$3:$AI$3))</f>
        <v/>
      </c>
      <c r="Q12" s="30" t="str">
        <f>INDEX(Д1!$E$34:$AI$43,MATCH($D12,Д1!$D$34:$D$43),MATCH(Q$7,Д1!$E$3:$AI$3))</f>
        <v/>
      </c>
      <c r="R12" s="30" t="str">
        <f>INDEX(Д1!$E$34:$AI$43,MATCH($D12,Д1!$D$34:$D$43),MATCH(R$7,Д1!$E$3:$AI$3))</f>
        <v/>
      </c>
      <c r="S12" s="30" t="str">
        <f>INDEX(Д1!$E$34:$AI$43,MATCH($D12,Д1!$D$34:$D$43),MATCH(S$7,Д1!$E$3:$AI$3))</f>
        <v/>
      </c>
      <c r="T12" s="30" t="str">
        <f>INDEX(Д1!$E$34:$AI$43,MATCH($D12,Д1!$D$34:$D$43),MATCH(T$7,Д1!$E$3:$AI$3))</f>
        <v/>
      </c>
      <c r="U12" s="30" t="str">
        <f>INDEX(Д1!$E$34:$AI$43,MATCH($D12,Д1!$D$34:$D$43),MATCH(U$7,Д1!$E$3:$AI$3))</f>
        <v/>
      </c>
      <c r="V12" s="30" t="str">
        <f>INDEX(Д1!$E$34:$AI$43,MATCH($D12,Д1!$D$34:$D$43),MATCH(V$7,Д1!$E$3:$AI$3))</f>
        <v/>
      </c>
      <c r="W12" s="30" t="str">
        <f>INDEX(Д1!$E$34:$AI$43,MATCH($D12,Д1!$D$34:$D$43),MATCH(W$7,Д1!$E$3:$AI$3))</f>
        <v/>
      </c>
      <c r="X12" s="30" t="str">
        <f>INDEX(Д1!$E$34:$AI$43,MATCH($D12,Д1!$D$34:$D$43),MATCH(X$7,Д1!$E$3:$AI$3))</f>
        <v/>
      </c>
      <c r="Y12" s="30" t="str">
        <f>INDEX(Д1!$E$34:$AI$43,MATCH($D12,Д1!$D$34:$D$43),MATCH(Y$7,Д1!$E$3:$AI$3))</f>
        <v/>
      </c>
      <c r="Z12" s="30" t="str">
        <f>INDEX(Д1!$E$34:$AI$43,MATCH($D12,Д1!$D$34:$D$43),MATCH(Z$7,Д1!$E$3:$AI$3))</f>
        <v/>
      </c>
      <c r="AA12" s="30" t="str">
        <f>INDEX(Д1!$E$34:$AI$43,MATCH($D12,Д1!$D$34:$D$43),MATCH(AA$7,Д1!$E$3:$AI$3))</f>
        <v/>
      </c>
      <c r="AB12" s="30" t="str">
        <f>INDEX(Д1!$E$34:$AI$43,MATCH($D12,Д1!$D$34:$D$43),MATCH(AB$7,Д1!$E$3:$AI$3))</f>
        <v/>
      </c>
      <c r="AC12" s="30" t="str">
        <f>INDEX(Д1!$E$34:$AI$43,MATCH($D12,Д1!$D$34:$D$43),MATCH(AC$7,Д1!$E$3:$AI$3))</f>
        <v/>
      </c>
      <c r="AD12" s="30" t="str">
        <f>INDEX(Д1!$E$34:$AI$43,MATCH($D12,Д1!$D$34:$D$43),MATCH(AD$7,Д1!$E$3:$AI$3))</f>
        <v/>
      </c>
      <c r="AE12" s="30" t="str">
        <f>INDEX(Д1!$E$34:$AI$43,MATCH($D12,Д1!$D$34:$D$43),MATCH(AE$7,Д1!$E$3:$AI$3))</f>
        <v/>
      </c>
      <c r="AF12" s="30" t="str">
        <f>INDEX(Д1!$E$34:$AI$43,MATCH($D12,Д1!$D$34:$D$43),MATCH(AF$7,Д1!$E$3:$AI$3))</f>
        <v/>
      </c>
      <c r="AG12" s="30" t="str">
        <f>INDEX(Д1!$E$34:$AI$43,MATCH($D12,Д1!$D$34:$D$43),MATCH(AG$7,Д1!$E$3:$AI$3))</f>
        <v/>
      </c>
      <c r="AH12" s="30" t="str">
        <f>INDEX(Д1!$E$34:$AI$43,MATCH($D12,Д1!$D$34:$D$43),MATCH(AH$7,Д1!$E$3:$AI$3))</f>
        <v/>
      </c>
      <c r="AI12" s="103"/>
      <c r="AJ12" s="143"/>
      <c r="AK12" s="145"/>
      <c r="AL12" s="155"/>
      <c r="AM12" s="150"/>
      <c r="AP12" s="136"/>
      <c r="AQ12" s="136"/>
      <c r="AR12" s="136"/>
      <c r="AS12" s="136"/>
      <c r="AT12" s="136"/>
      <c r="AU12" s="136"/>
      <c r="AV12" s="136"/>
      <c r="AW12" s="137"/>
      <c r="AX12" s="137"/>
    </row>
    <row r="13" spans="1:50" ht="16.5" thickBot="1" x14ac:dyDescent="0.3">
      <c r="A13" s="147"/>
      <c r="B13" s="139" t="s">
        <v>82</v>
      </c>
      <c r="C13" s="170">
        <v>3</v>
      </c>
      <c r="D13" s="49">
        <v>5</v>
      </c>
      <c r="E13" s="62">
        <f ca="1">INDEX(Д1!$E$34:$AI$43,MATCH($D13,Д1!$D$34:$D$43),MATCH(E$7,Д1!$E$3:$AI$3))</f>
        <v>0</v>
      </c>
      <c r="F13" s="28">
        <f ca="1">INDEX(Д1!$E$34:$AI$43,MATCH($D13,Д1!$D$34:$D$43),MATCH(F$7,Д1!$E$3:$AI$3))</f>
        <v>0</v>
      </c>
      <c r="G13" s="28">
        <f ca="1">INDEX(Д1!$E$34:$AI$43,MATCH($D13,Д1!$D$34:$D$43),MATCH(G$7,Д1!$E$3:$AI$3))</f>
        <v>4</v>
      </c>
      <c r="H13" s="28">
        <f ca="1">INDEX(Д1!$E$34:$AI$43,MATCH($D13,Д1!$D$34:$D$43),MATCH(H$7,Д1!$E$3:$AI$3))</f>
        <v>8</v>
      </c>
      <c r="I13" s="28">
        <f ca="1">INDEX(Д1!$E$34:$AI$43,MATCH($D13,Д1!$D$34:$D$43),MATCH(I$7,Д1!$E$3:$AI$3))</f>
        <v>12</v>
      </c>
      <c r="J13" s="28">
        <f ca="1">INDEX(Д1!$E$34:$AI$43,MATCH($D13,Д1!$D$34:$D$43),MATCH(J$7,Д1!$E$3:$AI$3))</f>
        <v>8</v>
      </c>
      <c r="K13" s="28">
        <f ca="1">INDEX(Д1!$E$34:$AI$43,MATCH($D13,Д1!$D$34:$D$43),MATCH(K$7,Д1!$E$3:$AI$3))</f>
        <v>8</v>
      </c>
      <c r="L13" s="28">
        <f ca="1">INDEX(Д1!$E$34:$AI$43,MATCH($D13,Д1!$D$34:$D$43),MATCH(L$7,Д1!$E$3:$AI$3))</f>
        <v>12</v>
      </c>
      <c r="M13" s="28">
        <f ca="1">INDEX(Д1!$E$34:$AI$43,MATCH($D13,Д1!$D$34:$D$43),MATCH(M$7,Д1!$E$3:$AI$3))</f>
        <v>0</v>
      </c>
      <c r="N13" s="28">
        <f ca="1">INDEX(Д1!$E$34:$AI$43,MATCH($D13,Д1!$D$34:$D$43),MATCH(N$7,Д1!$E$3:$AI$3))</f>
        <v>0</v>
      </c>
      <c r="O13" s="28">
        <f ca="1">INDEX(Д1!$E$34:$AI$43,MATCH($D13,Д1!$D$34:$D$43),MATCH(O$7,Д1!$E$3:$AI$3))</f>
        <v>4</v>
      </c>
      <c r="P13" s="28">
        <f ca="1">INDEX(Д1!$E$34:$AI$43,MATCH($D13,Д1!$D$34:$D$43),MATCH(P$7,Д1!$E$3:$AI$3))</f>
        <v>8</v>
      </c>
      <c r="Q13" s="28">
        <f ca="1">INDEX(Д1!$E$34:$AI$43,MATCH($D13,Д1!$D$34:$D$43),MATCH(Q$7,Д1!$E$3:$AI$3))</f>
        <v>12</v>
      </c>
      <c r="R13" s="28">
        <f ca="1">INDEX(Д1!$E$34:$AI$43,MATCH($D13,Д1!$D$34:$D$43),MATCH(R$7,Д1!$E$3:$AI$3))</f>
        <v>4</v>
      </c>
      <c r="S13" s="28">
        <f ca="1">INDEX(Д1!$E$34:$AI$43,MATCH($D13,Д1!$D$34:$D$43),MATCH(S$7,Д1!$E$3:$AI$3))</f>
        <v>8</v>
      </c>
      <c r="T13" s="28">
        <f ca="1">INDEX(Д1!$E$34:$AI$43,MATCH($D13,Д1!$D$34:$D$43),MATCH(T$7,Д1!$E$3:$AI$3))</f>
        <v>12</v>
      </c>
      <c r="U13" s="28">
        <f ca="1">INDEX(Д1!$E$34:$AI$43,MATCH($D13,Д1!$D$34:$D$43),MATCH(U$7,Д1!$E$3:$AI$3))</f>
        <v>0</v>
      </c>
      <c r="V13" s="28">
        <f ca="1">INDEX(Д1!$E$34:$AI$43,MATCH($D13,Д1!$D$34:$D$43),MATCH(V$7,Д1!$E$3:$AI$3))</f>
        <v>0</v>
      </c>
      <c r="W13" s="28">
        <f ca="1">INDEX(Д1!$E$34:$AI$43,MATCH($D13,Д1!$D$34:$D$43),MATCH(W$7,Д1!$E$3:$AI$3))</f>
        <v>4</v>
      </c>
      <c r="X13" s="28">
        <f ca="1">INDEX(Д1!$E$34:$AI$43,MATCH($D13,Д1!$D$34:$D$43),MATCH(X$7,Д1!$E$3:$AI$3))</f>
        <v>8</v>
      </c>
      <c r="Y13" s="28">
        <f ca="1">INDEX(Д1!$E$34:$AI$43,MATCH($D13,Д1!$D$34:$D$43),MATCH(Y$7,Д1!$E$3:$AI$3))</f>
        <v>12</v>
      </c>
      <c r="Z13" s="28">
        <f ca="1">INDEX(Д1!$E$34:$AI$43,MATCH($D13,Д1!$D$34:$D$43),MATCH(Z$7,Д1!$E$3:$AI$3))</f>
        <v>4</v>
      </c>
      <c r="AA13" s="28">
        <f ca="1">INDEX(Д1!$E$34:$AI$43,MATCH($D13,Д1!$D$34:$D$43),MATCH(AA$7,Д1!$E$3:$AI$3))</f>
        <v>8</v>
      </c>
      <c r="AB13" s="28">
        <f ca="1">INDEX(Д1!$E$34:$AI$43,MATCH($D13,Д1!$D$34:$D$43),MATCH(AB$7,Д1!$E$3:$AI$3))</f>
        <v>12</v>
      </c>
      <c r="AC13" s="28">
        <f ca="1">INDEX(Д1!$E$34:$AI$43,MATCH($D13,Д1!$D$34:$D$43),MATCH(AC$7,Д1!$E$3:$AI$3))</f>
        <v>0</v>
      </c>
      <c r="AD13" s="28">
        <f ca="1">INDEX(Д1!$E$34:$AI$43,MATCH($D13,Д1!$D$34:$D$43),MATCH(AD$7,Д1!$E$3:$AI$3))</f>
        <v>0</v>
      </c>
      <c r="AE13" s="28">
        <f ca="1">INDEX(Д1!$E$34:$AI$43,MATCH($D13,Д1!$D$34:$D$43),MATCH(AE$7,Д1!$E$3:$AI$3))</f>
        <v>4</v>
      </c>
      <c r="AF13" s="28">
        <f ca="1">INDEX(Д1!$E$34:$AI$43,MATCH($D13,Д1!$D$34:$D$43),MATCH(AF$7,Д1!$E$3:$AI$3))</f>
        <v>8</v>
      </c>
      <c r="AG13" s="28">
        <f ca="1">INDEX(Д1!$E$34:$AI$43,MATCH($D13,Д1!$D$34:$D$43),MATCH(AG$7,Д1!$E$3:$AI$3))</f>
        <v>12</v>
      </c>
      <c r="AH13" s="28">
        <f ca="1">INDEX(Д1!$E$34:$AI$43,MATCH($D13,Д1!$D$34:$D$43),MATCH(AH$7,Д1!$E$3:$AI$3))</f>
        <v>4</v>
      </c>
      <c r="AI13" s="100"/>
      <c r="AJ13" s="143">
        <f>INDEX(Д1!AK$34:$AK$43,MATCH($C13,Д1!$C$34:$C$43),MATCH(E$7,Д1!$E$3:$AI$3))*AND(MONTH($E$8)=MONTH(Д1!$B$34))</f>
        <v>175</v>
      </c>
      <c r="AK13" s="144">
        <f ca="1">SUM(E13:K14)</f>
        <v>40</v>
      </c>
      <c r="AL13" s="144"/>
      <c r="AM13" s="149">
        <f ca="1">SUM(F13:H14,J13:AI14)-AJ13+AL13-12</f>
        <v>-23</v>
      </c>
      <c r="AP13" s="136">
        <f t="shared" ref="AP13" ca="1" si="9">COUNTIF($E13:$AI14,"12")</f>
        <v>7</v>
      </c>
      <c r="AQ13" s="136">
        <f t="shared" ref="AQ13" ca="1" si="10">IF(COUNTIF($E13:$AI14,"СП")&gt;=1,(COUNTIF($E13:$AI14,"4")+COUNTIF($E13:$AI14,"8")-1)/2,(COUNTIF($E13:$AI14,"4")+COUNTIF($E13:$AI14,"8"))/2)</f>
        <v>7</v>
      </c>
      <c r="AR13" s="136">
        <f t="shared" ca="1" si="2"/>
        <v>84</v>
      </c>
      <c r="AS13" s="136">
        <f t="shared" ref="AS13" ca="1" si="11">IF(COUNTIF($E13:$AI14,"СП")&gt;=1,SUMIF($E13:$AI14,"4",$E13:$AI14)+SUMIF($E13:$AI14,"8",$E13:$AI14)-8,SUMIF($E13:$AI14,"4",$E13:$AI14)+SUMIF($E13:$AI14,"8",$E13:$AI14))</f>
        <v>84</v>
      </c>
      <c r="AT13" s="136">
        <f t="shared" ref="AT13" ca="1" si="12">$AR13+$AS13</f>
        <v>168</v>
      </c>
      <c r="AU13" s="136" t="str">
        <f t="shared" ref="AU13" ca="1" si="13">IF(AK13=AT13,"+","!")</f>
        <v>!</v>
      </c>
      <c r="AV13" s="136">
        <f ca="1">COUNTIF($E13:$AI14,"ОТ")</f>
        <v>0</v>
      </c>
      <c r="AW13" s="137" t="str">
        <f ca="1">IF(COUNTIF($A14:$AI14,"СП")&gt;0,IF(INDIRECT(ADDRESS(ROW(),MATCH("СП",$A14:$AI14),1))=8,"","!"),"")</f>
        <v>!</v>
      </c>
      <c r="AX13" s="137" t="str">
        <f ca="1">IF(COUNTIF($A14:$AI14,"СП")&gt;0,IF(INDIRECT(ADDRESS(ROW(),MATCH("СП",$A14:$AI14)-1,1))=4,"!",""),"")</f>
        <v/>
      </c>
    </row>
    <row r="14" spans="1:50" ht="16.5" thickBot="1" x14ac:dyDescent="0.3">
      <c r="A14" s="147"/>
      <c r="B14" s="139"/>
      <c r="C14" s="171"/>
      <c r="D14" s="50">
        <v>6</v>
      </c>
      <c r="E14" s="63" t="str">
        <f>INDEX(Д1!$E$34:$AI$43,MATCH($D14,Д1!$D$34:$D$43),MATCH(E$7,Д1!$E$3:$AI$3))</f>
        <v/>
      </c>
      <c r="F14" s="29" t="str">
        <f>INDEX(Д1!$E$34:$AI$43,MATCH($D14,Д1!$D$34:$D$43),MATCH(F$7,Д1!$E$3:$AI$3))</f>
        <v/>
      </c>
      <c r="G14" s="29" t="str">
        <f>INDEX(Д1!$E$34:$AI$43,MATCH($D14,Д1!$D$34:$D$43),MATCH(G$7,Д1!$E$3:$AI$3))</f>
        <v/>
      </c>
      <c r="H14" s="29" t="str">
        <f>INDEX(Д1!$E$34:$AI$43,MATCH($D14,Д1!$D$34:$D$43),MATCH(H$7,Д1!$E$3:$AI$3))</f>
        <v/>
      </c>
      <c r="I14" s="29" t="str">
        <f>INDEX(Д1!$E$34:$AI$43,MATCH($D14,Д1!$D$34:$D$43),MATCH(I$7,Д1!$E$3:$AI$3))</f>
        <v/>
      </c>
      <c r="J14" s="29" t="str">
        <f>INDEX(Д1!$E$34:$AI$43,MATCH($D14,Д1!$D$34:$D$43),MATCH(J$7,Д1!$E$3:$AI$3))</f>
        <v>СП</v>
      </c>
      <c r="K14" s="29" t="str">
        <f>INDEX(Д1!$E$34:$AI$43,MATCH($D14,Д1!$D$34:$D$43),MATCH(K$7,Д1!$E$3:$AI$3))</f>
        <v/>
      </c>
      <c r="L14" s="29" t="str">
        <f>INDEX(Д1!$E$34:$AI$43,MATCH($D14,Д1!$D$34:$D$43),MATCH(L$7,Д1!$E$3:$AI$3))</f>
        <v/>
      </c>
      <c r="M14" s="29" t="str">
        <f>INDEX(Д1!$E$34:$AI$43,MATCH($D14,Д1!$D$34:$D$43),MATCH(M$7,Д1!$E$3:$AI$3))</f>
        <v/>
      </c>
      <c r="N14" s="29" t="str">
        <f>INDEX(Д1!$E$34:$AI$43,MATCH($D14,Д1!$D$34:$D$43),MATCH(N$7,Д1!$E$3:$AI$3))</f>
        <v/>
      </c>
      <c r="O14" s="29" t="str">
        <f>INDEX(Д1!$E$34:$AI$43,MATCH($D14,Д1!$D$34:$D$43),MATCH(O$7,Д1!$E$3:$AI$3))</f>
        <v/>
      </c>
      <c r="P14" s="29" t="str">
        <f>INDEX(Д1!$E$34:$AI$43,MATCH($D14,Д1!$D$34:$D$43),MATCH(P$7,Д1!$E$3:$AI$3))</f>
        <v/>
      </c>
      <c r="Q14" s="29" t="str">
        <f>INDEX(Д1!$E$34:$AI$43,MATCH($D14,Д1!$D$34:$D$43),MATCH(Q$7,Д1!$E$3:$AI$3))</f>
        <v/>
      </c>
      <c r="R14" s="29" t="str">
        <f>INDEX(Д1!$E$34:$AI$43,MATCH($D14,Д1!$D$34:$D$43),MATCH(R$7,Д1!$E$3:$AI$3))</f>
        <v/>
      </c>
      <c r="S14" s="29" t="str">
        <f>INDEX(Д1!$E$34:$AI$43,MATCH($D14,Д1!$D$34:$D$43),MATCH(S$7,Д1!$E$3:$AI$3))</f>
        <v/>
      </c>
      <c r="T14" s="29" t="str">
        <f>INDEX(Д1!$E$34:$AI$43,MATCH($D14,Д1!$D$34:$D$43),MATCH(T$7,Д1!$E$3:$AI$3))</f>
        <v/>
      </c>
      <c r="U14" s="29" t="str">
        <f>INDEX(Д1!$E$34:$AI$43,MATCH($D14,Д1!$D$34:$D$43),MATCH(U$7,Д1!$E$3:$AI$3))</f>
        <v/>
      </c>
      <c r="V14" s="29" t="str">
        <f>INDEX(Д1!$E$34:$AI$43,MATCH($D14,Д1!$D$34:$D$43),MATCH(V$7,Д1!$E$3:$AI$3))</f>
        <v/>
      </c>
      <c r="W14" s="29" t="str">
        <f>INDEX(Д1!$E$34:$AI$43,MATCH($D14,Д1!$D$34:$D$43),MATCH(W$7,Д1!$E$3:$AI$3))</f>
        <v/>
      </c>
      <c r="X14" s="29" t="str">
        <f>INDEX(Д1!$E$34:$AI$43,MATCH($D14,Д1!$D$34:$D$43),MATCH(X$7,Д1!$E$3:$AI$3))</f>
        <v/>
      </c>
      <c r="Y14" s="29" t="str">
        <f>INDEX(Д1!$E$34:$AI$43,MATCH($D14,Д1!$D$34:$D$43),MATCH(Y$7,Д1!$E$3:$AI$3))</f>
        <v/>
      </c>
      <c r="Z14" s="29" t="str">
        <f>INDEX(Д1!$E$34:$AI$43,MATCH($D14,Д1!$D$34:$D$43),MATCH(Z$7,Д1!$E$3:$AI$3))</f>
        <v/>
      </c>
      <c r="AA14" s="29" t="str">
        <f>INDEX(Д1!$E$34:$AI$43,MATCH($D14,Д1!$D$34:$D$43),MATCH(AA$7,Д1!$E$3:$AI$3))</f>
        <v/>
      </c>
      <c r="AB14" s="29" t="str">
        <f>INDEX(Д1!$E$34:$AI$43,MATCH($D14,Д1!$D$34:$D$43),MATCH(AB$7,Д1!$E$3:$AI$3))</f>
        <v/>
      </c>
      <c r="AC14" s="29" t="str">
        <f>INDEX(Д1!$E$34:$AI$43,MATCH($D14,Д1!$D$34:$D$43),MATCH(AC$7,Д1!$E$3:$AI$3))</f>
        <v/>
      </c>
      <c r="AD14" s="29" t="str">
        <f>INDEX(Д1!$E$34:$AI$43,MATCH($D14,Д1!$D$34:$D$43),MATCH(AD$7,Д1!$E$3:$AI$3))</f>
        <v/>
      </c>
      <c r="AE14" s="29" t="str">
        <f>INDEX(Д1!$E$34:$AI$43,MATCH($D14,Д1!$D$34:$D$43),MATCH(AE$7,Д1!$E$3:$AI$3))</f>
        <v/>
      </c>
      <c r="AF14" s="29" t="str">
        <f>INDEX(Д1!$E$34:$AI$43,MATCH($D14,Д1!$D$34:$D$43),MATCH(AF$7,Д1!$E$3:$AI$3))</f>
        <v/>
      </c>
      <c r="AG14" s="29" t="str">
        <f>INDEX(Д1!$E$34:$AI$43,MATCH($D14,Д1!$D$34:$D$43),MATCH(AG$7,Д1!$E$3:$AI$3))</f>
        <v/>
      </c>
      <c r="AH14" s="29" t="str">
        <f>INDEX(Д1!$E$34:$AI$43,MATCH($D14,Д1!$D$34:$D$43),MATCH(AH$7,Д1!$E$3:$AI$3))</f>
        <v/>
      </c>
      <c r="AI14" s="101"/>
      <c r="AJ14" s="143"/>
      <c r="AK14" s="145"/>
      <c r="AL14" s="145"/>
      <c r="AM14" s="150"/>
      <c r="AP14" s="136"/>
      <c r="AQ14" s="136"/>
      <c r="AR14" s="136"/>
      <c r="AS14" s="136"/>
      <c r="AT14" s="136"/>
      <c r="AU14" s="136"/>
      <c r="AV14" s="136"/>
      <c r="AW14" s="137"/>
      <c r="AX14" s="137"/>
    </row>
    <row r="15" spans="1:50" ht="16.5" customHeight="1" thickBot="1" x14ac:dyDescent="0.3">
      <c r="A15" s="147"/>
      <c r="B15" s="139" t="s">
        <v>83</v>
      </c>
      <c r="C15" s="170">
        <v>4</v>
      </c>
      <c r="D15" s="49">
        <v>7</v>
      </c>
      <c r="E15" s="64">
        <f ca="1">INDEX(Д1!$E$34:$AI$43,MATCH($D15,Д1!$D$34:$D$43),MATCH(E$7,Д1!$E$3:$AI$3))</f>
        <v>8</v>
      </c>
      <c r="F15" s="27">
        <f ca="1">INDEX(Д1!$E$34:$AI$43,MATCH($D15,Д1!$D$34:$D$43),MATCH(F$7,Д1!$E$3:$AI$3))</f>
        <v>12</v>
      </c>
      <c r="G15" s="27">
        <f ca="1">INDEX(Д1!$E$34:$AI$43,MATCH($D15,Д1!$D$34:$D$43),MATCH(G$7,Д1!$E$3:$AI$3))</f>
        <v>0</v>
      </c>
      <c r="H15" s="27">
        <f ca="1">INDEX(Д1!$E$34:$AI$43,MATCH($D15,Д1!$D$34:$D$43),MATCH(H$7,Д1!$E$3:$AI$3))</f>
        <v>0</v>
      </c>
      <c r="I15" s="27">
        <f ca="1">INDEX(Д1!$E$34:$AI$43,MATCH($D15,Д1!$D$34:$D$43),MATCH(I$7,Д1!$E$3:$AI$3))</f>
        <v>4</v>
      </c>
      <c r="J15" s="27">
        <f ca="1">INDEX(Д1!$E$34:$AI$43,MATCH($D15,Д1!$D$34:$D$43),MATCH(J$7,Д1!$E$3:$AI$3))</f>
        <v>8</v>
      </c>
      <c r="K15" s="27">
        <f ca="1">INDEX(Д1!$E$34:$AI$43,MATCH($D15,Д1!$D$34:$D$43),MATCH(K$7,Д1!$E$3:$AI$3))</f>
        <v>12</v>
      </c>
      <c r="L15" s="27">
        <f ca="1">INDEX(Д1!$E$34:$AI$43,MATCH($D15,Д1!$D$34:$D$43),MATCH(L$7,Д1!$E$3:$AI$3))</f>
        <v>4</v>
      </c>
      <c r="M15" s="27">
        <f ca="1">INDEX(Д1!$E$34:$AI$43,MATCH($D15,Д1!$D$34:$D$43),MATCH(M$7,Д1!$E$3:$AI$3))</f>
        <v>8</v>
      </c>
      <c r="N15" s="27">
        <f ca="1">INDEX(Д1!$E$34:$AI$43,MATCH($D15,Д1!$D$34:$D$43),MATCH(N$7,Д1!$E$3:$AI$3))</f>
        <v>12</v>
      </c>
      <c r="O15" s="27">
        <f ca="1">INDEX(Д1!$E$34:$AI$43,MATCH($D15,Д1!$D$34:$D$43),MATCH(O$7,Д1!$E$3:$AI$3))</f>
        <v>0</v>
      </c>
      <c r="P15" s="27">
        <f ca="1">INDEX(Д1!$E$34:$AI$43,MATCH($D15,Д1!$D$34:$D$43),MATCH(P$7,Д1!$E$3:$AI$3))</f>
        <v>0</v>
      </c>
      <c r="Q15" s="27">
        <f ca="1">INDEX(Д1!$E$34:$AI$43,MATCH($D15,Д1!$D$34:$D$43),MATCH(Q$7,Д1!$E$3:$AI$3))</f>
        <v>4</v>
      </c>
      <c r="R15" s="27">
        <f ca="1">INDEX(Д1!$E$34:$AI$43,MATCH($D15,Д1!$D$34:$D$43),MATCH(R$7,Д1!$E$3:$AI$3))</f>
        <v>8</v>
      </c>
      <c r="S15" s="27">
        <f ca="1">INDEX(Д1!$E$34:$AI$43,MATCH($D15,Д1!$D$34:$D$43),MATCH(S$7,Д1!$E$3:$AI$3))</f>
        <v>12</v>
      </c>
      <c r="T15" s="27">
        <f ca="1">INDEX(Д1!$E$34:$AI$43,MATCH($D15,Д1!$D$34:$D$43),MATCH(T$7,Д1!$E$3:$AI$3))</f>
        <v>4</v>
      </c>
      <c r="U15" s="27">
        <f ca="1">INDEX(Д1!$E$34:$AI$43,MATCH($D15,Д1!$D$34:$D$43),MATCH(U$7,Д1!$E$3:$AI$3))</f>
        <v>8</v>
      </c>
      <c r="V15" s="27">
        <f ca="1">INDEX(Д1!$E$34:$AI$43,MATCH($D15,Д1!$D$34:$D$43),MATCH(V$7,Д1!$E$3:$AI$3))</f>
        <v>12</v>
      </c>
      <c r="W15" s="27">
        <f ca="1">INDEX(Д1!$E$34:$AI$43,MATCH($D15,Д1!$D$34:$D$43),MATCH(W$7,Д1!$E$3:$AI$3))</f>
        <v>0</v>
      </c>
      <c r="X15" s="27">
        <f ca="1">INDEX(Д1!$E$34:$AI$43,MATCH($D15,Д1!$D$34:$D$43),MATCH(X$7,Д1!$E$3:$AI$3))</f>
        <v>0</v>
      </c>
      <c r="Y15" s="27">
        <f ca="1">INDEX(Д1!$E$34:$AI$43,MATCH($D15,Д1!$D$34:$D$43),MATCH(Y$7,Д1!$E$3:$AI$3))</f>
        <v>4</v>
      </c>
      <c r="Z15" s="27">
        <f ca="1">INDEX(Д1!$E$34:$AI$43,MATCH($D15,Д1!$D$34:$D$43),MATCH(Z$7,Д1!$E$3:$AI$3))</f>
        <v>8</v>
      </c>
      <c r="AA15" s="27">
        <f ca="1">INDEX(Д1!$E$34:$AI$43,MATCH($D15,Д1!$D$34:$D$43),MATCH(AA$7,Д1!$E$3:$AI$3))</f>
        <v>12</v>
      </c>
      <c r="AB15" s="27">
        <f ca="1">INDEX(Д1!$E$34:$AI$43,MATCH($D15,Д1!$D$34:$D$43),MATCH(AB$7,Д1!$E$3:$AI$3))</f>
        <v>4</v>
      </c>
      <c r="AC15" s="27">
        <f ca="1">INDEX(Д1!$E$34:$AI$43,MATCH($D15,Д1!$D$34:$D$43),MATCH(AC$7,Д1!$E$3:$AI$3))</f>
        <v>8</v>
      </c>
      <c r="AD15" s="27">
        <f ca="1">INDEX(Д1!$E$34:$AI$43,MATCH($D15,Д1!$D$34:$D$43),MATCH(AD$7,Д1!$E$3:$AI$3))</f>
        <v>12</v>
      </c>
      <c r="AE15" s="27">
        <f ca="1">INDEX(Д1!$E$34:$AI$43,MATCH($D15,Д1!$D$34:$D$43),MATCH(AE$7,Д1!$E$3:$AI$3))</f>
        <v>0</v>
      </c>
      <c r="AF15" s="27">
        <f ca="1">INDEX(Д1!$E$34:$AI$43,MATCH($D15,Д1!$D$34:$D$43),MATCH(AF$7,Д1!$E$3:$AI$3))</f>
        <v>0</v>
      </c>
      <c r="AG15" s="27">
        <f ca="1">INDEX(Д1!$E$34:$AI$43,MATCH($D15,Д1!$D$34:$D$43),MATCH(AG$7,Д1!$E$3:$AI$3))</f>
        <v>4</v>
      </c>
      <c r="AH15" s="27">
        <f ca="1">INDEX(Д1!$E$34:$AI$43,MATCH($D15,Д1!$D$34:$D$43),MATCH(AH$7,Д1!$E$3:$AI$3))</f>
        <v>8</v>
      </c>
      <c r="AI15" s="102"/>
      <c r="AJ15" s="143">
        <f>INDEX(Д1!AK$34:$AK$43,MATCH($C15,Д1!$C$34:$C$43),MATCH(E$7,Д1!$E$3:$AI$3))*AND(MONTH($E$8)=MONTH(Д1!$B$34))</f>
        <v>175</v>
      </c>
      <c r="AK15" s="144">
        <f ca="1">SUM(E15:AI16)</f>
        <v>176</v>
      </c>
      <c r="AL15" s="155"/>
      <c r="AM15" s="149">
        <f ca="1">SUM(F15:H16,J15:AI16)-AJ15+AL15-12</f>
        <v>-23</v>
      </c>
      <c r="AP15" s="136">
        <f t="shared" ref="AP15" ca="1" si="14">COUNTIF($E15:$AI16,"12")</f>
        <v>7</v>
      </c>
      <c r="AQ15" s="136">
        <f t="shared" ref="AQ15" ca="1" si="15">IF(COUNTIF($E15:$AI16,"СП")&gt;=1,(COUNTIF($E15:$AI16,"4")+COUNTIF($E15:$AI16,"8")-1)/2,(COUNTIF($E15:$AI16,"4")+COUNTIF($E15:$AI16,"8"))/2)</f>
        <v>7</v>
      </c>
      <c r="AR15" s="136">
        <f t="shared" ca="1" si="2"/>
        <v>84</v>
      </c>
      <c r="AS15" s="136">
        <f t="shared" ref="AS15" ca="1" si="16">IF(COUNTIF($E15:$AI16,"СП")&gt;=1,SUMIF($E15:$AI16,"4",$E15:$AI16)+SUMIF($E15:$AI16,"8",$E15:$AI16)-8,SUMIF($E15:$AI16,"4",$E15:$AI16)+SUMIF($E15:$AI16,"8",$E15:$AI16))</f>
        <v>84</v>
      </c>
      <c r="AT15" s="136">
        <f t="shared" ref="AT15" ca="1" si="17">$AR15+$AS15</f>
        <v>168</v>
      </c>
      <c r="AU15" s="136" t="str">
        <f t="shared" ref="AU15" ca="1" si="18">IF(AK15=AT15,"+","!")</f>
        <v>!</v>
      </c>
      <c r="AV15" s="136">
        <f t="shared" ref="AV15" ca="1" si="19">COUNTIF($E15:$AI16,"ОТ")</f>
        <v>0</v>
      </c>
      <c r="AW15" s="137" t="str">
        <f ca="1">IF(COUNTIF($A16:$AI16,"СП")&gt;0,IF(INDIRECT(ADDRESS(ROW(),MATCH("СП",$A16:$AI16),1))=8,"","!"),"")</f>
        <v/>
      </c>
      <c r="AX15" s="137" t="str">
        <f ca="1">IF(COUNTIF($A16:$AI16,"СП")&gt;0,IF(INDIRECT(ADDRESS(ROW(),MATCH("СП",$A16:$AI16)-1,1))=4,"!",""),"")</f>
        <v>!</v>
      </c>
    </row>
    <row r="16" spans="1:50" ht="16.5" thickBot="1" x14ac:dyDescent="0.3">
      <c r="A16" s="147"/>
      <c r="B16" s="139"/>
      <c r="C16" s="171"/>
      <c r="D16" s="50">
        <v>8</v>
      </c>
      <c r="E16" s="65" t="str">
        <f>INDEX(Д1!$E$34:$AI$43,MATCH($D16,Д1!$D$34:$D$43),MATCH(E$7,Д1!$E$3:$AI$3))</f>
        <v/>
      </c>
      <c r="F16" s="30" t="str">
        <f>INDEX(Д1!$E$34:$AI$43,MATCH($D16,Д1!$D$34:$D$43),MATCH(F$7,Д1!$E$3:$AI$3))</f>
        <v/>
      </c>
      <c r="G16" s="30" t="str">
        <f>INDEX(Д1!$E$34:$AI$43,MATCH($D16,Д1!$D$34:$D$43),MATCH(G$7,Д1!$E$3:$AI$3))</f>
        <v/>
      </c>
      <c r="H16" s="30" t="str">
        <f>INDEX(Д1!$E$34:$AI$43,MATCH($D16,Д1!$D$34:$D$43),MATCH(H$7,Д1!$E$3:$AI$3))</f>
        <v/>
      </c>
      <c r="I16" s="30" t="str">
        <f>INDEX(Д1!$E$34:$AI$43,MATCH($D16,Д1!$D$34:$D$43),MATCH(I$7,Д1!$E$3:$AI$3))</f>
        <v/>
      </c>
      <c r="J16" s="30" t="str">
        <f>INDEX(Д1!$E$34:$AI$43,MATCH($D16,Д1!$D$34:$D$43),MATCH(J$7,Д1!$E$3:$AI$3))</f>
        <v/>
      </c>
      <c r="K16" s="30" t="str">
        <f>INDEX(Д1!$E$34:$AI$43,MATCH($D16,Д1!$D$34:$D$43),MATCH(K$7,Д1!$E$3:$AI$3))</f>
        <v>СП</v>
      </c>
      <c r="L16" s="30" t="str">
        <f>INDEX(Д1!$E$34:$AI$43,MATCH($D16,Д1!$D$34:$D$43),MATCH(L$7,Д1!$E$3:$AI$3))</f>
        <v/>
      </c>
      <c r="M16" s="30" t="str">
        <f>INDEX(Д1!$E$34:$AI$43,MATCH($D16,Д1!$D$34:$D$43),MATCH(M$7,Д1!$E$3:$AI$3))</f>
        <v/>
      </c>
      <c r="N16" s="30" t="str">
        <f>INDEX(Д1!$E$34:$AI$43,MATCH($D16,Д1!$D$34:$D$43),MATCH(N$7,Д1!$E$3:$AI$3))</f>
        <v/>
      </c>
      <c r="O16" s="30" t="str">
        <f>INDEX(Д1!$E$34:$AI$43,MATCH($D16,Д1!$D$34:$D$43),MATCH(O$7,Д1!$E$3:$AI$3))</f>
        <v/>
      </c>
      <c r="P16" s="30" t="str">
        <f>INDEX(Д1!$E$34:$AI$43,MATCH($D16,Д1!$D$34:$D$43),MATCH(P$7,Д1!$E$3:$AI$3))</f>
        <v/>
      </c>
      <c r="Q16" s="30" t="str">
        <f>INDEX(Д1!$E$34:$AI$43,MATCH($D16,Д1!$D$34:$D$43),MATCH(Q$7,Д1!$E$3:$AI$3))</f>
        <v/>
      </c>
      <c r="R16" s="30" t="str">
        <f>INDEX(Д1!$E$34:$AI$43,MATCH($D16,Д1!$D$34:$D$43),MATCH(R$7,Д1!$E$3:$AI$3))</f>
        <v/>
      </c>
      <c r="S16" s="30" t="str">
        <f>INDEX(Д1!$E$34:$AI$43,MATCH($D16,Д1!$D$34:$D$43),MATCH(S$7,Д1!$E$3:$AI$3))</f>
        <v/>
      </c>
      <c r="T16" s="30" t="str">
        <f>INDEX(Д1!$E$34:$AI$43,MATCH($D16,Д1!$D$34:$D$43),MATCH(T$7,Д1!$E$3:$AI$3))</f>
        <v/>
      </c>
      <c r="U16" s="30" t="str">
        <f>INDEX(Д1!$E$34:$AI$43,MATCH($D16,Д1!$D$34:$D$43),MATCH(U$7,Д1!$E$3:$AI$3))</f>
        <v/>
      </c>
      <c r="V16" s="30" t="str">
        <f>INDEX(Д1!$E$34:$AI$43,MATCH($D16,Д1!$D$34:$D$43),MATCH(V$7,Д1!$E$3:$AI$3))</f>
        <v/>
      </c>
      <c r="W16" s="30" t="str">
        <f>INDEX(Д1!$E$34:$AI$43,MATCH($D16,Д1!$D$34:$D$43),MATCH(W$7,Д1!$E$3:$AI$3))</f>
        <v/>
      </c>
      <c r="X16" s="30" t="str">
        <f>INDEX(Д1!$E$34:$AI$43,MATCH($D16,Д1!$D$34:$D$43),MATCH(X$7,Д1!$E$3:$AI$3))</f>
        <v/>
      </c>
      <c r="Y16" s="30" t="str">
        <f>INDEX(Д1!$E$34:$AI$43,MATCH($D16,Д1!$D$34:$D$43),MATCH(Y$7,Д1!$E$3:$AI$3))</f>
        <v/>
      </c>
      <c r="Z16" s="30" t="str">
        <f>INDEX(Д1!$E$34:$AI$43,MATCH($D16,Д1!$D$34:$D$43),MATCH(Z$7,Д1!$E$3:$AI$3))</f>
        <v/>
      </c>
      <c r="AA16" s="30" t="str">
        <f>INDEX(Д1!$E$34:$AI$43,MATCH($D16,Д1!$D$34:$D$43),MATCH(AA$7,Д1!$E$3:$AI$3))</f>
        <v/>
      </c>
      <c r="AB16" s="30" t="str">
        <f>INDEX(Д1!$E$34:$AI$43,MATCH($D16,Д1!$D$34:$D$43),MATCH(AB$7,Д1!$E$3:$AI$3))</f>
        <v/>
      </c>
      <c r="AC16" s="30" t="str">
        <f>INDEX(Д1!$E$34:$AI$43,MATCH($D16,Д1!$D$34:$D$43),MATCH(AC$7,Д1!$E$3:$AI$3))</f>
        <v/>
      </c>
      <c r="AD16" s="30" t="str">
        <f>INDEX(Д1!$E$34:$AI$43,MATCH($D16,Д1!$D$34:$D$43),MATCH(AD$7,Д1!$E$3:$AI$3))</f>
        <v/>
      </c>
      <c r="AE16" s="30" t="str">
        <f>INDEX(Д1!$E$34:$AI$43,MATCH($D16,Д1!$D$34:$D$43),MATCH(AE$7,Д1!$E$3:$AI$3))</f>
        <v/>
      </c>
      <c r="AF16" s="30" t="str">
        <f>INDEX(Д1!$E$34:$AI$43,MATCH($D16,Д1!$D$34:$D$43),MATCH(AF$7,Д1!$E$3:$AI$3))</f>
        <v/>
      </c>
      <c r="AG16" s="30" t="str">
        <f>INDEX(Д1!$E$34:$AI$43,MATCH($D16,Д1!$D$34:$D$43),MATCH(AG$7,Д1!$E$3:$AI$3))</f>
        <v/>
      </c>
      <c r="AH16" s="30" t="str">
        <f>INDEX(Д1!$E$34:$AI$43,MATCH($D16,Д1!$D$34:$D$43),MATCH(AH$7,Д1!$E$3:$AI$3))</f>
        <v/>
      </c>
      <c r="AI16" s="104"/>
      <c r="AJ16" s="143"/>
      <c r="AK16" s="145"/>
      <c r="AL16" s="145"/>
      <c r="AM16" s="150"/>
      <c r="AP16" s="136"/>
      <c r="AQ16" s="136"/>
      <c r="AR16" s="136"/>
      <c r="AS16" s="136"/>
      <c r="AT16" s="136"/>
      <c r="AU16" s="136"/>
      <c r="AV16" s="136"/>
      <c r="AW16" s="137"/>
      <c r="AX16" s="137"/>
    </row>
    <row r="17" spans="1:50" ht="16.5" customHeight="1" thickBot="1" x14ac:dyDescent="0.3">
      <c r="A17" s="147"/>
      <c r="B17" s="139" t="s">
        <v>84</v>
      </c>
      <c r="C17" s="170">
        <v>5</v>
      </c>
      <c r="D17" s="49">
        <v>9</v>
      </c>
      <c r="E17" s="62" t="str">
        <f>INDEX(Д1!$E$34:$AI$43,MATCH($D17,Д1!$D34:$D$43),MATCH(E$7,Д1!$E$3:$AI$3))</f>
        <v>-</v>
      </c>
      <c r="F17" s="28" t="str">
        <f>INDEX(Д1!$E$34:$AI$43,MATCH($D17,Д1!$D34:$D$43),MATCH(F$7,Д1!$E$3:$AI$3))</f>
        <v>-</v>
      </c>
      <c r="G17" s="28" t="str">
        <f>INDEX(Д1!$E$34:$AI$43,MATCH($D17,Д1!$D34:$D$43),MATCH(G$7,Д1!$E$3:$AI$3))</f>
        <v>-</v>
      </c>
      <c r="H17" s="28" t="str">
        <f>INDEX(Д1!$E$34:$AI$43,MATCH($D17,Д1!$D34:$D$43),MATCH(H$7,Д1!$E$3:$AI$3))</f>
        <v>-</v>
      </c>
      <c r="I17" s="28" t="str">
        <f>INDEX(Д1!$E$34:$AI$43,MATCH($D17,Д1!$D34:$D$43),MATCH(I$7,Д1!$E$3:$AI$3))</f>
        <v>-</v>
      </c>
      <c r="J17" s="28" t="str">
        <f>INDEX(Д1!$E$34:$AI$43,MATCH($D17,Д1!$D34:$D$43),MATCH(J$7,Д1!$E$3:$AI$3))</f>
        <v>-</v>
      </c>
      <c r="K17" s="28" t="str">
        <f>INDEX(Д1!$E$34:$AI$43,MATCH($D17,Д1!$D34:$D$43),MATCH(K$7,Д1!$E$3:$AI$3))</f>
        <v>-</v>
      </c>
      <c r="L17" s="28" t="str">
        <f>INDEX(Д1!$E$34:$AI$43,MATCH($D17,Д1!$D34:$D$43),MATCH(L$7,Д1!$E$3:$AI$3))</f>
        <v>-</v>
      </c>
      <c r="M17" s="28" t="str">
        <f>INDEX(Д1!$E$34:$AI$43,MATCH($D17,Д1!$D34:$D$43),MATCH(M$7,Д1!$E$3:$AI$3))</f>
        <v>-</v>
      </c>
      <c r="N17" s="28" t="str">
        <f>INDEX(Д1!$E$34:$AI$43,MATCH($D17,Д1!$D34:$D$43),MATCH(N$7,Д1!$E$3:$AI$3))</f>
        <v>-</v>
      </c>
      <c r="O17" s="28" t="str">
        <f>INDEX(Д1!$E$34:$AI$43,MATCH($D17,Д1!$D34:$D$43),MATCH(O$7,Д1!$E$3:$AI$3))</f>
        <v>-</v>
      </c>
      <c r="P17" s="28" t="str">
        <f>INDEX(Д1!$E$34:$AI$43,MATCH($D17,Д1!$D34:$D$43),MATCH(P$7,Д1!$E$3:$AI$3))</f>
        <v>-</v>
      </c>
      <c r="Q17" s="28" t="str">
        <f>INDEX(Д1!$E$34:$AI$43,MATCH($D17,Д1!$D34:$D$43),MATCH(Q$7,Д1!$E$3:$AI$3))</f>
        <v>-</v>
      </c>
      <c r="R17" s="28" t="str">
        <f>INDEX(Д1!$E$34:$AI$43,MATCH($D17,Д1!$D34:$D$43),MATCH(R$7,Д1!$E$3:$AI$3))</f>
        <v>-</v>
      </c>
      <c r="S17" s="28" t="str">
        <f>INDEX(Д1!$E$34:$AI$43,MATCH($D17,Д1!$D34:$D$43),MATCH(S$7,Д1!$E$3:$AI$3))</f>
        <v>-</v>
      </c>
      <c r="T17" s="28" t="str">
        <f>INDEX(Д1!$E$34:$AI$43,MATCH($D17,Д1!$D34:$D$43),MATCH(T$7,Д1!$E$3:$AI$3))</f>
        <v>-</v>
      </c>
      <c r="U17" s="28" t="str">
        <f>INDEX(Д1!$E$34:$AI$43,MATCH($D17,Д1!$D34:$D$43),MATCH(U$7,Д1!$E$3:$AI$3))</f>
        <v>-</v>
      </c>
      <c r="V17" s="28" t="str">
        <f>INDEX(Д1!$E$34:$AI$43,MATCH($D17,Д1!$D34:$D$43),MATCH(V$7,Д1!$E$3:$AI$3))</f>
        <v>-</v>
      </c>
      <c r="W17" s="28" t="str">
        <f>INDEX(Д1!$E$34:$AI$43,MATCH($D17,Д1!$D34:$D$43),MATCH(W$7,Д1!$E$3:$AI$3))</f>
        <v>-</v>
      </c>
      <c r="X17" s="28" t="str">
        <f>INDEX(Д1!$E$34:$AI$43,MATCH($D17,Д1!$D34:$D$43),MATCH(X$7,Д1!$E$3:$AI$3))</f>
        <v>-</v>
      </c>
      <c r="Y17" s="28" t="str">
        <f>INDEX(Д1!$E$34:$AI$43,MATCH($D17,Д1!$D34:$D$43),MATCH(Y$7,Д1!$E$3:$AI$3))</f>
        <v>-</v>
      </c>
      <c r="Z17" s="28" t="str">
        <f>INDEX(Д1!$E$34:$AI$43,MATCH($D17,Д1!$D34:$D$43),MATCH(Z$7,Д1!$E$3:$AI$3))</f>
        <v>-</v>
      </c>
      <c r="AA17" s="28" t="str">
        <f>INDEX(Д1!$E$34:$AI$43,MATCH($D17,Д1!$D34:$D$43),MATCH(AA$7,Д1!$E$3:$AI$3))</f>
        <v>-</v>
      </c>
      <c r="AB17" s="28" t="str">
        <f>INDEX(Д1!$E$34:$AI$43,MATCH($D17,Д1!$D34:$D$43),MATCH(AB$7,Д1!$E$3:$AI$3))</f>
        <v>-</v>
      </c>
      <c r="AC17" s="28" t="str">
        <f>INDEX(Д1!$E$34:$AI$43,MATCH($D17,Д1!$D34:$D$43),MATCH(AC$7,Д1!$E$3:$AI$3))</f>
        <v>-</v>
      </c>
      <c r="AD17" s="28" t="str">
        <f>INDEX(Д1!$E$34:$AI$43,MATCH($D17,Д1!$D34:$D$43),MATCH(AD$7,Д1!$E$3:$AI$3))</f>
        <v>-</v>
      </c>
      <c r="AE17" s="28" t="str">
        <f>INDEX(Д1!$E$34:$AI$43,MATCH($D17,Д1!$D34:$D$43),MATCH(AE$7,Д1!$E$3:$AI$3))</f>
        <v>-</v>
      </c>
      <c r="AF17" s="28" t="str">
        <f>INDEX(Д1!$E$34:$AI$43,MATCH($D17,Д1!$D34:$D$43),MATCH(AF$7,Д1!$E$3:$AI$3))</f>
        <v>-</v>
      </c>
      <c r="AG17" s="28" t="str">
        <f>INDEX(Д1!$E$34:$AI$43,MATCH($D17,Д1!$D34:$D$43),MATCH(AG$7,Д1!$E$3:$AI$3))</f>
        <v>-</v>
      </c>
      <c r="AH17" s="28" t="str">
        <f>INDEX(Д1!$E$34:$AI$43,MATCH($D17,Д1!$D34:$D$43),MATCH(AH$7,Д1!$E$3:$AI$3))</f>
        <v>-</v>
      </c>
      <c r="AI17" s="100"/>
      <c r="AJ17" s="143">
        <f>INDEX(Д1!AK$34:$AK$43,MATCH($C17,Д1!$C$34:$C$43),MATCH(E$7,Д1!$E$3:$AI$3))*AND(MONTH($E$8)=MONTH(Д1!$B$34))</f>
        <v>175</v>
      </c>
      <c r="AK17" s="144">
        <f>SUM(E17:AI17)</f>
        <v>0</v>
      </c>
      <c r="AL17" s="144"/>
      <c r="AM17" s="149">
        <f>SUM(F17:H18,J17:AI18)-AJ17+AL17-12</f>
        <v>-187</v>
      </c>
      <c r="AP17" s="136">
        <f t="shared" ref="AP17" si="20">COUNTIF($E17:$AI18,"12")</f>
        <v>0</v>
      </c>
      <c r="AQ17" s="136">
        <f t="shared" ref="AQ17" si="21">IF(COUNTIF($E17:$AI18,"СП")&gt;=1,(COUNTIF($E17:$AI18,"4")+COUNTIF($E17:$AI18,"8")-1)/2,(COUNTIF($E17:$AI18,"4")+COUNTIF($E17:$AI18,"8"))/2)</f>
        <v>-0.5</v>
      </c>
      <c r="AR17" s="136">
        <f t="shared" si="2"/>
        <v>0</v>
      </c>
      <c r="AS17" s="136">
        <f t="shared" ref="AS17" si="22">IF(COUNTIF($E17:$AI18,"СП")&gt;=1,SUMIF($E17:$AI18,"4",$E17:$AI18)+SUMIF($E17:$AI18,"8",$E17:$AI18)-8,SUMIF($E17:$AI18,"4",$E17:$AI18)+SUMIF($E17:$AI18,"8",$E17:$AI18))</f>
        <v>-8</v>
      </c>
      <c r="AT17" s="136">
        <f t="shared" ref="AT17" si="23">$AR17+$AS17</f>
        <v>-8</v>
      </c>
      <c r="AU17" s="136" t="str">
        <f t="shared" ref="AU17" si="24">IF(AK17=AT17,"+","!")</f>
        <v>!</v>
      </c>
      <c r="AV17" s="136">
        <f t="shared" ref="AV17" si="25">COUNTIF($E17:$AI18,"ОТ")</f>
        <v>0</v>
      </c>
      <c r="AW17" s="137" t="str">
        <f ca="1">IF(COUNTIF($A18:$AI18,"СП")&gt;0,IF(INDIRECT(ADDRESS(ROW(),MATCH("СП",$A18:$AI18),1))=8,"","!"),"")</f>
        <v>!</v>
      </c>
      <c r="AX17" s="137" t="str">
        <f ca="1">IF(COUNTIF($A18:$AI18,"СП")&gt;0,IF(INDIRECT(ADDRESS(ROW(),MATCH("СП",$A18:$AI18)-1,1))=4,"!",""),"")</f>
        <v/>
      </c>
    </row>
    <row r="18" spans="1:50" ht="16.5" thickBot="1" x14ac:dyDescent="0.3">
      <c r="A18" s="148"/>
      <c r="B18" s="140"/>
      <c r="C18" s="172"/>
      <c r="D18" s="50">
        <v>10</v>
      </c>
      <c r="E18" s="66" t="str">
        <f>INDEX(Д1!$E$34:$AI$43,MATCH($D18,Д1!$D$34:$D$43),MATCH(E$7,Д1!$E$3:$AI$3))</f>
        <v/>
      </c>
      <c r="F18" s="67" t="str">
        <f>INDEX(Д1!$E$34:$AI$43,MATCH($D18,Д1!$D$34:$D$43),MATCH(F$7,Д1!$E$3:$AI$3))</f>
        <v/>
      </c>
      <c r="G18" s="67" t="str">
        <f>INDEX(Д1!$E$34:$AI$43,MATCH($D18,Д1!$D$34:$D$43),MATCH(G$7,Д1!$E$3:$AI$3))</f>
        <v/>
      </c>
      <c r="H18" s="67" t="str">
        <f>INDEX(Д1!$E$34:$AI$43,MATCH($D18,Д1!$D$34:$D$43),MATCH(H$7,Д1!$E$3:$AI$3))</f>
        <v/>
      </c>
      <c r="I18" s="67" t="str">
        <f>INDEX(Д1!$E$34:$AI$43,MATCH($D18,Д1!$D$34:$D$43),MATCH(I$7,Д1!$E$3:$AI$3))</f>
        <v/>
      </c>
      <c r="J18" s="67" t="str">
        <f>INDEX(Д1!$E$34:$AI$43,MATCH($D18,Д1!$D$34:$D$43),MATCH(J$7,Д1!$E$3:$AI$3))</f>
        <v/>
      </c>
      <c r="K18" s="67" t="str">
        <f>INDEX(Д1!$E$34:$AI$43,MATCH($D18,Д1!$D$34:$D$43),MATCH(K$7,Д1!$E$3:$AI$3))</f>
        <v/>
      </c>
      <c r="L18" s="67" t="str">
        <f>INDEX(Д1!$E$34:$AI$43,MATCH($D18,Д1!$D$34:$D$43),MATCH(L$7,Д1!$E$3:$AI$3))</f>
        <v>СП</v>
      </c>
      <c r="M18" s="67" t="str">
        <f>INDEX(Д1!$E$34:$AI$43,MATCH($D18,Д1!$D$34:$D$43),MATCH(M$7,Д1!$E$3:$AI$3))</f>
        <v/>
      </c>
      <c r="N18" s="67" t="str">
        <f>INDEX(Д1!$E$34:$AI$43,MATCH($D18,Д1!$D$34:$D$43),MATCH(N$7,Д1!$E$3:$AI$3))</f>
        <v/>
      </c>
      <c r="O18" s="67" t="str">
        <f>INDEX(Д1!$E$34:$AI$43,MATCH($D18,Д1!$D$34:$D$43),MATCH(O$7,Д1!$E$3:$AI$3))</f>
        <v/>
      </c>
      <c r="P18" s="67" t="str">
        <f>INDEX(Д1!$E$34:$AI$43,MATCH($D18,Д1!$D$34:$D$43),MATCH(P$7,Д1!$E$3:$AI$3))</f>
        <v/>
      </c>
      <c r="Q18" s="67" t="str">
        <f>INDEX(Д1!$E$34:$AI$43,MATCH($D18,Д1!$D$34:$D$43),MATCH(Q$7,Д1!$E$3:$AI$3))</f>
        <v/>
      </c>
      <c r="R18" s="67" t="str">
        <f>INDEX(Д1!$E$34:$AI$43,MATCH($D18,Д1!$D$34:$D$43),MATCH(R$7,Д1!$E$3:$AI$3))</f>
        <v/>
      </c>
      <c r="S18" s="67" t="str">
        <f>INDEX(Д1!$E$34:$AI$43,MATCH($D18,Д1!$D$34:$D$43),MATCH(S$7,Д1!$E$3:$AI$3))</f>
        <v/>
      </c>
      <c r="T18" s="67" t="str">
        <f>INDEX(Д1!$E$34:$AI$43,MATCH($D18,Д1!$D$34:$D$43),MATCH(T$7,Д1!$E$3:$AI$3))</f>
        <v/>
      </c>
      <c r="U18" s="67" t="str">
        <f>INDEX(Д1!$E$34:$AI$43,MATCH($D18,Д1!$D$34:$D$43),MATCH(U$7,Д1!$E$3:$AI$3))</f>
        <v/>
      </c>
      <c r="V18" s="67" t="str">
        <f>INDEX(Д1!$E$34:$AI$43,MATCH($D18,Д1!$D$34:$D$43),MATCH(V$7,Д1!$E$3:$AI$3))</f>
        <v/>
      </c>
      <c r="W18" s="67" t="str">
        <f>INDEX(Д1!$E$34:$AI$43,MATCH($D18,Д1!$D$34:$D$43),MATCH(W$7,Д1!$E$3:$AI$3))</f>
        <v/>
      </c>
      <c r="X18" s="67" t="str">
        <f>INDEX(Д1!$E$34:$AI$43,MATCH($D18,Д1!$D$34:$D$43),MATCH(X$7,Д1!$E$3:$AI$3))</f>
        <v/>
      </c>
      <c r="Y18" s="67" t="str">
        <f>INDEX(Д1!$E$34:$AI$43,MATCH($D18,Д1!$D$34:$D$43),MATCH(Y$7,Д1!$E$3:$AI$3))</f>
        <v/>
      </c>
      <c r="Z18" s="67" t="str">
        <f>INDEX(Д1!$E$34:$AI$43,MATCH($D18,Д1!$D$34:$D$43),MATCH(Z$7,Д1!$E$3:$AI$3))</f>
        <v/>
      </c>
      <c r="AA18" s="67" t="str">
        <f>INDEX(Д1!$E$34:$AI$43,MATCH($D18,Д1!$D$34:$D$43),MATCH(AA$7,Д1!$E$3:$AI$3))</f>
        <v/>
      </c>
      <c r="AB18" s="67" t="str">
        <f>INDEX(Д1!$E$34:$AI$43,MATCH($D18,Д1!$D$34:$D$43),MATCH(AB$7,Д1!$E$3:$AI$3))</f>
        <v/>
      </c>
      <c r="AC18" s="67" t="str">
        <f>INDEX(Д1!$E$34:$AI$43,MATCH($D18,Д1!$D$34:$D$43),MATCH(AC$7,Д1!$E$3:$AI$3))</f>
        <v/>
      </c>
      <c r="AD18" s="67" t="str">
        <f>INDEX(Д1!$E$34:$AI$43,MATCH($D18,Д1!$D$34:$D$43),MATCH(AD$7,Д1!$E$3:$AI$3))</f>
        <v/>
      </c>
      <c r="AE18" s="67" t="str">
        <f>INDEX(Д1!$E$34:$AI$43,MATCH($D18,Д1!$D$34:$D$43),MATCH(AE$7,Д1!$E$3:$AI$3))</f>
        <v/>
      </c>
      <c r="AF18" s="67" t="str">
        <f>INDEX(Д1!$E$34:$AI$43,MATCH($D18,Д1!$D$34:$D$43),MATCH(AF$7,Д1!$E$3:$AI$3))</f>
        <v/>
      </c>
      <c r="AG18" s="67" t="str">
        <f>INDEX(Д1!$E$34:$AI$43,MATCH($D18,Д1!$D$34:$D$43),MATCH(AG$7,Д1!$E$3:$AI$3))</f>
        <v/>
      </c>
      <c r="AH18" s="67" t="str">
        <f>INDEX(Д1!$E$34:$AI$43,MATCH($D18,Д1!$D$34:$D$43),MATCH(AH$7,Д1!$E$3:$AI$3))</f>
        <v/>
      </c>
      <c r="AI18" s="105"/>
      <c r="AJ18" s="153"/>
      <c r="AK18" s="158"/>
      <c r="AL18" s="158"/>
      <c r="AM18" s="150"/>
      <c r="AP18" s="136"/>
      <c r="AQ18" s="136"/>
      <c r="AR18" s="136"/>
      <c r="AS18" s="136"/>
      <c r="AT18" s="136"/>
      <c r="AU18" s="136"/>
      <c r="AV18" s="136"/>
      <c r="AW18" s="137"/>
      <c r="AX18" s="137"/>
    </row>
    <row r="19" spans="1:50" ht="17.25" customHeight="1" thickTop="1" thickBot="1" x14ac:dyDescent="0.3">
      <c r="A19" s="146" t="s">
        <v>101</v>
      </c>
      <c r="B19" s="151" t="s">
        <v>85</v>
      </c>
      <c r="C19" s="173">
        <v>1</v>
      </c>
      <c r="D19" s="49">
        <v>1</v>
      </c>
      <c r="E19" s="64">
        <f ca="1">INDEX(Д2!$E$34:$AI$43,MATCH($D19,Д2!$D$34:$D$43),MATCH(E$7,Д2!$E$3:$AI$3))</f>
        <v>4</v>
      </c>
      <c r="F19" s="64">
        <f ca="1">INDEX(Д2!$E$34:$AI$43,MATCH($D19,Д2!$D$34:$D$43),MATCH(F$7,Д2!$E$3:$AI$3))</f>
        <v>8</v>
      </c>
      <c r="G19" s="64">
        <f ca="1">INDEX(Д2!$E$34:$AI$43,MATCH($D19,Д2!$D$34:$D$43),MATCH(G$7,Д2!$E$3:$AI$3))</f>
        <v>12</v>
      </c>
      <c r="H19" s="64">
        <f ca="1">INDEX(Д2!$E$34:$AI$43,MATCH($D19,Д2!$D$34:$D$43),MATCH(H$7,Д2!$E$3:$AI$3))</f>
        <v>8</v>
      </c>
      <c r="I19" s="64">
        <f ca="1">INDEX(Д2!$E$34:$AI$43,MATCH($D19,Д2!$D$34:$D$43),MATCH(I$7,Д2!$E$3:$AI$3))</f>
        <v>8</v>
      </c>
      <c r="J19" s="64">
        <f ca="1">INDEX(Д2!$E$34:$AI$43,MATCH($D19,Д2!$D$34:$D$43),MATCH(J$7,Д2!$E$3:$AI$3))</f>
        <v>12</v>
      </c>
      <c r="K19" s="64">
        <f ca="1">INDEX(Д2!$E$34:$AI$43,MATCH($D19,Д2!$D$34:$D$43),MATCH(K$7,Д2!$E$3:$AI$3))</f>
        <v>0</v>
      </c>
      <c r="L19" s="64">
        <f ca="1">INDEX(Д2!$E$34:$AI$43,MATCH($D19,Д2!$D$34:$D$43),MATCH(L$7,Д2!$E$3:$AI$3))</f>
        <v>0</v>
      </c>
      <c r="M19" s="64">
        <f ca="1">INDEX(Д2!$E$34:$AI$43,MATCH($D19,Д2!$D$34:$D$43),MATCH(M$7,Д2!$E$3:$AI$3))</f>
        <v>4</v>
      </c>
      <c r="N19" s="64">
        <f ca="1">INDEX(Д2!$E$34:$AI$43,MATCH($D19,Д2!$D$34:$D$43),MATCH(N$7,Д2!$E$3:$AI$3))</f>
        <v>8</v>
      </c>
      <c r="O19" s="64">
        <f ca="1">INDEX(Д2!$E$34:$AI$43,MATCH($D19,Д2!$D$34:$D$43),MATCH(O$7,Д2!$E$3:$AI$3))</f>
        <v>12</v>
      </c>
      <c r="P19" s="64">
        <f ca="1">INDEX(Д2!$E$34:$AI$43,MATCH($D19,Д2!$D$34:$D$43),MATCH(P$7,Д2!$E$3:$AI$3))</f>
        <v>4</v>
      </c>
      <c r="Q19" s="64">
        <f ca="1">INDEX(Д2!$E$34:$AI$43,MATCH($D19,Д2!$D$34:$D$43),MATCH(Q$7,Д2!$E$3:$AI$3))</f>
        <v>8</v>
      </c>
      <c r="R19" s="64">
        <f ca="1">INDEX(Д2!$E$34:$AI$43,MATCH($D19,Д2!$D$34:$D$43),MATCH(R$7,Д2!$E$3:$AI$3))</f>
        <v>12</v>
      </c>
      <c r="S19" s="64">
        <f ca="1">INDEX(Д2!$E$34:$AI$43,MATCH($D19,Д2!$D$34:$D$43),MATCH(S$7,Д2!$E$3:$AI$3))</f>
        <v>0</v>
      </c>
      <c r="T19" s="64">
        <f ca="1">INDEX(Д2!$E$34:$AI$43,MATCH($D19,Д2!$D$34:$D$43),MATCH(T$7,Д2!$E$3:$AI$3))</f>
        <v>0</v>
      </c>
      <c r="U19" s="64">
        <f ca="1">INDEX(Д2!$E$34:$AI$43,MATCH($D19,Д2!$D$34:$D$43),MATCH(U$7,Д2!$E$3:$AI$3))</f>
        <v>4</v>
      </c>
      <c r="V19" s="64">
        <f ca="1">INDEX(Д2!$E$34:$AI$43,MATCH($D19,Д2!$D$34:$D$43),MATCH(V$7,Д2!$E$3:$AI$3))</f>
        <v>8</v>
      </c>
      <c r="W19" s="64">
        <f ca="1">INDEX(Д2!$E$34:$AI$43,MATCH($D19,Д2!$D$34:$D$43),MATCH(W$7,Д2!$E$3:$AI$3))</f>
        <v>12</v>
      </c>
      <c r="X19" s="64">
        <f ca="1">INDEX(Д2!$E$34:$AI$43,MATCH($D19,Д2!$D$34:$D$43),MATCH(X$7,Д2!$E$3:$AI$3))</f>
        <v>4</v>
      </c>
      <c r="Y19" s="64">
        <f ca="1">INDEX(Д2!$E$34:$AI$43,MATCH($D19,Д2!$D$34:$D$43),MATCH(Y$7,Д2!$E$3:$AI$3))</f>
        <v>8</v>
      </c>
      <c r="Z19" s="64">
        <f ca="1">INDEX(Д2!$E$34:$AI$43,MATCH($D19,Д2!$D$34:$D$43),MATCH(Z$7,Д2!$E$3:$AI$3))</f>
        <v>12</v>
      </c>
      <c r="AA19" s="64">
        <f ca="1">INDEX(Д2!$E$34:$AI$43,MATCH($D19,Д2!$D$34:$D$43),MATCH(AA$7,Д2!$E$3:$AI$3))</f>
        <v>0</v>
      </c>
      <c r="AB19" s="64">
        <f ca="1">INDEX(Д2!$E$34:$AI$43,MATCH($D19,Д2!$D$34:$D$43),MATCH(AB$7,Д2!$E$3:$AI$3))</f>
        <v>0</v>
      </c>
      <c r="AC19" s="64">
        <f ca="1">INDEX(Д2!$E$34:$AI$43,MATCH($D19,Д2!$D$34:$D$43),MATCH(AC$7,Д2!$E$3:$AI$3))</f>
        <v>4</v>
      </c>
      <c r="AD19" s="64">
        <f ca="1">INDEX(Д2!$E$34:$AI$43,MATCH($D19,Д2!$D$34:$D$43),MATCH(AD$7,Д2!$E$3:$AI$3))</f>
        <v>8</v>
      </c>
      <c r="AE19" s="64">
        <f ca="1">INDEX(Д2!$E$34:$AI$43,MATCH($D19,Д2!$D$34:$D$43),MATCH(AE$7,Д2!$E$3:$AI$3))</f>
        <v>12</v>
      </c>
      <c r="AF19" s="64">
        <f ca="1">INDEX(Д2!$E$34:$AI$43,MATCH($D19,Д2!$D$34:$D$43),MATCH(AF$7,Д2!$E$3:$AI$3))</f>
        <v>4</v>
      </c>
      <c r="AG19" s="64">
        <f ca="1">INDEX(Д2!$E$34:$AI$43,MATCH($D19,Д2!$D$34:$D$43),MATCH(AG$7,Д2!$E$3:$AI$3))</f>
        <v>8</v>
      </c>
      <c r="AH19" s="64">
        <f ca="1">INDEX(Д2!$E$34:$AI$43,MATCH($D19,Д2!$D$34:$D$43),MATCH(AH$7,Д2!$E$3:$AI$3))</f>
        <v>12</v>
      </c>
      <c r="AI19" s="106"/>
      <c r="AJ19" s="157">
        <f>INDEX(Д2!AK$34:$AK$43,MATCH($C19,Д2!$C$34:$C$43),MATCH(E$7,Д2!$E$3:$AI$3))*AND(MONTH($E$8)=MONTH(Д2!$B$34))</f>
        <v>175</v>
      </c>
      <c r="AK19" s="154">
        <v>0</v>
      </c>
      <c r="AL19" s="155"/>
      <c r="AM19" s="149">
        <f ca="1">SUM(F19:H20,J19:AI20)-AJ19+AL19-12</f>
        <v>-3</v>
      </c>
      <c r="AP19" s="136">
        <f t="shared" ref="AP19" ca="1" si="26">COUNTIF($E19:$AI20,"12")</f>
        <v>8</v>
      </c>
      <c r="AQ19" s="136">
        <f t="shared" ref="AQ19" ca="1" si="27">IF(COUNTIF($E19:$AI20,"СП")&gt;=1,(COUNTIF($E19:$AI20,"4")+COUNTIF($E19:$AI20,"8")-1)/2,(COUNTIF($E19:$AI20,"4")+COUNTIF($E19:$AI20,"8"))/2)</f>
        <v>7.5</v>
      </c>
      <c r="AR19" s="136">
        <f t="shared" ca="1" si="2"/>
        <v>96</v>
      </c>
      <c r="AS19" s="136">
        <f t="shared" ref="AS19" ca="1" si="28">IF(COUNTIF($E19:$AI20,"СП")&gt;=1,SUMIF($E19:$AI20,"4",$E19:$AI20)+SUMIF($E19:$AI20,"8",$E19:$AI20)-8,SUMIF($E19:$AI20,"4",$E19:$AI20)+SUMIF($E19:$AI20,"8",$E19:$AI20))</f>
        <v>92</v>
      </c>
      <c r="AT19" s="136">
        <f t="shared" ref="AT19" ca="1" si="29">$AR19+$AS19</f>
        <v>188</v>
      </c>
      <c r="AU19" s="136" t="str">
        <f t="shared" ref="AU19" ca="1" si="30">IF(AK19=AT19,"+","!")</f>
        <v>!</v>
      </c>
      <c r="AV19" s="136">
        <f t="shared" ref="AV19" ca="1" si="31">COUNTIF($E19:$AI20,"ОТ")</f>
        <v>0</v>
      </c>
      <c r="AW19" s="137" t="str">
        <f ca="1">IF(COUNTIF($A20:$AI20,"СП")&gt;0,IF(INDIRECT(ADDRESS(ROW(),MATCH("СП",$A20:$AI20),1))=8,"","!"),"")</f>
        <v>!</v>
      </c>
      <c r="AX19" s="137" t="str">
        <f ca="1">IF(COUNTIF($A20:$AI20,"СП")&gt;0,IF(INDIRECT(ADDRESS(ROW(),MATCH("СП",$A20:$AI20)-1,1))=4,"!",""),"")</f>
        <v/>
      </c>
    </row>
    <row r="20" spans="1:50" ht="16.5" thickBot="1" x14ac:dyDescent="0.3">
      <c r="A20" s="147"/>
      <c r="B20" s="139"/>
      <c r="C20" s="171"/>
      <c r="D20" s="50">
        <v>2</v>
      </c>
      <c r="E20" s="63" t="str">
        <f>INDEX(Д2!$E$34:$AI$43,MATCH($D20,Д2!$D$34:$D$43),MATCH(E$7,Д2!$E$3:$AI$3))</f>
        <v/>
      </c>
      <c r="F20" s="29" t="str">
        <f>INDEX(Д2!$E$34:$AI$43,MATCH($D20,Д2!$D$34:$D$43),MATCH(F$7,Д2!$E$3:$AI$3))</f>
        <v/>
      </c>
      <c r="G20" s="29" t="str">
        <f>INDEX(Д2!$E$34:$AI$43,MATCH($D20,Д2!$D$34:$D$43),MATCH(G$7,Д2!$E$3:$AI$3))</f>
        <v/>
      </c>
      <c r="H20" s="29" t="str">
        <f>INDEX(Д2!$E$34:$AI$43,MATCH($D20,Д2!$D$34:$D$43),MATCH(H$7,Д2!$E$3:$AI$3))</f>
        <v>СП</v>
      </c>
      <c r="I20" s="29" t="str">
        <f>INDEX(Д2!$E$34:$AI$43,MATCH($D20,Д2!$D$34:$D$43),MATCH(I$7,Д2!$E$3:$AI$3))</f>
        <v/>
      </c>
      <c r="J20" s="29" t="str">
        <f>INDEX(Д2!$E$34:$AI$43,MATCH($D20,Д2!$D$34:$D$43),MATCH(J$7,Д2!$E$3:$AI$3))</f>
        <v/>
      </c>
      <c r="K20" s="29" t="str">
        <f>INDEX(Д2!$E$34:$AI$43,MATCH($D20,Д2!$D$34:$D$43),MATCH(K$7,Д2!$E$3:$AI$3))</f>
        <v/>
      </c>
      <c r="L20" s="29" t="str">
        <f>INDEX(Д2!$E$34:$AI$43,MATCH($D20,Д2!$D$34:$D$43),MATCH(L$7,Д2!$E$3:$AI$3))</f>
        <v/>
      </c>
      <c r="M20" s="29" t="str">
        <f>INDEX(Д2!$E$34:$AI$43,MATCH($D20,Д2!$D$34:$D$43),MATCH(M$7,Д2!$E$3:$AI$3))</f>
        <v/>
      </c>
      <c r="N20" s="29" t="str">
        <f>INDEX(Д2!$E$34:$AI$43,MATCH($D20,Д2!$D$34:$D$43),MATCH(N$7,Д2!$E$3:$AI$3))</f>
        <v/>
      </c>
      <c r="O20" s="29" t="str">
        <f>INDEX(Д2!$E$34:$AI$43,MATCH($D20,Д2!$D$34:$D$43),MATCH(O$7,Д2!$E$3:$AI$3))</f>
        <v/>
      </c>
      <c r="P20" s="29" t="str">
        <f>INDEX(Д2!$E$34:$AI$43,MATCH($D20,Д2!$D$34:$D$43),MATCH(P$7,Д2!$E$3:$AI$3))</f>
        <v/>
      </c>
      <c r="Q20" s="29" t="str">
        <f>INDEX(Д2!$E$34:$AI$43,MATCH($D20,Д2!$D$34:$D$43),MATCH(Q$7,Д2!$E$3:$AI$3))</f>
        <v/>
      </c>
      <c r="R20" s="29" t="str">
        <f>INDEX(Д2!$E$34:$AI$43,MATCH($D20,Д2!$D$34:$D$43),MATCH(R$7,Д2!$E$3:$AI$3))</f>
        <v/>
      </c>
      <c r="S20" s="29" t="str">
        <f>INDEX(Д2!$E$34:$AI$43,MATCH($D20,Д2!$D$34:$D$43),MATCH(S$7,Д2!$E$3:$AI$3))</f>
        <v/>
      </c>
      <c r="T20" s="29" t="str">
        <f>INDEX(Д2!$E$34:$AI$43,MATCH($D20,Д2!$D$34:$D$43),MATCH(T$7,Д2!$E$3:$AI$3))</f>
        <v/>
      </c>
      <c r="U20" s="29" t="str">
        <f>INDEX(Д2!$E$34:$AI$43,MATCH($D20,Д2!$D$34:$D$43),MATCH(U$7,Д2!$E$3:$AI$3))</f>
        <v/>
      </c>
      <c r="V20" s="29" t="str">
        <f>INDEX(Д2!$E$34:$AI$43,MATCH($D20,Д2!$D$34:$D$43),MATCH(V$7,Д2!$E$3:$AI$3))</f>
        <v/>
      </c>
      <c r="W20" s="29" t="str">
        <f>INDEX(Д2!$E$34:$AI$43,MATCH($D20,Д2!$D$34:$D$43),MATCH(W$7,Д2!$E$3:$AI$3))</f>
        <v/>
      </c>
      <c r="X20" s="29" t="str">
        <f>INDEX(Д2!$E$34:$AI$43,MATCH($D20,Д2!$D$34:$D$43),MATCH(X$7,Д2!$E$3:$AI$3))</f>
        <v/>
      </c>
      <c r="Y20" s="29" t="str">
        <f>INDEX(Д2!$E$34:$AI$43,MATCH($D20,Д2!$D$34:$D$43),MATCH(Y$7,Д2!$E$3:$AI$3))</f>
        <v/>
      </c>
      <c r="Z20" s="29" t="str">
        <f>INDEX(Д2!$E$34:$AI$43,MATCH($D20,Д2!$D$34:$D$43),MATCH(Z$7,Д2!$E$3:$AI$3))</f>
        <v/>
      </c>
      <c r="AA20" s="29" t="str">
        <f>INDEX(Д2!$E$34:$AI$43,MATCH($D20,Д2!$D$34:$D$43),MATCH(AA$7,Д2!$E$3:$AI$3))</f>
        <v/>
      </c>
      <c r="AB20" s="29" t="str">
        <f>INDEX(Д2!$E$34:$AI$43,MATCH($D20,Д2!$D$34:$D$43),MATCH(AB$7,Д2!$E$3:$AI$3))</f>
        <v/>
      </c>
      <c r="AC20" s="29" t="str">
        <f>INDEX(Д2!$E$34:$AI$43,MATCH($D20,Д2!$D$34:$D$43),MATCH(AC$7,Д2!$E$3:$AI$3))</f>
        <v/>
      </c>
      <c r="AD20" s="29" t="str">
        <f>INDEX(Д2!$E$34:$AI$43,MATCH($D20,Д2!$D$34:$D$43),MATCH(AD$7,Д2!$E$3:$AI$3))</f>
        <v/>
      </c>
      <c r="AE20" s="29" t="str">
        <f>INDEX(Д2!$E$34:$AI$43,MATCH($D20,Д2!$D$34:$D$43),MATCH(AE$7,Д2!$E$3:$AI$3))</f>
        <v/>
      </c>
      <c r="AF20" s="29" t="str">
        <f>INDEX(Д2!$E$34:$AI$43,MATCH($D20,Д2!$D$34:$D$43),MATCH(AF$7,Д2!$E$3:$AI$3))</f>
        <v/>
      </c>
      <c r="AG20" s="29" t="str">
        <f>INDEX(Д2!$E$34:$AI$43,MATCH($D20,Д2!$D$34:$D$43),MATCH(AG$7,Д2!$E$3:$AI$3))</f>
        <v/>
      </c>
      <c r="AH20" s="29" t="str">
        <f>INDEX(Д2!$E$34:$AI$43,MATCH($D20,Д2!$D$34:$D$43),MATCH(AH$7,Д2!$E$3:$AI$3))</f>
        <v/>
      </c>
      <c r="AI20" s="107"/>
      <c r="AJ20" s="143"/>
      <c r="AK20" s="145"/>
      <c r="AL20" s="145" t="s">
        <v>17</v>
      </c>
      <c r="AM20" s="150"/>
      <c r="AP20" s="136"/>
      <c r="AQ20" s="136"/>
      <c r="AR20" s="136"/>
      <c r="AS20" s="136"/>
      <c r="AT20" s="136"/>
      <c r="AU20" s="136"/>
      <c r="AV20" s="136"/>
      <c r="AW20" s="137"/>
      <c r="AX20" s="137"/>
    </row>
    <row r="21" spans="1:50" ht="16.5" customHeight="1" thickBot="1" x14ac:dyDescent="0.3">
      <c r="A21" s="147"/>
      <c r="B21" s="139" t="s">
        <v>86</v>
      </c>
      <c r="C21" s="170">
        <v>2</v>
      </c>
      <c r="D21" s="49">
        <v>3</v>
      </c>
      <c r="E21" s="64">
        <f ca="1">INDEX(Д2!$E$34:$AI$43,MATCH($D21,Д2!$D$34:$D$43),MATCH(E$7,Д2!$E$3:$AI$3))</f>
        <v>12</v>
      </c>
      <c r="F21" s="27">
        <f ca="1">INDEX(Д2!$E$34:$AI$43,MATCH($D21,Д2!$D$34:$D$43),MATCH(F$7,Д2!$E$3:$AI$3))</f>
        <v>4</v>
      </c>
      <c r="G21" s="27">
        <f ca="1">INDEX(Д2!$E$34:$AI$43,MATCH($D21,Д2!$D$34:$D$43),MATCH(G$7,Д2!$E$3:$AI$3))</f>
        <v>8</v>
      </c>
      <c r="H21" s="27">
        <f ca="1">INDEX(Д2!$E$34:$AI$43,MATCH($D21,Д2!$D$34:$D$43),MATCH(H$7,Д2!$E$3:$AI$3))</f>
        <v>12</v>
      </c>
      <c r="I21" s="27">
        <f ca="1">INDEX(Д2!$E$34:$AI$43,MATCH($D21,Д2!$D$34:$D$43),MATCH(I$7,Д2!$E$3:$AI$3))</f>
        <v>8</v>
      </c>
      <c r="J21" s="27">
        <f ca="1">INDEX(Д2!$E$34:$AI$43,MATCH($D21,Д2!$D$34:$D$43),MATCH(J$7,Д2!$E$3:$AI$3))</f>
        <v>0</v>
      </c>
      <c r="K21" s="27">
        <f ca="1">INDEX(Д2!$E$34:$AI$43,MATCH($D21,Д2!$D$34:$D$43),MATCH(K$7,Д2!$E$3:$AI$3))</f>
        <v>4</v>
      </c>
      <c r="L21" s="27">
        <f ca="1">INDEX(Д2!$E$34:$AI$43,MATCH($D21,Д2!$D$34:$D$43),MATCH(L$7,Д2!$E$3:$AI$3))</f>
        <v>8</v>
      </c>
      <c r="M21" s="27">
        <f ca="1">INDEX(Д2!$E$34:$AI$43,MATCH($D21,Д2!$D$34:$D$43),MATCH(M$7,Д2!$E$3:$AI$3))</f>
        <v>12</v>
      </c>
      <c r="N21" s="27">
        <f ca="1">INDEX(Д2!$E$34:$AI$43,MATCH($D21,Д2!$D$34:$D$43),MATCH(N$7,Д2!$E$3:$AI$3))</f>
        <v>4</v>
      </c>
      <c r="O21" s="27">
        <f ca="1">INDEX(Д2!$E$34:$AI$43,MATCH($D21,Д2!$D$34:$D$43),MATCH(O$7,Д2!$E$3:$AI$3))</f>
        <v>8</v>
      </c>
      <c r="P21" s="27">
        <f ca="1">INDEX(Д2!$E$34:$AI$43,MATCH($D21,Д2!$D$34:$D$43),MATCH(P$7,Д2!$E$3:$AI$3))</f>
        <v>12</v>
      </c>
      <c r="Q21" s="27">
        <f ca="1">INDEX(Д2!$E$34:$AI$43,MATCH($D21,Д2!$D$34:$D$43),MATCH(Q$7,Д2!$E$3:$AI$3))</f>
        <v>0</v>
      </c>
      <c r="R21" s="27">
        <f ca="1">INDEX(Д2!$E$34:$AI$43,MATCH($D21,Д2!$D$34:$D$43),MATCH(R$7,Д2!$E$3:$AI$3))</f>
        <v>0</v>
      </c>
      <c r="S21" s="27">
        <f ca="1">INDEX(Д2!$E$34:$AI$43,MATCH($D21,Д2!$D$34:$D$43),MATCH(S$7,Д2!$E$3:$AI$3))</f>
        <v>4</v>
      </c>
      <c r="T21" s="27">
        <f ca="1">INDEX(Д2!$E$34:$AI$43,MATCH($D21,Д2!$D$34:$D$43),MATCH(T$7,Д2!$E$3:$AI$3))</f>
        <v>8</v>
      </c>
      <c r="U21" s="27">
        <f ca="1">INDEX(Д2!$E$34:$AI$43,MATCH($D21,Д2!$D$34:$D$43),MATCH(U$7,Д2!$E$3:$AI$3))</f>
        <v>12</v>
      </c>
      <c r="V21" s="27">
        <f ca="1">INDEX(Д2!$E$34:$AI$43,MATCH($D21,Д2!$D$34:$D$43),MATCH(V$7,Д2!$E$3:$AI$3))</f>
        <v>4</v>
      </c>
      <c r="W21" s="27">
        <f ca="1">INDEX(Д2!$E$34:$AI$43,MATCH($D21,Д2!$D$34:$D$43),MATCH(W$7,Д2!$E$3:$AI$3))</f>
        <v>8</v>
      </c>
      <c r="X21" s="27">
        <f ca="1">INDEX(Д2!$E$34:$AI$43,MATCH($D21,Д2!$D$34:$D$43),MATCH(X$7,Д2!$E$3:$AI$3))</f>
        <v>12</v>
      </c>
      <c r="Y21" s="27">
        <f ca="1">INDEX(Д2!$E$34:$AI$43,MATCH($D21,Д2!$D$34:$D$43),MATCH(Y$7,Д2!$E$3:$AI$3))</f>
        <v>0</v>
      </c>
      <c r="Z21" s="27">
        <f ca="1">INDEX(Д2!$E$34:$AI$43,MATCH($D21,Д2!$D$34:$D$43),MATCH(Z$7,Д2!$E$3:$AI$3))</f>
        <v>0</v>
      </c>
      <c r="AA21" s="27">
        <f ca="1">INDEX(Д2!$E$34:$AI$43,MATCH($D21,Д2!$D$34:$D$43),MATCH(AA$7,Д2!$E$3:$AI$3))</f>
        <v>4</v>
      </c>
      <c r="AB21" s="27">
        <f ca="1">INDEX(Д2!$E$34:$AI$43,MATCH($D21,Д2!$D$34:$D$43),MATCH(AB$7,Д2!$E$3:$AI$3))</f>
        <v>8</v>
      </c>
      <c r="AC21" s="27">
        <f ca="1">INDEX(Д2!$E$34:$AI$43,MATCH($D21,Д2!$D$34:$D$43),MATCH(AC$7,Д2!$E$3:$AI$3))</f>
        <v>12</v>
      </c>
      <c r="AD21" s="27">
        <f ca="1">INDEX(Д2!$E$34:$AI$43,MATCH($D21,Д2!$D$34:$D$43),MATCH(AD$7,Д2!$E$3:$AI$3))</f>
        <v>4</v>
      </c>
      <c r="AE21" s="27">
        <f ca="1">INDEX(Д2!$E$34:$AI$43,MATCH($D21,Д2!$D$34:$D$43),MATCH(AE$7,Д2!$E$3:$AI$3))</f>
        <v>8</v>
      </c>
      <c r="AF21" s="27">
        <f ca="1">INDEX(Д2!$E$34:$AI$43,MATCH($D21,Д2!$D$34:$D$43),MATCH(AF$7,Д2!$E$3:$AI$3))</f>
        <v>12</v>
      </c>
      <c r="AG21" s="27">
        <f ca="1">INDEX(Д2!$E$34:$AI$43,MATCH($D21,Д2!$D$34:$D$43),MATCH(AG$7,Д2!$E$3:$AI$3))</f>
        <v>0</v>
      </c>
      <c r="AH21" s="27">
        <f ca="1">INDEX(Д2!$E$34:$AI$43,MATCH($D21,Д2!$D$34:$D$43),MATCH(AH$7,Д2!$E$3:$AI$3))</f>
        <v>0</v>
      </c>
      <c r="AI21" s="106"/>
      <c r="AJ21" s="143">
        <f>INDEX(Д2!AK$34:$AK$43,MATCH($C21,Д2!$C$34:$C$43),MATCH(E$7,Д2!$E$3:$AI$3))*AND(MONTH($E$8)=MONTH(Д2!$B$34))</f>
        <v>175</v>
      </c>
      <c r="AK21" s="144">
        <f ca="1">SUM(E21:AI22)</f>
        <v>188</v>
      </c>
      <c r="AL21" s="144"/>
      <c r="AM21" s="149">
        <f ca="1">SUM(F21:H22,J21:AI22)-AJ21+AL21-12</f>
        <v>-19</v>
      </c>
      <c r="AP21" s="136">
        <f t="shared" ref="AP21" ca="1" si="32">COUNTIF($E21:$AI22,"12")</f>
        <v>8</v>
      </c>
      <c r="AQ21" s="136">
        <f t="shared" ref="AQ21" ca="1" si="33">IF(COUNTIF($E21:$AI22,"СП")&gt;=1,(COUNTIF($E21:$AI22,"4")+COUNTIF($E21:$AI22,"8")-1)/2,(COUNTIF($E21:$AI22,"4")+COUNTIF($E21:$AI22,"8"))/2)</f>
        <v>7</v>
      </c>
      <c r="AR21" s="136">
        <f t="shared" ca="1" si="2"/>
        <v>96</v>
      </c>
      <c r="AS21" s="136">
        <f t="shared" ref="AS21" ca="1" si="34">IF(COUNTIF($E21:$AI22,"СП")&gt;=1,SUMIF($E21:$AI22,"4",$E21:$AI22)+SUMIF($E21:$AI22,"8",$E21:$AI22)-8,SUMIF($E21:$AI22,"4",$E21:$AI22)+SUMIF($E21:$AI22,"8",$E21:$AI22))</f>
        <v>84</v>
      </c>
      <c r="AT21" s="136">
        <f t="shared" ref="AT21" ca="1" si="35">$AR21+$AS21</f>
        <v>180</v>
      </c>
      <c r="AU21" s="136" t="str">
        <f t="shared" ref="AU21" ca="1" si="36">IF(AK21=AT21,"+","!")</f>
        <v>!</v>
      </c>
      <c r="AV21" s="136">
        <f t="shared" ref="AV21" ca="1" si="37">COUNTIF($E21:$AI22,"ОТ")</f>
        <v>0</v>
      </c>
      <c r="AW21" s="137" t="str">
        <f ca="1">IF(COUNTIF($A22:$AI22,"СП")&gt;0,IF(INDIRECT(ADDRESS(ROW(),MATCH("СП",$A22:$AI22),1))=8,"","!"),"")</f>
        <v>!</v>
      </c>
      <c r="AX21" s="137" t="str">
        <f ca="1">IF(COUNTIF($A22:$AI22,"СП")&gt;0,IF(INDIRECT(ADDRESS(ROW(),MATCH("СП",$A22:$AI22)-1,1))=4,"!",""),"")</f>
        <v/>
      </c>
    </row>
    <row r="22" spans="1:50" ht="16.5" thickBot="1" x14ac:dyDescent="0.3">
      <c r="A22" s="147"/>
      <c r="B22" s="139"/>
      <c r="C22" s="171"/>
      <c r="D22" s="50">
        <v>4</v>
      </c>
      <c r="E22" s="65" t="str">
        <f>INDEX(Д2!$E$34:$AI$43,MATCH($D22,Д2!$D$34:$D$43),MATCH(E$7,Д2!$E$3:$AI$3))</f>
        <v/>
      </c>
      <c r="F22" s="30" t="str">
        <f>INDEX(Д2!$E$34:$AI$43,MATCH($D22,Д2!$D$34:$D$43),MATCH(F$7,Д2!$E$3:$AI$3))</f>
        <v/>
      </c>
      <c r="G22" s="30" t="str">
        <f>INDEX(Д2!$E$34:$AI$43,MATCH($D22,Д2!$D$34:$D$43),MATCH(G$7,Д2!$E$3:$AI$3))</f>
        <v/>
      </c>
      <c r="H22" s="30" t="str">
        <f>INDEX(Д2!$E$34:$AI$43,MATCH($D22,Д2!$D$34:$D$43),MATCH(H$7,Д2!$E$3:$AI$3))</f>
        <v/>
      </c>
      <c r="I22" s="30" t="str">
        <f>INDEX(Д2!$E$34:$AI$43,MATCH($D22,Д2!$D$34:$D$43),MATCH(I$7,Д2!$E$3:$AI$3))</f>
        <v>СП</v>
      </c>
      <c r="J22" s="30" t="str">
        <f>INDEX(Д2!$E$34:$AI$43,MATCH($D22,Д2!$D$34:$D$43),MATCH(J$7,Д2!$E$3:$AI$3))</f>
        <v/>
      </c>
      <c r="K22" s="30" t="str">
        <f>INDEX(Д2!$E$34:$AI$43,MATCH($D22,Д2!$D$34:$D$43),MATCH(K$7,Д2!$E$3:$AI$3))</f>
        <v/>
      </c>
      <c r="L22" s="30" t="str">
        <f>INDEX(Д2!$E$34:$AI$43,MATCH($D22,Д2!$D$34:$D$43),MATCH(L$7,Д2!$E$3:$AI$3))</f>
        <v/>
      </c>
      <c r="M22" s="30" t="str">
        <f>INDEX(Д2!$E$34:$AI$43,MATCH($D22,Д2!$D$34:$D$43),MATCH(M$7,Д2!$E$3:$AI$3))</f>
        <v/>
      </c>
      <c r="N22" s="30" t="str">
        <f>INDEX(Д2!$E$34:$AI$43,MATCH($D22,Д2!$D$34:$D$43),MATCH(N$7,Д2!$E$3:$AI$3))</f>
        <v/>
      </c>
      <c r="O22" s="30" t="str">
        <f>INDEX(Д2!$E$34:$AI$43,MATCH($D22,Д2!$D$34:$D$43),MATCH(O$7,Д2!$E$3:$AI$3))</f>
        <v/>
      </c>
      <c r="P22" s="30" t="str">
        <f>INDEX(Д2!$E$34:$AI$43,MATCH($D22,Д2!$D$34:$D$43),MATCH(P$7,Д2!$E$3:$AI$3))</f>
        <v/>
      </c>
      <c r="Q22" s="30" t="str">
        <f>INDEX(Д2!$E$34:$AI$43,MATCH($D22,Д2!$D$34:$D$43),MATCH(Q$7,Д2!$E$3:$AI$3))</f>
        <v/>
      </c>
      <c r="R22" s="30" t="str">
        <f>INDEX(Д2!$E$34:$AI$43,MATCH($D22,Д2!$D$34:$D$43),MATCH(R$7,Д2!$E$3:$AI$3))</f>
        <v/>
      </c>
      <c r="S22" s="30" t="str">
        <f>INDEX(Д2!$E$34:$AI$43,MATCH($D22,Д2!$D$34:$D$43),MATCH(S$7,Д2!$E$3:$AI$3))</f>
        <v/>
      </c>
      <c r="T22" s="30" t="str">
        <f>INDEX(Д2!$E$34:$AI$43,MATCH($D22,Д2!$D$34:$D$43),MATCH(T$7,Д2!$E$3:$AI$3))</f>
        <v/>
      </c>
      <c r="U22" s="30" t="str">
        <f>INDEX(Д2!$E$34:$AI$43,MATCH($D22,Д2!$D$34:$D$43),MATCH(U$7,Д2!$E$3:$AI$3))</f>
        <v/>
      </c>
      <c r="V22" s="30" t="str">
        <f>INDEX(Д2!$E$34:$AI$43,MATCH($D22,Д2!$D$34:$D$43),MATCH(V$7,Д2!$E$3:$AI$3))</f>
        <v/>
      </c>
      <c r="W22" s="30" t="str">
        <f>INDEX(Д2!$E$34:$AI$43,MATCH($D22,Д2!$D$34:$D$43),MATCH(W$7,Д2!$E$3:$AI$3))</f>
        <v/>
      </c>
      <c r="X22" s="30" t="str">
        <f>INDEX(Д2!$E$34:$AI$43,MATCH($D22,Д2!$D$34:$D$43),MATCH(X$7,Д2!$E$3:$AI$3))</f>
        <v/>
      </c>
      <c r="Y22" s="30" t="str">
        <f>INDEX(Д2!$E$34:$AI$43,MATCH($D22,Д2!$D$34:$D$43),MATCH(Y$7,Д2!$E$3:$AI$3))</f>
        <v/>
      </c>
      <c r="Z22" s="30" t="str">
        <f>INDEX(Д2!$E$34:$AI$43,MATCH($D22,Д2!$D$34:$D$43),MATCH(Z$7,Д2!$E$3:$AI$3))</f>
        <v/>
      </c>
      <c r="AA22" s="30" t="str">
        <f>INDEX(Д2!$E$34:$AI$43,MATCH($D22,Д2!$D$34:$D$43),MATCH(AA$7,Д2!$E$3:$AI$3))</f>
        <v/>
      </c>
      <c r="AB22" s="30" t="str">
        <f>INDEX(Д2!$E$34:$AI$43,MATCH($D22,Д2!$D$34:$D$43),MATCH(AB$7,Д2!$E$3:$AI$3))</f>
        <v/>
      </c>
      <c r="AC22" s="30" t="str">
        <f>INDEX(Д2!$E$34:$AI$43,MATCH($D22,Д2!$D$34:$D$43),MATCH(AC$7,Д2!$E$3:$AI$3))</f>
        <v/>
      </c>
      <c r="AD22" s="30" t="str">
        <f>INDEX(Д2!$E$34:$AI$43,MATCH($D22,Д2!$D$34:$D$43),MATCH(AD$7,Д2!$E$3:$AI$3))</f>
        <v/>
      </c>
      <c r="AE22" s="30" t="str">
        <f>INDEX(Д2!$E$34:$AI$43,MATCH($D22,Д2!$D$34:$D$43),MATCH(AE$7,Д2!$E$3:$AI$3))</f>
        <v/>
      </c>
      <c r="AF22" s="30" t="str">
        <f>INDEX(Д2!$E$34:$AI$43,MATCH($D22,Д2!$D$34:$D$43),MATCH(AF$7,Д2!$E$3:$AI$3))</f>
        <v/>
      </c>
      <c r="AG22" s="30" t="str">
        <f>INDEX(Д2!$E$34:$AI$43,MATCH($D22,Д2!$D$34:$D$43),MATCH(AG$7,Д2!$E$3:$AI$3))</f>
        <v/>
      </c>
      <c r="AH22" s="30" t="str">
        <f>INDEX(Д2!$E$34:$AI$43,MATCH($D22,Д2!$D$34:$D$43),MATCH(AH$7,Д2!$E$3:$AI$3))</f>
        <v/>
      </c>
      <c r="AI22" s="103"/>
      <c r="AJ22" s="143"/>
      <c r="AK22" s="145"/>
      <c r="AL22" s="145"/>
      <c r="AM22" s="150"/>
      <c r="AP22" s="136"/>
      <c r="AQ22" s="136"/>
      <c r="AR22" s="136"/>
      <c r="AS22" s="136"/>
      <c r="AT22" s="136"/>
      <c r="AU22" s="136"/>
      <c r="AV22" s="136"/>
      <c r="AW22" s="137"/>
      <c r="AX22" s="137"/>
    </row>
    <row r="23" spans="1:50" ht="16.5" customHeight="1" thickBot="1" x14ac:dyDescent="0.3">
      <c r="A23" s="147"/>
      <c r="B23" s="139" t="s">
        <v>87</v>
      </c>
      <c r="C23" s="170">
        <v>3</v>
      </c>
      <c r="D23" s="49">
        <v>5</v>
      </c>
      <c r="E23" s="62">
        <f ca="1">INDEX(Д2!$E$34:$AI$43,MATCH($D23,Д2!$D$34:$D$43),MATCH(E$7,Д2!$E$3:$AI$3))</f>
        <v>0</v>
      </c>
      <c r="F23" s="28">
        <f ca="1">INDEX(Д2!$E$34:$AI$43,MATCH($D23,Д2!$D$34:$D$43),MATCH(F$7,Д2!$E$3:$AI$3))</f>
        <v>0</v>
      </c>
      <c r="G23" s="28">
        <f ca="1">INDEX(Д2!$E$34:$AI$43,MATCH($D23,Д2!$D$34:$D$43),MATCH(G$7,Д2!$E$3:$AI$3))</f>
        <v>4</v>
      </c>
      <c r="H23" s="28">
        <f ca="1">INDEX(Д2!$E$34:$AI$43,MATCH($D23,Д2!$D$34:$D$43),MATCH(H$7,Д2!$E$3:$AI$3))</f>
        <v>8</v>
      </c>
      <c r="I23" s="28">
        <f ca="1">INDEX(Д2!$E$34:$AI$43,MATCH($D23,Д2!$D$34:$D$43),MATCH(I$7,Д2!$E$3:$AI$3))</f>
        <v>12</v>
      </c>
      <c r="J23" s="28">
        <f ca="1">INDEX(Д2!$E$34:$AI$43,MATCH($D23,Д2!$D$34:$D$43),MATCH(J$7,Д2!$E$3:$AI$3))</f>
        <v>8</v>
      </c>
      <c r="K23" s="28">
        <f ca="1">INDEX(Д2!$E$34:$AI$43,MATCH($D23,Д2!$D$34:$D$43),MATCH(K$7,Д2!$E$3:$AI$3))</f>
        <v>8</v>
      </c>
      <c r="L23" s="28">
        <f ca="1">INDEX(Д2!$E$34:$AI$43,MATCH($D23,Д2!$D$34:$D$43),MATCH(L$7,Д2!$E$3:$AI$3))</f>
        <v>12</v>
      </c>
      <c r="M23" s="28">
        <f ca="1">INDEX(Д2!$E$34:$AI$43,MATCH($D23,Д2!$D$34:$D$43),MATCH(M$7,Д2!$E$3:$AI$3))</f>
        <v>0</v>
      </c>
      <c r="N23" s="28">
        <f ca="1">INDEX(Д2!$E$34:$AI$43,MATCH($D23,Д2!$D$34:$D$43),MATCH(N$7,Д2!$E$3:$AI$3))</f>
        <v>0</v>
      </c>
      <c r="O23" s="28">
        <f ca="1">INDEX(Д2!$E$34:$AI$43,MATCH($D23,Д2!$D$34:$D$43),MATCH(O$7,Д2!$E$3:$AI$3))</f>
        <v>4</v>
      </c>
      <c r="P23" s="28">
        <f ca="1">INDEX(Д2!$E$34:$AI$43,MATCH($D23,Д2!$D$34:$D$43),MATCH(P$7,Д2!$E$3:$AI$3))</f>
        <v>8</v>
      </c>
      <c r="Q23" s="28">
        <f ca="1">INDEX(Д2!$E$34:$AI$43,MATCH($D23,Д2!$D$34:$D$43),MATCH(Q$7,Д2!$E$3:$AI$3))</f>
        <v>12</v>
      </c>
      <c r="R23" s="28">
        <f ca="1">INDEX(Д2!$E$34:$AI$43,MATCH($D23,Д2!$D$34:$D$43),MATCH(R$7,Д2!$E$3:$AI$3))</f>
        <v>4</v>
      </c>
      <c r="S23" s="28">
        <f ca="1">INDEX(Д2!$E$34:$AI$43,MATCH($D23,Д2!$D$34:$D$43),MATCH(S$7,Д2!$E$3:$AI$3))</f>
        <v>8</v>
      </c>
      <c r="T23" s="28">
        <f ca="1">INDEX(Д2!$E$34:$AI$43,MATCH($D23,Д2!$D$34:$D$43),MATCH(T$7,Д2!$E$3:$AI$3))</f>
        <v>12</v>
      </c>
      <c r="U23" s="28">
        <f ca="1">INDEX(Д2!$E$34:$AI$43,MATCH($D23,Д2!$D$34:$D$43),MATCH(U$7,Д2!$E$3:$AI$3))</f>
        <v>0</v>
      </c>
      <c r="V23" s="28">
        <f ca="1">INDEX(Д2!$E$34:$AI$43,MATCH($D23,Д2!$D$34:$D$43),MATCH(V$7,Д2!$E$3:$AI$3))</f>
        <v>0</v>
      </c>
      <c r="W23" s="28">
        <f ca="1">INDEX(Д2!$E$34:$AI$43,MATCH($D23,Д2!$D$34:$D$43),MATCH(W$7,Д2!$E$3:$AI$3))</f>
        <v>4</v>
      </c>
      <c r="X23" s="28">
        <f ca="1">INDEX(Д2!$E$34:$AI$43,MATCH($D23,Д2!$D$34:$D$43),MATCH(X$7,Д2!$E$3:$AI$3))</f>
        <v>8</v>
      </c>
      <c r="Y23" s="28">
        <f ca="1">INDEX(Д2!$E$34:$AI$43,MATCH($D23,Д2!$D$34:$D$43),MATCH(Y$7,Д2!$E$3:$AI$3))</f>
        <v>12</v>
      </c>
      <c r="Z23" s="28">
        <f ca="1">INDEX(Д2!$E$34:$AI$43,MATCH($D23,Д2!$D$34:$D$43),MATCH(Z$7,Д2!$E$3:$AI$3))</f>
        <v>4</v>
      </c>
      <c r="AA23" s="28">
        <f ca="1">INDEX(Д2!$E$34:$AI$43,MATCH($D23,Д2!$D$34:$D$43),MATCH(AA$7,Д2!$E$3:$AI$3))</f>
        <v>8</v>
      </c>
      <c r="AB23" s="28">
        <f ca="1">INDEX(Д2!$E$34:$AI$43,MATCH($D23,Д2!$D$34:$D$43),MATCH(AB$7,Д2!$E$3:$AI$3))</f>
        <v>12</v>
      </c>
      <c r="AC23" s="28">
        <f ca="1">INDEX(Д2!$E$34:$AI$43,MATCH($D23,Д2!$D$34:$D$43),MATCH(AC$7,Д2!$E$3:$AI$3))</f>
        <v>0</v>
      </c>
      <c r="AD23" s="28">
        <f ca="1">INDEX(Д2!$E$34:$AI$43,MATCH($D23,Д2!$D$34:$D$43),MATCH(AD$7,Д2!$E$3:$AI$3))</f>
        <v>0</v>
      </c>
      <c r="AE23" s="28">
        <f ca="1">INDEX(Д2!$E$34:$AI$43,MATCH($D23,Д2!$D$34:$D$43),MATCH(AE$7,Д2!$E$3:$AI$3))</f>
        <v>4</v>
      </c>
      <c r="AF23" s="28">
        <f ca="1">INDEX(Д2!$E$34:$AI$43,MATCH($D23,Д2!$D$34:$D$43),MATCH(AF$7,Д2!$E$3:$AI$3))</f>
        <v>8</v>
      </c>
      <c r="AG23" s="28">
        <f ca="1">INDEX(Д2!$E$34:$AI$43,MATCH($D23,Д2!$D$34:$D$43),MATCH(AG$7,Д2!$E$3:$AI$3))</f>
        <v>12</v>
      </c>
      <c r="AH23" s="28">
        <f ca="1">INDEX(Д2!$E$34:$AI$43,MATCH($D23,Д2!$D$34:$D$43),MATCH(AH$7,Д2!$E$3:$AI$3))</f>
        <v>4</v>
      </c>
      <c r="AI23" s="108"/>
      <c r="AJ23" s="143">
        <f>INDEX(Д2!AK$34:$AK$43,MATCH($C23,Д2!$C$34:$C$43),MATCH(E$7,Д2!$E$3:$AI$3))*AND(MONTH($E$8)=MONTH(Д2!$B$34))</f>
        <v>175</v>
      </c>
      <c r="AK23" s="144">
        <f ca="1">SUM(E23:AI24)</f>
        <v>176</v>
      </c>
      <c r="AL23" s="144"/>
      <c r="AM23" s="149">
        <f ca="1">SUM(F23:H24,J23:AI24)-AJ23+AL23-12</f>
        <v>-23</v>
      </c>
      <c r="AP23" s="136">
        <f t="shared" ref="AP23" ca="1" si="38">COUNTIF($E23:$AI24,"12")</f>
        <v>7</v>
      </c>
      <c r="AQ23" s="136">
        <f t="shared" ref="AQ23" ca="1" si="39">IF(COUNTIF($E23:$AI24,"СП")&gt;=1,(COUNTIF($E23:$AI24,"4")+COUNTIF($E23:$AI24,"8")-1)/2,(COUNTIF($E23:$AI24,"4")+COUNTIF($E23:$AI24,"8"))/2)</f>
        <v>7</v>
      </c>
      <c r="AR23" s="136">
        <f t="shared" ca="1" si="2"/>
        <v>84</v>
      </c>
      <c r="AS23" s="136">
        <f t="shared" ref="AS23" ca="1" si="40">IF(COUNTIF($E23:$AI24,"СП")&gt;=1,SUMIF($E23:$AI24,"4",$E23:$AI24)+SUMIF($E23:$AI24,"8",$E23:$AI24)-8,SUMIF($E23:$AI24,"4",$E23:$AI24)+SUMIF($E23:$AI24,"8",$E23:$AI24))</f>
        <v>84</v>
      </c>
      <c r="AT23" s="136">
        <f t="shared" ref="AT23" ca="1" si="41">$AR23+$AS23</f>
        <v>168</v>
      </c>
      <c r="AU23" s="136" t="str">
        <f t="shared" ref="AU23" ca="1" si="42">IF(AK23=AT23,"+","!")</f>
        <v>!</v>
      </c>
      <c r="AV23" s="136">
        <f t="shared" ref="AV23" ca="1" si="43">COUNTIF($E23:$AI24,"ОТ")</f>
        <v>0</v>
      </c>
      <c r="AW23" s="137" t="str">
        <f ca="1">IF(COUNTIF($A24:$AI24,"СП")&gt;0,IF(INDIRECT(ADDRESS(ROW(),MATCH("СП",$A24:$AI24),1))=8,"","!"),"")</f>
        <v>!</v>
      </c>
      <c r="AX23" s="137" t="str">
        <f ca="1">IF(COUNTIF($A24:$AI24,"СП")&gt;0,IF(INDIRECT(ADDRESS(ROW(),MATCH("СП",$A24:$AI24)-1,1))=4,"!",""),"")</f>
        <v/>
      </c>
    </row>
    <row r="24" spans="1:50" ht="16.5" thickBot="1" x14ac:dyDescent="0.3">
      <c r="A24" s="147"/>
      <c r="B24" s="139"/>
      <c r="C24" s="171"/>
      <c r="D24" s="50">
        <v>6</v>
      </c>
      <c r="E24" s="63" t="str">
        <f>INDEX(Д2!$E$34:$AI$43,MATCH($D24,Д2!$D$34:$D$43),MATCH(E$7,Д2!$E$3:$AI$3))</f>
        <v/>
      </c>
      <c r="F24" s="29" t="str">
        <f>INDEX(Д2!$E$34:$AI$43,MATCH($D24,Д2!$D$34:$D$43),MATCH(F$7,Д2!$E$3:$AI$3))</f>
        <v/>
      </c>
      <c r="G24" s="29" t="str">
        <f>INDEX(Д2!$E$34:$AI$43,MATCH($D24,Д2!$D$34:$D$43),MATCH(G$7,Д2!$E$3:$AI$3))</f>
        <v/>
      </c>
      <c r="H24" s="29" t="str">
        <f>INDEX(Д2!$E$34:$AI$43,MATCH($D24,Д2!$D$34:$D$43),MATCH(H$7,Д2!$E$3:$AI$3))</f>
        <v/>
      </c>
      <c r="I24" s="29" t="str">
        <f>INDEX(Д2!$E$34:$AI$43,MATCH($D24,Д2!$D$34:$D$43),MATCH(I$7,Д2!$E$3:$AI$3))</f>
        <v/>
      </c>
      <c r="J24" s="29" t="str">
        <f>INDEX(Д2!$E$34:$AI$43,MATCH($D24,Д2!$D$34:$D$43),MATCH(J$7,Д2!$E$3:$AI$3))</f>
        <v>СП</v>
      </c>
      <c r="K24" s="29" t="str">
        <f>INDEX(Д2!$E$34:$AI$43,MATCH($D24,Д2!$D$34:$D$43),MATCH(K$7,Д2!$E$3:$AI$3))</f>
        <v/>
      </c>
      <c r="L24" s="29" t="str">
        <f>INDEX(Д2!$E$34:$AI$43,MATCH($D24,Д2!$D$34:$D$43),MATCH(L$7,Д2!$E$3:$AI$3))</f>
        <v/>
      </c>
      <c r="M24" s="29" t="str">
        <f>INDEX(Д2!$E$34:$AI$43,MATCH($D24,Д2!$D$34:$D$43),MATCH(M$7,Д2!$E$3:$AI$3))</f>
        <v/>
      </c>
      <c r="N24" s="29" t="str">
        <f>INDEX(Д2!$E$34:$AI$43,MATCH($D24,Д2!$D$34:$D$43),MATCH(N$7,Д2!$E$3:$AI$3))</f>
        <v/>
      </c>
      <c r="O24" s="29" t="str">
        <f>INDEX(Д2!$E$34:$AI$43,MATCH($D24,Д2!$D$34:$D$43),MATCH(O$7,Д2!$E$3:$AI$3))</f>
        <v/>
      </c>
      <c r="P24" s="29" t="str">
        <f>INDEX(Д2!$E$34:$AI$43,MATCH($D24,Д2!$D$34:$D$43),MATCH(P$7,Д2!$E$3:$AI$3))</f>
        <v/>
      </c>
      <c r="Q24" s="29" t="str">
        <f>INDEX(Д2!$E$34:$AI$43,MATCH($D24,Д2!$D$34:$D$43),MATCH(Q$7,Д2!$E$3:$AI$3))</f>
        <v/>
      </c>
      <c r="R24" s="29" t="str">
        <f>INDEX(Д2!$E$34:$AI$43,MATCH($D24,Д2!$D$34:$D$43),MATCH(R$7,Д2!$E$3:$AI$3))</f>
        <v/>
      </c>
      <c r="S24" s="29" t="str">
        <f>INDEX(Д2!$E$34:$AI$43,MATCH($D24,Д2!$D$34:$D$43),MATCH(S$7,Д2!$E$3:$AI$3))</f>
        <v/>
      </c>
      <c r="T24" s="29" t="str">
        <f>INDEX(Д2!$E$34:$AI$43,MATCH($D24,Д2!$D$34:$D$43),MATCH(T$7,Д2!$E$3:$AI$3))</f>
        <v/>
      </c>
      <c r="U24" s="29" t="str">
        <f>INDEX(Д2!$E$34:$AI$43,MATCH($D24,Д2!$D$34:$D$43),MATCH(U$7,Д2!$E$3:$AI$3))</f>
        <v/>
      </c>
      <c r="V24" s="29" t="str">
        <f>INDEX(Д2!$E$34:$AI$43,MATCH($D24,Д2!$D$34:$D$43),MATCH(V$7,Д2!$E$3:$AI$3))</f>
        <v/>
      </c>
      <c r="W24" s="29" t="str">
        <f>INDEX(Д2!$E$34:$AI$43,MATCH($D24,Д2!$D$34:$D$43),MATCH(W$7,Д2!$E$3:$AI$3))</f>
        <v/>
      </c>
      <c r="X24" s="29" t="str">
        <f>INDEX(Д2!$E$34:$AI$43,MATCH($D24,Д2!$D$34:$D$43),MATCH(X$7,Д2!$E$3:$AI$3))</f>
        <v/>
      </c>
      <c r="Y24" s="29" t="str">
        <f>INDEX(Д2!$E$34:$AI$43,MATCH($D24,Д2!$D$34:$D$43),MATCH(Y$7,Д2!$E$3:$AI$3))</f>
        <v/>
      </c>
      <c r="Z24" s="29" t="str">
        <f>INDEX(Д2!$E$34:$AI$43,MATCH($D24,Д2!$D$34:$D$43),MATCH(Z$7,Д2!$E$3:$AI$3))</f>
        <v/>
      </c>
      <c r="AA24" s="29" t="str">
        <f>INDEX(Д2!$E$34:$AI$43,MATCH($D24,Д2!$D$34:$D$43),MATCH(AA$7,Д2!$E$3:$AI$3))</f>
        <v/>
      </c>
      <c r="AB24" s="29" t="str">
        <f>INDEX(Д2!$E$34:$AI$43,MATCH($D24,Д2!$D$34:$D$43),MATCH(AB$7,Д2!$E$3:$AI$3))</f>
        <v/>
      </c>
      <c r="AC24" s="29" t="str">
        <f>INDEX(Д2!$E$34:$AI$43,MATCH($D24,Д2!$D$34:$D$43),MATCH(AC$7,Д2!$E$3:$AI$3))</f>
        <v/>
      </c>
      <c r="AD24" s="29" t="str">
        <f>INDEX(Д2!$E$34:$AI$43,MATCH($D24,Д2!$D$34:$D$43),MATCH(AD$7,Д2!$E$3:$AI$3))</f>
        <v/>
      </c>
      <c r="AE24" s="29" t="str">
        <f>INDEX(Д2!$E$34:$AI$43,MATCH($D24,Д2!$D$34:$D$43),MATCH(AE$7,Д2!$E$3:$AI$3))</f>
        <v/>
      </c>
      <c r="AF24" s="29" t="str">
        <f>INDEX(Д2!$E$34:$AI$43,MATCH($D24,Д2!$D$34:$D$43),MATCH(AF$7,Д2!$E$3:$AI$3))</f>
        <v/>
      </c>
      <c r="AG24" s="29" t="str">
        <f>INDEX(Д2!$E$34:$AI$43,MATCH($D24,Д2!$D$34:$D$43),MATCH(AG$7,Д2!$E$3:$AI$3))</f>
        <v/>
      </c>
      <c r="AH24" s="29" t="str">
        <f>INDEX(Д2!$E$34:$AI$43,MATCH($D24,Д2!$D$34:$D$43),MATCH(AH$7,Д2!$E$3:$AI$3))</f>
        <v/>
      </c>
      <c r="AI24" s="107"/>
      <c r="AJ24" s="143"/>
      <c r="AK24" s="145"/>
      <c r="AL24" s="145"/>
      <c r="AM24" s="150"/>
      <c r="AP24" s="136"/>
      <c r="AQ24" s="136"/>
      <c r="AR24" s="136"/>
      <c r="AS24" s="136"/>
      <c r="AT24" s="136"/>
      <c r="AU24" s="136"/>
      <c r="AV24" s="136"/>
      <c r="AW24" s="137"/>
      <c r="AX24" s="137"/>
    </row>
    <row r="25" spans="1:50" ht="16.5" customHeight="1" thickBot="1" x14ac:dyDescent="0.3">
      <c r="A25" s="147"/>
      <c r="B25" s="139" t="s">
        <v>88</v>
      </c>
      <c r="C25" s="170">
        <v>4</v>
      </c>
      <c r="D25" s="49">
        <v>7</v>
      </c>
      <c r="E25" s="64">
        <f ca="1">INDEX(Д2!$E$34:$AI$43,MATCH($D25,Д2!$D$34:$D$43),MATCH(E$7,Д2!$E$3:$AI$3))</f>
        <v>8</v>
      </c>
      <c r="F25" s="27">
        <f ca="1">INDEX(Д2!$E$34:$AI$43,MATCH($D25,Д2!$D$34:$D$43),MATCH(F$7,Д2!$E$3:$AI$3))</f>
        <v>12</v>
      </c>
      <c r="G25" s="27">
        <f ca="1">INDEX(Д2!$E$34:$AI$43,MATCH($D25,Д2!$D$34:$D$43),MATCH(G$7,Д2!$E$3:$AI$3))</f>
        <v>0</v>
      </c>
      <c r="H25" s="27">
        <f ca="1">INDEX(Д2!$E$34:$AI$43,MATCH($D25,Д2!$D$34:$D$43),MATCH(H$7,Д2!$E$3:$AI$3))</f>
        <v>0</v>
      </c>
      <c r="I25" s="27">
        <f ca="1">INDEX(Д2!$E$34:$AI$43,MATCH($D25,Д2!$D$34:$D$43),MATCH(I$7,Д2!$E$3:$AI$3))</f>
        <v>4</v>
      </c>
      <c r="J25" s="27">
        <f ca="1">INDEX(Д2!$E$34:$AI$43,MATCH($D25,Д2!$D$34:$D$43),MATCH(J$7,Д2!$E$3:$AI$3))</f>
        <v>8</v>
      </c>
      <c r="K25" s="27">
        <f ca="1">INDEX(Д2!$E$34:$AI$43,MATCH($D25,Д2!$D$34:$D$43),MATCH(K$7,Д2!$E$3:$AI$3))</f>
        <v>12</v>
      </c>
      <c r="L25" s="27">
        <f ca="1">INDEX(Д2!$E$34:$AI$43,MATCH($D25,Д2!$D$34:$D$43),MATCH(L$7,Д2!$E$3:$AI$3))</f>
        <v>4</v>
      </c>
      <c r="M25" s="27">
        <f ca="1">INDEX(Д2!$E$34:$AI$43,MATCH($D25,Д2!$D$34:$D$43),MATCH(M$7,Д2!$E$3:$AI$3))</f>
        <v>8</v>
      </c>
      <c r="N25" s="27">
        <f ca="1">INDEX(Д2!$E$34:$AI$43,MATCH($D25,Д2!$D$34:$D$43),MATCH(N$7,Д2!$E$3:$AI$3))</f>
        <v>12</v>
      </c>
      <c r="O25" s="27">
        <f ca="1">INDEX(Д2!$E$34:$AI$43,MATCH($D25,Д2!$D$34:$D$43),MATCH(O$7,Д2!$E$3:$AI$3))</f>
        <v>0</v>
      </c>
      <c r="P25" s="27">
        <f ca="1">INDEX(Д2!$E$34:$AI$43,MATCH($D25,Д2!$D$34:$D$43),MATCH(P$7,Д2!$E$3:$AI$3))</f>
        <v>0</v>
      </c>
      <c r="Q25" s="27">
        <f ca="1">INDEX(Д2!$E$34:$AI$43,MATCH($D25,Д2!$D$34:$D$43),MATCH(Q$7,Д2!$E$3:$AI$3))</f>
        <v>4</v>
      </c>
      <c r="R25" s="27">
        <f ca="1">INDEX(Д2!$E$34:$AI$43,MATCH($D25,Д2!$D$34:$D$43),MATCH(R$7,Д2!$E$3:$AI$3))</f>
        <v>8</v>
      </c>
      <c r="S25" s="27">
        <f ca="1">INDEX(Д2!$E$34:$AI$43,MATCH($D25,Д2!$D$34:$D$43),MATCH(S$7,Д2!$E$3:$AI$3))</f>
        <v>12</v>
      </c>
      <c r="T25" s="27">
        <f ca="1">INDEX(Д2!$E$34:$AI$43,MATCH($D25,Д2!$D$34:$D$43),MATCH(T$7,Д2!$E$3:$AI$3))</f>
        <v>4</v>
      </c>
      <c r="U25" s="27">
        <f ca="1">INDEX(Д2!$E$34:$AI$43,MATCH($D25,Д2!$D$34:$D$43),MATCH(U$7,Д2!$E$3:$AI$3))</f>
        <v>8</v>
      </c>
      <c r="V25" s="27">
        <f ca="1">INDEX(Д2!$E$34:$AI$43,MATCH($D25,Д2!$D$34:$D$43),MATCH(V$7,Д2!$E$3:$AI$3))</f>
        <v>12</v>
      </c>
      <c r="W25" s="27">
        <f ca="1">INDEX(Д2!$E$34:$AI$43,MATCH($D25,Д2!$D$34:$D$43),MATCH(W$7,Д2!$E$3:$AI$3))</f>
        <v>0</v>
      </c>
      <c r="X25" s="27">
        <f ca="1">INDEX(Д2!$E$34:$AI$43,MATCH($D25,Д2!$D$34:$D$43),MATCH(X$7,Д2!$E$3:$AI$3))</f>
        <v>0</v>
      </c>
      <c r="Y25" s="27">
        <f ca="1">INDEX(Д2!$E$34:$AI$43,MATCH($D25,Д2!$D$34:$D$43),MATCH(Y$7,Д2!$E$3:$AI$3))</f>
        <v>4</v>
      </c>
      <c r="Z25" s="27">
        <f ca="1">INDEX(Д2!$E$34:$AI$43,MATCH($D25,Д2!$D$34:$D$43),MATCH(Z$7,Д2!$E$3:$AI$3))</f>
        <v>8</v>
      </c>
      <c r="AA25" s="27">
        <f ca="1">INDEX(Д2!$E$34:$AI$43,MATCH($D25,Д2!$D$34:$D$43),MATCH(AA$7,Д2!$E$3:$AI$3))</f>
        <v>12</v>
      </c>
      <c r="AB25" s="27">
        <f ca="1">INDEX(Д2!$E$34:$AI$43,MATCH($D25,Д2!$D$34:$D$43),MATCH(AB$7,Д2!$E$3:$AI$3))</f>
        <v>4</v>
      </c>
      <c r="AC25" s="27">
        <f ca="1">INDEX(Д2!$E$34:$AI$43,MATCH($D25,Д2!$D$34:$D$43),MATCH(AC$7,Д2!$E$3:$AI$3))</f>
        <v>8</v>
      </c>
      <c r="AD25" s="27">
        <f ca="1">INDEX(Д2!$E$34:$AI$43,MATCH($D25,Д2!$D$34:$D$43),MATCH(AD$7,Д2!$E$3:$AI$3))</f>
        <v>12</v>
      </c>
      <c r="AE25" s="27">
        <f ca="1">INDEX(Д2!$E$34:$AI$43,MATCH($D25,Д2!$D$34:$D$43),MATCH(AE$7,Д2!$E$3:$AI$3))</f>
        <v>0</v>
      </c>
      <c r="AF25" s="27">
        <f ca="1">INDEX(Д2!$E$34:$AI$43,MATCH($D25,Д2!$D$34:$D$43),MATCH(AF$7,Д2!$E$3:$AI$3))</f>
        <v>0</v>
      </c>
      <c r="AG25" s="27">
        <f ca="1">INDEX(Д2!$E$34:$AI$43,MATCH($D25,Д2!$D$34:$D$43),MATCH(AG$7,Д2!$E$3:$AI$3))</f>
        <v>4</v>
      </c>
      <c r="AH25" s="27">
        <f ca="1">INDEX(Д2!$E$34:$AI$43,MATCH($D25,Д2!$D$34:$D$43),MATCH(AH$7,Д2!$E$3:$AI$3))</f>
        <v>8</v>
      </c>
      <c r="AI25" s="106"/>
      <c r="AJ25" s="143">
        <f>INDEX(Д2!AK$34:$AK$43,MATCH($C25,Д2!$C$34:$C$43),MATCH(E$7,Д2!$E$3:$AI$3))*AND(MONTH($E$8)=MONTH(Д2!$B$34))</f>
        <v>175</v>
      </c>
      <c r="AK25" s="144">
        <f ca="1">SUM(E25:AI26)</f>
        <v>176</v>
      </c>
      <c r="AL25" s="144"/>
      <c r="AM25" s="149">
        <f ca="1">SUM(F25:H26,J25:AI26)-AJ25+AL25-12</f>
        <v>-23</v>
      </c>
      <c r="AP25" s="136">
        <f t="shared" ref="AP25" ca="1" si="44">COUNTIF($E25:$AI26,"12")</f>
        <v>7</v>
      </c>
      <c r="AQ25" s="136">
        <f t="shared" ref="AQ25" ca="1" si="45">IF(COUNTIF($E25:$AI26,"СП")&gt;=1,(COUNTIF($E25:$AI26,"4")+COUNTIF($E25:$AI26,"8")-1)/2,(COUNTIF($E25:$AI26,"4")+COUNTIF($E25:$AI26,"8"))/2)</f>
        <v>7</v>
      </c>
      <c r="AR25" s="136">
        <f t="shared" ca="1" si="2"/>
        <v>84</v>
      </c>
      <c r="AS25" s="136">
        <f t="shared" ref="AS25" ca="1" si="46">IF(COUNTIF($E25:$AI26,"СП")&gt;=1,SUMIF($E25:$AI26,"4",$E25:$AI26)+SUMIF($E25:$AI26,"8",$E25:$AI26)-8,SUMIF($E25:$AI26,"4",$E25:$AI26)+SUMIF($E25:$AI26,"8",$E25:$AI26))</f>
        <v>84</v>
      </c>
      <c r="AT25" s="136">
        <f t="shared" ref="AT25" ca="1" si="47">$AR25+$AS25</f>
        <v>168</v>
      </c>
      <c r="AU25" s="136" t="str">
        <f t="shared" ref="AU25" ca="1" si="48">IF(AK25=AT25,"+","!")</f>
        <v>!</v>
      </c>
      <c r="AV25" s="136">
        <f t="shared" ref="AV25" ca="1" si="49">COUNTIF($E25:$AI26,"ОТ")</f>
        <v>0</v>
      </c>
      <c r="AW25" s="137" t="str">
        <f ca="1">IF(COUNTIF($A26:$AI26,"СП")&gt;0,IF(INDIRECT(ADDRESS(ROW(),MATCH("СП",$A26:$AI26),1))=8,"","!"),"")</f>
        <v/>
      </c>
      <c r="AX25" s="137" t="str">
        <f ca="1">IF(COUNTIF($A26:$AI26,"СП")&gt;0,IF(INDIRECT(ADDRESS(ROW(),MATCH("СП",$A26:$AI26)-1,1))=4,"!",""),"")</f>
        <v>!</v>
      </c>
    </row>
    <row r="26" spans="1:50" ht="16.5" thickBot="1" x14ac:dyDescent="0.3">
      <c r="A26" s="147"/>
      <c r="B26" s="139"/>
      <c r="C26" s="171"/>
      <c r="D26" s="50">
        <v>8</v>
      </c>
      <c r="E26" s="65" t="str">
        <f>INDEX(Д2!$E$34:$AI$43,MATCH($D26,Д2!$D$34:$D$43),MATCH(E$7,Д2!$E$3:$AI$3))</f>
        <v/>
      </c>
      <c r="F26" s="30" t="str">
        <f>INDEX(Д2!$E$34:$AI$43,MATCH($D26,Д2!$D$34:$D$43),MATCH(F$7,Д2!$E$3:$AI$3))</f>
        <v/>
      </c>
      <c r="G26" s="30" t="str">
        <f>INDEX(Д2!$E$34:$AI$43,MATCH($D26,Д2!$D$34:$D$43),MATCH(G$7,Д2!$E$3:$AI$3))</f>
        <v/>
      </c>
      <c r="H26" s="30" t="str">
        <f>INDEX(Д2!$E$34:$AI$43,MATCH($D26,Д2!$D$34:$D$43),MATCH(H$7,Д2!$E$3:$AI$3))</f>
        <v/>
      </c>
      <c r="I26" s="30" t="str">
        <f>INDEX(Д2!$E$34:$AI$43,MATCH($D26,Д2!$D$34:$D$43),MATCH(I$7,Д2!$E$3:$AI$3))</f>
        <v/>
      </c>
      <c r="J26" s="30" t="str">
        <f>INDEX(Д2!$E$34:$AI$43,MATCH($D26,Д2!$D$34:$D$43),MATCH(J$7,Д2!$E$3:$AI$3))</f>
        <v/>
      </c>
      <c r="K26" s="30" t="str">
        <f>INDEX(Д2!$E$34:$AI$43,MATCH($D26,Д2!$D$34:$D$43),MATCH(K$7,Д2!$E$3:$AI$3))</f>
        <v>СП</v>
      </c>
      <c r="L26" s="30" t="str">
        <f>INDEX(Д2!$E$34:$AI$43,MATCH($D26,Д2!$D$34:$D$43),MATCH(L$7,Д2!$E$3:$AI$3))</f>
        <v/>
      </c>
      <c r="M26" s="30" t="str">
        <f>INDEX(Д2!$E$34:$AI$43,MATCH($D26,Д2!$D$34:$D$43),MATCH(M$7,Д2!$E$3:$AI$3))</f>
        <v/>
      </c>
      <c r="N26" s="30" t="str">
        <f>INDEX(Д2!$E$34:$AI$43,MATCH($D26,Д2!$D$34:$D$43),MATCH(N$7,Д2!$E$3:$AI$3))</f>
        <v/>
      </c>
      <c r="O26" s="30" t="str">
        <f>INDEX(Д2!$E$34:$AI$43,MATCH($D26,Д2!$D$34:$D$43),MATCH(O$7,Д2!$E$3:$AI$3))</f>
        <v/>
      </c>
      <c r="P26" s="30" t="str">
        <f>INDEX(Д2!$E$34:$AI$43,MATCH($D26,Д2!$D$34:$D$43),MATCH(P$7,Д2!$E$3:$AI$3))</f>
        <v/>
      </c>
      <c r="Q26" s="30" t="str">
        <f>INDEX(Д2!$E$34:$AI$43,MATCH($D26,Д2!$D$34:$D$43),MATCH(Q$7,Д2!$E$3:$AI$3))</f>
        <v/>
      </c>
      <c r="R26" s="30" t="str">
        <f>INDEX(Д2!$E$34:$AI$43,MATCH($D26,Д2!$D$34:$D$43),MATCH(R$7,Д2!$E$3:$AI$3))</f>
        <v/>
      </c>
      <c r="S26" s="30" t="str">
        <f>INDEX(Д2!$E$34:$AI$43,MATCH($D26,Д2!$D$34:$D$43),MATCH(S$7,Д2!$E$3:$AI$3))</f>
        <v/>
      </c>
      <c r="T26" s="30" t="str">
        <f>INDEX(Д2!$E$34:$AI$43,MATCH($D26,Д2!$D$34:$D$43),MATCH(T$7,Д2!$E$3:$AI$3))</f>
        <v/>
      </c>
      <c r="U26" s="30" t="str">
        <f>INDEX(Д2!$E$34:$AI$43,MATCH($D26,Д2!$D$34:$D$43),MATCH(U$7,Д2!$E$3:$AI$3))</f>
        <v/>
      </c>
      <c r="V26" s="30" t="str">
        <f>INDEX(Д2!$E$34:$AI$43,MATCH($D26,Д2!$D$34:$D$43),MATCH(V$7,Д2!$E$3:$AI$3))</f>
        <v/>
      </c>
      <c r="W26" s="30" t="str">
        <f>INDEX(Д2!$E$34:$AI$43,MATCH($D26,Д2!$D$34:$D$43),MATCH(W$7,Д2!$E$3:$AI$3))</f>
        <v/>
      </c>
      <c r="X26" s="30" t="str">
        <f>INDEX(Д2!$E$34:$AI$43,MATCH($D26,Д2!$D$34:$D$43),MATCH(X$7,Д2!$E$3:$AI$3))</f>
        <v/>
      </c>
      <c r="Y26" s="30" t="str">
        <f>INDEX(Д2!$E$34:$AI$43,MATCH($D26,Д2!$D$34:$D$43),MATCH(Y$7,Д2!$E$3:$AI$3))</f>
        <v/>
      </c>
      <c r="Z26" s="30" t="str">
        <f>INDEX(Д2!$E$34:$AI$43,MATCH($D26,Д2!$D$34:$D$43),MATCH(Z$7,Д2!$E$3:$AI$3))</f>
        <v/>
      </c>
      <c r="AA26" s="30" t="str">
        <f>INDEX(Д2!$E$34:$AI$43,MATCH($D26,Д2!$D$34:$D$43),MATCH(AA$7,Д2!$E$3:$AI$3))</f>
        <v/>
      </c>
      <c r="AB26" s="30" t="str">
        <f>INDEX(Д2!$E$34:$AI$43,MATCH($D26,Д2!$D$34:$D$43),MATCH(AB$7,Д2!$E$3:$AI$3))</f>
        <v/>
      </c>
      <c r="AC26" s="30" t="str">
        <f>INDEX(Д2!$E$34:$AI$43,MATCH($D26,Д2!$D$34:$D$43),MATCH(AC$7,Д2!$E$3:$AI$3))</f>
        <v/>
      </c>
      <c r="AD26" s="30" t="str">
        <f>INDEX(Д2!$E$34:$AI$43,MATCH($D26,Д2!$D$34:$D$43),MATCH(AD$7,Д2!$E$3:$AI$3))</f>
        <v/>
      </c>
      <c r="AE26" s="30" t="str">
        <f>INDEX(Д2!$E$34:$AI$43,MATCH($D26,Д2!$D$34:$D$43),MATCH(AE$7,Д2!$E$3:$AI$3))</f>
        <v/>
      </c>
      <c r="AF26" s="30" t="str">
        <f>INDEX(Д2!$E$34:$AI$43,MATCH($D26,Д2!$D$34:$D$43),MATCH(AF$7,Д2!$E$3:$AI$3))</f>
        <v/>
      </c>
      <c r="AG26" s="30" t="str">
        <f>INDEX(Д2!$E$34:$AI$43,MATCH($D26,Д2!$D$34:$D$43),MATCH(AG$7,Д2!$E$3:$AI$3))</f>
        <v/>
      </c>
      <c r="AH26" s="30" t="str">
        <f>INDEX(Д2!$E$34:$AI$43,MATCH($D26,Д2!$D$34:$D$43),MATCH(AH$7,Д2!$E$3:$AI$3))</f>
        <v/>
      </c>
      <c r="AI26" s="103"/>
      <c r="AJ26" s="143"/>
      <c r="AK26" s="145"/>
      <c r="AL26" s="145"/>
      <c r="AM26" s="150"/>
      <c r="AP26" s="136"/>
      <c r="AQ26" s="136"/>
      <c r="AR26" s="136"/>
      <c r="AS26" s="136"/>
      <c r="AT26" s="136"/>
      <c r="AU26" s="136"/>
      <c r="AV26" s="136"/>
      <c r="AW26" s="137"/>
      <c r="AX26" s="137"/>
    </row>
    <row r="27" spans="1:50" ht="16.5" customHeight="1" thickBot="1" x14ac:dyDescent="0.3">
      <c r="A27" s="147"/>
      <c r="B27" s="139" t="s">
        <v>89</v>
      </c>
      <c r="C27" s="170">
        <v>5</v>
      </c>
      <c r="D27" s="49">
        <v>9</v>
      </c>
      <c r="E27" s="62" t="str">
        <f>INDEX(Д2!$E$34:$AI$43,MATCH($D27,Д2!$D$34:$D$43),MATCH(E$7,Д2!$E$3:$AI$3))</f>
        <v>-</v>
      </c>
      <c r="F27" s="28" t="str">
        <f>INDEX(Д2!$E$34:$AI$43,MATCH($D27,Д2!$D$34:$D$43),MATCH(F$7,Д2!$E$3:$AI$3))</f>
        <v>-</v>
      </c>
      <c r="G27" s="28" t="str">
        <f>INDEX(Д2!$E$34:$AI$43,MATCH($D27,Д2!$D$34:$D$43),MATCH(G$7,Д2!$E$3:$AI$3))</f>
        <v>-</v>
      </c>
      <c r="H27" s="28" t="str">
        <f>INDEX(Д2!$E$34:$AI$43,MATCH($D27,Д2!$D$34:$D$43),MATCH(H$7,Д2!$E$3:$AI$3))</f>
        <v>-</v>
      </c>
      <c r="I27" s="28" t="str">
        <f>INDEX(Д2!$E$34:$AI$43,MATCH($D27,Д2!$D$34:$D$43),MATCH(I$7,Д2!$E$3:$AI$3))</f>
        <v>-</v>
      </c>
      <c r="J27" s="28" t="str">
        <f>INDEX(Д2!$E$34:$AI$43,MATCH($D27,Д2!$D$34:$D$43),MATCH(J$7,Д2!$E$3:$AI$3))</f>
        <v>-</v>
      </c>
      <c r="K27" s="28" t="str">
        <f>INDEX(Д2!$E$34:$AI$43,MATCH($D27,Д2!$D$34:$D$43),MATCH(K$7,Д2!$E$3:$AI$3))</f>
        <v>-</v>
      </c>
      <c r="L27" s="28" t="str">
        <f>INDEX(Д2!$E$34:$AI$43,MATCH($D27,Д2!$D$34:$D$43),MATCH(L$7,Д2!$E$3:$AI$3))</f>
        <v>-</v>
      </c>
      <c r="M27" s="28" t="str">
        <f>INDEX(Д2!$E$34:$AI$43,MATCH($D27,Д2!$D$34:$D$43),MATCH(M$7,Д2!$E$3:$AI$3))</f>
        <v>-</v>
      </c>
      <c r="N27" s="28" t="str">
        <f>INDEX(Д2!$E$34:$AI$43,MATCH($D27,Д2!$D$34:$D$43),MATCH(N$7,Д2!$E$3:$AI$3))</f>
        <v>-</v>
      </c>
      <c r="O27" s="28" t="str">
        <f>INDEX(Д2!$E$34:$AI$43,MATCH($D27,Д2!$D$34:$D$43),MATCH(O$7,Д2!$E$3:$AI$3))</f>
        <v>-</v>
      </c>
      <c r="P27" s="28" t="str">
        <f>INDEX(Д2!$E$34:$AI$43,MATCH($D27,Д2!$D$34:$D$43),MATCH(P$7,Д2!$E$3:$AI$3))</f>
        <v>-</v>
      </c>
      <c r="Q27" s="28" t="str">
        <f>INDEX(Д2!$E$34:$AI$43,MATCH($D27,Д2!$D$34:$D$43),MATCH(Q$7,Д2!$E$3:$AI$3))</f>
        <v>-</v>
      </c>
      <c r="R27" s="28" t="str">
        <f>INDEX(Д2!$E$34:$AI$43,MATCH($D27,Д2!$D$34:$D$43),MATCH(R$7,Д2!$E$3:$AI$3))</f>
        <v>-</v>
      </c>
      <c r="S27" s="28" t="str">
        <f>INDEX(Д2!$E$34:$AI$43,MATCH($D27,Д2!$D$34:$D$43),MATCH(S$7,Д2!$E$3:$AI$3))</f>
        <v>-</v>
      </c>
      <c r="T27" s="28" t="str">
        <f>INDEX(Д2!$E$34:$AI$43,MATCH($D27,Д2!$D$34:$D$43),MATCH(T$7,Д2!$E$3:$AI$3))</f>
        <v>-</v>
      </c>
      <c r="U27" s="28" t="str">
        <f>INDEX(Д2!$E$34:$AI$43,MATCH($D27,Д2!$D$34:$D$43),MATCH(U$7,Д2!$E$3:$AI$3))</f>
        <v>-</v>
      </c>
      <c r="V27" s="28" t="str">
        <f>INDEX(Д2!$E$34:$AI$43,MATCH($D27,Д2!$D$34:$D$43),MATCH(V$7,Д2!$E$3:$AI$3))</f>
        <v>-</v>
      </c>
      <c r="W27" s="28" t="str">
        <f>INDEX(Д2!$E$34:$AI$43,MATCH($D27,Д2!$D$34:$D$43),MATCH(W$7,Д2!$E$3:$AI$3))</f>
        <v>-</v>
      </c>
      <c r="X27" s="28" t="str">
        <f>INDEX(Д2!$E$34:$AI$43,MATCH($D27,Д2!$D$34:$D$43),MATCH(X$7,Д2!$E$3:$AI$3))</f>
        <v>-</v>
      </c>
      <c r="Y27" s="28" t="str">
        <f>INDEX(Д2!$E$34:$AI$43,MATCH($D27,Д2!$D$34:$D$43),MATCH(Y$7,Д2!$E$3:$AI$3))</f>
        <v>-</v>
      </c>
      <c r="Z27" s="28" t="str">
        <f>INDEX(Д2!$E$34:$AI$43,MATCH($D27,Д2!$D$34:$D$43),MATCH(Z$7,Д2!$E$3:$AI$3))</f>
        <v>-</v>
      </c>
      <c r="AA27" s="28" t="str">
        <f>INDEX(Д2!$E$34:$AI$43,MATCH($D27,Д2!$D$34:$D$43),MATCH(AA$7,Д2!$E$3:$AI$3))</f>
        <v>-</v>
      </c>
      <c r="AB27" s="28" t="str">
        <f>INDEX(Д2!$E$34:$AI$43,MATCH($D27,Д2!$D$34:$D$43),MATCH(AB$7,Д2!$E$3:$AI$3))</f>
        <v>-</v>
      </c>
      <c r="AC27" s="28" t="str">
        <f>INDEX(Д2!$E$34:$AI$43,MATCH($D27,Д2!$D$34:$D$43),MATCH(AC$7,Д2!$E$3:$AI$3))</f>
        <v>-</v>
      </c>
      <c r="AD27" s="28" t="str">
        <f>INDEX(Д2!$E$34:$AI$43,MATCH($D27,Д2!$D$34:$D$43),MATCH(AD$7,Д2!$E$3:$AI$3))</f>
        <v>-</v>
      </c>
      <c r="AE27" s="28" t="str">
        <f>INDEX(Д2!$E$34:$AI$43,MATCH($D27,Д2!$D$34:$D$43),MATCH(AE$7,Д2!$E$3:$AI$3))</f>
        <v>-</v>
      </c>
      <c r="AF27" s="28" t="str">
        <f>INDEX(Д2!$E$34:$AI$43,MATCH($D27,Д2!$D$34:$D$43),MATCH(AF$7,Д2!$E$3:$AI$3))</f>
        <v>-</v>
      </c>
      <c r="AG27" s="28" t="str">
        <f>INDEX(Д2!$E$34:$AI$43,MATCH($D27,Д2!$D$34:$D$43),MATCH(AG$7,Д2!$E$3:$AI$3))</f>
        <v>-</v>
      </c>
      <c r="AH27" s="28" t="str">
        <f>INDEX(Д2!$E$34:$AI$43,MATCH($D27,Д2!$D$34:$D$43),MATCH(AH$7,Д2!$E$3:$AI$3))</f>
        <v>-</v>
      </c>
      <c r="AI27" s="108"/>
      <c r="AJ27" s="143">
        <f>INDEX(Д2!AK$34:$AK$43,MATCH($C27,Д2!$C$34:$C$43),MATCH(E$7,Д2!$E$3:$AI$3))*AND(MONTH($E$8)=MONTH(Д2!$B$34))</f>
        <v>175</v>
      </c>
      <c r="AK27" s="144">
        <f>SUM(E27:AI28)</f>
        <v>0</v>
      </c>
      <c r="AL27" s="144"/>
      <c r="AM27" s="149">
        <f>SUM(F27:H28,J27:AI28)-AJ27+AL27-12</f>
        <v>-187</v>
      </c>
      <c r="AP27" s="136">
        <f t="shared" ref="AP27" si="50">COUNTIF($E27:$AI28,"12")</f>
        <v>0</v>
      </c>
      <c r="AQ27" s="136">
        <f t="shared" ref="AQ27" si="51">IF(COUNTIF($E27:$AI28,"СП")&gt;=1,(COUNTIF($E27:$AI28,"4")+COUNTIF($E27:$AI28,"8")-1)/2,(COUNTIF($E27:$AI28,"4")+COUNTIF($E27:$AI28,"8"))/2)</f>
        <v>-0.5</v>
      </c>
      <c r="AR27" s="136">
        <f t="shared" si="2"/>
        <v>0</v>
      </c>
      <c r="AS27" s="136">
        <f t="shared" ref="AS27" si="52">IF(COUNTIF($E27:$AI28,"СП")&gt;=1,SUMIF($E27:$AI28,"4",$E27:$AI28)+SUMIF($E27:$AI28,"8",$E27:$AI28)-8,SUMIF($E27:$AI28,"4",$E27:$AI28)+SUMIF($E27:$AI28,"8",$E27:$AI28))</f>
        <v>-8</v>
      </c>
      <c r="AT27" s="136">
        <f t="shared" ref="AT27" si="53">$AR27+$AS27</f>
        <v>-8</v>
      </c>
      <c r="AU27" s="136" t="str">
        <f t="shared" ref="AU27" si="54">IF(AK27=AT27,"+","!")</f>
        <v>!</v>
      </c>
      <c r="AV27" s="136">
        <f t="shared" ref="AV27" si="55">COUNTIF($E27:$AI28,"ОТ")</f>
        <v>0</v>
      </c>
      <c r="AW27" s="137" t="str">
        <f ca="1">IF(COUNTIF($A28:$AI28,"СП")&gt;0,IF(INDIRECT(ADDRESS(ROW(),MATCH("СП",$A28:$AI28),1))=8,"","!"),"")</f>
        <v>!</v>
      </c>
      <c r="AX27" s="137" t="str">
        <f ca="1">IF(COUNTIF($A28:$AI28,"СП")&gt;0,IF(INDIRECT(ADDRESS(ROW(),MATCH("СП",$A28:$AI28)-1,1))=4,"!",""),"")</f>
        <v/>
      </c>
    </row>
    <row r="28" spans="1:50" ht="16.5" thickBot="1" x14ac:dyDescent="0.3">
      <c r="A28" s="148"/>
      <c r="B28" s="140"/>
      <c r="C28" s="172"/>
      <c r="D28" s="50">
        <v>10</v>
      </c>
      <c r="E28" s="66" t="str">
        <f>INDEX(Д2!$E$34:$AI$43,MATCH($D28,Д2!$D$34:$D$43),MATCH(E$7,Д2!$E$3:$AI$3))</f>
        <v/>
      </c>
      <c r="F28" s="67" t="str">
        <f>INDEX(Д2!$E$34:$AI$43,MATCH($D28,Д2!$D$34:$D$43),MATCH(F$7,Д2!$E$3:$AI$3))</f>
        <v/>
      </c>
      <c r="G28" s="67" t="str">
        <f>INDEX(Д2!$E$34:$AI$43,MATCH($D28,Д2!$D$34:$D$43),MATCH(G$7,Д2!$E$3:$AI$3))</f>
        <v/>
      </c>
      <c r="H28" s="67" t="str">
        <f>INDEX(Д2!$E$34:$AI$43,MATCH($D28,Д2!$D$34:$D$43),MATCH(H$7,Д2!$E$3:$AI$3))</f>
        <v/>
      </c>
      <c r="I28" s="67" t="str">
        <f>INDEX(Д2!$E$34:$AI$43,MATCH($D28,Д2!$D$34:$D$43),MATCH(I$7,Д2!$E$3:$AI$3))</f>
        <v/>
      </c>
      <c r="J28" s="67" t="str">
        <f>INDEX(Д2!$E$34:$AI$43,MATCH($D28,Д2!$D$34:$D$43),MATCH(J$7,Д2!$E$3:$AI$3))</f>
        <v/>
      </c>
      <c r="K28" s="67" t="str">
        <f>INDEX(Д2!$E$34:$AI$43,MATCH($D28,Д2!$D$34:$D$43),MATCH(K$7,Д2!$E$3:$AI$3))</f>
        <v/>
      </c>
      <c r="L28" s="67" t="str">
        <f>INDEX(Д2!$E$34:$AI$43,MATCH($D28,Д2!$D$34:$D$43),MATCH(L$7,Д2!$E$3:$AI$3))</f>
        <v>СП</v>
      </c>
      <c r="M28" s="67" t="str">
        <f>INDEX(Д2!$E$34:$AI$43,MATCH($D28,Д2!$D$34:$D$43),MATCH(M$7,Д2!$E$3:$AI$3))</f>
        <v/>
      </c>
      <c r="N28" s="67" t="str">
        <f>INDEX(Д2!$E$34:$AI$43,MATCH($D28,Д2!$D$34:$D$43),MATCH(N$7,Д2!$E$3:$AI$3))</f>
        <v/>
      </c>
      <c r="O28" s="67" t="str">
        <f>INDEX(Д2!$E$34:$AI$43,MATCH($D28,Д2!$D$34:$D$43),MATCH(O$7,Д2!$E$3:$AI$3))</f>
        <v/>
      </c>
      <c r="P28" s="67" t="str">
        <f>INDEX(Д2!$E$34:$AI$43,MATCH($D28,Д2!$D$34:$D$43),MATCH(P$7,Д2!$E$3:$AI$3))</f>
        <v/>
      </c>
      <c r="Q28" s="67" t="str">
        <f>INDEX(Д2!$E$34:$AI$43,MATCH($D28,Д2!$D$34:$D$43),MATCH(Q$7,Д2!$E$3:$AI$3))</f>
        <v/>
      </c>
      <c r="R28" s="67" t="str">
        <f>INDEX(Д2!$E$34:$AI$43,MATCH($D28,Д2!$D$34:$D$43),MATCH(R$7,Д2!$E$3:$AI$3))</f>
        <v/>
      </c>
      <c r="S28" s="67" t="str">
        <f>INDEX(Д2!$E$34:$AI$43,MATCH($D28,Д2!$D$34:$D$43),MATCH(S$7,Д2!$E$3:$AI$3))</f>
        <v/>
      </c>
      <c r="T28" s="67" t="str">
        <f>INDEX(Д2!$E$34:$AI$43,MATCH($D28,Д2!$D$34:$D$43),MATCH(T$7,Д2!$E$3:$AI$3))</f>
        <v/>
      </c>
      <c r="U28" s="67" t="str">
        <f>INDEX(Д2!$E$34:$AI$43,MATCH($D28,Д2!$D$34:$D$43),MATCH(U$7,Д2!$E$3:$AI$3))</f>
        <v/>
      </c>
      <c r="V28" s="67" t="str">
        <f>INDEX(Д2!$E$34:$AI$43,MATCH($D28,Д2!$D$34:$D$43),MATCH(V$7,Д2!$E$3:$AI$3))</f>
        <v/>
      </c>
      <c r="W28" s="67" t="str">
        <f>INDEX(Д2!$E$34:$AI$43,MATCH($D28,Д2!$D$34:$D$43),MATCH(W$7,Д2!$E$3:$AI$3))</f>
        <v/>
      </c>
      <c r="X28" s="67" t="str">
        <f>INDEX(Д2!$E$34:$AI$43,MATCH($D28,Д2!$D$34:$D$43),MATCH(X$7,Д2!$E$3:$AI$3))</f>
        <v/>
      </c>
      <c r="Y28" s="67" t="str">
        <f>INDEX(Д2!$E$34:$AI$43,MATCH($D28,Д2!$D$34:$D$43),MATCH(Y$7,Д2!$E$3:$AI$3))</f>
        <v/>
      </c>
      <c r="Z28" s="67" t="str">
        <f>INDEX(Д2!$E$34:$AI$43,MATCH($D28,Д2!$D$34:$D$43),MATCH(Z$7,Д2!$E$3:$AI$3))</f>
        <v/>
      </c>
      <c r="AA28" s="67" t="str">
        <f>INDEX(Д2!$E$34:$AI$43,MATCH($D28,Д2!$D$34:$D$43),MATCH(AA$7,Д2!$E$3:$AI$3))</f>
        <v/>
      </c>
      <c r="AB28" s="67" t="str">
        <f>INDEX(Д2!$E$34:$AI$43,MATCH($D28,Д2!$D$34:$D$43),MATCH(AB$7,Д2!$E$3:$AI$3))</f>
        <v/>
      </c>
      <c r="AC28" s="67" t="str">
        <f>INDEX(Д2!$E$34:$AI$43,MATCH($D28,Д2!$D$34:$D$43),MATCH(AC$7,Д2!$E$3:$AI$3))</f>
        <v/>
      </c>
      <c r="AD28" s="67" t="str">
        <f>INDEX(Д2!$E$34:$AI$43,MATCH($D28,Д2!$D$34:$D$43),MATCH(AD$7,Д2!$E$3:$AI$3))</f>
        <v/>
      </c>
      <c r="AE28" s="67" t="str">
        <f>INDEX(Д2!$E$34:$AI$43,MATCH($D28,Д2!$D$34:$D$43),MATCH(AE$7,Д2!$E$3:$AI$3))</f>
        <v/>
      </c>
      <c r="AF28" s="67" t="str">
        <f>INDEX(Д2!$E$34:$AI$43,MATCH($D28,Д2!$D$34:$D$43),MATCH(AF$7,Д2!$E$3:$AI$3))</f>
        <v/>
      </c>
      <c r="AG28" s="67" t="str">
        <f>INDEX(Д2!$E$34:$AI$43,MATCH($D28,Д2!$D$34:$D$43),MATCH(AG$7,Д2!$E$3:$AI$3))</f>
        <v/>
      </c>
      <c r="AH28" s="67" t="str">
        <f>INDEX(Д2!$E$34:$AI$43,MATCH($D28,Д2!$D$34:$D$43),MATCH(AH$7,Д2!$E$3:$AI$3))</f>
        <v/>
      </c>
      <c r="AI28" s="105"/>
      <c r="AJ28" s="153"/>
      <c r="AK28" s="158"/>
      <c r="AL28" s="158"/>
      <c r="AM28" s="150"/>
      <c r="AP28" s="136"/>
      <c r="AQ28" s="136"/>
      <c r="AR28" s="136"/>
      <c r="AS28" s="136"/>
      <c r="AT28" s="136"/>
      <c r="AU28" s="136"/>
      <c r="AV28" s="136"/>
      <c r="AW28" s="137"/>
      <c r="AX28" s="137"/>
    </row>
    <row r="29" spans="1:50" ht="17.25" customHeight="1" thickTop="1" thickBot="1" x14ac:dyDescent="0.3">
      <c r="A29" s="146" t="s">
        <v>102</v>
      </c>
      <c r="B29" s="151" t="s">
        <v>90</v>
      </c>
      <c r="C29" s="173">
        <v>1</v>
      </c>
      <c r="D29" s="49">
        <v>1</v>
      </c>
      <c r="E29" s="64">
        <f ca="1">INDEX(Д3!$E$34:$AI$43,MATCH($D29,Д3!$D$34:$D$43),MATCH(E$7,Д3!$E$3:$AI$3))</f>
        <v>4</v>
      </c>
      <c r="F29" s="27">
        <f ca="1">INDEX(Д3!$E$34:$AI$43,MATCH($D29,Д3!$D$34:$D$43),MATCH(F$7,Д3!$E$3:$AI$3))</f>
        <v>8</v>
      </c>
      <c r="G29" s="27">
        <f ca="1">INDEX(Д3!$E$34:$AI$43,MATCH($D29,Д3!$D$34:$D$43),MATCH(G$7,Д3!$E$3:$AI$3))</f>
        <v>12</v>
      </c>
      <c r="H29" s="27">
        <f ca="1">INDEX(Д3!$E$34:$AI$43,MATCH($D29,Д3!$D$34:$D$43),MATCH(H$7,Д3!$E$3:$AI$3))</f>
        <v>8</v>
      </c>
      <c r="I29" s="27">
        <f ca="1">INDEX(Д3!$E$34:$AI$43,MATCH($D29,Д3!$D$34:$D$43),MATCH(I$7,Д3!$E$3:$AI$3))</f>
        <v>8</v>
      </c>
      <c r="J29" s="27">
        <f ca="1">INDEX(Д3!$E$34:$AI$43,MATCH($D29,Д3!$D$34:$D$43),MATCH(J$7,Д3!$E$3:$AI$3))</f>
        <v>12</v>
      </c>
      <c r="K29" s="27">
        <f ca="1">INDEX(Д3!$E$34:$AI$43,MATCH($D29,Д3!$D$34:$D$43),MATCH(K$7,Д3!$E$3:$AI$3))</f>
        <v>0</v>
      </c>
      <c r="L29" s="27">
        <f ca="1">INDEX(Д3!$E$34:$AI$43,MATCH($D29,Д3!$D$34:$D$43),MATCH(L$7,Д3!$E$3:$AI$3))</f>
        <v>0</v>
      </c>
      <c r="M29" s="27">
        <f ca="1">INDEX(Д3!$E$34:$AI$43,MATCH($D29,Д3!$D$34:$D$43),MATCH(M$7,Д3!$E$3:$AI$3))</f>
        <v>4</v>
      </c>
      <c r="N29" s="27">
        <f ca="1">INDEX(Д3!$E$34:$AI$43,MATCH($D29,Д3!$D$34:$D$43),MATCH(N$7,Д3!$E$3:$AI$3))</f>
        <v>8</v>
      </c>
      <c r="O29" s="27">
        <f ca="1">INDEX(Д3!$E$34:$AI$43,MATCH($D29,Д3!$D$34:$D$43),MATCH(O$7,Д3!$E$3:$AI$3))</f>
        <v>12</v>
      </c>
      <c r="P29" s="27">
        <f ca="1">INDEX(Д3!$E$34:$AI$43,MATCH($D29,Д3!$D$34:$D$43),MATCH(P$7,Д3!$E$3:$AI$3))</f>
        <v>4</v>
      </c>
      <c r="Q29" s="27">
        <f ca="1">INDEX(Д3!$E$34:$AI$43,MATCH($D29,Д3!$D$34:$D$43),MATCH(Q$7,Д3!$E$3:$AI$3))</f>
        <v>8</v>
      </c>
      <c r="R29" s="27">
        <f ca="1">INDEX(Д3!$E$34:$AI$43,MATCH($D29,Д3!$D$34:$D$43),MATCH(R$7,Д3!$E$3:$AI$3))</f>
        <v>12</v>
      </c>
      <c r="S29" s="27">
        <f ca="1">INDEX(Д3!$E$34:$AI$43,MATCH($D29,Д3!$D$34:$D$43),MATCH(S$7,Д3!$E$3:$AI$3))</f>
        <v>0</v>
      </c>
      <c r="T29" s="27">
        <f ca="1">INDEX(Д3!$E$34:$AI$43,MATCH($D29,Д3!$D$34:$D$43),MATCH(T$7,Д3!$E$3:$AI$3))</f>
        <v>0</v>
      </c>
      <c r="U29" s="27">
        <f ca="1">INDEX(Д3!$E$34:$AI$43,MATCH($D29,Д3!$D$34:$D$43),MATCH(U$7,Д3!$E$3:$AI$3))</f>
        <v>4</v>
      </c>
      <c r="V29" s="27">
        <f ca="1">INDEX(Д3!$E$34:$AI$43,MATCH($D29,Д3!$D$34:$D$43),MATCH(V$7,Д3!$E$3:$AI$3))</f>
        <v>8</v>
      </c>
      <c r="W29" s="27">
        <f ca="1">INDEX(Д3!$E$34:$AI$43,MATCH($D29,Д3!$D$34:$D$43),MATCH(W$7,Д3!$E$3:$AI$3))</f>
        <v>12</v>
      </c>
      <c r="X29" s="27">
        <f ca="1">INDEX(Д3!$E$34:$AI$43,MATCH($D29,Д3!$D$34:$D$43),MATCH(X$7,Д3!$E$3:$AI$3))</f>
        <v>4</v>
      </c>
      <c r="Y29" s="27">
        <f ca="1">INDEX(Д3!$E$34:$AI$43,MATCH($D29,Д3!$D$34:$D$43),MATCH(Y$7,Д3!$E$3:$AI$3))</f>
        <v>8</v>
      </c>
      <c r="Z29" s="27">
        <f ca="1">INDEX(Д3!$E$34:$AI$43,MATCH($D29,Д3!$D$34:$D$43),MATCH(Z$7,Д3!$E$3:$AI$3))</f>
        <v>12</v>
      </c>
      <c r="AA29" s="27">
        <f ca="1">INDEX(Д3!$E$34:$AI$43,MATCH($D29,Д3!$D$34:$D$43),MATCH(AA$7,Д3!$E$3:$AI$3))</f>
        <v>0</v>
      </c>
      <c r="AB29" s="27">
        <f ca="1">INDEX(Д3!$E$34:$AI$43,MATCH($D29,Д3!$D$34:$D$43),MATCH(AB$7,Д3!$E$3:$AI$3))</f>
        <v>0</v>
      </c>
      <c r="AC29" s="27">
        <f ca="1">INDEX(Д3!$E$34:$AI$43,MATCH($D29,Д3!$D$34:$D$43),MATCH(AC$7,Д3!$E$3:$AI$3))</f>
        <v>4</v>
      </c>
      <c r="AD29" s="27">
        <f ca="1">INDEX(Д3!$E$34:$AI$43,MATCH($D29,Д3!$D$34:$D$43),MATCH(AD$7,Д3!$E$3:$AI$3))</f>
        <v>8</v>
      </c>
      <c r="AE29" s="27">
        <f ca="1">INDEX(Д3!$E$34:$AI$43,MATCH($D29,Д3!$D$34:$D$43),MATCH(AE$7,Д3!$E$3:$AI$3))</f>
        <v>12</v>
      </c>
      <c r="AF29" s="27">
        <f ca="1">INDEX(Д3!$E$34:$AI$43,MATCH($D29,Д3!$D$34:$D$43),MATCH(AF$7,Д3!$E$3:$AI$3))</f>
        <v>4</v>
      </c>
      <c r="AG29" s="27">
        <f ca="1">INDEX(Д3!$E$34:$AI$43,MATCH($D29,Д3!$D$34:$D$43),MATCH(AG$7,Д3!$E$3:$AI$3))</f>
        <v>8</v>
      </c>
      <c r="AH29" s="27">
        <f ca="1">INDEX(Д3!$E$34:$AI$43,MATCH($D29,Д3!$D$34:$D$43),MATCH(AH$7,Д3!$E$3:$AI$3))</f>
        <v>12</v>
      </c>
      <c r="AI29" s="106"/>
      <c r="AJ29" s="157">
        <f>INDEX(Д3!AK$34:$AK$43,MATCH($C29,Д3!$C$34:$C$43),MATCH(E$7,Д3!$E$3:$AI$3))*AND(MONTH($E$8)=MONTH(Д3!$B$34))</f>
        <v>175</v>
      </c>
      <c r="AK29" s="157">
        <f ca="1">SUM(E29:AI30)</f>
        <v>196</v>
      </c>
      <c r="AL29" s="145"/>
      <c r="AM29" s="149">
        <f ca="1">SUM(F29:H30,J29:AI30)-AJ29+AL29-12</f>
        <v>-3</v>
      </c>
      <c r="AP29" s="136">
        <f t="shared" ref="AP29" ca="1" si="56">COUNTIF($E29:$AI30,"12")</f>
        <v>8</v>
      </c>
      <c r="AQ29" s="136">
        <f t="shared" ref="AQ29" ca="1" si="57">IF(COUNTIF($E29:$AI30,"СП")&gt;=1,(COUNTIF($E29:$AI30,"4")+COUNTIF($E29:$AI30,"8")-1)/2,(COUNTIF($E29:$AI30,"4")+COUNTIF($E29:$AI30,"8"))/2)</f>
        <v>7.5</v>
      </c>
      <c r="AR29" s="136">
        <f t="shared" ca="1" si="2"/>
        <v>96</v>
      </c>
      <c r="AS29" s="136">
        <f t="shared" ref="AS29" ca="1" si="58">IF(COUNTIF($E29:$AI30,"СП")&gt;=1,SUMIF($E29:$AI30,"4",$E29:$AI30)+SUMIF($E29:$AI30,"8",$E29:$AI30)-8,SUMIF($E29:$AI30,"4",$E29:$AI30)+SUMIF($E29:$AI30,"8",$E29:$AI30))</f>
        <v>92</v>
      </c>
      <c r="AT29" s="136">
        <f t="shared" ref="AT29" ca="1" si="59">$AR29+$AS29</f>
        <v>188</v>
      </c>
      <c r="AU29" s="136" t="str">
        <f t="shared" ref="AU29" ca="1" si="60">IF(AK29=AT29,"+","!")</f>
        <v>!</v>
      </c>
      <c r="AV29" s="136">
        <f t="shared" ref="AV29" ca="1" si="61">COUNTIF($E29:$AI30,"ОТ")</f>
        <v>0</v>
      </c>
      <c r="AW29" s="137" t="str">
        <f ca="1">IF(COUNTIF($A30:$AI30,"СП")&gt;0,IF(INDIRECT(ADDRESS(ROW(),MATCH("СП",$A30:$AI30),1))=8,"","!"),"")</f>
        <v>!</v>
      </c>
      <c r="AX29" s="137" t="str">
        <f ca="1">IF(COUNTIF($A30:$AI30,"СП")&gt;0,IF(INDIRECT(ADDRESS(ROW(),MATCH("СП",$A30:$AI30)-1,1))=4,"!",""),"")</f>
        <v/>
      </c>
    </row>
    <row r="30" spans="1:50" ht="16.5" thickBot="1" x14ac:dyDescent="0.3">
      <c r="A30" s="147"/>
      <c r="B30" s="139"/>
      <c r="C30" s="171"/>
      <c r="D30" s="50">
        <v>2</v>
      </c>
      <c r="E30" s="63" t="str">
        <f>INDEX(Д3!$E$34:$AI$43,MATCH($D30,Д3!$D$34:$D$43),MATCH(E$7,Д3!$E$3:$AI$3))</f>
        <v/>
      </c>
      <c r="F30" s="29" t="str">
        <f>INDEX(Д3!$E$34:$AI$43,MATCH($D30,Д3!$D$34:$D$43),MATCH(F$7,Д3!$E$3:$AI$3))</f>
        <v/>
      </c>
      <c r="G30" s="29" t="str">
        <f>INDEX(Д3!$E$34:$AI$43,MATCH($D30,Д3!$D$34:$D$43),MATCH(G$7,Д3!$E$3:$AI$3))</f>
        <v/>
      </c>
      <c r="H30" s="29" t="str">
        <f>INDEX(Д3!$E$34:$AI$43,MATCH($D30,Д3!$D$34:$D$43),MATCH(H$7,Д3!$E$3:$AI$3))</f>
        <v>СП</v>
      </c>
      <c r="I30" s="29" t="str">
        <f>INDEX(Д3!$E$34:$AI$43,MATCH($D30,Д3!$D$34:$D$43),MATCH(I$7,Д3!$E$3:$AI$3))</f>
        <v/>
      </c>
      <c r="J30" s="29" t="str">
        <f>INDEX(Д3!$E$34:$AI$43,MATCH($D30,Д3!$D$34:$D$43),MATCH(J$7,Д3!$E$3:$AI$3))</f>
        <v/>
      </c>
      <c r="K30" s="29" t="str">
        <f>INDEX(Д3!$E$34:$AI$43,MATCH($D30,Д3!$D$34:$D$43),MATCH(K$7,Д3!$E$3:$AI$3))</f>
        <v/>
      </c>
      <c r="L30" s="29" t="str">
        <f>INDEX(Д3!$E$34:$AI$43,MATCH($D30,Д3!$D$34:$D$43),MATCH(L$7,Д3!$E$3:$AI$3))</f>
        <v/>
      </c>
      <c r="M30" s="29" t="str">
        <f>INDEX(Д3!$E$34:$AI$43,MATCH($D30,Д3!$D$34:$D$43),MATCH(M$7,Д3!$E$3:$AI$3))</f>
        <v/>
      </c>
      <c r="N30" s="29" t="str">
        <f>INDEX(Д3!$E$34:$AI$43,MATCH($D30,Д3!$D$34:$D$43),MATCH(N$7,Д3!$E$3:$AI$3))</f>
        <v/>
      </c>
      <c r="O30" s="29" t="str">
        <f>INDEX(Д3!$E$34:$AI$43,MATCH($D30,Д3!$D$34:$D$43),MATCH(O$7,Д3!$E$3:$AI$3))</f>
        <v/>
      </c>
      <c r="P30" s="29" t="str">
        <f>INDEX(Д3!$E$34:$AI$43,MATCH($D30,Д3!$D$34:$D$43),MATCH(P$7,Д3!$E$3:$AI$3))</f>
        <v/>
      </c>
      <c r="Q30" s="29" t="str">
        <f>INDEX(Д3!$E$34:$AI$43,MATCH($D30,Д3!$D$34:$D$43),MATCH(Q$7,Д3!$E$3:$AI$3))</f>
        <v/>
      </c>
      <c r="R30" s="29" t="str">
        <f>INDEX(Д3!$E$34:$AI$43,MATCH($D30,Д3!$D$34:$D$43),MATCH(R$7,Д3!$E$3:$AI$3))</f>
        <v/>
      </c>
      <c r="S30" s="29" t="str">
        <f>INDEX(Д3!$E$34:$AI$43,MATCH($D30,Д3!$D$34:$D$43),MATCH(S$7,Д3!$E$3:$AI$3))</f>
        <v/>
      </c>
      <c r="T30" s="29" t="str">
        <f>INDEX(Д3!$E$34:$AI$43,MATCH($D30,Д3!$D$34:$D$43),MATCH(T$7,Д3!$E$3:$AI$3))</f>
        <v/>
      </c>
      <c r="U30" s="29" t="str">
        <f>INDEX(Д3!$E$34:$AI$43,MATCH($D30,Д3!$D$34:$D$43),MATCH(U$7,Д3!$E$3:$AI$3))</f>
        <v/>
      </c>
      <c r="V30" s="29" t="str">
        <f>INDEX(Д3!$E$34:$AI$43,MATCH($D30,Д3!$D$34:$D$43),MATCH(V$7,Д3!$E$3:$AI$3))</f>
        <v/>
      </c>
      <c r="W30" s="29" t="str">
        <f>INDEX(Д3!$E$34:$AI$43,MATCH($D30,Д3!$D$34:$D$43),MATCH(W$7,Д3!$E$3:$AI$3))</f>
        <v/>
      </c>
      <c r="X30" s="29" t="str">
        <f>INDEX(Д3!$E$34:$AI$43,MATCH($D30,Д3!$D$34:$D$43),MATCH(X$7,Д3!$E$3:$AI$3))</f>
        <v/>
      </c>
      <c r="Y30" s="29" t="str">
        <f>INDEX(Д3!$E$34:$AI$43,MATCH($D30,Д3!$D$34:$D$43),MATCH(Y$7,Д3!$E$3:$AI$3))</f>
        <v/>
      </c>
      <c r="Z30" s="29" t="str">
        <f>INDEX(Д3!$E$34:$AI$43,MATCH($D30,Д3!$D$34:$D$43),MATCH(Z$7,Д3!$E$3:$AI$3))</f>
        <v/>
      </c>
      <c r="AA30" s="29" t="str">
        <f>INDEX(Д3!$E$34:$AI$43,MATCH($D30,Д3!$D$34:$D$43),MATCH(AA$7,Д3!$E$3:$AI$3))</f>
        <v/>
      </c>
      <c r="AB30" s="29" t="str">
        <f>INDEX(Д3!$E$34:$AI$43,MATCH($D30,Д3!$D$34:$D$43),MATCH(AB$7,Д3!$E$3:$AI$3))</f>
        <v/>
      </c>
      <c r="AC30" s="29" t="str">
        <f>INDEX(Д3!$E$34:$AI$43,MATCH($D30,Д3!$D$34:$D$43),MATCH(AC$7,Д3!$E$3:$AI$3))</f>
        <v/>
      </c>
      <c r="AD30" s="29" t="str">
        <f>INDEX(Д3!$E$34:$AI$43,MATCH($D30,Д3!$D$34:$D$43),MATCH(AD$7,Д3!$E$3:$AI$3))</f>
        <v/>
      </c>
      <c r="AE30" s="29" t="str">
        <f>INDEX(Д3!$E$34:$AI$43,MATCH($D30,Д3!$D$34:$D$43),MATCH(AE$7,Д3!$E$3:$AI$3))</f>
        <v/>
      </c>
      <c r="AF30" s="29" t="str">
        <f>INDEX(Д3!$E$34:$AI$43,MATCH($D30,Д3!$D$34:$D$43),MATCH(AF$7,Д3!$E$3:$AI$3))</f>
        <v/>
      </c>
      <c r="AG30" s="29" t="str">
        <f>INDEX(Д3!$E$34:$AI$43,MATCH($D30,Д3!$D$34:$D$43),MATCH(AG$7,Д3!$E$3:$AI$3))</f>
        <v/>
      </c>
      <c r="AH30" s="29" t="str">
        <f>INDEX(Д3!$E$34:$AI$43,MATCH($D30,Д3!$D$34:$D$43),MATCH(AH$7,Д3!$E$3:$AI$3))</f>
        <v/>
      </c>
      <c r="AI30" s="107"/>
      <c r="AJ30" s="143"/>
      <c r="AK30" s="143"/>
      <c r="AL30" s="143"/>
      <c r="AM30" s="150"/>
      <c r="AP30" s="136"/>
      <c r="AQ30" s="136"/>
      <c r="AR30" s="136"/>
      <c r="AS30" s="136"/>
      <c r="AT30" s="136"/>
      <c r="AU30" s="136"/>
      <c r="AV30" s="136"/>
      <c r="AW30" s="137"/>
      <c r="AX30" s="137"/>
    </row>
    <row r="31" spans="1:50" ht="16.5" thickBot="1" x14ac:dyDescent="0.3">
      <c r="A31" s="147"/>
      <c r="B31" s="139" t="s">
        <v>91</v>
      </c>
      <c r="C31" s="170">
        <v>2</v>
      </c>
      <c r="D31" s="49">
        <v>3</v>
      </c>
      <c r="E31" s="64">
        <f ca="1">INDEX(Д3!$E$34:$AI$43,MATCH($D31,Д3!$D$34:$D$43),MATCH(E$7,Д3!$E$3:$AI$3))</f>
        <v>12</v>
      </c>
      <c r="F31" s="27">
        <f ca="1">INDEX(Д3!$E$34:$AI$43,MATCH($D31,Д3!$D$34:$D$43),MATCH(F$7,Д3!$E$3:$AI$3))</f>
        <v>4</v>
      </c>
      <c r="G31" s="27">
        <f ca="1">INDEX(Д3!$E$34:$AI$43,MATCH($D31,Д3!$D$34:$D$43),MATCH(G$7,Д3!$E$3:$AI$3))</f>
        <v>8</v>
      </c>
      <c r="H31" s="27">
        <f ca="1">INDEX(Д3!$E$34:$AI$43,MATCH($D31,Д3!$D$34:$D$43),MATCH(H$7,Д3!$E$3:$AI$3))</f>
        <v>12</v>
      </c>
      <c r="I31" s="27">
        <f ca="1">INDEX(Д3!$E$34:$AI$43,MATCH($D31,Д3!$D$34:$D$43),MATCH(I$7,Д3!$E$3:$AI$3))</f>
        <v>8</v>
      </c>
      <c r="J31" s="27">
        <f ca="1">INDEX(Д3!$E$34:$AI$43,MATCH($D31,Д3!$D$34:$D$43),MATCH(J$7,Д3!$E$3:$AI$3))</f>
        <v>0</v>
      </c>
      <c r="K31" s="27">
        <f ca="1">INDEX(Д3!$E$34:$AI$43,MATCH($D31,Д3!$D$34:$D$43),MATCH(K$7,Д3!$E$3:$AI$3))</f>
        <v>4</v>
      </c>
      <c r="L31" s="27">
        <f ca="1">INDEX(Д3!$E$34:$AI$43,MATCH($D31,Д3!$D$34:$D$43),MATCH(L$7,Д3!$E$3:$AI$3))</f>
        <v>8</v>
      </c>
      <c r="M31" s="27">
        <f ca="1">INDEX(Д3!$E$34:$AI$43,MATCH($D31,Д3!$D$34:$D$43),MATCH(M$7,Д3!$E$3:$AI$3))</f>
        <v>12</v>
      </c>
      <c r="N31" s="27">
        <f ca="1">INDEX(Д3!$E$34:$AI$43,MATCH($D31,Д3!$D$34:$D$43),MATCH(N$7,Д3!$E$3:$AI$3))</f>
        <v>4</v>
      </c>
      <c r="O31" s="27">
        <f ca="1">INDEX(Д3!$E$34:$AI$43,MATCH($D31,Д3!$D$34:$D$43),MATCH(O$7,Д3!$E$3:$AI$3))</f>
        <v>8</v>
      </c>
      <c r="P31" s="27">
        <f ca="1">INDEX(Д3!$E$34:$AI$43,MATCH($D31,Д3!$D$34:$D$43),MATCH(P$7,Д3!$E$3:$AI$3))</f>
        <v>12</v>
      </c>
      <c r="Q31" s="27">
        <f ca="1">INDEX(Д3!$E$34:$AI$43,MATCH($D31,Д3!$D$34:$D$43),MATCH(Q$7,Д3!$E$3:$AI$3))</f>
        <v>0</v>
      </c>
      <c r="R31" s="27">
        <f ca="1">INDEX(Д3!$E$34:$AI$43,MATCH($D31,Д3!$D$34:$D$43),MATCH(R$7,Д3!$E$3:$AI$3))</f>
        <v>0</v>
      </c>
      <c r="S31" s="27">
        <f ca="1">INDEX(Д3!$E$34:$AI$43,MATCH($D31,Д3!$D$34:$D$43),MATCH(S$7,Д3!$E$3:$AI$3))</f>
        <v>4</v>
      </c>
      <c r="T31" s="27">
        <f ca="1">INDEX(Д3!$E$34:$AI$43,MATCH($D31,Д3!$D$34:$D$43),MATCH(T$7,Д3!$E$3:$AI$3))</f>
        <v>8</v>
      </c>
      <c r="U31" s="27">
        <f ca="1">INDEX(Д3!$E$34:$AI$43,MATCH($D31,Д3!$D$34:$D$43),MATCH(U$7,Д3!$E$3:$AI$3))</f>
        <v>12</v>
      </c>
      <c r="V31" s="27">
        <f ca="1">INDEX(Д3!$E$34:$AI$43,MATCH($D31,Д3!$D$34:$D$43),MATCH(V$7,Д3!$E$3:$AI$3))</f>
        <v>4</v>
      </c>
      <c r="W31" s="27">
        <f ca="1">INDEX(Д3!$E$34:$AI$43,MATCH($D31,Д3!$D$34:$D$43),MATCH(W$7,Д3!$E$3:$AI$3))</f>
        <v>8</v>
      </c>
      <c r="X31" s="27">
        <f ca="1">INDEX(Д3!$E$34:$AI$43,MATCH($D31,Д3!$D$34:$D$43),MATCH(X$7,Д3!$E$3:$AI$3))</f>
        <v>12</v>
      </c>
      <c r="Y31" s="27">
        <f ca="1">INDEX(Д3!$E$34:$AI$43,MATCH($D31,Д3!$D$34:$D$43),MATCH(Y$7,Д3!$E$3:$AI$3))</f>
        <v>0</v>
      </c>
      <c r="Z31" s="27">
        <f ca="1">INDEX(Д3!$E$34:$AI$43,MATCH($D31,Д3!$D$34:$D$43),MATCH(Z$7,Д3!$E$3:$AI$3))</f>
        <v>0</v>
      </c>
      <c r="AA31" s="27">
        <f ca="1">INDEX(Д3!$E$34:$AI$43,MATCH($D31,Д3!$D$34:$D$43),MATCH(AA$7,Д3!$E$3:$AI$3))</f>
        <v>4</v>
      </c>
      <c r="AB31" s="27">
        <f ca="1">INDEX(Д3!$E$34:$AI$43,MATCH($D31,Д3!$D$34:$D$43),MATCH(AB$7,Д3!$E$3:$AI$3))</f>
        <v>8</v>
      </c>
      <c r="AC31" s="27">
        <f ca="1">INDEX(Д3!$E$34:$AI$43,MATCH($D31,Д3!$D$34:$D$43),MATCH(AC$7,Д3!$E$3:$AI$3))</f>
        <v>12</v>
      </c>
      <c r="AD31" s="27">
        <f ca="1">INDEX(Д3!$E$34:$AI$43,MATCH($D31,Д3!$D$34:$D$43),MATCH(AD$7,Д3!$E$3:$AI$3))</f>
        <v>4</v>
      </c>
      <c r="AE31" s="27">
        <f ca="1">INDEX(Д3!$E$34:$AI$43,MATCH($D31,Д3!$D$34:$D$43),MATCH(AE$7,Д3!$E$3:$AI$3))</f>
        <v>8</v>
      </c>
      <c r="AF31" s="27">
        <f ca="1">INDEX(Д3!$E$34:$AI$43,MATCH($D31,Д3!$D$34:$D$43),MATCH(AF$7,Д3!$E$3:$AI$3))</f>
        <v>12</v>
      </c>
      <c r="AG31" s="27">
        <f ca="1">INDEX(Д3!$E$34:$AI$43,MATCH($D31,Д3!$D$34:$D$43),MATCH(AG$7,Д3!$E$3:$AI$3))</f>
        <v>0</v>
      </c>
      <c r="AH31" s="27">
        <f ca="1">INDEX(Д3!$E$34:$AI$43,MATCH($D31,Д3!$D$34:$D$43),MATCH(AH$7,Д3!$E$3:$AI$3))</f>
        <v>0</v>
      </c>
      <c r="AI31" s="106"/>
      <c r="AJ31" s="143">
        <f>INDEX(Д3!AK$34:$AK$43,MATCH($C31,Д3!$C$34:$C$43),MATCH(E$7,Д3!$E$3:$AI$3))*AND(MONTH($E$8)=MONTH(Д3!$B$34))</f>
        <v>175</v>
      </c>
      <c r="AK31" s="143">
        <f ca="1">SUM(E31:AI32)</f>
        <v>188</v>
      </c>
      <c r="AL31" s="143"/>
      <c r="AM31" s="149">
        <f ca="1">SUM(F31:H32,J31:AI32)-AJ31+AL31-12</f>
        <v>-19</v>
      </c>
      <c r="AP31" s="136">
        <f t="shared" ref="AP31" ca="1" si="62">COUNTIF($E31:$AI32,"12")</f>
        <v>8</v>
      </c>
      <c r="AQ31" s="136">
        <f t="shared" ref="AQ31" ca="1" si="63">IF(COUNTIF($E31:$AI32,"СП")&gt;=1,(COUNTIF($E31:$AI32,"4")+COUNTIF($E31:$AI32,"8")-1)/2,(COUNTIF($E31:$AI32,"4")+COUNTIF($E31:$AI32,"8"))/2)</f>
        <v>7</v>
      </c>
      <c r="AR31" s="136">
        <f t="shared" ca="1" si="2"/>
        <v>96</v>
      </c>
      <c r="AS31" s="136">
        <f t="shared" ref="AS31" ca="1" si="64">IF(COUNTIF($E31:$AI32,"СП")&gt;=1,SUMIF($E31:$AI32,"4",$E31:$AI32)+SUMIF($E31:$AI32,"8",$E31:$AI32)-8,SUMIF($E31:$AI32,"4",$E31:$AI32)+SUMIF($E31:$AI32,"8",$E31:$AI32))</f>
        <v>84</v>
      </c>
      <c r="AT31" s="136">
        <f t="shared" ref="AT31" ca="1" si="65">$AR31+$AS31</f>
        <v>180</v>
      </c>
      <c r="AU31" s="136" t="str">
        <f t="shared" ref="AU31" ca="1" si="66">IF(AK31=AT31,"+","!")</f>
        <v>!</v>
      </c>
      <c r="AV31" s="136">
        <f t="shared" ref="AV31" ca="1" si="67">COUNTIF($E31:$AI32,"ОТ")</f>
        <v>0</v>
      </c>
      <c r="AW31" s="137" t="str">
        <f ca="1">IF(COUNTIF($A32:$AI32,"СП")&gt;0,IF(INDIRECT(ADDRESS(ROW(),MATCH("СП",$A32:$AI32),1))=8,"","!"),"")</f>
        <v>!</v>
      </c>
      <c r="AX31" s="137" t="str">
        <f ca="1">IF(COUNTIF($A32:$AI32,"СП")&gt;0,IF(INDIRECT(ADDRESS(ROW(),MATCH("СП",$A32:$AI32)-1,1))=4,"!",""),"")</f>
        <v/>
      </c>
    </row>
    <row r="32" spans="1:50" ht="16.5" thickBot="1" x14ac:dyDescent="0.3">
      <c r="A32" s="147"/>
      <c r="B32" s="139"/>
      <c r="C32" s="171"/>
      <c r="D32" s="50">
        <v>4</v>
      </c>
      <c r="E32" s="65" t="str">
        <f>INDEX(Д3!$E$34:$AI$43,MATCH($D32,Д3!$D$34:$D$43),MATCH(E$7,Д3!$E$3:$AI$3))</f>
        <v/>
      </c>
      <c r="F32" s="30" t="str">
        <f>INDEX(Д3!$E$34:$AI$43,MATCH($D32,Д3!$D$34:$D$43),MATCH(F$7,Д3!$E$3:$AI$3))</f>
        <v/>
      </c>
      <c r="G32" s="30" t="str">
        <f>INDEX(Д3!$E$34:$AI$43,MATCH($D32,Д3!$D$34:$D$43),MATCH(G$7,Д3!$E$3:$AI$3))</f>
        <v/>
      </c>
      <c r="H32" s="30" t="str">
        <f>INDEX(Д3!$E$34:$AI$43,MATCH($D32,Д3!$D$34:$D$43),MATCH(H$7,Д3!$E$3:$AI$3))</f>
        <v/>
      </c>
      <c r="I32" s="30" t="str">
        <f>INDEX(Д3!$E$34:$AI$43,MATCH($D32,Д3!$D$34:$D$43),MATCH(I$7,Д3!$E$3:$AI$3))</f>
        <v>СП</v>
      </c>
      <c r="J32" s="30" t="str">
        <f>INDEX(Д3!$E$34:$AI$43,MATCH($D32,Д3!$D$34:$D$43),MATCH(J$7,Д3!$E$3:$AI$3))</f>
        <v/>
      </c>
      <c r="K32" s="30" t="str">
        <f>INDEX(Д3!$E$34:$AI$43,MATCH($D32,Д3!$D$34:$D$43),MATCH(K$7,Д3!$E$3:$AI$3))</f>
        <v/>
      </c>
      <c r="L32" s="30" t="str">
        <f>INDEX(Д3!$E$34:$AI$43,MATCH($D32,Д3!$D$34:$D$43),MATCH(L$7,Д3!$E$3:$AI$3))</f>
        <v/>
      </c>
      <c r="M32" s="30" t="str">
        <f>INDEX(Д3!$E$34:$AI$43,MATCH($D32,Д3!$D$34:$D$43),MATCH(M$7,Д3!$E$3:$AI$3))</f>
        <v/>
      </c>
      <c r="N32" s="30" t="str">
        <f>INDEX(Д3!$E$34:$AI$43,MATCH($D32,Д3!$D$34:$D$43),MATCH(N$7,Д3!$E$3:$AI$3))</f>
        <v/>
      </c>
      <c r="O32" s="30" t="str">
        <f>INDEX(Д3!$E$34:$AI$43,MATCH($D32,Д3!$D$34:$D$43),MATCH(O$7,Д3!$E$3:$AI$3))</f>
        <v/>
      </c>
      <c r="P32" s="30" t="str">
        <f>INDEX(Д3!$E$34:$AI$43,MATCH($D32,Д3!$D$34:$D$43),MATCH(P$7,Д3!$E$3:$AI$3))</f>
        <v/>
      </c>
      <c r="Q32" s="30" t="str">
        <f>INDEX(Д3!$E$34:$AI$43,MATCH($D32,Д3!$D$34:$D$43),MATCH(Q$7,Д3!$E$3:$AI$3))</f>
        <v/>
      </c>
      <c r="R32" s="30" t="str">
        <f>INDEX(Д3!$E$34:$AI$43,MATCH($D32,Д3!$D$34:$D$43),MATCH(R$7,Д3!$E$3:$AI$3))</f>
        <v/>
      </c>
      <c r="S32" s="30" t="str">
        <f>INDEX(Д3!$E$34:$AI$43,MATCH($D32,Д3!$D$34:$D$43),MATCH(S$7,Д3!$E$3:$AI$3))</f>
        <v/>
      </c>
      <c r="T32" s="30" t="str">
        <f>INDEX(Д3!$E$34:$AI$43,MATCH($D32,Д3!$D$34:$D$43),MATCH(T$7,Д3!$E$3:$AI$3))</f>
        <v/>
      </c>
      <c r="U32" s="30" t="str">
        <f>INDEX(Д3!$E$34:$AI$43,MATCH($D32,Д3!$D$34:$D$43),MATCH(U$7,Д3!$E$3:$AI$3))</f>
        <v/>
      </c>
      <c r="V32" s="30" t="str">
        <f>INDEX(Д3!$E$34:$AI$43,MATCH($D32,Д3!$D$34:$D$43),MATCH(V$7,Д3!$E$3:$AI$3))</f>
        <v/>
      </c>
      <c r="W32" s="30" t="str">
        <f>INDEX(Д3!$E$34:$AI$43,MATCH($D32,Д3!$D$34:$D$43),MATCH(W$7,Д3!$E$3:$AI$3))</f>
        <v/>
      </c>
      <c r="X32" s="30" t="str">
        <f>INDEX(Д3!$E$34:$AI$43,MATCH($D32,Д3!$D$34:$D$43),MATCH(X$7,Д3!$E$3:$AI$3))</f>
        <v/>
      </c>
      <c r="Y32" s="30" t="str">
        <f>INDEX(Д3!$E$34:$AI$43,MATCH($D32,Д3!$D$34:$D$43),MATCH(Y$7,Д3!$E$3:$AI$3))</f>
        <v/>
      </c>
      <c r="Z32" s="30" t="str">
        <f>INDEX(Д3!$E$34:$AI$43,MATCH($D32,Д3!$D$34:$D$43),MATCH(Z$7,Д3!$E$3:$AI$3))</f>
        <v/>
      </c>
      <c r="AA32" s="30" t="str">
        <f>INDEX(Д3!$E$34:$AI$43,MATCH($D32,Д3!$D$34:$D$43),MATCH(AA$7,Д3!$E$3:$AI$3))</f>
        <v/>
      </c>
      <c r="AB32" s="30" t="str">
        <f>INDEX(Д3!$E$34:$AI$43,MATCH($D32,Д3!$D$34:$D$43),MATCH(AB$7,Д3!$E$3:$AI$3))</f>
        <v/>
      </c>
      <c r="AC32" s="30" t="str">
        <f>INDEX(Д3!$E$34:$AI$43,MATCH($D32,Д3!$D$34:$D$43),MATCH(AC$7,Д3!$E$3:$AI$3))</f>
        <v/>
      </c>
      <c r="AD32" s="30" t="str">
        <f>INDEX(Д3!$E$34:$AI$43,MATCH($D32,Д3!$D$34:$D$43),MATCH(AD$7,Д3!$E$3:$AI$3))</f>
        <v/>
      </c>
      <c r="AE32" s="30" t="str">
        <f>INDEX(Д3!$E$34:$AI$43,MATCH($D32,Д3!$D$34:$D$43),MATCH(AE$7,Д3!$E$3:$AI$3))</f>
        <v/>
      </c>
      <c r="AF32" s="30" t="str">
        <f>INDEX(Д3!$E$34:$AI$43,MATCH($D32,Д3!$D$34:$D$43),MATCH(AF$7,Д3!$E$3:$AI$3))</f>
        <v/>
      </c>
      <c r="AG32" s="30" t="str">
        <f>INDEX(Д3!$E$34:$AI$43,MATCH($D32,Д3!$D$34:$D$43),MATCH(AG$7,Д3!$E$3:$AI$3))</f>
        <v/>
      </c>
      <c r="AH32" s="30" t="str">
        <f>INDEX(Д3!$E$34:$AI$43,MATCH($D32,Д3!$D$34:$D$43),MATCH(AH$7,Д3!$E$3:$AI$3))</f>
        <v/>
      </c>
      <c r="AI32" s="103"/>
      <c r="AJ32" s="143"/>
      <c r="AK32" s="143"/>
      <c r="AL32" s="143"/>
      <c r="AM32" s="150"/>
      <c r="AP32" s="136"/>
      <c r="AQ32" s="136"/>
      <c r="AR32" s="136"/>
      <c r="AS32" s="136"/>
      <c r="AT32" s="136"/>
      <c r="AU32" s="136"/>
      <c r="AV32" s="136"/>
      <c r="AW32" s="137"/>
      <c r="AX32" s="137"/>
    </row>
    <row r="33" spans="1:50" ht="16.5" customHeight="1" thickBot="1" x14ac:dyDescent="0.3">
      <c r="A33" s="147"/>
      <c r="B33" s="139" t="s">
        <v>92</v>
      </c>
      <c r="C33" s="170">
        <v>3</v>
      </c>
      <c r="D33" s="49">
        <v>5</v>
      </c>
      <c r="E33" s="62">
        <f ca="1">INDEX(Д3!$E$34:$AI$43,MATCH($D33,Д3!$D$34:$D$43),MATCH(E$7,Д3!$E$3:$AI$3))</f>
        <v>0</v>
      </c>
      <c r="F33" s="28">
        <f ca="1">INDEX(Д3!$E$34:$AI$43,MATCH($D33,Д3!$D$34:$D$43),MATCH(F$7,Д3!$E$3:$AI$3))</f>
        <v>0</v>
      </c>
      <c r="G33" s="28">
        <f ca="1">INDEX(Д3!$E$34:$AI$43,MATCH($D33,Д3!$D$34:$D$43),MATCH(G$7,Д3!$E$3:$AI$3))</f>
        <v>4</v>
      </c>
      <c r="H33" s="28">
        <f ca="1">INDEX(Д3!$E$34:$AI$43,MATCH($D33,Д3!$D$34:$D$43),MATCH(H$7,Д3!$E$3:$AI$3))</f>
        <v>8</v>
      </c>
      <c r="I33" s="28">
        <f ca="1">INDEX(Д3!$E$34:$AI$43,MATCH($D33,Д3!$D$34:$D$43),MATCH(I$7,Д3!$E$3:$AI$3))</f>
        <v>12</v>
      </c>
      <c r="J33" s="28">
        <f ca="1">INDEX(Д3!$E$34:$AI$43,MATCH($D33,Д3!$D$34:$D$43),MATCH(J$7,Д3!$E$3:$AI$3))</f>
        <v>8</v>
      </c>
      <c r="K33" s="28">
        <f ca="1">INDEX(Д3!$E$34:$AI$43,MATCH($D33,Д3!$D$34:$D$43),MATCH(K$7,Д3!$E$3:$AI$3))</f>
        <v>8</v>
      </c>
      <c r="L33" s="28">
        <f ca="1">INDEX(Д3!$E$34:$AI$43,MATCH($D33,Д3!$D$34:$D$43),MATCH(L$7,Д3!$E$3:$AI$3))</f>
        <v>12</v>
      </c>
      <c r="M33" s="28">
        <f ca="1">INDEX(Д3!$E$34:$AI$43,MATCH($D33,Д3!$D$34:$D$43),MATCH(M$7,Д3!$E$3:$AI$3))</f>
        <v>0</v>
      </c>
      <c r="N33" s="28">
        <f ca="1">INDEX(Д3!$E$34:$AI$43,MATCH($D33,Д3!$D$34:$D$43),MATCH(N$7,Д3!$E$3:$AI$3))</f>
        <v>0</v>
      </c>
      <c r="O33" s="28">
        <f ca="1">INDEX(Д3!$E$34:$AI$43,MATCH($D33,Д3!$D$34:$D$43),MATCH(O$7,Д3!$E$3:$AI$3))</f>
        <v>4</v>
      </c>
      <c r="P33" s="28">
        <f ca="1">INDEX(Д3!$E$34:$AI$43,MATCH($D33,Д3!$D$34:$D$43),MATCH(P$7,Д3!$E$3:$AI$3))</f>
        <v>8</v>
      </c>
      <c r="Q33" s="28">
        <f ca="1">INDEX(Д3!$E$34:$AI$43,MATCH($D33,Д3!$D$34:$D$43),MATCH(Q$7,Д3!$E$3:$AI$3))</f>
        <v>12</v>
      </c>
      <c r="R33" s="28">
        <f ca="1">INDEX(Д3!$E$34:$AI$43,MATCH($D33,Д3!$D$34:$D$43),MATCH(R$7,Д3!$E$3:$AI$3))</f>
        <v>4</v>
      </c>
      <c r="S33" s="28">
        <f ca="1">INDEX(Д3!$E$34:$AI$43,MATCH($D33,Д3!$D$34:$D$43),MATCH(S$7,Д3!$E$3:$AI$3))</f>
        <v>8</v>
      </c>
      <c r="T33" s="28">
        <f ca="1">INDEX(Д3!$E$34:$AI$43,MATCH($D33,Д3!$D$34:$D$43),MATCH(T$7,Д3!$E$3:$AI$3))</f>
        <v>12</v>
      </c>
      <c r="U33" s="28">
        <f ca="1">INDEX(Д3!$E$34:$AI$43,MATCH($D33,Д3!$D$34:$D$43),MATCH(U$7,Д3!$E$3:$AI$3))</f>
        <v>0</v>
      </c>
      <c r="V33" s="28">
        <f ca="1">INDEX(Д3!$E$34:$AI$43,MATCH($D33,Д3!$D$34:$D$43),MATCH(V$7,Д3!$E$3:$AI$3))</f>
        <v>0</v>
      </c>
      <c r="W33" s="28">
        <f ca="1">INDEX(Д3!$E$34:$AI$43,MATCH($D33,Д3!$D$34:$D$43),MATCH(W$7,Д3!$E$3:$AI$3))</f>
        <v>4</v>
      </c>
      <c r="X33" s="28">
        <f ca="1">INDEX(Д3!$E$34:$AI$43,MATCH($D33,Д3!$D$34:$D$43),MATCH(X$7,Д3!$E$3:$AI$3))</f>
        <v>8</v>
      </c>
      <c r="Y33" s="28">
        <f ca="1">INDEX(Д3!$E$34:$AI$43,MATCH($D33,Д3!$D$34:$D$43),MATCH(Y$7,Д3!$E$3:$AI$3))</f>
        <v>12</v>
      </c>
      <c r="Z33" s="28">
        <f ca="1">INDEX(Д3!$E$34:$AI$43,MATCH($D33,Д3!$D$34:$D$43),MATCH(Z$7,Д3!$E$3:$AI$3))</f>
        <v>4</v>
      </c>
      <c r="AA33" s="28">
        <f ca="1">INDEX(Д3!$E$34:$AI$43,MATCH($D33,Д3!$D$34:$D$43),MATCH(AA$7,Д3!$E$3:$AI$3))</f>
        <v>8</v>
      </c>
      <c r="AB33" s="28">
        <f ca="1">INDEX(Д3!$E$34:$AI$43,MATCH($D33,Д3!$D$34:$D$43),MATCH(AB$7,Д3!$E$3:$AI$3))</f>
        <v>12</v>
      </c>
      <c r="AC33" s="28">
        <f ca="1">INDEX(Д3!$E$34:$AI$43,MATCH($D33,Д3!$D$34:$D$43),MATCH(AC$7,Д3!$E$3:$AI$3))</f>
        <v>0</v>
      </c>
      <c r="AD33" s="28">
        <f ca="1">INDEX(Д3!$E$34:$AI$43,MATCH($D33,Д3!$D$34:$D$43),MATCH(AD$7,Д3!$E$3:$AI$3))</f>
        <v>0</v>
      </c>
      <c r="AE33" s="28">
        <f ca="1">INDEX(Д3!$E$34:$AI$43,MATCH($D33,Д3!$D$34:$D$43),MATCH(AE$7,Д3!$E$3:$AI$3))</f>
        <v>4</v>
      </c>
      <c r="AF33" s="28">
        <f ca="1">INDEX(Д3!$E$34:$AI$43,MATCH($D33,Д3!$D$34:$D$43),MATCH(AF$7,Д3!$E$3:$AI$3))</f>
        <v>8</v>
      </c>
      <c r="AG33" s="28">
        <f ca="1">INDEX(Д3!$E$34:$AI$43,MATCH($D33,Д3!$D$34:$D$43),MATCH(AG$7,Д3!$E$3:$AI$3))</f>
        <v>12</v>
      </c>
      <c r="AH33" s="28">
        <f ca="1">INDEX(Д3!$E$34:$AI$43,MATCH($D33,Д3!$D$34:$D$43),MATCH(AH$7,Д3!$E$3:$AI$3))</f>
        <v>4</v>
      </c>
      <c r="AI33" s="108"/>
      <c r="AJ33" s="143">
        <f>INDEX(Д3!AK$34:$AK$43,MATCH($C33,Д3!$C$34:$C$43),MATCH(E$7,Д3!$E$3:$AI$3))*AND(MONTH($E$8)=MONTH(Д3!$B$34))</f>
        <v>175</v>
      </c>
      <c r="AK33" s="143">
        <f ca="1">SUM(E33:AI34)</f>
        <v>176</v>
      </c>
      <c r="AL33" s="143"/>
      <c r="AM33" s="149">
        <f ca="1">SUM(F33:H34,J33:AI34)-AJ33+AL33-12</f>
        <v>-23</v>
      </c>
      <c r="AP33" s="136">
        <f t="shared" ref="AP33" ca="1" si="68">COUNTIF($E33:$AI34,"12")</f>
        <v>7</v>
      </c>
      <c r="AQ33" s="136">
        <f t="shared" ref="AQ33" ca="1" si="69">IF(COUNTIF($E33:$AI34,"СП")&gt;=1,(COUNTIF($E33:$AI34,"4")+COUNTIF($E33:$AI34,"8")-1)/2,(COUNTIF($E33:$AI34,"4")+COUNTIF($E33:$AI34,"8"))/2)</f>
        <v>7</v>
      </c>
      <c r="AR33" s="136">
        <f t="shared" ca="1" si="2"/>
        <v>84</v>
      </c>
      <c r="AS33" s="136">
        <f t="shared" ref="AS33" ca="1" si="70">IF(COUNTIF($E33:$AI34,"СП")&gt;=1,SUMIF($E33:$AI34,"4",$E33:$AI34)+SUMIF($E33:$AI34,"8",$E33:$AI34)-8,SUMIF($E33:$AI34,"4",$E33:$AI34)+SUMIF($E33:$AI34,"8",$E33:$AI34))</f>
        <v>84</v>
      </c>
      <c r="AT33" s="136">
        <f t="shared" ref="AT33" ca="1" si="71">$AR33+$AS33</f>
        <v>168</v>
      </c>
      <c r="AU33" s="136" t="str">
        <f t="shared" ref="AU33" ca="1" si="72">IF(AK33=AT33,"+","!")</f>
        <v>!</v>
      </c>
      <c r="AV33" s="136">
        <f t="shared" ref="AV33" ca="1" si="73">COUNTIF($E33:$AI34,"ОТ")</f>
        <v>0</v>
      </c>
      <c r="AW33" s="137" t="str">
        <f ca="1">IF(COUNTIF($A34:$AI34,"СП")&gt;0,IF(INDIRECT(ADDRESS(ROW(),MATCH("СП",$A34:$AI34),1))=8,"","!"),"")</f>
        <v>!</v>
      </c>
      <c r="AX33" s="137" t="str">
        <f ca="1">IF(COUNTIF($A34:$AI34,"СП")&gt;0,IF(INDIRECT(ADDRESS(ROW(),MATCH("СП",$A34:$AI34)-1,1))=4,"!",""),"")</f>
        <v/>
      </c>
    </row>
    <row r="34" spans="1:50" ht="16.5" thickBot="1" x14ac:dyDescent="0.3">
      <c r="A34" s="147"/>
      <c r="B34" s="139"/>
      <c r="C34" s="171"/>
      <c r="D34" s="50">
        <v>6</v>
      </c>
      <c r="E34" s="63" t="str">
        <f>INDEX(Д3!$E$34:$AI$43,MATCH($D34,Д3!$D$34:$D$43),MATCH(E$7,Д3!$E$3:$AI$3))</f>
        <v/>
      </c>
      <c r="F34" s="29" t="str">
        <f>INDEX(Д3!$E$34:$AI$43,MATCH($D34,Д3!$D$34:$D$43),MATCH(F$7,Д3!$E$3:$AI$3))</f>
        <v/>
      </c>
      <c r="G34" s="29" t="str">
        <f>INDEX(Д3!$E$34:$AI$43,MATCH($D34,Д3!$D$34:$D$43),MATCH(G$7,Д3!$E$3:$AI$3))</f>
        <v/>
      </c>
      <c r="H34" s="29" t="str">
        <f>INDEX(Д3!$E$34:$AI$43,MATCH($D34,Д3!$D$34:$D$43),MATCH(H$7,Д3!$E$3:$AI$3))</f>
        <v/>
      </c>
      <c r="I34" s="29" t="str">
        <f>INDEX(Д3!$E$34:$AI$43,MATCH($D34,Д3!$D$34:$D$43),MATCH(I$7,Д3!$E$3:$AI$3))</f>
        <v/>
      </c>
      <c r="J34" s="29" t="str">
        <f>INDEX(Д3!$E$34:$AI$43,MATCH($D34,Д3!$D$34:$D$43),MATCH(J$7,Д3!$E$3:$AI$3))</f>
        <v>СП</v>
      </c>
      <c r="K34" s="29" t="str">
        <f>INDEX(Д3!$E$34:$AI$43,MATCH($D34,Д3!$D$34:$D$43),MATCH(K$7,Д3!$E$3:$AI$3))</f>
        <v/>
      </c>
      <c r="L34" s="29" t="str">
        <f>INDEX(Д3!$E$34:$AI$43,MATCH($D34,Д3!$D$34:$D$43),MATCH(L$7,Д3!$E$3:$AI$3))</f>
        <v/>
      </c>
      <c r="M34" s="29" t="str">
        <f>INDEX(Д3!$E$34:$AI$43,MATCH($D34,Д3!$D$34:$D$43),MATCH(M$7,Д3!$E$3:$AI$3))</f>
        <v/>
      </c>
      <c r="N34" s="29" t="str">
        <f>INDEX(Д3!$E$34:$AI$43,MATCH($D34,Д3!$D$34:$D$43),MATCH(N$7,Д3!$E$3:$AI$3))</f>
        <v/>
      </c>
      <c r="O34" s="29" t="str">
        <f>INDEX(Д3!$E$34:$AI$43,MATCH($D34,Д3!$D$34:$D$43),MATCH(O$7,Д3!$E$3:$AI$3))</f>
        <v/>
      </c>
      <c r="P34" s="29" t="str">
        <f>INDEX(Д3!$E$34:$AI$43,MATCH($D34,Д3!$D$34:$D$43),MATCH(P$7,Д3!$E$3:$AI$3))</f>
        <v/>
      </c>
      <c r="Q34" s="29" t="str">
        <f>INDEX(Д3!$E$34:$AI$43,MATCH($D34,Д3!$D$34:$D$43),MATCH(Q$7,Д3!$E$3:$AI$3))</f>
        <v/>
      </c>
      <c r="R34" s="29" t="str">
        <f>INDEX(Д3!$E$34:$AI$43,MATCH($D34,Д3!$D$34:$D$43),MATCH(R$7,Д3!$E$3:$AI$3))</f>
        <v/>
      </c>
      <c r="S34" s="29" t="str">
        <f>INDEX(Д3!$E$34:$AI$43,MATCH($D34,Д3!$D$34:$D$43),MATCH(S$7,Д3!$E$3:$AI$3))</f>
        <v/>
      </c>
      <c r="T34" s="29" t="str">
        <f>INDEX(Д3!$E$34:$AI$43,MATCH($D34,Д3!$D$34:$D$43),MATCH(T$7,Д3!$E$3:$AI$3))</f>
        <v/>
      </c>
      <c r="U34" s="29" t="str">
        <f>INDEX(Д3!$E$34:$AI$43,MATCH($D34,Д3!$D$34:$D$43),MATCH(U$7,Д3!$E$3:$AI$3))</f>
        <v/>
      </c>
      <c r="V34" s="29" t="str">
        <f>INDEX(Д3!$E$34:$AI$43,MATCH($D34,Д3!$D$34:$D$43),MATCH(V$7,Д3!$E$3:$AI$3))</f>
        <v/>
      </c>
      <c r="W34" s="29" t="str">
        <f>INDEX(Д3!$E$34:$AI$43,MATCH($D34,Д3!$D$34:$D$43),MATCH(W$7,Д3!$E$3:$AI$3))</f>
        <v/>
      </c>
      <c r="X34" s="29" t="str">
        <f>INDEX(Д3!$E$34:$AI$43,MATCH($D34,Д3!$D$34:$D$43),MATCH(X$7,Д3!$E$3:$AI$3))</f>
        <v/>
      </c>
      <c r="Y34" s="29" t="str">
        <f>INDEX(Д3!$E$34:$AI$43,MATCH($D34,Д3!$D$34:$D$43),MATCH(Y$7,Д3!$E$3:$AI$3))</f>
        <v/>
      </c>
      <c r="Z34" s="29" t="str">
        <f>INDEX(Д3!$E$34:$AI$43,MATCH($D34,Д3!$D$34:$D$43),MATCH(Z$7,Д3!$E$3:$AI$3))</f>
        <v/>
      </c>
      <c r="AA34" s="29" t="str">
        <f>INDEX(Д3!$E$34:$AI$43,MATCH($D34,Д3!$D$34:$D$43),MATCH(AA$7,Д3!$E$3:$AI$3))</f>
        <v/>
      </c>
      <c r="AB34" s="29" t="str">
        <f>INDEX(Д3!$E$34:$AI$43,MATCH($D34,Д3!$D$34:$D$43),MATCH(AB$7,Д3!$E$3:$AI$3))</f>
        <v/>
      </c>
      <c r="AC34" s="29" t="str">
        <f>INDEX(Д3!$E$34:$AI$43,MATCH($D34,Д3!$D$34:$D$43),MATCH(AC$7,Д3!$E$3:$AI$3))</f>
        <v/>
      </c>
      <c r="AD34" s="29" t="str">
        <f>INDEX(Д3!$E$34:$AI$43,MATCH($D34,Д3!$D$34:$D$43),MATCH(AD$7,Д3!$E$3:$AI$3))</f>
        <v/>
      </c>
      <c r="AE34" s="29" t="str">
        <f>INDEX(Д3!$E$34:$AI$43,MATCH($D34,Д3!$D$34:$D$43),MATCH(AE$7,Д3!$E$3:$AI$3))</f>
        <v/>
      </c>
      <c r="AF34" s="29" t="str">
        <f>INDEX(Д3!$E$34:$AI$43,MATCH($D34,Д3!$D$34:$D$43),MATCH(AF$7,Д3!$E$3:$AI$3))</f>
        <v/>
      </c>
      <c r="AG34" s="29" t="str">
        <f>INDEX(Д3!$E$34:$AI$43,MATCH($D34,Д3!$D$34:$D$43),MATCH(AG$7,Д3!$E$3:$AI$3))</f>
        <v/>
      </c>
      <c r="AH34" s="29" t="str">
        <f>INDEX(Д3!$E$34:$AI$43,MATCH($D34,Д3!$D$34:$D$43),MATCH(AH$7,Д3!$E$3:$AI$3))</f>
        <v/>
      </c>
      <c r="AI34" s="107"/>
      <c r="AJ34" s="143"/>
      <c r="AK34" s="143"/>
      <c r="AL34" s="143"/>
      <c r="AM34" s="150"/>
      <c r="AP34" s="136"/>
      <c r="AQ34" s="136"/>
      <c r="AR34" s="136"/>
      <c r="AS34" s="136"/>
      <c r="AT34" s="136"/>
      <c r="AU34" s="136"/>
      <c r="AV34" s="136"/>
      <c r="AW34" s="137"/>
      <c r="AX34" s="137"/>
    </row>
    <row r="35" spans="1:50" ht="16.5" customHeight="1" thickBot="1" x14ac:dyDescent="0.3">
      <c r="A35" s="147"/>
      <c r="B35" s="139" t="s">
        <v>93</v>
      </c>
      <c r="C35" s="170">
        <v>4</v>
      </c>
      <c r="D35" s="49">
        <v>7</v>
      </c>
      <c r="E35" s="64">
        <f ca="1">INDEX(Д3!$E$34:$AI$43,MATCH($D35,Д3!$D$34:$D$43),MATCH(E$7,Д3!$E$3:$AI$3))</f>
        <v>8</v>
      </c>
      <c r="F35" s="27">
        <f ca="1">INDEX(Д3!$E$34:$AI$43,MATCH($D35,Д3!$D$34:$D$43),MATCH(F$7,Д3!$E$3:$AI$3))</f>
        <v>12</v>
      </c>
      <c r="G35" s="27">
        <f ca="1">INDEX(Д3!$E$34:$AI$43,MATCH($D35,Д3!$D$34:$D$43),MATCH(G$7,Д3!$E$3:$AI$3))</f>
        <v>0</v>
      </c>
      <c r="H35" s="27">
        <f ca="1">INDEX(Д3!$E$34:$AI$43,MATCH($D35,Д3!$D$34:$D$43),MATCH(H$7,Д3!$E$3:$AI$3))</f>
        <v>0</v>
      </c>
      <c r="I35" s="27">
        <f ca="1">INDEX(Д3!$E$34:$AI$43,MATCH($D35,Д3!$D$34:$D$43),MATCH(I$7,Д3!$E$3:$AI$3))</f>
        <v>4</v>
      </c>
      <c r="J35" s="27">
        <f ca="1">INDEX(Д3!$E$34:$AI$43,MATCH($D35,Д3!$D$34:$D$43),MATCH(J$7,Д3!$E$3:$AI$3))</f>
        <v>8</v>
      </c>
      <c r="K35" s="27">
        <f ca="1">INDEX(Д3!$E$34:$AI$43,MATCH($D35,Д3!$D$34:$D$43),MATCH(K$7,Д3!$E$3:$AI$3))</f>
        <v>12</v>
      </c>
      <c r="L35" s="27">
        <f ca="1">INDEX(Д3!$E$34:$AI$43,MATCH($D35,Д3!$D$34:$D$43),MATCH(L$7,Д3!$E$3:$AI$3))</f>
        <v>4</v>
      </c>
      <c r="M35" s="27">
        <f ca="1">INDEX(Д3!$E$34:$AI$43,MATCH($D35,Д3!$D$34:$D$43),MATCH(M$7,Д3!$E$3:$AI$3))</f>
        <v>8</v>
      </c>
      <c r="N35" s="27">
        <f ca="1">INDEX(Д3!$E$34:$AI$43,MATCH($D35,Д3!$D$34:$D$43),MATCH(N$7,Д3!$E$3:$AI$3))</f>
        <v>12</v>
      </c>
      <c r="O35" s="27">
        <f ca="1">INDEX(Д3!$E$34:$AI$43,MATCH($D35,Д3!$D$34:$D$43),MATCH(O$7,Д3!$E$3:$AI$3))</f>
        <v>0</v>
      </c>
      <c r="P35" s="27">
        <f ca="1">INDEX(Д3!$E$34:$AI$43,MATCH($D35,Д3!$D$34:$D$43),MATCH(P$7,Д3!$E$3:$AI$3))</f>
        <v>0</v>
      </c>
      <c r="Q35" s="27">
        <f ca="1">INDEX(Д3!$E$34:$AI$43,MATCH($D35,Д3!$D$34:$D$43),MATCH(Q$7,Д3!$E$3:$AI$3))</f>
        <v>4</v>
      </c>
      <c r="R35" s="27">
        <f ca="1">INDEX(Д3!$E$34:$AI$43,MATCH($D35,Д3!$D$34:$D$43),MATCH(R$7,Д3!$E$3:$AI$3))</f>
        <v>8</v>
      </c>
      <c r="S35" s="27">
        <f ca="1">INDEX(Д3!$E$34:$AI$43,MATCH($D35,Д3!$D$34:$D$43),MATCH(S$7,Д3!$E$3:$AI$3))</f>
        <v>12</v>
      </c>
      <c r="T35" s="27">
        <f ca="1">INDEX(Д3!$E$34:$AI$43,MATCH($D35,Д3!$D$34:$D$43),MATCH(T$7,Д3!$E$3:$AI$3))</f>
        <v>4</v>
      </c>
      <c r="U35" s="27">
        <f ca="1">INDEX(Д3!$E$34:$AI$43,MATCH($D35,Д3!$D$34:$D$43),MATCH(U$7,Д3!$E$3:$AI$3))</f>
        <v>8</v>
      </c>
      <c r="V35" s="27">
        <f ca="1">INDEX(Д3!$E$34:$AI$43,MATCH($D35,Д3!$D$34:$D$43),MATCH(V$7,Д3!$E$3:$AI$3))</f>
        <v>12</v>
      </c>
      <c r="W35" s="27">
        <f ca="1">INDEX(Д3!$E$34:$AI$43,MATCH($D35,Д3!$D$34:$D$43),MATCH(W$7,Д3!$E$3:$AI$3))</f>
        <v>0</v>
      </c>
      <c r="X35" s="27">
        <f ca="1">INDEX(Д3!$E$34:$AI$43,MATCH($D35,Д3!$D$34:$D$43),MATCH(X$7,Д3!$E$3:$AI$3))</f>
        <v>0</v>
      </c>
      <c r="Y35" s="27">
        <f ca="1">INDEX(Д3!$E$34:$AI$43,MATCH($D35,Д3!$D$34:$D$43),MATCH(Y$7,Д3!$E$3:$AI$3))</f>
        <v>4</v>
      </c>
      <c r="Z35" s="27">
        <f ca="1">INDEX(Д3!$E$34:$AI$43,MATCH($D35,Д3!$D$34:$D$43),MATCH(Z$7,Д3!$E$3:$AI$3))</f>
        <v>8</v>
      </c>
      <c r="AA35" s="27">
        <f ca="1">INDEX(Д3!$E$34:$AI$43,MATCH($D35,Д3!$D$34:$D$43),MATCH(AA$7,Д3!$E$3:$AI$3))</f>
        <v>12</v>
      </c>
      <c r="AB35" s="27">
        <f ca="1">INDEX(Д3!$E$34:$AI$43,MATCH($D35,Д3!$D$34:$D$43),MATCH(AB$7,Д3!$E$3:$AI$3))</f>
        <v>4</v>
      </c>
      <c r="AC35" s="27">
        <f ca="1">INDEX(Д3!$E$34:$AI$43,MATCH($D35,Д3!$D$34:$D$43),MATCH(AC$7,Д3!$E$3:$AI$3))</f>
        <v>8</v>
      </c>
      <c r="AD35" s="27">
        <f ca="1">INDEX(Д3!$E$34:$AI$43,MATCH($D35,Д3!$D$34:$D$43),MATCH(AD$7,Д3!$E$3:$AI$3))</f>
        <v>12</v>
      </c>
      <c r="AE35" s="27">
        <f ca="1">INDEX(Д3!$E$34:$AI$43,MATCH($D35,Д3!$D$34:$D$43),MATCH(AE$7,Д3!$E$3:$AI$3))</f>
        <v>0</v>
      </c>
      <c r="AF35" s="27">
        <f ca="1">INDEX(Д3!$E$34:$AI$43,MATCH($D35,Д3!$D$34:$D$43),MATCH(AF$7,Д3!$E$3:$AI$3))</f>
        <v>0</v>
      </c>
      <c r="AG35" s="27">
        <f ca="1">INDEX(Д3!$E$34:$AI$43,MATCH($D35,Д3!$D$34:$D$43),MATCH(AG$7,Д3!$E$3:$AI$3))</f>
        <v>4</v>
      </c>
      <c r="AH35" s="27">
        <f ca="1">INDEX(Д3!$E$34:$AI$43,MATCH($D35,Д3!$D$34:$D$43),MATCH(AH$7,Д3!$E$3:$AI$3))</f>
        <v>8</v>
      </c>
      <c r="AI35" s="106"/>
      <c r="AJ35" s="143">
        <f>INDEX(Д3!AK$34:$AK$43,MATCH($C35,Д3!$C$34:$C$43),MATCH(E$7,Д3!$E$3:$AI$3))*AND(MONTH($E$8)=MONTH(Д3!$B$34))</f>
        <v>175</v>
      </c>
      <c r="AK35" s="143">
        <f ca="1">SUM(E35:AI36)</f>
        <v>176</v>
      </c>
      <c r="AL35" s="143"/>
      <c r="AM35" s="149">
        <f ca="1">SUM(F35:H36,J35:AI36)-AJ35+AL35-12</f>
        <v>-23</v>
      </c>
      <c r="AP35" s="136">
        <f t="shared" ref="AP35" ca="1" si="74">COUNTIF($E35:$AI36,"12")</f>
        <v>7</v>
      </c>
      <c r="AQ35" s="136">
        <f t="shared" ref="AQ35" ca="1" si="75">IF(COUNTIF($E35:$AI36,"СП")&gt;=1,(COUNTIF($E35:$AI36,"4")+COUNTIF($E35:$AI36,"8")-1)/2,(COUNTIF($E35:$AI36,"4")+COUNTIF($E35:$AI36,"8"))/2)</f>
        <v>7</v>
      </c>
      <c r="AR35" s="136">
        <f t="shared" ca="1" si="2"/>
        <v>84</v>
      </c>
      <c r="AS35" s="136">
        <f t="shared" ref="AS35" ca="1" si="76">IF(COUNTIF($E35:$AI36,"СП")&gt;=1,SUMIF($E35:$AI36,"4",$E35:$AI36)+SUMIF($E35:$AI36,"8",$E35:$AI36)-8,SUMIF($E35:$AI36,"4",$E35:$AI36)+SUMIF($E35:$AI36,"8",$E35:$AI36))</f>
        <v>84</v>
      </c>
      <c r="AT35" s="136">
        <f t="shared" ref="AT35" ca="1" si="77">$AR35+$AS35</f>
        <v>168</v>
      </c>
      <c r="AU35" s="136" t="str">
        <f t="shared" ref="AU35" ca="1" si="78">IF(AK35=AT35,"+","!")</f>
        <v>!</v>
      </c>
      <c r="AV35" s="136">
        <f t="shared" ref="AV35" ca="1" si="79">COUNTIF($E35:$AI36,"ОТ")</f>
        <v>0</v>
      </c>
      <c r="AW35" s="137" t="str">
        <f ca="1">IF(COUNTIF($A36:$AI36,"СП")&gt;0,IF(INDIRECT(ADDRESS(ROW(),MATCH("СП",$A36:$AI36),1))=8,"","!"),"")</f>
        <v/>
      </c>
      <c r="AX35" s="137" t="str">
        <f ca="1">IF(COUNTIF($A36:$AI36,"СП")&gt;0,IF(INDIRECT(ADDRESS(ROW(),MATCH("СП",$A36:$AI36)-1,1))=4,"!",""),"")</f>
        <v>!</v>
      </c>
    </row>
    <row r="36" spans="1:50" ht="16.5" thickBot="1" x14ac:dyDescent="0.3">
      <c r="A36" s="147"/>
      <c r="B36" s="139"/>
      <c r="C36" s="171"/>
      <c r="D36" s="50">
        <v>8</v>
      </c>
      <c r="E36" s="65" t="str">
        <f>INDEX(Д3!$E$34:$AI$43,MATCH($D36,Д3!$D$34:$D$43),MATCH(E$7,Д3!$E$3:$AI$3))</f>
        <v/>
      </c>
      <c r="F36" s="30" t="str">
        <f>INDEX(Д3!$E$34:$AI$43,MATCH($D36,Д3!$D$34:$D$43),MATCH(F$7,Д3!$E$3:$AI$3))</f>
        <v/>
      </c>
      <c r="G36" s="30" t="str">
        <f>INDEX(Д3!$E$34:$AI$43,MATCH($D36,Д3!$D$34:$D$43),MATCH(G$7,Д3!$E$3:$AI$3))</f>
        <v/>
      </c>
      <c r="H36" s="30" t="str">
        <f>INDEX(Д3!$E$34:$AI$43,MATCH($D36,Д3!$D$34:$D$43),MATCH(H$7,Д3!$E$3:$AI$3))</f>
        <v/>
      </c>
      <c r="I36" s="30" t="str">
        <f>INDEX(Д3!$E$34:$AI$43,MATCH($D36,Д3!$D$34:$D$43),MATCH(I$7,Д3!$E$3:$AI$3))</f>
        <v/>
      </c>
      <c r="J36" s="30" t="str">
        <f>INDEX(Д3!$E$34:$AI$43,MATCH($D36,Д3!$D$34:$D$43),MATCH(J$7,Д3!$E$3:$AI$3))</f>
        <v/>
      </c>
      <c r="K36" s="30" t="str">
        <f>INDEX(Д3!$E$34:$AI$43,MATCH($D36,Д3!$D$34:$D$43),MATCH(K$7,Д3!$E$3:$AI$3))</f>
        <v>СП</v>
      </c>
      <c r="L36" s="30" t="str">
        <f>INDEX(Д3!$E$34:$AI$43,MATCH($D36,Д3!$D$34:$D$43),MATCH(L$7,Д3!$E$3:$AI$3))</f>
        <v/>
      </c>
      <c r="M36" s="30" t="str">
        <f>INDEX(Д3!$E$34:$AI$43,MATCH($D36,Д3!$D$34:$D$43),MATCH(M$7,Д3!$E$3:$AI$3))</f>
        <v/>
      </c>
      <c r="N36" s="30" t="str">
        <f>INDEX(Д3!$E$34:$AI$43,MATCH($D36,Д3!$D$34:$D$43),MATCH(N$7,Д3!$E$3:$AI$3))</f>
        <v/>
      </c>
      <c r="O36" s="30" t="str">
        <f>INDEX(Д3!$E$34:$AI$43,MATCH($D36,Д3!$D$34:$D$43),MATCH(O$7,Д3!$E$3:$AI$3))</f>
        <v/>
      </c>
      <c r="P36" s="30" t="str">
        <f>INDEX(Д3!$E$34:$AI$43,MATCH($D36,Д3!$D$34:$D$43),MATCH(P$7,Д3!$E$3:$AI$3))</f>
        <v/>
      </c>
      <c r="Q36" s="30" t="str">
        <f>INDEX(Д3!$E$34:$AI$43,MATCH($D36,Д3!$D$34:$D$43),MATCH(Q$7,Д3!$E$3:$AI$3))</f>
        <v/>
      </c>
      <c r="R36" s="30" t="str">
        <f>INDEX(Д3!$E$34:$AI$43,MATCH($D36,Д3!$D$34:$D$43),MATCH(R$7,Д3!$E$3:$AI$3))</f>
        <v/>
      </c>
      <c r="S36" s="30" t="str">
        <f>INDEX(Д3!$E$34:$AI$43,MATCH($D36,Д3!$D$34:$D$43),MATCH(S$7,Д3!$E$3:$AI$3))</f>
        <v/>
      </c>
      <c r="T36" s="30" t="str">
        <f>INDEX(Д3!$E$34:$AI$43,MATCH($D36,Д3!$D$34:$D$43),MATCH(T$7,Д3!$E$3:$AI$3))</f>
        <v/>
      </c>
      <c r="U36" s="30" t="str">
        <f>INDEX(Д3!$E$34:$AI$43,MATCH($D36,Д3!$D$34:$D$43),MATCH(U$7,Д3!$E$3:$AI$3))</f>
        <v/>
      </c>
      <c r="V36" s="30" t="str">
        <f>INDEX(Д3!$E$34:$AI$43,MATCH($D36,Д3!$D$34:$D$43),MATCH(V$7,Д3!$E$3:$AI$3))</f>
        <v/>
      </c>
      <c r="W36" s="30" t="str">
        <f>INDEX(Д3!$E$34:$AI$43,MATCH($D36,Д3!$D$34:$D$43),MATCH(W$7,Д3!$E$3:$AI$3))</f>
        <v/>
      </c>
      <c r="X36" s="30" t="str">
        <f>INDEX(Д3!$E$34:$AI$43,MATCH($D36,Д3!$D$34:$D$43),MATCH(X$7,Д3!$E$3:$AI$3))</f>
        <v/>
      </c>
      <c r="Y36" s="30" t="str">
        <f>INDEX(Д3!$E$34:$AI$43,MATCH($D36,Д3!$D$34:$D$43),MATCH(Y$7,Д3!$E$3:$AI$3))</f>
        <v/>
      </c>
      <c r="Z36" s="30" t="str">
        <f>INDEX(Д3!$E$34:$AI$43,MATCH($D36,Д3!$D$34:$D$43),MATCH(Z$7,Д3!$E$3:$AI$3))</f>
        <v/>
      </c>
      <c r="AA36" s="30" t="str">
        <f>INDEX(Д3!$E$34:$AI$43,MATCH($D36,Д3!$D$34:$D$43),MATCH(AA$7,Д3!$E$3:$AI$3))</f>
        <v/>
      </c>
      <c r="AB36" s="30" t="str">
        <f>INDEX(Д3!$E$34:$AI$43,MATCH($D36,Д3!$D$34:$D$43),MATCH(AB$7,Д3!$E$3:$AI$3))</f>
        <v/>
      </c>
      <c r="AC36" s="30" t="str">
        <f>INDEX(Д3!$E$34:$AI$43,MATCH($D36,Д3!$D$34:$D$43),MATCH(AC$7,Д3!$E$3:$AI$3))</f>
        <v/>
      </c>
      <c r="AD36" s="30" t="str">
        <f>INDEX(Д3!$E$34:$AI$43,MATCH($D36,Д3!$D$34:$D$43),MATCH(AD$7,Д3!$E$3:$AI$3))</f>
        <v/>
      </c>
      <c r="AE36" s="30" t="str">
        <f>INDEX(Д3!$E$34:$AI$43,MATCH($D36,Д3!$D$34:$D$43),MATCH(AE$7,Д3!$E$3:$AI$3))</f>
        <v/>
      </c>
      <c r="AF36" s="30" t="str">
        <f>INDEX(Д3!$E$34:$AI$43,MATCH($D36,Д3!$D$34:$D$43),MATCH(AF$7,Д3!$E$3:$AI$3))</f>
        <v/>
      </c>
      <c r="AG36" s="30" t="str">
        <f>INDEX(Д3!$E$34:$AI$43,MATCH($D36,Д3!$D$34:$D$43),MATCH(AG$7,Д3!$E$3:$AI$3))</f>
        <v/>
      </c>
      <c r="AH36" s="30" t="str">
        <f>INDEX(Д3!$E$34:$AI$43,MATCH($D36,Д3!$D$34:$D$43),MATCH(AH$7,Д3!$E$3:$AI$3))</f>
        <v/>
      </c>
      <c r="AI36" s="103"/>
      <c r="AJ36" s="143"/>
      <c r="AK36" s="143"/>
      <c r="AL36" s="143"/>
      <c r="AM36" s="150"/>
      <c r="AP36" s="136"/>
      <c r="AQ36" s="136"/>
      <c r="AR36" s="136"/>
      <c r="AS36" s="136"/>
      <c r="AT36" s="136"/>
      <c r="AU36" s="136"/>
      <c r="AV36" s="136"/>
      <c r="AW36" s="137"/>
      <c r="AX36" s="137"/>
    </row>
    <row r="37" spans="1:50" ht="16.5" customHeight="1" thickBot="1" x14ac:dyDescent="0.3">
      <c r="A37" s="147"/>
      <c r="B37" s="139" t="s">
        <v>94</v>
      </c>
      <c r="C37" s="170">
        <v>5</v>
      </c>
      <c r="D37" s="49">
        <v>9</v>
      </c>
      <c r="E37" s="62" t="str">
        <f>INDEX(Д3!$E$34:$AI$43,MATCH($D37,Д3!$D$34:$D$43),MATCH(E$7,Д3!$E$3:$AI$3))</f>
        <v>-</v>
      </c>
      <c r="F37" s="28" t="str">
        <f>INDEX(Д3!$E$34:$AI$43,MATCH($D37,Д3!$D$34:$D$43),MATCH(F$7,Д3!$E$3:$AI$3))</f>
        <v>-</v>
      </c>
      <c r="G37" s="28" t="str">
        <f>INDEX(Д3!$E$34:$AI$43,MATCH($D37,Д3!$D$34:$D$43),MATCH(G$7,Д3!$E$3:$AI$3))</f>
        <v>-</v>
      </c>
      <c r="H37" s="28" t="str">
        <f>INDEX(Д3!$E$34:$AI$43,MATCH($D37,Д3!$D$34:$D$43),MATCH(H$7,Д3!$E$3:$AI$3))</f>
        <v>-</v>
      </c>
      <c r="I37" s="28" t="str">
        <f>INDEX(Д3!$E$34:$AI$43,MATCH($D37,Д3!$D$34:$D$43),MATCH(I$7,Д3!$E$3:$AI$3))</f>
        <v>-</v>
      </c>
      <c r="J37" s="28" t="str">
        <f>INDEX(Д3!$E$34:$AI$43,MATCH($D37,Д3!$D$34:$D$43),MATCH(J$7,Д3!$E$3:$AI$3))</f>
        <v>-</v>
      </c>
      <c r="K37" s="28" t="str">
        <f>INDEX(Д3!$E$34:$AI$43,MATCH($D37,Д3!$D$34:$D$43),MATCH(K$7,Д3!$E$3:$AI$3))</f>
        <v>-</v>
      </c>
      <c r="L37" s="28" t="str">
        <f>INDEX(Д3!$E$34:$AI$43,MATCH($D37,Д3!$D$34:$D$43),MATCH(L$7,Д3!$E$3:$AI$3))</f>
        <v>-</v>
      </c>
      <c r="M37" s="28" t="str">
        <f>INDEX(Д3!$E$34:$AI$43,MATCH($D37,Д3!$D$34:$D$43),MATCH(M$7,Д3!$E$3:$AI$3))</f>
        <v>-</v>
      </c>
      <c r="N37" s="28" t="str">
        <f>INDEX(Д3!$E$34:$AI$43,MATCH($D37,Д3!$D$34:$D$43),MATCH(N$7,Д3!$E$3:$AI$3))</f>
        <v>-</v>
      </c>
      <c r="O37" s="28" t="str">
        <f>INDEX(Д3!$E$34:$AI$43,MATCH($D37,Д3!$D$34:$D$43),MATCH(O$7,Д3!$E$3:$AI$3))</f>
        <v>-</v>
      </c>
      <c r="P37" s="28" t="str">
        <f>INDEX(Д3!$E$34:$AI$43,MATCH($D37,Д3!$D$34:$D$43),MATCH(P$7,Д3!$E$3:$AI$3))</f>
        <v>-</v>
      </c>
      <c r="Q37" s="28" t="str">
        <f>INDEX(Д3!$E$34:$AI$43,MATCH($D37,Д3!$D$34:$D$43),MATCH(Q$7,Д3!$E$3:$AI$3))</f>
        <v>-</v>
      </c>
      <c r="R37" s="28" t="str">
        <f>INDEX(Д3!$E$34:$AI$43,MATCH($D37,Д3!$D$34:$D$43),MATCH(R$7,Д3!$E$3:$AI$3))</f>
        <v>-</v>
      </c>
      <c r="S37" s="28" t="str">
        <f>INDEX(Д3!$E$34:$AI$43,MATCH($D37,Д3!$D$34:$D$43),MATCH(S$7,Д3!$E$3:$AI$3))</f>
        <v>-</v>
      </c>
      <c r="T37" s="28" t="str">
        <f>INDEX(Д3!$E$34:$AI$43,MATCH($D37,Д3!$D$34:$D$43),MATCH(T$7,Д3!$E$3:$AI$3))</f>
        <v>-</v>
      </c>
      <c r="U37" s="28" t="str">
        <f>INDEX(Д3!$E$34:$AI$43,MATCH($D37,Д3!$D$34:$D$43),MATCH(U$7,Д3!$E$3:$AI$3))</f>
        <v>-</v>
      </c>
      <c r="V37" s="28" t="str">
        <f>INDEX(Д3!$E$34:$AI$43,MATCH($D37,Д3!$D$34:$D$43),MATCH(V$7,Д3!$E$3:$AI$3))</f>
        <v>-</v>
      </c>
      <c r="W37" s="28" t="str">
        <f>INDEX(Д3!$E$34:$AI$43,MATCH($D37,Д3!$D$34:$D$43),MATCH(W$7,Д3!$E$3:$AI$3))</f>
        <v>-</v>
      </c>
      <c r="X37" s="28" t="str">
        <f>INDEX(Д3!$E$34:$AI$43,MATCH($D37,Д3!$D$34:$D$43),MATCH(X$7,Д3!$E$3:$AI$3))</f>
        <v>-</v>
      </c>
      <c r="Y37" s="28" t="str">
        <f>INDEX(Д3!$E$34:$AI$43,MATCH($D37,Д3!$D$34:$D$43),MATCH(Y$7,Д3!$E$3:$AI$3))</f>
        <v>-</v>
      </c>
      <c r="Z37" s="28" t="str">
        <f>INDEX(Д3!$E$34:$AI$43,MATCH($D37,Д3!$D$34:$D$43),MATCH(Z$7,Д3!$E$3:$AI$3))</f>
        <v>-</v>
      </c>
      <c r="AA37" s="28" t="str">
        <f>INDEX(Д3!$E$34:$AI$43,MATCH($D37,Д3!$D$34:$D$43),MATCH(AA$7,Д3!$E$3:$AI$3))</f>
        <v>-</v>
      </c>
      <c r="AB37" s="28" t="str">
        <f>INDEX(Д3!$E$34:$AI$43,MATCH($D37,Д3!$D$34:$D$43),MATCH(AB$7,Д3!$E$3:$AI$3))</f>
        <v>-</v>
      </c>
      <c r="AC37" s="28" t="str">
        <f>INDEX(Д3!$E$34:$AI$43,MATCH($D37,Д3!$D$34:$D$43),MATCH(AC$7,Д3!$E$3:$AI$3))</f>
        <v>-</v>
      </c>
      <c r="AD37" s="28" t="str">
        <f>INDEX(Д3!$E$34:$AI$43,MATCH($D37,Д3!$D$34:$D$43),MATCH(AD$7,Д3!$E$3:$AI$3))</f>
        <v>-</v>
      </c>
      <c r="AE37" s="28" t="str">
        <f>INDEX(Д3!$E$34:$AI$43,MATCH($D37,Д3!$D$34:$D$43),MATCH(AE$7,Д3!$E$3:$AI$3))</f>
        <v>-</v>
      </c>
      <c r="AF37" s="28" t="str">
        <f>INDEX(Д3!$E$34:$AI$43,MATCH($D37,Д3!$D$34:$D$43),MATCH(AF$7,Д3!$E$3:$AI$3))</f>
        <v>-</v>
      </c>
      <c r="AG37" s="28" t="str">
        <f>INDEX(Д3!$E$34:$AI$43,MATCH($D37,Д3!$D$34:$D$43),MATCH(AG$7,Д3!$E$3:$AI$3))</f>
        <v>-</v>
      </c>
      <c r="AH37" s="28" t="str">
        <f>INDEX(Д3!$E$34:$AI$43,MATCH($D37,Д3!$D$34:$D$43),MATCH(AH$7,Д3!$E$3:$AI$3))</f>
        <v>-</v>
      </c>
      <c r="AI37" s="108"/>
      <c r="AJ37" s="143">
        <f>INDEX(Д3!AK$34:$AK$43,MATCH($C37,Д3!$C$34:$C$43),MATCH(E$7,Д3!$E$3:$AI$3))*AND(MONTH($E$8)=MONTH(Д3!$B$34))</f>
        <v>175</v>
      </c>
      <c r="AK37" s="143">
        <f>SUM(E37:AJ38)</f>
        <v>175</v>
      </c>
      <c r="AL37" s="143"/>
      <c r="AM37" s="149">
        <f>SUM(F37:H38,J37:AI38)-AJ37+AL37-12</f>
        <v>-187</v>
      </c>
      <c r="AP37" s="136">
        <f t="shared" ref="AP37" si="80">COUNTIF($E37:$AI38,"12")</f>
        <v>0</v>
      </c>
      <c r="AQ37" s="136">
        <f t="shared" ref="AQ37" si="81">IF(COUNTIF($E37:$AI38,"СП")&gt;=1,(COUNTIF($E37:$AI38,"4")+COUNTIF($E37:$AI38,"8")-1)/2,(COUNTIF($E37:$AI38,"4")+COUNTIF($E37:$AI38,"8"))/2)</f>
        <v>-0.5</v>
      </c>
      <c r="AR37" s="136">
        <f t="shared" si="2"/>
        <v>0</v>
      </c>
      <c r="AS37" s="136">
        <f t="shared" ref="AS37" si="82">IF(COUNTIF($E37:$AI38,"СП")&gt;=1,SUMIF($E37:$AI38,"4",$E37:$AI38)+SUMIF($E37:$AI38,"8",$E37:$AI38)-8,SUMIF($E37:$AI38,"4",$E37:$AI38)+SUMIF($E37:$AI38,"8",$E37:$AI38))</f>
        <v>-8</v>
      </c>
      <c r="AT37" s="136">
        <f t="shared" ref="AT37" si="83">$AR37+$AS37</f>
        <v>-8</v>
      </c>
      <c r="AU37" s="136" t="str">
        <f t="shared" ref="AU37" si="84">IF(AK37=AT37,"+","!")</f>
        <v>!</v>
      </c>
      <c r="AV37" s="136">
        <f t="shared" ref="AV37" si="85">COUNTIF($E37:$AI38,"ОТ")</f>
        <v>0</v>
      </c>
      <c r="AW37" s="137" t="str">
        <f ca="1">IF(COUNTIF($A38:$AI38,"СП")&gt;0,IF(INDIRECT(ADDRESS(ROW(),MATCH("СП",$A38:$AI38),1))=8,"","!"),"")</f>
        <v>!</v>
      </c>
      <c r="AX37" s="137" t="str">
        <f ca="1">IF(COUNTIF($A38:$AI38,"СП")&gt;0,IF(INDIRECT(ADDRESS(ROW(),MATCH("СП",$A38:$AI38)-1,1))=4,"!",""),"")</f>
        <v/>
      </c>
    </row>
    <row r="38" spans="1:50" ht="16.5" thickBot="1" x14ac:dyDescent="0.3">
      <c r="A38" s="148"/>
      <c r="B38" s="140"/>
      <c r="C38" s="172"/>
      <c r="D38" s="50">
        <v>10</v>
      </c>
      <c r="E38" s="66" t="str">
        <f>INDEX(Д3!$E$34:$AI$43,MATCH($D38,Д3!$D$34:$D$43),MATCH(E$7,Д3!$E$3:$AI$3))</f>
        <v/>
      </c>
      <c r="F38" s="67" t="str">
        <f>INDEX(Д3!$E$34:$AI$43,MATCH($D38,Д3!$D$34:$D$43),MATCH(F$7,Д3!$E$3:$AI$3))</f>
        <v/>
      </c>
      <c r="G38" s="67" t="str">
        <f>INDEX(Д3!$E$34:$AI$43,MATCH($D38,Д3!$D$34:$D$43),MATCH(G$7,Д3!$E$3:$AI$3))</f>
        <v/>
      </c>
      <c r="H38" s="67" t="str">
        <f>INDEX(Д3!$E$34:$AI$43,MATCH($D38,Д3!$D$34:$D$43),MATCH(H$7,Д3!$E$3:$AI$3))</f>
        <v/>
      </c>
      <c r="I38" s="67" t="str">
        <f>INDEX(Д3!$E$34:$AI$43,MATCH($D38,Д3!$D$34:$D$43),MATCH(I$7,Д3!$E$3:$AI$3))</f>
        <v/>
      </c>
      <c r="J38" s="67" t="str">
        <f>INDEX(Д3!$E$34:$AI$43,MATCH($D38,Д3!$D$34:$D$43),MATCH(J$7,Д3!$E$3:$AI$3))</f>
        <v/>
      </c>
      <c r="K38" s="67" t="str">
        <f>INDEX(Д3!$E$34:$AI$43,MATCH($D38,Д3!$D$34:$D$43),MATCH(K$7,Д3!$E$3:$AI$3))</f>
        <v/>
      </c>
      <c r="L38" s="67" t="str">
        <f>INDEX(Д3!$E$34:$AI$43,MATCH($D38,Д3!$D$34:$D$43),MATCH(L$7,Д3!$E$3:$AI$3))</f>
        <v>СП</v>
      </c>
      <c r="M38" s="67" t="str">
        <f>INDEX(Д3!$E$34:$AI$43,MATCH($D38,Д3!$D$34:$D$43),MATCH(M$7,Д3!$E$3:$AI$3))</f>
        <v/>
      </c>
      <c r="N38" s="67" t="str">
        <f>INDEX(Д3!$E$34:$AI$43,MATCH($D38,Д3!$D$34:$D$43),MATCH(N$7,Д3!$E$3:$AI$3))</f>
        <v/>
      </c>
      <c r="O38" s="67" t="str">
        <f>INDEX(Д3!$E$34:$AI$43,MATCH($D38,Д3!$D$34:$D$43),MATCH(O$7,Д3!$E$3:$AI$3))</f>
        <v/>
      </c>
      <c r="P38" s="67" t="str">
        <f>INDEX(Д3!$E$34:$AI$43,MATCH($D38,Д3!$D$34:$D$43),MATCH(P$7,Д3!$E$3:$AI$3))</f>
        <v/>
      </c>
      <c r="Q38" s="67" t="str">
        <f>INDEX(Д3!$E$34:$AI$43,MATCH($D38,Д3!$D$34:$D$43),MATCH(Q$7,Д3!$E$3:$AI$3))</f>
        <v/>
      </c>
      <c r="R38" s="67" t="str">
        <f>INDEX(Д3!$E$34:$AI$43,MATCH($D38,Д3!$D$34:$D$43),MATCH(R$7,Д3!$E$3:$AI$3))</f>
        <v/>
      </c>
      <c r="S38" s="67" t="str">
        <f>INDEX(Д3!$E$34:$AI$43,MATCH($D38,Д3!$D$34:$D$43),MATCH(S$7,Д3!$E$3:$AI$3))</f>
        <v/>
      </c>
      <c r="T38" s="67" t="str">
        <f>INDEX(Д3!$E$34:$AI$43,MATCH($D38,Д3!$D$34:$D$43),MATCH(T$7,Д3!$E$3:$AI$3))</f>
        <v/>
      </c>
      <c r="U38" s="67" t="str">
        <f>INDEX(Д3!$E$34:$AI$43,MATCH($D38,Д3!$D$34:$D$43),MATCH(U$7,Д3!$E$3:$AI$3))</f>
        <v/>
      </c>
      <c r="V38" s="67" t="str">
        <f>INDEX(Д3!$E$34:$AI$43,MATCH($D38,Д3!$D$34:$D$43),MATCH(V$7,Д3!$E$3:$AI$3))</f>
        <v/>
      </c>
      <c r="W38" s="67" t="str">
        <f>INDEX(Д3!$E$34:$AI$43,MATCH($D38,Д3!$D$34:$D$43),MATCH(W$7,Д3!$E$3:$AI$3))</f>
        <v/>
      </c>
      <c r="X38" s="67" t="str">
        <f>INDEX(Д3!$E$34:$AI$43,MATCH($D38,Д3!$D$34:$D$43),MATCH(X$7,Д3!$E$3:$AI$3))</f>
        <v/>
      </c>
      <c r="Y38" s="67" t="str">
        <f>INDEX(Д3!$E$34:$AI$43,MATCH($D38,Д3!$D$34:$D$43),MATCH(Y$7,Д3!$E$3:$AI$3))</f>
        <v/>
      </c>
      <c r="Z38" s="67" t="str">
        <f>INDEX(Д3!$E$34:$AI$43,MATCH($D38,Д3!$D$34:$D$43),MATCH(Z$7,Д3!$E$3:$AI$3))</f>
        <v/>
      </c>
      <c r="AA38" s="67" t="str">
        <f>INDEX(Д3!$E$34:$AI$43,MATCH($D38,Д3!$D$34:$D$43),MATCH(AA$7,Д3!$E$3:$AI$3))</f>
        <v/>
      </c>
      <c r="AB38" s="67" t="str">
        <f>INDEX(Д3!$E$34:$AI$43,MATCH($D38,Д3!$D$34:$D$43),MATCH(AB$7,Д3!$E$3:$AI$3))</f>
        <v/>
      </c>
      <c r="AC38" s="67" t="str">
        <f>INDEX(Д3!$E$34:$AI$43,MATCH($D38,Д3!$D$34:$D$43),MATCH(AC$7,Д3!$E$3:$AI$3))</f>
        <v/>
      </c>
      <c r="AD38" s="67" t="str">
        <f>INDEX(Д3!$E$34:$AI$43,MATCH($D38,Д3!$D$34:$D$43),MATCH(AD$7,Д3!$E$3:$AI$3))</f>
        <v/>
      </c>
      <c r="AE38" s="67" t="str">
        <f>INDEX(Д3!$E$34:$AI$43,MATCH($D38,Д3!$D$34:$D$43),MATCH(AE$7,Д3!$E$3:$AI$3))</f>
        <v/>
      </c>
      <c r="AF38" s="67" t="str">
        <f>INDEX(Д3!$E$34:$AI$43,MATCH($D38,Д3!$D$34:$D$43),MATCH(AF$7,Д3!$E$3:$AI$3))</f>
        <v/>
      </c>
      <c r="AG38" s="67" t="str">
        <f>INDEX(Д3!$E$34:$AI$43,MATCH($D38,Д3!$D$34:$D$43),MATCH(AG$7,Д3!$E$3:$AI$3))</f>
        <v/>
      </c>
      <c r="AH38" s="67" t="str">
        <f>INDEX(Д3!$E$34:$AI$43,MATCH($D38,Д3!$D$34:$D$43),MATCH(AH$7,Д3!$E$3:$AI$3))</f>
        <v/>
      </c>
      <c r="AI38" s="105"/>
      <c r="AJ38" s="153"/>
      <c r="AK38" s="143"/>
      <c r="AL38" s="153"/>
      <c r="AM38" s="150"/>
      <c r="AP38" s="136"/>
      <c r="AQ38" s="136"/>
      <c r="AR38" s="136"/>
      <c r="AS38" s="136"/>
      <c r="AT38" s="136"/>
      <c r="AU38" s="136"/>
      <c r="AV38" s="136"/>
      <c r="AW38" s="137"/>
      <c r="AX38" s="137"/>
    </row>
    <row r="39" spans="1:50" ht="17.25" customHeight="1" thickTop="1" thickBot="1" x14ac:dyDescent="0.3">
      <c r="A39" s="146" t="s">
        <v>103</v>
      </c>
      <c r="B39" s="151" t="s">
        <v>95</v>
      </c>
      <c r="C39" s="173">
        <v>1</v>
      </c>
      <c r="D39" s="49">
        <v>1</v>
      </c>
      <c r="E39" s="64">
        <f ca="1">INDEX(Д4!$E$34:$AI$43,MATCH($D39,Д4!$D$34:$D$43),MATCH(E$7,Д4!$E$3:$AI$3))</f>
        <v>4</v>
      </c>
      <c r="F39" s="27">
        <f ca="1">INDEX(Д4!$E$34:$AI$43,MATCH($D39,Д4!$D$34:$D$43),MATCH(F$7,Д4!$E$3:$AI$3))</f>
        <v>8</v>
      </c>
      <c r="G39" s="27">
        <f ca="1">INDEX(Д4!$E$34:$AI$43,MATCH($D39,Д4!$D$34:$D$43),MATCH(G$7,Д4!$E$3:$AI$3))</f>
        <v>12</v>
      </c>
      <c r="H39" s="27">
        <f ca="1">INDEX(Д4!$E$34:$AI$43,MATCH($D39,Д4!$D$34:$D$43),MATCH(H$7,Д4!$E$3:$AI$3))</f>
        <v>8</v>
      </c>
      <c r="I39" s="27">
        <f ca="1">INDEX(Д4!$E$34:$AI$43,MATCH($D39,Д4!$D$34:$D$43),MATCH(I$7,Д4!$E$3:$AI$3))</f>
        <v>8</v>
      </c>
      <c r="J39" s="27">
        <f ca="1">INDEX(Д4!$E$34:$AI$43,MATCH($D39,Д4!$D$34:$D$43),MATCH(J$7,Д4!$E$3:$AI$3))</f>
        <v>12</v>
      </c>
      <c r="K39" s="27">
        <f ca="1">INDEX(Д4!$E$34:$AI$43,MATCH($D39,Д4!$D$34:$D$43),MATCH(K$7,Д4!$E$3:$AI$3))</f>
        <v>0</v>
      </c>
      <c r="L39" s="27">
        <f ca="1">INDEX(Д4!$E$34:$AI$43,MATCH($D39,Д4!$D$34:$D$43),MATCH(L$7,Д4!$E$3:$AI$3))</f>
        <v>0</v>
      </c>
      <c r="M39" s="27">
        <f ca="1">INDEX(Д4!$E$34:$AI$43,MATCH($D39,Д4!$D$34:$D$43),MATCH(M$7,Д4!$E$3:$AI$3))</f>
        <v>4</v>
      </c>
      <c r="N39" s="27">
        <f ca="1">INDEX(Д4!$E$34:$AI$43,MATCH($D39,Д4!$D$34:$D$43),MATCH(N$7,Д4!$E$3:$AI$3))</f>
        <v>8</v>
      </c>
      <c r="O39" s="27">
        <f ca="1">INDEX(Д4!$E$34:$AI$43,MATCH($D39,Д4!$D$34:$D$43),MATCH(O$7,Д4!$E$3:$AI$3))</f>
        <v>12</v>
      </c>
      <c r="P39" s="27">
        <f ca="1">INDEX(Д4!$E$34:$AI$43,MATCH($D39,Д4!$D$34:$D$43),MATCH(P$7,Д4!$E$3:$AI$3))</f>
        <v>4</v>
      </c>
      <c r="Q39" s="27">
        <f ca="1">INDEX(Д4!$E$34:$AI$43,MATCH($D39,Д4!$D$34:$D$43),MATCH(Q$7,Д4!$E$3:$AI$3))</f>
        <v>8</v>
      </c>
      <c r="R39" s="27">
        <f ca="1">INDEX(Д4!$E$34:$AI$43,MATCH($D39,Д4!$D$34:$D$43),MATCH(R$7,Д4!$E$3:$AI$3))</f>
        <v>12</v>
      </c>
      <c r="S39" s="27">
        <f ca="1">INDEX(Д4!$E$34:$AI$43,MATCH($D39,Д4!$D$34:$D$43),MATCH(S$7,Д4!$E$3:$AI$3))</f>
        <v>0</v>
      </c>
      <c r="T39" s="27">
        <f ca="1">INDEX(Д4!$E$34:$AI$43,MATCH($D39,Д4!$D$34:$D$43),MATCH(T$7,Д4!$E$3:$AI$3))</f>
        <v>0</v>
      </c>
      <c r="U39" s="27">
        <f ca="1">INDEX(Д4!$E$34:$AI$43,MATCH($D39,Д4!$D$34:$D$43),MATCH(U$7,Д4!$E$3:$AI$3))</f>
        <v>4</v>
      </c>
      <c r="V39" s="27">
        <f ca="1">INDEX(Д4!$E$34:$AI$43,MATCH($D39,Д4!$D$34:$D$43),MATCH(V$7,Д4!$E$3:$AI$3))</f>
        <v>8</v>
      </c>
      <c r="W39" s="27">
        <f ca="1">INDEX(Д4!$E$34:$AI$43,MATCH($D39,Д4!$D$34:$D$43),MATCH(W$7,Д4!$E$3:$AI$3))</f>
        <v>12</v>
      </c>
      <c r="X39" s="27">
        <f ca="1">INDEX(Д4!$E$34:$AI$43,MATCH($D39,Д4!$D$34:$D$43),MATCH(X$7,Д4!$E$3:$AI$3))</f>
        <v>4</v>
      </c>
      <c r="Y39" s="27">
        <f ca="1">INDEX(Д4!$E$34:$AI$43,MATCH($D39,Д4!$D$34:$D$43),MATCH(Y$7,Д4!$E$3:$AI$3))</f>
        <v>8</v>
      </c>
      <c r="Z39" s="27">
        <f ca="1">INDEX(Д4!$E$34:$AI$43,MATCH($D39,Д4!$D$34:$D$43),MATCH(Z$7,Д4!$E$3:$AI$3))</f>
        <v>12</v>
      </c>
      <c r="AA39" s="27">
        <f ca="1">INDEX(Д4!$E$34:$AI$43,MATCH($D39,Д4!$D$34:$D$43),MATCH(AA$7,Д4!$E$3:$AI$3))</f>
        <v>0</v>
      </c>
      <c r="AB39" s="27">
        <f ca="1">INDEX(Д4!$E$34:$AI$43,MATCH($D39,Д4!$D$34:$D$43),MATCH(AB$7,Д4!$E$3:$AI$3))</f>
        <v>0</v>
      </c>
      <c r="AC39" s="27">
        <f ca="1">INDEX(Д4!$E$34:$AI$43,MATCH($D39,Д4!$D$34:$D$43),MATCH(AC$7,Д4!$E$3:$AI$3))</f>
        <v>4</v>
      </c>
      <c r="AD39" s="27">
        <f ca="1">INDEX(Д4!$E$34:$AI$43,MATCH($D39,Д4!$D$34:$D$43),MATCH(AD$7,Д4!$E$3:$AI$3))</f>
        <v>8</v>
      </c>
      <c r="AE39" s="27">
        <f ca="1">INDEX(Д4!$E$34:$AI$43,MATCH($D39,Д4!$D$34:$D$43),MATCH(AE$7,Д4!$E$3:$AI$3))</f>
        <v>12</v>
      </c>
      <c r="AF39" s="27">
        <f ca="1">INDEX(Д4!$E$34:$AI$43,MATCH($D39,Д4!$D$34:$D$43),MATCH(AF$7,Д4!$E$3:$AI$3))</f>
        <v>4</v>
      </c>
      <c r="AG39" s="27">
        <f ca="1">INDEX(Д4!$E$34:$AI$43,MATCH($D39,Д4!$D$34:$D$43),MATCH(AG$7,Д4!$E$3:$AI$3))</f>
        <v>8</v>
      </c>
      <c r="AH39" s="27">
        <f ca="1">INDEX(Д4!$E$34:$AI$43,MATCH($D39,Д4!$D$34:$D$43),MATCH(AH$7,Д4!$E$3:$AI$3))</f>
        <v>12</v>
      </c>
      <c r="AI39" s="106"/>
      <c r="AJ39" s="143">
        <f>INDEX(Д4!AK$34:$AK$43,MATCH($C39,Д4!$C$34:$C$43),MATCH(E$7,Д4!$E$3:$AI$3))*AND(MONTH($E$8)=MONTH(Д4!$B$34))</f>
        <v>175</v>
      </c>
      <c r="AK39" s="154">
        <f ca="1">SUM(E39:AI40)</f>
        <v>196</v>
      </c>
      <c r="AL39" s="155"/>
      <c r="AM39" s="149">
        <f ca="1">SUM(F39:H40,J39:AI40)-AJ39+AL39-12</f>
        <v>-3</v>
      </c>
      <c r="AP39" s="136">
        <f t="shared" ref="AP39" ca="1" si="86">COUNTIF($E39:$AI40,"12")</f>
        <v>8</v>
      </c>
      <c r="AQ39" s="136">
        <f t="shared" ref="AQ39" ca="1" si="87">IF(COUNTIF($E39:$AI40,"СП")&gt;=1,(COUNTIF($E39:$AI40,"4")+COUNTIF($E39:$AI40,"8")-1)/2,(COUNTIF($E39:$AI40,"4")+COUNTIF($E39:$AI40,"8"))/2)</f>
        <v>7.5</v>
      </c>
      <c r="AR39" s="136">
        <f t="shared" ca="1" si="2"/>
        <v>96</v>
      </c>
      <c r="AS39" s="136">
        <f t="shared" ref="AS39" ca="1" si="88">IF(COUNTIF($E39:$AI40,"СП")&gt;=1,SUMIF($E39:$AI40,"4",$E39:$AI40)+SUMIF($E39:$AI40,"8",$E39:$AI40)-8,SUMIF($E39:$AI40,"4",$E39:$AI40)+SUMIF($E39:$AI40,"8",$E39:$AI40))</f>
        <v>92</v>
      </c>
      <c r="AT39" s="136">
        <f t="shared" ref="AT39" ca="1" si="89">$AR39+$AS39</f>
        <v>188</v>
      </c>
      <c r="AU39" s="136" t="str">
        <f t="shared" ref="AU39" ca="1" si="90">IF(AK39=AT39,"+","!")</f>
        <v>!</v>
      </c>
      <c r="AV39" s="136">
        <f t="shared" ref="AV39" ca="1" si="91">COUNTIF($E39:$AI40,"ОТ")</f>
        <v>0</v>
      </c>
      <c r="AW39" s="137" t="str">
        <f ca="1">IF(COUNTIF($A40:$AI40,"СП")&gt;0,IF(INDIRECT(ADDRESS(ROW(),MATCH("СП",$A40:$AI40),1))=8,"","!"),"")</f>
        <v>!</v>
      </c>
      <c r="AX39" s="137" t="str">
        <f ca="1">IF(COUNTIF($A40:$AI40,"СП")&gt;0,IF(INDIRECT(ADDRESS(ROW(),MATCH("СП",$A40:$AI40)-1,1))=4,"!",""),"")</f>
        <v/>
      </c>
    </row>
    <row r="40" spans="1:50" ht="16.5" thickBot="1" x14ac:dyDescent="0.3">
      <c r="A40" s="147"/>
      <c r="B40" s="139"/>
      <c r="C40" s="171"/>
      <c r="D40" s="50">
        <v>2</v>
      </c>
      <c r="E40" s="63" t="str">
        <f>INDEX(Д4!$E$34:$AI$43,MATCH($D40,Д4!$D$34:$D$43),MATCH(E$7,Д4!$E$3:$AI$3))</f>
        <v/>
      </c>
      <c r="F40" s="29" t="str">
        <f>INDEX(Д4!$E$34:$AI$43,MATCH($D40,Д4!$D$34:$D$43),MATCH(F$7,Д4!$E$3:$AI$3))</f>
        <v/>
      </c>
      <c r="G40" s="29" t="str">
        <f>INDEX(Д4!$E$34:$AI$43,MATCH($D40,Д4!$D$34:$D$43),MATCH(G$7,Д4!$E$3:$AI$3))</f>
        <v/>
      </c>
      <c r="H40" s="29" t="str">
        <f>INDEX(Д4!$E$34:$AI$43,MATCH($D40,Д4!$D$34:$D$43),MATCH(H$7,Д4!$E$3:$AI$3))</f>
        <v>СП</v>
      </c>
      <c r="I40" s="29" t="str">
        <f>INDEX(Д4!$E$34:$AI$43,MATCH($D40,Д4!$D$34:$D$43),MATCH(I$7,Д4!$E$3:$AI$3))</f>
        <v/>
      </c>
      <c r="J40" s="29" t="str">
        <f>INDEX(Д4!$E$34:$AI$43,MATCH($D40,Д4!$D$34:$D$43),MATCH(J$7,Д4!$E$3:$AI$3))</f>
        <v/>
      </c>
      <c r="K40" s="29" t="str">
        <f>INDEX(Д4!$E$34:$AI$43,MATCH($D40,Д4!$D$34:$D$43),MATCH(K$7,Д4!$E$3:$AI$3))</f>
        <v/>
      </c>
      <c r="L40" s="29" t="str">
        <f>INDEX(Д4!$E$34:$AI$43,MATCH($D40,Д4!$D$34:$D$43),MATCH(L$7,Д4!$E$3:$AI$3))</f>
        <v/>
      </c>
      <c r="M40" s="29" t="str">
        <f>INDEX(Д4!$E$34:$AI$43,MATCH($D40,Д4!$D$34:$D$43),MATCH(M$7,Д4!$E$3:$AI$3))</f>
        <v/>
      </c>
      <c r="N40" s="29" t="str">
        <f>INDEX(Д4!$E$34:$AI$43,MATCH($D40,Д4!$D$34:$D$43),MATCH(N$7,Д4!$E$3:$AI$3))</f>
        <v/>
      </c>
      <c r="O40" s="29" t="str">
        <f>INDEX(Д4!$E$34:$AI$43,MATCH($D40,Д4!$D$34:$D$43),MATCH(O$7,Д4!$E$3:$AI$3))</f>
        <v/>
      </c>
      <c r="P40" s="29" t="str">
        <f>INDEX(Д4!$E$34:$AI$43,MATCH($D40,Д4!$D$34:$D$43),MATCH(P$7,Д4!$E$3:$AI$3))</f>
        <v/>
      </c>
      <c r="Q40" s="29" t="str">
        <f>INDEX(Д4!$E$34:$AI$43,MATCH($D40,Д4!$D$34:$D$43),MATCH(Q$7,Д4!$E$3:$AI$3))</f>
        <v/>
      </c>
      <c r="R40" s="29" t="str">
        <f>INDEX(Д4!$E$34:$AI$43,MATCH($D40,Д4!$D$34:$D$43),MATCH(R$7,Д4!$E$3:$AI$3))</f>
        <v/>
      </c>
      <c r="S40" s="29" t="str">
        <f>INDEX(Д4!$E$34:$AI$43,MATCH($D40,Д4!$D$34:$D$43),MATCH(S$7,Д4!$E$3:$AI$3))</f>
        <v/>
      </c>
      <c r="T40" s="29" t="str">
        <f>INDEX(Д4!$E$34:$AI$43,MATCH($D40,Д4!$D$34:$D$43),MATCH(T$7,Д4!$E$3:$AI$3))</f>
        <v/>
      </c>
      <c r="U40" s="29" t="str">
        <f>INDEX(Д4!$E$34:$AI$43,MATCH($D40,Д4!$D$34:$D$43),MATCH(U$7,Д4!$E$3:$AI$3))</f>
        <v/>
      </c>
      <c r="V40" s="29" t="str">
        <f>INDEX(Д4!$E$34:$AI$43,MATCH($D40,Д4!$D$34:$D$43),MATCH(V$7,Д4!$E$3:$AI$3))</f>
        <v/>
      </c>
      <c r="W40" s="29" t="str">
        <f>INDEX(Д4!$E$34:$AI$43,MATCH($D40,Д4!$D$34:$D$43),MATCH(W$7,Д4!$E$3:$AI$3))</f>
        <v/>
      </c>
      <c r="X40" s="29" t="str">
        <f>INDEX(Д4!$E$34:$AI$43,MATCH($D40,Д4!$D$34:$D$43),MATCH(X$7,Д4!$E$3:$AI$3))</f>
        <v/>
      </c>
      <c r="Y40" s="29" t="str">
        <f>INDEX(Д4!$E$34:$AI$43,MATCH($D40,Д4!$D$34:$D$43),MATCH(Y$7,Д4!$E$3:$AI$3))</f>
        <v/>
      </c>
      <c r="Z40" s="29" t="str">
        <f>INDEX(Д4!$E$34:$AI$43,MATCH($D40,Д4!$D$34:$D$43),MATCH(Z$7,Д4!$E$3:$AI$3))</f>
        <v/>
      </c>
      <c r="AA40" s="29" t="str">
        <f>INDEX(Д4!$E$34:$AI$43,MATCH($D40,Д4!$D$34:$D$43),MATCH(AA$7,Д4!$E$3:$AI$3))</f>
        <v/>
      </c>
      <c r="AB40" s="29" t="str">
        <f>INDEX(Д4!$E$34:$AI$43,MATCH($D40,Д4!$D$34:$D$43),MATCH(AB$7,Д4!$E$3:$AI$3))</f>
        <v/>
      </c>
      <c r="AC40" s="29" t="str">
        <f>INDEX(Д4!$E$34:$AI$43,MATCH($D40,Д4!$D$34:$D$43),MATCH(AC$7,Д4!$E$3:$AI$3))</f>
        <v/>
      </c>
      <c r="AD40" s="29" t="str">
        <f>INDEX(Д4!$E$34:$AI$43,MATCH($D40,Д4!$D$34:$D$43),MATCH(AD$7,Д4!$E$3:$AI$3))</f>
        <v/>
      </c>
      <c r="AE40" s="29" t="str">
        <f>INDEX(Д4!$E$34:$AI$43,MATCH($D40,Д4!$D$34:$D$43),MATCH(AE$7,Д4!$E$3:$AI$3))</f>
        <v/>
      </c>
      <c r="AF40" s="29" t="str">
        <f>INDEX(Д4!$E$34:$AI$43,MATCH($D40,Д4!$D$34:$D$43),MATCH(AF$7,Д4!$E$3:$AI$3))</f>
        <v/>
      </c>
      <c r="AG40" s="29" t="str">
        <f>INDEX(Д4!$E$34:$AI$43,MATCH($D40,Д4!$D$34:$D$43),MATCH(AG$7,Д4!$E$3:$AI$3))</f>
        <v/>
      </c>
      <c r="AH40" s="29" t="str">
        <f>INDEX(Д4!$E$34:$AI$43,MATCH($D40,Д4!$D$34:$D$43),MATCH(AH$7,Д4!$E$3:$AI$3))</f>
        <v/>
      </c>
      <c r="AI40" s="107"/>
      <c r="AJ40" s="153"/>
      <c r="AK40" s="145"/>
      <c r="AL40" s="145"/>
      <c r="AM40" s="150"/>
      <c r="AP40" s="136"/>
      <c r="AQ40" s="136"/>
      <c r="AR40" s="136"/>
      <c r="AS40" s="136"/>
      <c r="AT40" s="136"/>
      <c r="AU40" s="136"/>
      <c r="AV40" s="136"/>
      <c r="AW40" s="137"/>
      <c r="AX40" s="137"/>
    </row>
    <row r="41" spans="1:50" ht="16.5" customHeight="1" thickBot="1" x14ac:dyDescent="0.3">
      <c r="A41" s="147"/>
      <c r="B41" s="139" t="s">
        <v>96</v>
      </c>
      <c r="C41" s="170">
        <v>2</v>
      </c>
      <c r="D41" s="49">
        <v>3</v>
      </c>
      <c r="E41" s="64">
        <f ca="1">INDEX(Д4!$E$34:$AI$43,MATCH($D41,Д4!$D$34:$D$43),MATCH(E$7,Д4!$E$3:$AI$3))</f>
        <v>12</v>
      </c>
      <c r="F41" s="27">
        <f ca="1">INDEX(Д4!$E$34:$AI$43,MATCH($D41,Д4!$D$34:$D$43),MATCH(F$7,Д4!$E$3:$AI$3))</f>
        <v>4</v>
      </c>
      <c r="G41" s="27">
        <f ca="1">INDEX(Д4!$E$34:$AI$43,MATCH($D41,Д4!$D$34:$D$43),MATCH(G$7,Д4!$E$3:$AI$3))</f>
        <v>8</v>
      </c>
      <c r="H41" s="27">
        <f ca="1">INDEX(Д4!$E$34:$AI$43,MATCH($D41,Д4!$D$34:$D$43),MATCH(H$7,Д4!$E$3:$AI$3))</f>
        <v>12</v>
      </c>
      <c r="I41" s="27">
        <f ca="1">INDEX(Д4!$E$34:$AI$43,MATCH($D41,Д4!$D$34:$D$43),MATCH(I$7,Д4!$E$3:$AI$3))</f>
        <v>8</v>
      </c>
      <c r="J41" s="27">
        <f ca="1">INDEX(Д4!$E$34:$AI$43,MATCH($D41,Д4!$D$34:$D$43),MATCH(J$7,Д4!$E$3:$AI$3))</f>
        <v>0</v>
      </c>
      <c r="K41" s="27">
        <f ca="1">INDEX(Д4!$E$34:$AI$43,MATCH($D41,Д4!$D$34:$D$43),MATCH(K$7,Д4!$E$3:$AI$3))</f>
        <v>4</v>
      </c>
      <c r="L41" s="27">
        <f ca="1">INDEX(Д4!$E$34:$AI$43,MATCH($D41,Д4!$D$34:$D$43),MATCH(L$7,Д4!$E$3:$AI$3))</f>
        <v>8</v>
      </c>
      <c r="M41" s="27">
        <f ca="1">INDEX(Д4!$E$34:$AI$43,MATCH($D41,Д4!$D$34:$D$43),MATCH(M$7,Д4!$E$3:$AI$3))</f>
        <v>12</v>
      </c>
      <c r="N41" s="27">
        <f ca="1">INDEX(Д4!$E$34:$AI$43,MATCH($D41,Д4!$D$34:$D$43),MATCH(N$7,Д4!$E$3:$AI$3))</f>
        <v>4</v>
      </c>
      <c r="O41" s="27">
        <f ca="1">INDEX(Д4!$E$34:$AI$43,MATCH($D41,Д4!$D$34:$D$43),MATCH(O$7,Д4!$E$3:$AI$3))</f>
        <v>8</v>
      </c>
      <c r="P41" s="27">
        <f ca="1">INDEX(Д4!$E$34:$AI$43,MATCH($D41,Д4!$D$34:$D$43),MATCH(P$7,Д4!$E$3:$AI$3))</f>
        <v>12</v>
      </c>
      <c r="Q41" s="27">
        <f ca="1">INDEX(Д4!$E$34:$AI$43,MATCH($D41,Д4!$D$34:$D$43),MATCH(Q$7,Д4!$E$3:$AI$3))</f>
        <v>0</v>
      </c>
      <c r="R41" s="27">
        <f ca="1">INDEX(Д4!$E$34:$AI$43,MATCH($D41,Д4!$D$34:$D$43),MATCH(R$7,Д4!$E$3:$AI$3))</f>
        <v>0</v>
      </c>
      <c r="S41" s="27">
        <f ca="1">INDEX(Д4!$E$34:$AI$43,MATCH($D41,Д4!$D$34:$D$43),MATCH(S$7,Д4!$E$3:$AI$3))</f>
        <v>4</v>
      </c>
      <c r="T41" s="27">
        <f ca="1">INDEX(Д4!$E$34:$AI$43,MATCH($D41,Д4!$D$34:$D$43),MATCH(T$7,Д4!$E$3:$AI$3))</f>
        <v>8</v>
      </c>
      <c r="U41" s="27">
        <f ca="1">INDEX(Д4!$E$34:$AI$43,MATCH($D41,Д4!$D$34:$D$43),MATCH(U$7,Д4!$E$3:$AI$3))</f>
        <v>12</v>
      </c>
      <c r="V41" s="27">
        <f ca="1">INDEX(Д4!$E$34:$AI$43,MATCH($D41,Д4!$D$34:$D$43),MATCH(V$7,Д4!$E$3:$AI$3))</f>
        <v>4</v>
      </c>
      <c r="W41" s="27">
        <f ca="1">INDEX(Д4!$E$34:$AI$43,MATCH($D41,Д4!$D$34:$D$43),MATCH(W$7,Д4!$E$3:$AI$3))</f>
        <v>8</v>
      </c>
      <c r="X41" s="27">
        <f ca="1">INDEX(Д4!$E$34:$AI$43,MATCH($D41,Д4!$D$34:$D$43),MATCH(X$7,Д4!$E$3:$AI$3))</f>
        <v>12</v>
      </c>
      <c r="Y41" s="27">
        <f ca="1">INDEX(Д4!$E$34:$AI$43,MATCH($D41,Д4!$D$34:$D$43),MATCH(Y$7,Д4!$E$3:$AI$3))</f>
        <v>0</v>
      </c>
      <c r="Z41" s="27">
        <f ca="1">INDEX(Д4!$E$34:$AI$43,MATCH($D41,Д4!$D$34:$D$43),MATCH(Z$7,Д4!$E$3:$AI$3))</f>
        <v>0</v>
      </c>
      <c r="AA41" s="27">
        <f ca="1">INDEX(Д4!$E$34:$AI$43,MATCH($D41,Д4!$D$34:$D$43),MATCH(AA$7,Д4!$E$3:$AI$3))</f>
        <v>4</v>
      </c>
      <c r="AB41" s="27">
        <f ca="1">INDEX(Д4!$E$34:$AI$43,MATCH($D41,Д4!$D$34:$D$43),MATCH(AB$7,Д4!$E$3:$AI$3))</f>
        <v>8</v>
      </c>
      <c r="AC41" s="27">
        <f ca="1">INDEX(Д4!$E$34:$AI$43,MATCH($D41,Д4!$D$34:$D$43),MATCH(AC$7,Д4!$E$3:$AI$3))</f>
        <v>12</v>
      </c>
      <c r="AD41" s="27">
        <f ca="1">INDEX(Д4!$E$34:$AI$43,MATCH($D41,Д4!$D$34:$D$43),MATCH(AD$7,Д4!$E$3:$AI$3))</f>
        <v>4</v>
      </c>
      <c r="AE41" s="27">
        <f ca="1">INDEX(Д4!$E$34:$AI$43,MATCH($D41,Д4!$D$34:$D$43),MATCH(AE$7,Д4!$E$3:$AI$3))</f>
        <v>8</v>
      </c>
      <c r="AF41" s="27">
        <f ca="1">INDEX(Д4!$E$34:$AI$43,MATCH($D41,Д4!$D$34:$D$43),MATCH(AF$7,Д4!$E$3:$AI$3))</f>
        <v>12</v>
      </c>
      <c r="AG41" s="27">
        <f ca="1">INDEX(Д4!$E$34:$AI$43,MATCH($D41,Д4!$D$34:$D$43),MATCH(AG$7,Д4!$E$3:$AI$3))</f>
        <v>0</v>
      </c>
      <c r="AH41" s="27">
        <f ca="1">INDEX(Д4!$E$34:$AI$43,MATCH($D41,Д4!$D$34:$D$43),MATCH(AH$7,Д4!$E$3:$AI$3))</f>
        <v>0</v>
      </c>
      <c r="AI41" s="106"/>
      <c r="AJ41" s="143">
        <f>INDEX(Д4!AK$34:$AK$43,MATCH($C41,Д4!$C$34:$C$43),MATCH(E$7,Д4!$E$3:$AI$3))*AND(MONTH($E$8)=MONTH(Д4!$B$34))</f>
        <v>175</v>
      </c>
      <c r="AK41" s="144">
        <f ca="1">SUM(E41:AI42)</f>
        <v>188</v>
      </c>
      <c r="AL41" s="144"/>
      <c r="AM41" s="149">
        <f ca="1">SUM(F41:H42,J41:AI42)-AJ41+AL41-12</f>
        <v>-19</v>
      </c>
      <c r="AP41" s="136">
        <f t="shared" ref="AP41" ca="1" si="92">COUNTIF($E41:$AI42,"12")</f>
        <v>8</v>
      </c>
      <c r="AQ41" s="136">
        <f t="shared" ref="AQ41" ca="1" si="93">IF(COUNTIF($E41:$AI42,"СП")&gt;=1,(COUNTIF($E41:$AI42,"4")+COUNTIF($E41:$AI42,"8")-1)/2,(COUNTIF($E41:$AI42,"4")+COUNTIF($E41:$AI42,"8"))/2)</f>
        <v>7</v>
      </c>
      <c r="AR41" s="136">
        <f t="shared" ca="1" si="2"/>
        <v>96</v>
      </c>
      <c r="AS41" s="136">
        <f t="shared" ref="AS41" ca="1" si="94">IF(COUNTIF($E41:$AI42,"СП")&gt;=1,SUMIF($E41:$AI42,"4",$E41:$AI42)+SUMIF($E41:$AI42,"8",$E41:$AI42)-8,SUMIF($E41:$AI42,"4",$E41:$AI42)+SUMIF($E41:$AI42,"8",$E41:$AI42))</f>
        <v>84</v>
      </c>
      <c r="AT41" s="136">
        <f t="shared" ref="AT41" ca="1" si="95">$AR41+$AS41</f>
        <v>180</v>
      </c>
      <c r="AU41" s="136" t="str">
        <f t="shared" ref="AU41" ca="1" si="96">IF(AK41=AT41,"+","!")</f>
        <v>!</v>
      </c>
      <c r="AV41" s="136">
        <f t="shared" ref="AV41" ca="1" si="97">COUNTIF($E41:$AI42,"ОТ")</f>
        <v>0</v>
      </c>
      <c r="AW41" s="137" t="str">
        <f ca="1">IF(COUNTIF($A42:$AI42,"СП")&gt;0,IF(INDIRECT(ADDRESS(ROW(),MATCH("СП",$A42:$AI42),1))=8,"","!"),"")</f>
        <v>!</v>
      </c>
      <c r="AX41" s="137" t="str">
        <f ca="1">IF(COUNTIF($A42:$AI42,"СП")&gt;0,IF(INDIRECT(ADDRESS(ROW(),MATCH("СП",$A42:$AI42)-1,1))=4,"!",""),"")</f>
        <v/>
      </c>
    </row>
    <row r="42" spans="1:50" ht="16.5" thickBot="1" x14ac:dyDescent="0.3">
      <c r="A42" s="147"/>
      <c r="B42" s="139"/>
      <c r="C42" s="171"/>
      <c r="D42" s="50">
        <v>4</v>
      </c>
      <c r="E42" s="65" t="str">
        <f>INDEX(Д4!$E$34:$AI$43,MATCH($D42,Д4!$D$34:$D$43),MATCH(E$7,Д4!$E$3:$AI$3))</f>
        <v/>
      </c>
      <c r="F42" s="30" t="str">
        <f>INDEX(Д4!$E$34:$AI$43,MATCH($D42,Д4!$D$34:$D$43),MATCH(F$7,Д4!$E$3:$AI$3))</f>
        <v/>
      </c>
      <c r="G42" s="30" t="str">
        <f>INDEX(Д4!$E$34:$AI$43,MATCH($D42,Д4!$D$34:$D$43),MATCH(G$7,Д4!$E$3:$AI$3))</f>
        <v/>
      </c>
      <c r="H42" s="30" t="str">
        <f>INDEX(Д4!$E$34:$AI$43,MATCH($D42,Д4!$D$34:$D$43),MATCH(H$7,Д4!$E$3:$AI$3))</f>
        <v/>
      </c>
      <c r="I42" s="30" t="str">
        <f>INDEX(Д4!$E$34:$AI$43,MATCH($D42,Д4!$D$34:$D$43),MATCH(I$7,Д4!$E$3:$AI$3))</f>
        <v>СП</v>
      </c>
      <c r="J42" s="30" t="str">
        <f>INDEX(Д4!$E$34:$AI$43,MATCH($D42,Д4!$D$34:$D$43),MATCH(J$7,Д4!$E$3:$AI$3))</f>
        <v/>
      </c>
      <c r="K42" s="30" t="str">
        <f>INDEX(Д4!$E$34:$AI$43,MATCH($D42,Д4!$D$34:$D$43),MATCH(K$7,Д4!$E$3:$AI$3))</f>
        <v/>
      </c>
      <c r="L42" s="30" t="str">
        <f>INDEX(Д4!$E$34:$AI$43,MATCH($D42,Д4!$D$34:$D$43),MATCH(L$7,Д4!$E$3:$AI$3))</f>
        <v/>
      </c>
      <c r="M42" s="30" t="str">
        <f>INDEX(Д4!$E$34:$AI$43,MATCH($D42,Д4!$D$34:$D$43),MATCH(M$7,Д4!$E$3:$AI$3))</f>
        <v/>
      </c>
      <c r="N42" s="30" t="str">
        <f>INDEX(Д4!$E$34:$AI$43,MATCH($D42,Д4!$D$34:$D$43),MATCH(N$7,Д4!$E$3:$AI$3))</f>
        <v/>
      </c>
      <c r="O42" s="30" t="str">
        <f>INDEX(Д4!$E$34:$AI$43,MATCH($D42,Д4!$D$34:$D$43),MATCH(O$7,Д4!$E$3:$AI$3))</f>
        <v/>
      </c>
      <c r="P42" s="30" t="str">
        <f>INDEX(Д4!$E$34:$AI$43,MATCH($D42,Д4!$D$34:$D$43),MATCH(P$7,Д4!$E$3:$AI$3))</f>
        <v/>
      </c>
      <c r="Q42" s="30" t="str">
        <f>INDEX(Д4!$E$34:$AI$43,MATCH($D42,Д4!$D$34:$D$43),MATCH(Q$7,Д4!$E$3:$AI$3))</f>
        <v/>
      </c>
      <c r="R42" s="30" t="str">
        <f>INDEX(Д4!$E$34:$AI$43,MATCH($D42,Д4!$D$34:$D$43),MATCH(R$7,Д4!$E$3:$AI$3))</f>
        <v/>
      </c>
      <c r="S42" s="30" t="str">
        <f>INDEX(Д4!$E$34:$AI$43,MATCH($D42,Д4!$D$34:$D$43),MATCH(S$7,Д4!$E$3:$AI$3))</f>
        <v/>
      </c>
      <c r="T42" s="30" t="str">
        <f>INDEX(Д4!$E$34:$AI$43,MATCH($D42,Д4!$D$34:$D$43),MATCH(T$7,Д4!$E$3:$AI$3))</f>
        <v/>
      </c>
      <c r="U42" s="30" t="str">
        <f>INDEX(Д4!$E$34:$AI$43,MATCH($D42,Д4!$D$34:$D$43),MATCH(U$7,Д4!$E$3:$AI$3))</f>
        <v/>
      </c>
      <c r="V42" s="30" t="str">
        <f>INDEX(Д4!$E$34:$AI$43,MATCH($D42,Д4!$D$34:$D$43),MATCH(V$7,Д4!$E$3:$AI$3))</f>
        <v/>
      </c>
      <c r="W42" s="30" t="str">
        <f>INDEX(Д4!$E$34:$AI$43,MATCH($D42,Д4!$D$34:$D$43),MATCH(W$7,Д4!$E$3:$AI$3))</f>
        <v/>
      </c>
      <c r="X42" s="30" t="str">
        <f>INDEX(Д4!$E$34:$AI$43,MATCH($D42,Д4!$D$34:$D$43),MATCH(X$7,Д4!$E$3:$AI$3))</f>
        <v/>
      </c>
      <c r="Y42" s="30" t="str">
        <f>INDEX(Д4!$E$34:$AI$43,MATCH($D42,Д4!$D$34:$D$43),MATCH(Y$7,Д4!$E$3:$AI$3))</f>
        <v/>
      </c>
      <c r="Z42" s="30" t="str">
        <f>INDEX(Д4!$E$34:$AI$43,MATCH($D42,Д4!$D$34:$D$43),MATCH(Z$7,Д4!$E$3:$AI$3))</f>
        <v/>
      </c>
      <c r="AA42" s="30" t="str">
        <f>INDEX(Д4!$E$34:$AI$43,MATCH($D42,Д4!$D$34:$D$43),MATCH(AA$7,Д4!$E$3:$AI$3))</f>
        <v/>
      </c>
      <c r="AB42" s="30" t="str">
        <f>INDEX(Д4!$E$34:$AI$43,MATCH($D42,Д4!$D$34:$D$43),MATCH(AB$7,Д4!$E$3:$AI$3))</f>
        <v/>
      </c>
      <c r="AC42" s="30" t="str">
        <f>INDEX(Д4!$E$34:$AI$43,MATCH($D42,Д4!$D$34:$D$43),MATCH(AC$7,Д4!$E$3:$AI$3))</f>
        <v/>
      </c>
      <c r="AD42" s="30" t="str">
        <f>INDEX(Д4!$E$34:$AI$43,MATCH($D42,Д4!$D$34:$D$43),MATCH(AD$7,Д4!$E$3:$AI$3))</f>
        <v/>
      </c>
      <c r="AE42" s="30" t="str">
        <f>INDEX(Д4!$E$34:$AI$43,MATCH($D42,Д4!$D$34:$D$43),MATCH(AE$7,Д4!$E$3:$AI$3))</f>
        <v/>
      </c>
      <c r="AF42" s="30" t="str">
        <f>INDEX(Д4!$E$34:$AI$43,MATCH($D42,Д4!$D$34:$D$43),MATCH(AF$7,Д4!$E$3:$AI$3))</f>
        <v/>
      </c>
      <c r="AG42" s="30" t="str">
        <f>INDEX(Д4!$E$34:$AI$43,MATCH($D42,Д4!$D$34:$D$43),MATCH(AG$7,Д4!$E$3:$AI$3))</f>
        <v/>
      </c>
      <c r="AH42" s="30" t="str">
        <f>INDEX(Д4!$E$34:$AI$43,MATCH($D42,Д4!$D$34:$D$43),MATCH(AH$7,Д4!$E$3:$AI$3))</f>
        <v/>
      </c>
      <c r="AI42" s="103"/>
      <c r="AJ42" s="143"/>
      <c r="AK42" s="145"/>
      <c r="AL42" s="145"/>
      <c r="AM42" s="150"/>
      <c r="AP42" s="136"/>
      <c r="AQ42" s="136"/>
      <c r="AR42" s="136"/>
      <c r="AS42" s="136"/>
      <c r="AT42" s="136"/>
      <c r="AU42" s="136"/>
      <c r="AV42" s="136"/>
      <c r="AW42" s="137"/>
      <c r="AX42" s="137"/>
    </row>
    <row r="43" spans="1:50" ht="16.5" thickBot="1" x14ac:dyDescent="0.3">
      <c r="A43" s="147"/>
      <c r="B43" s="139" t="s">
        <v>97</v>
      </c>
      <c r="C43" s="170">
        <v>3</v>
      </c>
      <c r="D43" s="49">
        <v>5</v>
      </c>
      <c r="E43" s="62">
        <f ca="1">INDEX(Д4!$E$34:$AI$43,MATCH($D43,Д4!$D$34:$D$43),MATCH(E$7,Д4!$E$3:$AI$3))</f>
        <v>0</v>
      </c>
      <c r="F43" s="28">
        <f ca="1">INDEX(Д4!$E$34:$AI$43,MATCH($D43,Д4!$D$34:$D$43),MATCH(F$7,Д4!$E$3:$AI$3))</f>
        <v>0</v>
      </c>
      <c r="G43" s="28">
        <f ca="1">INDEX(Д4!$E$34:$AI$43,MATCH($D43,Д4!$D$34:$D$43),MATCH(G$7,Д4!$E$3:$AI$3))</f>
        <v>4</v>
      </c>
      <c r="H43" s="28">
        <f ca="1">INDEX(Д4!$E$34:$AI$43,MATCH($D43,Д4!$D$34:$D$43),MATCH(H$7,Д4!$E$3:$AI$3))</f>
        <v>8</v>
      </c>
      <c r="I43" s="28">
        <f ca="1">INDEX(Д4!$E$34:$AI$43,MATCH($D43,Д4!$D$34:$D$43),MATCH(I$7,Д4!$E$3:$AI$3))</f>
        <v>12</v>
      </c>
      <c r="J43" s="28">
        <f ca="1">INDEX(Д4!$E$34:$AI$43,MATCH($D43,Д4!$D$34:$D$43),MATCH(J$7,Д4!$E$3:$AI$3))</f>
        <v>8</v>
      </c>
      <c r="K43" s="28">
        <f ca="1">INDEX(Д4!$E$34:$AI$43,MATCH($D43,Д4!$D$34:$D$43),MATCH(K$7,Д4!$E$3:$AI$3))</f>
        <v>8</v>
      </c>
      <c r="L43" s="28">
        <f ca="1">INDEX(Д4!$E$34:$AI$43,MATCH($D43,Д4!$D$34:$D$43),MATCH(L$7,Д4!$E$3:$AI$3))</f>
        <v>12</v>
      </c>
      <c r="M43" s="28">
        <f ca="1">INDEX(Д4!$E$34:$AI$43,MATCH($D43,Д4!$D$34:$D$43),MATCH(M$7,Д4!$E$3:$AI$3))</f>
        <v>0</v>
      </c>
      <c r="N43" s="28">
        <f ca="1">INDEX(Д4!$E$34:$AI$43,MATCH($D43,Д4!$D$34:$D$43),MATCH(N$7,Д4!$E$3:$AI$3))</f>
        <v>0</v>
      </c>
      <c r="O43" s="28">
        <f ca="1">INDEX(Д4!$E$34:$AI$43,MATCH($D43,Д4!$D$34:$D$43),MATCH(O$7,Д4!$E$3:$AI$3))</f>
        <v>4</v>
      </c>
      <c r="P43" s="28">
        <f ca="1">INDEX(Д4!$E$34:$AI$43,MATCH($D43,Д4!$D$34:$D$43),MATCH(P$7,Д4!$E$3:$AI$3))</f>
        <v>8</v>
      </c>
      <c r="Q43" s="28">
        <f ca="1">INDEX(Д4!$E$34:$AI$43,MATCH($D43,Д4!$D$34:$D$43),MATCH(Q$7,Д4!$E$3:$AI$3))</f>
        <v>12</v>
      </c>
      <c r="R43" s="28">
        <f ca="1">INDEX(Д4!$E$34:$AI$43,MATCH($D43,Д4!$D$34:$D$43),MATCH(R$7,Д4!$E$3:$AI$3))</f>
        <v>4</v>
      </c>
      <c r="S43" s="28">
        <f ca="1">INDEX(Д4!$E$34:$AI$43,MATCH($D43,Д4!$D$34:$D$43),MATCH(S$7,Д4!$E$3:$AI$3))</f>
        <v>8</v>
      </c>
      <c r="T43" s="28">
        <f ca="1">INDEX(Д4!$E$34:$AI$43,MATCH($D43,Д4!$D$34:$D$43),MATCH(T$7,Д4!$E$3:$AI$3))</f>
        <v>12</v>
      </c>
      <c r="U43" s="28">
        <f ca="1">INDEX(Д4!$E$34:$AI$43,MATCH($D43,Д4!$D$34:$D$43),MATCH(U$7,Д4!$E$3:$AI$3))</f>
        <v>0</v>
      </c>
      <c r="V43" s="28">
        <f ca="1">INDEX(Д4!$E$34:$AI$43,MATCH($D43,Д4!$D$34:$D$43),MATCH(V$7,Д4!$E$3:$AI$3))</f>
        <v>0</v>
      </c>
      <c r="W43" s="28">
        <f ca="1">INDEX(Д4!$E$34:$AI$43,MATCH($D43,Д4!$D$34:$D$43),MATCH(W$7,Д4!$E$3:$AI$3))</f>
        <v>4</v>
      </c>
      <c r="X43" s="28">
        <f ca="1">INDEX(Д4!$E$34:$AI$43,MATCH($D43,Д4!$D$34:$D$43),MATCH(X$7,Д4!$E$3:$AI$3))</f>
        <v>8</v>
      </c>
      <c r="Y43" s="28">
        <f ca="1">INDEX(Д4!$E$34:$AI$43,MATCH($D43,Д4!$D$34:$D$43),MATCH(Y$7,Д4!$E$3:$AI$3))</f>
        <v>12</v>
      </c>
      <c r="Z43" s="28">
        <f ca="1">INDEX(Д4!$E$34:$AI$43,MATCH($D43,Д4!$D$34:$D$43),MATCH(Z$7,Д4!$E$3:$AI$3))</f>
        <v>4</v>
      </c>
      <c r="AA43" s="28">
        <f ca="1">INDEX(Д4!$E$34:$AI$43,MATCH($D43,Д4!$D$34:$D$43),MATCH(AA$7,Д4!$E$3:$AI$3))</f>
        <v>8</v>
      </c>
      <c r="AB43" s="28">
        <f ca="1">INDEX(Д4!$E$34:$AI$43,MATCH($D43,Д4!$D$34:$D$43),MATCH(AB$7,Д4!$E$3:$AI$3))</f>
        <v>12</v>
      </c>
      <c r="AC43" s="28">
        <f ca="1">INDEX(Д4!$E$34:$AI$43,MATCH($D43,Д4!$D$34:$D$43),MATCH(AC$7,Д4!$E$3:$AI$3))</f>
        <v>0</v>
      </c>
      <c r="AD43" s="28">
        <f ca="1">INDEX(Д4!$E$34:$AI$43,MATCH($D43,Д4!$D$34:$D$43),MATCH(AD$7,Д4!$E$3:$AI$3))</f>
        <v>0</v>
      </c>
      <c r="AE43" s="28">
        <f ca="1">INDEX(Д4!$E$34:$AI$43,MATCH($D43,Д4!$D$34:$D$43),MATCH(AE$7,Д4!$E$3:$AI$3))</f>
        <v>4</v>
      </c>
      <c r="AF43" s="28">
        <f ca="1">INDEX(Д4!$E$34:$AI$43,MATCH($D43,Д4!$D$34:$D$43),MATCH(AF$7,Д4!$E$3:$AI$3))</f>
        <v>8</v>
      </c>
      <c r="AG43" s="28">
        <f ca="1">INDEX(Д4!$E$34:$AI$43,MATCH($D43,Д4!$D$34:$D$43),MATCH(AG$7,Д4!$E$3:$AI$3))</f>
        <v>12</v>
      </c>
      <c r="AH43" s="28">
        <f ca="1">INDEX(Д4!$E$34:$AI$43,MATCH($D43,Д4!$D$34:$D$43),MATCH(AH$7,Д4!$E$3:$AI$3))</f>
        <v>4</v>
      </c>
      <c r="AI43" s="108"/>
      <c r="AJ43" s="143">
        <f>INDEX(Д4!AK$34:$AK$43,MATCH($C43,Д4!$C$34:$C$43),MATCH(E$7,Д4!$E$3:$AI$3))*AND(MONTH($E$8)=MONTH(Д4!$B$34))</f>
        <v>175</v>
      </c>
      <c r="AK43" s="144">
        <f ca="1">SUM(E43:AI44)</f>
        <v>176</v>
      </c>
      <c r="AL43" s="144"/>
      <c r="AM43" s="149">
        <f ca="1">SUM(F43:H44,J43:AI44)-AJ43+AL43-12</f>
        <v>-23</v>
      </c>
      <c r="AP43" s="136">
        <f t="shared" ref="AP43" ca="1" si="98">COUNTIF($E43:$AI44,"12")</f>
        <v>7</v>
      </c>
      <c r="AQ43" s="136">
        <f t="shared" ref="AQ43" ca="1" si="99">IF(COUNTIF($E43:$AI44,"СП")&gt;=1,(COUNTIF($E43:$AI44,"4")+COUNTIF($E43:$AI44,"8")-1)/2,(COUNTIF($E43:$AI44,"4")+COUNTIF($E43:$AI44,"8"))/2)</f>
        <v>7</v>
      </c>
      <c r="AR43" s="136">
        <f t="shared" ca="1" si="2"/>
        <v>84</v>
      </c>
      <c r="AS43" s="136">
        <f t="shared" ref="AS43" ca="1" si="100">IF(COUNTIF($E43:$AI44,"СП")&gt;=1,SUMIF($E43:$AI44,"4",$E43:$AI44)+SUMIF($E43:$AI44,"8",$E43:$AI44)-8,SUMIF($E43:$AI44,"4",$E43:$AI44)+SUMIF($E43:$AI44,"8",$E43:$AI44))</f>
        <v>84</v>
      </c>
      <c r="AT43" s="136">
        <f t="shared" ref="AT43" ca="1" si="101">$AR43+$AS43</f>
        <v>168</v>
      </c>
      <c r="AU43" s="136" t="str">
        <f t="shared" ref="AU43" ca="1" si="102">IF(AK43=AT43,"+","!")</f>
        <v>!</v>
      </c>
      <c r="AV43" s="136">
        <f t="shared" ref="AV43" ca="1" si="103">COUNTIF($E43:$AI44,"ОТ")</f>
        <v>0</v>
      </c>
      <c r="AW43" s="137" t="str">
        <f ca="1">IF(COUNTIF($A44:$AI44,"СП")&gt;0,IF(INDIRECT(ADDRESS(ROW(),MATCH("СП",$A44:$AI44),1))=8,"","!"),"")</f>
        <v>!</v>
      </c>
      <c r="AX43" s="137" t="str">
        <f ca="1">IF(COUNTIF($A44:$AI44,"СП")&gt;0,IF(INDIRECT(ADDRESS(ROW(),MATCH("СП",$A44:$AI44)-1,1))=4,"!",""),"")</f>
        <v/>
      </c>
    </row>
    <row r="44" spans="1:50" ht="16.5" thickBot="1" x14ac:dyDescent="0.3">
      <c r="A44" s="147"/>
      <c r="B44" s="139"/>
      <c r="C44" s="171"/>
      <c r="D44" s="50">
        <v>6</v>
      </c>
      <c r="E44" s="63" t="str">
        <f>INDEX(Д4!$E$34:$AI$43,MATCH($D44,Д4!$D$34:$D$43),MATCH(E$7,Д4!$E$3:$AI$3))</f>
        <v/>
      </c>
      <c r="F44" s="29" t="str">
        <f>INDEX(Д4!$E$34:$AI$43,MATCH($D44,Д4!$D$34:$D$43),MATCH(F$7,Д4!$E$3:$AI$3))</f>
        <v/>
      </c>
      <c r="G44" s="29" t="str">
        <f>INDEX(Д4!$E$34:$AI$43,MATCH($D44,Д4!$D$34:$D$43),MATCH(G$7,Д4!$E$3:$AI$3))</f>
        <v/>
      </c>
      <c r="H44" s="29" t="str">
        <f>INDEX(Д4!$E$34:$AI$43,MATCH($D44,Д4!$D$34:$D$43),MATCH(H$7,Д4!$E$3:$AI$3))</f>
        <v/>
      </c>
      <c r="I44" s="29" t="str">
        <f>INDEX(Д4!$E$34:$AI$43,MATCH($D44,Д4!$D$34:$D$43),MATCH(I$7,Д4!$E$3:$AI$3))</f>
        <v/>
      </c>
      <c r="J44" s="29" t="str">
        <f>INDEX(Д4!$E$34:$AI$43,MATCH($D44,Д4!$D$34:$D$43),MATCH(J$7,Д4!$E$3:$AI$3))</f>
        <v>СП</v>
      </c>
      <c r="K44" s="29" t="str">
        <f>INDEX(Д4!$E$34:$AI$43,MATCH($D44,Д4!$D$34:$D$43),MATCH(K$7,Д4!$E$3:$AI$3))</f>
        <v/>
      </c>
      <c r="L44" s="29" t="str">
        <f>INDEX(Д4!$E$34:$AI$43,MATCH($D44,Д4!$D$34:$D$43),MATCH(L$7,Д4!$E$3:$AI$3))</f>
        <v/>
      </c>
      <c r="M44" s="29" t="str">
        <f>INDEX(Д4!$E$34:$AI$43,MATCH($D44,Д4!$D$34:$D$43),MATCH(M$7,Д4!$E$3:$AI$3))</f>
        <v/>
      </c>
      <c r="N44" s="29" t="str">
        <f>INDEX(Д4!$E$34:$AI$43,MATCH($D44,Д4!$D$34:$D$43),MATCH(N$7,Д4!$E$3:$AI$3))</f>
        <v/>
      </c>
      <c r="O44" s="29" t="str">
        <f>INDEX(Д4!$E$34:$AI$43,MATCH($D44,Д4!$D$34:$D$43),MATCH(O$7,Д4!$E$3:$AI$3))</f>
        <v/>
      </c>
      <c r="P44" s="29" t="str">
        <f>INDEX(Д4!$E$34:$AI$43,MATCH($D44,Д4!$D$34:$D$43),MATCH(P$7,Д4!$E$3:$AI$3))</f>
        <v/>
      </c>
      <c r="Q44" s="29" t="str">
        <f>INDEX(Д4!$E$34:$AI$43,MATCH($D44,Д4!$D$34:$D$43),MATCH(Q$7,Д4!$E$3:$AI$3))</f>
        <v/>
      </c>
      <c r="R44" s="29" t="str">
        <f>INDEX(Д4!$E$34:$AI$43,MATCH($D44,Д4!$D$34:$D$43),MATCH(R$7,Д4!$E$3:$AI$3))</f>
        <v/>
      </c>
      <c r="S44" s="29" t="str">
        <f>INDEX(Д4!$E$34:$AI$43,MATCH($D44,Д4!$D$34:$D$43),MATCH(S$7,Д4!$E$3:$AI$3))</f>
        <v/>
      </c>
      <c r="T44" s="29" t="str">
        <f>INDEX(Д4!$E$34:$AI$43,MATCH($D44,Д4!$D$34:$D$43),MATCH(T$7,Д4!$E$3:$AI$3))</f>
        <v/>
      </c>
      <c r="U44" s="29" t="str">
        <f>INDEX(Д4!$E$34:$AI$43,MATCH($D44,Д4!$D$34:$D$43),MATCH(U$7,Д4!$E$3:$AI$3))</f>
        <v/>
      </c>
      <c r="V44" s="29" t="str">
        <f>INDEX(Д4!$E$34:$AI$43,MATCH($D44,Д4!$D$34:$D$43),MATCH(V$7,Д4!$E$3:$AI$3))</f>
        <v/>
      </c>
      <c r="W44" s="29" t="str">
        <f>INDEX(Д4!$E$34:$AI$43,MATCH($D44,Д4!$D$34:$D$43),MATCH(W$7,Д4!$E$3:$AI$3))</f>
        <v/>
      </c>
      <c r="X44" s="29" t="str">
        <f>INDEX(Д4!$E$34:$AI$43,MATCH($D44,Д4!$D$34:$D$43),MATCH(X$7,Д4!$E$3:$AI$3))</f>
        <v/>
      </c>
      <c r="Y44" s="29" t="str">
        <f>INDEX(Д4!$E$34:$AI$43,MATCH($D44,Д4!$D$34:$D$43),MATCH(Y$7,Д4!$E$3:$AI$3))</f>
        <v/>
      </c>
      <c r="Z44" s="29" t="str">
        <f>INDEX(Д4!$E$34:$AI$43,MATCH($D44,Д4!$D$34:$D$43),MATCH(Z$7,Д4!$E$3:$AI$3))</f>
        <v/>
      </c>
      <c r="AA44" s="29" t="str">
        <f>INDEX(Д4!$E$34:$AI$43,MATCH($D44,Д4!$D$34:$D$43),MATCH(AA$7,Д4!$E$3:$AI$3))</f>
        <v/>
      </c>
      <c r="AB44" s="29" t="str">
        <f>INDEX(Д4!$E$34:$AI$43,MATCH($D44,Д4!$D$34:$D$43),MATCH(AB$7,Д4!$E$3:$AI$3))</f>
        <v/>
      </c>
      <c r="AC44" s="29" t="str">
        <f>INDEX(Д4!$E$34:$AI$43,MATCH($D44,Д4!$D$34:$D$43),MATCH(AC$7,Д4!$E$3:$AI$3))</f>
        <v/>
      </c>
      <c r="AD44" s="29" t="str">
        <f>INDEX(Д4!$E$34:$AI$43,MATCH($D44,Д4!$D$34:$D$43),MATCH(AD$7,Д4!$E$3:$AI$3))</f>
        <v/>
      </c>
      <c r="AE44" s="29" t="str">
        <f>INDEX(Д4!$E$34:$AI$43,MATCH($D44,Д4!$D$34:$D$43),MATCH(AE$7,Д4!$E$3:$AI$3))</f>
        <v/>
      </c>
      <c r="AF44" s="29" t="str">
        <f>INDEX(Д4!$E$34:$AI$43,MATCH($D44,Д4!$D$34:$D$43),MATCH(AF$7,Д4!$E$3:$AI$3))</f>
        <v/>
      </c>
      <c r="AG44" s="29" t="str">
        <f>INDEX(Д4!$E$34:$AI$43,MATCH($D44,Д4!$D$34:$D$43),MATCH(AG$7,Д4!$E$3:$AI$3))</f>
        <v/>
      </c>
      <c r="AH44" s="29" t="str">
        <f>INDEX(Д4!$E$34:$AI$43,MATCH($D44,Д4!$D$34:$D$43),MATCH(AH$7,Д4!$E$3:$AI$3))</f>
        <v/>
      </c>
      <c r="AI44" s="107"/>
      <c r="AJ44" s="143"/>
      <c r="AK44" s="145"/>
      <c r="AL44" s="145"/>
      <c r="AM44" s="150"/>
      <c r="AP44" s="136"/>
      <c r="AQ44" s="136"/>
      <c r="AR44" s="136"/>
      <c r="AS44" s="136"/>
      <c r="AT44" s="136"/>
      <c r="AU44" s="136"/>
      <c r="AV44" s="136"/>
      <c r="AW44" s="137"/>
      <c r="AX44" s="137"/>
    </row>
    <row r="45" spans="1:50" ht="16.5" customHeight="1" thickBot="1" x14ac:dyDescent="0.3">
      <c r="A45" s="147"/>
      <c r="B45" s="139" t="s">
        <v>98</v>
      </c>
      <c r="C45" s="170">
        <v>4</v>
      </c>
      <c r="D45" s="49">
        <v>7</v>
      </c>
      <c r="E45" s="64">
        <f ca="1">INDEX(Д4!$E$34:$AI$43,MATCH($D45,Д4!$D$34:$D$43),MATCH(E$7,Д4!$E$3:$AI$3))</f>
        <v>8</v>
      </c>
      <c r="F45" s="27">
        <f ca="1">INDEX(Д4!$E$34:$AI$43,MATCH($D45,Д4!$D$34:$D$43),MATCH(F$7,Д4!$E$3:$AI$3))</f>
        <v>12</v>
      </c>
      <c r="G45" s="27">
        <f ca="1">INDEX(Д4!$E$34:$AI$43,MATCH($D45,Д4!$D$34:$D$43),MATCH(G$7,Д4!$E$3:$AI$3))</f>
        <v>0</v>
      </c>
      <c r="H45" s="27">
        <f ca="1">INDEX(Д4!$E$34:$AI$43,MATCH($D45,Д4!$D$34:$D$43),MATCH(H$7,Д4!$E$3:$AI$3))</f>
        <v>0</v>
      </c>
      <c r="I45" s="27">
        <f ca="1">INDEX(Д4!$E$34:$AI$43,MATCH($D45,Д4!$D$34:$D$43),MATCH(I$7,Д4!$E$3:$AI$3))</f>
        <v>4</v>
      </c>
      <c r="J45" s="27">
        <f ca="1">INDEX(Д4!$E$34:$AI$43,MATCH($D45,Д4!$D$34:$D$43),MATCH(J$7,Д4!$E$3:$AI$3))</f>
        <v>8</v>
      </c>
      <c r="K45" s="27">
        <f ca="1">INDEX(Д4!$E$34:$AI$43,MATCH($D45,Д4!$D$34:$D$43),MATCH(K$7,Д4!$E$3:$AI$3))</f>
        <v>12</v>
      </c>
      <c r="L45" s="27">
        <f ca="1">INDEX(Д4!$E$34:$AI$43,MATCH($D45,Д4!$D$34:$D$43),MATCH(L$7,Д4!$E$3:$AI$3))</f>
        <v>4</v>
      </c>
      <c r="M45" s="27">
        <f ca="1">INDEX(Д4!$E$34:$AI$43,MATCH($D45,Д4!$D$34:$D$43),MATCH(M$7,Д4!$E$3:$AI$3))</f>
        <v>8</v>
      </c>
      <c r="N45" s="27">
        <f ca="1">INDEX(Д4!$E$34:$AI$43,MATCH($D45,Д4!$D$34:$D$43),MATCH(N$7,Д4!$E$3:$AI$3))</f>
        <v>12</v>
      </c>
      <c r="O45" s="27">
        <f ca="1">INDEX(Д4!$E$34:$AI$43,MATCH($D45,Д4!$D$34:$D$43),MATCH(O$7,Д4!$E$3:$AI$3))</f>
        <v>0</v>
      </c>
      <c r="P45" s="27">
        <f ca="1">INDEX(Д4!$E$34:$AI$43,MATCH($D45,Д4!$D$34:$D$43),MATCH(P$7,Д4!$E$3:$AI$3))</f>
        <v>0</v>
      </c>
      <c r="Q45" s="27">
        <f ca="1">INDEX(Д4!$E$34:$AI$43,MATCH($D45,Д4!$D$34:$D$43),MATCH(Q$7,Д4!$E$3:$AI$3))</f>
        <v>4</v>
      </c>
      <c r="R45" s="27">
        <f ca="1">INDEX(Д4!$E$34:$AI$43,MATCH($D45,Д4!$D$34:$D$43),MATCH(R$7,Д4!$E$3:$AI$3))</f>
        <v>8</v>
      </c>
      <c r="S45" s="27">
        <f ca="1">INDEX(Д4!$E$34:$AI$43,MATCH($D45,Д4!$D$34:$D$43),MATCH(S$7,Д4!$E$3:$AI$3))</f>
        <v>12</v>
      </c>
      <c r="T45" s="27">
        <f ca="1">INDEX(Д4!$E$34:$AI$43,MATCH($D45,Д4!$D$34:$D$43),MATCH(T$7,Д4!$E$3:$AI$3))</f>
        <v>4</v>
      </c>
      <c r="U45" s="27">
        <f ca="1">INDEX(Д4!$E$34:$AI$43,MATCH($D45,Д4!$D$34:$D$43),MATCH(U$7,Д4!$E$3:$AI$3))</f>
        <v>8</v>
      </c>
      <c r="V45" s="27">
        <f ca="1">INDEX(Д4!$E$34:$AI$43,MATCH($D45,Д4!$D$34:$D$43),MATCH(V$7,Д4!$E$3:$AI$3))</f>
        <v>12</v>
      </c>
      <c r="W45" s="27">
        <f ca="1">INDEX(Д4!$E$34:$AI$43,MATCH($D45,Д4!$D$34:$D$43),MATCH(W$7,Д4!$E$3:$AI$3))</f>
        <v>0</v>
      </c>
      <c r="X45" s="27">
        <f ca="1">INDEX(Д4!$E$34:$AI$43,MATCH($D45,Д4!$D$34:$D$43),MATCH(X$7,Д4!$E$3:$AI$3))</f>
        <v>0</v>
      </c>
      <c r="Y45" s="27">
        <f ca="1">INDEX(Д4!$E$34:$AI$43,MATCH($D45,Д4!$D$34:$D$43),MATCH(Y$7,Д4!$E$3:$AI$3))</f>
        <v>4</v>
      </c>
      <c r="Z45" s="27">
        <f ca="1">INDEX(Д4!$E$34:$AI$43,MATCH($D45,Д4!$D$34:$D$43),MATCH(Z$7,Д4!$E$3:$AI$3))</f>
        <v>8</v>
      </c>
      <c r="AA45" s="27">
        <f ca="1">INDEX(Д4!$E$34:$AI$43,MATCH($D45,Д4!$D$34:$D$43),MATCH(AA$7,Д4!$E$3:$AI$3))</f>
        <v>12</v>
      </c>
      <c r="AB45" s="27">
        <f ca="1">INDEX(Д4!$E$34:$AI$43,MATCH($D45,Д4!$D$34:$D$43),MATCH(AB$7,Д4!$E$3:$AI$3))</f>
        <v>4</v>
      </c>
      <c r="AC45" s="27">
        <f ca="1">INDEX(Д4!$E$34:$AI$43,MATCH($D45,Д4!$D$34:$D$43),MATCH(AC$7,Д4!$E$3:$AI$3))</f>
        <v>8</v>
      </c>
      <c r="AD45" s="27">
        <f ca="1">INDEX(Д4!$E$34:$AI$43,MATCH($D45,Д4!$D$34:$D$43),MATCH(AD$7,Д4!$E$3:$AI$3))</f>
        <v>12</v>
      </c>
      <c r="AE45" s="27">
        <f ca="1">INDEX(Д4!$E$34:$AI$43,MATCH($D45,Д4!$D$34:$D$43),MATCH(AE$7,Д4!$E$3:$AI$3))</f>
        <v>0</v>
      </c>
      <c r="AF45" s="27">
        <f ca="1">INDEX(Д4!$E$34:$AI$43,MATCH($D45,Д4!$D$34:$D$43),MATCH(AF$7,Д4!$E$3:$AI$3))</f>
        <v>0</v>
      </c>
      <c r="AG45" s="27">
        <f ca="1">INDEX(Д4!$E$34:$AI$43,MATCH($D45,Д4!$D$34:$D$43),MATCH(AG$7,Д4!$E$3:$AI$3))</f>
        <v>4</v>
      </c>
      <c r="AH45" s="27">
        <f ca="1">INDEX(Д4!$E$34:$AI$43,MATCH($D45,Д4!$D$34:$D$43),MATCH(AH$7,Д4!$E$3:$AI$3))</f>
        <v>8</v>
      </c>
      <c r="AI45" s="106"/>
      <c r="AJ45" s="143">
        <f>INDEX(Д4!AK$34:$AK$43,MATCH($C45,Д4!$C$34:$C$43),MATCH(E$7,Д4!$E$3:$AI$3))*AND(MONTH($E$8)=MONTH(Д4!$B$34))</f>
        <v>175</v>
      </c>
      <c r="AK45" s="144">
        <f t="shared" ref="AK45" ca="1" si="104">SUM(E45:AI46)</f>
        <v>176</v>
      </c>
      <c r="AL45" s="144"/>
      <c r="AM45" s="149">
        <f ca="1">SUM(F45:H46,J45:AI46)-AJ45+AL45-12</f>
        <v>-23</v>
      </c>
      <c r="AP45" s="136">
        <f t="shared" ref="AP45" ca="1" si="105">COUNTIF($E45:$AI46,"12")</f>
        <v>7</v>
      </c>
      <c r="AQ45" s="136">
        <f t="shared" ref="AQ45" ca="1" si="106">IF(COUNTIF($E45:$AI46,"СП")&gt;=1,(COUNTIF($E45:$AI46,"4")+COUNTIF($E45:$AI46,"8")-1)/2,(COUNTIF($E45:$AI46,"4")+COUNTIF($E45:$AI46,"8"))/2)</f>
        <v>7</v>
      </c>
      <c r="AR45" s="136">
        <f t="shared" ca="1" si="2"/>
        <v>84</v>
      </c>
      <c r="AS45" s="136">
        <f t="shared" ref="AS45" ca="1" si="107">IF(COUNTIF($E45:$AI46,"СП")&gt;=1,SUMIF($E45:$AI46,"4",$E45:$AI46)+SUMIF($E45:$AI46,"8",$E45:$AI46)-8,SUMIF($E45:$AI46,"4",$E45:$AI46)+SUMIF($E45:$AI46,"8",$E45:$AI46))</f>
        <v>84</v>
      </c>
      <c r="AT45" s="136">
        <f t="shared" ref="AT45" ca="1" si="108">$AR45+$AS45</f>
        <v>168</v>
      </c>
      <c r="AU45" s="136" t="str">
        <f t="shared" ref="AU45" ca="1" si="109">IF(AK45=AT45,"+","!")</f>
        <v>!</v>
      </c>
      <c r="AV45" s="136">
        <f t="shared" ref="AV45" ca="1" si="110">COUNTIF($E45:$AI46,"ОТ")</f>
        <v>0</v>
      </c>
      <c r="AW45" s="137" t="str">
        <f ca="1">IF(COUNTIF($A46:$AI46,"СП")&gt;0,IF(INDIRECT(ADDRESS(ROW(),MATCH("СП",$A46:$AI46),1))=8,"","!"),"")</f>
        <v/>
      </c>
      <c r="AX45" s="137" t="str">
        <f ca="1">IF(COUNTIF($A46:$AI46,"СП")&gt;0,IF(INDIRECT(ADDRESS(ROW(),MATCH("СП",$A46:$AI46)-1,1))=4,"!",""),"")</f>
        <v>!</v>
      </c>
    </row>
    <row r="46" spans="1:50" ht="16.5" thickBot="1" x14ac:dyDescent="0.3">
      <c r="A46" s="147"/>
      <c r="B46" s="139"/>
      <c r="C46" s="171"/>
      <c r="D46" s="50">
        <v>8</v>
      </c>
      <c r="E46" s="65" t="str">
        <f>INDEX(Д4!$E$34:$AI$43,MATCH($D46,Д4!$D$34:$D$43),MATCH(E$7,Д4!$E$3:$AI$3))</f>
        <v/>
      </c>
      <c r="F46" s="30" t="str">
        <f>INDEX(Д4!$E$34:$AI$43,MATCH($D46,Д4!$D$34:$D$43),MATCH(F$7,Д4!$E$3:$AI$3))</f>
        <v/>
      </c>
      <c r="G46" s="30" t="str">
        <f>INDEX(Д4!$E$34:$AI$43,MATCH($D46,Д4!$D$34:$D$43),MATCH(G$7,Д4!$E$3:$AI$3))</f>
        <v/>
      </c>
      <c r="H46" s="30" t="str">
        <f>INDEX(Д4!$E$34:$AI$43,MATCH($D46,Д4!$D$34:$D$43),MATCH(H$7,Д4!$E$3:$AI$3))</f>
        <v/>
      </c>
      <c r="I46" s="30" t="str">
        <f>INDEX(Д4!$E$34:$AI$43,MATCH($D46,Д4!$D$34:$D$43),MATCH(I$7,Д4!$E$3:$AI$3))</f>
        <v/>
      </c>
      <c r="J46" s="30" t="str">
        <f>INDEX(Д4!$E$34:$AI$43,MATCH($D46,Д4!$D$34:$D$43),MATCH(J$7,Д4!$E$3:$AI$3))</f>
        <v/>
      </c>
      <c r="K46" s="30" t="str">
        <f>INDEX(Д4!$E$34:$AI$43,MATCH($D46,Д4!$D$34:$D$43),MATCH(K$7,Д4!$E$3:$AI$3))</f>
        <v>СП</v>
      </c>
      <c r="L46" s="30" t="str">
        <f>INDEX(Д4!$E$34:$AI$43,MATCH($D46,Д4!$D$34:$D$43),MATCH(L$7,Д4!$E$3:$AI$3))</f>
        <v/>
      </c>
      <c r="M46" s="30" t="str">
        <f>INDEX(Д4!$E$34:$AI$43,MATCH($D46,Д4!$D$34:$D$43),MATCH(M$7,Д4!$E$3:$AI$3))</f>
        <v/>
      </c>
      <c r="N46" s="30" t="str">
        <f>INDEX(Д4!$E$34:$AI$43,MATCH($D46,Д4!$D$34:$D$43),MATCH(N$7,Д4!$E$3:$AI$3))</f>
        <v/>
      </c>
      <c r="O46" s="30" t="str">
        <f>INDEX(Д4!$E$34:$AI$43,MATCH($D46,Д4!$D$34:$D$43),MATCH(O$7,Д4!$E$3:$AI$3))</f>
        <v/>
      </c>
      <c r="P46" s="30" t="str">
        <f>INDEX(Д4!$E$34:$AI$43,MATCH($D46,Д4!$D$34:$D$43),MATCH(P$7,Д4!$E$3:$AI$3))</f>
        <v/>
      </c>
      <c r="Q46" s="30" t="str">
        <f>INDEX(Д4!$E$34:$AI$43,MATCH($D46,Д4!$D$34:$D$43),MATCH(Q$7,Д4!$E$3:$AI$3))</f>
        <v/>
      </c>
      <c r="R46" s="30" t="str">
        <f>INDEX(Д4!$E$34:$AI$43,MATCH($D46,Д4!$D$34:$D$43),MATCH(R$7,Д4!$E$3:$AI$3))</f>
        <v/>
      </c>
      <c r="S46" s="30" t="str">
        <f>INDEX(Д4!$E$34:$AI$43,MATCH($D46,Д4!$D$34:$D$43),MATCH(S$7,Д4!$E$3:$AI$3))</f>
        <v/>
      </c>
      <c r="T46" s="30" t="str">
        <f>INDEX(Д4!$E$34:$AI$43,MATCH($D46,Д4!$D$34:$D$43),MATCH(T$7,Д4!$E$3:$AI$3))</f>
        <v/>
      </c>
      <c r="U46" s="30" t="str">
        <f>INDEX(Д4!$E$34:$AI$43,MATCH($D46,Д4!$D$34:$D$43),MATCH(U$7,Д4!$E$3:$AI$3))</f>
        <v/>
      </c>
      <c r="V46" s="30" t="str">
        <f>INDEX(Д4!$E$34:$AI$43,MATCH($D46,Д4!$D$34:$D$43),MATCH(V$7,Д4!$E$3:$AI$3))</f>
        <v/>
      </c>
      <c r="W46" s="30" t="str">
        <f>INDEX(Д4!$E$34:$AI$43,MATCH($D46,Д4!$D$34:$D$43),MATCH(W$7,Д4!$E$3:$AI$3))</f>
        <v/>
      </c>
      <c r="X46" s="30" t="str">
        <f>INDEX(Д4!$E$34:$AI$43,MATCH($D46,Д4!$D$34:$D$43),MATCH(X$7,Д4!$E$3:$AI$3))</f>
        <v/>
      </c>
      <c r="Y46" s="30" t="str">
        <f>INDEX(Д4!$E$34:$AI$43,MATCH($D46,Д4!$D$34:$D$43),MATCH(Y$7,Д4!$E$3:$AI$3))</f>
        <v/>
      </c>
      <c r="Z46" s="30" t="str">
        <f>INDEX(Д4!$E$34:$AI$43,MATCH($D46,Д4!$D$34:$D$43),MATCH(Z$7,Д4!$E$3:$AI$3))</f>
        <v/>
      </c>
      <c r="AA46" s="30" t="str">
        <f>INDEX(Д4!$E$34:$AI$43,MATCH($D46,Д4!$D$34:$D$43),MATCH(AA$7,Д4!$E$3:$AI$3))</f>
        <v/>
      </c>
      <c r="AB46" s="30" t="str">
        <f>INDEX(Д4!$E$34:$AI$43,MATCH($D46,Д4!$D$34:$D$43),MATCH(AB$7,Д4!$E$3:$AI$3))</f>
        <v/>
      </c>
      <c r="AC46" s="30" t="str">
        <f>INDEX(Д4!$E$34:$AI$43,MATCH($D46,Д4!$D$34:$D$43),MATCH(AC$7,Д4!$E$3:$AI$3))</f>
        <v/>
      </c>
      <c r="AD46" s="30" t="str">
        <f>INDEX(Д4!$E$34:$AI$43,MATCH($D46,Д4!$D$34:$D$43),MATCH(AD$7,Д4!$E$3:$AI$3))</f>
        <v/>
      </c>
      <c r="AE46" s="30" t="str">
        <f>INDEX(Д4!$E$34:$AI$43,MATCH($D46,Д4!$D$34:$D$43),MATCH(AE$7,Д4!$E$3:$AI$3))</f>
        <v/>
      </c>
      <c r="AF46" s="30" t="str">
        <f>INDEX(Д4!$E$34:$AI$43,MATCH($D46,Д4!$D$34:$D$43),MATCH(AF$7,Д4!$E$3:$AI$3))</f>
        <v/>
      </c>
      <c r="AG46" s="30" t="str">
        <f>INDEX(Д4!$E$34:$AI$43,MATCH($D46,Д4!$D$34:$D$43),MATCH(AG$7,Д4!$E$3:$AI$3))</f>
        <v/>
      </c>
      <c r="AH46" s="30" t="str">
        <f>INDEX(Д4!$E$34:$AI$43,MATCH($D46,Д4!$D$34:$D$43),MATCH(AH$7,Д4!$E$3:$AI$3))</f>
        <v/>
      </c>
      <c r="AI46" s="103"/>
      <c r="AJ46" s="143"/>
      <c r="AK46" s="145"/>
      <c r="AL46" s="145"/>
      <c r="AM46" s="150"/>
      <c r="AP46" s="136"/>
      <c r="AQ46" s="136"/>
      <c r="AR46" s="136"/>
      <c r="AS46" s="136"/>
      <c r="AT46" s="136"/>
      <c r="AU46" s="136"/>
      <c r="AV46" s="136"/>
      <c r="AW46" s="137"/>
      <c r="AX46" s="137"/>
    </row>
    <row r="47" spans="1:50" ht="16.5" customHeight="1" thickBot="1" x14ac:dyDescent="0.3">
      <c r="A47" s="147"/>
      <c r="B47" s="139" t="s">
        <v>99</v>
      </c>
      <c r="C47" s="170">
        <v>5</v>
      </c>
      <c r="D47" s="49">
        <v>9</v>
      </c>
      <c r="E47" s="62" t="str">
        <f>INDEX(Д4!$E$34:$AI$43,MATCH($D47,Д4!$D$34:$D$43),MATCH(E$7,Д4!$E$3:$AI$3))</f>
        <v>-</v>
      </c>
      <c r="F47" s="28" t="str">
        <f>INDEX(Д4!$E$34:$AI$43,MATCH($D47,Д4!$D$34:$D$43),MATCH(F$7,Д4!$E$3:$AI$3))</f>
        <v>-</v>
      </c>
      <c r="G47" s="28" t="str">
        <f>INDEX(Д4!$E$34:$AI$43,MATCH($D47,Д4!$D$34:$D$43),MATCH(G$7,Д4!$E$3:$AI$3))</f>
        <v>-</v>
      </c>
      <c r="H47" s="28" t="str">
        <f>INDEX(Д4!$E$34:$AI$43,MATCH($D47,Д4!$D$34:$D$43),MATCH(H$7,Д4!$E$3:$AI$3))</f>
        <v>-</v>
      </c>
      <c r="I47" s="28" t="str">
        <f>INDEX(Д4!$E$34:$AI$43,MATCH($D47,Д4!$D$34:$D$43),MATCH(I$7,Д4!$E$3:$AI$3))</f>
        <v>-</v>
      </c>
      <c r="J47" s="28" t="str">
        <f>INDEX(Д4!$E$34:$AI$43,MATCH($D47,Д4!$D$34:$D$43),MATCH(J$7,Д4!$E$3:$AI$3))</f>
        <v>-</v>
      </c>
      <c r="K47" s="28" t="str">
        <f>INDEX(Д4!$E$34:$AI$43,MATCH($D47,Д4!$D$34:$D$43),MATCH(K$7,Д4!$E$3:$AI$3))</f>
        <v>-</v>
      </c>
      <c r="L47" s="28" t="str">
        <f>INDEX(Д4!$E$34:$AI$43,MATCH($D47,Д4!$D$34:$D$43),MATCH(L$7,Д4!$E$3:$AI$3))</f>
        <v>-</v>
      </c>
      <c r="M47" s="28" t="str">
        <f>INDEX(Д4!$E$34:$AI$43,MATCH($D47,Д4!$D$34:$D$43),MATCH(M$7,Д4!$E$3:$AI$3))</f>
        <v>-</v>
      </c>
      <c r="N47" s="28" t="str">
        <f>INDEX(Д4!$E$34:$AI$43,MATCH($D47,Д4!$D$34:$D$43),MATCH(N$7,Д4!$E$3:$AI$3))</f>
        <v>-</v>
      </c>
      <c r="O47" s="28" t="str">
        <f>INDEX(Д4!$E$34:$AI$43,MATCH($D47,Д4!$D$34:$D$43),MATCH(O$7,Д4!$E$3:$AI$3))</f>
        <v>-</v>
      </c>
      <c r="P47" s="28" t="str">
        <f>INDEX(Д4!$E$34:$AI$43,MATCH($D47,Д4!$D$34:$D$43),MATCH(P$7,Д4!$E$3:$AI$3))</f>
        <v>-</v>
      </c>
      <c r="Q47" s="28" t="str">
        <f>INDEX(Д4!$E$34:$AI$43,MATCH($D47,Д4!$D$34:$D$43),MATCH(Q$7,Д4!$E$3:$AI$3))</f>
        <v>-</v>
      </c>
      <c r="R47" s="28" t="str">
        <f>INDEX(Д4!$E$34:$AI$43,MATCH($D47,Д4!$D$34:$D$43),MATCH(R$7,Д4!$E$3:$AI$3))</f>
        <v>-</v>
      </c>
      <c r="S47" s="28" t="str">
        <f>INDEX(Д4!$E$34:$AI$43,MATCH($D47,Д4!$D$34:$D$43),MATCH(S$7,Д4!$E$3:$AI$3))</f>
        <v>-</v>
      </c>
      <c r="T47" s="28" t="str">
        <f>INDEX(Д4!$E$34:$AI$43,MATCH($D47,Д4!$D$34:$D$43),MATCH(T$7,Д4!$E$3:$AI$3))</f>
        <v>-</v>
      </c>
      <c r="U47" s="28" t="str">
        <f>INDEX(Д4!$E$34:$AI$43,MATCH($D47,Д4!$D$34:$D$43),MATCH(U$7,Д4!$E$3:$AI$3))</f>
        <v>-</v>
      </c>
      <c r="V47" s="28" t="str">
        <f>INDEX(Д4!$E$34:$AI$43,MATCH($D47,Д4!$D$34:$D$43),MATCH(V$7,Д4!$E$3:$AI$3))</f>
        <v>-</v>
      </c>
      <c r="W47" s="28" t="str">
        <f>INDEX(Д4!$E$34:$AI$43,MATCH($D47,Д4!$D$34:$D$43),MATCH(W$7,Д4!$E$3:$AI$3))</f>
        <v>-</v>
      </c>
      <c r="X47" s="28" t="str">
        <f>INDEX(Д4!$E$34:$AI$43,MATCH($D47,Д4!$D$34:$D$43),MATCH(X$7,Д4!$E$3:$AI$3))</f>
        <v>-</v>
      </c>
      <c r="Y47" s="28" t="str">
        <f>INDEX(Д4!$E$34:$AI$43,MATCH($D47,Д4!$D$34:$D$43),MATCH(Y$7,Д4!$E$3:$AI$3))</f>
        <v>-</v>
      </c>
      <c r="Z47" s="28" t="str">
        <f>INDEX(Д4!$E$34:$AI$43,MATCH($D47,Д4!$D$34:$D$43),MATCH(Z$7,Д4!$E$3:$AI$3))</f>
        <v>-</v>
      </c>
      <c r="AA47" s="28" t="str">
        <f>INDEX(Д4!$E$34:$AI$43,MATCH($D47,Д4!$D$34:$D$43),MATCH(AA$7,Д4!$E$3:$AI$3))</f>
        <v>-</v>
      </c>
      <c r="AB47" s="28" t="str">
        <f>INDEX(Д4!$E$34:$AI$43,MATCH($D47,Д4!$D$34:$D$43),MATCH(AB$7,Д4!$E$3:$AI$3))</f>
        <v>-</v>
      </c>
      <c r="AC47" s="28" t="str">
        <f>INDEX(Д4!$E$34:$AI$43,MATCH($D47,Д4!$D$34:$D$43),MATCH(AC$7,Д4!$E$3:$AI$3))</f>
        <v>-</v>
      </c>
      <c r="AD47" s="28" t="str">
        <f>INDEX(Д4!$E$34:$AI$43,MATCH($D47,Д4!$D$34:$D$43),MATCH(AD$7,Д4!$E$3:$AI$3))</f>
        <v>-</v>
      </c>
      <c r="AE47" s="28" t="str">
        <f>INDEX(Д4!$E$34:$AI$43,MATCH($D47,Д4!$D$34:$D$43),MATCH(AE$7,Д4!$E$3:$AI$3))</f>
        <v>-</v>
      </c>
      <c r="AF47" s="28" t="str">
        <f>INDEX(Д4!$E$34:$AI$43,MATCH($D47,Д4!$D$34:$D$43),MATCH(AF$7,Д4!$E$3:$AI$3))</f>
        <v>-</v>
      </c>
      <c r="AG47" s="28" t="str">
        <f>INDEX(Д4!$E$34:$AI$43,MATCH($D47,Д4!$D$34:$D$43),MATCH(AG$7,Д4!$E$3:$AI$3))</f>
        <v>-</v>
      </c>
      <c r="AH47" s="28" t="str">
        <f>INDEX(Д4!$E$34:$AI$43,MATCH($D47,Д4!$D$34:$D$43),MATCH(AH$7,Д4!$E$3:$AI$3))</f>
        <v>-</v>
      </c>
      <c r="AI47" s="108"/>
      <c r="AJ47" s="143">
        <f>INDEX(Д4!AK$34:$AK$43,MATCH($C47,Д4!$C$34:$C$43),MATCH(E$7,Д4!$E$3:$AI$3))*AND(MONTH($E$8)=MONTH(Д4!$B$34))</f>
        <v>175</v>
      </c>
      <c r="AK47" s="144">
        <f t="shared" ref="AK47" si="111">SUM(E47:AI48)</f>
        <v>0</v>
      </c>
      <c r="AL47" s="144"/>
      <c r="AM47" s="149">
        <f>SUM(F47:H48,J47:AI48)-AJ47+AL47-12</f>
        <v>-187</v>
      </c>
      <c r="AP47" s="136">
        <f t="shared" ref="AP47" si="112">COUNTIF($E47:$AI48,"12")</f>
        <v>0</v>
      </c>
      <c r="AQ47" s="136">
        <f t="shared" ref="AQ47" si="113">IF(COUNTIF($E47:$AI48,"СП")&gt;=1,(COUNTIF($E47:$AI48,"4")+COUNTIF($E47:$AI48,"8")-1)/2,(COUNTIF($E47:$AI48,"4")+COUNTIF($E47:$AI48,"8"))/2)</f>
        <v>-0.5</v>
      </c>
      <c r="AR47" s="136">
        <f t="shared" si="2"/>
        <v>0</v>
      </c>
      <c r="AS47" s="136">
        <f t="shared" ref="AS47" si="114">IF(COUNTIF($E47:$AI48,"СП")&gt;=1,SUMIF($E47:$AI48,"4",$E47:$AI48)+SUMIF($E47:$AI48,"8",$E47:$AI48)-8,SUMIF($E47:$AI48,"4",$E47:$AI48)+SUMIF($E47:$AI48,"8",$E47:$AI48))</f>
        <v>-8</v>
      </c>
      <c r="AT47" s="136">
        <f t="shared" ref="AT47" si="115">$AR47+$AS47</f>
        <v>-8</v>
      </c>
      <c r="AU47" s="136" t="str">
        <f t="shared" ref="AU47" si="116">IF(AK47=AT47,"+","!")</f>
        <v>!</v>
      </c>
      <c r="AV47" s="136">
        <f t="shared" ref="AV47" si="117">COUNTIF($E47:$AI48,"ОТ")</f>
        <v>0</v>
      </c>
      <c r="AW47" s="137" t="str">
        <f ca="1">IF(COUNTIF($A48:$AI48,"СП")&gt;0,IF(INDIRECT(ADDRESS(ROW(),MATCH("СП",$A48:$AI48),1))=8,"","!"),"")</f>
        <v>!</v>
      </c>
      <c r="AX47" s="137" t="str">
        <f ca="1">IF(COUNTIF($A48:$AI48,"СП")&gt;0,IF(INDIRECT(ADDRESS(ROW(),MATCH("СП",$A48:$AI48)-1,1))=4,"!",""),"")</f>
        <v/>
      </c>
    </row>
    <row r="48" spans="1:50" ht="16.5" thickBot="1" x14ac:dyDescent="0.3">
      <c r="A48" s="148"/>
      <c r="B48" s="140"/>
      <c r="C48" s="171"/>
      <c r="D48" s="50">
        <v>10</v>
      </c>
      <c r="E48" s="63" t="str">
        <f>INDEX(Д4!$E$34:$AI$43,MATCH($D48,Д4!$D$34:$D$43),MATCH(E$7,Д4!$E$3:$AI$3))</f>
        <v/>
      </c>
      <c r="F48" s="29" t="str">
        <f>INDEX(Д4!$E$34:$AI$43,MATCH($D48,Д4!$D$34:$D$43),MATCH(F$7,Д4!$E$3:$AI$3))</f>
        <v/>
      </c>
      <c r="G48" s="29" t="str">
        <f>INDEX(Д4!$E$34:$AI$43,MATCH($D48,Д4!$D$34:$D$43),MATCH(G$7,Д4!$E$3:$AI$3))</f>
        <v/>
      </c>
      <c r="H48" s="29" t="str">
        <f>INDEX(Д4!$E$34:$AI$43,MATCH($D48,Д4!$D$34:$D$43),MATCH(H$7,Д4!$E$3:$AI$3))</f>
        <v/>
      </c>
      <c r="I48" s="29" t="str">
        <f>INDEX(Д4!$E$34:$AI$43,MATCH($D48,Д4!$D$34:$D$43),MATCH(I$7,Д4!$E$3:$AI$3))</f>
        <v/>
      </c>
      <c r="J48" s="29" t="str">
        <f>INDEX(Д4!$E$34:$AI$43,MATCH($D48,Д4!$D$34:$D$43),MATCH(J$7,Д4!$E$3:$AI$3))</f>
        <v/>
      </c>
      <c r="K48" s="29" t="str">
        <f>INDEX(Д4!$E$34:$AI$43,MATCH($D48,Д4!$D$34:$D$43),MATCH(K$7,Д4!$E$3:$AI$3))</f>
        <v/>
      </c>
      <c r="L48" s="29" t="str">
        <f>INDEX(Д4!$E$34:$AI$43,MATCH($D48,Д4!$D$34:$D$43),MATCH(L$7,Д4!$E$3:$AI$3))</f>
        <v>СП</v>
      </c>
      <c r="M48" s="29" t="str">
        <f>INDEX(Д4!$E$34:$AI$43,MATCH($D48,Д4!$D$34:$D$43),MATCH(M$7,Д4!$E$3:$AI$3))</f>
        <v/>
      </c>
      <c r="N48" s="29" t="str">
        <f>INDEX(Д4!$E$34:$AI$43,MATCH($D48,Д4!$D$34:$D$43),MATCH(N$7,Д4!$E$3:$AI$3))</f>
        <v/>
      </c>
      <c r="O48" s="29" t="str">
        <f>INDEX(Д4!$E$34:$AI$43,MATCH($D48,Д4!$D$34:$D$43),MATCH(O$7,Д4!$E$3:$AI$3))</f>
        <v/>
      </c>
      <c r="P48" s="29" t="str">
        <f>INDEX(Д4!$E$34:$AI$43,MATCH($D48,Д4!$D$34:$D$43),MATCH(P$7,Д4!$E$3:$AI$3))</f>
        <v/>
      </c>
      <c r="Q48" s="29" t="str">
        <f>INDEX(Д4!$E$34:$AI$43,MATCH($D48,Д4!$D$34:$D$43),MATCH(Q$7,Д4!$E$3:$AI$3))</f>
        <v/>
      </c>
      <c r="R48" s="29" t="str">
        <f>INDEX(Д4!$E$34:$AI$43,MATCH($D48,Д4!$D$34:$D$43),MATCH(R$7,Д4!$E$3:$AI$3))</f>
        <v/>
      </c>
      <c r="S48" s="29" t="str">
        <f>INDEX(Д4!$E$34:$AI$43,MATCH($D48,Д4!$D$34:$D$43),MATCH(S$7,Д4!$E$3:$AI$3))</f>
        <v/>
      </c>
      <c r="T48" s="29" t="str">
        <f>INDEX(Д4!$E$34:$AI$43,MATCH($D48,Д4!$D$34:$D$43),MATCH(T$7,Д4!$E$3:$AI$3))</f>
        <v/>
      </c>
      <c r="U48" s="29" t="str">
        <f>INDEX(Д4!$E$34:$AI$43,MATCH($D48,Д4!$D$34:$D$43),MATCH(U$7,Д4!$E$3:$AI$3))</f>
        <v/>
      </c>
      <c r="V48" s="29" t="str">
        <f>INDEX(Д4!$E$34:$AI$43,MATCH($D48,Д4!$D$34:$D$43),MATCH(V$7,Д4!$E$3:$AI$3))</f>
        <v/>
      </c>
      <c r="W48" s="29" t="str">
        <f>INDEX(Д4!$E$34:$AI$43,MATCH($D48,Д4!$D$34:$D$43),MATCH(W$7,Д4!$E$3:$AI$3))</f>
        <v/>
      </c>
      <c r="X48" s="29" t="str">
        <f>INDEX(Д4!$E$34:$AI$43,MATCH($D48,Д4!$D$34:$D$43),MATCH(X$7,Д4!$E$3:$AI$3))</f>
        <v/>
      </c>
      <c r="Y48" s="29" t="str">
        <f>INDEX(Д4!$E$34:$AI$43,MATCH($D48,Д4!$D$34:$D$43),MATCH(Y$7,Д4!$E$3:$AI$3))</f>
        <v/>
      </c>
      <c r="Z48" s="29" t="str">
        <f>INDEX(Д4!$E$34:$AI$43,MATCH($D48,Д4!$D$34:$D$43),MATCH(Z$7,Д4!$E$3:$AI$3))</f>
        <v/>
      </c>
      <c r="AA48" s="29" t="str">
        <f>INDEX(Д4!$E$34:$AI$43,MATCH($D48,Д4!$D$34:$D$43),MATCH(AA$7,Д4!$E$3:$AI$3))</f>
        <v/>
      </c>
      <c r="AB48" s="29" t="str">
        <f>INDEX(Д4!$E$34:$AI$43,MATCH($D48,Д4!$D$34:$D$43),MATCH(AB$7,Д4!$E$3:$AI$3))</f>
        <v/>
      </c>
      <c r="AC48" s="29" t="str">
        <f>INDEX(Д4!$E$34:$AI$43,MATCH($D48,Д4!$D$34:$D$43),MATCH(AC$7,Д4!$E$3:$AI$3))</f>
        <v/>
      </c>
      <c r="AD48" s="29" t="str">
        <f>INDEX(Д4!$E$34:$AI$43,MATCH($D48,Д4!$D$34:$D$43),MATCH(AD$7,Д4!$E$3:$AI$3))</f>
        <v/>
      </c>
      <c r="AE48" s="29" t="str">
        <f>INDEX(Д4!$E$34:$AI$43,MATCH($D48,Д4!$D$34:$D$43),MATCH(AE$7,Д4!$E$3:$AI$3))</f>
        <v/>
      </c>
      <c r="AF48" s="29" t="str">
        <f>INDEX(Д4!$E$34:$AI$43,MATCH($D48,Д4!$D$34:$D$43),MATCH(AF$7,Д4!$E$3:$AI$3))</f>
        <v/>
      </c>
      <c r="AG48" s="29" t="str">
        <f>INDEX(Д4!$E$34:$AI$43,MATCH($D48,Д4!$D$34:$D$43),MATCH(AG$7,Д4!$E$3:$AI$3))</f>
        <v/>
      </c>
      <c r="AH48" s="29" t="str">
        <f>INDEX(Д4!$E$34:$AI$43,MATCH($D48,Д4!$D$34:$D$43),MATCH(AH$7,Д4!$E$3:$AI$3))</f>
        <v/>
      </c>
      <c r="AI48" s="94"/>
      <c r="AJ48" s="143"/>
      <c r="AK48" s="145"/>
      <c r="AL48" s="145"/>
      <c r="AM48" s="150"/>
      <c r="AP48" s="136"/>
      <c r="AQ48" s="136"/>
      <c r="AR48" s="136"/>
      <c r="AS48" s="136"/>
      <c r="AT48" s="136"/>
      <c r="AU48" s="136"/>
      <c r="AV48" s="136"/>
      <c r="AW48" s="137"/>
      <c r="AX48" s="137"/>
    </row>
    <row r="49" spans="1:49" x14ac:dyDescent="0.25">
      <c r="AP49" s="5"/>
      <c r="AQ49" s="5"/>
      <c r="AR49" s="5"/>
      <c r="AS49" s="5"/>
      <c r="AT49" s="5"/>
      <c r="AU49" s="5"/>
      <c r="AV49" s="5"/>
      <c r="AW49" s="5"/>
    </row>
    <row r="50" spans="1:49" ht="15.75" x14ac:dyDescent="0.25">
      <c r="B50" s="131" t="s">
        <v>71</v>
      </c>
      <c r="C50" s="132"/>
      <c r="D50" s="165" t="s">
        <v>72</v>
      </c>
      <c r="E50" s="165"/>
      <c r="F50" s="165"/>
      <c r="G50" s="165"/>
      <c r="H50" s="165"/>
      <c r="I50" s="132"/>
      <c r="J50" s="166" t="s">
        <v>73</v>
      </c>
      <c r="K50" s="166"/>
      <c r="L50" s="166"/>
      <c r="M50" s="132"/>
      <c r="N50" s="167" t="s">
        <v>74</v>
      </c>
      <c r="O50" s="167"/>
      <c r="P50" s="167"/>
      <c r="Q50" s="167"/>
      <c r="R50" s="132"/>
      <c r="S50" s="168" t="s">
        <v>75</v>
      </c>
      <c r="T50" s="168"/>
      <c r="U50" s="168"/>
      <c r="V50" s="168"/>
      <c r="W50" s="168"/>
      <c r="X50" s="168"/>
      <c r="Y50" s="168"/>
      <c r="Z50" s="168"/>
      <c r="AA50" s="168"/>
      <c r="AB50" s="168"/>
      <c r="AC50" s="168"/>
      <c r="AD50" s="132"/>
      <c r="AE50" s="169" t="s">
        <v>76</v>
      </c>
      <c r="AF50" s="169"/>
      <c r="AG50" s="169"/>
      <c r="AH50" s="169"/>
      <c r="AI50" s="169"/>
      <c r="AJ50" s="169"/>
      <c r="AK50" s="169"/>
      <c r="AL50" s="132"/>
      <c r="AP50" s="5"/>
      <c r="AQ50" s="5"/>
      <c r="AR50" s="5"/>
      <c r="AS50" s="5"/>
      <c r="AT50" s="5"/>
      <c r="AU50" s="5"/>
      <c r="AV50" s="5"/>
      <c r="AW50" s="5"/>
    </row>
    <row r="51" spans="1:49" ht="15.75" thickBot="1" x14ac:dyDescent="0.3">
      <c r="AP51" s="5"/>
      <c r="AQ51" s="5"/>
      <c r="AR51" s="5"/>
      <c r="AS51" s="5"/>
      <c r="AT51" s="5"/>
      <c r="AU51" s="5"/>
      <c r="AV51" s="5"/>
      <c r="AW51" s="5"/>
    </row>
    <row r="52" spans="1:49" x14ac:dyDescent="0.25">
      <c r="A52" s="138" t="s">
        <v>12</v>
      </c>
      <c r="B52" s="8" t="str">
        <f>$A$9</f>
        <v>Должность1</v>
      </c>
      <c r="C52" s="8"/>
      <c r="D52" s="8"/>
      <c r="E52" s="16" t="str">
        <f ca="1">IF(AND(COUNTIF(E$9:E$18,"12")&gt;=1,COUNTIF(E$9:E$18,"4")&gt;=1,COUNTIF(E$9:E$18,"8")&gt;=1),"","!")</f>
        <v/>
      </c>
      <c r="F52" s="16" t="str">
        <f t="shared" ref="F52:AH52" ca="1" si="118">IF(AND(COUNTIF(F$9:F$18,"12")&gt;=1,COUNTIF(F$9:F$18,"4")&gt;=1,COUNTIF(F$9:F$18,"8")&gt;=1),"","!")</f>
        <v/>
      </c>
      <c r="G52" s="16" t="str">
        <f t="shared" ca="1" si="118"/>
        <v/>
      </c>
      <c r="H52" s="16" t="str">
        <f t="shared" ca="1" si="118"/>
        <v>!</v>
      </c>
      <c r="I52" s="16" t="str">
        <f t="shared" ca="1" si="118"/>
        <v/>
      </c>
      <c r="J52" s="16" t="str">
        <f t="shared" ca="1" si="118"/>
        <v>!</v>
      </c>
      <c r="K52" s="16" t="str">
        <f t="shared" ca="1" si="118"/>
        <v/>
      </c>
      <c r="L52" s="16" t="str">
        <f t="shared" ca="1" si="118"/>
        <v/>
      </c>
      <c r="M52" s="16" t="str">
        <f t="shared" ca="1" si="118"/>
        <v/>
      </c>
      <c r="N52" s="16" t="str">
        <f t="shared" ca="1" si="118"/>
        <v/>
      </c>
      <c r="O52" s="16" t="str">
        <f t="shared" ca="1" si="118"/>
        <v/>
      </c>
      <c r="P52" s="16" t="str">
        <f t="shared" ca="1" si="118"/>
        <v/>
      </c>
      <c r="Q52" s="16" t="str">
        <f t="shared" ca="1" si="118"/>
        <v/>
      </c>
      <c r="R52" s="16" t="str">
        <f t="shared" ca="1" si="118"/>
        <v/>
      </c>
      <c r="S52" s="16" t="str">
        <f t="shared" ca="1" si="118"/>
        <v/>
      </c>
      <c r="T52" s="16" t="str">
        <f t="shared" ca="1" si="118"/>
        <v/>
      </c>
      <c r="U52" s="16" t="str">
        <f t="shared" ca="1" si="118"/>
        <v/>
      </c>
      <c r="V52" s="16" t="str">
        <f t="shared" ca="1" si="118"/>
        <v/>
      </c>
      <c r="W52" s="16" t="str">
        <f t="shared" ca="1" si="118"/>
        <v/>
      </c>
      <c r="X52" s="16" t="str">
        <f t="shared" ca="1" si="118"/>
        <v/>
      </c>
      <c r="Y52" s="16" t="str">
        <f t="shared" ca="1" si="118"/>
        <v/>
      </c>
      <c r="Z52" s="16" t="str">
        <f t="shared" ca="1" si="118"/>
        <v/>
      </c>
      <c r="AA52" s="16" t="str">
        <f t="shared" ca="1" si="118"/>
        <v/>
      </c>
      <c r="AB52" s="16" t="str">
        <f t="shared" ca="1" si="118"/>
        <v/>
      </c>
      <c r="AC52" s="16" t="str">
        <f t="shared" ca="1" si="118"/>
        <v/>
      </c>
      <c r="AD52" s="16" t="str">
        <f t="shared" ca="1" si="118"/>
        <v/>
      </c>
      <c r="AE52" s="16" t="str">
        <f t="shared" ca="1" si="118"/>
        <v/>
      </c>
      <c r="AF52" s="16" t="str">
        <f t="shared" ca="1" si="118"/>
        <v/>
      </c>
      <c r="AG52" s="16" t="str">
        <f t="shared" ca="1" si="118"/>
        <v/>
      </c>
      <c r="AH52" s="16" t="str">
        <f t="shared" ca="1" si="118"/>
        <v/>
      </c>
      <c r="AI52" s="16" t="str">
        <f>IF(AND(COUNTIF(AI$9:AI$18,"12")&gt;=1,COUNTIF(AI$9:AI$18,"4")&gt;=1,COUNTIF(AI$9:AI$18,"8")&gt;=1),"","!")</f>
        <v>!</v>
      </c>
      <c r="AP52" s="5"/>
      <c r="AQ52" s="5"/>
      <c r="AR52" s="5"/>
      <c r="AS52" s="5"/>
      <c r="AT52" s="5"/>
      <c r="AU52" s="5"/>
      <c r="AV52" s="5"/>
      <c r="AW52" s="5"/>
    </row>
    <row r="53" spans="1:49" x14ac:dyDescent="0.25">
      <c r="A53" s="134"/>
      <c r="B53" t="str">
        <f>$A$19</f>
        <v>Должность2</v>
      </c>
      <c r="E53" s="5" t="str">
        <f ca="1">IF(AND(COUNTIF(E$19:E$28,"12")&gt;=1,COUNTIF(E$19:E$28,"4")&gt;=1,COUNTIF(E$19:E$28,"8")&gt;=1),"","!")</f>
        <v/>
      </c>
      <c r="F53" s="5" t="str">
        <f t="shared" ref="F53:AI53" ca="1" si="119">IF(AND(COUNTIF(F$19:F$28,"12")&gt;=1,COUNTIF(F$19:F$28,"4")&gt;=1,COUNTIF(F$19:F$28,"8")&gt;=1),"","!")</f>
        <v/>
      </c>
      <c r="G53" s="5" t="str">
        <f t="shared" ca="1" si="119"/>
        <v/>
      </c>
      <c r="H53" s="5" t="str">
        <f t="shared" ca="1" si="119"/>
        <v>!</v>
      </c>
      <c r="I53" s="5" t="str">
        <f t="shared" ca="1" si="119"/>
        <v/>
      </c>
      <c r="J53" s="5" t="str">
        <f t="shared" ca="1" si="119"/>
        <v>!</v>
      </c>
      <c r="K53" s="5" t="str">
        <f t="shared" ca="1" si="119"/>
        <v/>
      </c>
      <c r="L53" s="5" t="str">
        <f t="shared" ca="1" si="119"/>
        <v/>
      </c>
      <c r="M53" s="5" t="str">
        <f t="shared" ca="1" si="119"/>
        <v/>
      </c>
      <c r="N53" s="5" t="str">
        <f t="shared" ca="1" si="119"/>
        <v/>
      </c>
      <c r="O53" s="5" t="str">
        <f t="shared" ca="1" si="119"/>
        <v/>
      </c>
      <c r="P53" s="5" t="str">
        <f t="shared" ca="1" si="119"/>
        <v/>
      </c>
      <c r="Q53" s="5" t="str">
        <f t="shared" ca="1" si="119"/>
        <v/>
      </c>
      <c r="R53" s="5" t="str">
        <f t="shared" ca="1" si="119"/>
        <v/>
      </c>
      <c r="S53" s="5" t="str">
        <f t="shared" ca="1" si="119"/>
        <v/>
      </c>
      <c r="T53" s="5" t="str">
        <f t="shared" ca="1" si="119"/>
        <v/>
      </c>
      <c r="U53" s="5" t="str">
        <f t="shared" ca="1" si="119"/>
        <v/>
      </c>
      <c r="V53" s="5" t="str">
        <f t="shared" ca="1" si="119"/>
        <v/>
      </c>
      <c r="W53" s="5" t="str">
        <f t="shared" ca="1" si="119"/>
        <v/>
      </c>
      <c r="X53" s="5" t="str">
        <f t="shared" ca="1" si="119"/>
        <v/>
      </c>
      <c r="Y53" s="5" t="str">
        <f t="shared" ca="1" si="119"/>
        <v/>
      </c>
      <c r="Z53" s="5" t="str">
        <f t="shared" ca="1" si="119"/>
        <v/>
      </c>
      <c r="AA53" s="5" t="str">
        <f t="shared" ca="1" si="119"/>
        <v/>
      </c>
      <c r="AB53" s="5" t="str">
        <f t="shared" ca="1" si="119"/>
        <v/>
      </c>
      <c r="AC53" s="5" t="str">
        <f t="shared" ca="1" si="119"/>
        <v/>
      </c>
      <c r="AD53" s="5" t="str">
        <f t="shared" ca="1" si="119"/>
        <v/>
      </c>
      <c r="AE53" s="5" t="str">
        <f t="shared" ca="1" si="119"/>
        <v/>
      </c>
      <c r="AF53" s="5" t="str">
        <f t="shared" ca="1" si="119"/>
        <v/>
      </c>
      <c r="AG53" s="5" t="str">
        <f t="shared" ca="1" si="119"/>
        <v/>
      </c>
      <c r="AH53" s="5" t="str">
        <f t="shared" ca="1" si="119"/>
        <v/>
      </c>
      <c r="AI53" s="5" t="str">
        <f t="shared" si="119"/>
        <v>!</v>
      </c>
      <c r="AP53" s="5"/>
      <c r="AQ53" s="5"/>
      <c r="AR53" s="5"/>
      <c r="AS53" s="5"/>
      <c r="AT53" s="5"/>
      <c r="AU53" s="5"/>
      <c r="AV53" s="5"/>
      <c r="AW53" s="5"/>
    </row>
    <row r="54" spans="1:49" x14ac:dyDescent="0.25">
      <c r="A54" s="134"/>
      <c r="B54" t="str">
        <f>$A$29</f>
        <v>Должность3</v>
      </c>
      <c r="E54" s="5" t="str">
        <f ca="1">IF(AND(COUNTIF(E$29:E$38,"12")&gt;=1,COUNTIF(E$29:E$38,"4")&gt;=1,COUNTIF(E$29:E$38,"8")&gt;=1),"","!")</f>
        <v/>
      </c>
      <c r="F54" s="5" t="str">
        <f t="shared" ref="F54:AI54" ca="1" si="120">IF(AND(COUNTIF(F$29:F$38,"12")&gt;=1,COUNTIF(F$29:F$38,"4")&gt;=1,COUNTIF(F$29:F$38,"8")&gt;=1),"","!")</f>
        <v/>
      </c>
      <c r="G54" s="5" t="str">
        <f t="shared" ca="1" si="120"/>
        <v/>
      </c>
      <c r="H54" s="5" t="str">
        <f t="shared" ca="1" si="120"/>
        <v>!</v>
      </c>
      <c r="I54" s="5" t="str">
        <f t="shared" ca="1" si="120"/>
        <v/>
      </c>
      <c r="J54" s="5" t="str">
        <f t="shared" ca="1" si="120"/>
        <v>!</v>
      </c>
      <c r="K54" s="5" t="str">
        <f t="shared" ca="1" si="120"/>
        <v/>
      </c>
      <c r="L54" s="5" t="str">
        <f t="shared" ca="1" si="120"/>
        <v/>
      </c>
      <c r="M54" s="5" t="str">
        <f t="shared" ca="1" si="120"/>
        <v/>
      </c>
      <c r="N54" s="5" t="str">
        <f t="shared" ca="1" si="120"/>
        <v/>
      </c>
      <c r="O54" s="5" t="str">
        <f t="shared" ca="1" si="120"/>
        <v/>
      </c>
      <c r="P54" s="5" t="str">
        <f t="shared" ca="1" si="120"/>
        <v/>
      </c>
      <c r="Q54" s="5" t="str">
        <f t="shared" ca="1" si="120"/>
        <v/>
      </c>
      <c r="R54" s="5" t="str">
        <f t="shared" ca="1" si="120"/>
        <v/>
      </c>
      <c r="S54" s="5" t="str">
        <f t="shared" ca="1" si="120"/>
        <v/>
      </c>
      <c r="T54" s="5" t="str">
        <f t="shared" ca="1" si="120"/>
        <v/>
      </c>
      <c r="U54" s="5" t="str">
        <f t="shared" ca="1" si="120"/>
        <v/>
      </c>
      <c r="V54" s="5" t="str">
        <f t="shared" ca="1" si="120"/>
        <v/>
      </c>
      <c r="W54" s="5" t="str">
        <f t="shared" ca="1" si="120"/>
        <v/>
      </c>
      <c r="X54" s="5" t="str">
        <f t="shared" ca="1" si="120"/>
        <v/>
      </c>
      <c r="Y54" s="5" t="str">
        <f t="shared" ca="1" si="120"/>
        <v/>
      </c>
      <c r="Z54" s="5" t="str">
        <f t="shared" ca="1" si="120"/>
        <v/>
      </c>
      <c r="AA54" s="5" t="str">
        <f t="shared" ca="1" si="120"/>
        <v/>
      </c>
      <c r="AB54" s="5" t="str">
        <f t="shared" ca="1" si="120"/>
        <v/>
      </c>
      <c r="AC54" s="5" t="str">
        <f t="shared" ca="1" si="120"/>
        <v/>
      </c>
      <c r="AD54" s="5" t="str">
        <f t="shared" ca="1" si="120"/>
        <v/>
      </c>
      <c r="AE54" s="5" t="str">
        <f t="shared" ca="1" si="120"/>
        <v/>
      </c>
      <c r="AF54" s="5" t="str">
        <f t="shared" ca="1" si="120"/>
        <v/>
      </c>
      <c r="AG54" s="5" t="str">
        <f t="shared" ca="1" si="120"/>
        <v/>
      </c>
      <c r="AH54" s="5" t="str">
        <f t="shared" ca="1" si="120"/>
        <v/>
      </c>
      <c r="AI54" s="5" t="str">
        <f t="shared" si="120"/>
        <v>!</v>
      </c>
      <c r="AP54" s="5"/>
      <c r="AQ54" s="5"/>
      <c r="AR54" s="5"/>
      <c r="AS54" s="5"/>
      <c r="AT54" s="5"/>
      <c r="AU54" s="5"/>
      <c r="AV54" s="5"/>
      <c r="AW54" s="5"/>
    </row>
    <row r="55" spans="1:49" x14ac:dyDescent="0.25">
      <c r="A55" s="134"/>
      <c r="B55" t="str">
        <f>$A$39</f>
        <v>Должность4</v>
      </c>
      <c r="E55" s="5" t="str">
        <f ca="1">IF(AND(COUNTIF(E$39:E$48,"12")&gt;=1,COUNTIF(E$39:E$48,"4")&gt;=1,COUNTIF(E$39:E$48,"8")&gt;=1),"","!")</f>
        <v/>
      </c>
      <c r="F55" s="5" t="str">
        <f t="shared" ref="F55:AI55" ca="1" si="121">IF(AND(COUNTIF(F$39:F$48,"12")&gt;=1,COUNTIF(F$39:F$48,"4")&gt;=1,COUNTIF(F$39:F$48,"8")&gt;=1),"","!")</f>
        <v/>
      </c>
      <c r="G55" s="5" t="str">
        <f t="shared" ca="1" si="121"/>
        <v/>
      </c>
      <c r="H55" s="5" t="str">
        <f t="shared" ca="1" si="121"/>
        <v>!</v>
      </c>
      <c r="I55" s="5" t="str">
        <f t="shared" ca="1" si="121"/>
        <v/>
      </c>
      <c r="J55" s="5" t="str">
        <f t="shared" ca="1" si="121"/>
        <v>!</v>
      </c>
      <c r="K55" s="5" t="str">
        <f t="shared" ca="1" si="121"/>
        <v/>
      </c>
      <c r="L55" s="5" t="str">
        <f t="shared" ca="1" si="121"/>
        <v/>
      </c>
      <c r="M55" s="5" t="str">
        <f t="shared" ca="1" si="121"/>
        <v/>
      </c>
      <c r="N55" s="5" t="str">
        <f t="shared" ca="1" si="121"/>
        <v/>
      </c>
      <c r="O55" s="5" t="str">
        <f t="shared" ca="1" si="121"/>
        <v/>
      </c>
      <c r="P55" s="5" t="str">
        <f t="shared" ca="1" si="121"/>
        <v/>
      </c>
      <c r="Q55" s="5" t="str">
        <f t="shared" ca="1" si="121"/>
        <v/>
      </c>
      <c r="R55" s="5" t="str">
        <f t="shared" ca="1" si="121"/>
        <v/>
      </c>
      <c r="S55" s="5" t="str">
        <f t="shared" ca="1" si="121"/>
        <v/>
      </c>
      <c r="T55" s="5" t="str">
        <f t="shared" ca="1" si="121"/>
        <v/>
      </c>
      <c r="U55" s="5" t="str">
        <f t="shared" ca="1" si="121"/>
        <v/>
      </c>
      <c r="V55" s="5" t="str">
        <f t="shared" ca="1" si="121"/>
        <v/>
      </c>
      <c r="W55" s="5" t="str">
        <f t="shared" ca="1" si="121"/>
        <v/>
      </c>
      <c r="X55" s="5" t="str">
        <f t="shared" ca="1" si="121"/>
        <v/>
      </c>
      <c r="Y55" s="5" t="str">
        <f t="shared" ca="1" si="121"/>
        <v/>
      </c>
      <c r="Z55" s="5" t="str">
        <f t="shared" ca="1" si="121"/>
        <v/>
      </c>
      <c r="AA55" s="5" t="str">
        <f t="shared" ca="1" si="121"/>
        <v/>
      </c>
      <c r="AB55" s="5" t="str">
        <f t="shared" ca="1" si="121"/>
        <v/>
      </c>
      <c r="AC55" s="5" t="str">
        <f t="shared" ca="1" si="121"/>
        <v/>
      </c>
      <c r="AD55" s="5" t="str">
        <f t="shared" ca="1" si="121"/>
        <v/>
      </c>
      <c r="AE55" s="5" t="str">
        <f t="shared" ca="1" si="121"/>
        <v/>
      </c>
      <c r="AF55" s="5" t="str">
        <f t="shared" ca="1" si="121"/>
        <v/>
      </c>
      <c r="AG55" s="5" t="str">
        <f t="shared" ca="1" si="121"/>
        <v/>
      </c>
      <c r="AH55" s="5" t="str">
        <f t="shared" ca="1" si="121"/>
        <v/>
      </c>
      <c r="AI55" s="5" t="str">
        <f t="shared" si="121"/>
        <v>!</v>
      </c>
      <c r="AP55" s="5"/>
      <c r="AQ55" s="5"/>
      <c r="AR55" s="5"/>
      <c r="AS55" s="5"/>
      <c r="AT55" s="5"/>
      <c r="AU55" s="5"/>
      <c r="AV55" s="5"/>
      <c r="AW55" s="5"/>
    </row>
    <row r="56" spans="1:49" ht="5.45" customHeight="1" x14ac:dyDescent="0.25">
      <c r="A56" s="10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7"/>
      <c r="AI56" s="17"/>
      <c r="AP56" s="5"/>
      <c r="AQ56" s="5"/>
      <c r="AR56" s="5"/>
      <c r="AS56" s="5"/>
      <c r="AT56" s="5"/>
      <c r="AU56" s="5"/>
      <c r="AV56" s="5"/>
      <c r="AW56" s="5"/>
    </row>
    <row r="57" spans="1:49" x14ac:dyDescent="0.25">
      <c r="A57" s="134" t="s">
        <v>10</v>
      </c>
      <c r="B57" t="str">
        <f>$A$9</f>
        <v>Должность1</v>
      </c>
      <c r="E57" s="5" t="str">
        <f ca="1">IF(COUNTIF(E$9:E$18,"12")&gt;1,CONCATENATE("12*",COUNTIF(E$9:E$18,"12")),IF(COUNTIF(E$9:E$18,"4")&gt;1,CONCATENATE("4*",COUNTIF(E$9:E$18,"4")),IF(COUNTIF(E$9:E$18,"8")&gt;1,CONCATENATE("8*",COUNTIF(E$9:E$18,"8")),"")))</f>
        <v/>
      </c>
      <c r="F57" s="5" t="str">
        <f t="shared" ref="F57:AH57" ca="1" si="122">IF(COUNTIF(F$9:F$18,"12")&gt;1,CONCATENATE("12*",COUNTIF(F$9:F$18,"12")),IF(COUNTIF(F$9:F$18,"4")&gt;1,CONCATENATE("4*",COUNTIF(F$9:F$18,"4")),IF(COUNTIF(F$9:F$18,"8")&gt;1,CONCATENATE("8*",COUNTIF(F$9:F$18,"8")),"")))</f>
        <v/>
      </c>
      <c r="G57" s="5" t="str">
        <f t="shared" ca="1" si="122"/>
        <v/>
      </c>
      <c r="H57" s="5" t="str">
        <f t="shared" ca="1" si="122"/>
        <v>8*2</v>
      </c>
      <c r="I57" s="5" t="str">
        <f t="shared" ca="1" si="122"/>
        <v>8*2</v>
      </c>
      <c r="J57" s="5" t="str">
        <f t="shared" ca="1" si="122"/>
        <v>8*2</v>
      </c>
      <c r="K57" s="5" t="str">
        <f t="shared" ca="1" si="122"/>
        <v/>
      </c>
      <c r="L57" s="5" t="str">
        <f t="shared" ca="1" si="122"/>
        <v/>
      </c>
      <c r="M57" s="5" t="str">
        <f t="shared" ca="1" si="122"/>
        <v/>
      </c>
      <c r="N57" s="5" t="str">
        <f t="shared" ca="1" si="122"/>
        <v/>
      </c>
      <c r="O57" s="5" t="str">
        <f t="shared" ca="1" si="122"/>
        <v/>
      </c>
      <c r="P57" s="5" t="str">
        <f t="shared" ca="1" si="122"/>
        <v/>
      </c>
      <c r="Q57" s="5" t="str">
        <f t="shared" ca="1" si="122"/>
        <v/>
      </c>
      <c r="R57" s="5" t="str">
        <f t="shared" ca="1" si="122"/>
        <v/>
      </c>
      <c r="S57" s="5" t="str">
        <f t="shared" ca="1" si="122"/>
        <v/>
      </c>
      <c r="T57" s="5" t="str">
        <f t="shared" ca="1" si="122"/>
        <v/>
      </c>
      <c r="U57" s="5" t="str">
        <f t="shared" ca="1" si="122"/>
        <v/>
      </c>
      <c r="V57" s="5" t="str">
        <f t="shared" ca="1" si="122"/>
        <v/>
      </c>
      <c r="W57" s="5" t="str">
        <f t="shared" ca="1" si="122"/>
        <v/>
      </c>
      <c r="X57" s="5" t="str">
        <f t="shared" ca="1" si="122"/>
        <v/>
      </c>
      <c r="Y57" s="5" t="str">
        <f t="shared" ca="1" si="122"/>
        <v/>
      </c>
      <c r="Z57" s="5" t="str">
        <f t="shared" ca="1" si="122"/>
        <v/>
      </c>
      <c r="AA57" s="5" t="str">
        <f t="shared" ca="1" si="122"/>
        <v/>
      </c>
      <c r="AB57" s="5" t="str">
        <f t="shared" ca="1" si="122"/>
        <v/>
      </c>
      <c r="AC57" s="5" t="str">
        <f t="shared" ca="1" si="122"/>
        <v/>
      </c>
      <c r="AD57" s="5" t="str">
        <f t="shared" ca="1" si="122"/>
        <v/>
      </c>
      <c r="AE57" s="5" t="str">
        <f t="shared" ca="1" si="122"/>
        <v/>
      </c>
      <c r="AF57" s="5" t="str">
        <f t="shared" ca="1" si="122"/>
        <v/>
      </c>
      <c r="AG57" s="5" t="str">
        <f t="shared" ca="1" si="122"/>
        <v/>
      </c>
      <c r="AH57" s="5" t="str">
        <f t="shared" ca="1" si="122"/>
        <v/>
      </c>
      <c r="AI57" s="5" t="str">
        <f>IF(COUNTIF(AI$9:AI$18,"12")&gt;1,CONCATENATE("12*",COUNTIF(AI$9:AI$18,"12")),IF(COUNTIF(AI$9:AI$18,"4")&gt;1,CONCATENATE("4*",COUNTIF(AI$9:AI$18,"4")),IF(COUNTIF(AI$9:AI$18,"8")&gt;1,CONCATENATE("8*",COUNTIF(AI$9:AI$18,"8")),"")))</f>
        <v/>
      </c>
    </row>
    <row r="58" spans="1:49" x14ac:dyDescent="0.25">
      <c r="A58" s="134"/>
      <c r="B58" t="str">
        <f>$A$19</f>
        <v>Должность2</v>
      </c>
      <c r="E58" s="5" t="str">
        <f ca="1">IF(COUNTIF(E$19:E$28,"12")&gt;1,CONCATENATE("12*",COUNTIF(E$19:E$28,"12")),IF(COUNTIF(E$19:E$28,"4")&gt;1,CONCATENATE("4*",COUNTIF(E$19:E$28,"4")),IF(COUNTIF(E$19:E$28,"8")&gt;1,CONCATENATE("8*",COUNTIF(E$19:E$28,"8")),"")))</f>
        <v/>
      </c>
      <c r="F58" s="5" t="str">
        <f t="shared" ref="F58:AI58" ca="1" si="123">IF(COUNTIF(F$19:F$28,"12")&gt;1,CONCATENATE("12*",COUNTIF(F$19:F$28,"12")),IF(COUNTIF(F$19:F$28,"4")&gt;1,CONCATENATE("4*",COUNTIF(F$19:F$28,"4")),IF(COUNTIF(F$19:F$28,"8")&gt;1,CONCATENATE("8*",COUNTIF(F$19:F$28,"8")),"")))</f>
        <v/>
      </c>
      <c r="G58" s="5" t="str">
        <f t="shared" ca="1" si="123"/>
        <v/>
      </c>
      <c r="H58" s="5" t="str">
        <f t="shared" ca="1" si="123"/>
        <v>8*2</v>
      </c>
      <c r="I58" s="5" t="str">
        <f t="shared" ca="1" si="123"/>
        <v>8*2</v>
      </c>
      <c r="J58" s="5" t="str">
        <f t="shared" ca="1" si="123"/>
        <v>8*2</v>
      </c>
      <c r="K58" s="5" t="str">
        <f t="shared" ca="1" si="123"/>
        <v/>
      </c>
      <c r="L58" s="5" t="str">
        <f t="shared" ca="1" si="123"/>
        <v/>
      </c>
      <c r="M58" s="5" t="str">
        <f t="shared" ca="1" si="123"/>
        <v/>
      </c>
      <c r="N58" s="5" t="str">
        <f t="shared" ca="1" si="123"/>
        <v/>
      </c>
      <c r="O58" s="5" t="str">
        <f t="shared" ca="1" si="123"/>
        <v/>
      </c>
      <c r="P58" s="5" t="str">
        <f t="shared" ca="1" si="123"/>
        <v/>
      </c>
      <c r="Q58" s="5" t="str">
        <f t="shared" ca="1" si="123"/>
        <v/>
      </c>
      <c r="R58" s="5" t="str">
        <f t="shared" ca="1" si="123"/>
        <v/>
      </c>
      <c r="S58" s="5" t="str">
        <f t="shared" ca="1" si="123"/>
        <v/>
      </c>
      <c r="T58" s="5" t="str">
        <f t="shared" ca="1" si="123"/>
        <v/>
      </c>
      <c r="U58" s="5" t="str">
        <f t="shared" ca="1" si="123"/>
        <v/>
      </c>
      <c r="V58" s="5" t="str">
        <f t="shared" ca="1" si="123"/>
        <v/>
      </c>
      <c r="W58" s="5" t="str">
        <f t="shared" ca="1" si="123"/>
        <v/>
      </c>
      <c r="X58" s="5" t="str">
        <f t="shared" ca="1" si="123"/>
        <v/>
      </c>
      <c r="Y58" s="5" t="str">
        <f t="shared" ca="1" si="123"/>
        <v/>
      </c>
      <c r="Z58" s="5" t="str">
        <f t="shared" ca="1" si="123"/>
        <v/>
      </c>
      <c r="AA58" s="5" t="str">
        <f t="shared" ca="1" si="123"/>
        <v/>
      </c>
      <c r="AB58" s="5" t="str">
        <f t="shared" ca="1" si="123"/>
        <v/>
      </c>
      <c r="AC58" s="5" t="str">
        <f t="shared" ca="1" si="123"/>
        <v/>
      </c>
      <c r="AD58" s="5" t="str">
        <f t="shared" ca="1" si="123"/>
        <v/>
      </c>
      <c r="AE58" s="5" t="str">
        <f t="shared" ca="1" si="123"/>
        <v/>
      </c>
      <c r="AF58" s="5" t="str">
        <f t="shared" ca="1" si="123"/>
        <v/>
      </c>
      <c r="AG58" s="5" t="str">
        <f t="shared" ca="1" si="123"/>
        <v/>
      </c>
      <c r="AH58" s="5" t="str">
        <f t="shared" ca="1" si="123"/>
        <v/>
      </c>
      <c r="AI58" s="5" t="str">
        <f t="shared" si="123"/>
        <v/>
      </c>
    </row>
    <row r="59" spans="1:49" x14ac:dyDescent="0.25">
      <c r="A59" s="134"/>
      <c r="B59" t="str">
        <f>$A$29</f>
        <v>Должность3</v>
      </c>
      <c r="E59" s="5" t="str">
        <f ca="1">IF(COUNTIF(E$29:E$38,"12")&gt;1,CONCATENATE("12*",COUNTIF(E$29:E$38,"12")),IF(COUNTIF(E$29:E$38,"4")&gt;1,CONCATENATE("4*",COUNTIF(E$29:E$38,"4")),IF(COUNTIF(E$29:E$38,"8")&gt;1,CONCATENATE("8*",COUNTIF(E$29:E$38,"8")),"")))</f>
        <v/>
      </c>
      <c r="F59" s="5" t="str">
        <f t="shared" ref="F59:AI59" ca="1" si="124">IF(COUNTIF(F$29:F$38,"12")&gt;1,CONCATENATE("12*",COUNTIF(F$29:F$38,"12")),IF(COUNTIF(F$29:F$38,"4")&gt;1,CONCATENATE("4*",COUNTIF(F$29:F$38,"4")),IF(COUNTIF(F$29:F$38,"8")&gt;1,CONCATENATE("8*",COUNTIF(F$29:F$38,"8")),"")))</f>
        <v/>
      </c>
      <c r="G59" s="5" t="str">
        <f t="shared" ca="1" si="124"/>
        <v/>
      </c>
      <c r="H59" s="5" t="str">
        <f t="shared" ca="1" si="124"/>
        <v>8*2</v>
      </c>
      <c r="I59" s="5" t="str">
        <f t="shared" ca="1" si="124"/>
        <v>8*2</v>
      </c>
      <c r="J59" s="5" t="str">
        <f t="shared" ca="1" si="124"/>
        <v>8*2</v>
      </c>
      <c r="K59" s="5" t="str">
        <f t="shared" ca="1" si="124"/>
        <v/>
      </c>
      <c r="L59" s="5" t="str">
        <f t="shared" ca="1" si="124"/>
        <v/>
      </c>
      <c r="M59" s="5" t="str">
        <f t="shared" ca="1" si="124"/>
        <v/>
      </c>
      <c r="N59" s="5" t="str">
        <f t="shared" ca="1" si="124"/>
        <v/>
      </c>
      <c r="O59" s="5" t="str">
        <f t="shared" ca="1" si="124"/>
        <v/>
      </c>
      <c r="P59" s="5" t="str">
        <f t="shared" ca="1" si="124"/>
        <v/>
      </c>
      <c r="Q59" s="5" t="str">
        <f t="shared" ca="1" si="124"/>
        <v/>
      </c>
      <c r="R59" s="5" t="str">
        <f t="shared" ca="1" si="124"/>
        <v/>
      </c>
      <c r="S59" s="5" t="str">
        <f t="shared" ca="1" si="124"/>
        <v/>
      </c>
      <c r="T59" s="5" t="str">
        <f t="shared" ca="1" si="124"/>
        <v/>
      </c>
      <c r="U59" s="5" t="str">
        <f t="shared" ca="1" si="124"/>
        <v/>
      </c>
      <c r="V59" s="5" t="str">
        <f t="shared" ca="1" si="124"/>
        <v/>
      </c>
      <c r="W59" s="5" t="str">
        <f t="shared" ca="1" si="124"/>
        <v/>
      </c>
      <c r="X59" s="5" t="str">
        <f t="shared" ca="1" si="124"/>
        <v/>
      </c>
      <c r="Y59" s="5" t="str">
        <f t="shared" ca="1" si="124"/>
        <v/>
      </c>
      <c r="Z59" s="5" t="str">
        <f t="shared" ca="1" si="124"/>
        <v/>
      </c>
      <c r="AA59" s="5" t="str">
        <f t="shared" ca="1" si="124"/>
        <v/>
      </c>
      <c r="AB59" s="5" t="str">
        <f t="shared" ca="1" si="124"/>
        <v/>
      </c>
      <c r="AC59" s="5" t="str">
        <f t="shared" ca="1" si="124"/>
        <v/>
      </c>
      <c r="AD59" s="5" t="str">
        <f t="shared" ca="1" si="124"/>
        <v/>
      </c>
      <c r="AE59" s="5" t="str">
        <f t="shared" ca="1" si="124"/>
        <v/>
      </c>
      <c r="AF59" s="5" t="str">
        <f t="shared" ca="1" si="124"/>
        <v/>
      </c>
      <c r="AG59" s="5" t="str">
        <f t="shared" ca="1" si="124"/>
        <v/>
      </c>
      <c r="AH59" s="5" t="str">
        <f t="shared" ca="1" si="124"/>
        <v/>
      </c>
      <c r="AI59" s="5" t="str">
        <f t="shared" si="124"/>
        <v/>
      </c>
    </row>
    <row r="60" spans="1:49" ht="15.75" thickBot="1" x14ac:dyDescent="0.3">
      <c r="A60" s="135"/>
      <c r="B60" s="9" t="str">
        <f>$A$39</f>
        <v>Должность4</v>
      </c>
      <c r="C60" s="9"/>
      <c r="D60" s="9"/>
      <c r="E60" s="18" t="str">
        <f ca="1">IF(COUNTIF(E$39:E$48,"12")&gt;1,CONCATENATE("12*",COUNTIF(E$39:E$48,"12")),IF(COUNTIF(E$39:E$48,"4")&gt;1,CONCATENATE("4*",COUNTIF(E$39:E$48,"4")),IF(COUNTIF(E$39:E$48,"8")&gt;1,CONCATENATE("8*",COUNTIF(E$39:E$48,"8")),"")))</f>
        <v/>
      </c>
      <c r="F60" s="18" t="str">
        <f t="shared" ref="F60:AI60" ca="1" si="125">IF(COUNTIF(F$39:F$48,"12")&gt;1,CONCATENATE("12*",COUNTIF(F$39:F$48,"12")),IF(COUNTIF(F$39:F$48,"4")&gt;1,CONCATENATE("4*",COUNTIF(F$39:F$48,"4")),IF(COUNTIF(F$39:F$48,"8")&gt;1,CONCATENATE("8*",COUNTIF(F$39:F$48,"8")),"")))</f>
        <v/>
      </c>
      <c r="G60" s="18" t="str">
        <f t="shared" ca="1" si="125"/>
        <v/>
      </c>
      <c r="H60" s="18" t="str">
        <f t="shared" ca="1" si="125"/>
        <v>8*2</v>
      </c>
      <c r="I60" s="18" t="str">
        <f t="shared" ca="1" si="125"/>
        <v>8*2</v>
      </c>
      <c r="J60" s="18" t="str">
        <f t="shared" ca="1" si="125"/>
        <v>8*2</v>
      </c>
      <c r="K60" s="18" t="str">
        <f t="shared" ca="1" si="125"/>
        <v/>
      </c>
      <c r="L60" s="18" t="str">
        <f t="shared" ca="1" si="125"/>
        <v/>
      </c>
      <c r="M60" s="18" t="str">
        <f t="shared" ca="1" si="125"/>
        <v/>
      </c>
      <c r="N60" s="18" t="str">
        <f t="shared" ca="1" si="125"/>
        <v/>
      </c>
      <c r="O60" s="18" t="str">
        <f t="shared" ca="1" si="125"/>
        <v/>
      </c>
      <c r="P60" s="18" t="str">
        <f t="shared" ca="1" si="125"/>
        <v/>
      </c>
      <c r="Q60" s="18" t="str">
        <f t="shared" ca="1" si="125"/>
        <v/>
      </c>
      <c r="R60" s="18" t="str">
        <f t="shared" ca="1" si="125"/>
        <v/>
      </c>
      <c r="S60" s="18" t="str">
        <f t="shared" ca="1" si="125"/>
        <v/>
      </c>
      <c r="T60" s="18" t="str">
        <f t="shared" ca="1" si="125"/>
        <v/>
      </c>
      <c r="U60" s="18" t="str">
        <f t="shared" ca="1" si="125"/>
        <v/>
      </c>
      <c r="V60" s="18" t="str">
        <f t="shared" ca="1" si="125"/>
        <v/>
      </c>
      <c r="W60" s="18" t="str">
        <f t="shared" ca="1" si="125"/>
        <v/>
      </c>
      <c r="X60" s="18" t="str">
        <f t="shared" ca="1" si="125"/>
        <v/>
      </c>
      <c r="Y60" s="18" t="str">
        <f t="shared" ca="1" si="125"/>
        <v/>
      </c>
      <c r="Z60" s="18" t="str">
        <f t="shared" ca="1" si="125"/>
        <v/>
      </c>
      <c r="AA60" s="18" t="str">
        <f t="shared" ca="1" si="125"/>
        <v/>
      </c>
      <c r="AB60" s="18" t="str">
        <f t="shared" ca="1" si="125"/>
        <v/>
      </c>
      <c r="AC60" s="18" t="str">
        <f t="shared" ca="1" si="125"/>
        <v/>
      </c>
      <c r="AD60" s="18" t="str">
        <f t="shared" ca="1" si="125"/>
        <v/>
      </c>
      <c r="AE60" s="18" t="str">
        <f t="shared" ca="1" si="125"/>
        <v/>
      </c>
      <c r="AF60" s="18" t="str">
        <f t="shared" ca="1" si="125"/>
        <v/>
      </c>
      <c r="AG60" s="18" t="str">
        <f t="shared" ca="1" si="125"/>
        <v/>
      </c>
      <c r="AH60" s="18" t="str">
        <f t="shared" ca="1" si="125"/>
        <v/>
      </c>
      <c r="AI60" s="18" t="str">
        <f t="shared" si="125"/>
        <v/>
      </c>
    </row>
  </sheetData>
  <autoFilter ref="AP8:AX48" xr:uid="{00000000-0009-0000-0000-000000000000}"/>
  <mergeCells count="316">
    <mergeCell ref="AL47:AL48"/>
    <mergeCell ref="AM47:AM48"/>
    <mergeCell ref="AM27:AM28"/>
    <mergeCell ref="AL29:AL30"/>
    <mergeCell ref="AM29:AM30"/>
    <mergeCell ref="AL31:AL32"/>
    <mergeCell ref="AM31:AM32"/>
    <mergeCell ref="AL33:AL34"/>
    <mergeCell ref="AM33:AM34"/>
    <mergeCell ref="AL35:AL36"/>
    <mergeCell ref="AM35:AM36"/>
    <mergeCell ref="D50:H50"/>
    <mergeCell ref="J50:L50"/>
    <mergeCell ref="N50:Q50"/>
    <mergeCell ref="S50:AC50"/>
    <mergeCell ref="AE50:AK50"/>
    <mergeCell ref="AL9:AL10"/>
    <mergeCell ref="AM9:AM10"/>
    <mergeCell ref="AL11:AL12"/>
    <mergeCell ref="AM11:AM12"/>
    <mergeCell ref="AL13:AL14"/>
    <mergeCell ref="AM13:AM14"/>
    <mergeCell ref="AL15:AL16"/>
    <mergeCell ref="AM15:AM16"/>
    <mergeCell ref="AL17:AL18"/>
    <mergeCell ref="AM17:AM18"/>
    <mergeCell ref="AL19:AL20"/>
    <mergeCell ref="AM19:AM20"/>
    <mergeCell ref="AL21:AL22"/>
    <mergeCell ref="AM21:AM22"/>
    <mergeCell ref="AL23:AL24"/>
    <mergeCell ref="AM23:AM24"/>
    <mergeCell ref="AL25:AL26"/>
    <mergeCell ref="AM25:AM26"/>
    <mergeCell ref="AL27:AL28"/>
    <mergeCell ref="A1:AJ1"/>
    <mergeCell ref="AP1:AQ1"/>
    <mergeCell ref="AP2:AQ2"/>
    <mergeCell ref="A3:AJ3"/>
    <mergeCell ref="AP3:AQ3"/>
    <mergeCell ref="A9:A18"/>
    <mergeCell ref="B9:B10"/>
    <mergeCell ref="C9:C10"/>
    <mergeCell ref="AJ9:AJ10"/>
    <mergeCell ref="AK9:AK10"/>
    <mergeCell ref="B11:B12"/>
    <mergeCell ref="C11:C12"/>
    <mergeCell ref="AJ11:AJ12"/>
    <mergeCell ref="AK11:AK12"/>
    <mergeCell ref="AP11:AP12"/>
    <mergeCell ref="AQ11:AQ12"/>
    <mergeCell ref="C13:C14"/>
    <mergeCell ref="AJ13:AJ14"/>
    <mergeCell ref="AK13:AK14"/>
    <mergeCell ref="AP13:AP14"/>
    <mergeCell ref="AQ13:AQ14"/>
    <mergeCell ref="AR11:AR12"/>
    <mergeCell ref="AP9:AP10"/>
    <mergeCell ref="AQ9:AQ10"/>
    <mergeCell ref="AR9:AR10"/>
    <mergeCell ref="AS11:AS12"/>
    <mergeCell ref="AT11:AT12"/>
    <mergeCell ref="AU11:AU12"/>
    <mergeCell ref="AV11:AV12"/>
    <mergeCell ref="AW11:AW12"/>
    <mergeCell ref="AX11:AX12"/>
    <mergeCell ref="AV9:AV10"/>
    <mergeCell ref="AW9:AW10"/>
    <mergeCell ref="AX9:AX10"/>
    <mergeCell ref="AS9:AS10"/>
    <mergeCell ref="AT9:AT10"/>
    <mergeCell ref="AU9:AU10"/>
    <mergeCell ref="AX13:AX14"/>
    <mergeCell ref="B15:B16"/>
    <mergeCell ref="C15:C16"/>
    <mergeCell ref="AJ15:AJ16"/>
    <mergeCell ref="AK15:AK16"/>
    <mergeCell ref="AP15:AP16"/>
    <mergeCell ref="AQ15:AQ16"/>
    <mergeCell ref="AR15:AR16"/>
    <mergeCell ref="AS15:AS16"/>
    <mergeCell ref="AT15:AT16"/>
    <mergeCell ref="AR13:AR14"/>
    <mergeCell ref="AS13:AS14"/>
    <mergeCell ref="AT13:AT14"/>
    <mergeCell ref="AU13:AU14"/>
    <mergeCell ref="AV13:AV14"/>
    <mergeCell ref="AW13:AW14"/>
    <mergeCell ref="B13:B14"/>
    <mergeCell ref="AU15:AU16"/>
    <mergeCell ref="AV15:AV16"/>
    <mergeCell ref="AW15:AW16"/>
    <mergeCell ref="AX15:AX16"/>
    <mergeCell ref="B17:B18"/>
    <mergeCell ref="C17:C18"/>
    <mergeCell ref="AJ17:AJ18"/>
    <mergeCell ref="AK17:AK18"/>
    <mergeCell ref="AP17:AP18"/>
    <mergeCell ref="AQ17:AQ18"/>
    <mergeCell ref="AX17:AX18"/>
    <mergeCell ref="AR17:AR18"/>
    <mergeCell ref="AS17:AS18"/>
    <mergeCell ref="AT17:AT18"/>
    <mergeCell ref="AU17:AU18"/>
    <mergeCell ref="AV17:AV18"/>
    <mergeCell ref="AW17:AW18"/>
    <mergeCell ref="A19:A28"/>
    <mergeCell ref="B19:B20"/>
    <mergeCell ref="C19:C20"/>
    <mergeCell ref="AJ19:AJ20"/>
    <mergeCell ref="AK19:AK20"/>
    <mergeCell ref="AP19:AP20"/>
    <mergeCell ref="AQ19:AQ20"/>
    <mergeCell ref="AR19:AR20"/>
    <mergeCell ref="AS19:AS20"/>
    <mergeCell ref="B23:B24"/>
    <mergeCell ref="C23:C24"/>
    <mergeCell ref="AJ23:AJ24"/>
    <mergeCell ref="AK23:AK24"/>
    <mergeCell ref="AP23:AP24"/>
    <mergeCell ref="AQ23:AQ24"/>
    <mergeCell ref="AR23:AR24"/>
    <mergeCell ref="AS23:AS24"/>
    <mergeCell ref="B27:B28"/>
    <mergeCell ref="C27:C28"/>
    <mergeCell ref="AJ27:AJ28"/>
    <mergeCell ref="AK27:AK28"/>
    <mergeCell ref="AP27:AP28"/>
    <mergeCell ref="AQ27:AQ28"/>
    <mergeCell ref="AR27:AR28"/>
    <mergeCell ref="AT19:AT20"/>
    <mergeCell ref="AU19:AU20"/>
    <mergeCell ref="AV19:AV20"/>
    <mergeCell ref="AW19:AW20"/>
    <mergeCell ref="AX19:AX20"/>
    <mergeCell ref="B21:B22"/>
    <mergeCell ref="C21:C22"/>
    <mergeCell ref="AJ21:AJ22"/>
    <mergeCell ref="AK21:AK22"/>
    <mergeCell ref="AP21:AP22"/>
    <mergeCell ref="AW21:AW22"/>
    <mergeCell ref="AX21:AX22"/>
    <mergeCell ref="AQ21:AQ22"/>
    <mergeCell ref="AR21:AR22"/>
    <mergeCell ref="AS21:AS22"/>
    <mergeCell ref="AT21:AT22"/>
    <mergeCell ref="AU21:AU22"/>
    <mergeCell ref="AV21:AV22"/>
    <mergeCell ref="AT23:AT24"/>
    <mergeCell ref="AU23:AU24"/>
    <mergeCell ref="AV23:AV24"/>
    <mergeCell ref="AW23:AW24"/>
    <mergeCell ref="AX23:AX24"/>
    <mergeCell ref="B25:B26"/>
    <mergeCell ref="C25:C26"/>
    <mergeCell ref="AJ25:AJ26"/>
    <mergeCell ref="AK25:AK26"/>
    <mergeCell ref="AP25:AP26"/>
    <mergeCell ref="AW25:AW26"/>
    <mergeCell ref="AX25:AX26"/>
    <mergeCell ref="AS27:AS28"/>
    <mergeCell ref="AQ25:AQ26"/>
    <mergeCell ref="AR25:AR26"/>
    <mergeCell ref="AS25:AS26"/>
    <mergeCell ref="AT25:AT26"/>
    <mergeCell ref="AU25:AU26"/>
    <mergeCell ref="AV25:AV26"/>
    <mergeCell ref="AT27:AT28"/>
    <mergeCell ref="AU27:AU28"/>
    <mergeCell ref="AV27:AV28"/>
    <mergeCell ref="AW27:AW28"/>
    <mergeCell ref="AX27:AX28"/>
    <mergeCell ref="A29:A38"/>
    <mergeCell ref="B29:B30"/>
    <mergeCell ref="C29:C30"/>
    <mergeCell ref="AJ29:AJ30"/>
    <mergeCell ref="AK29:AK30"/>
    <mergeCell ref="B31:B32"/>
    <mergeCell ref="C31:C32"/>
    <mergeCell ref="AJ31:AJ32"/>
    <mergeCell ref="AK31:AK32"/>
    <mergeCell ref="AP31:AP32"/>
    <mergeCell ref="AQ31:AQ32"/>
    <mergeCell ref="AR31:AR32"/>
    <mergeCell ref="AP29:AP30"/>
    <mergeCell ref="AQ29:AQ30"/>
    <mergeCell ref="AR29:AR30"/>
    <mergeCell ref="AS31:AS32"/>
    <mergeCell ref="AT31:AT32"/>
    <mergeCell ref="AU31:AU32"/>
    <mergeCell ref="AV31:AV32"/>
    <mergeCell ref="AW31:AW32"/>
    <mergeCell ref="AX31:AX32"/>
    <mergeCell ref="AV29:AV30"/>
    <mergeCell ref="AW29:AW30"/>
    <mergeCell ref="AX29:AX30"/>
    <mergeCell ref="AS29:AS30"/>
    <mergeCell ref="AT29:AT30"/>
    <mergeCell ref="AU29:AU30"/>
    <mergeCell ref="AX33:AX34"/>
    <mergeCell ref="B35:B36"/>
    <mergeCell ref="C35:C36"/>
    <mergeCell ref="AJ35:AJ36"/>
    <mergeCell ref="AK35:AK36"/>
    <mergeCell ref="AP35:AP36"/>
    <mergeCell ref="AQ35:AQ36"/>
    <mergeCell ref="AR35:AR36"/>
    <mergeCell ref="AS35:AS36"/>
    <mergeCell ref="AT35:AT36"/>
    <mergeCell ref="AR33:AR34"/>
    <mergeCell ref="AS33:AS34"/>
    <mergeCell ref="AT33:AT34"/>
    <mergeCell ref="AU33:AU34"/>
    <mergeCell ref="AV33:AV34"/>
    <mergeCell ref="AW33:AW34"/>
    <mergeCell ref="B33:B34"/>
    <mergeCell ref="C33:C34"/>
    <mergeCell ref="AJ33:AJ34"/>
    <mergeCell ref="AK33:AK34"/>
    <mergeCell ref="AP33:AP34"/>
    <mergeCell ref="AQ33:AQ34"/>
    <mergeCell ref="AU35:AU36"/>
    <mergeCell ref="AV35:AV36"/>
    <mergeCell ref="AW35:AW36"/>
    <mergeCell ref="AX35:AX36"/>
    <mergeCell ref="B37:B38"/>
    <mergeCell ref="C37:C38"/>
    <mergeCell ref="AJ37:AJ38"/>
    <mergeCell ref="AK37:AK38"/>
    <mergeCell ref="AP37:AP38"/>
    <mergeCell ref="AQ37:AQ38"/>
    <mergeCell ref="AX37:AX38"/>
    <mergeCell ref="AR37:AR38"/>
    <mergeCell ref="AS37:AS38"/>
    <mergeCell ref="AT37:AT38"/>
    <mergeCell ref="AU37:AU38"/>
    <mergeCell ref="AV37:AV38"/>
    <mergeCell ref="AW37:AW38"/>
    <mergeCell ref="AL37:AL38"/>
    <mergeCell ref="AM37:AM38"/>
    <mergeCell ref="AR39:AR40"/>
    <mergeCell ref="AS39:AS40"/>
    <mergeCell ref="B43:B44"/>
    <mergeCell ref="C43:C44"/>
    <mergeCell ref="AJ43:AJ44"/>
    <mergeCell ref="AK43:AK44"/>
    <mergeCell ref="AP43:AP44"/>
    <mergeCell ref="AQ43:AQ44"/>
    <mergeCell ref="AR43:AR44"/>
    <mergeCell ref="AS43:AS44"/>
    <mergeCell ref="AL39:AL40"/>
    <mergeCell ref="AM39:AM40"/>
    <mergeCell ref="AL41:AL42"/>
    <mergeCell ref="AM41:AM42"/>
    <mergeCell ref="AL43:AL44"/>
    <mergeCell ref="AM43:AM44"/>
    <mergeCell ref="AT39:AT40"/>
    <mergeCell ref="AU39:AU40"/>
    <mergeCell ref="AV39:AV40"/>
    <mergeCell ref="AW39:AW40"/>
    <mergeCell ref="AX39:AX40"/>
    <mergeCell ref="B41:B42"/>
    <mergeCell ref="C41:C42"/>
    <mergeCell ref="AJ41:AJ42"/>
    <mergeCell ref="AK41:AK42"/>
    <mergeCell ref="AP41:AP42"/>
    <mergeCell ref="AW41:AW42"/>
    <mergeCell ref="AX41:AX42"/>
    <mergeCell ref="AQ41:AQ42"/>
    <mergeCell ref="AR41:AR42"/>
    <mergeCell ref="AS41:AS42"/>
    <mergeCell ref="AT41:AT42"/>
    <mergeCell ref="AU41:AU42"/>
    <mergeCell ref="AV41:AV42"/>
    <mergeCell ref="B39:B40"/>
    <mergeCell ref="C39:C40"/>
    <mergeCell ref="AJ39:AJ40"/>
    <mergeCell ref="AK39:AK40"/>
    <mergeCell ref="AP39:AP40"/>
    <mergeCell ref="AQ39:AQ40"/>
    <mergeCell ref="AT43:AT44"/>
    <mergeCell ref="AU43:AU44"/>
    <mergeCell ref="AV43:AV44"/>
    <mergeCell ref="AW43:AW44"/>
    <mergeCell ref="AX43:AX44"/>
    <mergeCell ref="B45:B46"/>
    <mergeCell ref="C45:C46"/>
    <mergeCell ref="AJ45:AJ46"/>
    <mergeCell ref="AK45:AK46"/>
    <mergeCell ref="AP45:AP46"/>
    <mergeCell ref="AL45:AL46"/>
    <mergeCell ref="AM45:AM46"/>
    <mergeCell ref="A57:A60"/>
    <mergeCell ref="AT47:AT48"/>
    <mergeCell ref="AU47:AU48"/>
    <mergeCell ref="AV47:AV48"/>
    <mergeCell ref="AW47:AW48"/>
    <mergeCell ref="AX47:AX48"/>
    <mergeCell ref="A52:A55"/>
    <mergeCell ref="AW45:AW46"/>
    <mergeCell ref="AX45:AX46"/>
    <mergeCell ref="B47:B48"/>
    <mergeCell ref="C47:C48"/>
    <mergeCell ref="AJ47:AJ48"/>
    <mergeCell ref="AK47:AK48"/>
    <mergeCell ref="AP47:AP48"/>
    <mergeCell ref="AQ47:AQ48"/>
    <mergeCell ref="AR47:AR48"/>
    <mergeCell ref="AS47:AS48"/>
    <mergeCell ref="AQ45:AQ46"/>
    <mergeCell ref="AR45:AR46"/>
    <mergeCell ref="AS45:AS46"/>
    <mergeCell ref="AT45:AT46"/>
    <mergeCell ref="AU45:AU46"/>
    <mergeCell ref="AV45:AV46"/>
    <mergeCell ref="A39:A48"/>
  </mergeCells>
  <conditionalFormatting sqref="AU9:AU48">
    <cfRule type="cellIs" dxfId="129" priority="17" operator="equal">
      <formula>"-"</formula>
    </cfRule>
  </conditionalFormatting>
  <conditionalFormatting sqref="E52:E55">
    <cfRule type="cellIs" dxfId="128" priority="16" operator="equal">
      <formula>"-"</formula>
    </cfRule>
  </conditionalFormatting>
  <conditionalFormatting sqref="F52:AI55">
    <cfRule type="cellIs" dxfId="127" priority="15" operator="equal">
      <formula>"-"</formula>
    </cfRule>
  </conditionalFormatting>
  <conditionalFormatting sqref="AI9:AI48">
    <cfRule type="cellIs" dxfId="126" priority="11" operator="equal">
      <formula>"Д"</formula>
    </cfRule>
    <cfRule type="cellIs" dxfId="125" priority="12" operator="equal">
      <formula>"СП"</formula>
    </cfRule>
    <cfRule type="cellIs" dxfId="124" priority="13" operator="equal">
      <formula>"ОТ"</formula>
    </cfRule>
  </conditionalFormatting>
  <conditionalFormatting sqref="E9:AH48">
    <cfRule type="cellIs" dxfId="123" priority="1" operator="equal">
      <formula>"В"</formula>
    </cfRule>
    <cfRule type="cellIs" dxfId="122" priority="2" operator="equal">
      <formula>"ПЗ"</formula>
    </cfRule>
    <cfRule type="cellIs" dxfId="121" priority="3" operator="equal">
      <formula>"ПК"</formula>
    </cfRule>
    <cfRule type="containsText" dxfId="120" priority="4" operator="containsText" text="Б">
      <formula>NOT(ISERROR(SEARCH("Б",E9)))</formula>
    </cfRule>
    <cfRule type="expression" dxfId="119" priority="9">
      <formula>E9=0</formula>
    </cfRule>
  </conditionalFormatting>
  <conditionalFormatting sqref="E9:AH48">
    <cfRule type="expression" dxfId="118" priority="5">
      <formula>AND(INDIRECT(ADDRESS(ROW(),COLUMN()))=8,INDIRECT(ADDRESS(ROW(),COLUMN()))="СП")</formula>
    </cfRule>
    <cfRule type="cellIs" dxfId="117" priority="7" operator="equal">
      <formula>"СП"</formula>
    </cfRule>
    <cfRule type="cellIs" dxfId="116" priority="8" operator="equal">
      <formula>"ОТ"</formula>
    </cfRule>
  </conditionalFormatting>
  <conditionalFormatting sqref="E8:AH48">
    <cfRule type="cellIs" dxfId="115" priority="6" operator="equal">
      <formula>"Д"</formula>
    </cfRule>
  </conditionalFormatting>
  <pageMargins left="0.25" right="0.25" top="0.75" bottom="0.75" header="0.3" footer="0.3"/>
  <pageSetup paperSize="9" scale="6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03" id="{13887A9B-BC45-4E65-B76A-722A0A37F2B0}">
            <xm:f>OR(AND(WEEKDAY(E$8,2)&gt;5,E$6=1),ISNUMBER(MATCH(E$8,Подключения!$A$2:$A$1039,0)))</xm:f>
            <x14:dxf>
              <fill>
                <patternFill>
                  <bgColor theme="0" tint="-0.14996795556505021"/>
                </patternFill>
              </fill>
            </x14:dxf>
          </x14:cfRule>
          <xm:sqref>E8:AI48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311DA-D2D1-4A77-B3E9-86A3D8933B7C}">
  <sheetPr codeName="Лист16">
    <tabColor theme="9" tint="0.79998168889431442"/>
    <pageSetUpPr fitToPage="1"/>
  </sheetPr>
  <dimension ref="A1:AX60"/>
  <sheetViews>
    <sheetView zoomScale="70" zoomScaleNormal="70" workbookViewId="0">
      <pane xSplit="3" ySplit="8" topLeftCell="D9" activePane="bottomRight" state="frozen"/>
      <selection activeCell="AM19" sqref="AM19:AM20"/>
      <selection pane="topRight" activeCell="AM19" sqref="AM19:AM20"/>
      <selection pane="bottomLeft" activeCell="AM19" sqref="AM19:AM20"/>
      <selection pane="bottomRight" activeCell="P27" sqref="P27"/>
    </sheetView>
  </sheetViews>
  <sheetFormatPr defaultRowHeight="15" x14ac:dyDescent="0.25"/>
  <cols>
    <col min="1" max="1" width="9.140625" customWidth="1"/>
    <col min="2" max="2" width="28" customWidth="1"/>
    <col min="3" max="3" width="4.7109375" customWidth="1"/>
    <col min="4" max="4" width="2.85546875" hidden="1" customWidth="1"/>
    <col min="5" max="5" width="5.42578125" customWidth="1"/>
    <col min="6" max="34" width="5" customWidth="1"/>
    <col min="35" max="35" width="4.85546875" customWidth="1"/>
    <col min="36" max="37" width="9.140625" customWidth="1"/>
    <col min="38" max="38" width="10.28515625" customWidth="1"/>
    <col min="39" max="39" width="10" customWidth="1"/>
    <col min="40" max="41" width="2.7109375" customWidth="1"/>
    <col min="42" max="43" width="6.7109375" customWidth="1"/>
    <col min="44" max="44" width="12.42578125" customWidth="1"/>
    <col min="45" max="45" width="8.28515625" customWidth="1"/>
    <col min="46" max="46" width="6.7109375" customWidth="1"/>
    <col min="47" max="47" width="2.28515625" customWidth="1"/>
    <col min="48" max="48" width="6.7109375" customWidth="1"/>
    <col min="49" max="190" width="9.140625" customWidth="1"/>
  </cols>
  <sheetData>
    <row r="1" spans="1:50" ht="18.75" x14ac:dyDescent="0.25">
      <c r="A1" s="159"/>
      <c r="B1" s="159"/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"/>
      <c r="AL1" s="24"/>
      <c r="AO1" s="22"/>
      <c r="AP1" s="160" t="s">
        <v>14</v>
      </c>
      <c r="AQ1" s="161"/>
      <c r="AR1" s="20">
        <f>'Сводный годовой график'!AX1</f>
        <v>2025</v>
      </c>
      <c r="AS1" s="22"/>
      <c r="AT1" s="22"/>
      <c r="AU1" s="22"/>
      <c r="AV1" s="22"/>
      <c r="AW1" s="22"/>
      <c r="AX1" s="22"/>
    </row>
    <row r="2" spans="1:50" ht="18.75" x14ac:dyDescent="0.25">
      <c r="A2" s="7"/>
      <c r="B2" s="7"/>
      <c r="C2" s="14"/>
      <c r="D2" s="7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7"/>
      <c r="AK2" s="1"/>
      <c r="AO2" s="12"/>
      <c r="AP2" s="162" t="s">
        <v>15</v>
      </c>
      <c r="AQ2" s="163"/>
      <c r="AR2" s="23">
        <v>5</v>
      </c>
      <c r="AT2" s="12"/>
      <c r="AU2" s="12"/>
      <c r="AV2" s="12"/>
      <c r="AW2" s="12"/>
      <c r="AX2" s="12"/>
    </row>
    <row r="3" spans="1:50" ht="21" customHeight="1" x14ac:dyDescent="0.25">
      <c r="A3" s="164" t="str">
        <f>CONCATENATE("График работы персонала на ",LOWER(TEXT($E$8,"ММММ"))," ",TEXT($E$8,"ГГГГ")," года ","(",$AR$3,"/",$AJ$9, ")")</f>
        <v>График работы персонала на май 2025 года (18/144)</v>
      </c>
      <c r="B3" s="164"/>
      <c r="C3" s="164"/>
      <c r="D3" s="164"/>
      <c r="E3" s="164"/>
      <c r="F3" s="164"/>
      <c r="G3" s="164"/>
      <c r="H3" s="164"/>
      <c r="I3" s="164"/>
      <c r="J3" s="164"/>
      <c r="K3" s="164"/>
      <c r="L3" s="164"/>
      <c r="M3" s="164"/>
      <c r="N3" s="164"/>
      <c r="O3" s="164"/>
      <c r="P3" s="164"/>
      <c r="Q3" s="164"/>
      <c r="R3" s="164"/>
      <c r="S3" s="164"/>
      <c r="T3" s="164"/>
      <c r="U3" s="164"/>
      <c r="V3" s="164"/>
      <c r="W3" s="164"/>
      <c r="X3" s="164"/>
      <c r="Y3" s="164"/>
      <c r="Z3" s="164"/>
      <c r="AA3" s="164"/>
      <c r="AB3" s="164"/>
      <c r="AC3" s="164"/>
      <c r="AD3" s="164"/>
      <c r="AE3" s="164"/>
      <c r="AF3" s="164"/>
      <c r="AG3" s="164"/>
      <c r="AH3" s="164"/>
      <c r="AI3" s="164"/>
      <c r="AJ3" s="164"/>
      <c r="AK3" s="1"/>
      <c r="AL3" s="21"/>
      <c r="AP3" s="162" t="s">
        <v>16</v>
      </c>
      <c r="AQ3" s="163"/>
      <c r="AR3" s="23">
        <f>INDEX(Производственный_календарь[],MONTH($E$8),3)</f>
        <v>18</v>
      </c>
    </row>
    <row r="4" spans="1:50" ht="21" customHeight="1" x14ac:dyDescent="0.25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1"/>
      <c r="AL4" s="21"/>
      <c r="AP4" s="51" t="s">
        <v>20</v>
      </c>
      <c r="AQ4" s="52"/>
      <c r="AR4" s="53">
        <f>EOMONTH(DATE(AR1,AR2,1),0)-DATE(AR1,AR2,1)+1</f>
        <v>31</v>
      </c>
    </row>
    <row r="5" spans="1:50" ht="16.5" customHeight="1" x14ac:dyDescent="0.25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1"/>
      <c r="AL5" s="21"/>
      <c r="AP5" s="54" t="s">
        <v>21</v>
      </c>
      <c r="AQ5" s="55"/>
      <c r="AR5" s="56">
        <v>4</v>
      </c>
    </row>
    <row r="6" spans="1:50" ht="16.5" hidden="1" customHeight="1" x14ac:dyDescent="0.25">
      <c r="E6" s="48">
        <f>IF(COLUMN()-$AR$5&lt;=$AR$4,1,0)</f>
        <v>1</v>
      </c>
      <c r="F6" s="48">
        <f t="shared" ref="F6:AH6" si="0">IF(COLUMN()-$AR$5&lt;=$AR$4,1,0)</f>
        <v>1</v>
      </c>
      <c r="G6" s="48">
        <f t="shared" si="0"/>
        <v>1</v>
      </c>
      <c r="H6" s="48">
        <f t="shared" si="0"/>
        <v>1</v>
      </c>
      <c r="I6" s="48">
        <f t="shared" si="0"/>
        <v>1</v>
      </c>
      <c r="J6" s="48">
        <f t="shared" si="0"/>
        <v>1</v>
      </c>
      <c r="K6" s="48">
        <f t="shared" si="0"/>
        <v>1</v>
      </c>
      <c r="L6" s="48">
        <f t="shared" si="0"/>
        <v>1</v>
      </c>
      <c r="M6" s="48">
        <f t="shared" si="0"/>
        <v>1</v>
      </c>
      <c r="N6" s="48">
        <f t="shared" si="0"/>
        <v>1</v>
      </c>
      <c r="O6" s="48">
        <f t="shared" si="0"/>
        <v>1</v>
      </c>
      <c r="P6" s="48">
        <f t="shared" si="0"/>
        <v>1</v>
      </c>
      <c r="Q6" s="48">
        <f t="shared" si="0"/>
        <v>1</v>
      </c>
      <c r="R6" s="48">
        <f t="shared" si="0"/>
        <v>1</v>
      </c>
      <c r="S6" s="48">
        <f t="shared" si="0"/>
        <v>1</v>
      </c>
      <c r="T6" s="48">
        <f t="shared" si="0"/>
        <v>1</v>
      </c>
      <c r="U6" s="48">
        <f t="shared" si="0"/>
        <v>1</v>
      </c>
      <c r="V6" s="48">
        <f t="shared" si="0"/>
        <v>1</v>
      </c>
      <c r="W6" s="48">
        <f t="shared" si="0"/>
        <v>1</v>
      </c>
      <c r="X6" s="48">
        <f t="shared" si="0"/>
        <v>1</v>
      </c>
      <c r="Y6" s="48">
        <f t="shared" si="0"/>
        <v>1</v>
      </c>
      <c r="Z6" s="48">
        <f t="shared" si="0"/>
        <v>1</v>
      </c>
      <c r="AA6" s="48">
        <f t="shared" si="0"/>
        <v>1</v>
      </c>
      <c r="AB6" s="48">
        <f t="shared" si="0"/>
        <v>1</v>
      </c>
      <c r="AC6" s="48">
        <f t="shared" si="0"/>
        <v>1</v>
      </c>
      <c r="AD6" s="48">
        <f t="shared" si="0"/>
        <v>1</v>
      </c>
      <c r="AE6" s="48">
        <f t="shared" si="0"/>
        <v>1</v>
      </c>
      <c r="AF6" s="48">
        <f t="shared" si="0"/>
        <v>1</v>
      </c>
      <c r="AG6" s="48">
        <f t="shared" si="0"/>
        <v>1</v>
      </c>
      <c r="AH6" s="48">
        <f t="shared" si="0"/>
        <v>1</v>
      </c>
      <c r="AI6" s="48">
        <f>IF(COLUMN()-$AR$5&lt;=$AR$4,1,0)</f>
        <v>1</v>
      </c>
    </row>
    <row r="7" spans="1:50" ht="16.5" hidden="1" customHeight="1" thickBot="1" x14ac:dyDescent="0.3">
      <c r="E7" s="48">
        <v>1</v>
      </c>
      <c r="F7" s="48">
        <v>2</v>
      </c>
      <c r="G7" s="48">
        <v>3</v>
      </c>
      <c r="H7" s="48">
        <v>4</v>
      </c>
      <c r="I7" s="48">
        <v>5</v>
      </c>
      <c r="J7" s="48">
        <v>6</v>
      </c>
      <c r="K7" s="48">
        <v>7</v>
      </c>
      <c r="L7" s="48">
        <v>8</v>
      </c>
      <c r="M7" s="48">
        <v>9</v>
      </c>
      <c r="N7" s="48">
        <v>10</v>
      </c>
      <c r="O7" s="48">
        <v>11</v>
      </c>
      <c r="P7" s="48">
        <v>12</v>
      </c>
      <c r="Q7" s="48">
        <v>13</v>
      </c>
      <c r="R7" s="48">
        <v>14</v>
      </c>
      <c r="S7" s="48">
        <v>15</v>
      </c>
      <c r="T7" s="48">
        <v>16</v>
      </c>
      <c r="U7" s="48">
        <v>17</v>
      </c>
      <c r="V7" s="48">
        <v>18</v>
      </c>
      <c r="W7" s="48">
        <v>19</v>
      </c>
      <c r="X7" s="48">
        <v>20</v>
      </c>
      <c r="Y7" s="48">
        <v>21</v>
      </c>
      <c r="Z7" s="48">
        <v>22</v>
      </c>
      <c r="AA7" s="48">
        <v>23</v>
      </c>
      <c r="AB7" s="48">
        <v>24</v>
      </c>
      <c r="AC7" s="48">
        <v>25</v>
      </c>
      <c r="AD7" s="48">
        <v>26</v>
      </c>
      <c r="AE7" s="48">
        <v>27</v>
      </c>
      <c r="AF7" s="48">
        <v>28</v>
      </c>
      <c r="AG7" s="48">
        <v>29</v>
      </c>
      <c r="AH7" s="48">
        <v>30</v>
      </c>
      <c r="AI7" s="48">
        <v>31</v>
      </c>
    </row>
    <row r="8" spans="1:50" ht="47.45" customHeight="1" thickTop="1" thickBot="1" x14ac:dyDescent="0.3">
      <c r="A8" s="2" t="s">
        <v>0</v>
      </c>
      <c r="B8" s="3" t="s">
        <v>1</v>
      </c>
      <c r="C8" s="15" t="s">
        <v>2</v>
      </c>
      <c r="D8" s="3"/>
      <c r="E8" s="19">
        <f>DATE($AR$1,$AR$2,1)</f>
        <v>45778</v>
      </c>
      <c r="F8" s="19">
        <f>IF(E8,DATE($AR$1,$AR$2,DAY(E$8)+1),"")</f>
        <v>45779</v>
      </c>
      <c r="G8" s="19">
        <f t="shared" ref="G8:AI8" si="1">IF(F8,DATE($AR$1,$AR$2,DAY(F$8)+1),"")</f>
        <v>45780</v>
      </c>
      <c r="H8" s="19">
        <f t="shared" si="1"/>
        <v>45781</v>
      </c>
      <c r="I8" s="19">
        <f t="shared" si="1"/>
        <v>45782</v>
      </c>
      <c r="J8" s="19">
        <f t="shared" si="1"/>
        <v>45783</v>
      </c>
      <c r="K8" s="19">
        <f t="shared" si="1"/>
        <v>45784</v>
      </c>
      <c r="L8" s="19">
        <f t="shared" si="1"/>
        <v>45785</v>
      </c>
      <c r="M8" s="19">
        <f t="shared" si="1"/>
        <v>45786</v>
      </c>
      <c r="N8" s="19">
        <f t="shared" si="1"/>
        <v>45787</v>
      </c>
      <c r="O8" s="19">
        <f t="shared" si="1"/>
        <v>45788</v>
      </c>
      <c r="P8" s="19">
        <f t="shared" si="1"/>
        <v>45789</v>
      </c>
      <c r="Q8" s="19">
        <f t="shared" si="1"/>
        <v>45790</v>
      </c>
      <c r="R8" s="19">
        <f t="shared" si="1"/>
        <v>45791</v>
      </c>
      <c r="S8" s="19">
        <f t="shared" si="1"/>
        <v>45792</v>
      </c>
      <c r="T8" s="19">
        <f t="shared" si="1"/>
        <v>45793</v>
      </c>
      <c r="U8" s="19">
        <f t="shared" si="1"/>
        <v>45794</v>
      </c>
      <c r="V8" s="19">
        <f t="shared" si="1"/>
        <v>45795</v>
      </c>
      <c r="W8" s="19">
        <f t="shared" si="1"/>
        <v>45796</v>
      </c>
      <c r="X8" s="19">
        <f t="shared" si="1"/>
        <v>45797</v>
      </c>
      <c r="Y8" s="19">
        <f t="shared" si="1"/>
        <v>45798</v>
      </c>
      <c r="Z8" s="19">
        <f t="shared" si="1"/>
        <v>45799</v>
      </c>
      <c r="AA8" s="19">
        <f t="shared" si="1"/>
        <v>45800</v>
      </c>
      <c r="AB8" s="19">
        <f t="shared" si="1"/>
        <v>45801</v>
      </c>
      <c r="AC8" s="19">
        <f t="shared" si="1"/>
        <v>45802</v>
      </c>
      <c r="AD8" s="19">
        <f t="shared" si="1"/>
        <v>45803</v>
      </c>
      <c r="AE8" s="19">
        <f t="shared" si="1"/>
        <v>45804</v>
      </c>
      <c r="AF8" s="19">
        <f t="shared" si="1"/>
        <v>45805</v>
      </c>
      <c r="AG8" s="19">
        <f t="shared" si="1"/>
        <v>45806</v>
      </c>
      <c r="AH8" s="19">
        <f t="shared" si="1"/>
        <v>45807</v>
      </c>
      <c r="AI8" s="19">
        <f t="shared" si="1"/>
        <v>45808</v>
      </c>
      <c r="AJ8" s="2" t="s">
        <v>3</v>
      </c>
      <c r="AK8" s="4" t="s">
        <v>4</v>
      </c>
      <c r="AL8" s="31" t="s">
        <v>77</v>
      </c>
      <c r="AM8" s="31" t="s">
        <v>78</v>
      </c>
      <c r="AP8" s="4" t="s">
        <v>6</v>
      </c>
      <c r="AQ8" s="4" t="s">
        <v>5</v>
      </c>
      <c r="AR8" s="4" t="s">
        <v>7</v>
      </c>
      <c r="AS8" s="4" t="s">
        <v>8</v>
      </c>
      <c r="AT8" s="4" t="s">
        <v>13</v>
      </c>
      <c r="AU8" s="6" t="s">
        <v>9</v>
      </c>
      <c r="AV8" s="4" t="s">
        <v>11</v>
      </c>
      <c r="AW8" s="4" t="s">
        <v>18</v>
      </c>
      <c r="AX8" s="4" t="s">
        <v>19</v>
      </c>
    </row>
    <row r="9" spans="1:50" ht="17.25" customHeight="1" thickBot="1" x14ac:dyDescent="0.3">
      <c r="A9" s="146" t="s">
        <v>100</v>
      </c>
      <c r="B9" s="151" t="s">
        <v>80</v>
      </c>
      <c r="C9" s="170">
        <v>1</v>
      </c>
      <c r="D9" s="49">
        <v>1</v>
      </c>
      <c r="E9" s="62">
        <f ca="1">INDEX(Д1!$E$44:$AI$53,MATCH($D9,Д1!$D$44:$D$53),MATCH(E$7,Д1!$E$3:$AI$3))</f>
        <v>0</v>
      </c>
      <c r="F9" s="28">
        <f ca="1">INDEX(Д1!$E$44:$AI$53,MATCH($D9,Д1!$D$44:$D$53),MATCH(F$7,Д1!$E$3:$AI$3))</f>
        <v>0</v>
      </c>
      <c r="G9" s="28">
        <f ca="1">INDEX(Д1!$E$44:$AI$53,MATCH($D9,Д1!$D$44:$D$53),MATCH(G$7,Д1!$E$3:$AI$3))</f>
        <v>4</v>
      </c>
      <c r="H9" s="28">
        <f ca="1">INDEX(Д1!$E$44:$AI$53,MATCH($D9,Д1!$D$44:$D$53),MATCH(H$7,Д1!$E$3:$AI$3))</f>
        <v>8</v>
      </c>
      <c r="I9" s="28">
        <f ca="1">INDEX(Д1!$E$44:$AI$53,MATCH($D9,Д1!$D$44:$D$53),MATCH(I$7,Д1!$E$3:$AI$3))</f>
        <v>12</v>
      </c>
      <c r="J9" s="28">
        <f ca="1">INDEX(Д1!$E$44:$AI$53,MATCH($D9,Д1!$D$44:$D$53),MATCH(J$7,Д1!$E$3:$AI$3))</f>
        <v>4</v>
      </c>
      <c r="K9" s="28">
        <f ca="1">INDEX(Д1!$E$44:$AI$53,MATCH($D9,Д1!$D$44:$D$53),MATCH(K$7,Д1!$E$3:$AI$3))</f>
        <v>8</v>
      </c>
      <c r="L9" s="28">
        <f ca="1">INDEX(Д1!$E$44:$AI$53,MATCH($D9,Д1!$D$44:$D$53),MATCH(L$7,Д1!$E$3:$AI$3))</f>
        <v>12</v>
      </c>
      <c r="M9" s="28">
        <f ca="1">INDEX(Д1!$E$44:$AI$53,MATCH($D9,Д1!$D$44:$D$53),MATCH(M$7,Д1!$E$3:$AI$3))</f>
        <v>0</v>
      </c>
      <c r="N9" s="28">
        <f ca="1">INDEX(Д1!$E$44:$AI$53,MATCH($D9,Д1!$D$44:$D$53),MATCH(N$7,Д1!$E$3:$AI$3))</f>
        <v>0</v>
      </c>
      <c r="O9" s="28">
        <f ca="1">INDEX(Д1!$E$44:$AI$53,MATCH($D9,Д1!$D$44:$D$53),MATCH(O$7,Д1!$E$3:$AI$3))</f>
        <v>4</v>
      </c>
      <c r="P9" s="28">
        <f ca="1">INDEX(Д1!$E$44:$AI$53,MATCH($D9,Д1!$D$44:$D$53),MATCH(P$7,Д1!$E$3:$AI$3))</f>
        <v>8</v>
      </c>
      <c r="Q9" s="28">
        <f ca="1">INDEX(Д1!$E$44:$AI$53,MATCH($D9,Д1!$D$44:$D$53),MATCH(Q$7,Д1!$E$3:$AI$3))</f>
        <v>12</v>
      </c>
      <c r="R9" s="28">
        <f ca="1">INDEX(Д1!$E$44:$AI$53,MATCH($D9,Д1!$D$44:$D$53),MATCH(R$7,Д1!$E$3:$AI$3))</f>
        <v>4</v>
      </c>
      <c r="S9" s="28">
        <f ca="1">INDEX(Д1!$E$44:$AI$53,MATCH($D9,Д1!$D$44:$D$53),MATCH(S$7,Д1!$E$3:$AI$3))</f>
        <v>8</v>
      </c>
      <c r="T9" s="28">
        <f ca="1">INDEX(Д1!$E$44:$AI$53,MATCH($D9,Д1!$D$44:$D$53),MATCH(T$7,Д1!$E$3:$AI$3))</f>
        <v>12</v>
      </c>
      <c r="U9" s="28">
        <f ca="1">INDEX(Д1!$E$44:$AI$53,MATCH($D9,Д1!$D$44:$D$53),MATCH(U$7,Д1!$E$3:$AI$3))</f>
        <v>0</v>
      </c>
      <c r="V9" s="28">
        <f ca="1">INDEX(Д1!$E$44:$AI$53,MATCH($D9,Д1!$D$44:$D$53),MATCH(V$7,Д1!$E$3:$AI$3))</f>
        <v>0</v>
      </c>
      <c r="W9" s="28">
        <f ca="1">INDEX(Д1!$E$44:$AI$53,MATCH($D9,Д1!$D$44:$D$53),MATCH(W$7,Д1!$E$3:$AI$3))</f>
        <v>4</v>
      </c>
      <c r="X9" s="28">
        <f ca="1">INDEX(Д1!$E$44:$AI$53,MATCH($D9,Д1!$D$44:$D$53),MATCH(X$7,Д1!$E$3:$AI$3))</f>
        <v>8</v>
      </c>
      <c r="Y9" s="28">
        <f ca="1">INDEX(Д1!$E$44:$AI$53,MATCH($D9,Д1!$D$44:$D$53),MATCH(Y$7,Д1!$E$3:$AI$3))</f>
        <v>12</v>
      </c>
      <c r="Z9" s="28">
        <f ca="1">INDEX(Д1!$E$44:$AI$53,MATCH($D9,Д1!$D$44:$D$53),MATCH(Z$7,Д1!$E$3:$AI$3))</f>
        <v>4</v>
      </c>
      <c r="AA9" s="28">
        <f ca="1">INDEX(Д1!$E$44:$AI$53,MATCH($D9,Д1!$D$44:$D$53),MATCH(AA$7,Д1!$E$3:$AI$3))</f>
        <v>8</v>
      </c>
      <c r="AB9" s="28">
        <f ca="1">INDEX(Д1!$E$44:$AI$53,MATCH($D9,Д1!$D$44:$D$53),MATCH(AB$7,Д1!$E$3:$AI$3))</f>
        <v>12</v>
      </c>
      <c r="AC9" s="28">
        <f ca="1">INDEX(Д1!$E$44:$AI$53,MATCH($D9,Д1!$D$44:$D$53),MATCH(AC$7,Д1!$E$3:$AI$3))</f>
        <v>0</v>
      </c>
      <c r="AD9" s="28">
        <f ca="1">INDEX(Д1!$E$44:$AI$53,MATCH($D9,Д1!$D$44:$D$53),MATCH(AD$7,Д1!$E$3:$AI$3))</f>
        <v>0</v>
      </c>
      <c r="AE9" s="28">
        <f ca="1">INDEX(Д1!$E$44:$AI$53,MATCH($D9,Д1!$D$44:$D$53),MATCH(AE$7,Д1!$E$3:$AI$3))</f>
        <v>4</v>
      </c>
      <c r="AF9" s="28">
        <f ca="1">INDEX(Д1!$E$44:$AI$53,MATCH($D9,Д1!$D$44:$D$53),MATCH(AF$7,Д1!$E$3:$AI$3))</f>
        <v>8</v>
      </c>
      <c r="AG9" s="28">
        <f ca="1">INDEX(Д1!$E$44:$AI$53,MATCH($D9,Д1!$D$44:$D$53),MATCH(AG$7,Д1!$E$3:$AI$3))</f>
        <v>12</v>
      </c>
      <c r="AH9" s="28">
        <f ca="1">INDEX(Д1!$E$44:$AI$53,MATCH($D9,Д1!$D$44:$D$53),MATCH(AH$7,Д1!$E$3:$AI$3))</f>
        <v>4</v>
      </c>
      <c r="AI9" s="62">
        <f ca="1">INDEX(Д1!$E$44:$AI$53,MATCH($D9,Д1!$D$44:$D$53),MATCH(AI$7,Д1!$E$3:$AI$3))</f>
        <v>8</v>
      </c>
      <c r="AJ9" s="143">
        <f>INDEX(Д1!AK$44:$AK$53,MATCH($C9,Д1!$C$44:$C$53),MATCH(E$7,Д1!$E$3:$AI$3))*AND(MONTH($E$8)=MONTH(Д1!$B$44))</f>
        <v>144</v>
      </c>
      <c r="AK9" s="144">
        <f ca="1">SUM(E9:AI10)</f>
        <v>180</v>
      </c>
      <c r="AL9" s="144"/>
      <c r="AM9" s="149">
        <f ca="1">SUM(F9:H10,J9:AI10)-AJ9+AL9-12</f>
        <v>12</v>
      </c>
      <c r="AP9" s="136">
        <f ca="1">COUNTIF($E9:$AI10,"12")</f>
        <v>7</v>
      </c>
      <c r="AQ9" s="136">
        <f ca="1">IF(COUNTIF($E9:$AI10,"СП")&gt;=1,(COUNTIF($E9:$AI10,"4")+COUNTIF($E9:$AI10,"8")-1)/2,(COUNTIF($E9:$AI10,"4")+COUNTIF($E9:$AI10,"8"))/2)</f>
        <v>7.5</v>
      </c>
      <c r="AR9" s="136">
        <f t="shared" ref="AR9:AR47" ca="1" si="2">SUMIF($E9:$AI10,"12",$E9:$AI10)</f>
        <v>84</v>
      </c>
      <c r="AS9" s="136">
        <f ca="1">IF(COUNTIF($E9:$AI10,"СП")&gt;=1,SUMIF($E9:$AI10,"4",$E9:$AI10)+SUMIF($E9:$AI10,"8",$E9:$AI10)-8,SUMIF($E9:$AI10,"4",$E9:$AI10)+SUMIF($E9:$AI10,"8",$E9:$AI10))</f>
        <v>88</v>
      </c>
      <c r="AT9" s="136">
        <f ca="1">$AR9+$AS9</f>
        <v>172</v>
      </c>
      <c r="AU9" s="136" t="str">
        <f ca="1">IF(AK9=AT9,"+","!")</f>
        <v>!</v>
      </c>
      <c r="AV9" s="136">
        <f ca="1">COUNTIF($E9:$AI10,"ОТ")</f>
        <v>0</v>
      </c>
      <c r="AW9" s="137" t="str">
        <f ca="1">IF(COUNTIF($A10:$AI10,"СП")&gt;0,IF(INDIRECT(ADDRESS(ROW(),MATCH("СП",$A10:$AI10),1))=8,"","!"),"")</f>
        <v/>
      </c>
      <c r="AX9" s="137" t="str">
        <f ca="1">IF(COUNTIF($A10:$AI10,"СП")&gt;0,IF(INDIRECT(ADDRESS(ROW(),MATCH("СП",$A10:$AI10)-1,1))=4,"!",""),"")</f>
        <v>!</v>
      </c>
    </row>
    <row r="10" spans="1:50" ht="16.5" thickBot="1" x14ac:dyDescent="0.3">
      <c r="A10" s="147"/>
      <c r="B10" s="139"/>
      <c r="C10" s="171"/>
      <c r="D10" s="50">
        <v>2</v>
      </c>
      <c r="E10" s="63" t="str">
        <f>INDEX(Д1!$E$44:$AI$53,MATCH($D10,Д1!$D$44:$D$53),MATCH(E$7,Д1!$E$3:$AI$3))</f>
        <v/>
      </c>
      <c r="F10" s="29" t="str">
        <f>INDEX(Д1!$E$44:$AI$53,MATCH($D10,Д1!$D$44:$D$53),MATCH(F$7,Д1!$E$3:$AI$3))</f>
        <v/>
      </c>
      <c r="G10" s="29" t="str">
        <f>INDEX(Д1!$E$44:$AI$53,MATCH($D10,Д1!$D$44:$D$53),MATCH(G$7,Д1!$E$3:$AI$3))</f>
        <v/>
      </c>
      <c r="H10" s="29" t="str">
        <f>INDEX(Д1!$E$44:$AI$53,MATCH($D10,Д1!$D$44:$D$53),MATCH(H$7,Д1!$E$3:$AI$3))</f>
        <v/>
      </c>
      <c r="I10" s="29" t="str">
        <f>INDEX(Д1!$E$44:$AI$53,MATCH($D10,Д1!$D$44:$D$53),MATCH(I$7,Д1!$E$3:$AI$3))</f>
        <v>СП</v>
      </c>
      <c r="J10" s="29" t="str">
        <f>INDEX(Д1!$E$44:$AI$53,MATCH($D10,Д1!$D$44:$D$53),MATCH(J$7,Д1!$E$3:$AI$3))</f>
        <v/>
      </c>
      <c r="K10" s="29" t="str">
        <f>INDEX(Д1!$E$44:$AI$53,MATCH($D10,Д1!$D$44:$D$53),MATCH(K$7,Д1!$E$3:$AI$3))</f>
        <v/>
      </c>
      <c r="L10" s="29" t="str">
        <f>INDEX(Д1!$E$44:$AI$53,MATCH($D10,Д1!$D$44:$D$53),MATCH(L$7,Д1!$E$3:$AI$3))</f>
        <v/>
      </c>
      <c r="M10" s="29" t="str">
        <f>INDEX(Д1!$E$44:$AI$53,MATCH($D10,Д1!$D$44:$D$53),MATCH(M$7,Д1!$E$3:$AI$3))</f>
        <v/>
      </c>
      <c r="N10" s="29" t="str">
        <f>INDEX(Д1!$E$44:$AI$53,MATCH($D10,Д1!$D$44:$D$53),MATCH(N$7,Д1!$E$3:$AI$3))</f>
        <v/>
      </c>
      <c r="O10" s="29" t="str">
        <f>INDEX(Д1!$E$44:$AI$53,MATCH($D10,Д1!$D$44:$D$53),MATCH(O$7,Д1!$E$3:$AI$3))</f>
        <v/>
      </c>
      <c r="P10" s="29" t="str">
        <f>INDEX(Д1!$E$44:$AI$53,MATCH($D10,Д1!$D$44:$D$53),MATCH(P$7,Д1!$E$3:$AI$3))</f>
        <v/>
      </c>
      <c r="Q10" s="29" t="str">
        <f>INDEX(Д1!$E$44:$AI$53,MATCH($D10,Д1!$D$44:$D$53),MATCH(Q$7,Д1!$E$3:$AI$3))</f>
        <v/>
      </c>
      <c r="R10" s="29" t="str">
        <f>INDEX(Д1!$E$44:$AI$53,MATCH($D10,Д1!$D$44:$D$53),MATCH(R$7,Д1!$E$3:$AI$3))</f>
        <v/>
      </c>
      <c r="S10" s="29" t="str">
        <f>INDEX(Д1!$E$44:$AI$53,MATCH($D10,Д1!$D$44:$D$53),MATCH(S$7,Д1!$E$3:$AI$3))</f>
        <v/>
      </c>
      <c r="T10" s="29" t="str">
        <f>INDEX(Д1!$E$44:$AI$53,MATCH($D10,Д1!$D$44:$D$53),MATCH(T$7,Д1!$E$3:$AI$3))</f>
        <v/>
      </c>
      <c r="U10" s="29" t="str">
        <f>INDEX(Д1!$E$44:$AI$53,MATCH($D10,Д1!$D$44:$D$53),MATCH(U$7,Д1!$E$3:$AI$3))</f>
        <v/>
      </c>
      <c r="V10" s="29" t="str">
        <f>INDEX(Д1!$E$44:$AI$53,MATCH($D10,Д1!$D$44:$D$53),MATCH(V$7,Д1!$E$3:$AI$3))</f>
        <v/>
      </c>
      <c r="W10" s="29" t="str">
        <f>INDEX(Д1!$E$44:$AI$53,MATCH($D10,Д1!$D$44:$D$53),MATCH(W$7,Д1!$E$3:$AI$3))</f>
        <v/>
      </c>
      <c r="X10" s="29" t="str">
        <f>INDEX(Д1!$E$44:$AI$53,MATCH($D10,Д1!$D$44:$D$53),MATCH(X$7,Д1!$E$3:$AI$3))</f>
        <v/>
      </c>
      <c r="Y10" s="29" t="str">
        <f>INDEX(Д1!$E$44:$AI$53,MATCH($D10,Д1!$D$44:$D$53),MATCH(Y$7,Д1!$E$3:$AI$3))</f>
        <v/>
      </c>
      <c r="Z10" s="29" t="str">
        <f>INDEX(Д1!$E$44:$AI$53,MATCH($D10,Д1!$D$44:$D$53),MATCH(Z$7,Д1!$E$3:$AI$3))</f>
        <v/>
      </c>
      <c r="AA10" s="29" t="str">
        <f>INDEX(Д1!$E$44:$AI$53,MATCH($D10,Д1!$D$44:$D$53),MATCH(AA$7,Д1!$E$3:$AI$3))</f>
        <v/>
      </c>
      <c r="AB10" s="29" t="str">
        <f>INDEX(Д1!$E$44:$AI$53,MATCH($D10,Д1!$D$44:$D$53),MATCH(AB$7,Д1!$E$3:$AI$3))</f>
        <v/>
      </c>
      <c r="AC10" s="29" t="str">
        <f>INDEX(Д1!$E$44:$AI$53,MATCH($D10,Д1!$D$44:$D$53),MATCH(AC$7,Д1!$E$3:$AI$3))</f>
        <v/>
      </c>
      <c r="AD10" s="29" t="str">
        <f>INDEX(Д1!$E$44:$AI$53,MATCH($D10,Д1!$D$44:$D$53),MATCH(AD$7,Д1!$E$3:$AI$3))</f>
        <v/>
      </c>
      <c r="AE10" s="29" t="str">
        <f>INDEX(Д1!$E$44:$AI$53,MATCH($D10,Д1!$D$44:$D$53),MATCH(AE$7,Д1!$E$3:$AI$3))</f>
        <v/>
      </c>
      <c r="AF10" s="29" t="str">
        <f>INDEX(Д1!$E$44:$AI$53,MATCH($D10,Д1!$D$44:$D$53),MATCH(AF$7,Д1!$E$3:$AI$3))</f>
        <v/>
      </c>
      <c r="AG10" s="29" t="str">
        <f>INDEX(Д1!$E$44:$AI$53,MATCH($D10,Д1!$D$44:$D$53),MATCH(AG$7,Д1!$E$3:$AI$3))</f>
        <v/>
      </c>
      <c r="AH10" s="29" t="str">
        <f>INDEX(Д1!$E$44:$AI$53,MATCH($D10,Д1!$D$44:$D$53),MATCH(AH$7,Д1!$E$3:$AI$3))</f>
        <v/>
      </c>
      <c r="AI10" s="63" t="str">
        <f>INDEX(Д1!$E$44:$AI$53,MATCH($D10,Д1!$D$44:$D$53),MATCH(AI$7,Д1!$E$3:$AI$3))</f>
        <v/>
      </c>
      <c r="AJ10" s="143"/>
      <c r="AK10" s="145"/>
      <c r="AL10" s="145"/>
      <c r="AM10" s="150"/>
      <c r="AP10" s="136"/>
      <c r="AQ10" s="136"/>
      <c r="AR10" s="136"/>
      <c r="AS10" s="136"/>
      <c r="AT10" s="136"/>
      <c r="AU10" s="136"/>
      <c r="AV10" s="136"/>
      <c r="AW10" s="137"/>
      <c r="AX10" s="137"/>
    </row>
    <row r="11" spans="1:50" ht="16.5" customHeight="1" thickBot="1" x14ac:dyDescent="0.3">
      <c r="A11" s="147"/>
      <c r="B11" s="139" t="s">
        <v>81</v>
      </c>
      <c r="C11" s="170">
        <v>2</v>
      </c>
      <c r="D11" s="49">
        <v>3</v>
      </c>
      <c r="E11" s="64">
        <f ca="1">INDEX(Д1!$E$44:$AI$53,MATCH($D11,Д1!$D$44:$D$53),MATCH(E$7,Д1!$E$3:$AI$3))</f>
        <v>4</v>
      </c>
      <c r="F11" s="27">
        <f ca="1">INDEX(Д1!$E$44:$AI$53,MATCH($D11,Д1!$D$44:$D$53),MATCH(F$7,Д1!$E$3:$AI$3))</f>
        <v>8</v>
      </c>
      <c r="G11" s="27">
        <f ca="1">INDEX(Д1!$E$44:$AI$53,MATCH($D11,Д1!$D$44:$D$53),MATCH(G$7,Д1!$E$3:$AI$3))</f>
        <v>12</v>
      </c>
      <c r="H11" s="27">
        <f ca="1">INDEX(Д1!$E$44:$AI$53,MATCH($D11,Д1!$D$44:$D$53),MATCH(H$7,Д1!$E$3:$AI$3))</f>
        <v>4</v>
      </c>
      <c r="I11" s="27">
        <f ca="1">INDEX(Д1!$E$44:$AI$53,MATCH($D11,Д1!$D$44:$D$53),MATCH(I$7,Д1!$E$3:$AI$3))</f>
        <v>8</v>
      </c>
      <c r="J11" s="27">
        <f ca="1">INDEX(Д1!$E$44:$AI$53,MATCH($D11,Д1!$D$44:$D$53),MATCH(J$7,Д1!$E$3:$AI$3))</f>
        <v>12</v>
      </c>
      <c r="K11" s="27">
        <f ca="1">INDEX(Д1!$E$44:$AI$53,MATCH($D11,Д1!$D$44:$D$53),MATCH(K$7,Д1!$E$3:$AI$3))</f>
        <v>0</v>
      </c>
      <c r="L11" s="27">
        <f ca="1">INDEX(Д1!$E$44:$AI$53,MATCH($D11,Д1!$D$44:$D$53),MATCH(L$7,Д1!$E$3:$AI$3))</f>
        <v>0</v>
      </c>
      <c r="M11" s="27">
        <f ca="1">INDEX(Д1!$E$44:$AI$53,MATCH($D11,Д1!$D$44:$D$53),MATCH(M$7,Д1!$E$3:$AI$3))</f>
        <v>4</v>
      </c>
      <c r="N11" s="27">
        <f ca="1">INDEX(Д1!$E$44:$AI$53,MATCH($D11,Д1!$D$44:$D$53),MATCH(N$7,Д1!$E$3:$AI$3))</f>
        <v>8</v>
      </c>
      <c r="O11" s="27">
        <f ca="1">INDEX(Д1!$E$44:$AI$53,MATCH($D11,Д1!$D$44:$D$53),MATCH(O$7,Д1!$E$3:$AI$3))</f>
        <v>12</v>
      </c>
      <c r="P11" s="27">
        <f ca="1">INDEX(Д1!$E$44:$AI$53,MATCH($D11,Д1!$D$44:$D$53),MATCH(P$7,Д1!$E$3:$AI$3))</f>
        <v>4</v>
      </c>
      <c r="Q11" s="27">
        <f ca="1">INDEX(Д1!$E$44:$AI$53,MATCH($D11,Д1!$D$44:$D$53),MATCH(Q$7,Д1!$E$3:$AI$3))</f>
        <v>8</v>
      </c>
      <c r="R11" s="27">
        <f ca="1">INDEX(Д1!$E$44:$AI$53,MATCH($D11,Д1!$D$44:$D$53),MATCH(R$7,Д1!$E$3:$AI$3))</f>
        <v>12</v>
      </c>
      <c r="S11" s="27">
        <f ca="1">INDEX(Д1!$E$44:$AI$53,MATCH($D11,Д1!$D$44:$D$53),MATCH(S$7,Д1!$E$3:$AI$3))</f>
        <v>0</v>
      </c>
      <c r="T11" s="27">
        <f ca="1">INDEX(Д1!$E$44:$AI$53,MATCH($D11,Д1!$D$44:$D$53),MATCH(T$7,Д1!$E$3:$AI$3))</f>
        <v>0</v>
      </c>
      <c r="U11" s="27">
        <f ca="1">INDEX(Д1!$E$44:$AI$53,MATCH($D11,Д1!$D$44:$D$53),MATCH(U$7,Д1!$E$3:$AI$3))</f>
        <v>4</v>
      </c>
      <c r="V11" s="27">
        <f ca="1">INDEX(Д1!$E$44:$AI$53,MATCH($D11,Д1!$D$44:$D$53),MATCH(V$7,Д1!$E$3:$AI$3))</f>
        <v>8</v>
      </c>
      <c r="W11" s="27">
        <f ca="1">INDEX(Д1!$E$44:$AI$53,MATCH($D11,Д1!$D$44:$D$53),MATCH(W$7,Д1!$E$3:$AI$3))</f>
        <v>12</v>
      </c>
      <c r="X11" s="27">
        <f ca="1">INDEX(Д1!$E$44:$AI$53,MATCH($D11,Д1!$D$44:$D$53),MATCH(X$7,Д1!$E$3:$AI$3))</f>
        <v>4</v>
      </c>
      <c r="Y11" s="27">
        <f ca="1">INDEX(Д1!$E$44:$AI$53,MATCH($D11,Д1!$D$44:$D$53),MATCH(Y$7,Д1!$E$3:$AI$3))</f>
        <v>8</v>
      </c>
      <c r="Z11" s="27">
        <f ca="1">INDEX(Д1!$E$44:$AI$53,MATCH($D11,Д1!$D$44:$D$53),MATCH(Z$7,Д1!$E$3:$AI$3))</f>
        <v>12</v>
      </c>
      <c r="AA11" s="27">
        <f ca="1">INDEX(Д1!$E$44:$AI$53,MATCH($D11,Д1!$D$44:$D$53),MATCH(AA$7,Д1!$E$3:$AI$3))</f>
        <v>0</v>
      </c>
      <c r="AB11" s="27">
        <f ca="1">INDEX(Д1!$E$44:$AI$53,MATCH($D11,Д1!$D$44:$D$53),MATCH(AB$7,Д1!$E$3:$AI$3))</f>
        <v>0</v>
      </c>
      <c r="AC11" s="27">
        <f ca="1">INDEX(Д1!$E$44:$AI$53,MATCH($D11,Д1!$D$44:$D$53),MATCH(AC$7,Д1!$E$3:$AI$3))</f>
        <v>4</v>
      </c>
      <c r="AD11" s="27">
        <f ca="1">INDEX(Д1!$E$44:$AI$53,MATCH($D11,Д1!$D$44:$D$53),MATCH(AD$7,Д1!$E$3:$AI$3))</f>
        <v>8</v>
      </c>
      <c r="AE11" s="27">
        <f ca="1">INDEX(Д1!$E$44:$AI$53,MATCH($D11,Д1!$D$44:$D$53),MATCH(AE$7,Д1!$E$3:$AI$3))</f>
        <v>12</v>
      </c>
      <c r="AF11" s="27">
        <f ca="1">INDEX(Д1!$E$44:$AI$53,MATCH($D11,Д1!$D$44:$D$53),MATCH(AF$7,Д1!$E$3:$AI$3))</f>
        <v>4</v>
      </c>
      <c r="AG11" s="27">
        <f ca="1">INDEX(Д1!$E$44:$AI$53,MATCH($D11,Д1!$D$44:$D$53),MATCH(AG$7,Д1!$E$3:$AI$3))</f>
        <v>8</v>
      </c>
      <c r="AH11" s="27">
        <f ca="1">INDEX(Д1!$E$44:$AI$53,MATCH($D11,Д1!$D$44:$D$53),MATCH(AH$7,Д1!$E$3:$AI$3))</f>
        <v>12</v>
      </c>
      <c r="AI11" s="64">
        <f ca="1">INDEX(Д1!$E$44:$AI$53,MATCH($D11,Д1!$D$44:$D$53),MATCH(AI$7,Д1!$E$3:$AI$3))</f>
        <v>0</v>
      </c>
      <c r="AJ11" s="143">
        <f>INDEX(Д1!AK$44:$AK$53,MATCH($C11,Д1!$C$44:$C$53),MATCH(E$7,Д1!$E$3:$AI$3))*AND(MONTH($E$8)=MONTH(Д1!$B$44))</f>
        <v>144</v>
      </c>
      <c r="AK11" s="144">
        <f ca="1">SUM(K11:AI12)</f>
        <v>144</v>
      </c>
      <c r="AL11" s="155"/>
      <c r="AM11" s="149">
        <f ca="1">SUM(F11:H12,J11:AI12)-AJ11+AL11-12</f>
        <v>24</v>
      </c>
      <c r="AP11" s="136">
        <f t="shared" ref="AP11" ca="1" si="3">COUNTIF($E11:$AI12,"12")</f>
        <v>8</v>
      </c>
      <c r="AQ11" s="136">
        <f t="shared" ref="AQ11" ca="1" si="4">IF(COUNTIF($E11:$AI12,"СП")&gt;=1,(COUNTIF($E11:$AI12,"4")+COUNTIF($E11:$AI12,"8")-1)/2,(COUNTIF($E11:$AI12,"4")+COUNTIF($E11:$AI12,"8"))/2)</f>
        <v>7.5</v>
      </c>
      <c r="AR11" s="136">
        <f t="shared" ca="1" si="2"/>
        <v>96</v>
      </c>
      <c r="AS11" s="136">
        <f t="shared" ref="AS11" ca="1" si="5">IF(COUNTIF($E11:$AI12,"СП")&gt;=1,SUMIF($E11:$AI12,"4",$E11:$AI12)+SUMIF($E11:$AI12,"8",$E11:$AI12)-8,SUMIF($E11:$AI12,"4",$E11:$AI12)+SUMIF($E11:$AI12,"8",$E11:$AI12))</f>
        <v>88</v>
      </c>
      <c r="AT11" s="136">
        <f t="shared" ref="AT11" ca="1" si="6">$AR11+$AS11</f>
        <v>184</v>
      </c>
      <c r="AU11" s="136" t="str">
        <f t="shared" ref="AU11" ca="1" si="7">IF(AK11=AT11,"+","!")</f>
        <v>!</v>
      </c>
      <c r="AV11" s="136">
        <f t="shared" ref="AV11" ca="1" si="8">COUNTIF($E11:$AI12,"ОТ")</f>
        <v>0</v>
      </c>
      <c r="AW11" s="137" t="str">
        <f ca="1">IF(COUNTIF($A12:$AI12,"СП")&gt;0,IF(INDIRECT(ADDRESS(ROW(),MATCH("СП",$A12:$AI12),1))=8,"","!"),"")</f>
        <v>!</v>
      </c>
      <c r="AX11" s="137" t="str">
        <f ca="1">IF(COUNTIF($A12:$AI12,"СП")&gt;0,IF(INDIRECT(ADDRESS(ROW(),MATCH("СП",$A12:$AI12)-1,1))=4,"!",""),"")</f>
        <v/>
      </c>
    </row>
    <row r="12" spans="1:50" ht="16.5" thickBot="1" x14ac:dyDescent="0.3">
      <c r="A12" s="147"/>
      <c r="B12" s="139"/>
      <c r="C12" s="171"/>
      <c r="D12" s="50">
        <v>4</v>
      </c>
      <c r="E12" s="65" t="str">
        <f>INDEX(Д1!$E$44:$AI$53,MATCH($D12,Д1!$D$44:$D$53),MATCH(E$7,Д1!$E$3:$AI$3))</f>
        <v/>
      </c>
      <c r="F12" s="30" t="str">
        <f>INDEX(Д1!$E$44:$AI$53,MATCH($D12,Д1!$D$44:$D$53),MATCH(F$7,Д1!$E$3:$AI$3))</f>
        <v/>
      </c>
      <c r="G12" s="30" t="str">
        <f>INDEX(Д1!$E$44:$AI$53,MATCH($D12,Д1!$D$44:$D$53),MATCH(G$7,Д1!$E$3:$AI$3))</f>
        <v/>
      </c>
      <c r="H12" s="30" t="str">
        <f>INDEX(Д1!$E$44:$AI$53,MATCH($D12,Д1!$D$44:$D$53),MATCH(H$7,Д1!$E$3:$AI$3))</f>
        <v/>
      </c>
      <c r="I12" s="30" t="str">
        <f>INDEX(Д1!$E$44:$AI$53,MATCH($D12,Д1!$D$44:$D$53),MATCH(I$7,Д1!$E$3:$AI$3))</f>
        <v/>
      </c>
      <c r="J12" s="30" t="str">
        <f>INDEX(Д1!$E$44:$AI$53,MATCH($D12,Д1!$D$44:$D$53),MATCH(J$7,Д1!$E$3:$AI$3))</f>
        <v>СП</v>
      </c>
      <c r="K12" s="30" t="str">
        <f>INDEX(Д1!$E$44:$AI$53,MATCH($D12,Д1!$D$44:$D$53),MATCH(K$7,Д1!$E$3:$AI$3))</f>
        <v/>
      </c>
      <c r="L12" s="30" t="str">
        <f>INDEX(Д1!$E$44:$AI$53,MATCH($D12,Д1!$D$44:$D$53),MATCH(L$7,Д1!$E$3:$AI$3))</f>
        <v/>
      </c>
      <c r="M12" s="30" t="str">
        <f>INDEX(Д1!$E$44:$AI$53,MATCH($D12,Д1!$D$44:$D$53),MATCH(M$7,Д1!$E$3:$AI$3))</f>
        <v/>
      </c>
      <c r="N12" s="30" t="str">
        <f>INDEX(Д1!$E$44:$AI$53,MATCH($D12,Д1!$D$44:$D$53),MATCH(N$7,Д1!$E$3:$AI$3))</f>
        <v/>
      </c>
      <c r="O12" s="30" t="str">
        <f>INDEX(Д1!$E$44:$AI$53,MATCH($D12,Д1!$D$44:$D$53),MATCH(O$7,Д1!$E$3:$AI$3))</f>
        <v/>
      </c>
      <c r="P12" s="30" t="str">
        <f>INDEX(Д1!$E$44:$AI$53,MATCH($D12,Д1!$D$44:$D$53),MATCH(P$7,Д1!$E$3:$AI$3))</f>
        <v/>
      </c>
      <c r="Q12" s="30" t="str">
        <f>INDEX(Д1!$E$44:$AI$53,MATCH($D12,Д1!$D$44:$D$53),MATCH(Q$7,Д1!$E$3:$AI$3))</f>
        <v/>
      </c>
      <c r="R12" s="30" t="str">
        <f>INDEX(Д1!$E$44:$AI$53,MATCH($D12,Д1!$D$44:$D$53),MATCH(R$7,Д1!$E$3:$AI$3))</f>
        <v/>
      </c>
      <c r="S12" s="30" t="str">
        <f>INDEX(Д1!$E$44:$AI$53,MATCH($D12,Д1!$D$44:$D$53),MATCH(S$7,Д1!$E$3:$AI$3))</f>
        <v/>
      </c>
      <c r="T12" s="30" t="str">
        <f>INDEX(Д1!$E$44:$AI$53,MATCH($D12,Д1!$D$44:$D$53),MATCH(T$7,Д1!$E$3:$AI$3))</f>
        <v/>
      </c>
      <c r="U12" s="30" t="str">
        <f>INDEX(Д1!$E$44:$AI$53,MATCH($D12,Д1!$D$44:$D$53),MATCH(U$7,Д1!$E$3:$AI$3))</f>
        <v/>
      </c>
      <c r="V12" s="30" t="str">
        <f>INDEX(Д1!$E$44:$AI$53,MATCH($D12,Д1!$D$44:$D$53),MATCH(V$7,Д1!$E$3:$AI$3))</f>
        <v/>
      </c>
      <c r="W12" s="30" t="str">
        <f>INDEX(Д1!$E$44:$AI$53,MATCH($D12,Д1!$D$44:$D$53),MATCH(W$7,Д1!$E$3:$AI$3))</f>
        <v/>
      </c>
      <c r="X12" s="30" t="str">
        <f>INDEX(Д1!$E$44:$AI$53,MATCH($D12,Д1!$D$44:$D$53),MATCH(X$7,Д1!$E$3:$AI$3))</f>
        <v/>
      </c>
      <c r="Y12" s="30" t="str">
        <f>INDEX(Д1!$E$44:$AI$53,MATCH($D12,Д1!$D$44:$D$53),MATCH(Y$7,Д1!$E$3:$AI$3))</f>
        <v/>
      </c>
      <c r="Z12" s="30" t="str">
        <f>INDEX(Д1!$E$44:$AI$53,MATCH($D12,Д1!$D$44:$D$53),MATCH(Z$7,Д1!$E$3:$AI$3))</f>
        <v/>
      </c>
      <c r="AA12" s="30" t="str">
        <f>INDEX(Д1!$E$44:$AI$53,MATCH($D12,Д1!$D$44:$D$53),MATCH(AA$7,Д1!$E$3:$AI$3))</f>
        <v/>
      </c>
      <c r="AB12" s="30" t="str">
        <f>INDEX(Д1!$E$44:$AI$53,MATCH($D12,Д1!$D$44:$D$53),MATCH(AB$7,Д1!$E$3:$AI$3))</f>
        <v/>
      </c>
      <c r="AC12" s="30" t="str">
        <f>INDEX(Д1!$E$44:$AI$53,MATCH($D12,Д1!$D$44:$D$53),MATCH(AC$7,Д1!$E$3:$AI$3))</f>
        <v/>
      </c>
      <c r="AD12" s="30" t="str">
        <f>INDEX(Д1!$E$44:$AI$53,MATCH($D12,Д1!$D$44:$D$53),MATCH(AD$7,Д1!$E$3:$AI$3))</f>
        <v/>
      </c>
      <c r="AE12" s="30" t="str">
        <f>INDEX(Д1!$E$44:$AI$53,MATCH($D12,Д1!$D$44:$D$53),MATCH(AE$7,Д1!$E$3:$AI$3))</f>
        <v/>
      </c>
      <c r="AF12" s="30" t="str">
        <f>INDEX(Д1!$E$44:$AI$53,MATCH($D12,Д1!$D$44:$D$53),MATCH(AF$7,Д1!$E$3:$AI$3))</f>
        <v/>
      </c>
      <c r="AG12" s="30" t="str">
        <f>INDEX(Д1!$E$44:$AI$53,MATCH($D12,Д1!$D$44:$D$53),MATCH(AG$7,Д1!$E$3:$AI$3))</f>
        <v/>
      </c>
      <c r="AH12" s="30" t="str">
        <f>INDEX(Д1!$E$44:$AI$53,MATCH($D12,Д1!$D$44:$D$53),MATCH(AH$7,Д1!$E$3:$AI$3))</f>
        <v/>
      </c>
      <c r="AI12" s="33" t="str">
        <f>INDEX(Д1!$E$44:$AI$53,MATCH($D12,Д1!$D$44:$D$53),MATCH(AI$7,Д1!$E$3:$AI$3))</f>
        <v/>
      </c>
      <c r="AJ12" s="143"/>
      <c r="AK12" s="145"/>
      <c r="AL12" s="155"/>
      <c r="AM12" s="150"/>
      <c r="AP12" s="136"/>
      <c r="AQ12" s="136"/>
      <c r="AR12" s="136"/>
      <c r="AS12" s="136"/>
      <c r="AT12" s="136"/>
      <c r="AU12" s="136"/>
      <c r="AV12" s="136"/>
      <c r="AW12" s="137"/>
      <c r="AX12" s="137"/>
    </row>
    <row r="13" spans="1:50" ht="16.5" thickBot="1" x14ac:dyDescent="0.3">
      <c r="A13" s="147"/>
      <c r="B13" s="139" t="s">
        <v>82</v>
      </c>
      <c r="C13" s="170">
        <v>3</v>
      </c>
      <c r="D13" s="49">
        <v>5</v>
      </c>
      <c r="E13" s="62">
        <f ca="1">INDEX(Д1!$E$44:$AI$53,MATCH($D13,Д1!$D$44:$D$53),MATCH(E$7,Д1!$E$3:$AI$3))</f>
        <v>8</v>
      </c>
      <c r="F13" s="28">
        <f ca="1">INDEX(Д1!$E$44:$AI$53,MATCH($D13,Д1!$D$44:$D$53),MATCH(F$7,Д1!$E$3:$AI$3))</f>
        <v>12</v>
      </c>
      <c r="G13" s="28">
        <f ca="1">INDEX(Д1!$E$44:$AI$53,MATCH($D13,Д1!$D$44:$D$53),MATCH(G$7,Д1!$E$3:$AI$3))</f>
        <v>0</v>
      </c>
      <c r="H13" s="28">
        <f ca="1">INDEX(Д1!$E$44:$AI$53,MATCH($D13,Д1!$D$44:$D$53),MATCH(H$7,Д1!$E$3:$AI$3))</f>
        <v>0</v>
      </c>
      <c r="I13" s="28">
        <f ca="1">INDEX(Д1!$E$44:$AI$53,MATCH($D13,Д1!$D$44:$D$53),MATCH(I$7,Д1!$E$3:$AI$3))</f>
        <v>4</v>
      </c>
      <c r="J13" s="28">
        <f ca="1">INDEX(Д1!$E$44:$AI$53,MATCH($D13,Д1!$D$44:$D$53),MATCH(J$7,Д1!$E$3:$AI$3))</f>
        <v>8</v>
      </c>
      <c r="K13" s="28">
        <f ca="1">INDEX(Д1!$E$44:$AI$53,MATCH($D13,Д1!$D$44:$D$53),MATCH(K$7,Д1!$E$3:$AI$3))</f>
        <v>12</v>
      </c>
      <c r="L13" s="28">
        <f ca="1">INDEX(Д1!$E$44:$AI$53,MATCH($D13,Д1!$D$44:$D$53),MATCH(L$7,Д1!$E$3:$AI$3))</f>
        <v>4</v>
      </c>
      <c r="M13" s="28">
        <f ca="1">INDEX(Д1!$E$44:$AI$53,MATCH($D13,Д1!$D$44:$D$53),MATCH(M$7,Д1!$E$3:$AI$3))</f>
        <v>8</v>
      </c>
      <c r="N13" s="28">
        <f ca="1">INDEX(Д1!$E$44:$AI$53,MATCH($D13,Д1!$D$44:$D$53),MATCH(N$7,Д1!$E$3:$AI$3))</f>
        <v>12</v>
      </c>
      <c r="O13" s="28">
        <f ca="1">INDEX(Д1!$E$44:$AI$53,MATCH($D13,Д1!$D$44:$D$53),MATCH(O$7,Д1!$E$3:$AI$3))</f>
        <v>0</v>
      </c>
      <c r="P13" s="28">
        <f ca="1">INDEX(Д1!$E$44:$AI$53,MATCH($D13,Д1!$D$44:$D$53),MATCH(P$7,Д1!$E$3:$AI$3))</f>
        <v>0</v>
      </c>
      <c r="Q13" s="28">
        <f ca="1">INDEX(Д1!$E$44:$AI$53,MATCH($D13,Д1!$D$44:$D$53),MATCH(Q$7,Д1!$E$3:$AI$3))</f>
        <v>4</v>
      </c>
      <c r="R13" s="28">
        <f ca="1">INDEX(Д1!$E$44:$AI$53,MATCH($D13,Д1!$D$44:$D$53),MATCH(R$7,Д1!$E$3:$AI$3))</f>
        <v>8</v>
      </c>
      <c r="S13" s="28">
        <f ca="1">INDEX(Д1!$E$44:$AI$53,MATCH($D13,Д1!$D$44:$D$53),MATCH(S$7,Д1!$E$3:$AI$3))</f>
        <v>12</v>
      </c>
      <c r="T13" s="28">
        <f ca="1">INDEX(Д1!$E$44:$AI$53,MATCH($D13,Д1!$D$44:$D$53),MATCH(T$7,Д1!$E$3:$AI$3))</f>
        <v>4</v>
      </c>
      <c r="U13" s="28">
        <f ca="1">INDEX(Д1!$E$44:$AI$53,MATCH($D13,Д1!$D$44:$D$53),MATCH(U$7,Д1!$E$3:$AI$3))</f>
        <v>8</v>
      </c>
      <c r="V13" s="28">
        <f ca="1">INDEX(Д1!$E$44:$AI$53,MATCH($D13,Д1!$D$44:$D$53),MATCH(V$7,Д1!$E$3:$AI$3))</f>
        <v>12</v>
      </c>
      <c r="W13" s="28">
        <f ca="1">INDEX(Д1!$E$44:$AI$53,MATCH($D13,Д1!$D$44:$D$53),MATCH(W$7,Д1!$E$3:$AI$3))</f>
        <v>0</v>
      </c>
      <c r="X13" s="28">
        <f ca="1">INDEX(Д1!$E$44:$AI$53,MATCH($D13,Д1!$D$44:$D$53),MATCH(X$7,Д1!$E$3:$AI$3))</f>
        <v>0</v>
      </c>
      <c r="Y13" s="28">
        <f ca="1">INDEX(Д1!$E$44:$AI$53,MATCH($D13,Д1!$D$44:$D$53),MATCH(Y$7,Д1!$E$3:$AI$3))</f>
        <v>4</v>
      </c>
      <c r="Z13" s="28">
        <f ca="1">INDEX(Д1!$E$44:$AI$53,MATCH($D13,Д1!$D$44:$D$53),MATCH(Z$7,Д1!$E$3:$AI$3))</f>
        <v>8</v>
      </c>
      <c r="AA13" s="28">
        <f ca="1">INDEX(Д1!$E$44:$AI$53,MATCH($D13,Д1!$D$44:$D$53),MATCH(AA$7,Д1!$E$3:$AI$3))</f>
        <v>12</v>
      </c>
      <c r="AB13" s="28">
        <f ca="1">INDEX(Д1!$E$44:$AI$53,MATCH($D13,Д1!$D$44:$D$53),MATCH(AB$7,Д1!$E$3:$AI$3))</f>
        <v>4</v>
      </c>
      <c r="AC13" s="28">
        <f ca="1">INDEX(Д1!$E$44:$AI$53,MATCH($D13,Д1!$D$44:$D$53),MATCH(AC$7,Д1!$E$3:$AI$3))</f>
        <v>8</v>
      </c>
      <c r="AD13" s="28">
        <f ca="1">INDEX(Д1!$E$44:$AI$53,MATCH($D13,Д1!$D$44:$D$53),MATCH(AD$7,Д1!$E$3:$AI$3))</f>
        <v>12</v>
      </c>
      <c r="AE13" s="28">
        <f ca="1">INDEX(Д1!$E$44:$AI$53,MATCH($D13,Д1!$D$44:$D$53),MATCH(AE$7,Д1!$E$3:$AI$3))</f>
        <v>0</v>
      </c>
      <c r="AF13" s="28">
        <f ca="1">INDEX(Д1!$E$44:$AI$53,MATCH($D13,Д1!$D$44:$D$53),MATCH(AF$7,Д1!$E$3:$AI$3))</f>
        <v>0</v>
      </c>
      <c r="AG13" s="28">
        <f ca="1">INDEX(Д1!$E$44:$AI$53,MATCH($D13,Д1!$D$44:$D$53),MATCH(AG$7,Д1!$E$3:$AI$3))</f>
        <v>4</v>
      </c>
      <c r="AH13" s="28">
        <f ca="1">INDEX(Д1!$E$44:$AI$53,MATCH($D13,Д1!$D$44:$D$53),MATCH(AH$7,Д1!$E$3:$AI$3))</f>
        <v>8</v>
      </c>
      <c r="AI13" s="62">
        <f ca="1">INDEX(Д1!$E$44:$AI$53,MATCH($D13,Д1!$D$44:$D$53),MATCH(AI$7,Д1!$E$3:$AI$3))</f>
        <v>12</v>
      </c>
      <c r="AJ13" s="143">
        <f>INDEX(Д1!AK$44:$AK$53,MATCH($C13,Д1!$C$44:$C$53),MATCH(E$7,Д1!$E$3:$AI$3))*AND(MONTH($E$8)=MONTH(Д1!$B$44))</f>
        <v>144</v>
      </c>
      <c r="AK13" s="144">
        <f ca="1">SUM(E13:K14)</f>
        <v>44</v>
      </c>
      <c r="AL13" s="144"/>
      <c r="AM13" s="149">
        <f ca="1">SUM(F13:H14,J13:AI14)-AJ13+AL13-12</f>
        <v>20</v>
      </c>
      <c r="AP13" s="136">
        <f t="shared" ref="AP13" ca="1" si="9">COUNTIF($E13:$AI14,"12")</f>
        <v>8</v>
      </c>
      <c r="AQ13" s="136">
        <f t="shared" ref="AQ13" ca="1" si="10">IF(COUNTIF($E13:$AI14,"СП")&gt;=1,(COUNTIF($E13:$AI14,"4")+COUNTIF($E13:$AI14,"8")-1)/2,(COUNTIF($E13:$AI14,"4")+COUNTIF($E13:$AI14,"8"))/2)</f>
        <v>7</v>
      </c>
      <c r="AR13" s="136">
        <f t="shared" ca="1" si="2"/>
        <v>96</v>
      </c>
      <c r="AS13" s="136">
        <f t="shared" ref="AS13" ca="1" si="11">IF(COUNTIF($E13:$AI14,"СП")&gt;=1,SUMIF($E13:$AI14,"4",$E13:$AI14)+SUMIF($E13:$AI14,"8",$E13:$AI14)-8,SUMIF($E13:$AI14,"4",$E13:$AI14)+SUMIF($E13:$AI14,"8",$E13:$AI14))</f>
        <v>84</v>
      </c>
      <c r="AT13" s="136">
        <f t="shared" ref="AT13" ca="1" si="12">$AR13+$AS13</f>
        <v>180</v>
      </c>
      <c r="AU13" s="136" t="str">
        <f t="shared" ref="AU13" ca="1" si="13">IF(AK13=AT13,"+","!")</f>
        <v>!</v>
      </c>
      <c r="AV13" s="136">
        <f ca="1">COUNTIF($E13:$AI14,"ОТ")</f>
        <v>0</v>
      </c>
      <c r="AW13" s="137" t="str">
        <f ca="1">IF(COUNTIF($A14:$AI14,"СП")&gt;0,IF(INDIRECT(ADDRESS(ROW(),MATCH("СП",$A14:$AI14),1))=8,"","!"),"")</f>
        <v>!</v>
      </c>
      <c r="AX13" s="137" t="str">
        <f ca="1">IF(COUNTIF($A14:$AI14,"СП")&gt;0,IF(INDIRECT(ADDRESS(ROW(),MATCH("СП",$A14:$AI14)-1,1))=4,"!",""),"")</f>
        <v/>
      </c>
    </row>
    <row r="14" spans="1:50" ht="16.5" thickBot="1" x14ac:dyDescent="0.3">
      <c r="A14" s="147"/>
      <c r="B14" s="139"/>
      <c r="C14" s="171"/>
      <c r="D14" s="50">
        <v>6</v>
      </c>
      <c r="E14" s="63" t="str">
        <f>INDEX(Д1!$E$44:$AI$53,MATCH($D14,Д1!$D$44:$D$53),MATCH(E$7,Д1!$E$3:$AI$3))</f>
        <v/>
      </c>
      <c r="F14" s="29" t="str">
        <f>INDEX(Д1!$E$44:$AI$53,MATCH($D14,Д1!$D$44:$D$53),MATCH(F$7,Д1!$E$3:$AI$3))</f>
        <v/>
      </c>
      <c r="G14" s="29" t="str">
        <f>INDEX(Д1!$E$44:$AI$53,MATCH($D14,Д1!$D$44:$D$53),MATCH(G$7,Д1!$E$3:$AI$3))</f>
        <v/>
      </c>
      <c r="H14" s="29" t="str">
        <f>INDEX(Д1!$E$44:$AI$53,MATCH($D14,Д1!$D$44:$D$53),MATCH(H$7,Д1!$E$3:$AI$3))</f>
        <v/>
      </c>
      <c r="I14" s="29" t="str">
        <f>INDEX(Д1!$E$44:$AI$53,MATCH($D14,Д1!$D$44:$D$53),MATCH(I$7,Д1!$E$3:$AI$3))</f>
        <v/>
      </c>
      <c r="J14" s="29" t="str">
        <f>INDEX(Д1!$E$44:$AI$53,MATCH($D14,Д1!$D$44:$D$53),MATCH(J$7,Д1!$E$3:$AI$3))</f>
        <v/>
      </c>
      <c r="K14" s="29" t="str">
        <f>INDEX(Д1!$E$44:$AI$53,MATCH($D14,Д1!$D$44:$D$53),MATCH(K$7,Д1!$E$3:$AI$3))</f>
        <v>СП</v>
      </c>
      <c r="L14" s="29" t="str">
        <f>INDEX(Д1!$E$44:$AI$53,MATCH($D14,Д1!$D$44:$D$53),MATCH(L$7,Д1!$E$3:$AI$3))</f>
        <v/>
      </c>
      <c r="M14" s="29" t="str">
        <f>INDEX(Д1!$E$44:$AI$53,MATCH($D14,Д1!$D$44:$D$53),MATCH(M$7,Д1!$E$3:$AI$3))</f>
        <v/>
      </c>
      <c r="N14" s="29" t="str">
        <f>INDEX(Д1!$E$44:$AI$53,MATCH($D14,Д1!$D$44:$D$53),MATCH(N$7,Д1!$E$3:$AI$3))</f>
        <v/>
      </c>
      <c r="O14" s="29" t="str">
        <f>INDEX(Д1!$E$44:$AI$53,MATCH($D14,Д1!$D$44:$D$53),MATCH(O$7,Д1!$E$3:$AI$3))</f>
        <v/>
      </c>
      <c r="P14" s="29" t="str">
        <f>INDEX(Д1!$E$44:$AI$53,MATCH($D14,Д1!$D$44:$D$53),MATCH(P$7,Д1!$E$3:$AI$3))</f>
        <v/>
      </c>
      <c r="Q14" s="29" t="str">
        <f>INDEX(Д1!$E$44:$AI$53,MATCH($D14,Д1!$D$44:$D$53),MATCH(Q$7,Д1!$E$3:$AI$3))</f>
        <v/>
      </c>
      <c r="R14" s="29" t="str">
        <f>INDEX(Д1!$E$44:$AI$53,MATCH($D14,Д1!$D$44:$D$53),MATCH(R$7,Д1!$E$3:$AI$3))</f>
        <v/>
      </c>
      <c r="S14" s="29" t="str">
        <f>INDEX(Д1!$E$44:$AI$53,MATCH($D14,Д1!$D$44:$D$53),MATCH(S$7,Д1!$E$3:$AI$3))</f>
        <v/>
      </c>
      <c r="T14" s="29" t="str">
        <f>INDEX(Д1!$E$44:$AI$53,MATCH($D14,Д1!$D$44:$D$53),MATCH(T$7,Д1!$E$3:$AI$3))</f>
        <v/>
      </c>
      <c r="U14" s="29" t="str">
        <f>INDEX(Д1!$E$44:$AI$53,MATCH($D14,Д1!$D$44:$D$53),MATCH(U$7,Д1!$E$3:$AI$3))</f>
        <v/>
      </c>
      <c r="V14" s="29" t="str">
        <f>INDEX(Д1!$E$44:$AI$53,MATCH($D14,Д1!$D$44:$D$53),MATCH(V$7,Д1!$E$3:$AI$3))</f>
        <v/>
      </c>
      <c r="W14" s="29" t="str">
        <f>INDEX(Д1!$E$44:$AI$53,MATCH($D14,Д1!$D$44:$D$53),MATCH(W$7,Д1!$E$3:$AI$3))</f>
        <v/>
      </c>
      <c r="X14" s="29" t="str">
        <f>INDEX(Д1!$E$44:$AI$53,MATCH($D14,Д1!$D$44:$D$53),MATCH(X$7,Д1!$E$3:$AI$3))</f>
        <v/>
      </c>
      <c r="Y14" s="29" t="str">
        <f>INDEX(Д1!$E$44:$AI$53,MATCH($D14,Д1!$D$44:$D$53),MATCH(Y$7,Д1!$E$3:$AI$3))</f>
        <v/>
      </c>
      <c r="Z14" s="29" t="str">
        <f>INDEX(Д1!$E$44:$AI$53,MATCH($D14,Д1!$D$44:$D$53),MATCH(Z$7,Д1!$E$3:$AI$3))</f>
        <v/>
      </c>
      <c r="AA14" s="29" t="str">
        <f>INDEX(Д1!$E$44:$AI$53,MATCH($D14,Д1!$D$44:$D$53),MATCH(AA$7,Д1!$E$3:$AI$3))</f>
        <v/>
      </c>
      <c r="AB14" s="29" t="str">
        <f>INDEX(Д1!$E$44:$AI$53,MATCH($D14,Д1!$D$44:$D$53),MATCH(AB$7,Д1!$E$3:$AI$3))</f>
        <v/>
      </c>
      <c r="AC14" s="29" t="str">
        <f>INDEX(Д1!$E$44:$AI$53,MATCH($D14,Д1!$D$44:$D$53),MATCH(AC$7,Д1!$E$3:$AI$3))</f>
        <v/>
      </c>
      <c r="AD14" s="29" t="str">
        <f>INDEX(Д1!$E$44:$AI$53,MATCH($D14,Д1!$D$44:$D$53),MATCH(AD$7,Д1!$E$3:$AI$3))</f>
        <v/>
      </c>
      <c r="AE14" s="29" t="str">
        <f>INDEX(Д1!$E$44:$AI$53,MATCH($D14,Д1!$D$44:$D$53),MATCH(AE$7,Д1!$E$3:$AI$3))</f>
        <v/>
      </c>
      <c r="AF14" s="29" t="str">
        <f>INDEX(Д1!$E$44:$AI$53,MATCH($D14,Д1!$D$44:$D$53),MATCH(AF$7,Д1!$E$3:$AI$3))</f>
        <v/>
      </c>
      <c r="AG14" s="29" t="str">
        <f>INDEX(Д1!$E$44:$AI$53,MATCH($D14,Д1!$D$44:$D$53),MATCH(AG$7,Д1!$E$3:$AI$3))</f>
        <v/>
      </c>
      <c r="AH14" s="29" t="str">
        <f>INDEX(Д1!$E$44:$AI$53,MATCH($D14,Д1!$D$44:$D$53),MATCH(AH$7,Д1!$E$3:$AI$3))</f>
        <v/>
      </c>
      <c r="AI14" s="63" t="str">
        <f>INDEX(Д1!$E$44:$AI$53,MATCH($D14,Д1!$D$44:$D$53),MATCH(AI$7,Д1!$E$3:$AI$3))</f>
        <v/>
      </c>
      <c r="AJ14" s="143"/>
      <c r="AK14" s="145"/>
      <c r="AL14" s="145"/>
      <c r="AM14" s="150"/>
      <c r="AP14" s="136"/>
      <c r="AQ14" s="136"/>
      <c r="AR14" s="136"/>
      <c r="AS14" s="136"/>
      <c r="AT14" s="136"/>
      <c r="AU14" s="136"/>
      <c r="AV14" s="136"/>
      <c r="AW14" s="137"/>
      <c r="AX14" s="137"/>
    </row>
    <row r="15" spans="1:50" ht="16.5" customHeight="1" thickBot="1" x14ac:dyDescent="0.3">
      <c r="A15" s="147"/>
      <c r="B15" s="139" t="s">
        <v>83</v>
      </c>
      <c r="C15" s="170">
        <v>4</v>
      </c>
      <c r="D15" s="49">
        <v>7</v>
      </c>
      <c r="E15" s="64">
        <f ca="1">INDEX(Д1!$E$44:$AI$53,MATCH($D15,Д1!$D$44:$D$53),MATCH(E$7,Д1!$E$3:$AI$3))</f>
        <v>12</v>
      </c>
      <c r="F15" s="27">
        <f ca="1">INDEX(Д1!$E$44:$AI$53,MATCH($D15,Д1!$D$44:$D$53),MATCH(F$7,Д1!$E$3:$AI$3))</f>
        <v>4</v>
      </c>
      <c r="G15" s="27">
        <f ca="1">INDEX(Д1!$E$44:$AI$53,MATCH($D15,Д1!$D$44:$D$53),MATCH(G$7,Д1!$E$3:$AI$3))</f>
        <v>8</v>
      </c>
      <c r="H15" s="27">
        <f ca="1">INDEX(Д1!$E$44:$AI$53,MATCH($D15,Д1!$D$44:$D$53),MATCH(H$7,Д1!$E$3:$AI$3))</f>
        <v>12</v>
      </c>
      <c r="I15" s="27">
        <f ca="1">INDEX(Д1!$E$44:$AI$53,MATCH($D15,Д1!$D$44:$D$53),MATCH(I$7,Д1!$E$3:$AI$3))</f>
        <v>0</v>
      </c>
      <c r="J15" s="27">
        <f ca="1">INDEX(Д1!$E$44:$AI$53,MATCH($D15,Д1!$D$44:$D$53),MATCH(J$7,Д1!$E$3:$AI$3))</f>
        <v>0</v>
      </c>
      <c r="K15" s="27">
        <f ca="1">INDEX(Д1!$E$44:$AI$53,MATCH($D15,Д1!$D$44:$D$53),MATCH(K$7,Д1!$E$3:$AI$3))</f>
        <v>4</v>
      </c>
      <c r="L15" s="27">
        <f ca="1">INDEX(Д1!$E$44:$AI$53,MATCH($D15,Д1!$D$44:$D$53),MATCH(L$7,Д1!$E$3:$AI$3))</f>
        <v>8</v>
      </c>
      <c r="M15" s="27">
        <f ca="1">INDEX(Д1!$E$44:$AI$53,MATCH($D15,Д1!$D$44:$D$53),MATCH(M$7,Д1!$E$3:$AI$3))</f>
        <v>12</v>
      </c>
      <c r="N15" s="27">
        <f ca="1">INDEX(Д1!$E$44:$AI$53,MATCH($D15,Д1!$D$44:$D$53),MATCH(N$7,Д1!$E$3:$AI$3))</f>
        <v>4</v>
      </c>
      <c r="O15" s="27">
        <f ca="1">INDEX(Д1!$E$44:$AI$53,MATCH($D15,Д1!$D$44:$D$53),MATCH(O$7,Д1!$E$3:$AI$3))</f>
        <v>8</v>
      </c>
      <c r="P15" s="27">
        <f ca="1">INDEX(Д1!$E$44:$AI$53,MATCH($D15,Д1!$D$44:$D$53),MATCH(P$7,Д1!$E$3:$AI$3))</f>
        <v>12</v>
      </c>
      <c r="Q15" s="27">
        <f ca="1">INDEX(Д1!$E$44:$AI$53,MATCH($D15,Д1!$D$44:$D$53),MATCH(Q$7,Д1!$E$3:$AI$3))</f>
        <v>0</v>
      </c>
      <c r="R15" s="27">
        <f ca="1">INDEX(Д1!$E$44:$AI$53,MATCH($D15,Д1!$D$44:$D$53),MATCH(R$7,Д1!$E$3:$AI$3))</f>
        <v>0</v>
      </c>
      <c r="S15" s="27">
        <f ca="1">INDEX(Д1!$E$44:$AI$53,MATCH($D15,Д1!$D$44:$D$53),MATCH(S$7,Д1!$E$3:$AI$3))</f>
        <v>4</v>
      </c>
      <c r="T15" s="27">
        <f ca="1">INDEX(Д1!$E$44:$AI$53,MATCH($D15,Д1!$D$44:$D$53),MATCH(T$7,Д1!$E$3:$AI$3))</f>
        <v>8</v>
      </c>
      <c r="U15" s="27">
        <f ca="1">INDEX(Д1!$E$44:$AI$53,MATCH($D15,Д1!$D$44:$D$53),MATCH(U$7,Д1!$E$3:$AI$3))</f>
        <v>12</v>
      </c>
      <c r="V15" s="27">
        <f ca="1">INDEX(Д1!$E$44:$AI$53,MATCH($D15,Д1!$D$44:$D$53),MATCH(V$7,Д1!$E$3:$AI$3))</f>
        <v>4</v>
      </c>
      <c r="W15" s="27">
        <f ca="1">INDEX(Д1!$E$44:$AI$53,MATCH($D15,Д1!$D$44:$D$53),MATCH(W$7,Д1!$E$3:$AI$3))</f>
        <v>8</v>
      </c>
      <c r="X15" s="27">
        <f ca="1">INDEX(Д1!$E$44:$AI$53,MATCH($D15,Д1!$D$44:$D$53),MATCH(X$7,Д1!$E$3:$AI$3))</f>
        <v>12</v>
      </c>
      <c r="Y15" s="27">
        <f ca="1">INDEX(Д1!$E$44:$AI$53,MATCH($D15,Д1!$D$44:$D$53),MATCH(Y$7,Д1!$E$3:$AI$3))</f>
        <v>0</v>
      </c>
      <c r="Z15" s="27">
        <f ca="1">INDEX(Д1!$E$44:$AI$53,MATCH($D15,Д1!$D$44:$D$53),MATCH(Z$7,Д1!$E$3:$AI$3))</f>
        <v>0</v>
      </c>
      <c r="AA15" s="27">
        <f ca="1">INDEX(Д1!$E$44:$AI$53,MATCH($D15,Д1!$D$44:$D$53),MATCH(AA$7,Д1!$E$3:$AI$3))</f>
        <v>4</v>
      </c>
      <c r="AB15" s="27">
        <f ca="1">INDEX(Д1!$E$44:$AI$53,MATCH($D15,Д1!$D$44:$D$53),MATCH(AB$7,Д1!$E$3:$AI$3))</f>
        <v>8</v>
      </c>
      <c r="AC15" s="27">
        <f ca="1">INDEX(Д1!$E$44:$AI$53,MATCH($D15,Д1!$D$44:$D$53),MATCH(AC$7,Д1!$E$3:$AI$3))</f>
        <v>12</v>
      </c>
      <c r="AD15" s="27">
        <f ca="1">INDEX(Д1!$E$44:$AI$53,MATCH($D15,Д1!$D$44:$D$53),MATCH(AD$7,Д1!$E$3:$AI$3))</f>
        <v>4</v>
      </c>
      <c r="AE15" s="27">
        <f ca="1">INDEX(Д1!$E$44:$AI$53,MATCH($D15,Д1!$D$44:$D$53),MATCH(AE$7,Д1!$E$3:$AI$3))</f>
        <v>8</v>
      </c>
      <c r="AF15" s="27">
        <f ca="1">INDEX(Д1!$E$44:$AI$53,MATCH($D15,Д1!$D$44:$D$53),MATCH(AF$7,Д1!$E$3:$AI$3))</f>
        <v>12</v>
      </c>
      <c r="AG15" s="27">
        <f ca="1">INDEX(Д1!$E$44:$AI$53,MATCH($D15,Д1!$D$44:$D$53),MATCH(AG$7,Д1!$E$3:$AI$3))</f>
        <v>0</v>
      </c>
      <c r="AH15" s="27">
        <f ca="1">INDEX(Д1!$E$44:$AI$53,MATCH($D15,Д1!$D$44:$D$53),MATCH(AH$7,Д1!$E$3:$AI$3))</f>
        <v>0</v>
      </c>
      <c r="AI15" s="64">
        <f ca="1">INDEX(Д1!$E$44:$AI$53,MATCH($D15,Д1!$D$44:$D$53),MATCH(AI$7,Д1!$E$3:$AI$3))</f>
        <v>4</v>
      </c>
      <c r="AJ15" s="143">
        <f>INDEX(Д1!AK$44:$AK$53,MATCH($C15,Д1!$C$44:$C$53),MATCH(E$7,Д1!$E$3:$AI$3))*AND(MONTH($E$8)=MONTH(Д1!$B$44))</f>
        <v>144</v>
      </c>
      <c r="AK15" s="144">
        <f ca="1">SUM(E15:AI16)</f>
        <v>184</v>
      </c>
      <c r="AL15" s="155"/>
      <c r="AM15" s="149">
        <f ca="1">SUM(F15:H16,J15:AI16)-AJ15+AL15-12</f>
        <v>16</v>
      </c>
      <c r="AP15" s="136">
        <f t="shared" ref="AP15" ca="1" si="14">COUNTIF($E15:$AI16,"12")</f>
        <v>8</v>
      </c>
      <c r="AQ15" s="136">
        <f t="shared" ref="AQ15" ca="1" si="15">IF(COUNTIF($E15:$AI16,"СП")&gt;=1,(COUNTIF($E15:$AI16,"4")+COUNTIF($E15:$AI16,"8")-1)/2,(COUNTIF($E15:$AI16,"4")+COUNTIF($E15:$AI16,"8"))/2)</f>
        <v>7</v>
      </c>
      <c r="AR15" s="136">
        <f t="shared" ca="1" si="2"/>
        <v>96</v>
      </c>
      <c r="AS15" s="136">
        <f t="shared" ref="AS15" ca="1" si="16">IF(COUNTIF($E15:$AI16,"СП")&gt;=1,SUMIF($E15:$AI16,"4",$E15:$AI16)+SUMIF($E15:$AI16,"8",$E15:$AI16)-8,SUMIF($E15:$AI16,"4",$E15:$AI16)+SUMIF($E15:$AI16,"8",$E15:$AI16))</f>
        <v>80</v>
      </c>
      <c r="AT15" s="136">
        <f t="shared" ref="AT15" ca="1" si="17">$AR15+$AS15</f>
        <v>176</v>
      </c>
      <c r="AU15" s="136" t="str">
        <f t="shared" ref="AU15" ca="1" si="18">IF(AK15=AT15,"+","!")</f>
        <v>!</v>
      </c>
      <c r="AV15" s="136">
        <f t="shared" ref="AV15" ca="1" si="19">COUNTIF($E15:$AI16,"ОТ")</f>
        <v>0</v>
      </c>
      <c r="AW15" s="137" t="str">
        <f ca="1">IF(COUNTIF($A16:$AI16,"СП")&gt;0,IF(INDIRECT(ADDRESS(ROW(),MATCH("СП",$A16:$AI16),1))=8,"","!"),"")</f>
        <v>!</v>
      </c>
      <c r="AX15" s="137" t="str">
        <f ca="1">IF(COUNTIF($A16:$AI16,"СП")&gt;0,IF(INDIRECT(ADDRESS(ROW(),MATCH("СП",$A16:$AI16)-1,1))=4,"!",""),"")</f>
        <v/>
      </c>
    </row>
    <row r="16" spans="1:50" ht="16.5" thickBot="1" x14ac:dyDescent="0.3">
      <c r="A16" s="147"/>
      <c r="B16" s="139"/>
      <c r="C16" s="171"/>
      <c r="D16" s="50">
        <v>8</v>
      </c>
      <c r="E16" s="65" t="str">
        <f>INDEX(Д1!$E$44:$AI$53,MATCH($D16,Д1!$D$44:$D$53),MATCH(E$7,Д1!$E$3:$AI$3))</f>
        <v/>
      </c>
      <c r="F16" s="30" t="str">
        <f>INDEX(Д1!$E$44:$AI$53,MATCH($D16,Д1!$D$44:$D$53),MATCH(F$7,Д1!$E$3:$AI$3))</f>
        <v/>
      </c>
      <c r="G16" s="30" t="str">
        <f>INDEX(Д1!$E$44:$AI$53,MATCH($D16,Д1!$D$44:$D$53),MATCH(G$7,Д1!$E$3:$AI$3))</f>
        <v/>
      </c>
      <c r="H16" s="30" t="str">
        <f>INDEX(Д1!$E$44:$AI$53,MATCH($D16,Д1!$D$44:$D$53),MATCH(H$7,Д1!$E$3:$AI$3))</f>
        <v/>
      </c>
      <c r="I16" s="30" t="str">
        <f>INDEX(Д1!$E$44:$AI$53,MATCH($D16,Д1!$D$44:$D$53),MATCH(I$7,Д1!$E$3:$AI$3))</f>
        <v/>
      </c>
      <c r="J16" s="30" t="str">
        <f>INDEX(Д1!$E$44:$AI$53,MATCH($D16,Д1!$D$44:$D$53),MATCH(J$7,Д1!$E$3:$AI$3))</f>
        <v/>
      </c>
      <c r="K16" s="30" t="str">
        <f>INDEX(Д1!$E$44:$AI$53,MATCH($D16,Д1!$D$44:$D$53),MATCH(K$7,Д1!$E$3:$AI$3))</f>
        <v/>
      </c>
      <c r="L16" s="30" t="str">
        <f>INDEX(Д1!$E$44:$AI$53,MATCH($D16,Д1!$D$44:$D$53),MATCH(L$7,Д1!$E$3:$AI$3))</f>
        <v>СП</v>
      </c>
      <c r="M16" s="30" t="str">
        <f>INDEX(Д1!$E$44:$AI$53,MATCH($D16,Д1!$D$44:$D$53),MATCH(M$7,Д1!$E$3:$AI$3))</f>
        <v/>
      </c>
      <c r="N16" s="30" t="str">
        <f>INDEX(Д1!$E$44:$AI$53,MATCH($D16,Д1!$D$44:$D$53),MATCH(N$7,Д1!$E$3:$AI$3))</f>
        <v/>
      </c>
      <c r="O16" s="30" t="str">
        <f>INDEX(Д1!$E$44:$AI$53,MATCH($D16,Д1!$D$44:$D$53),MATCH(O$7,Д1!$E$3:$AI$3))</f>
        <v/>
      </c>
      <c r="P16" s="30" t="str">
        <f>INDEX(Д1!$E$44:$AI$53,MATCH($D16,Д1!$D$44:$D$53),MATCH(P$7,Д1!$E$3:$AI$3))</f>
        <v/>
      </c>
      <c r="Q16" s="30" t="str">
        <f>INDEX(Д1!$E$44:$AI$53,MATCH($D16,Д1!$D$44:$D$53),MATCH(Q$7,Д1!$E$3:$AI$3))</f>
        <v/>
      </c>
      <c r="R16" s="30" t="str">
        <f>INDEX(Д1!$E$44:$AI$53,MATCH($D16,Д1!$D$44:$D$53),MATCH(R$7,Д1!$E$3:$AI$3))</f>
        <v/>
      </c>
      <c r="S16" s="30" t="str">
        <f>INDEX(Д1!$E$44:$AI$53,MATCH($D16,Д1!$D$44:$D$53),MATCH(S$7,Д1!$E$3:$AI$3))</f>
        <v/>
      </c>
      <c r="T16" s="30" t="str">
        <f>INDEX(Д1!$E$44:$AI$53,MATCH($D16,Д1!$D$44:$D$53),MATCH(T$7,Д1!$E$3:$AI$3))</f>
        <v/>
      </c>
      <c r="U16" s="30" t="str">
        <f>INDEX(Д1!$E$44:$AI$53,MATCH($D16,Д1!$D$44:$D$53),MATCH(U$7,Д1!$E$3:$AI$3))</f>
        <v/>
      </c>
      <c r="V16" s="30" t="str">
        <f>INDEX(Д1!$E$44:$AI$53,MATCH($D16,Д1!$D$44:$D$53),MATCH(V$7,Д1!$E$3:$AI$3))</f>
        <v/>
      </c>
      <c r="W16" s="30" t="str">
        <f>INDEX(Д1!$E$44:$AI$53,MATCH($D16,Д1!$D$44:$D$53),MATCH(W$7,Д1!$E$3:$AI$3))</f>
        <v/>
      </c>
      <c r="X16" s="30" t="str">
        <f>INDEX(Д1!$E$44:$AI$53,MATCH($D16,Д1!$D$44:$D$53),MATCH(X$7,Д1!$E$3:$AI$3))</f>
        <v/>
      </c>
      <c r="Y16" s="30" t="str">
        <f>INDEX(Д1!$E$44:$AI$53,MATCH($D16,Д1!$D$44:$D$53),MATCH(Y$7,Д1!$E$3:$AI$3))</f>
        <v/>
      </c>
      <c r="Z16" s="30" t="str">
        <f>INDEX(Д1!$E$44:$AI$53,MATCH($D16,Д1!$D$44:$D$53),MATCH(Z$7,Д1!$E$3:$AI$3))</f>
        <v/>
      </c>
      <c r="AA16" s="30" t="str">
        <f>INDEX(Д1!$E$44:$AI$53,MATCH($D16,Д1!$D$44:$D$53),MATCH(AA$7,Д1!$E$3:$AI$3))</f>
        <v/>
      </c>
      <c r="AB16" s="30" t="str">
        <f>INDEX(Д1!$E$44:$AI$53,MATCH($D16,Д1!$D$44:$D$53),MATCH(AB$7,Д1!$E$3:$AI$3))</f>
        <v/>
      </c>
      <c r="AC16" s="30" t="str">
        <f>INDEX(Д1!$E$44:$AI$53,MATCH($D16,Д1!$D$44:$D$53),MATCH(AC$7,Д1!$E$3:$AI$3))</f>
        <v/>
      </c>
      <c r="AD16" s="30" t="str">
        <f>INDEX(Д1!$E$44:$AI$53,MATCH($D16,Д1!$D$44:$D$53),MATCH(AD$7,Д1!$E$3:$AI$3))</f>
        <v/>
      </c>
      <c r="AE16" s="30" t="str">
        <f>INDEX(Д1!$E$44:$AI$53,MATCH($D16,Д1!$D$44:$D$53),MATCH(AE$7,Д1!$E$3:$AI$3))</f>
        <v/>
      </c>
      <c r="AF16" s="30" t="str">
        <f>INDEX(Д1!$E$44:$AI$53,MATCH($D16,Д1!$D$44:$D$53),MATCH(AF$7,Д1!$E$3:$AI$3))</f>
        <v/>
      </c>
      <c r="AG16" s="30" t="str">
        <f>INDEX(Д1!$E$44:$AI$53,MATCH($D16,Д1!$D$44:$D$53),MATCH(AG$7,Д1!$E$3:$AI$3))</f>
        <v/>
      </c>
      <c r="AH16" s="30" t="str">
        <f>INDEX(Д1!$E$44:$AI$53,MATCH($D16,Д1!$D$44:$D$53),MATCH(AH$7,Д1!$E$3:$AI$3))</f>
        <v/>
      </c>
      <c r="AI16" s="65" t="str">
        <f>INDEX(Д1!$E$44:$AI$53,MATCH($D16,Д1!$D$44:$D$53),MATCH(AI$7,Д1!$E$3:$AI$3))</f>
        <v/>
      </c>
      <c r="AJ16" s="143"/>
      <c r="AK16" s="145"/>
      <c r="AL16" s="145"/>
      <c r="AM16" s="150"/>
      <c r="AP16" s="136"/>
      <c r="AQ16" s="136"/>
      <c r="AR16" s="136"/>
      <c r="AS16" s="136"/>
      <c r="AT16" s="136"/>
      <c r="AU16" s="136"/>
      <c r="AV16" s="136"/>
      <c r="AW16" s="137"/>
      <c r="AX16" s="137"/>
    </row>
    <row r="17" spans="1:50" ht="16.5" customHeight="1" thickBot="1" x14ac:dyDescent="0.3">
      <c r="A17" s="147"/>
      <c r="B17" s="139" t="s">
        <v>84</v>
      </c>
      <c r="C17" s="170">
        <v>5</v>
      </c>
      <c r="D17" s="49">
        <v>9</v>
      </c>
      <c r="E17" s="62" t="str">
        <f>INDEX(Д1!$E$44:$AI$53,MATCH($D17,Д1!$D44:$D$53),MATCH(E$7,Д1!$E$3:$AI$3))</f>
        <v>-</v>
      </c>
      <c r="F17" s="28" t="str">
        <f>INDEX(Д1!$E$44:$AI$53,MATCH($D17,Д1!$D44:$D$53),MATCH(F$7,Д1!$E$3:$AI$3))</f>
        <v>-</v>
      </c>
      <c r="G17" s="28" t="str">
        <f>INDEX(Д1!$E$44:$AI$53,MATCH($D17,Д1!$D44:$D$53),MATCH(G$7,Д1!$E$3:$AI$3))</f>
        <v>-</v>
      </c>
      <c r="H17" s="28" t="str">
        <f>INDEX(Д1!$E$44:$AI$53,MATCH($D17,Д1!$D44:$D$53),MATCH(H$7,Д1!$E$3:$AI$3))</f>
        <v>-</v>
      </c>
      <c r="I17" s="28" t="str">
        <f>INDEX(Д1!$E$44:$AI$53,MATCH($D17,Д1!$D44:$D$53),MATCH(I$7,Д1!$E$3:$AI$3))</f>
        <v>-</v>
      </c>
      <c r="J17" s="28" t="str">
        <f>INDEX(Д1!$E$44:$AI$53,MATCH($D17,Д1!$D44:$D$53),MATCH(J$7,Д1!$E$3:$AI$3))</f>
        <v>-</v>
      </c>
      <c r="K17" s="28" t="str">
        <f>INDEX(Д1!$E$44:$AI$53,MATCH($D17,Д1!$D44:$D$53),MATCH(K$7,Д1!$E$3:$AI$3))</f>
        <v>-</v>
      </c>
      <c r="L17" s="28" t="str">
        <f>INDEX(Д1!$E$44:$AI$53,MATCH($D17,Д1!$D44:$D$53),MATCH(L$7,Д1!$E$3:$AI$3))</f>
        <v>-</v>
      </c>
      <c r="M17" s="28" t="str">
        <f>INDEX(Д1!$E$44:$AI$53,MATCH($D17,Д1!$D44:$D$53),MATCH(M$7,Д1!$E$3:$AI$3))</f>
        <v>-</v>
      </c>
      <c r="N17" s="28" t="str">
        <f>INDEX(Д1!$E$44:$AI$53,MATCH($D17,Д1!$D44:$D$53),MATCH(N$7,Д1!$E$3:$AI$3))</f>
        <v>-</v>
      </c>
      <c r="O17" s="28" t="str">
        <f>INDEX(Д1!$E$44:$AI$53,MATCH($D17,Д1!$D44:$D$53),MATCH(O$7,Д1!$E$3:$AI$3))</f>
        <v>-</v>
      </c>
      <c r="P17" s="28" t="str">
        <f>INDEX(Д1!$E$44:$AI$53,MATCH($D17,Д1!$D44:$D$53),MATCH(P$7,Д1!$E$3:$AI$3))</f>
        <v>-</v>
      </c>
      <c r="Q17" s="28" t="str">
        <f>INDEX(Д1!$E$44:$AI$53,MATCH($D17,Д1!$D44:$D$53),MATCH(Q$7,Д1!$E$3:$AI$3))</f>
        <v>-</v>
      </c>
      <c r="R17" s="28" t="str">
        <f>INDEX(Д1!$E$44:$AI$53,MATCH($D17,Д1!$D44:$D$53),MATCH(R$7,Д1!$E$3:$AI$3))</f>
        <v>-</v>
      </c>
      <c r="S17" s="28" t="str">
        <f>INDEX(Д1!$E$44:$AI$53,MATCH($D17,Д1!$D44:$D$53),MATCH(S$7,Д1!$E$3:$AI$3))</f>
        <v>-</v>
      </c>
      <c r="T17" s="28" t="str">
        <f>INDEX(Д1!$E$44:$AI$53,MATCH($D17,Д1!$D44:$D$53),MATCH(T$7,Д1!$E$3:$AI$3))</f>
        <v>-</v>
      </c>
      <c r="U17" s="28" t="str">
        <f>INDEX(Д1!$E$44:$AI$53,MATCH($D17,Д1!$D44:$D$53),MATCH(U$7,Д1!$E$3:$AI$3))</f>
        <v>-</v>
      </c>
      <c r="V17" s="28" t="str">
        <f>INDEX(Д1!$E$44:$AI$53,MATCH($D17,Д1!$D44:$D$53),MATCH(V$7,Д1!$E$3:$AI$3))</f>
        <v>-</v>
      </c>
      <c r="W17" s="28" t="str">
        <f>INDEX(Д1!$E$44:$AI$53,MATCH($D17,Д1!$D44:$D$53),MATCH(W$7,Д1!$E$3:$AI$3))</f>
        <v>-</v>
      </c>
      <c r="X17" s="28" t="str">
        <f>INDEX(Д1!$E$44:$AI$53,MATCH($D17,Д1!$D44:$D$53),MATCH(X$7,Д1!$E$3:$AI$3))</f>
        <v>-</v>
      </c>
      <c r="Y17" s="28" t="str">
        <f>INDEX(Д1!$E$44:$AI$53,MATCH($D17,Д1!$D44:$D$53),MATCH(Y$7,Д1!$E$3:$AI$3))</f>
        <v>-</v>
      </c>
      <c r="Z17" s="28" t="str">
        <f>INDEX(Д1!$E$44:$AI$53,MATCH($D17,Д1!$D44:$D$53),MATCH(Z$7,Д1!$E$3:$AI$3))</f>
        <v>-</v>
      </c>
      <c r="AA17" s="28" t="str">
        <f>INDEX(Д1!$E$44:$AI$53,MATCH($D17,Д1!$D44:$D$53),MATCH(AA$7,Д1!$E$3:$AI$3))</f>
        <v>-</v>
      </c>
      <c r="AB17" s="28" t="str">
        <f>INDEX(Д1!$E$44:$AI$53,MATCH($D17,Д1!$D44:$D$53),MATCH(AB$7,Д1!$E$3:$AI$3))</f>
        <v>-</v>
      </c>
      <c r="AC17" s="28" t="str">
        <f>INDEX(Д1!$E$44:$AI$53,MATCH($D17,Д1!$D44:$D$53),MATCH(AC$7,Д1!$E$3:$AI$3))</f>
        <v>-</v>
      </c>
      <c r="AD17" s="28" t="str">
        <f>INDEX(Д1!$E$44:$AI$53,MATCH($D17,Д1!$D44:$D$53),MATCH(AD$7,Д1!$E$3:$AI$3))</f>
        <v>-</v>
      </c>
      <c r="AE17" s="28" t="str">
        <f>INDEX(Д1!$E$44:$AI$53,MATCH($D17,Д1!$D44:$D$53),MATCH(AE$7,Д1!$E$3:$AI$3))</f>
        <v>-</v>
      </c>
      <c r="AF17" s="28" t="str">
        <f>INDEX(Д1!$E$44:$AI$53,MATCH($D17,Д1!$D44:$D$53),MATCH(AF$7,Д1!$E$3:$AI$3))</f>
        <v>-</v>
      </c>
      <c r="AG17" s="28" t="str">
        <f>INDEX(Д1!$E$44:$AI$53,MATCH($D17,Д1!$D44:$D$53),MATCH(AG$7,Д1!$E$3:$AI$3))</f>
        <v>-</v>
      </c>
      <c r="AH17" s="28" t="str">
        <f>INDEX(Д1!$E$44:$AI$53,MATCH($D17,Д1!$D44:$D$53),MATCH(AH$7,Д1!$E$3:$AI$3))</f>
        <v>-</v>
      </c>
      <c r="AI17" s="62" t="str">
        <f>INDEX(Д1!$E$44:$AI$53,MATCH($D17,Д1!$D44:$D$53),MATCH(AI$7,Д1!$E$3:$AI$3))</f>
        <v>-</v>
      </c>
      <c r="AJ17" s="143">
        <f>INDEX(Д1!AK$44:$AK$53,MATCH($C17,Д1!$C$44:$C$53),MATCH(E$7,Д1!$E$3:$AI$3))*AND(MONTH($E$8)=MONTH(Д1!$B$44))</f>
        <v>144</v>
      </c>
      <c r="AK17" s="144">
        <f>SUM(E17:AI17)</f>
        <v>0</v>
      </c>
      <c r="AL17" s="144"/>
      <c r="AM17" s="149">
        <f>SUM(F17:H18,J17:AI18)-AJ17+AL17-12</f>
        <v>-156</v>
      </c>
      <c r="AP17" s="136">
        <f t="shared" ref="AP17" si="20">COUNTIF($E17:$AI18,"12")</f>
        <v>0</v>
      </c>
      <c r="AQ17" s="136">
        <f t="shared" ref="AQ17" si="21">IF(COUNTIF($E17:$AI18,"СП")&gt;=1,(COUNTIF($E17:$AI18,"4")+COUNTIF($E17:$AI18,"8")-1)/2,(COUNTIF($E17:$AI18,"4")+COUNTIF($E17:$AI18,"8"))/2)</f>
        <v>-0.5</v>
      </c>
      <c r="AR17" s="136">
        <f t="shared" si="2"/>
        <v>0</v>
      </c>
      <c r="AS17" s="136">
        <f t="shared" ref="AS17" si="22">IF(COUNTIF($E17:$AI18,"СП")&gt;=1,SUMIF($E17:$AI18,"4",$E17:$AI18)+SUMIF($E17:$AI18,"8",$E17:$AI18)-8,SUMIF($E17:$AI18,"4",$E17:$AI18)+SUMIF($E17:$AI18,"8",$E17:$AI18))</f>
        <v>-8</v>
      </c>
      <c r="AT17" s="136">
        <f t="shared" ref="AT17" si="23">$AR17+$AS17</f>
        <v>-8</v>
      </c>
      <c r="AU17" s="136" t="str">
        <f t="shared" ref="AU17" si="24">IF(AK17=AT17,"+","!")</f>
        <v>!</v>
      </c>
      <c r="AV17" s="136">
        <f t="shared" ref="AV17" si="25">COUNTIF($E17:$AI18,"ОТ")</f>
        <v>0</v>
      </c>
      <c r="AW17" s="137" t="str">
        <f ca="1">IF(COUNTIF($A18:$AI18,"СП")&gt;0,IF(INDIRECT(ADDRESS(ROW(),MATCH("СП",$A18:$AI18),1))=8,"","!"),"")</f>
        <v>!</v>
      </c>
      <c r="AX17" s="137" t="str">
        <f ca="1">IF(COUNTIF($A18:$AI18,"СП")&gt;0,IF(INDIRECT(ADDRESS(ROW(),MATCH("СП",$A18:$AI18)-1,1))=4,"!",""),"")</f>
        <v/>
      </c>
    </row>
    <row r="18" spans="1:50" ht="16.5" thickBot="1" x14ac:dyDescent="0.3">
      <c r="A18" s="148"/>
      <c r="B18" s="140"/>
      <c r="C18" s="172"/>
      <c r="D18" s="50">
        <v>10</v>
      </c>
      <c r="E18" s="66" t="str">
        <f>INDEX(Д1!$E$44:$AI$53,MATCH($D18,Д1!$D$44:$D$53),MATCH(E$7,Д1!$E$3:$AI$3))</f>
        <v/>
      </c>
      <c r="F18" s="67" t="str">
        <f>INDEX(Д1!$E$44:$AI$53,MATCH($D18,Д1!$D$44:$D$53),MATCH(F$7,Д1!$E$3:$AI$3))</f>
        <v/>
      </c>
      <c r="G18" s="67" t="str">
        <f>INDEX(Д1!$E$44:$AI$53,MATCH($D18,Д1!$D$44:$D$53),MATCH(G$7,Д1!$E$3:$AI$3))</f>
        <v/>
      </c>
      <c r="H18" s="67" t="str">
        <f>INDEX(Д1!$E$44:$AI$53,MATCH($D18,Д1!$D$44:$D$53),MATCH(H$7,Д1!$E$3:$AI$3))</f>
        <v/>
      </c>
      <c r="I18" s="67" t="str">
        <f>INDEX(Д1!$E$44:$AI$53,MATCH($D18,Д1!$D$44:$D$53),MATCH(I$7,Д1!$E$3:$AI$3))</f>
        <v/>
      </c>
      <c r="J18" s="67" t="str">
        <f>INDEX(Д1!$E$44:$AI$53,MATCH($D18,Д1!$D$44:$D$53),MATCH(J$7,Д1!$E$3:$AI$3))</f>
        <v/>
      </c>
      <c r="K18" s="67" t="str">
        <f>INDEX(Д1!$E$44:$AI$53,MATCH($D18,Д1!$D$44:$D$53),MATCH(K$7,Д1!$E$3:$AI$3))</f>
        <v/>
      </c>
      <c r="L18" s="67" t="str">
        <f>INDEX(Д1!$E$44:$AI$53,MATCH($D18,Д1!$D$44:$D$53),MATCH(L$7,Д1!$E$3:$AI$3))</f>
        <v/>
      </c>
      <c r="M18" s="67" t="str">
        <f>INDEX(Д1!$E$44:$AI$53,MATCH($D18,Д1!$D$44:$D$53),MATCH(M$7,Д1!$E$3:$AI$3))</f>
        <v>СП</v>
      </c>
      <c r="N18" s="67" t="str">
        <f>INDEX(Д1!$E$44:$AI$53,MATCH($D18,Д1!$D$44:$D$53),MATCH(N$7,Д1!$E$3:$AI$3))</f>
        <v/>
      </c>
      <c r="O18" s="67" t="str">
        <f>INDEX(Д1!$E$44:$AI$53,MATCH($D18,Д1!$D$44:$D$53),MATCH(O$7,Д1!$E$3:$AI$3))</f>
        <v/>
      </c>
      <c r="P18" s="67" t="str">
        <f>INDEX(Д1!$E$44:$AI$53,MATCH($D18,Д1!$D$44:$D$53),MATCH(P$7,Д1!$E$3:$AI$3))</f>
        <v/>
      </c>
      <c r="Q18" s="67" t="str">
        <f>INDEX(Д1!$E$44:$AI$53,MATCH($D18,Д1!$D$44:$D$53),MATCH(Q$7,Д1!$E$3:$AI$3))</f>
        <v/>
      </c>
      <c r="R18" s="67" t="str">
        <f>INDEX(Д1!$E$44:$AI$53,MATCH($D18,Д1!$D$44:$D$53),MATCH(R$7,Д1!$E$3:$AI$3))</f>
        <v/>
      </c>
      <c r="S18" s="67" t="str">
        <f>INDEX(Д1!$E$44:$AI$53,MATCH($D18,Д1!$D$44:$D$53),MATCH(S$7,Д1!$E$3:$AI$3))</f>
        <v/>
      </c>
      <c r="T18" s="67" t="str">
        <f>INDEX(Д1!$E$44:$AI$53,MATCH($D18,Д1!$D$44:$D$53),MATCH(T$7,Д1!$E$3:$AI$3))</f>
        <v/>
      </c>
      <c r="U18" s="67" t="str">
        <f>INDEX(Д1!$E$44:$AI$53,MATCH($D18,Д1!$D$44:$D$53),MATCH(U$7,Д1!$E$3:$AI$3))</f>
        <v/>
      </c>
      <c r="V18" s="67" t="str">
        <f>INDEX(Д1!$E$44:$AI$53,MATCH($D18,Д1!$D$44:$D$53),MATCH(V$7,Д1!$E$3:$AI$3))</f>
        <v/>
      </c>
      <c r="W18" s="67" t="str">
        <f>INDEX(Д1!$E$44:$AI$53,MATCH($D18,Д1!$D$44:$D$53),MATCH(W$7,Д1!$E$3:$AI$3))</f>
        <v/>
      </c>
      <c r="X18" s="67" t="str">
        <f>INDEX(Д1!$E$44:$AI$53,MATCH($D18,Д1!$D$44:$D$53),MATCH(X$7,Д1!$E$3:$AI$3))</f>
        <v/>
      </c>
      <c r="Y18" s="67" t="str">
        <f>INDEX(Д1!$E$44:$AI$53,MATCH($D18,Д1!$D$44:$D$53),MATCH(Y$7,Д1!$E$3:$AI$3))</f>
        <v/>
      </c>
      <c r="Z18" s="67" t="str">
        <f>INDEX(Д1!$E$44:$AI$53,MATCH($D18,Д1!$D$44:$D$53),MATCH(Z$7,Д1!$E$3:$AI$3))</f>
        <v/>
      </c>
      <c r="AA18" s="67" t="str">
        <f>INDEX(Д1!$E$44:$AI$53,MATCH($D18,Д1!$D$44:$D$53),MATCH(AA$7,Д1!$E$3:$AI$3))</f>
        <v/>
      </c>
      <c r="AB18" s="67" t="str">
        <f>INDEX(Д1!$E$44:$AI$53,MATCH($D18,Д1!$D$44:$D$53),MATCH(AB$7,Д1!$E$3:$AI$3))</f>
        <v/>
      </c>
      <c r="AC18" s="67" t="str">
        <f>INDEX(Д1!$E$44:$AI$53,MATCH($D18,Д1!$D$44:$D$53),MATCH(AC$7,Д1!$E$3:$AI$3))</f>
        <v/>
      </c>
      <c r="AD18" s="67" t="str">
        <f>INDEX(Д1!$E$44:$AI$53,MATCH($D18,Д1!$D$44:$D$53),MATCH(AD$7,Д1!$E$3:$AI$3))</f>
        <v/>
      </c>
      <c r="AE18" s="67" t="str">
        <f>INDEX(Д1!$E$44:$AI$53,MATCH($D18,Д1!$D$44:$D$53),MATCH(AE$7,Д1!$E$3:$AI$3))</f>
        <v/>
      </c>
      <c r="AF18" s="67" t="str">
        <f>INDEX(Д1!$E$44:$AI$53,MATCH($D18,Д1!$D$44:$D$53),MATCH(AF$7,Д1!$E$3:$AI$3))</f>
        <v/>
      </c>
      <c r="AG18" s="67" t="str">
        <f>INDEX(Д1!$E$44:$AI$53,MATCH($D18,Д1!$D$44:$D$53),MATCH(AG$7,Д1!$E$3:$AI$3))</f>
        <v/>
      </c>
      <c r="AH18" s="67" t="str">
        <f>INDEX(Д1!$E$44:$AI$53,MATCH($D18,Д1!$D$44:$D$53),MATCH(AH$7,Д1!$E$3:$AI$3))</f>
        <v/>
      </c>
      <c r="AI18" s="68" t="str">
        <f>INDEX(Д1!$E$44:$AI$53,MATCH($D18,Д1!$D$44:$D$53),MATCH(AI$7,Д1!$E$3:$AI$3))</f>
        <v/>
      </c>
      <c r="AJ18" s="153"/>
      <c r="AK18" s="158"/>
      <c r="AL18" s="158"/>
      <c r="AM18" s="150"/>
      <c r="AP18" s="136"/>
      <c r="AQ18" s="136"/>
      <c r="AR18" s="136"/>
      <c r="AS18" s="136"/>
      <c r="AT18" s="136"/>
      <c r="AU18" s="136"/>
      <c r="AV18" s="136"/>
      <c r="AW18" s="137"/>
      <c r="AX18" s="137"/>
    </row>
    <row r="19" spans="1:50" ht="17.25" customHeight="1" thickTop="1" thickBot="1" x14ac:dyDescent="0.3">
      <c r="A19" s="146" t="s">
        <v>101</v>
      </c>
      <c r="B19" s="151" t="s">
        <v>85</v>
      </c>
      <c r="C19" s="173">
        <v>1</v>
      </c>
      <c r="D19" s="49">
        <v>1</v>
      </c>
      <c r="E19" s="64">
        <f ca="1">INDEX(Д2!$E$44:$AI$53,MATCH($D19,Д2!$D$44:$D$53),MATCH(E$7,Д2!$E$3:$AI$3))</f>
        <v>0</v>
      </c>
      <c r="F19" s="64">
        <f ca="1">INDEX(Д2!$E$44:$AI$53,MATCH($D19,Д2!$D$44:$D$53),MATCH(F$7,Д2!$E$3:$AI$3))</f>
        <v>0</v>
      </c>
      <c r="G19" s="64">
        <f ca="1">INDEX(Д2!$E$44:$AI$53,MATCH($D19,Д2!$D$44:$D$53),MATCH(G$7,Д2!$E$3:$AI$3))</f>
        <v>4</v>
      </c>
      <c r="H19" s="64">
        <f ca="1">INDEX(Д2!$E$44:$AI$53,MATCH($D19,Д2!$D$44:$D$53),MATCH(H$7,Д2!$E$3:$AI$3))</f>
        <v>8</v>
      </c>
      <c r="I19" s="64">
        <f ca="1">INDEX(Д2!$E$44:$AI$53,MATCH($D19,Д2!$D$44:$D$53),MATCH(I$7,Д2!$E$3:$AI$3))</f>
        <v>12</v>
      </c>
      <c r="J19" s="64">
        <f ca="1">INDEX(Д2!$E$44:$AI$53,MATCH($D19,Д2!$D$44:$D$53),MATCH(J$7,Д2!$E$3:$AI$3))</f>
        <v>4</v>
      </c>
      <c r="K19" s="64">
        <f ca="1">INDEX(Д2!$E$44:$AI$53,MATCH($D19,Д2!$D$44:$D$53),MATCH(K$7,Д2!$E$3:$AI$3))</f>
        <v>8</v>
      </c>
      <c r="L19" s="64">
        <f ca="1">INDEX(Д2!$E$44:$AI$53,MATCH($D19,Д2!$D$44:$D$53),MATCH(L$7,Д2!$E$3:$AI$3))</f>
        <v>12</v>
      </c>
      <c r="M19" s="64">
        <f ca="1">INDEX(Д2!$E$44:$AI$53,MATCH($D19,Д2!$D$44:$D$53),MATCH(M$7,Д2!$E$3:$AI$3))</f>
        <v>0</v>
      </c>
      <c r="N19" s="64">
        <f ca="1">INDEX(Д2!$E$44:$AI$53,MATCH($D19,Д2!$D$44:$D$53),MATCH(N$7,Д2!$E$3:$AI$3))</f>
        <v>0</v>
      </c>
      <c r="O19" s="64">
        <f ca="1">INDEX(Д2!$E$44:$AI$53,MATCH($D19,Д2!$D$44:$D$53),MATCH(O$7,Д2!$E$3:$AI$3))</f>
        <v>4</v>
      </c>
      <c r="P19" s="64">
        <f ca="1">INDEX(Д2!$E$44:$AI$53,MATCH($D19,Д2!$D$44:$D$53),MATCH(P$7,Д2!$E$3:$AI$3))</f>
        <v>8</v>
      </c>
      <c r="Q19" s="64">
        <f ca="1">INDEX(Д2!$E$44:$AI$53,MATCH($D19,Д2!$D$44:$D$53),MATCH(Q$7,Д2!$E$3:$AI$3))</f>
        <v>12</v>
      </c>
      <c r="R19" s="64">
        <f ca="1">INDEX(Д2!$E$44:$AI$53,MATCH($D19,Д2!$D$44:$D$53),MATCH(R$7,Д2!$E$3:$AI$3))</f>
        <v>4</v>
      </c>
      <c r="S19" s="64">
        <f ca="1">INDEX(Д2!$E$44:$AI$53,MATCH($D19,Д2!$D$44:$D$53),MATCH(S$7,Д2!$E$3:$AI$3))</f>
        <v>8</v>
      </c>
      <c r="T19" s="64">
        <f ca="1">INDEX(Д2!$E$44:$AI$53,MATCH($D19,Д2!$D$44:$D$53),MATCH(T$7,Д2!$E$3:$AI$3))</f>
        <v>12</v>
      </c>
      <c r="U19" s="64">
        <f ca="1">INDEX(Д2!$E$44:$AI$53,MATCH($D19,Д2!$D$44:$D$53),MATCH(U$7,Д2!$E$3:$AI$3))</f>
        <v>0</v>
      </c>
      <c r="V19" s="64">
        <f ca="1">INDEX(Д2!$E$44:$AI$53,MATCH($D19,Д2!$D$44:$D$53),MATCH(V$7,Д2!$E$3:$AI$3))</f>
        <v>0</v>
      </c>
      <c r="W19" s="64">
        <f ca="1">INDEX(Д2!$E$44:$AI$53,MATCH($D19,Д2!$D$44:$D$53),MATCH(W$7,Д2!$E$3:$AI$3))</f>
        <v>4</v>
      </c>
      <c r="X19" s="64">
        <f ca="1">INDEX(Д2!$E$44:$AI$53,MATCH($D19,Д2!$D$44:$D$53),MATCH(X$7,Д2!$E$3:$AI$3))</f>
        <v>8</v>
      </c>
      <c r="Y19" s="64">
        <f ca="1">INDEX(Д2!$E$44:$AI$53,MATCH($D19,Д2!$D$44:$D$53),MATCH(Y$7,Д2!$E$3:$AI$3))</f>
        <v>12</v>
      </c>
      <c r="Z19" s="64">
        <f ca="1">INDEX(Д2!$E$44:$AI$53,MATCH($D19,Д2!$D$44:$D$53),MATCH(Z$7,Д2!$E$3:$AI$3))</f>
        <v>4</v>
      </c>
      <c r="AA19" s="64">
        <f ca="1">INDEX(Д2!$E$44:$AI$53,MATCH($D19,Д2!$D$44:$D$53),MATCH(AA$7,Д2!$E$3:$AI$3))</f>
        <v>8</v>
      </c>
      <c r="AB19" s="64">
        <f ca="1">INDEX(Д2!$E$44:$AI$53,MATCH($D19,Д2!$D$44:$D$53),MATCH(AB$7,Д2!$E$3:$AI$3))</f>
        <v>12</v>
      </c>
      <c r="AC19" s="64">
        <f ca="1">INDEX(Д2!$E$44:$AI$53,MATCH($D19,Д2!$D$44:$D$53),MATCH(AC$7,Д2!$E$3:$AI$3))</f>
        <v>0</v>
      </c>
      <c r="AD19" s="64">
        <f ca="1">INDEX(Д2!$E$44:$AI$53,MATCH($D19,Д2!$D$44:$D$53),MATCH(AD$7,Д2!$E$3:$AI$3))</f>
        <v>0</v>
      </c>
      <c r="AE19" s="64">
        <f ca="1">INDEX(Д2!$E$44:$AI$53,MATCH($D19,Д2!$D$44:$D$53),MATCH(AE$7,Д2!$E$3:$AI$3))</f>
        <v>4</v>
      </c>
      <c r="AF19" s="64">
        <f ca="1">INDEX(Д2!$E$44:$AI$53,MATCH($D19,Д2!$D$44:$D$53),MATCH(AF$7,Д2!$E$3:$AI$3))</f>
        <v>8</v>
      </c>
      <c r="AG19" s="64">
        <f ca="1">INDEX(Д2!$E$44:$AI$53,MATCH($D19,Д2!$D$44:$D$53),MATCH(AG$7,Д2!$E$3:$AI$3))</f>
        <v>12</v>
      </c>
      <c r="AH19" s="64">
        <f ca="1">INDEX(Д2!$E$44:$AI$53,MATCH($D19,Д2!$D$44:$D$53),MATCH(AH$7,Д2!$E$3:$AI$3))</f>
        <v>4</v>
      </c>
      <c r="AI19" s="32">
        <f ca="1">INDEX(Д2!$E$44:$AI$53,MATCH($D19,Д2!$D$44:$D$53),MATCH(AI$7,Д2!$E$3:$AI$3))</f>
        <v>8</v>
      </c>
      <c r="AJ19" s="157">
        <f>INDEX(Д2!AK$44:$AK$53,MATCH($C19,Д2!$C$44:$C$53),MATCH(E$7,Д2!$E$3:$AI$3))*AND(MONTH($E$8)=MONTH(Д2!$B$44))</f>
        <v>144</v>
      </c>
      <c r="AK19" s="154">
        <v>0</v>
      </c>
      <c r="AL19" s="155"/>
      <c r="AM19" s="149">
        <f ca="1">SUM(F19:H20,J19:AI20)-AJ19+AL19-12</f>
        <v>12</v>
      </c>
      <c r="AP19" s="136">
        <f t="shared" ref="AP19" ca="1" si="26">COUNTIF($E19:$AI20,"12")</f>
        <v>7</v>
      </c>
      <c r="AQ19" s="136">
        <f t="shared" ref="AQ19" ca="1" si="27">IF(COUNTIF($E19:$AI20,"СП")&gt;=1,(COUNTIF($E19:$AI20,"4")+COUNTIF($E19:$AI20,"8")-1)/2,(COUNTIF($E19:$AI20,"4")+COUNTIF($E19:$AI20,"8"))/2)</f>
        <v>7.5</v>
      </c>
      <c r="AR19" s="136">
        <f t="shared" ca="1" si="2"/>
        <v>84</v>
      </c>
      <c r="AS19" s="136">
        <f t="shared" ref="AS19" ca="1" si="28">IF(COUNTIF($E19:$AI20,"СП")&gt;=1,SUMIF($E19:$AI20,"4",$E19:$AI20)+SUMIF($E19:$AI20,"8",$E19:$AI20)-8,SUMIF($E19:$AI20,"4",$E19:$AI20)+SUMIF($E19:$AI20,"8",$E19:$AI20))</f>
        <v>88</v>
      </c>
      <c r="AT19" s="136">
        <f t="shared" ref="AT19" ca="1" si="29">$AR19+$AS19</f>
        <v>172</v>
      </c>
      <c r="AU19" s="136" t="str">
        <f t="shared" ref="AU19" ca="1" si="30">IF(AK19=AT19,"+","!")</f>
        <v>!</v>
      </c>
      <c r="AV19" s="136">
        <f t="shared" ref="AV19" ca="1" si="31">COUNTIF($E19:$AI20,"ОТ")</f>
        <v>0</v>
      </c>
      <c r="AW19" s="137" t="str">
        <f ca="1">IF(COUNTIF($A20:$AI20,"СП")&gt;0,IF(INDIRECT(ADDRESS(ROW(),MATCH("СП",$A20:$AI20),1))=8,"","!"),"")</f>
        <v/>
      </c>
      <c r="AX19" s="137" t="str">
        <f ca="1">IF(COUNTIF($A20:$AI20,"СП")&gt;0,IF(INDIRECT(ADDRESS(ROW(),MATCH("СП",$A20:$AI20)-1,1))=4,"!",""),"")</f>
        <v>!</v>
      </c>
    </row>
    <row r="20" spans="1:50" ht="16.5" thickBot="1" x14ac:dyDescent="0.3">
      <c r="A20" s="147"/>
      <c r="B20" s="139"/>
      <c r="C20" s="171"/>
      <c r="D20" s="50">
        <v>2</v>
      </c>
      <c r="E20" s="63" t="str">
        <f>INDEX(Д2!$E$44:$AI$53,MATCH($D20,Д2!$D$44:$D$53),MATCH(E$7,Д2!$E$3:$AI$3))</f>
        <v/>
      </c>
      <c r="F20" s="29" t="str">
        <f>INDEX(Д2!$E$44:$AI$53,MATCH($D20,Д2!$D$44:$D$53),MATCH(F$7,Д2!$E$3:$AI$3))</f>
        <v/>
      </c>
      <c r="G20" s="29" t="str">
        <f>INDEX(Д2!$E$44:$AI$53,MATCH($D20,Д2!$D$44:$D$53),MATCH(G$7,Д2!$E$3:$AI$3))</f>
        <v/>
      </c>
      <c r="H20" s="29" t="str">
        <f>INDEX(Д2!$E$44:$AI$53,MATCH($D20,Д2!$D$44:$D$53),MATCH(H$7,Д2!$E$3:$AI$3))</f>
        <v/>
      </c>
      <c r="I20" s="29" t="str">
        <f>INDEX(Д2!$E$44:$AI$53,MATCH($D20,Д2!$D$44:$D$53),MATCH(I$7,Д2!$E$3:$AI$3))</f>
        <v>СП</v>
      </c>
      <c r="J20" s="29" t="str">
        <f>INDEX(Д2!$E$44:$AI$53,MATCH($D20,Д2!$D$44:$D$53),MATCH(J$7,Д2!$E$3:$AI$3))</f>
        <v/>
      </c>
      <c r="K20" s="29" t="str">
        <f>INDEX(Д2!$E$44:$AI$53,MATCH($D20,Д2!$D$44:$D$53),MATCH(K$7,Д2!$E$3:$AI$3))</f>
        <v/>
      </c>
      <c r="L20" s="29" t="str">
        <f>INDEX(Д2!$E$44:$AI$53,MATCH($D20,Д2!$D$44:$D$53),MATCH(L$7,Д2!$E$3:$AI$3))</f>
        <v/>
      </c>
      <c r="M20" s="29" t="str">
        <f>INDEX(Д2!$E$44:$AI$53,MATCH($D20,Д2!$D$44:$D$53),MATCH(M$7,Д2!$E$3:$AI$3))</f>
        <v/>
      </c>
      <c r="N20" s="29" t="str">
        <f>INDEX(Д2!$E$44:$AI$53,MATCH($D20,Д2!$D$44:$D$53),MATCH(N$7,Д2!$E$3:$AI$3))</f>
        <v/>
      </c>
      <c r="O20" s="29" t="str">
        <f>INDEX(Д2!$E$44:$AI$53,MATCH($D20,Д2!$D$44:$D$53),MATCH(O$7,Д2!$E$3:$AI$3))</f>
        <v/>
      </c>
      <c r="P20" s="29" t="str">
        <f>INDEX(Д2!$E$44:$AI$53,MATCH($D20,Д2!$D$44:$D$53),MATCH(P$7,Д2!$E$3:$AI$3))</f>
        <v/>
      </c>
      <c r="Q20" s="29" t="str">
        <f>INDEX(Д2!$E$44:$AI$53,MATCH($D20,Д2!$D$44:$D$53),MATCH(Q$7,Д2!$E$3:$AI$3))</f>
        <v/>
      </c>
      <c r="R20" s="29" t="str">
        <f>INDEX(Д2!$E$44:$AI$53,MATCH($D20,Д2!$D$44:$D$53),MATCH(R$7,Д2!$E$3:$AI$3))</f>
        <v/>
      </c>
      <c r="S20" s="29" t="str">
        <f>INDEX(Д2!$E$44:$AI$53,MATCH($D20,Д2!$D$44:$D$53),MATCH(S$7,Д2!$E$3:$AI$3))</f>
        <v/>
      </c>
      <c r="T20" s="29" t="str">
        <f>INDEX(Д2!$E$44:$AI$53,MATCH($D20,Д2!$D$44:$D$53),MATCH(T$7,Д2!$E$3:$AI$3))</f>
        <v/>
      </c>
      <c r="U20" s="29" t="str">
        <f>INDEX(Д2!$E$44:$AI$53,MATCH($D20,Д2!$D$44:$D$53),MATCH(U$7,Д2!$E$3:$AI$3))</f>
        <v/>
      </c>
      <c r="V20" s="29" t="str">
        <f>INDEX(Д2!$E$44:$AI$53,MATCH($D20,Д2!$D$44:$D$53),MATCH(V$7,Д2!$E$3:$AI$3))</f>
        <v/>
      </c>
      <c r="W20" s="29" t="str">
        <f>INDEX(Д2!$E$44:$AI$53,MATCH($D20,Д2!$D$44:$D$53),MATCH(W$7,Д2!$E$3:$AI$3))</f>
        <v/>
      </c>
      <c r="X20" s="29" t="str">
        <f>INDEX(Д2!$E$44:$AI$53,MATCH($D20,Д2!$D$44:$D$53),MATCH(X$7,Д2!$E$3:$AI$3))</f>
        <v/>
      </c>
      <c r="Y20" s="29" t="str">
        <f>INDEX(Д2!$E$44:$AI$53,MATCH($D20,Д2!$D$44:$D$53),MATCH(Y$7,Д2!$E$3:$AI$3))</f>
        <v/>
      </c>
      <c r="Z20" s="29" t="str">
        <f>INDEX(Д2!$E$44:$AI$53,MATCH($D20,Д2!$D$44:$D$53),MATCH(Z$7,Д2!$E$3:$AI$3))</f>
        <v/>
      </c>
      <c r="AA20" s="29" t="str">
        <f>INDEX(Д2!$E$44:$AI$53,MATCH($D20,Д2!$D$44:$D$53),MATCH(AA$7,Д2!$E$3:$AI$3))</f>
        <v/>
      </c>
      <c r="AB20" s="29" t="str">
        <f>INDEX(Д2!$E$44:$AI$53,MATCH($D20,Д2!$D$44:$D$53),MATCH(AB$7,Д2!$E$3:$AI$3))</f>
        <v/>
      </c>
      <c r="AC20" s="29" t="str">
        <f>INDEX(Д2!$E$44:$AI$53,MATCH($D20,Д2!$D$44:$D$53),MATCH(AC$7,Д2!$E$3:$AI$3))</f>
        <v/>
      </c>
      <c r="AD20" s="29" t="str">
        <f>INDEX(Д2!$E$44:$AI$53,MATCH($D20,Д2!$D$44:$D$53),MATCH(AD$7,Д2!$E$3:$AI$3))</f>
        <v/>
      </c>
      <c r="AE20" s="29" t="str">
        <f>INDEX(Д2!$E$44:$AI$53,MATCH($D20,Д2!$D$44:$D$53),MATCH(AE$7,Д2!$E$3:$AI$3))</f>
        <v/>
      </c>
      <c r="AF20" s="29" t="str">
        <f>INDEX(Д2!$E$44:$AI$53,MATCH($D20,Д2!$D$44:$D$53),MATCH(AF$7,Д2!$E$3:$AI$3))</f>
        <v/>
      </c>
      <c r="AG20" s="29" t="str">
        <f>INDEX(Д2!$E$44:$AI$53,MATCH($D20,Д2!$D$44:$D$53),MATCH(AG$7,Д2!$E$3:$AI$3))</f>
        <v/>
      </c>
      <c r="AH20" s="29" t="str">
        <f>INDEX(Д2!$E$44:$AI$53,MATCH($D20,Д2!$D$44:$D$53),MATCH(AH$7,Д2!$E$3:$AI$3))</f>
        <v/>
      </c>
      <c r="AI20" s="61" t="str">
        <f>INDEX(Д2!$E$44:$AI$53,MATCH($D20,Д2!$D$44:$D$53),MATCH(AI$7,Д2!$E$3:$AI$3))</f>
        <v/>
      </c>
      <c r="AJ20" s="143"/>
      <c r="AK20" s="145"/>
      <c r="AL20" s="145" t="s">
        <v>17</v>
      </c>
      <c r="AM20" s="150"/>
      <c r="AP20" s="136"/>
      <c r="AQ20" s="136"/>
      <c r="AR20" s="136"/>
      <c r="AS20" s="136"/>
      <c r="AT20" s="136"/>
      <c r="AU20" s="136"/>
      <c r="AV20" s="136"/>
      <c r="AW20" s="137"/>
      <c r="AX20" s="137"/>
    </row>
    <row r="21" spans="1:50" ht="16.5" customHeight="1" thickBot="1" x14ac:dyDescent="0.3">
      <c r="A21" s="147"/>
      <c r="B21" s="139" t="s">
        <v>86</v>
      </c>
      <c r="C21" s="170">
        <v>2</v>
      </c>
      <c r="D21" s="49">
        <v>3</v>
      </c>
      <c r="E21" s="64">
        <f ca="1">INDEX(Д2!$E$44:$AI$53,MATCH($D21,Д2!$D$44:$D$53),MATCH(E$7,Д2!$E$3:$AI$3))</f>
        <v>4</v>
      </c>
      <c r="F21" s="27">
        <f ca="1">INDEX(Д2!$E$44:$AI$53,MATCH($D21,Д2!$D$44:$D$53),MATCH(F$7,Д2!$E$3:$AI$3))</f>
        <v>8</v>
      </c>
      <c r="G21" s="27">
        <f ca="1">INDEX(Д2!$E$44:$AI$53,MATCH($D21,Д2!$D$44:$D$53),MATCH(G$7,Д2!$E$3:$AI$3))</f>
        <v>12</v>
      </c>
      <c r="H21" s="27">
        <f ca="1">INDEX(Д2!$E$44:$AI$53,MATCH($D21,Д2!$D$44:$D$53),MATCH(H$7,Д2!$E$3:$AI$3))</f>
        <v>4</v>
      </c>
      <c r="I21" s="27">
        <f ca="1">INDEX(Д2!$E$44:$AI$53,MATCH($D21,Д2!$D$44:$D$53),MATCH(I$7,Д2!$E$3:$AI$3))</f>
        <v>8</v>
      </c>
      <c r="J21" s="27">
        <f ca="1">INDEX(Д2!$E$44:$AI$53,MATCH($D21,Д2!$D$44:$D$53),MATCH(J$7,Д2!$E$3:$AI$3))</f>
        <v>12</v>
      </c>
      <c r="K21" s="27">
        <f ca="1">INDEX(Д2!$E$44:$AI$53,MATCH($D21,Д2!$D$44:$D$53),MATCH(K$7,Д2!$E$3:$AI$3))</f>
        <v>0</v>
      </c>
      <c r="L21" s="27">
        <f ca="1">INDEX(Д2!$E$44:$AI$53,MATCH($D21,Д2!$D$44:$D$53),MATCH(L$7,Д2!$E$3:$AI$3))</f>
        <v>0</v>
      </c>
      <c r="M21" s="27">
        <f ca="1">INDEX(Д2!$E$44:$AI$53,MATCH($D21,Д2!$D$44:$D$53),MATCH(M$7,Д2!$E$3:$AI$3))</f>
        <v>4</v>
      </c>
      <c r="N21" s="27">
        <f ca="1">INDEX(Д2!$E$44:$AI$53,MATCH($D21,Д2!$D$44:$D$53),MATCH(N$7,Д2!$E$3:$AI$3))</f>
        <v>8</v>
      </c>
      <c r="O21" s="27">
        <f ca="1">INDEX(Д2!$E$44:$AI$53,MATCH($D21,Д2!$D$44:$D$53),MATCH(O$7,Д2!$E$3:$AI$3))</f>
        <v>12</v>
      </c>
      <c r="P21" s="27">
        <f ca="1">INDEX(Д2!$E$44:$AI$53,MATCH($D21,Д2!$D$44:$D$53),MATCH(P$7,Д2!$E$3:$AI$3))</f>
        <v>4</v>
      </c>
      <c r="Q21" s="27">
        <f ca="1">INDEX(Д2!$E$44:$AI$53,MATCH($D21,Д2!$D$44:$D$53),MATCH(Q$7,Д2!$E$3:$AI$3))</f>
        <v>8</v>
      </c>
      <c r="R21" s="27">
        <f ca="1">INDEX(Д2!$E$44:$AI$53,MATCH($D21,Д2!$D$44:$D$53),MATCH(R$7,Д2!$E$3:$AI$3))</f>
        <v>12</v>
      </c>
      <c r="S21" s="27">
        <f ca="1">INDEX(Д2!$E$44:$AI$53,MATCH($D21,Д2!$D$44:$D$53),MATCH(S$7,Д2!$E$3:$AI$3))</f>
        <v>0</v>
      </c>
      <c r="T21" s="27">
        <f ca="1">INDEX(Д2!$E$44:$AI$53,MATCH($D21,Д2!$D$44:$D$53),MATCH(T$7,Д2!$E$3:$AI$3))</f>
        <v>0</v>
      </c>
      <c r="U21" s="27">
        <f ca="1">INDEX(Д2!$E$44:$AI$53,MATCH($D21,Д2!$D$44:$D$53),MATCH(U$7,Д2!$E$3:$AI$3))</f>
        <v>4</v>
      </c>
      <c r="V21" s="27">
        <f ca="1">INDEX(Д2!$E$44:$AI$53,MATCH($D21,Д2!$D$44:$D$53),MATCH(V$7,Д2!$E$3:$AI$3))</f>
        <v>8</v>
      </c>
      <c r="W21" s="27">
        <f ca="1">INDEX(Д2!$E$44:$AI$53,MATCH($D21,Д2!$D$44:$D$53),MATCH(W$7,Д2!$E$3:$AI$3))</f>
        <v>12</v>
      </c>
      <c r="X21" s="27">
        <f ca="1">INDEX(Д2!$E$44:$AI$53,MATCH($D21,Д2!$D$44:$D$53),MATCH(X$7,Д2!$E$3:$AI$3))</f>
        <v>4</v>
      </c>
      <c r="Y21" s="27">
        <f ca="1">INDEX(Д2!$E$44:$AI$53,MATCH($D21,Д2!$D$44:$D$53),MATCH(Y$7,Д2!$E$3:$AI$3))</f>
        <v>8</v>
      </c>
      <c r="Z21" s="27">
        <f ca="1">INDEX(Д2!$E$44:$AI$53,MATCH($D21,Д2!$D$44:$D$53),MATCH(Z$7,Д2!$E$3:$AI$3))</f>
        <v>12</v>
      </c>
      <c r="AA21" s="27">
        <f ca="1">INDEX(Д2!$E$44:$AI$53,MATCH($D21,Д2!$D$44:$D$53),MATCH(AA$7,Д2!$E$3:$AI$3))</f>
        <v>0</v>
      </c>
      <c r="AB21" s="27">
        <f ca="1">INDEX(Д2!$E$44:$AI$53,MATCH($D21,Д2!$D$44:$D$53),MATCH(AB$7,Д2!$E$3:$AI$3))</f>
        <v>0</v>
      </c>
      <c r="AC21" s="27">
        <f ca="1">INDEX(Д2!$E$44:$AI$53,MATCH($D21,Д2!$D$44:$D$53),MATCH(AC$7,Д2!$E$3:$AI$3))</f>
        <v>4</v>
      </c>
      <c r="AD21" s="27">
        <f ca="1">INDEX(Д2!$E$44:$AI$53,MATCH($D21,Д2!$D$44:$D$53),MATCH(AD$7,Д2!$E$3:$AI$3))</f>
        <v>8</v>
      </c>
      <c r="AE21" s="27">
        <f ca="1">INDEX(Д2!$E$44:$AI$53,MATCH($D21,Д2!$D$44:$D$53),MATCH(AE$7,Д2!$E$3:$AI$3))</f>
        <v>12</v>
      </c>
      <c r="AF21" s="27">
        <f ca="1">INDEX(Д2!$E$44:$AI$53,MATCH($D21,Д2!$D$44:$D$53),MATCH(AF$7,Д2!$E$3:$AI$3))</f>
        <v>4</v>
      </c>
      <c r="AG21" s="27">
        <f ca="1">INDEX(Д2!$E$44:$AI$53,MATCH($D21,Д2!$D$44:$D$53),MATCH(AG$7,Д2!$E$3:$AI$3))</f>
        <v>8</v>
      </c>
      <c r="AH21" s="27">
        <f ca="1">INDEX(Д2!$E$44:$AI$53,MATCH($D21,Д2!$D$44:$D$53),MATCH(AH$7,Д2!$E$3:$AI$3))</f>
        <v>12</v>
      </c>
      <c r="AI21" s="32">
        <f ca="1">INDEX(Д2!$E$44:$AI$53,MATCH($D21,Д2!$D$44:$D$53),MATCH(AI$7,Д2!$E$3:$AI$3))</f>
        <v>0</v>
      </c>
      <c r="AJ21" s="143">
        <f>INDEX(Д2!AK$44:$AK$53,MATCH($C21,Д2!$C$44:$C$53),MATCH(E$7,Д2!$E$3:$AI$3))*AND(MONTH($E$8)=MONTH(Д2!$B$44))</f>
        <v>144</v>
      </c>
      <c r="AK21" s="144">
        <f ca="1">SUM(E21:AI22)</f>
        <v>192</v>
      </c>
      <c r="AL21" s="144"/>
      <c r="AM21" s="149">
        <f ca="1">SUM(F21:H22,J21:AI22)-AJ21+AL21-12</f>
        <v>24</v>
      </c>
      <c r="AP21" s="136">
        <f t="shared" ref="AP21" ca="1" si="32">COUNTIF($E21:$AI22,"12")</f>
        <v>8</v>
      </c>
      <c r="AQ21" s="136">
        <f t="shared" ref="AQ21" ca="1" si="33">IF(COUNTIF($E21:$AI22,"СП")&gt;=1,(COUNTIF($E21:$AI22,"4")+COUNTIF($E21:$AI22,"8")-1)/2,(COUNTIF($E21:$AI22,"4")+COUNTIF($E21:$AI22,"8"))/2)</f>
        <v>7.5</v>
      </c>
      <c r="AR21" s="136">
        <f t="shared" ca="1" si="2"/>
        <v>96</v>
      </c>
      <c r="AS21" s="136">
        <f t="shared" ref="AS21" ca="1" si="34">IF(COUNTIF($E21:$AI22,"СП")&gt;=1,SUMIF($E21:$AI22,"4",$E21:$AI22)+SUMIF($E21:$AI22,"8",$E21:$AI22)-8,SUMIF($E21:$AI22,"4",$E21:$AI22)+SUMIF($E21:$AI22,"8",$E21:$AI22))</f>
        <v>88</v>
      </c>
      <c r="AT21" s="136">
        <f t="shared" ref="AT21" ca="1" si="35">$AR21+$AS21</f>
        <v>184</v>
      </c>
      <c r="AU21" s="136" t="str">
        <f t="shared" ref="AU21" ca="1" si="36">IF(AK21=AT21,"+","!")</f>
        <v>!</v>
      </c>
      <c r="AV21" s="136">
        <f t="shared" ref="AV21" ca="1" si="37">COUNTIF($E21:$AI22,"ОТ")</f>
        <v>0</v>
      </c>
      <c r="AW21" s="137" t="str">
        <f ca="1">IF(COUNTIF($A22:$AI22,"СП")&gt;0,IF(INDIRECT(ADDRESS(ROW(),MATCH("СП",$A22:$AI22),1))=8,"","!"),"")</f>
        <v>!</v>
      </c>
      <c r="AX21" s="137" t="str">
        <f ca="1">IF(COUNTIF($A22:$AI22,"СП")&gt;0,IF(INDIRECT(ADDRESS(ROW(),MATCH("СП",$A22:$AI22)-1,1))=4,"!",""),"")</f>
        <v/>
      </c>
    </row>
    <row r="22" spans="1:50" ht="16.5" thickBot="1" x14ac:dyDescent="0.3">
      <c r="A22" s="147"/>
      <c r="B22" s="139"/>
      <c r="C22" s="171"/>
      <c r="D22" s="50">
        <v>4</v>
      </c>
      <c r="E22" s="65" t="str">
        <f>INDEX(Д2!$E$44:$AI$53,MATCH($D22,Д2!$D$44:$D$53),MATCH(E$7,Д2!$E$3:$AI$3))</f>
        <v/>
      </c>
      <c r="F22" s="30" t="str">
        <f>INDEX(Д2!$E$44:$AI$53,MATCH($D22,Д2!$D$44:$D$53),MATCH(F$7,Д2!$E$3:$AI$3))</f>
        <v/>
      </c>
      <c r="G22" s="30" t="str">
        <f>INDEX(Д2!$E$44:$AI$53,MATCH($D22,Д2!$D$44:$D$53),MATCH(G$7,Д2!$E$3:$AI$3))</f>
        <v/>
      </c>
      <c r="H22" s="30" t="str">
        <f>INDEX(Д2!$E$44:$AI$53,MATCH($D22,Д2!$D$44:$D$53),MATCH(H$7,Д2!$E$3:$AI$3))</f>
        <v/>
      </c>
      <c r="I22" s="30" t="str">
        <f>INDEX(Д2!$E$44:$AI$53,MATCH($D22,Д2!$D$44:$D$53),MATCH(I$7,Д2!$E$3:$AI$3))</f>
        <v/>
      </c>
      <c r="J22" s="30" t="str">
        <f>INDEX(Д2!$E$44:$AI$53,MATCH($D22,Д2!$D$44:$D$53),MATCH(J$7,Д2!$E$3:$AI$3))</f>
        <v>СП</v>
      </c>
      <c r="K22" s="30" t="str">
        <f>INDEX(Д2!$E$44:$AI$53,MATCH($D22,Д2!$D$44:$D$53),MATCH(K$7,Д2!$E$3:$AI$3))</f>
        <v/>
      </c>
      <c r="L22" s="30" t="str">
        <f>INDEX(Д2!$E$44:$AI$53,MATCH($D22,Д2!$D$44:$D$53),MATCH(L$7,Д2!$E$3:$AI$3))</f>
        <v/>
      </c>
      <c r="M22" s="30" t="str">
        <f>INDEX(Д2!$E$44:$AI$53,MATCH($D22,Д2!$D$44:$D$53),MATCH(M$7,Д2!$E$3:$AI$3))</f>
        <v/>
      </c>
      <c r="N22" s="30" t="str">
        <f>INDEX(Д2!$E$44:$AI$53,MATCH($D22,Д2!$D$44:$D$53),MATCH(N$7,Д2!$E$3:$AI$3))</f>
        <v/>
      </c>
      <c r="O22" s="30" t="str">
        <f>INDEX(Д2!$E$44:$AI$53,MATCH($D22,Д2!$D$44:$D$53),MATCH(O$7,Д2!$E$3:$AI$3))</f>
        <v/>
      </c>
      <c r="P22" s="30" t="str">
        <f>INDEX(Д2!$E$44:$AI$53,MATCH($D22,Д2!$D$44:$D$53),MATCH(P$7,Д2!$E$3:$AI$3))</f>
        <v/>
      </c>
      <c r="Q22" s="30" t="str">
        <f>INDEX(Д2!$E$44:$AI$53,MATCH($D22,Д2!$D$44:$D$53),MATCH(Q$7,Д2!$E$3:$AI$3))</f>
        <v/>
      </c>
      <c r="R22" s="30" t="str">
        <f>INDEX(Д2!$E$44:$AI$53,MATCH($D22,Д2!$D$44:$D$53),MATCH(R$7,Д2!$E$3:$AI$3))</f>
        <v/>
      </c>
      <c r="S22" s="30" t="str">
        <f>INDEX(Д2!$E$44:$AI$53,MATCH($D22,Д2!$D$44:$D$53),MATCH(S$7,Д2!$E$3:$AI$3))</f>
        <v/>
      </c>
      <c r="T22" s="30" t="str">
        <f>INDEX(Д2!$E$44:$AI$53,MATCH($D22,Д2!$D$44:$D$53),MATCH(T$7,Д2!$E$3:$AI$3))</f>
        <v/>
      </c>
      <c r="U22" s="30" t="str">
        <f>INDEX(Д2!$E$44:$AI$53,MATCH($D22,Д2!$D$44:$D$53),MATCH(U$7,Д2!$E$3:$AI$3))</f>
        <v/>
      </c>
      <c r="V22" s="30" t="str">
        <f>INDEX(Д2!$E$44:$AI$53,MATCH($D22,Д2!$D$44:$D$53),MATCH(V$7,Д2!$E$3:$AI$3))</f>
        <v/>
      </c>
      <c r="W22" s="30" t="str">
        <f>INDEX(Д2!$E$44:$AI$53,MATCH($D22,Д2!$D$44:$D$53),MATCH(W$7,Д2!$E$3:$AI$3))</f>
        <v/>
      </c>
      <c r="X22" s="30" t="str">
        <f>INDEX(Д2!$E$44:$AI$53,MATCH($D22,Д2!$D$44:$D$53),MATCH(X$7,Д2!$E$3:$AI$3))</f>
        <v/>
      </c>
      <c r="Y22" s="30" t="str">
        <f>INDEX(Д2!$E$44:$AI$53,MATCH($D22,Д2!$D$44:$D$53),MATCH(Y$7,Д2!$E$3:$AI$3))</f>
        <v/>
      </c>
      <c r="Z22" s="30" t="str">
        <f>INDEX(Д2!$E$44:$AI$53,MATCH($D22,Д2!$D$44:$D$53),MATCH(Z$7,Д2!$E$3:$AI$3))</f>
        <v/>
      </c>
      <c r="AA22" s="30" t="str">
        <f>INDEX(Д2!$E$44:$AI$53,MATCH($D22,Д2!$D$44:$D$53),MATCH(AA$7,Д2!$E$3:$AI$3))</f>
        <v/>
      </c>
      <c r="AB22" s="30" t="str">
        <f>INDEX(Д2!$E$44:$AI$53,MATCH($D22,Д2!$D$44:$D$53),MATCH(AB$7,Д2!$E$3:$AI$3))</f>
        <v/>
      </c>
      <c r="AC22" s="30" t="str">
        <f>INDEX(Д2!$E$44:$AI$53,MATCH($D22,Д2!$D$44:$D$53),MATCH(AC$7,Д2!$E$3:$AI$3))</f>
        <v/>
      </c>
      <c r="AD22" s="30" t="str">
        <f>INDEX(Д2!$E$44:$AI$53,MATCH($D22,Д2!$D$44:$D$53),MATCH(AD$7,Д2!$E$3:$AI$3))</f>
        <v/>
      </c>
      <c r="AE22" s="30" t="str">
        <f>INDEX(Д2!$E$44:$AI$53,MATCH($D22,Д2!$D$44:$D$53),MATCH(AE$7,Д2!$E$3:$AI$3))</f>
        <v/>
      </c>
      <c r="AF22" s="30" t="str">
        <f>INDEX(Д2!$E$44:$AI$53,MATCH($D22,Д2!$D$44:$D$53),MATCH(AF$7,Д2!$E$3:$AI$3))</f>
        <v/>
      </c>
      <c r="AG22" s="30" t="str">
        <f>INDEX(Д2!$E$44:$AI$53,MATCH($D22,Д2!$D$44:$D$53),MATCH(AG$7,Д2!$E$3:$AI$3))</f>
        <v/>
      </c>
      <c r="AH22" s="30" t="str">
        <f>INDEX(Д2!$E$44:$AI$53,MATCH($D22,Д2!$D$44:$D$53),MATCH(AH$7,Д2!$E$3:$AI$3))</f>
        <v/>
      </c>
      <c r="AI22" s="33" t="str">
        <f>INDEX(Д2!$E$44:$AI$53,MATCH($D22,Д2!$D$44:$D$53),MATCH(AI$7,Д2!$E$3:$AI$3))</f>
        <v/>
      </c>
      <c r="AJ22" s="143"/>
      <c r="AK22" s="145"/>
      <c r="AL22" s="145"/>
      <c r="AM22" s="150"/>
      <c r="AP22" s="136"/>
      <c r="AQ22" s="136"/>
      <c r="AR22" s="136"/>
      <c r="AS22" s="136"/>
      <c r="AT22" s="136"/>
      <c r="AU22" s="136"/>
      <c r="AV22" s="136"/>
      <c r="AW22" s="137"/>
      <c r="AX22" s="137"/>
    </row>
    <row r="23" spans="1:50" ht="16.5" customHeight="1" thickBot="1" x14ac:dyDescent="0.3">
      <c r="A23" s="147"/>
      <c r="B23" s="139" t="s">
        <v>87</v>
      </c>
      <c r="C23" s="170">
        <v>3</v>
      </c>
      <c r="D23" s="49">
        <v>5</v>
      </c>
      <c r="E23" s="62">
        <f ca="1">INDEX(Д2!$E$44:$AI$53,MATCH($D23,Д2!$D$44:$D$53),MATCH(E$7,Д2!$E$3:$AI$3))</f>
        <v>8</v>
      </c>
      <c r="F23" s="28">
        <f ca="1">INDEX(Д2!$E$44:$AI$53,MATCH($D23,Д2!$D$44:$D$53),MATCH(F$7,Д2!$E$3:$AI$3))</f>
        <v>12</v>
      </c>
      <c r="G23" s="28">
        <f ca="1">INDEX(Д2!$E$44:$AI$53,MATCH($D23,Д2!$D$44:$D$53),MATCH(G$7,Д2!$E$3:$AI$3))</f>
        <v>0</v>
      </c>
      <c r="H23" s="28">
        <f ca="1">INDEX(Д2!$E$44:$AI$53,MATCH($D23,Д2!$D$44:$D$53),MATCH(H$7,Д2!$E$3:$AI$3))</f>
        <v>0</v>
      </c>
      <c r="I23" s="28">
        <f ca="1">INDEX(Д2!$E$44:$AI$53,MATCH($D23,Д2!$D$44:$D$53),MATCH(I$7,Д2!$E$3:$AI$3))</f>
        <v>4</v>
      </c>
      <c r="J23" s="28">
        <f ca="1">INDEX(Д2!$E$44:$AI$53,MATCH($D23,Д2!$D$44:$D$53),MATCH(J$7,Д2!$E$3:$AI$3))</f>
        <v>8</v>
      </c>
      <c r="K23" s="28">
        <f ca="1">INDEX(Д2!$E$44:$AI$53,MATCH($D23,Д2!$D$44:$D$53),MATCH(K$7,Д2!$E$3:$AI$3))</f>
        <v>12</v>
      </c>
      <c r="L23" s="28">
        <f ca="1">INDEX(Д2!$E$44:$AI$53,MATCH($D23,Д2!$D$44:$D$53),MATCH(L$7,Д2!$E$3:$AI$3))</f>
        <v>4</v>
      </c>
      <c r="M23" s="28">
        <f ca="1">INDEX(Д2!$E$44:$AI$53,MATCH($D23,Д2!$D$44:$D$53),MATCH(M$7,Д2!$E$3:$AI$3))</f>
        <v>8</v>
      </c>
      <c r="N23" s="28">
        <f ca="1">INDEX(Д2!$E$44:$AI$53,MATCH($D23,Д2!$D$44:$D$53),MATCH(N$7,Д2!$E$3:$AI$3))</f>
        <v>12</v>
      </c>
      <c r="O23" s="28">
        <f ca="1">INDEX(Д2!$E$44:$AI$53,MATCH($D23,Д2!$D$44:$D$53),MATCH(O$7,Д2!$E$3:$AI$3))</f>
        <v>0</v>
      </c>
      <c r="P23" s="28">
        <f ca="1">INDEX(Д2!$E$44:$AI$53,MATCH($D23,Д2!$D$44:$D$53),MATCH(P$7,Д2!$E$3:$AI$3))</f>
        <v>0</v>
      </c>
      <c r="Q23" s="28">
        <f ca="1">INDEX(Д2!$E$44:$AI$53,MATCH($D23,Д2!$D$44:$D$53),MATCH(Q$7,Д2!$E$3:$AI$3))</f>
        <v>4</v>
      </c>
      <c r="R23" s="28">
        <f ca="1">INDEX(Д2!$E$44:$AI$53,MATCH($D23,Д2!$D$44:$D$53),MATCH(R$7,Д2!$E$3:$AI$3))</f>
        <v>8</v>
      </c>
      <c r="S23" s="28">
        <f ca="1">INDEX(Д2!$E$44:$AI$53,MATCH($D23,Д2!$D$44:$D$53),MATCH(S$7,Д2!$E$3:$AI$3))</f>
        <v>12</v>
      </c>
      <c r="T23" s="28">
        <f ca="1">INDEX(Д2!$E$44:$AI$53,MATCH($D23,Д2!$D$44:$D$53),MATCH(T$7,Д2!$E$3:$AI$3))</f>
        <v>4</v>
      </c>
      <c r="U23" s="28">
        <f ca="1">INDEX(Д2!$E$44:$AI$53,MATCH($D23,Д2!$D$44:$D$53),MATCH(U$7,Д2!$E$3:$AI$3))</f>
        <v>8</v>
      </c>
      <c r="V23" s="28">
        <f ca="1">INDEX(Д2!$E$44:$AI$53,MATCH($D23,Д2!$D$44:$D$53),MATCH(V$7,Д2!$E$3:$AI$3))</f>
        <v>12</v>
      </c>
      <c r="W23" s="28">
        <f ca="1">INDEX(Д2!$E$44:$AI$53,MATCH($D23,Д2!$D$44:$D$53),MATCH(W$7,Д2!$E$3:$AI$3))</f>
        <v>0</v>
      </c>
      <c r="X23" s="28">
        <f ca="1">INDEX(Д2!$E$44:$AI$53,MATCH($D23,Д2!$D$44:$D$53),MATCH(X$7,Д2!$E$3:$AI$3))</f>
        <v>0</v>
      </c>
      <c r="Y23" s="28">
        <f ca="1">INDEX(Д2!$E$44:$AI$53,MATCH($D23,Д2!$D$44:$D$53),MATCH(Y$7,Д2!$E$3:$AI$3))</f>
        <v>4</v>
      </c>
      <c r="Z23" s="28">
        <f ca="1">INDEX(Д2!$E$44:$AI$53,MATCH($D23,Д2!$D$44:$D$53),MATCH(Z$7,Д2!$E$3:$AI$3))</f>
        <v>8</v>
      </c>
      <c r="AA23" s="28">
        <f ca="1">INDEX(Д2!$E$44:$AI$53,MATCH($D23,Д2!$D$44:$D$53),MATCH(AA$7,Д2!$E$3:$AI$3))</f>
        <v>12</v>
      </c>
      <c r="AB23" s="28">
        <f ca="1">INDEX(Д2!$E$44:$AI$53,MATCH($D23,Д2!$D$44:$D$53),MATCH(AB$7,Д2!$E$3:$AI$3))</f>
        <v>4</v>
      </c>
      <c r="AC23" s="28">
        <f ca="1">INDEX(Д2!$E$44:$AI$53,MATCH($D23,Д2!$D$44:$D$53),MATCH(AC$7,Д2!$E$3:$AI$3))</f>
        <v>8</v>
      </c>
      <c r="AD23" s="28">
        <f ca="1">INDEX(Д2!$E$44:$AI$53,MATCH($D23,Д2!$D$44:$D$53),MATCH(AD$7,Д2!$E$3:$AI$3))</f>
        <v>12</v>
      </c>
      <c r="AE23" s="28">
        <f ca="1">INDEX(Д2!$E$44:$AI$53,MATCH($D23,Д2!$D$44:$D$53),MATCH(AE$7,Д2!$E$3:$AI$3))</f>
        <v>0</v>
      </c>
      <c r="AF23" s="28">
        <f ca="1">INDEX(Д2!$E$44:$AI$53,MATCH($D23,Д2!$D$44:$D$53),MATCH(AF$7,Д2!$E$3:$AI$3))</f>
        <v>0</v>
      </c>
      <c r="AG23" s="28">
        <f ca="1">INDEX(Д2!$E$44:$AI$53,MATCH($D23,Д2!$D$44:$D$53),MATCH(AG$7,Д2!$E$3:$AI$3))</f>
        <v>4</v>
      </c>
      <c r="AH23" s="28">
        <f ca="1">INDEX(Д2!$E$44:$AI$53,MATCH($D23,Д2!$D$44:$D$53),MATCH(AH$7,Д2!$E$3:$AI$3))</f>
        <v>8</v>
      </c>
      <c r="AI23" s="60">
        <f ca="1">INDEX(Д2!$E$44:$AI$53,MATCH($D23,Д2!$D$44:$D$53),MATCH(AI$7,Д2!$E$3:$AI$3))</f>
        <v>12</v>
      </c>
      <c r="AJ23" s="143">
        <f>INDEX(Д2!AK$44:$AK$53,MATCH($C23,Д2!$C$44:$C$53),MATCH(E$7,Д2!$E$3:$AI$3))*AND(MONTH($E$8)=MONTH(Д2!$B$44))</f>
        <v>144</v>
      </c>
      <c r="AK23" s="144">
        <f ca="1">SUM(E23:AI24)</f>
        <v>188</v>
      </c>
      <c r="AL23" s="144"/>
      <c r="AM23" s="149">
        <f ca="1">SUM(F23:H24,J23:AI24)-AJ23+AL23-12</f>
        <v>20</v>
      </c>
      <c r="AP23" s="136">
        <f t="shared" ref="AP23" ca="1" si="38">COUNTIF($E23:$AI24,"12")</f>
        <v>8</v>
      </c>
      <c r="AQ23" s="136">
        <f t="shared" ref="AQ23" ca="1" si="39">IF(COUNTIF($E23:$AI24,"СП")&gt;=1,(COUNTIF($E23:$AI24,"4")+COUNTIF($E23:$AI24,"8")-1)/2,(COUNTIF($E23:$AI24,"4")+COUNTIF($E23:$AI24,"8"))/2)</f>
        <v>7</v>
      </c>
      <c r="AR23" s="136">
        <f t="shared" ca="1" si="2"/>
        <v>96</v>
      </c>
      <c r="AS23" s="136">
        <f t="shared" ref="AS23" ca="1" si="40">IF(COUNTIF($E23:$AI24,"СП")&gt;=1,SUMIF($E23:$AI24,"4",$E23:$AI24)+SUMIF($E23:$AI24,"8",$E23:$AI24)-8,SUMIF($E23:$AI24,"4",$E23:$AI24)+SUMIF($E23:$AI24,"8",$E23:$AI24))</f>
        <v>84</v>
      </c>
      <c r="AT23" s="136">
        <f t="shared" ref="AT23" ca="1" si="41">$AR23+$AS23</f>
        <v>180</v>
      </c>
      <c r="AU23" s="136" t="str">
        <f t="shared" ref="AU23" ca="1" si="42">IF(AK23=AT23,"+","!")</f>
        <v>!</v>
      </c>
      <c r="AV23" s="136">
        <f t="shared" ref="AV23" ca="1" si="43">COUNTIF($E23:$AI24,"ОТ")</f>
        <v>0</v>
      </c>
      <c r="AW23" s="137" t="str">
        <f ca="1">IF(COUNTIF($A24:$AI24,"СП")&gt;0,IF(INDIRECT(ADDRESS(ROW(),MATCH("СП",$A24:$AI24),1))=8,"","!"),"")</f>
        <v>!</v>
      </c>
      <c r="AX23" s="137" t="str">
        <f ca="1">IF(COUNTIF($A24:$AI24,"СП")&gt;0,IF(INDIRECT(ADDRESS(ROW(),MATCH("СП",$A24:$AI24)-1,1))=4,"!",""),"")</f>
        <v/>
      </c>
    </row>
    <row r="24" spans="1:50" ht="16.5" thickBot="1" x14ac:dyDescent="0.3">
      <c r="A24" s="147"/>
      <c r="B24" s="139"/>
      <c r="C24" s="171"/>
      <c r="D24" s="50">
        <v>6</v>
      </c>
      <c r="E24" s="63" t="str">
        <f>INDEX(Д2!$E$44:$AI$53,MATCH($D24,Д2!$D$44:$D$53),MATCH(E$7,Д2!$E$3:$AI$3))</f>
        <v/>
      </c>
      <c r="F24" s="29" t="str">
        <f>INDEX(Д2!$E$44:$AI$53,MATCH($D24,Д2!$D$44:$D$53),MATCH(F$7,Д2!$E$3:$AI$3))</f>
        <v/>
      </c>
      <c r="G24" s="29" t="str">
        <f>INDEX(Д2!$E$44:$AI$53,MATCH($D24,Д2!$D$44:$D$53),MATCH(G$7,Д2!$E$3:$AI$3))</f>
        <v/>
      </c>
      <c r="H24" s="29" t="str">
        <f>INDEX(Д2!$E$44:$AI$53,MATCH($D24,Д2!$D$44:$D$53),MATCH(H$7,Д2!$E$3:$AI$3))</f>
        <v/>
      </c>
      <c r="I24" s="29" t="str">
        <f>INDEX(Д2!$E$44:$AI$53,MATCH($D24,Д2!$D$44:$D$53),MATCH(I$7,Д2!$E$3:$AI$3))</f>
        <v/>
      </c>
      <c r="J24" s="29" t="str">
        <f>INDEX(Д2!$E$44:$AI$53,MATCH($D24,Д2!$D$44:$D$53),MATCH(J$7,Д2!$E$3:$AI$3))</f>
        <v/>
      </c>
      <c r="K24" s="29" t="str">
        <f>INDEX(Д2!$E$44:$AI$53,MATCH($D24,Д2!$D$44:$D$53),MATCH(K$7,Д2!$E$3:$AI$3))</f>
        <v>СП</v>
      </c>
      <c r="L24" s="29" t="str">
        <f>INDEX(Д2!$E$44:$AI$53,MATCH($D24,Д2!$D$44:$D$53),MATCH(L$7,Д2!$E$3:$AI$3))</f>
        <v/>
      </c>
      <c r="M24" s="29" t="str">
        <f>INDEX(Д2!$E$44:$AI$53,MATCH($D24,Д2!$D$44:$D$53),MATCH(M$7,Д2!$E$3:$AI$3))</f>
        <v/>
      </c>
      <c r="N24" s="29" t="str">
        <f>INDEX(Д2!$E$44:$AI$53,MATCH($D24,Д2!$D$44:$D$53),MATCH(N$7,Д2!$E$3:$AI$3))</f>
        <v/>
      </c>
      <c r="O24" s="29" t="str">
        <f>INDEX(Д2!$E$44:$AI$53,MATCH($D24,Д2!$D$44:$D$53),MATCH(O$7,Д2!$E$3:$AI$3))</f>
        <v/>
      </c>
      <c r="P24" s="29" t="str">
        <f>INDEX(Д2!$E$44:$AI$53,MATCH($D24,Д2!$D$44:$D$53),MATCH(P$7,Д2!$E$3:$AI$3))</f>
        <v/>
      </c>
      <c r="Q24" s="29" t="str">
        <f>INDEX(Д2!$E$44:$AI$53,MATCH($D24,Д2!$D$44:$D$53),MATCH(Q$7,Д2!$E$3:$AI$3))</f>
        <v/>
      </c>
      <c r="R24" s="29" t="str">
        <f>INDEX(Д2!$E$44:$AI$53,MATCH($D24,Д2!$D$44:$D$53),MATCH(R$7,Д2!$E$3:$AI$3))</f>
        <v/>
      </c>
      <c r="S24" s="29" t="str">
        <f>INDEX(Д2!$E$44:$AI$53,MATCH($D24,Д2!$D$44:$D$53),MATCH(S$7,Д2!$E$3:$AI$3))</f>
        <v/>
      </c>
      <c r="T24" s="29" t="str">
        <f>INDEX(Д2!$E$44:$AI$53,MATCH($D24,Д2!$D$44:$D$53),MATCH(T$7,Д2!$E$3:$AI$3))</f>
        <v/>
      </c>
      <c r="U24" s="29" t="str">
        <f>INDEX(Д2!$E$44:$AI$53,MATCH($D24,Д2!$D$44:$D$53),MATCH(U$7,Д2!$E$3:$AI$3))</f>
        <v/>
      </c>
      <c r="V24" s="29" t="str">
        <f>INDEX(Д2!$E$44:$AI$53,MATCH($D24,Д2!$D$44:$D$53),MATCH(V$7,Д2!$E$3:$AI$3))</f>
        <v/>
      </c>
      <c r="W24" s="29" t="str">
        <f>INDEX(Д2!$E$44:$AI$53,MATCH($D24,Д2!$D$44:$D$53),MATCH(W$7,Д2!$E$3:$AI$3))</f>
        <v/>
      </c>
      <c r="X24" s="29" t="str">
        <f>INDEX(Д2!$E$44:$AI$53,MATCH($D24,Д2!$D$44:$D$53),MATCH(X$7,Д2!$E$3:$AI$3))</f>
        <v/>
      </c>
      <c r="Y24" s="29" t="str">
        <f>INDEX(Д2!$E$44:$AI$53,MATCH($D24,Д2!$D$44:$D$53),MATCH(Y$7,Д2!$E$3:$AI$3))</f>
        <v/>
      </c>
      <c r="Z24" s="29" t="str">
        <f>INDEX(Д2!$E$44:$AI$53,MATCH($D24,Д2!$D$44:$D$53),MATCH(Z$7,Д2!$E$3:$AI$3))</f>
        <v/>
      </c>
      <c r="AA24" s="29" t="str">
        <f>INDEX(Д2!$E$44:$AI$53,MATCH($D24,Д2!$D$44:$D$53),MATCH(AA$7,Д2!$E$3:$AI$3))</f>
        <v/>
      </c>
      <c r="AB24" s="29" t="str">
        <f>INDEX(Д2!$E$44:$AI$53,MATCH($D24,Д2!$D$44:$D$53),MATCH(AB$7,Д2!$E$3:$AI$3))</f>
        <v/>
      </c>
      <c r="AC24" s="29" t="str">
        <f>INDEX(Д2!$E$44:$AI$53,MATCH($D24,Д2!$D$44:$D$53),MATCH(AC$7,Д2!$E$3:$AI$3))</f>
        <v/>
      </c>
      <c r="AD24" s="29" t="str">
        <f>INDEX(Д2!$E$44:$AI$53,MATCH($D24,Д2!$D$44:$D$53),MATCH(AD$7,Д2!$E$3:$AI$3))</f>
        <v/>
      </c>
      <c r="AE24" s="29" t="str">
        <f>INDEX(Д2!$E$44:$AI$53,MATCH($D24,Д2!$D$44:$D$53),MATCH(AE$7,Д2!$E$3:$AI$3))</f>
        <v/>
      </c>
      <c r="AF24" s="29" t="str">
        <f>INDEX(Д2!$E$44:$AI$53,MATCH($D24,Д2!$D$44:$D$53),MATCH(AF$7,Д2!$E$3:$AI$3))</f>
        <v/>
      </c>
      <c r="AG24" s="29" t="str">
        <f>INDEX(Д2!$E$44:$AI$53,MATCH($D24,Д2!$D$44:$D$53),MATCH(AG$7,Д2!$E$3:$AI$3))</f>
        <v/>
      </c>
      <c r="AH24" s="29" t="str">
        <f>INDEX(Д2!$E$44:$AI$53,MATCH($D24,Д2!$D$44:$D$53),MATCH(AH$7,Д2!$E$3:$AI$3))</f>
        <v/>
      </c>
      <c r="AI24" s="61" t="str">
        <f>INDEX(Д2!$E$44:$AI$53,MATCH($D24,Д2!$D$44:$D$53),MATCH(AI$7,Д2!$E$3:$AI$3))</f>
        <v/>
      </c>
      <c r="AJ24" s="143"/>
      <c r="AK24" s="145"/>
      <c r="AL24" s="145"/>
      <c r="AM24" s="150"/>
      <c r="AP24" s="136"/>
      <c r="AQ24" s="136"/>
      <c r="AR24" s="136"/>
      <c r="AS24" s="136"/>
      <c r="AT24" s="136"/>
      <c r="AU24" s="136"/>
      <c r="AV24" s="136"/>
      <c r="AW24" s="137"/>
      <c r="AX24" s="137"/>
    </row>
    <row r="25" spans="1:50" ht="16.5" customHeight="1" thickBot="1" x14ac:dyDescent="0.3">
      <c r="A25" s="147"/>
      <c r="B25" s="139" t="s">
        <v>88</v>
      </c>
      <c r="C25" s="170">
        <v>4</v>
      </c>
      <c r="D25" s="49">
        <v>7</v>
      </c>
      <c r="E25" s="64">
        <f ca="1">INDEX(Д2!$E$44:$AI$53,MATCH($D25,Д2!$D$44:$D$53),MATCH(E$7,Д2!$E$3:$AI$3))</f>
        <v>12</v>
      </c>
      <c r="F25" s="27">
        <f ca="1">INDEX(Д2!$E$44:$AI$53,MATCH($D25,Д2!$D$44:$D$53),MATCH(F$7,Д2!$E$3:$AI$3))</f>
        <v>4</v>
      </c>
      <c r="G25" s="27">
        <f ca="1">INDEX(Д2!$E$44:$AI$53,MATCH($D25,Д2!$D$44:$D$53),MATCH(G$7,Д2!$E$3:$AI$3))</f>
        <v>8</v>
      </c>
      <c r="H25" s="27">
        <f ca="1">INDEX(Д2!$E$44:$AI$53,MATCH($D25,Д2!$D$44:$D$53),MATCH(H$7,Д2!$E$3:$AI$3))</f>
        <v>12</v>
      </c>
      <c r="I25" s="27">
        <f ca="1">INDEX(Д2!$E$44:$AI$53,MATCH($D25,Д2!$D$44:$D$53),MATCH(I$7,Д2!$E$3:$AI$3))</f>
        <v>0</v>
      </c>
      <c r="J25" s="27">
        <f ca="1">INDEX(Д2!$E$44:$AI$53,MATCH($D25,Д2!$D$44:$D$53),MATCH(J$7,Д2!$E$3:$AI$3))</f>
        <v>0</v>
      </c>
      <c r="K25" s="27">
        <f ca="1">INDEX(Д2!$E$44:$AI$53,MATCH($D25,Д2!$D$44:$D$53),MATCH(K$7,Д2!$E$3:$AI$3))</f>
        <v>4</v>
      </c>
      <c r="L25" s="27">
        <f ca="1">INDEX(Д2!$E$44:$AI$53,MATCH($D25,Д2!$D$44:$D$53),MATCH(L$7,Д2!$E$3:$AI$3))</f>
        <v>8</v>
      </c>
      <c r="M25" s="27">
        <f ca="1">INDEX(Д2!$E$44:$AI$53,MATCH($D25,Д2!$D$44:$D$53),MATCH(M$7,Д2!$E$3:$AI$3))</f>
        <v>12</v>
      </c>
      <c r="N25" s="27">
        <f ca="1">INDEX(Д2!$E$44:$AI$53,MATCH($D25,Д2!$D$44:$D$53),MATCH(N$7,Д2!$E$3:$AI$3))</f>
        <v>4</v>
      </c>
      <c r="O25" s="27">
        <f ca="1">INDEX(Д2!$E$44:$AI$53,MATCH($D25,Д2!$D$44:$D$53),MATCH(O$7,Д2!$E$3:$AI$3))</f>
        <v>8</v>
      </c>
      <c r="P25" s="27">
        <f ca="1">INDEX(Д2!$E$44:$AI$53,MATCH($D25,Д2!$D$44:$D$53),MATCH(P$7,Д2!$E$3:$AI$3))</f>
        <v>12</v>
      </c>
      <c r="Q25" s="27">
        <f ca="1">INDEX(Д2!$E$44:$AI$53,MATCH($D25,Д2!$D$44:$D$53),MATCH(Q$7,Д2!$E$3:$AI$3))</f>
        <v>0</v>
      </c>
      <c r="R25" s="27">
        <f ca="1">INDEX(Д2!$E$44:$AI$53,MATCH($D25,Д2!$D$44:$D$53),MATCH(R$7,Д2!$E$3:$AI$3))</f>
        <v>0</v>
      </c>
      <c r="S25" s="27">
        <f ca="1">INDEX(Д2!$E$44:$AI$53,MATCH($D25,Д2!$D$44:$D$53),MATCH(S$7,Д2!$E$3:$AI$3))</f>
        <v>4</v>
      </c>
      <c r="T25" s="27">
        <f ca="1">INDEX(Д2!$E$44:$AI$53,MATCH($D25,Д2!$D$44:$D$53),MATCH(T$7,Д2!$E$3:$AI$3))</f>
        <v>8</v>
      </c>
      <c r="U25" s="27">
        <f ca="1">INDEX(Д2!$E$44:$AI$53,MATCH($D25,Д2!$D$44:$D$53),MATCH(U$7,Д2!$E$3:$AI$3))</f>
        <v>12</v>
      </c>
      <c r="V25" s="27">
        <f ca="1">INDEX(Д2!$E$44:$AI$53,MATCH($D25,Д2!$D$44:$D$53),MATCH(V$7,Д2!$E$3:$AI$3))</f>
        <v>4</v>
      </c>
      <c r="W25" s="27">
        <f ca="1">INDEX(Д2!$E$44:$AI$53,MATCH($D25,Д2!$D$44:$D$53),MATCH(W$7,Д2!$E$3:$AI$3))</f>
        <v>8</v>
      </c>
      <c r="X25" s="27">
        <f ca="1">INDEX(Д2!$E$44:$AI$53,MATCH($D25,Д2!$D$44:$D$53),MATCH(X$7,Д2!$E$3:$AI$3))</f>
        <v>12</v>
      </c>
      <c r="Y25" s="27">
        <f ca="1">INDEX(Д2!$E$44:$AI$53,MATCH($D25,Д2!$D$44:$D$53),MATCH(Y$7,Д2!$E$3:$AI$3))</f>
        <v>0</v>
      </c>
      <c r="Z25" s="27">
        <f ca="1">INDEX(Д2!$E$44:$AI$53,MATCH($D25,Д2!$D$44:$D$53),MATCH(Z$7,Д2!$E$3:$AI$3))</f>
        <v>0</v>
      </c>
      <c r="AA25" s="27">
        <f ca="1">INDEX(Д2!$E$44:$AI$53,MATCH($D25,Д2!$D$44:$D$53),MATCH(AA$7,Д2!$E$3:$AI$3))</f>
        <v>4</v>
      </c>
      <c r="AB25" s="27">
        <f ca="1">INDEX(Д2!$E$44:$AI$53,MATCH($D25,Д2!$D$44:$D$53),MATCH(AB$7,Д2!$E$3:$AI$3))</f>
        <v>8</v>
      </c>
      <c r="AC25" s="27">
        <f ca="1">INDEX(Д2!$E$44:$AI$53,MATCH($D25,Д2!$D$44:$D$53),MATCH(AC$7,Д2!$E$3:$AI$3))</f>
        <v>12</v>
      </c>
      <c r="AD25" s="27">
        <f ca="1">INDEX(Д2!$E$44:$AI$53,MATCH($D25,Д2!$D$44:$D$53),MATCH(AD$7,Д2!$E$3:$AI$3))</f>
        <v>4</v>
      </c>
      <c r="AE25" s="27">
        <f ca="1">INDEX(Д2!$E$44:$AI$53,MATCH($D25,Д2!$D$44:$D$53),MATCH(AE$7,Д2!$E$3:$AI$3))</f>
        <v>8</v>
      </c>
      <c r="AF25" s="27">
        <f ca="1">INDEX(Д2!$E$44:$AI$53,MATCH($D25,Д2!$D$44:$D$53),MATCH(AF$7,Д2!$E$3:$AI$3))</f>
        <v>12</v>
      </c>
      <c r="AG25" s="27">
        <f ca="1">INDEX(Д2!$E$44:$AI$53,MATCH($D25,Д2!$D$44:$D$53),MATCH(AG$7,Д2!$E$3:$AI$3))</f>
        <v>0</v>
      </c>
      <c r="AH25" s="27">
        <f ca="1">INDEX(Д2!$E$44:$AI$53,MATCH($D25,Д2!$D$44:$D$53),MATCH(AH$7,Д2!$E$3:$AI$3))</f>
        <v>0</v>
      </c>
      <c r="AI25" s="32">
        <f ca="1">INDEX(Д2!$E$44:$AI$53,MATCH($D25,Д2!$D$44:$D$53),MATCH(AI$7,Д2!$E$3:$AI$3))</f>
        <v>4</v>
      </c>
      <c r="AJ25" s="143">
        <f>INDEX(Д2!AK$44:$AK$53,MATCH($C25,Д2!$C$44:$C$53),MATCH(E$7,Д2!$E$3:$AI$3))*AND(MONTH($E$8)=MONTH(Д2!$B$44))</f>
        <v>144</v>
      </c>
      <c r="AK25" s="144">
        <f ca="1">SUM(E25:AI26)</f>
        <v>184</v>
      </c>
      <c r="AL25" s="144"/>
      <c r="AM25" s="149">
        <f ca="1">SUM(F25:H26,J25:AI26)-AJ25+AL25-12</f>
        <v>16</v>
      </c>
      <c r="AP25" s="136">
        <f t="shared" ref="AP25" ca="1" si="44">COUNTIF($E25:$AI26,"12")</f>
        <v>8</v>
      </c>
      <c r="AQ25" s="136">
        <f t="shared" ref="AQ25" ca="1" si="45">IF(COUNTIF($E25:$AI26,"СП")&gt;=1,(COUNTIF($E25:$AI26,"4")+COUNTIF($E25:$AI26,"8")-1)/2,(COUNTIF($E25:$AI26,"4")+COUNTIF($E25:$AI26,"8"))/2)</f>
        <v>7</v>
      </c>
      <c r="AR25" s="136">
        <f t="shared" ca="1" si="2"/>
        <v>96</v>
      </c>
      <c r="AS25" s="136">
        <f t="shared" ref="AS25" ca="1" si="46">IF(COUNTIF($E25:$AI26,"СП")&gt;=1,SUMIF($E25:$AI26,"4",$E25:$AI26)+SUMIF($E25:$AI26,"8",$E25:$AI26)-8,SUMIF($E25:$AI26,"4",$E25:$AI26)+SUMIF($E25:$AI26,"8",$E25:$AI26))</f>
        <v>80</v>
      </c>
      <c r="AT25" s="136">
        <f t="shared" ref="AT25" ca="1" si="47">$AR25+$AS25</f>
        <v>176</v>
      </c>
      <c r="AU25" s="136" t="str">
        <f t="shared" ref="AU25" ca="1" si="48">IF(AK25=AT25,"+","!")</f>
        <v>!</v>
      </c>
      <c r="AV25" s="136">
        <f t="shared" ref="AV25" ca="1" si="49">COUNTIF($E25:$AI26,"ОТ")</f>
        <v>0</v>
      </c>
      <c r="AW25" s="137" t="str">
        <f ca="1">IF(COUNTIF($A26:$AI26,"СП")&gt;0,IF(INDIRECT(ADDRESS(ROW(),MATCH("СП",$A26:$AI26),1))=8,"","!"),"")</f>
        <v>!</v>
      </c>
      <c r="AX25" s="137" t="str">
        <f ca="1">IF(COUNTIF($A26:$AI26,"СП")&gt;0,IF(INDIRECT(ADDRESS(ROW(),MATCH("СП",$A26:$AI26)-1,1))=4,"!",""),"")</f>
        <v/>
      </c>
    </row>
    <row r="26" spans="1:50" ht="16.5" thickBot="1" x14ac:dyDescent="0.3">
      <c r="A26" s="147"/>
      <c r="B26" s="139"/>
      <c r="C26" s="171"/>
      <c r="D26" s="50">
        <v>8</v>
      </c>
      <c r="E26" s="65" t="str">
        <f>INDEX(Д2!$E$44:$AI$53,MATCH($D26,Д2!$D$44:$D$53),MATCH(E$7,Д2!$E$3:$AI$3))</f>
        <v/>
      </c>
      <c r="F26" s="30" t="str">
        <f>INDEX(Д2!$E$44:$AI$53,MATCH($D26,Д2!$D$44:$D$53),MATCH(F$7,Д2!$E$3:$AI$3))</f>
        <v/>
      </c>
      <c r="G26" s="30" t="str">
        <f>INDEX(Д2!$E$44:$AI$53,MATCH($D26,Д2!$D$44:$D$53),MATCH(G$7,Д2!$E$3:$AI$3))</f>
        <v/>
      </c>
      <c r="H26" s="30" t="str">
        <f>INDEX(Д2!$E$44:$AI$53,MATCH($D26,Д2!$D$44:$D$53),MATCH(H$7,Д2!$E$3:$AI$3))</f>
        <v/>
      </c>
      <c r="I26" s="30" t="str">
        <f>INDEX(Д2!$E$44:$AI$53,MATCH($D26,Д2!$D$44:$D$53),MATCH(I$7,Д2!$E$3:$AI$3))</f>
        <v/>
      </c>
      <c r="J26" s="30" t="str">
        <f>INDEX(Д2!$E$44:$AI$53,MATCH($D26,Д2!$D$44:$D$53),MATCH(J$7,Д2!$E$3:$AI$3))</f>
        <v/>
      </c>
      <c r="K26" s="30" t="str">
        <f>INDEX(Д2!$E$44:$AI$53,MATCH($D26,Д2!$D$44:$D$53),MATCH(K$7,Д2!$E$3:$AI$3))</f>
        <v/>
      </c>
      <c r="L26" s="30" t="str">
        <f>INDEX(Д2!$E$44:$AI$53,MATCH($D26,Д2!$D$44:$D$53),MATCH(L$7,Д2!$E$3:$AI$3))</f>
        <v>СП</v>
      </c>
      <c r="M26" s="30" t="str">
        <f>INDEX(Д2!$E$44:$AI$53,MATCH($D26,Д2!$D$44:$D$53),MATCH(M$7,Д2!$E$3:$AI$3))</f>
        <v/>
      </c>
      <c r="N26" s="30" t="str">
        <f>INDEX(Д2!$E$44:$AI$53,MATCH($D26,Д2!$D$44:$D$53),MATCH(N$7,Д2!$E$3:$AI$3))</f>
        <v/>
      </c>
      <c r="O26" s="30" t="str">
        <f>INDEX(Д2!$E$44:$AI$53,MATCH($D26,Д2!$D$44:$D$53),MATCH(O$7,Д2!$E$3:$AI$3))</f>
        <v/>
      </c>
      <c r="P26" s="30" t="str">
        <f>INDEX(Д2!$E$44:$AI$53,MATCH($D26,Д2!$D$44:$D$53),MATCH(P$7,Д2!$E$3:$AI$3))</f>
        <v/>
      </c>
      <c r="Q26" s="30" t="str">
        <f>INDEX(Д2!$E$44:$AI$53,MATCH($D26,Д2!$D$44:$D$53),MATCH(Q$7,Д2!$E$3:$AI$3))</f>
        <v/>
      </c>
      <c r="R26" s="30" t="str">
        <f>INDEX(Д2!$E$44:$AI$53,MATCH($D26,Д2!$D$44:$D$53),MATCH(R$7,Д2!$E$3:$AI$3))</f>
        <v/>
      </c>
      <c r="S26" s="30" t="str">
        <f>INDEX(Д2!$E$44:$AI$53,MATCH($D26,Д2!$D$44:$D$53),MATCH(S$7,Д2!$E$3:$AI$3))</f>
        <v/>
      </c>
      <c r="T26" s="30" t="str">
        <f>INDEX(Д2!$E$44:$AI$53,MATCH($D26,Д2!$D$44:$D$53),MATCH(T$7,Д2!$E$3:$AI$3))</f>
        <v/>
      </c>
      <c r="U26" s="30" t="str">
        <f>INDEX(Д2!$E$44:$AI$53,MATCH($D26,Д2!$D$44:$D$53),MATCH(U$7,Д2!$E$3:$AI$3))</f>
        <v/>
      </c>
      <c r="V26" s="30" t="str">
        <f>INDEX(Д2!$E$44:$AI$53,MATCH($D26,Д2!$D$44:$D$53),MATCH(V$7,Д2!$E$3:$AI$3))</f>
        <v/>
      </c>
      <c r="W26" s="30" t="str">
        <f>INDEX(Д2!$E$44:$AI$53,MATCH($D26,Д2!$D$44:$D$53),MATCH(W$7,Д2!$E$3:$AI$3))</f>
        <v/>
      </c>
      <c r="X26" s="30" t="str">
        <f>INDEX(Д2!$E$44:$AI$53,MATCH($D26,Д2!$D$44:$D$53),MATCH(X$7,Д2!$E$3:$AI$3))</f>
        <v/>
      </c>
      <c r="Y26" s="30" t="str">
        <f>INDEX(Д2!$E$44:$AI$53,MATCH($D26,Д2!$D$44:$D$53),MATCH(Y$7,Д2!$E$3:$AI$3))</f>
        <v/>
      </c>
      <c r="Z26" s="30" t="str">
        <f>INDEX(Д2!$E$44:$AI$53,MATCH($D26,Д2!$D$44:$D$53),MATCH(Z$7,Д2!$E$3:$AI$3))</f>
        <v/>
      </c>
      <c r="AA26" s="30" t="str">
        <f>INDEX(Д2!$E$44:$AI$53,MATCH($D26,Д2!$D$44:$D$53),MATCH(AA$7,Д2!$E$3:$AI$3))</f>
        <v/>
      </c>
      <c r="AB26" s="30" t="str">
        <f>INDEX(Д2!$E$44:$AI$53,MATCH($D26,Д2!$D$44:$D$53),MATCH(AB$7,Д2!$E$3:$AI$3))</f>
        <v/>
      </c>
      <c r="AC26" s="30" t="str">
        <f>INDEX(Д2!$E$44:$AI$53,MATCH($D26,Д2!$D$44:$D$53),MATCH(AC$7,Д2!$E$3:$AI$3))</f>
        <v/>
      </c>
      <c r="AD26" s="30" t="str">
        <f>INDEX(Д2!$E$44:$AI$53,MATCH($D26,Д2!$D$44:$D$53),MATCH(AD$7,Д2!$E$3:$AI$3))</f>
        <v/>
      </c>
      <c r="AE26" s="30" t="str">
        <f>INDEX(Д2!$E$44:$AI$53,MATCH($D26,Д2!$D$44:$D$53),MATCH(AE$7,Д2!$E$3:$AI$3))</f>
        <v/>
      </c>
      <c r="AF26" s="30" t="str">
        <f>INDEX(Д2!$E$44:$AI$53,MATCH($D26,Д2!$D$44:$D$53),MATCH(AF$7,Д2!$E$3:$AI$3))</f>
        <v/>
      </c>
      <c r="AG26" s="30" t="str">
        <f>INDEX(Д2!$E$44:$AI$53,MATCH($D26,Д2!$D$44:$D$53),MATCH(AG$7,Д2!$E$3:$AI$3))</f>
        <v/>
      </c>
      <c r="AH26" s="30" t="str">
        <f>INDEX(Д2!$E$44:$AI$53,MATCH($D26,Д2!$D$44:$D$53),MATCH(AH$7,Д2!$E$3:$AI$3))</f>
        <v/>
      </c>
      <c r="AI26" s="33" t="str">
        <f>INDEX(Д2!$E$44:$AI$53,MATCH($D26,Д2!$D$44:$D$53),MATCH(AI$7,Д2!$E$3:$AI$3))</f>
        <v/>
      </c>
      <c r="AJ26" s="143"/>
      <c r="AK26" s="145"/>
      <c r="AL26" s="145"/>
      <c r="AM26" s="150"/>
      <c r="AP26" s="136"/>
      <c r="AQ26" s="136"/>
      <c r="AR26" s="136"/>
      <c r="AS26" s="136"/>
      <c r="AT26" s="136"/>
      <c r="AU26" s="136"/>
      <c r="AV26" s="136"/>
      <c r="AW26" s="137"/>
      <c r="AX26" s="137"/>
    </row>
    <row r="27" spans="1:50" ht="16.5" customHeight="1" thickBot="1" x14ac:dyDescent="0.3">
      <c r="A27" s="147"/>
      <c r="B27" s="139" t="s">
        <v>89</v>
      </c>
      <c r="C27" s="170">
        <v>5</v>
      </c>
      <c r="D27" s="49">
        <v>9</v>
      </c>
      <c r="E27" s="62" t="str">
        <f>INDEX(Д2!$E$44:$AI$53,MATCH($D27,Д2!$D$44:$D$53),MATCH(E$7,Д2!$E$3:$AI$3))</f>
        <v>-</v>
      </c>
      <c r="F27" s="28" t="str">
        <f>INDEX(Д2!$E$44:$AI$53,MATCH($D27,Д2!$D$44:$D$53),MATCH(F$7,Д2!$E$3:$AI$3))</f>
        <v>-</v>
      </c>
      <c r="G27" s="28" t="str">
        <f>INDEX(Д2!$E$44:$AI$53,MATCH($D27,Д2!$D$44:$D$53),MATCH(G$7,Д2!$E$3:$AI$3))</f>
        <v>-</v>
      </c>
      <c r="H27" s="28" t="str">
        <f>INDEX(Д2!$E$44:$AI$53,MATCH($D27,Д2!$D$44:$D$53),MATCH(H$7,Д2!$E$3:$AI$3))</f>
        <v>-</v>
      </c>
      <c r="I27" s="28" t="str">
        <f>INDEX(Д2!$E$44:$AI$53,MATCH($D27,Д2!$D$44:$D$53),MATCH(I$7,Д2!$E$3:$AI$3))</f>
        <v>-</v>
      </c>
      <c r="J27" s="28" t="str">
        <f>INDEX(Д2!$E$44:$AI$53,MATCH($D27,Д2!$D$44:$D$53),MATCH(J$7,Д2!$E$3:$AI$3))</f>
        <v>-</v>
      </c>
      <c r="K27" s="28" t="str">
        <f>INDEX(Д2!$E$44:$AI$53,MATCH($D27,Д2!$D$44:$D$53),MATCH(K$7,Д2!$E$3:$AI$3))</f>
        <v>-</v>
      </c>
      <c r="L27" s="28" t="str">
        <f>INDEX(Д2!$E$44:$AI$53,MATCH($D27,Д2!$D$44:$D$53),MATCH(L$7,Д2!$E$3:$AI$3))</f>
        <v>-</v>
      </c>
      <c r="M27" s="28" t="str">
        <f>INDEX(Д2!$E$44:$AI$53,MATCH($D27,Д2!$D$44:$D$53),MATCH(M$7,Д2!$E$3:$AI$3))</f>
        <v>-</v>
      </c>
      <c r="N27" s="28" t="str">
        <f>INDEX(Д2!$E$44:$AI$53,MATCH($D27,Д2!$D$44:$D$53),MATCH(N$7,Д2!$E$3:$AI$3))</f>
        <v>-</v>
      </c>
      <c r="O27" s="28" t="str">
        <f>INDEX(Д2!$E$44:$AI$53,MATCH($D27,Д2!$D$44:$D$53),MATCH(O$7,Д2!$E$3:$AI$3))</f>
        <v>-</v>
      </c>
      <c r="P27" s="28" t="str">
        <f>INDEX(Д2!$E$44:$AI$53,MATCH($D27,Д2!$D$44:$D$53),MATCH(P$7,Д2!$E$3:$AI$3))</f>
        <v>-</v>
      </c>
      <c r="Q27" s="28" t="str">
        <f>INDEX(Д2!$E$44:$AI$53,MATCH($D27,Д2!$D$44:$D$53),MATCH(Q$7,Д2!$E$3:$AI$3))</f>
        <v>-</v>
      </c>
      <c r="R27" s="28" t="str">
        <f>INDEX(Д2!$E$44:$AI$53,MATCH($D27,Д2!$D$44:$D$53),MATCH(R$7,Д2!$E$3:$AI$3))</f>
        <v>-</v>
      </c>
      <c r="S27" s="28" t="str">
        <f>INDEX(Д2!$E$44:$AI$53,MATCH($D27,Д2!$D$44:$D$53),MATCH(S$7,Д2!$E$3:$AI$3))</f>
        <v>-</v>
      </c>
      <c r="T27" s="28" t="str">
        <f>INDEX(Д2!$E$44:$AI$53,MATCH($D27,Д2!$D$44:$D$53),MATCH(T$7,Д2!$E$3:$AI$3))</f>
        <v>-</v>
      </c>
      <c r="U27" s="28" t="str">
        <f>INDEX(Д2!$E$44:$AI$53,MATCH($D27,Д2!$D$44:$D$53),MATCH(U$7,Д2!$E$3:$AI$3))</f>
        <v>-</v>
      </c>
      <c r="V27" s="28" t="str">
        <f>INDEX(Д2!$E$44:$AI$53,MATCH($D27,Д2!$D$44:$D$53),MATCH(V$7,Д2!$E$3:$AI$3))</f>
        <v>-</v>
      </c>
      <c r="W27" s="28" t="str">
        <f>INDEX(Д2!$E$44:$AI$53,MATCH($D27,Д2!$D$44:$D$53),MATCH(W$7,Д2!$E$3:$AI$3))</f>
        <v>-</v>
      </c>
      <c r="X27" s="28" t="str">
        <f>INDEX(Д2!$E$44:$AI$53,MATCH($D27,Д2!$D$44:$D$53),MATCH(X$7,Д2!$E$3:$AI$3))</f>
        <v>-</v>
      </c>
      <c r="Y27" s="28" t="str">
        <f>INDEX(Д2!$E$44:$AI$53,MATCH($D27,Д2!$D$44:$D$53),MATCH(Y$7,Д2!$E$3:$AI$3))</f>
        <v>-</v>
      </c>
      <c r="Z27" s="28" t="str">
        <f>INDEX(Д2!$E$44:$AI$53,MATCH($D27,Д2!$D$44:$D$53),MATCH(Z$7,Д2!$E$3:$AI$3))</f>
        <v>-</v>
      </c>
      <c r="AA27" s="28" t="str">
        <f>INDEX(Д2!$E$44:$AI$53,MATCH($D27,Д2!$D$44:$D$53),MATCH(AA$7,Д2!$E$3:$AI$3))</f>
        <v>-</v>
      </c>
      <c r="AB27" s="28" t="str">
        <f>INDEX(Д2!$E$44:$AI$53,MATCH($D27,Д2!$D$44:$D$53),MATCH(AB$7,Д2!$E$3:$AI$3))</f>
        <v>-</v>
      </c>
      <c r="AC27" s="28" t="str">
        <f>INDEX(Д2!$E$44:$AI$53,MATCH($D27,Д2!$D$44:$D$53),MATCH(AC$7,Д2!$E$3:$AI$3))</f>
        <v>-</v>
      </c>
      <c r="AD27" s="28" t="str">
        <f>INDEX(Д2!$E$44:$AI$53,MATCH($D27,Д2!$D$44:$D$53),MATCH(AD$7,Д2!$E$3:$AI$3))</f>
        <v>-</v>
      </c>
      <c r="AE27" s="28" t="str">
        <f>INDEX(Д2!$E$44:$AI$53,MATCH($D27,Д2!$D$44:$D$53),MATCH(AE$7,Д2!$E$3:$AI$3))</f>
        <v>-</v>
      </c>
      <c r="AF27" s="28" t="str">
        <f>INDEX(Д2!$E$44:$AI$53,MATCH($D27,Д2!$D$44:$D$53),MATCH(AF$7,Д2!$E$3:$AI$3))</f>
        <v>-</v>
      </c>
      <c r="AG27" s="28" t="str">
        <f>INDEX(Д2!$E$44:$AI$53,MATCH($D27,Д2!$D$44:$D$53),MATCH(AG$7,Д2!$E$3:$AI$3))</f>
        <v>-</v>
      </c>
      <c r="AH27" s="28" t="str">
        <f>INDEX(Д2!$E$44:$AI$53,MATCH($D27,Д2!$D$44:$D$53),MATCH(AH$7,Д2!$E$3:$AI$3))</f>
        <v>-</v>
      </c>
      <c r="AI27" s="60" t="str">
        <f>INDEX(Д2!$E$44:$AI$53,MATCH($D27,Д2!$D$44:$D$53),MATCH(AI$7,Д2!$E$3:$AI$3))</f>
        <v>-</v>
      </c>
      <c r="AJ27" s="143">
        <f>INDEX(Д2!AK$44:$AK$53,MATCH($C27,Д2!$C$44:$C$53),MATCH(E$7,Д2!$E$3:$AI$3))*AND(MONTH($E$8)=MONTH(Д2!$B$44))</f>
        <v>144</v>
      </c>
      <c r="AK27" s="144">
        <f>SUM(E27:AI28)</f>
        <v>0</v>
      </c>
      <c r="AL27" s="144"/>
      <c r="AM27" s="149">
        <f>SUM(F27:H28,J27:AI28)-AJ27+AL27-12</f>
        <v>-156</v>
      </c>
      <c r="AP27" s="136">
        <f t="shared" ref="AP27" si="50">COUNTIF($E27:$AI28,"12")</f>
        <v>0</v>
      </c>
      <c r="AQ27" s="136">
        <f t="shared" ref="AQ27" si="51">IF(COUNTIF($E27:$AI28,"СП")&gt;=1,(COUNTIF($E27:$AI28,"4")+COUNTIF($E27:$AI28,"8")-1)/2,(COUNTIF($E27:$AI28,"4")+COUNTIF($E27:$AI28,"8"))/2)</f>
        <v>-0.5</v>
      </c>
      <c r="AR27" s="136">
        <f t="shared" si="2"/>
        <v>0</v>
      </c>
      <c r="AS27" s="136">
        <f t="shared" ref="AS27" si="52">IF(COUNTIF($E27:$AI28,"СП")&gt;=1,SUMIF($E27:$AI28,"4",$E27:$AI28)+SUMIF($E27:$AI28,"8",$E27:$AI28)-8,SUMIF($E27:$AI28,"4",$E27:$AI28)+SUMIF($E27:$AI28,"8",$E27:$AI28))</f>
        <v>-8</v>
      </c>
      <c r="AT27" s="136">
        <f t="shared" ref="AT27" si="53">$AR27+$AS27</f>
        <v>-8</v>
      </c>
      <c r="AU27" s="136" t="str">
        <f t="shared" ref="AU27" si="54">IF(AK27=AT27,"+","!")</f>
        <v>!</v>
      </c>
      <c r="AV27" s="136">
        <f t="shared" ref="AV27" si="55">COUNTIF($E27:$AI28,"ОТ")</f>
        <v>0</v>
      </c>
      <c r="AW27" s="137" t="str">
        <f ca="1">IF(COUNTIF($A28:$AI28,"СП")&gt;0,IF(INDIRECT(ADDRESS(ROW(),MATCH("СП",$A28:$AI28),1))=8,"","!"),"")</f>
        <v>!</v>
      </c>
      <c r="AX27" s="137" t="str">
        <f ca="1">IF(COUNTIF($A28:$AI28,"СП")&gt;0,IF(INDIRECT(ADDRESS(ROW(),MATCH("СП",$A28:$AI28)-1,1))=4,"!",""),"")</f>
        <v/>
      </c>
    </row>
    <row r="28" spans="1:50" ht="16.5" thickBot="1" x14ac:dyDescent="0.3">
      <c r="A28" s="148"/>
      <c r="B28" s="140"/>
      <c r="C28" s="172"/>
      <c r="D28" s="50">
        <v>10</v>
      </c>
      <c r="E28" s="66" t="str">
        <f>INDEX(Д2!$E$44:$AI$53,MATCH($D28,Д2!$D$44:$D$53),MATCH(E$7,Д2!$E$3:$AI$3))</f>
        <v/>
      </c>
      <c r="F28" s="67" t="str">
        <f>INDEX(Д2!$E$44:$AI$53,MATCH($D28,Д2!$D$44:$D$53),MATCH(F$7,Д2!$E$3:$AI$3))</f>
        <v/>
      </c>
      <c r="G28" s="67" t="str">
        <f>INDEX(Д2!$E$44:$AI$53,MATCH($D28,Д2!$D$44:$D$53),MATCH(G$7,Д2!$E$3:$AI$3))</f>
        <v/>
      </c>
      <c r="H28" s="67" t="str">
        <f>INDEX(Д2!$E$44:$AI$53,MATCH($D28,Д2!$D$44:$D$53),MATCH(H$7,Д2!$E$3:$AI$3))</f>
        <v/>
      </c>
      <c r="I28" s="67" t="str">
        <f>INDEX(Д2!$E$44:$AI$53,MATCH($D28,Д2!$D$44:$D$53),MATCH(I$7,Д2!$E$3:$AI$3))</f>
        <v/>
      </c>
      <c r="J28" s="67" t="str">
        <f>INDEX(Д2!$E$44:$AI$53,MATCH($D28,Д2!$D$44:$D$53),MATCH(J$7,Д2!$E$3:$AI$3))</f>
        <v/>
      </c>
      <c r="K28" s="67" t="str">
        <f>INDEX(Д2!$E$44:$AI$53,MATCH($D28,Д2!$D$44:$D$53),MATCH(K$7,Д2!$E$3:$AI$3))</f>
        <v/>
      </c>
      <c r="L28" s="67" t="str">
        <f>INDEX(Д2!$E$44:$AI$53,MATCH($D28,Д2!$D$44:$D$53),MATCH(L$7,Д2!$E$3:$AI$3))</f>
        <v/>
      </c>
      <c r="M28" s="67" t="str">
        <f>INDEX(Д2!$E$44:$AI$53,MATCH($D28,Д2!$D$44:$D$53),MATCH(M$7,Д2!$E$3:$AI$3))</f>
        <v>СП</v>
      </c>
      <c r="N28" s="67" t="str">
        <f>INDEX(Д2!$E$44:$AI$53,MATCH($D28,Д2!$D$44:$D$53),MATCH(N$7,Д2!$E$3:$AI$3))</f>
        <v/>
      </c>
      <c r="O28" s="67" t="str">
        <f>INDEX(Д2!$E$44:$AI$53,MATCH($D28,Д2!$D$44:$D$53),MATCH(O$7,Д2!$E$3:$AI$3))</f>
        <v/>
      </c>
      <c r="P28" s="67" t="str">
        <f>INDEX(Д2!$E$44:$AI$53,MATCH($D28,Д2!$D$44:$D$53),MATCH(P$7,Д2!$E$3:$AI$3))</f>
        <v/>
      </c>
      <c r="Q28" s="67" t="str">
        <f>INDEX(Д2!$E$44:$AI$53,MATCH($D28,Д2!$D$44:$D$53),MATCH(Q$7,Д2!$E$3:$AI$3))</f>
        <v/>
      </c>
      <c r="R28" s="67" t="str">
        <f>INDEX(Д2!$E$44:$AI$53,MATCH($D28,Д2!$D$44:$D$53),MATCH(R$7,Д2!$E$3:$AI$3))</f>
        <v/>
      </c>
      <c r="S28" s="67" t="str">
        <f>INDEX(Д2!$E$44:$AI$53,MATCH($D28,Д2!$D$44:$D$53),MATCH(S$7,Д2!$E$3:$AI$3))</f>
        <v/>
      </c>
      <c r="T28" s="67" t="str">
        <f>INDEX(Д2!$E$44:$AI$53,MATCH($D28,Д2!$D$44:$D$53),MATCH(T$7,Д2!$E$3:$AI$3))</f>
        <v/>
      </c>
      <c r="U28" s="67" t="str">
        <f>INDEX(Д2!$E$44:$AI$53,MATCH($D28,Д2!$D$44:$D$53),MATCH(U$7,Д2!$E$3:$AI$3))</f>
        <v/>
      </c>
      <c r="V28" s="67" t="str">
        <f>INDEX(Д2!$E$44:$AI$53,MATCH($D28,Д2!$D$44:$D$53),MATCH(V$7,Д2!$E$3:$AI$3))</f>
        <v/>
      </c>
      <c r="W28" s="67" t="str">
        <f>INDEX(Д2!$E$44:$AI$53,MATCH($D28,Д2!$D$44:$D$53),MATCH(W$7,Д2!$E$3:$AI$3))</f>
        <v/>
      </c>
      <c r="X28" s="67" t="str">
        <f>INDEX(Д2!$E$44:$AI$53,MATCH($D28,Д2!$D$44:$D$53),MATCH(X$7,Д2!$E$3:$AI$3))</f>
        <v/>
      </c>
      <c r="Y28" s="67" t="str">
        <f>INDEX(Д2!$E$44:$AI$53,MATCH($D28,Д2!$D$44:$D$53),MATCH(Y$7,Д2!$E$3:$AI$3))</f>
        <v/>
      </c>
      <c r="Z28" s="67" t="str">
        <f>INDEX(Д2!$E$44:$AI$53,MATCH($D28,Д2!$D$44:$D$53),MATCH(Z$7,Д2!$E$3:$AI$3))</f>
        <v/>
      </c>
      <c r="AA28" s="67" t="str">
        <f>INDEX(Д2!$E$44:$AI$53,MATCH($D28,Д2!$D$44:$D$53),MATCH(AA$7,Д2!$E$3:$AI$3))</f>
        <v/>
      </c>
      <c r="AB28" s="67" t="str">
        <f>INDEX(Д2!$E$44:$AI$53,MATCH($D28,Д2!$D$44:$D$53),MATCH(AB$7,Д2!$E$3:$AI$3))</f>
        <v/>
      </c>
      <c r="AC28" s="67" t="str">
        <f>INDEX(Д2!$E$44:$AI$53,MATCH($D28,Д2!$D$44:$D$53),MATCH(AC$7,Д2!$E$3:$AI$3))</f>
        <v/>
      </c>
      <c r="AD28" s="67" t="str">
        <f>INDEX(Д2!$E$44:$AI$53,MATCH($D28,Д2!$D$44:$D$53),MATCH(AD$7,Д2!$E$3:$AI$3))</f>
        <v/>
      </c>
      <c r="AE28" s="67" t="str">
        <f>INDEX(Д2!$E$44:$AI$53,MATCH($D28,Д2!$D$44:$D$53),MATCH(AE$7,Д2!$E$3:$AI$3))</f>
        <v/>
      </c>
      <c r="AF28" s="67" t="str">
        <f>INDEX(Д2!$E$44:$AI$53,MATCH($D28,Д2!$D$44:$D$53),MATCH(AF$7,Д2!$E$3:$AI$3))</f>
        <v/>
      </c>
      <c r="AG28" s="67" t="str">
        <f>INDEX(Д2!$E$44:$AI$53,MATCH($D28,Д2!$D$44:$D$53),MATCH(AG$7,Д2!$E$3:$AI$3))</f>
        <v/>
      </c>
      <c r="AH28" s="67" t="str">
        <f>INDEX(Д2!$E$44:$AI$53,MATCH($D28,Д2!$D$44:$D$53),MATCH(AH$7,Д2!$E$3:$AI$3))</f>
        <v/>
      </c>
      <c r="AI28" s="68" t="str">
        <f>INDEX(Д2!$E$44:$AI$53,MATCH($D28,Д2!$D$44:$D$53),MATCH(AI$7,Д2!$E$3:$AI$3))</f>
        <v/>
      </c>
      <c r="AJ28" s="153"/>
      <c r="AK28" s="158"/>
      <c r="AL28" s="158"/>
      <c r="AM28" s="150"/>
      <c r="AP28" s="136"/>
      <c r="AQ28" s="136"/>
      <c r="AR28" s="136"/>
      <c r="AS28" s="136"/>
      <c r="AT28" s="136"/>
      <c r="AU28" s="136"/>
      <c r="AV28" s="136"/>
      <c r="AW28" s="137"/>
      <c r="AX28" s="137"/>
    </row>
    <row r="29" spans="1:50" ht="17.25" customHeight="1" thickTop="1" thickBot="1" x14ac:dyDescent="0.3">
      <c r="A29" s="146" t="s">
        <v>102</v>
      </c>
      <c r="B29" s="151" t="s">
        <v>90</v>
      </c>
      <c r="C29" s="173">
        <v>1</v>
      </c>
      <c r="D29" s="49">
        <v>1</v>
      </c>
      <c r="E29" s="64">
        <f ca="1">INDEX(Д3!$E$44:$AI$53,MATCH($D29,Д3!$D$44:$D$53),MATCH(E$7,Д3!$E$3:$AI$3))</f>
        <v>0</v>
      </c>
      <c r="F29" s="27">
        <f ca="1">INDEX(Д3!$E$44:$AI$53,MATCH($D29,Д3!$D$44:$D$53),MATCH(F$7,Д3!$E$3:$AI$3))</f>
        <v>0</v>
      </c>
      <c r="G29" s="27">
        <f ca="1">INDEX(Д3!$E$44:$AI$53,MATCH($D29,Д3!$D$44:$D$53),MATCH(G$7,Д3!$E$3:$AI$3))</f>
        <v>4</v>
      </c>
      <c r="H29" s="27">
        <f ca="1">INDEX(Д3!$E$44:$AI$53,MATCH($D29,Д3!$D$44:$D$53),MATCH(H$7,Д3!$E$3:$AI$3))</f>
        <v>8</v>
      </c>
      <c r="I29" s="27">
        <f ca="1">INDEX(Д3!$E$44:$AI$53,MATCH($D29,Д3!$D$44:$D$53),MATCH(I$7,Д3!$E$3:$AI$3))</f>
        <v>12</v>
      </c>
      <c r="J29" s="27">
        <f ca="1">INDEX(Д3!$E$44:$AI$53,MATCH($D29,Д3!$D$44:$D$53),MATCH(J$7,Д3!$E$3:$AI$3))</f>
        <v>4</v>
      </c>
      <c r="K29" s="27">
        <f ca="1">INDEX(Д3!$E$44:$AI$53,MATCH($D29,Д3!$D$44:$D$53),MATCH(K$7,Д3!$E$3:$AI$3))</f>
        <v>8</v>
      </c>
      <c r="L29" s="27">
        <f ca="1">INDEX(Д3!$E$44:$AI$53,MATCH($D29,Д3!$D$44:$D$53),MATCH(L$7,Д3!$E$3:$AI$3))</f>
        <v>12</v>
      </c>
      <c r="M29" s="27">
        <f ca="1">INDEX(Д3!$E$44:$AI$53,MATCH($D29,Д3!$D$44:$D$53),MATCH(M$7,Д3!$E$3:$AI$3))</f>
        <v>0</v>
      </c>
      <c r="N29" s="27">
        <f ca="1">INDEX(Д3!$E$44:$AI$53,MATCH($D29,Д3!$D$44:$D$53),MATCH(N$7,Д3!$E$3:$AI$3))</f>
        <v>0</v>
      </c>
      <c r="O29" s="27">
        <f ca="1">INDEX(Д3!$E$44:$AI$53,MATCH($D29,Д3!$D$44:$D$53),MATCH(O$7,Д3!$E$3:$AI$3))</f>
        <v>4</v>
      </c>
      <c r="P29" s="27">
        <f ca="1">INDEX(Д3!$E$44:$AI$53,MATCH($D29,Д3!$D$44:$D$53),MATCH(P$7,Д3!$E$3:$AI$3))</f>
        <v>8</v>
      </c>
      <c r="Q29" s="27">
        <f ca="1">INDEX(Д3!$E$44:$AI$53,MATCH($D29,Д3!$D$44:$D$53),MATCH(Q$7,Д3!$E$3:$AI$3))</f>
        <v>12</v>
      </c>
      <c r="R29" s="27">
        <f ca="1">INDEX(Д3!$E$44:$AI$53,MATCH($D29,Д3!$D$44:$D$53),MATCH(R$7,Д3!$E$3:$AI$3))</f>
        <v>4</v>
      </c>
      <c r="S29" s="27">
        <f ca="1">INDEX(Д3!$E$44:$AI$53,MATCH($D29,Д3!$D$44:$D$53),MATCH(S$7,Д3!$E$3:$AI$3))</f>
        <v>8</v>
      </c>
      <c r="T29" s="27">
        <f ca="1">INDEX(Д3!$E$44:$AI$53,MATCH($D29,Д3!$D$44:$D$53),MATCH(T$7,Д3!$E$3:$AI$3))</f>
        <v>12</v>
      </c>
      <c r="U29" s="27">
        <f ca="1">INDEX(Д3!$E$44:$AI$53,MATCH($D29,Д3!$D$44:$D$53),MATCH(U$7,Д3!$E$3:$AI$3))</f>
        <v>0</v>
      </c>
      <c r="V29" s="27">
        <f ca="1">INDEX(Д3!$E$44:$AI$53,MATCH($D29,Д3!$D$44:$D$53),MATCH(V$7,Д3!$E$3:$AI$3))</f>
        <v>0</v>
      </c>
      <c r="W29" s="27">
        <f ca="1">INDEX(Д3!$E$44:$AI$53,MATCH($D29,Д3!$D$44:$D$53),MATCH(W$7,Д3!$E$3:$AI$3))</f>
        <v>4</v>
      </c>
      <c r="X29" s="27">
        <f ca="1">INDEX(Д3!$E$44:$AI$53,MATCH($D29,Д3!$D$44:$D$53),MATCH(X$7,Д3!$E$3:$AI$3))</f>
        <v>8</v>
      </c>
      <c r="Y29" s="27">
        <f ca="1">INDEX(Д3!$E$44:$AI$53,MATCH($D29,Д3!$D$44:$D$53),MATCH(Y$7,Д3!$E$3:$AI$3))</f>
        <v>12</v>
      </c>
      <c r="Z29" s="27">
        <f ca="1">INDEX(Д3!$E$44:$AI$53,MATCH($D29,Д3!$D$44:$D$53),MATCH(Z$7,Д3!$E$3:$AI$3))</f>
        <v>4</v>
      </c>
      <c r="AA29" s="27">
        <f ca="1">INDEX(Д3!$E$44:$AI$53,MATCH($D29,Д3!$D$44:$D$53),MATCH(AA$7,Д3!$E$3:$AI$3))</f>
        <v>8</v>
      </c>
      <c r="AB29" s="27">
        <f ca="1">INDEX(Д3!$E$44:$AI$53,MATCH($D29,Д3!$D$44:$D$53),MATCH(AB$7,Д3!$E$3:$AI$3))</f>
        <v>12</v>
      </c>
      <c r="AC29" s="27">
        <f ca="1">INDEX(Д3!$E$44:$AI$53,MATCH($D29,Д3!$D$44:$D$53),MATCH(AC$7,Д3!$E$3:$AI$3))</f>
        <v>0</v>
      </c>
      <c r="AD29" s="27">
        <f ca="1">INDEX(Д3!$E$44:$AI$53,MATCH($D29,Д3!$D$44:$D$53),MATCH(AD$7,Д3!$E$3:$AI$3))</f>
        <v>0</v>
      </c>
      <c r="AE29" s="27">
        <f ca="1">INDEX(Д3!$E$44:$AI$53,MATCH($D29,Д3!$D$44:$D$53),MATCH(AE$7,Д3!$E$3:$AI$3))</f>
        <v>4</v>
      </c>
      <c r="AF29" s="27">
        <f ca="1">INDEX(Д3!$E$44:$AI$53,MATCH($D29,Д3!$D$44:$D$53),MATCH(AF$7,Д3!$E$3:$AI$3))</f>
        <v>8</v>
      </c>
      <c r="AG29" s="27">
        <f ca="1">INDEX(Д3!$E$44:$AI$53,MATCH($D29,Д3!$D$44:$D$53),MATCH(AG$7,Д3!$E$3:$AI$3))</f>
        <v>12</v>
      </c>
      <c r="AH29" s="27">
        <f ca="1">INDEX(Д3!$E$44:$AI$53,MATCH($D29,Д3!$D$44:$D$53),MATCH(AH$7,Д3!$E$3:$AI$3))</f>
        <v>4</v>
      </c>
      <c r="AI29" s="32">
        <f ca="1">INDEX(Д3!$E$44:$AI$53,MATCH($D29,Д3!$D$44:$D$53),MATCH(AI$7,Д3!$E$3:$AI$3))</f>
        <v>8</v>
      </c>
      <c r="AJ29" s="157">
        <f>INDEX(Д3!AK$44:$AK$53,MATCH($C29,Д3!$C$44:$C$53),MATCH(E$7,Д3!$E$3:$AI$3))*AND(MONTH($E$8)=MONTH(Д3!$B$44))</f>
        <v>144</v>
      </c>
      <c r="AK29" s="157">
        <f ca="1">SUM(E29:AI30)</f>
        <v>180</v>
      </c>
      <c r="AL29" s="145"/>
      <c r="AM29" s="149">
        <f ca="1">SUM(F29:H30,J29:AI30)-AJ29+AL29-12</f>
        <v>12</v>
      </c>
      <c r="AP29" s="136">
        <f t="shared" ref="AP29" ca="1" si="56">COUNTIF($E29:$AI30,"12")</f>
        <v>7</v>
      </c>
      <c r="AQ29" s="136">
        <f t="shared" ref="AQ29" ca="1" si="57">IF(COUNTIF($E29:$AI30,"СП")&gt;=1,(COUNTIF($E29:$AI30,"4")+COUNTIF($E29:$AI30,"8")-1)/2,(COUNTIF($E29:$AI30,"4")+COUNTIF($E29:$AI30,"8"))/2)</f>
        <v>7.5</v>
      </c>
      <c r="AR29" s="136">
        <f t="shared" ca="1" si="2"/>
        <v>84</v>
      </c>
      <c r="AS29" s="136">
        <f t="shared" ref="AS29" ca="1" si="58">IF(COUNTIF($E29:$AI30,"СП")&gt;=1,SUMIF($E29:$AI30,"4",$E29:$AI30)+SUMIF($E29:$AI30,"8",$E29:$AI30)-8,SUMIF($E29:$AI30,"4",$E29:$AI30)+SUMIF($E29:$AI30,"8",$E29:$AI30))</f>
        <v>88</v>
      </c>
      <c r="AT29" s="136">
        <f t="shared" ref="AT29" ca="1" si="59">$AR29+$AS29</f>
        <v>172</v>
      </c>
      <c r="AU29" s="136" t="str">
        <f t="shared" ref="AU29" ca="1" si="60">IF(AK29=AT29,"+","!")</f>
        <v>!</v>
      </c>
      <c r="AV29" s="136">
        <f t="shared" ref="AV29" ca="1" si="61">COUNTIF($E29:$AI30,"ОТ")</f>
        <v>0</v>
      </c>
      <c r="AW29" s="137" t="str">
        <f ca="1">IF(COUNTIF($A30:$AI30,"СП")&gt;0,IF(INDIRECT(ADDRESS(ROW(),MATCH("СП",$A30:$AI30),1))=8,"","!"),"")</f>
        <v/>
      </c>
      <c r="AX29" s="137" t="str">
        <f ca="1">IF(COUNTIF($A30:$AI30,"СП")&gt;0,IF(INDIRECT(ADDRESS(ROW(),MATCH("СП",$A30:$AI30)-1,1))=4,"!",""),"")</f>
        <v>!</v>
      </c>
    </row>
    <row r="30" spans="1:50" ht="16.5" thickBot="1" x14ac:dyDescent="0.3">
      <c r="A30" s="147"/>
      <c r="B30" s="139"/>
      <c r="C30" s="171"/>
      <c r="D30" s="50">
        <v>2</v>
      </c>
      <c r="E30" s="63" t="str">
        <f>INDEX(Д3!$E$44:$AI$53,MATCH($D30,Д3!$D$44:$D$53),MATCH(E$7,Д3!$E$3:$AI$3))</f>
        <v/>
      </c>
      <c r="F30" s="29" t="str">
        <f>INDEX(Д3!$E$44:$AI$53,MATCH($D30,Д3!$D$44:$D$53),MATCH(F$7,Д3!$E$3:$AI$3))</f>
        <v/>
      </c>
      <c r="G30" s="29" t="str">
        <f>INDEX(Д3!$E$44:$AI$53,MATCH($D30,Д3!$D$44:$D$53),MATCH(G$7,Д3!$E$3:$AI$3))</f>
        <v/>
      </c>
      <c r="H30" s="29" t="str">
        <f>INDEX(Д3!$E$44:$AI$53,MATCH($D30,Д3!$D$44:$D$53),MATCH(H$7,Д3!$E$3:$AI$3))</f>
        <v/>
      </c>
      <c r="I30" s="29" t="str">
        <f>INDEX(Д3!$E$44:$AI$53,MATCH($D30,Д3!$D$44:$D$53),MATCH(I$7,Д3!$E$3:$AI$3))</f>
        <v>СП</v>
      </c>
      <c r="J30" s="29" t="str">
        <f>INDEX(Д3!$E$44:$AI$53,MATCH($D30,Д3!$D$44:$D$53),MATCH(J$7,Д3!$E$3:$AI$3))</f>
        <v/>
      </c>
      <c r="K30" s="29" t="str">
        <f>INDEX(Д3!$E$44:$AI$53,MATCH($D30,Д3!$D$44:$D$53),MATCH(K$7,Д3!$E$3:$AI$3))</f>
        <v/>
      </c>
      <c r="L30" s="29" t="str">
        <f>INDEX(Д3!$E$44:$AI$53,MATCH($D30,Д3!$D$44:$D$53),MATCH(L$7,Д3!$E$3:$AI$3))</f>
        <v/>
      </c>
      <c r="M30" s="29" t="str">
        <f>INDEX(Д3!$E$44:$AI$53,MATCH($D30,Д3!$D$44:$D$53),MATCH(M$7,Д3!$E$3:$AI$3))</f>
        <v/>
      </c>
      <c r="N30" s="29" t="str">
        <f>INDEX(Д3!$E$44:$AI$53,MATCH($D30,Д3!$D$44:$D$53),MATCH(N$7,Д3!$E$3:$AI$3))</f>
        <v/>
      </c>
      <c r="O30" s="29" t="str">
        <f>INDEX(Д3!$E$44:$AI$53,MATCH($D30,Д3!$D$44:$D$53),MATCH(O$7,Д3!$E$3:$AI$3))</f>
        <v/>
      </c>
      <c r="P30" s="29" t="str">
        <f>INDEX(Д3!$E$44:$AI$53,MATCH($D30,Д3!$D$44:$D$53),MATCH(P$7,Д3!$E$3:$AI$3))</f>
        <v/>
      </c>
      <c r="Q30" s="29" t="str">
        <f>INDEX(Д3!$E$44:$AI$53,MATCH($D30,Д3!$D$44:$D$53),MATCH(Q$7,Д3!$E$3:$AI$3))</f>
        <v/>
      </c>
      <c r="R30" s="29" t="str">
        <f>INDEX(Д3!$E$44:$AI$53,MATCH($D30,Д3!$D$44:$D$53),MATCH(R$7,Д3!$E$3:$AI$3))</f>
        <v/>
      </c>
      <c r="S30" s="29" t="str">
        <f>INDEX(Д3!$E$44:$AI$53,MATCH($D30,Д3!$D$44:$D$53),MATCH(S$7,Д3!$E$3:$AI$3))</f>
        <v/>
      </c>
      <c r="T30" s="29" t="str">
        <f>INDEX(Д3!$E$44:$AI$53,MATCH($D30,Д3!$D$44:$D$53),MATCH(T$7,Д3!$E$3:$AI$3))</f>
        <v/>
      </c>
      <c r="U30" s="29" t="str">
        <f>INDEX(Д3!$E$44:$AI$53,MATCH($D30,Д3!$D$44:$D$53),MATCH(U$7,Д3!$E$3:$AI$3))</f>
        <v/>
      </c>
      <c r="V30" s="29" t="str">
        <f>INDEX(Д3!$E$44:$AI$53,MATCH($D30,Д3!$D$44:$D$53),MATCH(V$7,Д3!$E$3:$AI$3))</f>
        <v/>
      </c>
      <c r="W30" s="29" t="str">
        <f>INDEX(Д3!$E$44:$AI$53,MATCH($D30,Д3!$D$44:$D$53),MATCH(W$7,Д3!$E$3:$AI$3))</f>
        <v/>
      </c>
      <c r="X30" s="29" t="str">
        <f>INDEX(Д3!$E$44:$AI$53,MATCH($D30,Д3!$D$44:$D$53),MATCH(X$7,Д3!$E$3:$AI$3))</f>
        <v/>
      </c>
      <c r="Y30" s="29" t="str">
        <f>INDEX(Д3!$E$44:$AI$53,MATCH($D30,Д3!$D$44:$D$53),MATCH(Y$7,Д3!$E$3:$AI$3))</f>
        <v/>
      </c>
      <c r="Z30" s="29" t="str">
        <f>INDEX(Д3!$E$44:$AI$53,MATCH($D30,Д3!$D$44:$D$53),MATCH(Z$7,Д3!$E$3:$AI$3))</f>
        <v/>
      </c>
      <c r="AA30" s="29" t="str">
        <f>INDEX(Д3!$E$44:$AI$53,MATCH($D30,Д3!$D$44:$D$53),MATCH(AA$7,Д3!$E$3:$AI$3))</f>
        <v/>
      </c>
      <c r="AB30" s="29" t="str">
        <f>INDEX(Д3!$E$44:$AI$53,MATCH($D30,Д3!$D$44:$D$53),MATCH(AB$7,Д3!$E$3:$AI$3))</f>
        <v/>
      </c>
      <c r="AC30" s="29" t="str">
        <f>INDEX(Д3!$E$44:$AI$53,MATCH($D30,Д3!$D$44:$D$53),MATCH(AC$7,Д3!$E$3:$AI$3))</f>
        <v/>
      </c>
      <c r="AD30" s="29" t="str">
        <f>INDEX(Д3!$E$44:$AI$53,MATCH($D30,Д3!$D$44:$D$53),MATCH(AD$7,Д3!$E$3:$AI$3))</f>
        <v/>
      </c>
      <c r="AE30" s="29" t="str">
        <f>INDEX(Д3!$E$44:$AI$53,MATCH($D30,Д3!$D$44:$D$53),MATCH(AE$7,Д3!$E$3:$AI$3))</f>
        <v/>
      </c>
      <c r="AF30" s="29" t="str">
        <f>INDEX(Д3!$E$44:$AI$53,MATCH($D30,Д3!$D$44:$D$53),MATCH(AF$7,Д3!$E$3:$AI$3))</f>
        <v/>
      </c>
      <c r="AG30" s="29" t="str">
        <f>INDEX(Д3!$E$44:$AI$53,MATCH($D30,Д3!$D$44:$D$53),MATCH(AG$7,Д3!$E$3:$AI$3))</f>
        <v/>
      </c>
      <c r="AH30" s="29" t="str">
        <f>INDEX(Д3!$E$44:$AI$53,MATCH($D30,Д3!$D$44:$D$53),MATCH(AH$7,Д3!$E$3:$AI$3))</f>
        <v/>
      </c>
      <c r="AI30" s="61" t="str">
        <f>INDEX(Д3!$E$44:$AI$53,MATCH($D30,Д3!$D$44:$D$53),MATCH(AI$7,Д3!$E$3:$AI$3))</f>
        <v/>
      </c>
      <c r="AJ30" s="143"/>
      <c r="AK30" s="143"/>
      <c r="AL30" s="143"/>
      <c r="AM30" s="150"/>
      <c r="AP30" s="136"/>
      <c r="AQ30" s="136"/>
      <c r="AR30" s="136"/>
      <c r="AS30" s="136"/>
      <c r="AT30" s="136"/>
      <c r="AU30" s="136"/>
      <c r="AV30" s="136"/>
      <c r="AW30" s="137"/>
      <c r="AX30" s="137"/>
    </row>
    <row r="31" spans="1:50" ht="16.5" thickBot="1" x14ac:dyDescent="0.3">
      <c r="A31" s="147"/>
      <c r="B31" s="139" t="s">
        <v>91</v>
      </c>
      <c r="C31" s="170">
        <v>2</v>
      </c>
      <c r="D31" s="49">
        <v>3</v>
      </c>
      <c r="E31" s="64">
        <f ca="1">INDEX(Д3!$E$44:$AI$53,MATCH($D31,Д3!$D$44:$D$53),MATCH(E$7,Д3!$E$3:$AI$3))</f>
        <v>4</v>
      </c>
      <c r="F31" s="27">
        <f ca="1">INDEX(Д3!$E$44:$AI$53,MATCH($D31,Д3!$D$44:$D$53),MATCH(F$7,Д3!$E$3:$AI$3))</f>
        <v>8</v>
      </c>
      <c r="G31" s="27">
        <f ca="1">INDEX(Д3!$E$44:$AI$53,MATCH($D31,Д3!$D$44:$D$53),MATCH(G$7,Д3!$E$3:$AI$3))</f>
        <v>12</v>
      </c>
      <c r="H31" s="27">
        <f ca="1">INDEX(Д3!$E$44:$AI$53,MATCH($D31,Д3!$D$44:$D$53),MATCH(H$7,Д3!$E$3:$AI$3))</f>
        <v>4</v>
      </c>
      <c r="I31" s="27">
        <f ca="1">INDEX(Д3!$E$44:$AI$53,MATCH($D31,Д3!$D$44:$D$53),MATCH(I$7,Д3!$E$3:$AI$3))</f>
        <v>8</v>
      </c>
      <c r="J31" s="27">
        <f ca="1">INDEX(Д3!$E$44:$AI$53,MATCH($D31,Д3!$D$44:$D$53),MATCH(J$7,Д3!$E$3:$AI$3))</f>
        <v>12</v>
      </c>
      <c r="K31" s="27">
        <f ca="1">INDEX(Д3!$E$44:$AI$53,MATCH($D31,Д3!$D$44:$D$53),MATCH(K$7,Д3!$E$3:$AI$3))</f>
        <v>0</v>
      </c>
      <c r="L31" s="27">
        <f ca="1">INDEX(Д3!$E$44:$AI$53,MATCH($D31,Д3!$D$44:$D$53),MATCH(L$7,Д3!$E$3:$AI$3))</f>
        <v>0</v>
      </c>
      <c r="M31" s="27">
        <f ca="1">INDEX(Д3!$E$44:$AI$53,MATCH($D31,Д3!$D$44:$D$53),MATCH(M$7,Д3!$E$3:$AI$3))</f>
        <v>4</v>
      </c>
      <c r="N31" s="27">
        <f ca="1">INDEX(Д3!$E$44:$AI$53,MATCH($D31,Д3!$D$44:$D$53),MATCH(N$7,Д3!$E$3:$AI$3))</f>
        <v>8</v>
      </c>
      <c r="O31" s="27">
        <f ca="1">INDEX(Д3!$E$44:$AI$53,MATCH($D31,Д3!$D$44:$D$53),MATCH(O$7,Д3!$E$3:$AI$3))</f>
        <v>12</v>
      </c>
      <c r="P31" s="27">
        <f ca="1">INDEX(Д3!$E$44:$AI$53,MATCH($D31,Д3!$D$44:$D$53),MATCH(P$7,Д3!$E$3:$AI$3))</f>
        <v>4</v>
      </c>
      <c r="Q31" s="27">
        <f ca="1">INDEX(Д3!$E$44:$AI$53,MATCH($D31,Д3!$D$44:$D$53),MATCH(Q$7,Д3!$E$3:$AI$3))</f>
        <v>8</v>
      </c>
      <c r="R31" s="27">
        <f ca="1">INDEX(Д3!$E$44:$AI$53,MATCH($D31,Д3!$D$44:$D$53),MATCH(R$7,Д3!$E$3:$AI$3))</f>
        <v>12</v>
      </c>
      <c r="S31" s="27">
        <f ca="1">INDEX(Д3!$E$44:$AI$53,MATCH($D31,Д3!$D$44:$D$53),MATCH(S$7,Д3!$E$3:$AI$3))</f>
        <v>0</v>
      </c>
      <c r="T31" s="27">
        <f ca="1">INDEX(Д3!$E$44:$AI$53,MATCH($D31,Д3!$D$44:$D$53),MATCH(T$7,Д3!$E$3:$AI$3))</f>
        <v>0</v>
      </c>
      <c r="U31" s="27">
        <f ca="1">INDEX(Д3!$E$44:$AI$53,MATCH($D31,Д3!$D$44:$D$53),MATCH(U$7,Д3!$E$3:$AI$3))</f>
        <v>4</v>
      </c>
      <c r="V31" s="27">
        <f ca="1">INDEX(Д3!$E$44:$AI$53,MATCH($D31,Д3!$D$44:$D$53),MATCH(V$7,Д3!$E$3:$AI$3))</f>
        <v>8</v>
      </c>
      <c r="W31" s="27">
        <f ca="1">INDEX(Д3!$E$44:$AI$53,MATCH($D31,Д3!$D$44:$D$53),MATCH(W$7,Д3!$E$3:$AI$3))</f>
        <v>12</v>
      </c>
      <c r="X31" s="27">
        <f ca="1">INDEX(Д3!$E$44:$AI$53,MATCH($D31,Д3!$D$44:$D$53),MATCH(X$7,Д3!$E$3:$AI$3))</f>
        <v>4</v>
      </c>
      <c r="Y31" s="27">
        <f ca="1">INDEX(Д3!$E$44:$AI$53,MATCH($D31,Д3!$D$44:$D$53),MATCH(Y$7,Д3!$E$3:$AI$3))</f>
        <v>8</v>
      </c>
      <c r="Z31" s="27">
        <f ca="1">INDEX(Д3!$E$44:$AI$53,MATCH($D31,Д3!$D$44:$D$53),MATCH(Z$7,Д3!$E$3:$AI$3))</f>
        <v>12</v>
      </c>
      <c r="AA31" s="27">
        <f ca="1">INDEX(Д3!$E$44:$AI$53,MATCH($D31,Д3!$D$44:$D$53),MATCH(AA$7,Д3!$E$3:$AI$3))</f>
        <v>0</v>
      </c>
      <c r="AB31" s="27">
        <f ca="1">INDEX(Д3!$E$44:$AI$53,MATCH($D31,Д3!$D$44:$D$53),MATCH(AB$7,Д3!$E$3:$AI$3))</f>
        <v>0</v>
      </c>
      <c r="AC31" s="27">
        <f ca="1">INDEX(Д3!$E$44:$AI$53,MATCH($D31,Д3!$D$44:$D$53),MATCH(AC$7,Д3!$E$3:$AI$3))</f>
        <v>4</v>
      </c>
      <c r="AD31" s="27">
        <f ca="1">INDEX(Д3!$E$44:$AI$53,MATCH($D31,Д3!$D$44:$D$53),MATCH(AD$7,Д3!$E$3:$AI$3))</f>
        <v>8</v>
      </c>
      <c r="AE31" s="27">
        <f ca="1">INDEX(Д3!$E$44:$AI$53,MATCH($D31,Д3!$D$44:$D$53),MATCH(AE$7,Д3!$E$3:$AI$3))</f>
        <v>12</v>
      </c>
      <c r="AF31" s="27">
        <f ca="1">INDEX(Д3!$E$44:$AI$53,MATCH($D31,Д3!$D$44:$D$53),MATCH(AF$7,Д3!$E$3:$AI$3))</f>
        <v>4</v>
      </c>
      <c r="AG31" s="27">
        <f ca="1">INDEX(Д3!$E$44:$AI$53,MATCH($D31,Д3!$D$44:$D$53),MATCH(AG$7,Д3!$E$3:$AI$3))</f>
        <v>8</v>
      </c>
      <c r="AH31" s="27">
        <f ca="1">INDEX(Д3!$E$44:$AI$53,MATCH($D31,Д3!$D$44:$D$53),MATCH(AH$7,Д3!$E$3:$AI$3))</f>
        <v>12</v>
      </c>
      <c r="AI31" s="32">
        <f ca="1">INDEX(Д3!$E$44:$AI$53,MATCH($D31,Д3!$D$44:$D$53),MATCH(AI$7,Д3!$E$3:$AI$3))</f>
        <v>0</v>
      </c>
      <c r="AJ31" s="143">
        <f>INDEX(Д3!AK$44:$AK$53,MATCH($C31,Д3!$C$44:$C$53),MATCH(E$7,Д3!$E$3:$AI$3))*AND(MONTH($E$8)=MONTH(Д3!$B$44))</f>
        <v>144</v>
      </c>
      <c r="AK31" s="143">
        <f ca="1">SUM(E31:AI32)</f>
        <v>192</v>
      </c>
      <c r="AL31" s="143"/>
      <c r="AM31" s="149">
        <f ca="1">SUM(F31:H32,J31:AI32)-AJ31+AL31-12</f>
        <v>24</v>
      </c>
      <c r="AP31" s="136">
        <f t="shared" ref="AP31" ca="1" si="62">COUNTIF($E31:$AI32,"12")</f>
        <v>8</v>
      </c>
      <c r="AQ31" s="136">
        <f t="shared" ref="AQ31" ca="1" si="63">IF(COUNTIF($E31:$AI32,"СП")&gt;=1,(COUNTIF($E31:$AI32,"4")+COUNTIF($E31:$AI32,"8")-1)/2,(COUNTIF($E31:$AI32,"4")+COUNTIF($E31:$AI32,"8"))/2)</f>
        <v>7.5</v>
      </c>
      <c r="AR31" s="136">
        <f t="shared" ca="1" si="2"/>
        <v>96</v>
      </c>
      <c r="AS31" s="136">
        <f t="shared" ref="AS31" ca="1" si="64">IF(COUNTIF($E31:$AI32,"СП")&gt;=1,SUMIF($E31:$AI32,"4",$E31:$AI32)+SUMIF($E31:$AI32,"8",$E31:$AI32)-8,SUMIF($E31:$AI32,"4",$E31:$AI32)+SUMIF($E31:$AI32,"8",$E31:$AI32))</f>
        <v>88</v>
      </c>
      <c r="AT31" s="136">
        <f t="shared" ref="AT31" ca="1" si="65">$AR31+$AS31</f>
        <v>184</v>
      </c>
      <c r="AU31" s="136" t="str">
        <f t="shared" ref="AU31" ca="1" si="66">IF(AK31=AT31,"+","!")</f>
        <v>!</v>
      </c>
      <c r="AV31" s="136">
        <f t="shared" ref="AV31" ca="1" si="67">COUNTIF($E31:$AI32,"ОТ")</f>
        <v>0</v>
      </c>
      <c r="AW31" s="137" t="str">
        <f ca="1">IF(COUNTIF($A32:$AI32,"СП")&gt;0,IF(INDIRECT(ADDRESS(ROW(),MATCH("СП",$A32:$AI32),1))=8,"","!"),"")</f>
        <v>!</v>
      </c>
      <c r="AX31" s="137" t="str">
        <f ca="1">IF(COUNTIF($A32:$AI32,"СП")&gt;0,IF(INDIRECT(ADDRESS(ROW(),MATCH("СП",$A32:$AI32)-1,1))=4,"!",""),"")</f>
        <v/>
      </c>
    </row>
    <row r="32" spans="1:50" ht="16.5" thickBot="1" x14ac:dyDescent="0.3">
      <c r="A32" s="147"/>
      <c r="B32" s="139"/>
      <c r="C32" s="171"/>
      <c r="D32" s="50">
        <v>4</v>
      </c>
      <c r="E32" s="65" t="str">
        <f>INDEX(Д3!$E$44:$AI$53,MATCH($D32,Д3!$D$44:$D$53),MATCH(E$7,Д3!$E$3:$AI$3))</f>
        <v/>
      </c>
      <c r="F32" s="30" t="str">
        <f>INDEX(Д3!$E$44:$AI$53,MATCH($D32,Д3!$D$44:$D$53),MATCH(F$7,Д3!$E$3:$AI$3))</f>
        <v/>
      </c>
      <c r="G32" s="30" t="str">
        <f>INDEX(Д3!$E$44:$AI$53,MATCH($D32,Д3!$D$44:$D$53),MATCH(G$7,Д3!$E$3:$AI$3))</f>
        <v/>
      </c>
      <c r="H32" s="30" t="str">
        <f>INDEX(Д3!$E$44:$AI$53,MATCH($D32,Д3!$D$44:$D$53),MATCH(H$7,Д3!$E$3:$AI$3))</f>
        <v/>
      </c>
      <c r="I32" s="30" t="str">
        <f>INDEX(Д3!$E$44:$AI$53,MATCH($D32,Д3!$D$44:$D$53),MATCH(I$7,Д3!$E$3:$AI$3))</f>
        <v/>
      </c>
      <c r="J32" s="30" t="str">
        <f>INDEX(Д3!$E$44:$AI$53,MATCH($D32,Д3!$D$44:$D$53),MATCH(J$7,Д3!$E$3:$AI$3))</f>
        <v>СП</v>
      </c>
      <c r="K32" s="30" t="str">
        <f>INDEX(Д3!$E$44:$AI$53,MATCH($D32,Д3!$D$44:$D$53),MATCH(K$7,Д3!$E$3:$AI$3))</f>
        <v/>
      </c>
      <c r="L32" s="30" t="str">
        <f>INDEX(Д3!$E$44:$AI$53,MATCH($D32,Д3!$D$44:$D$53),MATCH(L$7,Д3!$E$3:$AI$3))</f>
        <v/>
      </c>
      <c r="M32" s="30" t="str">
        <f>INDEX(Д3!$E$44:$AI$53,MATCH($D32,Д3!$D$44:$D$53),MATCH(M$7,Д3!$E$3:$AI$3))</f>
        <v/>
      </c>
      <c r="N32" s="30" t="str">
        <f>INDEX(Д3!$E$44:$AI$53,MATCH($D32,Д3!$D$44:$D$53),MATCH(N$7,Д3!$E$3:$AI$3))</f>
        <v/>
      </c>
      <c r="O32" s="30" t="str">
        <f>INDEX(Д3!$E$44:$AI$53,MATCH($D32,Д3!$D$44:$D$53),MATCH(O$7,Д3!$E$3:$AI$3))</f>
        <v/>
      </c>
      <c r="P32" s="30" t="str">
        <f>INDEX(Д3!$E$44:$AI$53,MATCH($D32,Д3!$D$44:$D$53),MATCH(P$7,Д3!$E$3:$AI$3))</f>
        <v/>
      </c>
      <c r="Q32" s="30" t="str">
        <f>INDEX(Д3!$E$44:$AI$53,MATCH($D32,Д3!$D$44:$D$53),MATCH(Q$7,Д3!$E$3:$AI$3))</f>
        <v/>
      </c>
      <c r="R32" s="30" t="str">
        <f>INDEX(Д3!$E$44:$AI$53,MATCH($D32,Д3!$D$44:$D$53),MATCH(R$7,Д3!$E$3:$AI$3))</f>
        <v/>
      </c>
      <c r="S32" s="30" t="str">
        <f>INDEX(Д3!$E$44:$AI$53,MATCH($D32,Д3!$D$44:$D$53),MATCH(S$7,Д3!$E$3:$AI$3))</f>
        <v/>
      </c>
      <c r="T32" s="30" t="str">
        <f>INDEX(Д3!$E$44:$AI$53,MATCH($D32,Д3!$D$44:$D$53),MATCH(T$7,Д3!$E$3:$AI$3))</f>
        <v/>
      </c>
      <c r="U32" s="30" t="str">
        <f>INDEX(Д3!$E$44:$AI$53,MATCH($D32,Д3!$D$44:$D$53),MATCH(U$7,Д3!$E$3:$AI$3))</f>
        <v/>
      </c>
      <c r="V32" s="30" t="str">
        <f>INDEX(Д3!$E$44:$AI$53,MATCH($D32,Д3!$D$44:$D$53),MATCH(V$7,Д3!$E$3:$AI$3))</f>
        <v/>
      </c>
      <c r="W32" s="30" t="str">
        <f>INDEX(Д3!$E$44:$AI$53,MATCH($D32,Д3!$D$44:$D$53),MATCH(W$7,Д3!$E$3:$AI$3))</f>
        <v/>
      </c>
      <c r="X32" s="30" t="str">
        <f>INDEX(Д3!$E$44:$AI$53,MATCH($D32,Д3!$D$44:$D$53),MATCH(X$7,Д3!$E$3:$AI$3))</f>
        <v/>
      </c>
      <c r="Y32" s="30" t="str">
        <f>INDEX(Д3!$E$44:$AI$53,MATCH($D32,Д3!$D$44:$D$53),MATCH(Y$7,Д3!$E$3:$AI$3))</f>
        <v/>
      </c>
      <c r="Z32" s="30" t="str">
        <f>INDEX(Д3!$E$44:$AI$53,MATCH($D32,Д3!$D$44:$D$53),MATCH(Z$7,Д3!$E$3:$AI$3))</f>
        <v/>
      </c>
      <c r="AA32" s="30" t="str">
        <f>INDEX(Д3!$E$44:$AI$53,MATCH($D32,Д3!$D$44:$D$53),MATCH(AA$7,Д3!$E$3:$AI$3))</f>
        <v/>
      </c>
      <c r="AB32" s="30" t="str">
        <f>INDEX(Д3!$E$44:$AI$53,MATCH($D32,Д3!$D$44:$D$53),MATCH(AB$7,Д3!$E$3:$AI$3))</f>
        <v/>
      </c>
      <c r="AC32" s="30" t="str">
        <f>INDEX(Д3!$E$44:$AI$53,MATCH($D32,Д3!$D$44:$D$53),MATCH(AC$7,Д3!$E$3:$AI$3))</f>
        <v/>
      </c>
      <c r="AD32" s="30" t="str">
        <f>INDEX(Д3!$E$44:$AI$53,MATCH($D32,Д3!$D$44:$D$53),MATCH(AD$7,Д3!$E$3:$AI$3))</f>
        <v/>
      </c>
      <c r="AE32" s="30" t="str">
        <f>INDEX(Д3!$E$44:$AI$53,MATCH($D32,Д3!$D$44:$D$53),MATCH(AE$7,Д3!$E$3:$AI$3))</f>
        <v/>
      </c>
      <c r="AF32" s="30" t="str">
        <f>INDEX(Д3!$E$44:$AI$53,MATCH($D32,Д3!$D$44:$D$53),MATCH(AF$7,Д3!$E$3:$AI$3))</f>
        <v/>
      </c>
      <c r="AG32" s="30" t="str">
        <f>INDEX(Д3!$E$44:$AI$53,MATCH($D32,Д3!$D$44:$D$53),MATCH(AG$7,Д3!$E$3:$AI$3))</f>
        <v/>
      </c>
      <c r="AH32" s="30" t="str">
        <f>INDEX(Д3!$E$44:$AI$53,MATCH($D32,Д3!$D$44:$D$53),MATCH(AH$7,Д3!$E$3:$AI$3))</f>
        <v/>
      </c>
      <c r="AI32" s="33" t="str">
        <f>INDEX(Д3!$E$44:$AI$53,MATCH($D32,Д3!$D$44:$D$53),MATCH(AI$7,Д3!$E$3:$AI$3))</f>
        <v/>
      </c>
      <c r="AJ32" s="143"/>
      <c r="AK32" s="143"/>
      <c r="AL32" s="143"/>
      <c r="AM32" s="150"/>
      <c r="AP32" s="136"/>
      <c r="AQ32" s="136"/>
      <c r="AR32" s="136"/>
      <c r="AS32" s="136"/>
      <c r="AT32" s="136"/>
      <c r="AU32" s="136"/>
      <c r="AV32" s="136"/>
      <c r="AW32" s="137"/>
      <c r="AX32" s="137"/>
    </row>
    <row r="33" spans="1:50" ht="16.5" customHeight="1" thickBot="1" x14ac:dyDescent="0.3">
      <c r="A33" s="147"/>
      <c r="B33" s="139" t="s">
        <v>92</v>
      </c>
      <c r="C33" s="170">
        <v>3</v>
      </c>
      <c r="D33" s="49">
        <v>5</v>
      </c>
      <c r="E33" s="62">
        <f ca="1">INDEX(Д3!$E$44:$AI$53,MATCH($D33,Д3!$D$44:$D$53),MATCH(E$7,Д3!$E$3:$AI$3))</f>
        <v>8</v>
      </c>
      <c r="F33" s="28">
        <f ca="1">INDEX(Д3!$E$44:$AI$53,MATCH($D33,Д3!$D$44:$D$53),MATCH(F$7,Д3!$E$3:$AI$3))</f>
        <v>12</v>
      </c>
      <c r="G33" s="28">
        <f ca="1">INDEX(Д3!$E$44:$AI$53,MATCH($D33,Д3!$D$44:$D$53),MATCH(G$7,Д3!$E$3:$AI$3))</f>
        <v>0</v>
      </c>
      <c r="H33" s="28">
        <f ca="1">INDEX(Д3!$E$44:$AI$53,MATCH($D33,Д3!$D$44:$D$53),MATCH(H$7,Д3!$E$3:$AI$3))</f>
        <v>0</v>
      </c>
      <c r="I33" s="28">
        <f ca="1">INDEX(Д3!$E$44:$AI$53,MATCH($D33,Д3!$D$44:$D$53),MATCH(I$7,Д3!$E$3:$AI$3))</f>
        <v>4</v>
      </c>
      <c r="J33" s="28">
        <f ca="1">INDEX(Д3!$E$44:$AI$53,MATCH($D33,Д3!$D$44:$D$53),MATCH(J$7,Д3!$E$3:$AI$3))</f>
        <v>8</v>
      </c>
      <c r="K33" s="28">
        <f ca="1">INDEX(Д3!$E$44:$AI$53,MATCH($D33,Д3!$D$44:$D$53),MATCH(K$7,Д3!$E$3:$AI$3))</f>
        <v>12</v>
      </c>
      <c r="L33" s="28">
        <f ca="1">INDEX(Д3!$E$44:$AI$53,MATCH($D33,Д3!$D$44:$D$53),MATCH(L$7,Д3!$E$3:$AI$3))</f>
        <v>4</v>
      </c>
      <c r="M33" s="28">
        <f ca="1">INDEX(Д3!$E$44:$AI$53,MATCH($D33,Д3!$D$44:$D$53),MATCH(M$7,Д3!$E$3:$AI$3))</f>
        <v>8</v>
      </c>
      <c r="N33" s="28">
        <f ca="1">INDEX(Д3!$E$44:$AI$53,MATCH($D33,Д3!$D$44:$D$53),MATCH(N$7,Д3!$E$3:$AI$3))</f>
        <v>12</v>
      </c>
      <c r="O33" s="28">
        <f ca="1">INDEX(Д3!$E$44:$AI$53,MATCH($D33,Д3!$D$44:$D$53),MATCH(O$7,Д3!$E$3:$AI$3))</f>
        <v>0</v>
      </c>
      <c r="P33" s="28">
        <f ca="1">INDEX(Д3!$E$44:$AI$53,MATCH($D33,Д3!$D$44:$D$53),MATCH(P$7,Д3!$E$3:$AI$3))</f>
        <v>0</v>
      </c>
      <c r="Q33" s="28">
        <f ca="1">INDEX(Д3!$E$44:$AI$53,MATCH($D33,Д3!$D$44:$D$53),MATCH(Q$7,Д3!$E$3:$AI$3))</f>
        <v>4</v>
      </c>
      <c r="R33" s="28">
        <f ca="1">INDEX(Д3!$E$44:$AI$53,MATCH($D33,Д3!$D$44:$D$53),MATCH(R$7,Д3!$E$3:$AI$3))</f>
        <v>8</v>
      </c>
      <c r="S33" s="28">
        <f ca="1">INDEX(Д3!$E$44:$AI$53,MATCH($D33,Д3!$D$44:$D$53),MATCH(S$7,Д3!$E$3:$AI$3))</f>
        <v>12</v>
      </c>
      <c r="T33" s="28">
        <f ca="1">INDEX(Д3!$E$44:$AI$53,MATCH($D33,Д3!$D$44:$D$53),MATCH(T$7,Д3!$E$3:$AI$3))</f>
        <v>4</v>
      </c>
      <c r="U33" s="28">
        <f ca="1">INDEX(Д3!$E$44:$AI$53,MATCH($D33,Д3!$D$44:$D$53),MATCH(U$7,Д3!$E$3:$AI$3))</f>
        <v>8</v>
      </c>
      <c r="V33" s="28">
        <f ca="1">INDEX(Д3!$E$44:$AI$53,MATCH($D33,Д3!$D$44:$D$53),MATCH(V$7,Д3!$E$3:$AI$3))</f>
        <v>12</v>
      </c>
      <c r="W33" s="28">
        <f ca="1">INDEX(Д3!$E$44:$AI$53,MATCH($D33,Д3!$D$44:$D$53),MATCH(W$7,Д3!$E$3:$AI$3))</f>
        <v>0</v>
      </c>
      <c r="X33" s="28">
        <f ca="1">INDEX(Д3!$E$44:$AI$53,MATCH($D33,Д3!$D$44:$D$53),MATCH(X$7,Д3!$E$3:$AI$3))</f>
        <v>0</v>
      </c>
      <c r="Y33" s="28">
        <f ca="1">INDEX(Д3!$E$44:$AI$53,MATCH($D33,Д3!$D$44:$D$53),MATCH(Y$7,Д3!$E$3:$AI$3))</f>
        <v>4</v>
      </c>
      <c r="Z33" s="28">
        <f ca="1">INDEX(Д3!$E$44:$AI$53,MATCH($D33,Д3!$D$44:$D$53),MATCH(Z$7,Д3!$E$3:$AI$3))</f>
        <v>8</v>
      </c>
      <c r="AA33" s="28">
        <f ca="1">INDEX(Д3!$E$44:$AI$53,MATCH($D33,Д3!$D$44:$D$53),MATCH(AA$7,Д3!$E$3:$AI$3))</f>
        <v>12</v>
      </c>
      <c r="AB33" s="28">
        <f ca="1">INDEX(Д3!$E$44:$AI$53,MATCH($D33,Д3!$D$44:$D$53),MATCH(AB$7,Д3!$E$3:$AI$3))</f>
        <v>4</v>
      </c>
      <c r="AC33" s="28">
        <f ca="1">INDEX(Д3!$E$44:$AI$53,MATCH($D33,Д3!$D$44:$D$53),MATCH(AC$7,Д3!$E$3:$AI$3))</f>
        <v>8</v>
      </c>
      <c r="AD33" s="28">
        <f ca="1">INDEX(Д3!$E$44:$AI$53,MATCH($D33,Д3!$D$44:$D$53),MATCH(AD$7,Д3!$E$3:$AI$3))</f>
        <v>12</v>
      </c>
      <c r="AE33" s="28">
        <f ca="1">INDEX(Д3!$E$44:$AI$53,MATCH($D33,Д3!$D$44:$D$53),MATCH(AE$7,Д3!$E$3:$AI$3))</f>
        <v>0</v>
      </c>
      <c r="AF33" s="28">
        <f ca="1">INDEX(Д3!$E$44:$AI$53,MATCH($D33,Д3!$D$44:$D$53),MATCH(AF$7,Д3!$E$3:$AI$3))</f>
        <v>0</v>
      </c>
      <c r="AG33" s="28">
        <f ca="1">INDEX(Д3!$E$44:$AI$53,MATCH($D33,Д3!$D$44:$D$53),MATCH(AG$7,Д3!$E$3:$AI$3))</f>
        <v>4</v>
      </c>
      <c r="AH33" s="28">
        <f ca="1">INDEX(Д3!$E$44:$AI$53,MATCH($D33,Д3!$D$44:$D$53),MATCH(AH$7,Д3!$E$3:$AI$3))</f>
        <v>8</v>
      </c>
      <c r="AI33" s="60">
        <f ca="1">INDEX(Д3!$E$44:$AI$53,MATCH($D33,Д3!$D$44:$D$53),MATCH(AI$7,Д3!$E$3:$AI$3))</f>
        <v>12</v>
      </c>
      <c r="AJ33" s="143">
        <f>INDEX(Д3!AK$44:$AK$53,MATCH($C33,Д3!$C$44:$C$53),MATCH(E$7,Д3!$E$3:$AI$3))*AND(MONTH($E$8)=MONTH(Д3!$B$44))</f>
        <v>144</v>
      </c>
      <c r="AK33" s="143">
        <f ca="1">SUM(E33:AI34)</f>
        <v>188</v>
      </c>
      <c r="AL33" s="143"/>
      <c r="AM33" s="149">
        <f ca="1">SUM(F33:H34,J33:AI34)-AJ33+AL33-12</f>
        <v>20</v>
      </c>
      <c r="AP33" s="136">
        <f t="shared" ref="AP33" ca="1" si="68">COUNTIF($E33:$AI34,"12")</f>
        <v>8</v>
      </c>
      <c r="AQ33" s="136">
        <f t="shared" ref="AQ33" ca="1" si="69">IF(COUNTIF($E33:$AI34,"СП")&gt;=1,(COUNTIF($E33:$AI34,"4")+COUNTIF($E33:$AI34,"8")-1)/2,(COUNTIF($E33:$AI34,"4")+COUNTIF($E33:$AI34,"8"))/2)</f>
        <v>7</v>
      </c>
      <c r="AR33" s="136">
        <f t="shared" ca="1" si="2"/>
        <v>96</v>
      </c>
      <c r="AS33" s="136">
        <f t="shared" ref="AS33" ca="1" si="70">IF(COUNTIF($E33:$AI34,"СП")&gt;=1,SUMIF($E33:$AI34,"4",$E33:$AI34)+SUMIF($E33:$AI34,"8",$E33:$AI34)-8,SUMIF($E33:$AI34,"4",$E33:$AI34)+SUMIF($E33:$AI34,"8",$E33:$AI34))</f>
        <v>84</v>
      </c>
      <c r="AT33" s="136">
        <f t="shared" ref="AT33" ca="1" si="71">$AR33+$AS33</f>
        <v>180</v>
      </c>
      <c r="AU33" s="136" t="str">
        <f t="shared" ref="AU33" ca="1" si="72">IF(AK33=AT33,"+","!")</f>
        <v>!</v>
      </c>
      <c r="AV33" s="136">
        <f t="shared" ref="AV33" ca="1" si="73">COUNTIF($E33:$AI34,"ОТ")</f>
        <v>0</v>
      </c>
      <c r="AW33" s="137" t="str">
        <f ca="1">IF(COUNTIF($A34:$AI34,"СП")&gt;0,IF(INDIRECT(ADDRESS(ROW(),MATCH("СП",$A34:$AI34),1))=8,"","!"),"")</f>
        <v>!</v>
      </c>
      <c r="AX33" s="137" t="str">
        <f ca="1">IF(COUNTIF($A34:$AI34,"СП")&gt;0,IF(INDIRECT(ADDRESS(ROW(),MATCH("СП",$A34:$AI34)-1,1))=4,"!",""),"")</f>
        <v/>
      </c>
    </row>
    <row r="34" spans="1:50" ht="16.5" thickBot="1" x14ac:dyDescent="0.3">
      <c r="A34" s="147"/>
      <c r="B34" s="139"/>
      <c r="C34" s="171"/>
      <c r="D34" s="50">
        <v>6</v>
      </c>
      <c r="E34" s="63" t="str">
        <f>INDEX(Д3!$E$44:$AI$53,MATCH($D34,Д3!$D$44:$D$53),MATCH(E$7,Д3!$E$3:$AI$3))</f>
        <v/>
      </c>
      <c r="F34" s="29" t="str">
        <f>INDEX(Д3!$E$44:$AI$53,MATCH($D34,Д3!$D$44:$D$53),MATCH(F$7,Д3!$E$3:$AI$3))</f>
        <v/>
      </c>
      <c r="G34" s="29" t="str">
        <f>INDEX(Д3!$E$44:$AI$53,MATCH($D34,Д3!$D$44:$D$53),MATCH(G$7,Д3!$E$3:$AI$3))</f>
        <v/>
      </c>
      <c r="H34" s="29" t="str">
        <f>INDEX(Д3!$E$44:$AI$53,MATCH($D34,Д3!$D$44:$D$53),MATCH(H$7,Д3!$E$3:$AI$3))</f>
        <v/>
      </c>
      <c r="I34" s="29" t="str">
        <f>INDEX(Д3!$E$44:$AI$53,MATCH($D34,Д3!$D$44:$D$53),MATCH(I$7,Д3!$E$3:$AI$3))</f>
        <v/>
      </c>
      <c r="J34" s="29" t="str">
        <f>INDEX(Д3!$E$44:$AI$53,MATCH($D34,Д3!$D$44:$D$53),MATCH(J$7,Д3!$E$3:$AI$3))</f>
        <v/>
      </c>
      <c r="K34" s="29" t="str">
        <f>INDEX(Д3!$E$44:$AI$53,MATCH($D34,Д3!$D$44:$D$53),MATCH(K$7,Д3!$E$3:$AI$3))</f>
        <v>СП</v>
      </c>
      <c r="L34" s="29" t="str">
        <f>INDEX(Д3!$E$44:$AI$53,MATCH($D34,Д3!$D$44:$D$53),MATCH(L$7,Д3!$E$3:$AI$3))</f>
        <v/>
      </c>
      <c r="M34" s="29" t="str">
        <f>INDEX(Д3!$E$44:$AI$53,MATCH($D34,Д3!$D$44:$D$53),MATCH(M$7,Д3!$E$3:$AI$3))</f>
        <v/>
      </c>
      <c r="N34" s="29" t="str">
        <f>INDEX(Д3!$E$44:$AI$53,MATCH($D34,Д3!$D$44:$D$53),MATCH(N$7,Д3!$E$3:$AI$3))</f>
        <v/>
      </c>
      <c r="O34" s="29" t="str">
        <f>INDEX(Д3!$E$44:$AI$53,MATCH($D34,Д3!$D$44:$D$53),MATCH(O$7,Д3!$E$3:$AI$3))</f>
        <v/>
      </c>
      <c r="P34" s="29" t="str">
        <f>INDEX(Д3!$E$44:$AI$53,MATCH($D34,Д3!$D$44:$D$53),MATCH(P$7,Д3!$E$3:$AI$3))</f>
        <v/>
      </c>
      <c r="Q34" s="29" t="str">
        <f>INDEX(Д3!$E$44:$AI$53,MATCH($D34,Д3!$D$44:$D$53),MATCH(Q$7,Д3!$E$3:$AI$3))</f>
        <v/>
      </c>
      <c r="R34" s="29" t="str">
        <f>INDEX(Д3!$E$44:$AI$53,MATCH($D34,Д3!$D$44:$D$53),MATCH(R$7,Д3!$E$3:$AI$3))</f>
        <v/>
      </c>
      <c r="S34" s="29" t="str">
        <f>INDEX(Д3!$E$44:$AI$53,MATCH($D34,Д3!$D$44:$D$53),MATCH(S$7,Д3!$E$3:$AI$3))</f>
        <v/>
      </c>
      <c r="T34" s="29" t="str">
        <f>INDEX(Д3!$E$44:$AI$53,MATCH($D34,Д3!$D$44:$D$53),MATCH(T$7,Д3!$E$3:$AI$3))</f>
        <v/>
      </c>
      <c r="U34" s="29" t="str">
        <f>INDEX(Д3!$E$44:$AI$53,MATCH($D34,Д3!$D$44:$D$53),MATCH(U$7,Д3!$E$3:$AI$3))</f>
        <v/>
      </c>
      <c r="V34" s="29" t="str">
        <f>INDEX(Д3!$E$44:$AI$53,MATCH($D34,Д3!$D$44:$D$53),MATCH(V$7,Д3!$E$3:$AI$3))</f>
        <v/>
      </c>
      <c r="W34" s="29" t="str">
        <f>INDEX(Д3!$E$44:$AI$53,MATCH($D34,Д3!$D$44:$D$53),MATCH(W$7,Д3!$E$3:$AI$3))</f>
        <v/>
      </c>
      <c r="X34" s="29" t="str">
        <f>INDEX(Д3!$E$44:$AI$53,MATCH($D34,Д3!$D$44:$D$53),MATCH(X$7,Д3!$E$3:$AI$3))</f>
        <v/>
      </c>
      <c r="Y34" s="29" t="str">
        <f>INDEX(Д3!$E$44:$AI$53,MATCH($D34,Д3!$D$44:$D$53),MATCH(Y$7,Д3!$E$3:$AI$3))</f>
        <v/>
      </c>
      <c r="Z34" s="29" t="str">
        <f>INDEX(Д3!$E$44:$AI$53,MATCH($D34,Д3!$D$44:$D$53),MATCH(Z$7,Д3!$E$3:$AI$3))</f>
        <v/>
      </c>
      <c r="AA34" s="29" t="str">
        <f>INDEX(Д3!$E$44:$AI$53,MATCH($D34,Д3!$D$44:$D$53),MATCH(AA$7,Д3!$E$3:$AI$3))</f>
        <v/>
      </c>
      <c r="AB34" s="29" t="str">
        <f>INDEX(Д3!$E$44:$AI$53,MATCH($D34,Д3!$D$44:$D$53),MATCH(AB$7,Д3!$E$3:$AI$3))</f>
        <v/>
      </c>
      <c r="AC34" s="29" t="str">
        <f>INDEX(Д3!$E$44:$AI$53,MATCH($D34,Д3!$D$44:$D$53),MATCH(AC$7,Д3!$E$3:$AI$3))</f>
        <v/>
      </c>
      <c r="AD34" s="29" t="str">
        <f>INDEX(Д3!$E$44:$AI$53,MATCH($D34,Д3!$D$44:$D$53),MATCH(AD$7,Д3!$E$3:$AI$3))</f>
        <v/>
      </c>
      <c r="AE34" s="29" t="str">
        <f>INDEX(Д3!$E$44:$AI$53,MATCH($D34,Д3!$D$44:$D$53),MATCH(AE$7,Д3!$E$3:$AI$3))</f>
        <v/>
      </c>
      <c r="AF34" s="29" t="str">
        <f>INDEX(Д3!$E$44:$AI$53,MATCH($D34,Д3!$D$44:$D$53),MATCH(AF$7,Д3!$E$3:$AI$3))</f>
        <v/>
      </c>
      <c r="AG34" s="29" t="str">
        <f>INDEX(Д3!$E$44:$AI$53,MATCH($D34,Д3!$D$44:$D$53),MATCH(AG$7,Д3!$E$3:$AI$3))</f>
        <v/>
      </c>
      <c r="AH34" s="29" t="str">
        <f>INDEX(Д3!$E$44:$AI$53,MATCH($D34,Д3!$D$44:$D$53),MATCH(AH$7,Д3!$E$3:$AI$3))</f>
        <v/>
      </c>
      <c r="AI34" s="61" t="str">
        <f>INDEX(Д3!$E$44:$AI$53,MATCH($D34,Д3!$D$44:$D$53),MATCH(AI$7,Д3!$E$3:$AI$3))</f>
        <v/>
      </c>
      <c r="AJ34" s="143"/>
      <c r="AK34" s="143"/>
      <c r="AL34" s="143"/>
      <c r="AM34" s="150"/>
      <c r="AP34" s="136"/>
      <c r="AQ34" s="136"/>
      <c r="AR34" s="136"/>
      <c r="AS34" s="136"/>
      <c r="AT34" s="136"/>
      <c r="AU34" s="136"/>
      <c r="AV34" s="136"/>
      <c r="AW34" s="137"/>
      <c r="AX34" s="137"/>
    </row>
    <row r="35" spans="1:50" ht="16.5" customHeight="1" thickBot="1" x14ac:dyDescent="0.3">
      <c r="A35" s="147"/>
      <c r="B35" s="139" t="s">
        <v>93</v>
      </c>
      <c r="C35" s="170">
        <v>4</v>
      </c>
      <c r="D35" s="49">
        <v>7</v>
      </c>
      <c r="E35" s="64">
        <f ca="1">INDEX(Д3!$E$44:$AI$53,MATCH($D35,Д3!$D$44:$D$53),MATCH(E$7,Д3!$E$3:$AI$3))</f>
        <v>12</v>
      </c>
      <c r="F35" s="27">
        <f ca="1">INDEX(Д3!$E$44:$AI$53,MATCH($D35,Д3!$D$44:$D$53),MATCH(F$7,Д3!$E$3:$AI$3))</f>
        <v>4</v>
      </c>
      <c r="G35" s="27">
        <f ca="1">INDEX(Д3!$E$44:$AI$53,MATCH($D35,Д3!$D$44:$D$53),MATCH(G$7,Д3!$E$3:$AI$3))</f>
        <v>8</v>
      </c>
      <c r="H35" s="27">
        <f ca="1">INDEX(Д3!$E$44:$AI$53,MATCH($D35,Д3!$D$44:$D$53),MATCH(H$7,Д3!$E$3:$AI$3))</f>
        <v>12</v>
      </c>
      <c r="I35" s="27">
        <f ca="1">INDEX(Д3!$E$44:$AI$53,MATCH($D35,Д3!$D$44:$D$53),MATCH(I$7,Д3!$E$3:$AI$3))</f>
        <v>0</v>
      </c>
      <c r="J35" s="27">
        <f ca="1">INDEX(Д3!$E$44:$AI$53,MATCH($D35,Д3!$D$44:$D$53),MATCH(J$7,Д3!$E$3:$AI$3))</f>
        <v>0</v>
      </c>
      <c r="K35" s="27">
        <f ca="1">INDEX(Д3!$E$44:$AI$53,MATCH($D35,Д3!$D$44:$D$53),MATCH(K$7,Д3!$E$3:$AI$3))</f>
        <v>4</v>
      </c>
      <c r="L35" s="27">
        <f ca="1">INDEX(Д3!$E$44:$AI$53,MATCH($D35,Д3!$D$44:$D$53),MATCH(L$7,Д3!$E$3:$AI$3))</f>
        <v>8</v>
      </c>
      <c r="M35" s="27">
        <f ca="1">INDEX(Д3!$E$44:$AI$53,MATCH($D35,Д3!$D$44:$D$53),MATCH(M$7,Д3!$E$3:$AI$3))</f>
        <v>12</v>
      </c>
      <c r="N35" s="27">
        <f ca="1">INDEX(Д3!$E$44:$AI$53,MATCH($D35,Д3!$D$44:$D$53),MATCH(N$7,Д3!$E$3:$AI$3))</f>
        <v>4</v>
      </c>
      <c r="O35" s="27">
        <f ca="1">INDEX(Д3!$E$44:$AI$53,MATCH($D35,Д3!$D$44:$D$53),MATCH(O$7,Д3!$E$3:$AI$3))</f>
        <v>8</v>
      </c>
      <c r="P35" s="27">
        <f ca="1">INDEX(Д3!$E$44:$AI$53,MATCH($D35,Д3!$D$44:$D$53),MATCH(P$7,Д3!$E$3:$AI$3))</f>
        <v>12</v>
      </c>
      <c r="Q35" s="27">
        <f ca="1">INDEX(Д3!$E$44:$AI$53,MATCH($D35,Д3!$D$44:$D$53),MATCH(Q$7,Д3!$E$3:$AI$3))</f>
        <v>0</v>
      </c>
      <c r="R35" s="27">
        <f ca="1">INDEX(Д3!$E$44:$AI$53,MATCH($D35,Д3!$D$44:$D$53),MATCH(R$7,Д3!$E$3:$AI$3))</f>
        <v>0</v>
      </c>
      <c r="S35" s="27">
        <f ca="1">INDEX(Д3!$E$44:$AI$53,MATCH($D35,Д3!$D$44:$D$53),MATCH(S$7,Д3!$E$3:$AI$3))</f>
        <v>4</v>
      </c>
      <c r="T35" s="27">
        <f ca="1">INDEX(Д3!$E$44:$AI$53,MATCH($D35,Д3!$D$44:$D$53),MATCH(T$7,Д3!$E$3:$AI$3))</f>
        <v>8</v>
      </c>
      <c r="U35" s="27">
        <f ca="1">INDEX(Д3!$E$44:$AI$53,MATCH($D35,Д3!$D$44:$D$53),MATCH(U$7,Д3!$E$3:$AI$3))</f>
        <v>12</v>
      </c>
      <c r="V35" s="27">
        <f ca="1">INDEX(Д3!$E$44:$AI$53,MATCH($D35,Д3!$D$44:$D$53),MATCH(V$7,Д3!$E$3:$AI$3))</f>
        <v>4</v>
      </c>
      <c r="W35" s="27">
        <f ca="1">INDEX(Д3!$E$44:$AI$53,MATCH($D35,Д3!$D$44:$D$53),MATCH(W$7,Д3!$E$3:$AI$3))</f>
        <v>8</v>
      </c>
      <c r="X35" s="27">
        <f ca="1">INDEX(Д3!$E$44:$AI$53,MATCH($D35,Д3!$D$44:$D$53),MATCH(X$7,Д3!$E$3:$AI$3))</f>
        <v>12</v>
      </c>
      <c r="Y35" s="27">
        <f ca="1">INDEX(Д3!$E$44:$AI$53,MATCH($D35,Д3!$D$44:$D$53),MATCH(Y$7,Д3!$E$3:$AI$3))</f>
        <v>0</v>
      </c>
      <c r="Z35" s="27">
        <f ca="1">INDEX(Д3!$E$44:$AI$53,MATCH($D35,Д3!$D$44:$D$53),MATCH(Z$7,Д3!$E$3:$AI$3))</f>
        <v>0</v>
      </c>
      <c r="AA35" s="27">
        <f ca="1">INDEX(Д3!$E$44:$AI$53,MATCH($D35,Д3!$D$44:$D$53),MATCH(AA$7,Д3!$E$3:$AI$3))</f>
        <v>4</v>
      </c>
      <c r="AB35" s="27">
        <f ca="1">INDEX(Д3!$E$44:$AI$53,MATCH($D35,Д3!$D$44:$D$53),MATCH(AB$7,Д3!$E$3:$AI$3))</f>
        <v>8</v>
      </c>
      <c r="AC35" s="27">
        <f ca="1">INDEX(Д3!$E$44:$AI$53,MATCH($D35,Д3!$D$44:$D$53),MATCH(AC$7,Д3!$E$3:$AI$3))</f>
        <v>12</v>
      </c>
      <c r="AD35" s="27">
        <f ca="1">INDEX(Д3!$E$44:$AI$53,MATCH($D35,Д3!$D$44:$D$53),MATCH(AD$7,Д3!$E$3:$AI$3))</f>
        <v>4</v>
      </c>
      <c r="AE35" s="27">
        <f ca="1">INDEX(Д3!$E$44:$AI$53,MATCH($D35,Д3!$D$44:$D$53),MATCH(AE$7,Д3!$E$3:$AI$3))</f>
        <v>8</v>
      </c>
      <c r="AF35" s="27">
        <f ca="1">INDEX(Д3!$E$44:$AI$53,MATCH($D35,Д3!$D$44:$D$53),MATCH(AF$7,Д3!$E$3:$AI$3))</f>
        <v>12</v>
      </c>
      <c r="AG35" s="27">
        <f ca="1">INDEX(Д3!$E$44:$AI$53,MATCH($D35,Д3!$D$44:$D$53),MATCH(AG$7,Д3!$E$3:$AI$3))</f>
        <v>0</v>
      </c>
      <c r="AH35" s="27">
        <f ca="1">INDEX(Д3!$E$44:$AI$53,MATCH($D35,Д3!$D$44:$D$53),MATCH(AH$7,Д3!$E$3:$AI$3))</f>
        <v>0</v>
      </c>
      <c r="AI35" s="32">
        <f ca="1">INDEX(Д3!$E$44:$AI$53,MATCH($D35,Д3!$D$44:$D$53),MATCH(AI$7,Д3!$E$3:$AI$3))</f>
        <v>4</v>
      </c>
      <c r="AJ35" s="143">
        <f>INDEX(Д3!AK$44:$AK$53,MATCH($C35,Д3!$C$44:$C$53),MATCH(E$7,Д3!$E$3:$AI$3))*AND(MONTH($E$8)=MONTH(Д3!$B$44))</f>
        <v>144</v>
      </c>
      <c r="AK35" s="143">
        <f ca="1">SUM(E35:AI36)</f>
        <v>184</v>
      </c>
      <c r="AL35" s="143"/>
      <c r="AM35" s="149">
        <f ca="1">SUM(F35:H36,J35:AI36)-AJ35+AL35-12</f>
        <v>16</v>
      </c>
      <c r="AP35" s="136">
        <f t="shared" ref="AP35" ca="1" si="74">COUNTIF($E35:$AI36,"12")</f>
        <v>8</v>
      </c>
      <c r="AQ35" s="136">
        <f t="shared" ref="AQ35" ca="1" si="75">IF(COUNTIF($E35:$AI36,"СП")&gt;=1,(COUNTIF($E35:$AI36,"4")+COUNTIF($E35:$AI36,"8")-1)/2,(COUNTIF($E35:$AI36,"4")+COUNTIF($E35:$AI36,"8"))/2)</f>
        <v>7</v>
      </c>
      <c r="AR35" s="136">
        <f t="shared" ca="1" si="2"/>
        <v>96</v>
      </c>
      <c r="AS35" s="136">
        <f t="shared" ref="AS35" ca="1" si="76">IF(COUNTIF($E35:$AI36,"СП")&gt;=1,SUMIF($E35:$AI36,"4",$E35:$AI36)+SUMIF($E35:$AI36,"8",$E35:$AI36)-8,SUMIF($E35:$AI36,"4",$E35:$AI36)+SUMIF($E35:$AI36,"8",$E35:$AI36))</f>
        <v>80</v>
      </c>
      <c r="AT35" s="136">
        <f t="shared" ref="AT35" ca="1" si="77">$AR35+$AS35</f>
        <v>176</v>
      </c>
      <c r="AU35" s="136" t="str">
        <f t="shared" ref="AU35" ca="1" si="78">IF(AK35=AT35,"+","!")</f>
        <v>!</v>
      </c>
      <c r="AV35" s="136">
        <f t="shared" ref="AV35" ca="1" si="79">COUNTIF($E35:$AI36,"ОТ")</f>
        <v>0</v>
      </c>
      <c r="AW35" s="137" t="str">
        <f ca="1">IF(COUNTIF($A36:$AI36,"СП")&gt;0,IF(INDIRECT(ADDRESS(ROW(),MATCH("СП",$A36:$AI36),1))=8,"","!"),"")</f>
        <v>!</v>
      </c>
      <c r="AX35" s="137" t="str">
        <f ca="1">IF(COUNTIF($A36:$AI36,"СП")&gt;0,IF(INDIRECT(ADDRESS(ROW(),MATCH("СП",$A36:$AI36)-1,1))=4,"!",""),"")</f>
        <v/>
      </c>
    </row>
    <row r="36" spans="1:50" ht="16.5" thickBot="1" x14ac:dyDescent="0.3">
      <c r="A36" s="147"/>
      <c r="B36" s="139"/>
      <c r="C36" s="171"/>
      <c r="D36" s="50">
        <v>8</v>
      </c>
      <c r="E36" s="65" t="str">
        <f>INDEX(Д3!$E$44:$AI$53,MATCH($D36,Д3!$D$44:$D$53),MATCH(E$7,Д3!$E$3:$AI$3))</f>
        <v/>
      </c>
      <c r="F36" s="30" t="str">
        <f>INDEX(Д3!$E$44:$AI$53,MATCH($D36,Д3!$D$44:$D$53),MATCH(F$7,Д3!$E$3:$AI$3))</f>
        <v/>
      </c>
      <c r="G36" s="30" t="str">
        <f>INDEX(Д3!$E$44:$AI$53,MATCH($D36,Д3!$D$44:$D$53),MATCH(G$7,Д3!$E$3:$AI$3))</f>
        <v/>
      </c>
      <c r="H36" s="30" t="str">
        <f>INDEX(Д3!$E$44:$AI$53,MATCH($D36,Д3!$D$44:$D$53),MATCH(H$7,Д3!$E$3:$AI$3))</f>
        <v/>
      </c>
      <c r="I36" s="30" t="str">
        <f>INDEX(Д3!$E$44:$AI$53,MATCH($D36,Д3!$D$44:$D$53),MATCH(I$7,Д3!$E$3:$AI$3))</f>
        <v/>
      </c>
      <c r="J36" s="30" t="str">
        <f>INDEX(Д3!$E$44:$AI$53,MATCH($D36,Д3!$D$44:$D$53),MATCH(J$7,Д3!$E$3:$AI$3))</f>
        <v/>
      </c>
      <c r="K36" s="30" t="str">
        <f>INDEX(Д3!$E$44:$AI$53,MATCH($D36,Д3!$D$44:$D$53),MATCH(K$7,Д3!$E$3:$AI$3))</f>
        <v/>
      </c>
      <c r="L36" s="30" t="str">
        <f>INDEX(Д3!$E$44:$AI$53,MATCH($D36,Д3!$D$44:$D$53),MATCH(L$7,Д3!$E$3:$AI$3))</f>
        <v>СП</v>
      </c>
      <c r="M36" s="30" t="str">
        <f>INDEX(Д3!$E$44:$AI$53,MATCH($D36,Д3!$D$44:$D$53),MATCH(M$7,Д3!$E$3:$AI$3))</f>
        <v/>
      </c>
      <c r="N36" s="30" t="str">
        <f>INDEX(Д3!$E$44:$AI$53,MATCH($D36,Д3!$D$44:$D$53),MATCH(N$7,Д3!$E$3:$AI$3))</f>
        <v/>
      </c>
      <c r="O36" s="30" t="str">
        <f>INDEX(Д3!$E$44:$AI$53,MATCH($D36,Д3!$D$44:$D$53),MATCH(O$7,Д3!$E$3:$AI$3))</f>
        <v/>
      </c>
      <c r="P36" s="30" t="str">
        <f>INDEX(Д3!$E$44:$AI$53,MATCH($D36,Д3!$D$44:$D$53),MATCH(P$7,Д3!$E$3:$AI$3))</f>
        <v/>
      </c>
      <c r="Q36" s="30" t="str">
        <f>INDEX(Д3!$E$44:$AI$53,MATCH($D36,Д3!$D$44:$D$53),MATCH(Q$7,Д3!$E$3:$AI$3))</f>
        <v/>
      </c>
      <c r="R36" s="30" t="str">
        <f>INDEX(Д3!$E$44:$AI$53,MATCH($D36,Д3!$D$44:$D$53),MATCH(R$7,Д3!$E$3:$AI$3))</f>
        <v/>
      </c>
      <c r="S36" s="30" t="str">
        <f>INDEX(Д3!$E$44:$AI$53,MATCH($D36,Д3!$D$44:$D$53),MATCH(S$7,Д3!$E$3:$AI$3))</f>
        <v/>
      </c>
      <c r="T36" s="30" t="str">
        <f>INDEX(Д3!$E$44:$AI$53,MATCH($D36,Д3!$D$44:$D$53),MATCH(T$7,Д3!$E$3:$AI$3))</f>
        <v/>
      </c>
      <c r="U36" s="30" t="str">
        <f>INDEX(Д3!$E$44:$AI$53,MATCH($D36,Д3!$D$44:$D$53),MATCH(U$7,Д3!$E$3:$AI$3))</f>
        <v/>
      </c>
      <c r="V36" s="30" t="str">
        <f>INDEX(Д3!$E$44:$AI$53,MATCH($D36,Д3!$D$44:$D$53),MATCH(V$7,Д3!$E$3:$AI$3))</f>
        <v/>
      </c>
      <c r="W36" s="30" t="str">
        <f>INDEX(Д3!$E$44:$AI$53,MATCH($D36,Д3!$D$44:$D$53),MATCH(W$7,Д3!$E$3:$AI$3))</f>
        <v/>
      </c>
      <c r="X36" s="30" t="str">
        <f>INDEX(Д3!$E$44:$AI$53,MATCH($D36,Д3!$D$44:$D$53),MATCH(X$7,Д3!$E$3:$AI$3))</f>
        <v/>
      </c>
      <c r="Y36" s="30" t="str">
        <f>INDEX(Д3!$E$44:$AI$53,MATCH($D36,Д3!$D$44:$D$53),MATCH(Y$7,Д3!$E$3:$AI$3))</f>
        <v/>
      </c>
      <c r="Z36" s="30" t="str">
        <f>INDEX(Д3!$E$44:$AI$53,MATCH($D36,Д3!$D$44:$D$53),MATCH(Z$7,Д3!$E$3:$AI$3))</f>
        <v/>
      </c>
      <c r="AA36" s="30" t="str">
        <f>INDEX(Д3!$E$44:$AI$53,MATCH($D36,Д3!$D$44:$D$53),MATCH(AA$7,Д3!$E$3:$AI$3))</f>
        <v/>
      </c>
      <c r="AB36" s="30" t="str">
        <f>INDEX(Д3!$E$44:$AI$53,MATCH($D36,Д3!$D$44:$D$53),MATCH(AB$7,Д3!$E$3:$AI$3))</f>
        <v/>
      </c>
      <c r="AC36" s="30" t="str">
        <f>INDEX(Д3!$E$44:$AI$53,MATCH($D36,Д3!$D$44:$D$53),MATCH(AC$7,Д3!$E$3:$AI$3))</f>
        <v/>
      </c>
      <c r="AD36" s="30" t="str">
        <f>INDEX(Д3!$E$44:$AI$53,MATCH($D36,Д3!$D$44:$D$53),MATCH(AD$7,Д3!$E$3:$AI$3))</f>
        <v/>
      </c>
      <c r="AE36" s="30" t="str">
        <f>INDEX(Д3!$E$44:$AI$53,MATCH($D36,Д3!$D$44:$D$53),MATCH(AE$7,Д3!$E$3:$AI$3))</f>
        <v/>
      </c>
      <c r="AF36" s="30" t="str">
        <f>INDEX(Д3!$E$44:$AI$53,MATCH($D36,Д3!$D$44:$D$53),MATCH(AF$7,Д3!$E$3:$AI$3))</f>
        <v/>
      </c>
      <c r="AG36" s="30" t="str">
        <f>INDEX(Д3!$E$44:$AI$53,MATCH($D36,Д3!$D$44:$D$53),MATCH(AG$7,Д3!$E$3:$AI$3))</f>
        <v/>
      </c>
      <c r="AH36" s="30" t="str">
        <f>INDEX(Д3!$E$44:$AI$53,MATCH($D36,Д3!$D$44:$D$53),MATCH(AH$7,Д3!$E$3:$AI$3))</f>
        <v/>
      </c>
      <c r="AI36" s="33" t="str">
        <f>INDEX(Д3!$E$44:$AI$53,MATCH($D36,Д3!$D$44:$D$53),MATCH(AI$7,Д3!$E$3:$AI$3))</f>
        <v/>
      </c>
      <c r="AJ36" s="143"/>
      <c r="AK36" s="143"/>
      <c r="AL36" s="143"/>
      <c r="AM36" s="150"/>
      <c r="AP36" s="136"/>
      <c r="AQ36" s="136"/>
      <c r="AR36" s="136"/>
      <c r="AS36" s="136"/>
      <c r="AT36" s="136"/>
      <c r="AU36" s="136"/>
      <c r="AV36" s="136"/>
      <c r="AW36" s="137"/>
      <c r="AX36" s="137"/>
    </row>
    <row r="37" spans="1:50" ht="16.5" customHeight="1" thickBot="1" x14ac:dyDescent="0.3">
      <c r="A37" s="147"/>
      <c r="B37" s="139" t="s">
        <v>94</v>
      </c>
      <c r="C37" s="170">
        <v>5</v>
      </c>
      <c r="D37" s="49">
        <v>9</v>
      </c>
      <c r="E37" s="62" t="str">
        <f>INDEX(Д3!$E$44:$AI$53,MATCH($D37,Д3!$D$44:$D$53),MATCH(E$7,Д3!$E$3:$AI$3))</f>
        <v>-</v>
      </c>
      <c r="F37" s="28" t="str">
        <f>INDEX(Д3!$E$44:$AI$53,MATCH($D37,Д3!$D$44:$D$53),MATCH(F$7,Д3!$E$3:$AI$3))</f>
        <v>-</v>
      </c>
      <c r="G37" s="28" t="str">
        <f>INDEX(Д3!$E$44:$AI$53,MATCH($D37,Д3!$D$44:$D$53),MATCH(G$7,Д3!$E$3:$AI$3))</f>
        <v>-</v>
      </c>
      <c r="H37" s="28" t="str">
        <f>INDEX(Д3!$E$44:$AI$53,MATCH($D37,Д3!$D$44:$D$53),MATCH(H$7,Д3!$E$3:$AI$3))</f>
        <v>-</v>
      </c>
      <c r="I37" s="28" t="str">
        <f>INDEX(Д3!$E$44:$AI$53,MATCH($D37,Д3!$D$44:$D$53),MATCH(I$7,Д3!$E$3:$AI$3))</f>
        <v>-</v>
      </c>
      <c r="J37" s="28" t="str">
        <f>INDEX(Д3!$E$44:$AI$53,MATCH($D37,Д3!$D$44:$D$53),MATCH(J$7,Д3!$E$3:$AI$3))</f>
        <v>-</v>
      </c>
      <c r="K37" s="28" t="str">
        <f>INDEX(Д3!$E$44:$AI$53,MATCH($D37,Д3!$D$44:$D$53),MATCH(K$7,Д3!$E$3:$AI$3))</f>
        <v>-</v>
      </c>
      <c r="L37" s="28" t="str">
        <f>INDEX(Д3!$E$44:$AI$53,MATCH($D37,Д3!$D$44:$D$53),MATCH(L$7,Д3!$E$3:$AI$3))</f>
        <v>-</v>
      </c>
      <c r="M37" s="28" t="str">
        <f>INDEX(Д3!$E$44:$AI$53,MATCH($D37,Д3!$D$44:$D$53),MATCH(M$7,Д3!$E$3:$AI$3))</f>
        <v>-</v>
      </c>
      <c r="N37" s="28" t="str">
        <f>INDEX(Д3!$E$44:$AI$53,MATCH($D37,Д3!$D$44:$D$53),MATCH(N$7,Д3!$E$3:$AI$3))</f>
        <v>-</v>
      </c>
      <c r="O37" s="28" t="str">
        <f>INDEX(Д3!$E$44:$AI$53,MATCH($D37,Д3!$D$44:$D$53),MATCH(O$7,Д3!$E$3:$AI$3))</f>
        <v>-</v>
      </c>
      <c r="P37" s="28" t="str">
        <f>INDEX(Д3!$E$44:$AI$53,MATCH($D37,Д3!$D$44:$D$53),MATCH(P$7,Д3!$E$3:$AI$3))</f>
        <v>-</v>
      </c>
      <c r="Q37" s="28" t="str">
        <f>INDEX(Д3!$E$44:$AI$53,MATCH($D37,Д3!$D$44:$D$53),MATCH(Q$7,Д3!$E$3:$AI$3))</f>
        <v>-</v>
      </c>
      <c r="R37" s="28" t="str">
        <f>INDEX(Д3!$E$44:$AI$53,MATCH($D37,Д3!$D$44:$D$53),MATCH(R$7,Д3!$E$3:$AI$3))</f>
        <v>-</v>
      </c>
      <c r="S37" s="28" t="str">
        <f>INDEX(Д3!$E$44:$AI$53,MATCH($D37,Д3!$D$44:$D$53),MATCH(S$7,Д3!$E$3:$AI$3))</f>
        <v>-</v>
      </c>
      <c r="T37" s="28" t="str">
        <f>INDEX(Д3!$E$44:$AI$53,MATCH($D37,Д3!$D$44:$D$53),MATCH(T$7,Д3!$E$3:$AI$3))</f>
        <v>-</v>
      </c>
      <c r="U37" s="28" t="str">
        <f>INDEX(Д3!$E$44:$AI$53,MATCH($D37,Д3!$D$44:$D$53),MATCH(U$7,Д3!$E$3:$AI$3))</f>
        <v>-</v>
      </c>
      <c r="V37" s="28" t="str">
        <f>INDEX(Д3!$E$44:$AI$53,MATCH($D37,Д3!$D$44:$D$53),MATCH(V$7,Д3!$E$3:$AI$3))</f>
        <v>-</v>
      </c>
      <c r="W37" s="28" t="str">
        <f>INDEX(Д3!$E$44:$AI$53,MATCH($D37,Д3!$D$44:$D$53),MATCH(W$7,Д3!$E$3:$AI$3))</f>
        <v>-</v>
      </c>
      <c r="X37" s="28" t="str">
        <f>INDEX(Д3!$E$44:$AI$53,MATCH($D37,Д3!$D$44:$D$53),MATCH(X$7,Д3!$E$3:$AI$3))</f>
        <v>-</v>
      </c>
      <c r="Y37" s="28" t="str">
        <f>INDEX(Д3!$E$44:$AI$53,MATCH($D37,Д3!$D$44:$D$53),MATCH(Y$7,Д3!$E$3:$AI$3))</f>
        <v>-</v>
      </c>
      <c r="Z37" s="28" t="str">
        <f>INDEX(Д3!$E$44:$AI$53,MATCH($D37,Д3!$D$44:$D$53),MATCH(Z$7,Д3!$E$3:$AI$3))</f>
        <v>-</v>
      </c>
      <c r="AA37" s="28" t="str">
        <f>INDEX(Д3!$E$44:$AI$53,MATCH($D37,Д3!$D$44:$D$53),MATCH(AA$7,Д3!$E$3:$AI$3))</f>
        <v>-</v>
      </c>
      <c r="AB37" s="28" t="str">
        <f>INDEX(Д3!$E$44:$AI$53,MATCH($D37,Д3!$D$44:$D$53),MATCH(AB$7,Д3!$E$3:$AI$3))</f>
        <v>-</v>
      </c>
      <c r="AC37" s="28" t="str">
        <f>INDEX(Д3!$E$44:$AI$53,MATCH($D37,Д3!$D$44:$D$53),MATCH(AC$7,Д3!$E$3:$AI$3))</f>
        <v>-</v>
      </c>
      <c r="AD37" s="28" t="str">
        <f>INDEX(Д3!$E$44:$AI$53,MATCH($D37,Д3!$D$44:$D$53),MATCH(AD$7,Д3!$E$3:$AI$3))</f>
        <v>-</v>
      </c>
      <c r="AE37" s="28" t="str">
        <f>INDEX(Д3!$E$44:$AI$53,MATCH($D37,Д3!$D$44:$D$53),MATCH(AE$7,Д3!$E$3:$AI$3))</f>
        <v>-</v>
      </c>
      <c r="AF37" s="28" t="str">
        <f>INDEX(Д3!$E$44:$AI$53,MATCH($D37,Д3!$D$44:$D$53),MATCH(AF$7,Д3!$E$3:$AI$3))</f>
        <v>-</v>
      </c>
      <c r="AG37" s="28" t="str">
        <f>INDEX(Д3!$E$44:$AI$53,MATCH($D37,Д3!$D$44:$D$53),MATCH(AG$7,Д3!$E$3:$AI$3))</f>
        <v>-</v>
      </c>
      <c r="AH37" s="28" t="str">
        <f>INDEX(Д3!$E$44:$AI$53,MATCH($D37,Д3!$D$44:$D$53),MATCH(AH$7,Д3!$E$3:$AI$3))</f>
        <v>-</v>
      </c>
      <c r="AI37" s="60" t="str">
        <f>INDEX(Д3!$E$44:$AI$53,MATCH($D37,Д3!$D$44:$D$53),MATCH(AI$7,Д3!$E$3:$AI$3))</f>
        <v>-</v>
      </c>
      <c r="AJ37" s="143">
        <f>INDEX(Д3!AK$44:$AK$53,MATCH($C37,Д3!$C$44:$C$53),MATCH(E$7,Д3!$E$3:$AI$3))*AND(MONTH($E$8)=MONTH(Д3!$B$44))</f>
        <v>144</v>
      </c>
      <c r="AK37" s="143">
        <f>SUM(E37:AJ38)</f>
        <v>144</v>
      </c>
      <c r="AL37" s="143"/>
      <c r="AM37" s="149">
        <f>SUM(F37:H38,J37:AI38)-AJ37+AL37-12</f>
        <v>-156</v>
      </c>
      <c r="AP37" s="136">
        <f t="shared" ref="AP37" si="80">COUNTIF($E37:$AI38,"12")</f>
        <v>0</v>
      </c>
      <c r="AQ37" s="136">
        <f t="shared" ref="AQ37" si="81">IF(COUNTIF($E37:$AI38,"СП")&gt;=1,(COUNTIF($E37:$AI38,"4")+COUNTIF($E37:$AI38,"8")-1)/2,(COUNTIF($E37:$AI38,"4")+COUNTIF($E37:$AI38,"8"))/2)</f>
        <v>-0.5</v>
      </c>
      <c r="AR37" s="136">
        <f t="shared" si="2"/>
        <v>0</v>
      </c>
      <c r="AS37" s="136">
        <f t="shared" ref="AS37" si="82">IF(COUNTIF($E37:$AI38,"СП")&gt;=1,SUMIF($E37:$AI38,"4",$E37:$AI38)+SUMIF($E37:$AI38,"8",$E37:$AI38)-8,SUMIF($E37:$AI38,"4",$E37:$AI38)+SUMIF($E37:$AI38,"8",$E37:$AI38))</f>
        <v>-8</v>
      </c>
      <c r="AT37" s="136">
        <f t="shared" ref="AT37" si="83">$AR37+$AS37</f>
        <v>-8</v>
      </c>
      <c r="AU37" s="136" t="str">
        <f t="shared" ref="AU37" si="84">IF(AK37=AT37,"+","!")</f>
        <v>!</v>
      </c>
      <c r="AV37" s="136">
        <f t="shared" ref="AV37" si="85">COUNTIF($E37:$AI38,"ОТ")</f>
        <v>0</v>
      </c>
      <c r="AW37" s="137" t="str">
        <f ca="1">IF(COUNTIF($A38:$AI38,"СП")&gt;0,IF(INDIRECT(ADDRESS(ROW(),MATCH("СП",$A38:$AI38),1))=8,"","!"),"")</f>
        <v>!</v>
      </c>
      <c r="AX37" s="137" t="str">
        <f ca="1">IF(COUNTIF($A38:$AI38,"СП")&gt;0,IF(INDIRECT(ADDRESS(ROW(),MATCH("СП",$A38:$AI38)-1,1))=4,"!",""),"")</f>
        <v/>
      </c>
    </row>
    <row r="38" spans="1:50" ht="16.5" thickBot="1" x14ac:dyDescent="0.3">
      <c r="A38" s="148"/>
      <c r="B38" s="140"/>
      <c r="C38" s="172"/>
      <c r="D38" s="50">
        <v>10</v>
      </c>
      <c r="E38" s="66" t="str">
        <f>INDEX(Д3!$E$44:$AI$53,MATCH($D38,Д3!$D$44:$D$53),MATCH(E$7,Д3!$E$3:$AI$3))</f>
        <v/>
      </c>
      <c r="F38" s="67" t="str">
        <f>INDEX(Д3!$E$44:$AI$53,MATCH($D38,Д3!$D$44:$D$53),MATCH(F$7,Д3!$E$3:$AI$3))</f>
        <v/>
      </c>
      <c r="G38" s="67" t="str">
        <f>INDEX(Д3!$E$44:$AI$53,MATCH($D38,Д3!$D$44:$D$53),MATCH(G$7,Д3!$E$3:$AI$3))</f>
        <v/>
      </c>
      <c r="H38" s="67" t="str">
        <f>INDEX(Д3!$E$44:$AI$53,MATCH($D38,Д3!$D$44:$D$53),MATCH(H$7,Д3!$E$3:$AI$3))</f>
        <v/>
      </c>
      <c r="I38" s="67" t="str">
        <f>INDEX(Д3!$E$44:$AI$53,MATCH($D38,Д3!$D$44:$D$53),MATCH(I$7,Д3!$E$3:$AI$3))</f>
        <v/>
      </c>
      <c r="J38" s="67" t="str">
        <f>INDEX(Д3!$E$44:$AI$53,MATCH($D38,Д3!$D$44:$D$53),MATCH(J$7,Д3!$E$3:$AI$3))</f>
        <v/>
      </c>
      <c r="K38" s="67" t="str">
        <f>INDEX(Д3!$E$44:$AI$53,MATCH($D38,Д3!$D$44:$D$53),MATCH(K$7,Д3!$E$3:$AI$3))</f>
        <v/>
      </c>
      <c r="L38" s="67" t="str">
        <f>INDEX(Д3!$E$44:$AI$53,MATCH($D38,Д3!$D$44:$D$53),MATCH(L$7,Д3!$E$3:$AI$3))</f>
        <v/>
      </c>
      <c r="M38" s="67" t="str">
        <f>INDEX(Д3!$E$44:$AI$53,MATCH($D38,Д3!$D$44:$D$53),MATCH(M$7,Д3!$E$3:$AI$3))</f>
        <v>СП</v>
      </c>
      <c r="N38" s="67" t="str">
        <f>INDEX(Д3!$E$44:$AI$53,MATCH($D38,Д3!$D$44:$D$53),MATCH(N$7,Д3!$E$3:$AI$3))</f>
        <v/>
      </c>
      <c r="O38" s="67" t="str">
        <f>INDEX(Д3!$E$44:$AI$53,MATCH($D38,Д3!$D$44:$D$53),MATCH(O$7,Д3!$E$3:$AI$3))</f>
        <v/>
      </c>
      <c r="P38" s="67" t="str">
        <f>INDEX(Д3!$E$44:$AI$53,MATCH($D38,Д3!$D$44:$D$53),MATCH(P$7,Д3!$E$3:$AI$3))</f>
        <v/>
      </c>
      <c r="Q38" s="67" t="str">
        <f>INDEX(Д3!$E$44:$AI$53,MATCH($D38,Д3!$D$44:$D$53),MATCH(Q$7,Д3!$E$3:$AI$3))</f>
        <v/>
      </c>
      <c r="R38" s="67" t="str">
        <f>INDEX(Д3!$E$44:$AI$53,MATCH($D38,Д3!$D$44:$D$53),MATCH(R$7,Д3!$E$3:$AI$3))</f>
        <v/>
      </c>
      <c r="S38" s="67" t="str">
        <f>INDEX(Д3!$E$44:$AI$53,MATCH($D38,Д3!$D$44:$D$53),MATCH(S$7,Д3!$E$3:$AI$3))</f>
        <v/>
      </c>
      <c r="T38" s="67" t="str">
        <f>INDEX(Д3!$E$44:$AI$53,MATCH($D38,Д3!$D$44:$D$53),MATCH(T$7,Д3!$E$3:$AI$3))</f>
        <v/>
      </c>
      <c r="U38" s="67" t="str">
        <f>INDEX(Д3!$E$44:$AI$53,MATCH($D38,Д3!$D$44:$D$53),MATCH(U$7,Д3!$E$3:$AI$3))</f>
        <v/>
      </c>
      <c r="V38" s="67" t="str">
        <f>INDEX(Д3!$E$44:$AI$53,MATCH($D38,Д3!$D$44:$D$53),MATCH(V$7,Д3!$E$3:$AI$3))</f>
        <v/>
      </c>
      <c r="W38" s="67" t="str">
        <f>INDEX(Д3!$E$44:$AI$53,MATCH($D38,Д3!$D$44:$D$53),MATCH(W$7,Д3!$E$3:$AI$3))</f>
        <v/>
      </c>
      <c r="X38" s="67" t="str">
        <f>INDEX(Д3!$E$44:$AI$53,MATCH($D38,Д3!$D$44:$D$53),MATCH(X$7,Д3!$E$3:$AI$3))</f>
        <v/>
      </c>
      <c r="Y38" s="67" t="str">
        <f>INDEX(Д3!$E$44:$AI$53,MATCH($D38,Д3!$D$44:$D$53),MATCH(Y$7,Д3!$E$3:$AI$3))</f>
        <v/>
      </c>
      <c r="Z38" s="67" t="str">
        <f>INDEX(Д3!$E$44:$AI$53,MATCH($D38,Д3!$D$44:$D$53),MATCH(Z$7,Д3!$E$3:$AI$3))</f>
        <v/>
      </c>
      <c r="AA38" s="67" t="str">
        <f>INDEX(Д3!$E$44:$AI$53,MATCH($D38,Д3!$D$44:$D$53),MATCH(AA$7,Д3!$E$3:$AI$3))</f>
        <v/>
      </c>
      <c r="AB38" s="67" t="str">
        <f>INDEX(Д3!$E$44:$AI$53,MATCH($D38,Д3!$D$44:$D$53),MATCH(AB$7,Д3!$E$3:$AI$3))</f>
        <v/>
      </c>
      <c r="AC38" s="67" t="str">
        <f>INDEX(Д3!$E$44:$AI$53,MATCH($D38,Д3!$D$44:$D$53),MATCH(AC$7,Д3!$E$3:$AI$3))</f>
        <v/>
      </c>
      <c r="AD38" s="67" t="str">
        <f>INDEX(Д3!$E$44:$AI$53,MATCH($D38,Д3!$D$44:$D$53),MATCH(AD$7,Д3!$E$3:$AI$3))</f>
        <v/>
      </c>
      <c r="AE38" s="67" t="str">
        <f>INDEX(Д3!$E$44:$AI$53,MATCH($D38,Д3!$D$44:$D$53),MATCH(AE$7,Д3!$E$3:$AI$3))</f>
        <v/>
      </c>
      <c r="AF38" s="67" t="str">
        <f>INDEX(Д3!$E$44:$AI$53,MATCH($D38,Д3!$D$44:$D$53),MATCH(AF$7,Д3!$E$3:$AI$3))</f>
        <v/>
      </c>
      <c r="AG38" s="67" t="str">
        <f>INDEX(Д3!$E$44:$AI$53,MATCH($D38,Д3!$D$44:$D$53),MATCH(AG$7,Д3!$E$3:$AI$3))</f>
        <v/>
      </c>
      <c r="AH38" s="67" t="str">
        <f>INDEX(Д3!$E$44:$AI$53,MATCH($D38,Д3!$D$44:$D$53),MATCH(AH$7,Д3!$E$3:$AI$3))</f>
        <v/>
      </c>
      <c r="AI38" s="68" t="str">
        <f>INDEX(Д3!$E$44:$AI$53,MATCH($D38,Д3!$D$44:$D$53),MATCH(AI$7,Д3!$E$3:$AI$3))</f>
        <v/>
      </c>
      <c r="AJ38" s="153"/>
      <c r="AK38" s="143"/>
      <c r="AL38" s="153"/>
      <c r="AM38" s="150"/>
      <c r="AP38" s="136"/>
      <c r="AQ38" s="136"/>
      <c r="AR38" s="136"/>
      <c r="AS38" s="136"/>
      <c r="AT38" s="136"/>
      <c r="AU38" s="136"/>
      <c r="AV38" s="136"/>
      <c r="AW38" s="137"/>
      <c r="AX38" s="137"/>
    </row>
    <row r="39" spans="1:50" ht="17.25" customHeight="1" thickTop="1" thickBot="1" x14ac:dyDescent="0.3">
      <c r="A39" s="146" t="s">
        <v>103</v>
      </c>
      <c r="B39" s="151" t="s">
        <v>95</v>
      </c>
      <c r="C39" s="173">
        <v>1</v>
      </c>
      <c r="D39" s="49">
        <v>1</v>
      </c>
      <c r="E39" s="64">
        <f ca="1">INDEX(Д4!$E$44:$AI$53,MATCH($D39,Д4!$D$44:$D$53),MATCH(E$7,Д4!$E$3:$AI$3))</f>
        <v>0</v>
      </c>
      <c r="F39" s="27">
        <f ca="1">INDEX(Д4!$E$44:$AI$53,MATCH($D39,Д4!$D$44:$D$53),MATCH(F$7,Д4!$E$3:$AI$3))</f>
        <v>0</v>
      </c>
      <c r="G39" s="27">
        <f ca="1">INDEX(Д4!$E$44:$AI$53,MATCH($D39,Д4!$D$44:$D$53),MATCH(G$7,Д4!$E$3:$AI$3))</f>
        <v>4</v>
      </c>
      <c r="H39" s="27">
        <f ca="1">INDEX(Д4!$E$44:$AI$53,MATCH($D39,Д4!$D$44:$D$53),MATCH(H$7,Д4!$E$3:$AI$3))</f>
        <v>8</v>
      </c>
      <c r="I39" s="27">
        <f ca="1">INDEX(Д4!$E$44:$AI$53,MATCH($D39,Д4!$D$44:$D$53),MATCH(I$7,Д4!$E$3:$AI$3))</f>
        <v>12</v>
      </c>
      <c r="J39" s="27">
        <f ca="1">INDEX(Д4!$E$44:$AI$53,MATCH($D39,Д4!$D$44:$D$53),MATCH(J$7,Д4!$E$3:$AI$3))</f>
        <v>4</v>
      </c>
      <c r="K39" s="27">
        <f ca="1">INDEX(Д4!$E$44:$AI$53,MATCH($D39,Д4!$D$44:$D$53),MATCH(K$7,Д4!$E$3:$AI$3))</f>
        <v>8</v>
      </c>
      <c r="L39" s="27">
        <f ca="1">INDEX(Д4!$E$44:$AI$53,MATCH($D39,Д4!$D$44:$D$53),MATCH(L$7,Д4!$E$3:$AI$3))</f>
        <v>12</v>
      </c>
      <c r="M39" s="27">
        <f ca="1">INDEX(Д4!$E$44:$AI$53,MATCH($D39,Д4!$D$44:$D$53),MATCH(M$7,Д4!$E$3:$AI$3))</f>
        <v>0</v>
      </c>
      <c r="N39" s="27">
        <f ca="1">INDEX(Д4!$E$44:$AI$53,MATCH($D39,Д4!$D$44:$D$53),MATCH(N$7,Д4!$E$3:$AI$3))</f>
        <v>0</v>
      </c>
      <c r="O39" s="27">
        <f ca="1">INDEX(Д4!$E$44:$AI$53,MATCH($D39,Д4!$D$44:$D$53),MATCH(O$7,Д4!$E$3:$AI$3))</f>
        <v>4</v>
      </c>
      <c r="P39" s="27">
        <f ca="1">INDEX(Д4!$E$44:$AI$53,MATCH($D39,Д4!$D$44:$D$53),MATCH(P$7,Д4!$E$3:$AI$3))</f>
        <v>8</v>
      </c>
      <c r="Q39" s="27">
        <f ca="1">INDEX(Д4!$E$44:$AI$53,MATCH($D39,Д4!$D$44:$D$53),MATCH(Q$7,Д4!$E$3:$AI$3))</f>
        <v>12</v>
      </c>
      <c r="R39" s="27">
        <f ca="1">INDEX(Д4!$E$44:$AI$53,MATCH($D39,Д4!$D$44:$D$53),MATCH(R$7,Д4!$E$3:$AI$3))</f>
        <v>4</v>
      </c>
      <c r="S39" s="27">
        <f ca="1">INDEX(Д4!$E$44:$AI$53,MATCH($D39,Д4!$D$44:$D$53),MATCH(S$7,Д4!$E$3:$AI$3))</f>
        <v>8</v>
      </c>
      <c r="T39" s="27">
        <f ca="1">INDEX(Д4!$E$44:$AI$53,MATCH($D39,Д4!$D$44:$D$53),MATCH(T$7,Д4!$E$3:$AI$3))</f>
        <v>12</v>
      </c>
      <c r="U39" s="27">
        <f ca="1">INDEX(Д4!$E$44:$AI$53,MATCH($D39,Д4!$D$44:$D$53),MATCH(U$7,Д4!$E$3:$AI$3))</f>
        <v>0</v>
      </c>
      <c r="V39" s="27">
        <f ca="1">INDEX(Д4!$E$44:$AI$53,MATCH($D39,Д4!$D$44:$D$53),MATCH(V$7,Д4!$E$3:$AI$3))</f>
        <v>0</v>
      </c>
      <c r="W39" s="27">
        <f ca="1">INDEX(Д4!$E$44:$AI$53,MATCH($D39,Д4!$D$44:$D$53),MATCH(W$7,Д4!$E$3:$AI$3))</f>
        <v>4</v>
      </c>
      <c r="X39" s="27">
        <f ca="1">INDEX(Д4!$E$44:$AI$53,MATCH($D39,Д4!$D$44:$D$53),MATCH(X$7,Д4!$E$3:$AI$3))</f>
        <v>8</v>
      </c>
      <c r="Y39" s="27">
        <f ca="1">INDEX(Д4!$E$44:$AI$53,MATCH($D39,Д4!$D$44:$D$53),MATCH(Y$7,Д4!$E$3:$AI$3))</f>
        <v>12</v>
      </c>
      <c r="Z39" s="27">
        <f ca="1">INDEX(Д4!$E$44:$AI$53,MATCH($D39,Д4!$D$44:$D$53),MATCH(Z$7,Д4!$E$3:$AI$3))</f>
        <v>4</v>
      </c>
      <c r="AA39" s="27">
        <f ca="1">INDEX(Д4!$E$44:$AI$53,MATCH($D39,Д4!$D$44:$D$53),MATCH(AA$7,Д4!$E$3:$AI$3))</f>
        <v>8</v>
      </c>
      <c r="AB39" s="27">
        <f ca="1">INDEX(Д4!$E$44:$AI$53,MATCH($D39,Д4!$D$44:$D$53),MATCH(AB$7,Д4!$E$3:$AI$3))</f>
        <v>12</v>
      </c>
      <c r="AC39" s="27">
        <f ca="1">INDEX(Д4!$E$44:$AI$53,MATCH($D39,Д4!$D$44:$D$53),MATCH(AC$7,Д4!$E$3:$AI$3))</f>
        <v>0</v>
      </c>
      <c r="AD39" s="27">
        <f ca="1">INDEX(Д4!$E$44:$AI$53,MATCH($D39,Д4!$D$44:$D$53),MATCH(AD$7,Д4!$E$3:$AI$3))</f>
        <v>0</v>
      </c>
      <c r="AE39" s="27">
        <f ca="1">INDEX(Д4!$E$44:$AI$53,MATCH($D39,Д4!$D$44:$D$53),MATCH(AE$7,Д4!$E$3:$AI$3))</f>
        <v>4</v>
      </c>
      <c r="AF39" s="27">
        <f ca="1">INDEX(Д4!$E$44:$AI$53,MATCH($D39,Д4!$D$44:$D$53),MATCH(AF$7,Д4!$E$3:$AI$3))</f>
        <v>8</v>
      </c>
      <c r="AG39" s="27">
        <f ca="1">INDEX(Д4!$E$44:$AI$53,MATCH($D39,Д4!$D$44:$D$53),MATCH(AG$7,Д4!$E$3:$AI$3))</f>
        <v>12</v>
      </c>
      <c r="AH39" s="27">
        <f ca="1">INDEX(Д4!$E$44:$AI$53,MATCH($D39,Д4!$D$44:$D$53),MATCH(AH$7,Д4!$E$3:$AI$3))</f>
        <v>4</v>
      </c>
      <c r="AI39" s="32">
        <f ca="1">INDEX(Д4!$E$44:$AI$53,MATCH($D39,Д4!$D$44:$D$53),MATCH(AI$7,Д4!$E$3:$AI$3))</f>
        <v>8</v>
      </c>
      <c r="AJ39" s="143">
        <f>INDEX(Д4!AK$44:$AK$53,MATCH($C39,Д4!$C$44:$C$53),MATCH(E$7,Д4!$E$3:$AI$3))*AND(MONTH($E$8)=MONTH(Д4!$B$44))</f>
        <v>144</v>
      </c>
      <c r="AK39" s="154">
        <f ca="1">SUM(E39:AI40)</f>
        <v>180</v>
      </c>
      <c r="AL39" s="155"/>
      <c r="AM39" s="149">
        <f ca="1">SUM(F39:H40,J39:AI40)-AJ39+AL39-12</f>
        <v>12</v>
      </c>
      <c r="AP39" s="136">
        <f t="shared" ref="AP39" ca="1" si="86">COUNTIF($E39:$AI40,"12")</f>
        <v>7</v>
      </c>
      <c r="AQ39" s="136">
        <f t="shared" ref="AQ39" ca="1" si="87">IF(COUNTIF($E39:$AI40,"СП")&gt;=1,(COUNTIF($E39:$AI40,"4")+COUNTIF($E39:$AI40,"8")-1)/2,(COUNTIF($E39:$AI40,"4")+COUNTIF($E39:$AI40,"8"))/2)</f>
        <v>7.5</v>
      </c>
      <c r="AR39" s="136">
        <f t="shared" ca="1" si="2"/>
        <v>84</v>
      </c>
      <c r="AS39" s="136">
        <f t="shared" ref="AS39" ca="1" si="88">IF(COUNTIF($E39:$AI40,"СП")&gt;=1,SUMIF($E39:$AI40,"4",$E39:$AI40)+SUMIF($E39:$AI40,"8",$E39:$AI40)-8,SUMIF($E39:$AI40,"4",$E39:$AI40)+SUMIF($E39:$AI40,"8",$E39:$AI40))</f>
        <v>88</v>
      </c>
      <c r="AT39" s="136">
        <f t="shared" ref="AT39" ca="1" si="89">$AR39+$AS39</f>
        <v>172</v>
      </c>
      <c r="AU39" s="136" t="str">
        <f t="shared" ref="AU39" ca="1" si="90">IF(AK39=AT39,"+","!")</f>
        <v>!</v>
      </c>
      <c r="AV39" s="136">
        <f t="shared" ref="AV39" ca="1" si="91">COUNTIF($E39:$AI40,"ОТ")</f>
        <v>0</v>
      </c>
      <c r="AW39" s="137" t="str">
        <f ca="1">IF(COUNTIF($A40:$AI40,"СП")&gt;0,IF(INDIRECT(ADDRESS(ROW(),MATCH("СП",$A40:$AI40),1))=8,"","!"),"")</f>
        <v/>
      </c>
      <c r="AX39" s="137" t="str">
        <f ca="1">IF(COUNTIF($A40:$AI40,"СП")&gt;0,IF(INDIRECT(ADDRESS(ROW(),MATCH("СП",$A40:$AI40)-1,1))=4,"!",""),"")</f>
        <v>!</v>
      </c>
    </row>
    <row r="40" spans="1:50" ht="16.5" thickBot="1" x14ac:dyDescent="0.3">
      <c r="A40" s="147"/>
      <c r="B40" s="139"/>
      <c r="C40" s="171"/>
      <c r="D40" s="50">
        <v>2</v>
      </c>
      <c r="E40" s="63" t="str">
        <f>INDEX(Д4!$E$44:$AI$53,MATCH($D40,Д4!$D$44:$D$53),MATCH(E$7,Д4!$E$3:$AI$3))</f>
        <v/>
      </c>
      <c r="F40" s="29" t="str">
        <f>INDEX(Д4!$E$44:$AI$53,MATCH($D40,Д4!$D$44:$D$53),MATCH(F$7,Д4!$E$3:$AI$3))</f>
        <v/>
      </c>
      <c r="G40" s="29" t="str">
        <f>INDEX(Д4!$E$44:$AI$53,MATCH($D40,Д4!$D$44:$D$53),MATCH(G$7,Д4!$E$3:$AI$3))</f>
        <v/>
      </c>
      <c r="H40" s="29" t="str">
        <f>INDEX(Д4!$E$44:$AI$53,MATCH($D40,Д4!$D$44:$D$53),MATCH(H$7,Д4!$E$3:$AI$3))</f>
        <v/>
      </c>
      <c r="I40" s="29" t="str">
        <f>INDEX(Д4!$E$44:$AI$53,MATCH($D40,Д4!$D$44:$D$53),MATCH(I$7,Д4!$E$3:$AI$3))</f>
        <v>СП</v>
      </c>
      <c r="J40" s="29" t="str">
        <f>INDEX(Д4!$E$44:$AI$53,MATCH($D40,Д4!$D$44:$D$53),MATCH(J$7,Д4!$E$3:$AI$3))</f>
        <v/>
      </c>
      <c r="K40" s="29" t="str">
        <f>INDEX(Д4!$E$44:$AI$53,MATCH($D40,Д4!$D$44:$D$53),MATCH(K$7,Д4!$E$3:$AI$3))</f>
        <v/>
      </c>
      <c r="L40" s="29" t="str">
        <f>INDEX(Д4!$E$44:$AI$53,MATCH($D40,Д4!$D$44:$D$53),MATCH(L$7,Д4!$E$3:$AI$3))</f>
        <v/>
      </c>
      <c r="M40" s="29" t="str">
        <f>INDEX(Д4!$E$44:$AI$53,MATCH($D40,Д4!$D$44:$D$53),MATCH(M$7,Д4!$E$3:$AI$3))</f>
        <v/>
      </c>
      <c r="N40" s="29" t="str">
        <f>INDEX(Д4!$E$44:$AI$53,MATCH($D40,Д4!$D$44:$D$53),MATCH(N$7,Д4!$E$3:$AI$3))</f>
        <v/>
      </c>
      <c r="O40" s="29" t="str">
        <f>INDEX(Д4!$E$44:$AI$53,MATCH($D40,Д4!$D$44:$D$53),MATCH(O$7,Д4!$E$3:$AI$3))</f>
        <v/>
      </c>
      <c r="P40" s="29" t="str">
        <f>INDEX(Д4!$E$44:$AI$53,MATCH($D40,Д4!$D$44:$D$53),MATCH(P$7,Д4!$E$3:$AI$3))</f>
        <v/>
      </c>
      <c r="Q40" s="29" t="str">
        <f>INDEX(Д4!$E$44:$AI$53,MATCH($D40,Д4!$D$44:$D$53),MATCH(Q$7,Д4!$E$3:$AI$3))</f>
        <v/>
      </c>
      <c r="R40" s="29" t="str">
        <f>INDEX(Д4!$E$44:$AI$53,MATCH($D40,Д4!$D$44:$D$53),MATCH(R$7,Д4!$E$3:$AI$3))</f>
        <v/>
      </c>
      <c r="S40" s="29" t="str">
        <f>INDEX(Д4!$E$44:$AI$53,MATCH($D40,Д4!$D$44:$D$53),MATCH(S$7,Д4!$E$3:$AI$3))</f>
        <v/>
      </c>
      <c r="T40" s="29" t="str">
        <f>INDEX(Д4!$E$44:$AI$53,MATCH($D40,Д4!$D$44:$D$53),MATCH(T$7,Д4!$E$3:$AI$3))</f>
        <v/>
      </c>
      <c r="U40" s="29" t="str">
        <f>INDEX(Д4!$E$44:$AI$53,MATCH($D40,Д4!$D$44:$D$53),MATCH(U$7,Д4!$E$3:$AI$3))</f>
        <v/>
      </c>
      <c r="V40" s="29" t="str">
        <f>INDEX(Д4!$E$44:$AI$53,MATCH($D40,Д4!$D$44:$D$53),MATCH(V$7,Д4!$E$3:$AI$3))</f>
        <v/>
      </c>
      <c r="W40" s="29" t="str">
        <f>INDEX(Д4!$E$44:$AI$53,MATCH($D40,Д4!$D$44:$D$53),MATCH(W$7,Д4!$E$3:$AI$3))</f>
        <v/>
      </c>
      <c r="X40" s="29" t="str">
        <f>INDEX(Д4!$E$44:$AI$53,MATCH($D40,Д4!$D$44:$D$53),MATCH(X$7,Д4!$E$3:$AI$3))</f>
        <v/>
      </c>
      <c r="Y40" s="29" t="str">
        <f>INDEX(Д4!$E$44:$AI$53,MATCH($D40,Д4!$D$44:$D$53),MATCH(Y$7,Д4!$E$3:$AI$3))</f>
        <v/>
      </c>
      <c r="Z40" s="29" t="str">
        <f>INDEX(Д4!$E$44:$AI$53,MATCH($D40,Д4!$D$44:$D$53),MATCH(Z$7,Д4!$E$3:$AI$3))</f>
        <v/>
      </c>
      <c r="AA40" s="29" t="str">
        <f>INDEX(Д4!$E$44:$AI$53,MATCH($D40,Д4!$D$44:$D$53),MATCH(AA$7,Д4!$E$3:$AI$3))</f>
        <v/>
      </c>
      <c r="AB40" s="29" t="str">
        <f>INDEX(Д4!$E$44:$AI$53,MATCH($D40,Д4!$D$44:$D$53),MATCH(AB$7,Д4!$E$3:$AI$3))</f>
        <v/>
      </c>
      <c r="AC40" s="29" t="str">
        <f>INDEX(Д4!$E$44:$AI$53,MATCH($D40,Д4!$D$44:$D$53),MATCH(AC$7,Д4!$E$3:$AI$3))</f>
        <v/>
      </c>
      <c r="AD40" s="29" t="str">
        <f>INDEX(Д4!$E$44:$AI$53,MATCH($D40,Д4!$D$44:$D$53),MATCH(AD$7,Д4!$E$3:$AI$3))</f>
        <v/>
      </c>
      <c r="AE40" s="29" t="str">
        <f>INDEX(Д4!$E$44:$AI$53,MATCH($D40,Д4!$D$44:$D$53),MATCH(AE$7,Д4!$E$3:$AI$3))</f>
        <v/>
      </c>
      <c r="AF40" s="29" t="str">
        <f>INDEX(Д4!$E$44:$AI$53,MATCH($D40,Д4!$D$44:$D$53),MATCH(AF$7,Д4!$E$3:$AI$3))</f>
        <v/>
      </c>
      <c r="AG40" s="29" t="str">
        <f>INDEX(Д4!$E$44:$AI$53,MATCH($D40,Д4!$D$44:$D$53),MATCH(AG$7,Д4!$E$3:$AI$3))</f>
        <v/>
      </c>
      <c r="AH40" s="29" t="str">
        <f>INDEX(Д4!$E$44:$AI$53,MATCH($D40,Д4!$D$44:$D$53),MATCH(AH$7,Д4!$E$3:$AI$3))</f>
        <v/>
      </c>
      <c r="AI40" s="61" t="str">
        <f>INDEX(Д4!$E$44:$AI$53,MATCH($D40,Д4!$D$44:$D$53),MATCH(AI$7,Д4!$E$3:$AI$3))</f>
        <v/>
      </c>
      <c r="AJ40" s="153"/>
      <c r="AK40" s="145"/>
      <c r="AL40" s="145"/>
      <c r="AM40" s="150"/>
      <c r="AP40" s="136"/>
      <c r="AQ40" s="136"/>
      <c r="AR40" s="136"/>
      <c r="AS40" s="136"/>
      <c r="AT40" s="136"/>
      <c r="AU40" s="136"/>
      <c r="AV40" s="136"/>
      <c r="AW40" s="137"/>
      <c r="AX40" s="137"/>
    </row>
    <row r="41" spans="1:50" ht="16.5" customHeight="1" thickBot="1" x14ac:dyDescent="0.3">
      <c r="A41" s="147"/>
      <c r="B41" s="139" t="s">
        <v>96</v>
      </c>
      <c r="C41" s="170">
        <v>2</v>
      </c>
      <c r="D41" s="49">
        <v>3</v>
      </c>
      <c r="E41" s="64">
        <f ca="1">INDEX(Д4!$E$44:$AI$53,MATCH($D41,Д4!$D$44:$D$53),MATCH(E$7,Д4!$E$3:$AI$3))</f>
        <v>4</v>
      </c>
      <c r="F41" s="27">
        <f ca="1">INDEX(Д4!$E$44:$AI$53,MATCH($D41,Д4!$D$44:$D$53),MATCH(F$7,Д4!$E$3:$AI$3))</f>
        <v>8</v>
      </c>
      <c r="G41" s="27">
        <f ca="1">INDEX(Д4!$E$44:$AI$53,MATCH($D41,Д4!$D$44:$D$53),MATCH(G$7,Д4!$E$3:$AI$3))</f>
        <v>12</v>
      </c>
      <c r="H41" s="27">
        <f ca="1">INDEX(Д4!$E$44:$AI$53,MATCH($D41,Д4!$D$44:$D$53),MATCH(H$7,Д4!$E$3:$AI$3))</f>
        <v>4</v>
      </c>
      <c r="I41" s="27">
        <f ca="1">INDEX(Д4!$E$44:$AI$53,MATCH($D41,Д4!$D$44:$D$53),MATCH(I$7,Д4!$E$3:$AI$3))</f>
        <v>8</v>
      </c>
      <c r="J41" s="27">
        <f ca="1">INDEX(Д4!$E$44:$AI$53,MATCH($D41,Д4!$D$44:$D$53),MATCH(J$7,Д4!$E$3:$AI$3))</f>
        <v>12</v>
      </c>
      <c r="K41" s="27">
        <f ca="1">INDEX(Д4!$E$44:$AI$53,MATCH($D41,Д4!$D$44:$D$53),MATCH(K$7,Д4!$E$3:$AI$3))</f>
        <v>0</v>
      </c>
      <c r="L41" s="27">
        <f ca="1">INDEX(Д4!$E$44:$AI$53,MATCH($D41,Д4!$D$44:$D$53),MATCH(L$7,Д4!$E$3:$AI$3))</f>
        <v>0</v>
      </c>
      <c r="M41" s="27">
        <f ca="1">INDEX(Д4!$E$44:$AI$53,MATCH($D41,Д4!$D$44:$D$53),MATCH(M$7,Д4!$E$3:$AI$3))</f>
        <v>4</v>
      </c>
      <c r="N41" s="27">
        <f ca="1">INDEX(Д4!$E$44:$AI$53,MATCH($D41,Д4!$D$44:$D$53),MATCH(N$7,Д4!$E$3:$AI$3))</f>
        <v>8</v>
      </c>
      <c r="O41" s="27">
        <f ca="1">INDEX(Д4!$E$44:$AI$53,MATCH($D41,Д4!$D$44:$D$53),MATCH(O$7,Д4!$E$3:$AI$3))</f>
        <v>12</v>
      </c>
      <c r="P41" s="27">
        <f ca="1">INDEX(Д4!$E$44:$AI$53,MATCH($D41,Д4!$D$44:$D$53),MATCH(P$7,Д4!$E$3:$AI$3))</f>
        <v>4</v>
      </c>
      <c r="Q41" s="27">
        <f ca="1">INDEX(Д4!$E$44:$AI$53,MATCH($D41,Д4!$D$44:$D$53),MATCH(Q$7,Д4!$E$3:$AI$3))</f>
        <v>8</v>
      </c>
      <c r="R41" s="27">
        <f ca="1">INDEX(Д4!$E$44:$AI$53,MATCH($D41,Д4!$D$44:$D$53),MATCH(R$7,Д4!$E$3:$AI$3))</f>
        <v>12</v>
      </c>
      <c r="S41" s="27">
        <f ca="1">INDEX(Д4!$E$44:$AI$53,MATCH($D41,Д4!$D$44:$D$53),MATCH(S$7,Д4!$E$3:$AI$3))</f>
        <v>0</v>
      </c>
      <c r="T41" s="27">
        <f ca="1">INDEX(Д4!$E$44:$AI$53,MATCH($D41,Д4!$D$44:$D$53),MATCH(T$7,Д4!$E$3:$AI$3))</f>
        <v>0</v>
      </c>
      <c r="U41" s="27">
        <f ca="1">INDEX(Д4!$E$44:$AI$53,MATCH($D41,Д4!$D$44:$D$53),MATCH(U$7,Д4!$E$3:$AI$3))</f>
        <v>4</v>
      </c>
      <c r="V41" s="27">
        <f ca="1">INDEX(Д4!$E$44:$AI$53,MATCH($D41,Д4!$D$44:$D$53),MATCH(V$7,Д4!$E$3:$AI$3))</f>
        <v>8</v>
      </c>
      <c r="W41" s="27">
        <f ca="1">INDEX(Д4!$E$44:$AI$53,MATCH($D41,Д4!$D$44:$D$53),MATCH(W$7,Д4!$E$3:$AI$3))</f>
        <v>12</v>
      </c>
      <c r="X41" s="27">
        <f ca="1">INDEX(Д4!$E$44:$AI$53,MATCH($D41,Д4!$D$44:$D$53),MATCH(X$7,Д4!$E$3:$AI$3))</f>
        <v>4</v>
      </c>
      <c r="Y41" s="27">
        <f ca="1">INDEX(Д4!$E$44:$AI$53,MATCH($D41,Д4!$D$44:$D$53),MATCH(Y$7,Д4!$E$3:$AI$3))</f>
        <v>8</v>
      </c>
      <c r="Z41" s="27">
        <f ca="1">INDEX(Д4!$E$44:$AI$53,MATCH($D41,Д4!$D$44:$D$53),MATCH(Z$7,Д4!$E$3:$AI$3))</f>
        <v>12</v>
      </c>
      <c r="AA41" s="27">
        <f ca="1">INDEX(Д4!$E$44:$AI$53,MATCH($D41,Д4!$D$44:$D$53),MATCH(AA$7,Д4!$E$3:$AI$3))</f>
        <v>0</v>
      </c>
      <c r="AB41" s="27">
        <f ca="1">INDEX(Д4!$E$44:$AI$53,MATCH($D41,Д4!$D$44:$D$53),MATCH(AB$7,Д4!$E$3:$AI$3))</f>
        <v>0</v>
      </c>
      <c r="AC41" s="27">
        <f ca="1">INDEX(Д4!$E$44:$AI$53,MATCH($D41,Д4!$D$44:$D$53),MATCH(AC$7,Д4!$E$3:$AI$3))</f>
        <v>4</v>
      </c>
      <c r="AD41" s="27">
        <f ca="1">INDEX(Д4!$E$44:$AI$53,MATCH($D41,Д4!$D$44:$D$53),MATCH(AD$7,Д4!$E$3:$AI$3))</f>
        <v>8</v>
      </c>
      <c r="AE41" s="27">
        <f ca="1">INDEX(Д4!$E$44:$AI$53,MATCH($D41,Д4!$D$44:$D$53),MATCH(AE$7,Д4!$E$3:$AI$3))</f>
        <v>12</v>
      </c>
      <c r="AF41" s="27">
        <f ca="1">INDEX(Д4!$E$44:$AI$53,MATCH($D41,Д4!$D$44:$D$53),MATCH(AF$7,Д4!$E$3:$AI$3))</f>
        <v>4</v>
      </c>
      <c r="AG41" s="27">
        <f ca="1">INDEX(Д4!$E$44:$AI$53,MATCH($D41,Д4!$D$44:$D$53),MATCH(AG$7,Д4!$E$3:$AI$3))</f>
        <v>8</v>
      </c>
      <c r="AH41" s="27">
        <f ca="1">INDEX(Д4!$E$44:$AI$53,MATCH($D41,Д4!$D$44:$D$53),MATCH(AH$7,Д4!$E$3:$AI$3))</f>
        <v>12</v>
      </c>
      <c r="AI41" s="32">
        <f ca="1">INDEX(Д4!$E$44:$AI$53,MATCH($D41,Д4!$D$44:$D$53),MATCH(AI$7,Д4!$E$3:$AI$3))</f>
        <v>0</v>
      </c>
      <c r="AJ41" s="143">
        <f>INDEX(Д4!AK$44:$AK$53,MATCH($C41,Д4!$C$44:$C$53),MATCH(E$7,Д4!$E$3:$AI$3))*AND(MONTH($E$8)=MONTH(Д4!$B$44))</f>
        <v>144</v>
      </c>
      <c r="AK41" s="144">
        <f ca="1">SUM(E41:AI42)</f>
        <v>192</v>
      </c>
      <c r="AL41" s="144"/>
      <c r="AM41" s="149">
        <f ca="1">SUM(F41:H42,J41:AI42)-AJ41+AL41-12</f>
        <v>24</v>
      </c>
      <c r="AP41" s="136">
        <f t="shared" ref="AP41" ca="1" si="92">COUNTIF($E41:$AI42,"12")</f>
        <v>8</v>
      </c>
      <c r="AQ41" s="136">
        <f t="shared" ref="AQ41" ca="1" si="93">IF(COUNTIF($E41:$AI42,"СП")&gt;=1,(COUNTIF($E41:$AI42,"4")+COUNTIF($E41:$AI42,"8")-1)/2,(COUNTIF($E41:$AI42,"4")+COUNTIF($E41:$AI42,"8"))/2)</f>
        <v>7.5</v>
      </c>
      <c r="AR41" s="136">
        <f t="shared" ca="1" si="2"/>
        <v>96</v>
      </c>
      <c r="AS41" s="136">
        <f t="shared" ref="AS41" ca="1" si="94">IF(COUNTIF($E41:$AI42,"СП")&gt;=1,SUMIF($E41:$AI42,"4",$E41:$AI42)+SUMIF($E41:$AI42,"8",$E41:$AI42)-8,SUMIF($E41:$AI42,"4",$E41:$AI42)+SUMIF($E41:$AI42,"8",$E41:$AI42))</f>
        <v>88</v>
      </c>
      <c r="AT41" s="136">
        <f t="shared" ref="AT41" ca="1" si="95">$AR41+$AS41</f>
        <v>184</v>
      </c>
      <c r="AU41" s="136" t="str">
        <f t="shared" ref="AU41" ca="1" si="96">IF(AK41=AT41,"+","!")</f>
        <v>!</v>
      </c>
      <c r="AV41" s="136">
        <f t="shared" ref="AV41" ca="1" si="97">COUNTIF($E41:$AI42,"ОТ")</f>
        <v>0</v>
      </c>
      <c r="AW41" s="137" t="str">
        <f ca="1">IF(COUNTIF($A42:$AI42,"СП")&gt;0,IF(INDIRECT(ADDRESS(ROW(),MATCH("СП",$A42:$AI42),1))=8,"","!"),"")</f>
        <v>!</v>
      </c>
      <c r="AX41" s="137" t="str">
        <f ca="1">IF(COUNTIF($A42:$AI42,"СП")&gt;0,IF(INDIRECT(ADDRESS(ROW(),MATCH("СП",$A42:$AI42)-1,1))=4,"!",""),"")</f>
        <v/>
      </c>
    </row>
    <row r="42" spans="1:50" ht="16.5" thickBot="1" x14ac:dyDescent="0.3">
      <c r="A42" s="147"/>
      <c r="B42" s="139"/>
      <c r="C42" s="171"/>
      <c r="D42" s="50">
        <v>4</v>
      </c>
      <c r="E42" s="65" t="str">
        <f>INDEX(Д4!$E$44:$AI$53,MATCH($D42,Д4!$D$44:$D$53),MATCH(E$7,Д4!$E$3:$AI$3))</f>
        <v/>
      </c>
      <c r="F42" s="30" t="str">
        <f>INDEX(Д4!$E$44:$AI$53,MATCH($D42,Д4!$D$44:$D$53),MATCH(F$7,Д4!$E$3:$AI$3))</f>
        <v/>
      </c>
      <c r="G42" s="30" t="str">
        <f>INDEX(Д4!$E$44:$AI$53,MATCH($D42,Д4!$D$44:$D$53),MATCH(G$7,Д4!$E$3:$AI$3))</f>
        <v/>
      </c>
      <c r="H42" s="30" t="str">
        <f>INDEX(Д4!$E$44:$AI$53,MATCH($D42,Д4!$D$44:$D$53),MATCH(H$7,Д4!$E$3:$AI$3))</f>
        <v/>
      </c>
      <c r="I42" s="30" t="str">
        <f>INDEX(Д4!$E$44:$AI$53,MATCH($D42,Д4!$D$44:$D$53),MATCH(I$7,Д4!$E$3:$AI$3))</f>
        <v/>
      </c>
      <c r="J42" s="30" t="str">
        <f>INDEX(Д4!$E$44:$AI$53,MATCH($D42,Д4!$D$44:$D$53),MATCH(J$7,Д4!$E$3:$AI$3))</f>
        <v>СП</v>
      </c>
      <c r="K42" s="30" t="str">
        <f>INDEX(Д4!$E$44:$AI$53,MATCH($D42,Д4!$D$44:$D$53),MATCH(K$7,Д4!$E$3:$AI$3))</f>
        <v/>
      </c>
      <c r="L42" s="30" t="str">
        <f>INDEX(Д4!$E$44:$AI$53,MATCH($D42,Д4!$D$44:$D$53),MATCH(L$7,Д4!$E$3:$AI$3))</f>
        <v/>
      </c>
      <c r="M42" s="30" t="str">
        <f>INDEX(Д4!$E$44:$AI$53,MATCH($D42,Д4!$D$44:$D$53),MATCH(M$7,Д4!$E$3:$AI$3))</f>
        <v/>
      </c>
      <c r="N42" s="30" t="str">
        <f>INDEX(Д4!$E$44:$AI$53,MATCH($D42,Д4!$D$44:$D$53),MATCH(N$7,Д4!$E$3:$AI$3))</f>
        <v/>
      </c>
      <c r="O42" s="30" t="str">
        <f>INDEX(Д4!$E$44:$AI$53,MATCH($D42,Д4!$D$44:$D$53),MATCH(O$7,Д4!$E$3:$AI$3))</f>
        <v/>
      </c>
      <c r="P42" s="30" t="str">
        <f>INDEX(Д4!$E$44:$AI$53,MATCH($D42,Д4!$D$44:$D$53),MATCH(P$7,Д4!$E$3:$AI$3))</f>
        <v/>
      </c>
      <c r="Q42" s="30" t="str">
        <f>INDEX(Д4!$E$44:$AI$53,MATCH($D42,Д4!$D$44:$D$53),MATCH(Q$7,Д4!$E$3:$AI$3))</f>
        <v/>
      </c>
      <c r="R42" s="30" t="str">
        <f>INDEX(Д4!$E$44:$AI$53,MATCH($D42,Д4!$D$44:$D$53),MATCH(R$7,Д4!$E$3:$AI$3))</f>
        <v/>
      </c>
      <c r="S42" s="30" t="str">
        <f>INDEX(Д4!$E$44:$AI$53,MATCH($D42,Д4!$D$44:$D$53),MATCH(S$7,Д4!$E$3:$AI$3))</f>
        <v/>
      </c>
      <c r="T42" s="30" t="str">
        <f>INDEX(Д4!$E$44:$AI$53,MATCH($D42,Д4!$D$44:$D$53),MATCH(T$7,Д4!$E$3:$AI$3))</f>
        <v/>
      </c>
      <c r="U42" s="30" t="str">
        <f>INDEX(Д4!$E$44:$AI$53,MATCH($D42,Д4!$D$44:$D$53),MATCH(U$7,Д4!$E$3:$AI$3))</f>
        <v/>
      </c>
      <c r="V42" s="30" t="str">
        <f>INDEX(Д4!$E$44:$AI$53,MATCH($D42,Д4!$D$44:$D$53),MATCH(V$7,Д4!$E$3:$AI$3))</f>
        <v/>
      </c>
      <c r="W42" s="30" t="str">
        <f>INDEX(Д4!$E$44:$AI$53,MATCH($D42,Д4!$D$44:$D$53),MATCH(W$7,Д4!$E$3:$AI$3))</f>
        <v/>
      </c>
      <c r="X42" s="30" t="str">
        <f>INDEX(Д4!$E$44:$AI$53,MATCH($D42,Д4!$D$44:$D$53),MATCH(X$7,Д4!$E$3:$AI$3))</f>
        <v/>
      </c>
      <c r="Y42" s="30" t="str">
        <f>INDEX(Д4!$E$44:$AI$53,MATCH($D42,Д4!$D$44:$D$53),MATCH(Y$7,Д4!$E$3:$AI$3))</f>
        <v/>
      </c>
      <c r="Z42" s="30" t="str">
        <f>INDEX(Д4!$E$44:$AI$53,MATCH($D42,Д4!$D$44:$D$53),MATCH(Z$7,Д4!$E$3:$AI$3))</f>
        <v/>
      </c>
      <c r="AA42" s="30" t="str">
        <f>INDEX(Д4!$E$44:$AI$53,MATCH($D42,Д4!$D$44:$D$53),MATCH(AA$7,Д4!$E$3:$AI$3))</f>
        <v/>
      </c>
      <c r="AB42" s="30" t="str">
        <f>INDEX(Д4!$E$44:$AI$53,MATCH($D42,Д4!$D$44:$D$53),MATCH(AB$7,Д4!$E$3:$AI$3))</f>
        <v/>
      </c>
      <c r="AC42" s="30" t="str">
        <f>INDEX(Д4!$E$44:$AI$53,MATCH($D42,Д4!$D$44:$D$53),MATCH(AC$7,Д4!$E$3:$AI$3))</f>
        <v/>
      </c>
      <c r="AD42" s="30" t="str">
        <f>INDEX(Д4!$E$44:$AI$53,MATCH($D42,Д4!$D$44:$D$53),MATCH(AD$7,Д4!$E$3:$AI$3))</f>
        <v/>
      </c>
      <c r="AE42" s="30" t="str">
        <f>INDEX(Д4!$E$44:$AI$53,MATCH($D42,Д4!$D$44:$D$53),MATCH(AE$7,Д4!$E$3:$AI$3))</f>
        <v/>
      </c>
      <c r="AF42" s="30" t="str">
        <f>INDEX(Д4!$E$44:$AI$53,MATCH($D42,Д4!$D$44:$D$53),MATCH(AF$7,Д4!$E$3:$AI$3))</f>
        <v/>
      </c>
      <c r="AG42" s="30" t="str">
        <f>INDEX(Д4!$E$44:$AI$53,MATCH($D42,Д4!$D$44:$D$53),MATCH(AG$7,Д4!$E$3:$AI$3))</f>
        <v/>
      </c>
      <c r="AH42" s="30" t="str">
        <f>INDEX(Д4!$E$44:$AI$53,MATCH($D42,Д4!$D$44:$D$53),MATCH(AH$7,Д4!$E$3:$AI$3))</f>
        <v/>
      </c>
      <c r="AI42" s="33" t="str">
        <f>INDEX(Д4!$E$44:$AI$53,MATCH($D42,Д4!$D$44:$D$53),MATCH(AI$7,Д4!$E$3:$AI$3))</f>
        <v/>
      </c>
      <c r="AJ42" s="143"/>
      <c r="AK42" s="145"/>
      <c r="AL42" s="145"/>
      <c r="AM42" s="150"/>
      <c r="AP42" s="136"/>
      <c r="AQ42" s="136"/>
      <c r="AR42" s="136"/>
      <c r="AS42" s="136"/>
      <c r="AT42" s="136"/>
      <c r="AU42" s="136"/>
      <c r="AV42" s="136"/>
      <c r="AW42" s="137"/>
      <c r="AX42" s="137"/>
    </row>
    <row r="43" spans="1:50" ht="16.5" thickBot="1" x14ac:dyDescent="0.3">
      <c r="A43" s="147"/>
      <c r="B43" s="139" t="s">
        <v>97</v>
      </c>
      <c r="C43" s="170">
        <v>3</v>
      </c>
      <c r="D43" s="49">
        <v>5</v>
      </c>
      <c r="E43" s="62">
        <f ca="1">INDEX(Д4!$E$44:$AI$53,MATCH($D43,Д4!$D$44:$D$53),MATCH(E$7,Д4!$E$3:$AI$3))</f>
        <v>8</v>
      </c>
      <c r="F43" s="28">
        <f ca="1">INDEX(Д4!$E$44:$AI$53,MATCH($D43,Д4!$D$44:$D$53),MATCH(F$7,Д4!$E$3:$AI$3))</f>
        <v>12</v>
      </c>
      <c r="G43" s="28">
        <f ca="1">INDEX(Д4!$E$44:$AI$53,MATCH($D43,Д4!$D$44:$D$53),MATCH(G$7,Д4!$E$3:$AI$3))</f>
        <v>0</v>
      </c>
      <c r="H43" s="28">
        <f ca="1">INDEX(Д4!$E$44:$AI$53,MATCH($D43,Д4!$D$44:$D$53),MATCH(H$7,Д4!$E$3:$AI$3))</f>
        <v>0</v>
      </c>
      <c r="I43" s="28">
        <f ca="1">INDEX(Д4!$E$44:$AI$53,MATCH($D43,Д4!$D$44:$D$53),MATCH(I$7,Д4!$E$3:$AI$3))</f>
        <v>4</v>
      </c>
      <c r="J43" s="28">
        <f ca="1">INDEX(Д4!$E$44:$AI$53,MATCH($D43,Д4!$D$44:$D$53),MATCH(J$7,Д4!$E$3:$AI$3))</f>
        <v>8</v>
      </c>
      <c r="K43" s="28">
        <f ca="1">INDEX(Д4!$E$44:$AI$53,MATCH($D43,Д4!$D$44:$D$53),MATCH(K$7,Д4!$E$3:$AI$3))</f>
        <v>12</v>
      </c>
      <c r="L43" s="28">
        <f ca="1">INDEX(Д4!$E$44:$AI$53,MATCH($D43,Д4!$D$44:$D$53),MATCH(L$7,Д4!$E$3:$AI$3))</f>
        <v>4</v>
      </c>
      <c r="M43" s="28">
        <f ca="1">INDEX(Д4!$E$44:$AI$53,MATCH($D43,Д4!$D$44:$D$53),MATCH(M$7,Д4!$E$3:$AI$3))</f>
        <v>8</v>
      </c>
      <c r="N43" s="28">
        <f ca="1">INDEX(Д4!$E$44:$AI$53,MATCH($D43,Д4!$D$44:$D$53),MATCH(N$7,Д4!$E$3:$AI$3))</f>
        <v>12</v>
      </c>
      <c r="O43" s="28">
        <f ca="1">INDEX(Д4!$E$44:$AI$53,MATCH($D43,Д4!$D$44:$D$53),MATCH(O$7,Д4!$E$3:$AI$3))</f>
        <v>0</v>
      </c>
      <c r="P43" s="28">
        <f ca="1">INDEX(Д4!$E$44:$AI$53,MATCH($D43,Д4!$D$44:$D$53),MATCH(P$7,Д4!$E$3:$AI$3))</f>
        <v>0</v>
      </c>
      <c r="Q43" s="28">
        <f ca="1">INDEX(Д4!$E$44:$AI$53,MATCH($D43,Д4!$D$44:$D$53),MATCH(Q$7,Д4!$E$3:$AI$3))</f>
        <v>4</v>
      </c>
      <c r="R43" s="28">
        <f ca="1">INDEX(Д4!$E$44:$AI$53,MATCH($D43,Д4!$D$44:$D$53),MATCH(R$7,Д4!$E$3:$AI$3))</f>
        <v>8</v>
      </c>
      <c r="S43" s="28">
        <f ca="1">INDEX(Д4!$E$44:$AI$53,MATCH($D43,Д4!$D$44:$D$53),MATCH(S$7,Д4!$E$3:$AI$3))</f>
        <v>12</v>
      </c>
      <c r="T43" s="28">
        <f ca="1">INDEX(Д4!$E$44:$AI$53,MATCH($D43,Д4!$D$44:$D$53),MATCH(T$7,Д4!$E$3:$AI$3))</f>
        <v>4</v>
      </c>
      <c r="U43" s="28">
        <f ca="1">INDEX(Д4!$E$44:$AI$53,MATCH($D43,Д4!$D$44:$D$53),MATCH(U$7,Д4!$E$3:$AI$3))</f>
        <v>8</v>
      </c>
      <c r="V43" s="28">
        <f ca="1">INDEX(Д4!$E$44:$AI$53,MATCH($D43,Д4!$D$44:$D$53),MATCH(V$7,Д4!$E$3:$AI$3))</f>
        <v>12</v>
      </c>
      <c r="W43" s="28">
        <f ca="1">INDEX(Д4!$E$44:$AI$53,MATCH($D43,Д4!$D$44:$D$53),MATCH(W$7,Д4!$E$3:$AI$3))</f>
        <v>0</v>
      </c>
      <c r="X43" s="28">
        <f ca="1">INDEX(Д4!$E$44:$AI$53,MATCH($D43,Д4!$D$44:$D$53),MATCH(X$7,Д4!$E$3:$AI$3))</f>
        <v>0</v>
      </c>
      <c r="Y43" s="28">
        <f ca="1">INDEX(Д4!$E$44:$AI$53,MATCH($D43,Д4!$D$44:$D$53),MATCH(Y$7,Д4!$E$3:$AI$3))</f>
        <v>4</v>
      </c>
      <c r="Z43" s="28">
        <f ca="1">INDEX(Д4!$E$44:$AI$53,MATCH($D43,Д4!$D$44:$D$53),MATCH(Z$7,Д4!$E$3:$AI$3))</f>
        <v>8</v>
      </c>
      <c r="AA43" s="28">
        <f ca="1">INDEX(Д4!$E$44:$AI$53,MATCH($D43,Д4!$D$44:$D$53),MATCH(AA$7,Д4!$E$3:$AI$3))</f>
        <v>12</v>
      </c>
      <c r="AB43" s="28">
        <f ca="1">INDEX(Д4!$E$44:$AI$53,MATCH($D43,Д4!$D$44:$D$53),MATCH(AB$7,Д4!$E$3:$AI$3))</f>
        <v>4</v>
      </c>
      <c r="AC43" s="28">
        <f ca="1">INDEX(Д4!$E$44:$AI$53,MATCH($D43,Д4!$D$44:$D$53),MATCH(AC$7,Д4!$E$3:$AI$3))</f>
        <v>8</v>
      </c>
      <c r="AD43" s="28">
        <f ca="1">INDEX(Д4!$E$44:$AI$53,MATCH($D43,Д4!$D$44:$D$53),MATCH(AD$7,Д4!$E$3:$AI$3))</f>
        <v>12</v>
      </c>
      <c r="AE43" s="28">
        <f ca="1">INDEX(Д4!$E$44:$AI$53,MATCH($D43,Д4!$D$44:$D$53),MATCH(AE$7,Д4!$E$3:$AI$3))</f>
        <v>0</v>
      </c>
      <c r="AF43" s="28">
        <f ca="1">INDEX(Д4!$E$44:$AI$53,MATCH($D43,Д4!$D$44:$D$53),MATCH(AF$7,Д4!$E$3:$AI$3))</f>
        <v>0</v>
      </c>
      <c r="AG43" s="28">
        <f ca="1">INDEX(Д4!$E$44:$AI$53,MATCH($D43,Д4!$D$44:$D$53),MATCH(AG$7,Д4!$E$3:$AI$3))</f>
        <v>4</v>
      </c>
      <c r="AH43" s="28">
        <f ca="1">INDEX(Д4!$E$44:$AI$53,MATCH($D43,Д4!$D$44:$D$53),MATCH(AH$7,Д4!$E$3:$AI$3))</f>
        <v>8</v>
      </c>
      <c r="AI43" s="60">
        <f ca="1">INDEX(Д4!$E$44:$AI$53,MATCH($D43,Д4!$D$44:$D$53),MATCH(AI$7,Д4!$E$3:$AI$3))</f>
        <v>12</v>
      </c>
      <c r="AJ43" s="143">
        <f>INDEX(Д4!AK$44:$AK$53,MATCH($C43,Д4!$C$44:$C$53),MATCH(E$7,Д4!$E$3:$AI$3))*AND(MONTH($E$8)=MONTH(Д4!$B$44))</f>
        <v>144</v>
      </c>
      <c r="AK43" s="144">
        <f ca="1">SUM(E43:AI44)</f>
        <v>188</v>
      </c>
      <c r="AL43" s="144"/>
      <c r="AM43" s="149">
        <f ca="1">SUM(F43:H44,J43:AI44)-AJ43+AL43-12</f>
        <v>20</v>
      </c>
      <c r="AP43" s="136">
        <f t="shared" ref="AP43" ca="1" si="98">COUNTIF($E43:$AI44,"12")</f>
        <v>8</v>
      </c>
      <c r="AQ43" s="136">
        <f t="shared" ref="AQ43" ca="1" si="99">IF(COUNTIF($E43:$AI44,"СП")&gt;=1,(COUNTIF($E43:$AI44,"4")+COUNTIF($E43:$AI44,"8")-1)/2,(COUNTIF($E43:$AI44,"4")+COUNTIF($E43:$AI44,"8"))/2)</f>
        <v>7</v>
      </c>
      <c r="AR43" s="136">
        <f t="shared" ca="1" si="2"/>
        <v>96</v>
      </c>
      <c r="AS43" s="136">
        <f t="shared" ref="AS43" ca="1" si="100">IF(COUNTIF($E43:$AI44,"СП")&gt;=1,SUMIF($E43:$AI44,"4",$E43:$AI44)+SUMIF($E43:$AI44,"8",$E43:$AI44)-8,SUMIF($E43:$AI44,"4",$E43:$AI44)+SUMIF($E43:$AI44,"8",$E43:$AI44))</f>
        <v>84</v>
      </c>
      <c r="AT43" s="136">
        <f t="shared" ref="AT43" ca="1" si="101">$AR43+$AS43</f>
        <v>180</v>
      </c>
      <c r="AU43" s="136" t="str">
        <f t="shared" ref="AU43" ca="1" si="102">IF(AK43=AT43,"+","!")</f>
        <v>!</v>
      </c>
      <c r="AV43" s="136">
        <f t="shared" ref="AV43" ca="1" si="103">COUNTIF($E43:$AI44,"ОТ")</f>
        <v>0</v>
      </c>
      <c r="AW43" s="137" t="str">
        <f ca="1">IF(COUNTIF($A44:$AI44,"СП")&gt;0,IF(INDIRECT(ADDRESS(ROW(),MATCH("СП",$A44:$AI44),1))=8,"","!"),"")</f>
        <v>!</v>
      </c>
      <c r="AX43" s="137" t="str">
        <f ca="1">IF(COUNTIF($A44:$AI44,"СП")&gt;0,IF(INDIRECT(ADDRESS(ROW(),MATCH("СП",$A44:$AI44)-1,1))=4,"!",""),"")</f>
        <v/>
      </c>
    </row>
    <row r="44" spans="1:50" ht="16.5" thickBot="1" x14ac:dyDescent="0.3">
      <c r="A44" s="147"/>
      <c r="B44" s="139"/>
      <c r="C44" s="171"/>
      <c r="D44" s="50">
        <v>6</v>
      </c>
      <c r="E44" s="63" t="str">
        <f>INDEX(Д4!$E$44:$AI$53,MATCH($D44,Д4!$D$44:$D$53),MATCH(E$7,Д4!$E$3:$AI$3))</f>
        <v/>
      </c>
      <c r="F44" s="29" t="str">
        <f>INDEX(Д4!$E$44:$AI$53,MATCH($D44,Д4!$D$44:$D$53),MATCH(F$7,Д4!$E$3:$AI$3))</f>
        <v/>
      </c>
      <c r="G44" s="29" t="str">
        <f>INDEX(Д4!$E$44:$AI$53,MATCH($D44,Д4!$D$44:$D$53),MATCH(G$7,Д4!$E$3:$AI$3))</f>
        <v/>
      </c>
      <c r="H44" s="29" t="str">
        <f>INDEX(Д4!$E$44:$AI$53,MATCH($D44,Д4!$D$44:$D$53),MATCH(H$7,Д4!$E$3:$AI$3))</f>
        <v/>
      </c>
      <c r="I44" s="29" t="str">
        <f>INDEX(Д4!$E$44:$AI$53,MATCH($D44,Д4!$D$44:$D$53),MATCH(I$7,Д4!$E$3:$AI$3))</f>
        <v/>
      </c>
      <c r="J44" s="29" t="str">
        <f>INDEX(Д4!$E$44:$AI$53,MATCH($D44,Д4!$D$44:$D$53),MATCH(J$7,Д4!$E$3:$AI$3))</f>
        <v/>
      </c>
      <c r="K44" s="29" t="str">
        <f>INDEX(Д4!$E$44:$AI$53,MATCH($D44,Д4!$D$44:$D$53),MATCH(K$7,Д4!$E$3:$AI$3))</f>
        <v>СП</v>
      </c>
      <c r="L44" s="29" t="str">
        <f>INDEX(Д4!$E$44:$AI$53,MATCH($D44,Д4!$D$44:$D$53),MATCH(L$7,Д4!$E$3:$AI$3))</f>
        <v/>
      </c>
      <c r="M44" s="29" t="str">
        <f>INDEX(Д4!$E$44:$AI$53,MATCH($D44,Д4!$D$44:$D$53),MATCH(M$7,Д4!$E$3:$AI$3))</f>
        <v/>
      </c>
      <c r="N44" s="29" t="str">
        <f>INDEX(Д4!$E$44:$AI$53,MATCH($D44,Д4!$D$44:$D$53),MATCH(N$7,Д4!$E$3:$AI$3))</f>
        <v/>
      </c>
      <c r="O44" s="29" t="str">
        <f>INDEX(Д4!$E$44:$AI$53,MATCH($D44,Д4!$D$44:$D$53),MATCH(O$7,Д4!$E$3:$AI$3))</f>
        <v/>
      </c>
      <c r="P44" s="29" t="str">
        <f>INDEX(Д4!$E$44:$AI$53,MATCH($D44,Д4!$D$44:$D$53),MATCH(P$7,Д4!$E$3:$AI$3))</f>
        <v/>
      </c>
      <c r="Q44" s="29" t="str">
        <f>INDEX(Д4!$E$44:$AI$53,MATCH($D44,Д4!$D$44:$D$53),MATCH(Q$7,Д4!$E$3:$AI$3))</f>
        <v/>
      </c>
      <c r="R44" s="29" t="str">
        <f>INDEX(Д4!$E$44:$AI$53,MATCH($D44,Д4!$D$44:$D$53),MATCH(R$7,Д4!$E$3:$AI$3))</f>
        <v/>
      </c>
      <c r="S44" s="29" t="str">
        <f>INDEX(Д4!$E$44:$AI$53,MATCH($D44,Д4!$D$44:$D$53),MATCH(S$7,Д4!$E$3:$AI$3))</f>
        <v/>
      </c>
      <c r="T44" s="29" t="str">
        <f>INDEX(Д4!$E$44:$AI$53,MATCH($D44,Д4!$D$44:$D$53),MATCH(T$7,Д4!$E$3:$AI$3))</f>
        <v/>
      </c>
      <c r="U44" s="29" t="str">
        <f>INDEX(Д4!$E$44:$AI$53,MATCH($D44,Д4!$D$44:$D$53),MATCH(U$7,Д4!$E$3:$AI$3))</f>
        <v/>
      </c>
      <c r="V44" s="29" t="str">
        <f>INDEX(Д4!$E$44:$AI$53,MATCH($D44,Д4!$D$44:$D$53),MATCH(V$7,Д4!$E$3:$AI$3))</f>
        <v/>
      </c>
      <c r="W44" s="29" t="str">
        <f>INDEX(Д4!$E$44:$AI$53,MATCH($D44,Д4!$D$44:$D$53),MATCH(W$7,Д4!$E$3:$AI$3))</f>
        <v/>
      </c>
      <c r="X44" s="29" t="str">
        <f>INDEX(Д4!$E$44:$AI$53,MATCH($D44,Д4!$D$44:$D$53),MATCH(X$7,Д4!$E$3:$AI$3))</f>
        <v/>
      </c>
      <c r="Y44" s="29" t="str">
        <f>INDEX(Д4!$E$44:$AI$53,MATCH($D44,Д4!$D$44:$D$53),MATCH(Y$7,Д4!$E$3:$AI$3))</f>
        <v/>
      </c>
      <c r="Z44" s="29" t="str">
        <f>INDEX(Д4!$E$44:$AI$53,MATCH($D44,Д4!$D$44:$D$53),MATCH(Z$7,Д4!$E$3:$AI$3))</f>
        <v/>
      </c>
      <c r="AA44" s="29" t="str">
        <f>INDEX(Д4!$E$44:$AI$53,MATCH($D44,Д4!$D$44:$D$53),MATCH(AA$7,Д4!$E$3:$AI$3))</f>
        <v/>
      </c>
      <c r="AB44" s="29" t="str">
        <f>INDEX(Д4!$E$44:$AI$53,MATCH($D44,Д4!$D$44:$D$53),MATCH(AB$7,Д4!$E$3:$AI$3))</f>
        <v/>
      </c>
      <c r="AC44" s="29" t="str">
        <f>INDEX(Д4!$E$44:$AI$53,MATCH($D44,Д4!$D$44:$D$53),MATCH(AC$7,Д4!$E$3:$AI$3))</f>
        <v/>
      </c>
      <c r="AD44" s="29" t="str">
        <f>INDEX(Д4!$E$44:$AI$53,MATCH($D44,Д4!$D$44:$D$53),MATCH(AD$7,Д4!$E$3:$AI$3))</f>
        <v/>
      </c>
      <c r="AE44" s="29" t="str">
        <f>INDEX(Д4!$E$44:$AI$53,MATCH($D44,Д4!$D$44:$D$53),MATCH(AE$7,Д4!$E$3:$AI$3))</f>
        <v/>
      </c>
      <c r="AF44" s="29" t="str">
        <f>INDEX(Д4!$E$44:$AI$53,MATCH($D44,Д4!$D$44:$D$53),MATCH(AF$7,Д4!$E$3:$AI$3))</f>
        <v/>
      </c>
      <c r="AG44" s="29" t="str">
        <f>INDEX(Д4!$E$44:$AI$53,MATCH($D44,Д4!$D$44:$D$53),MATCH(AG$7,Д4!$E$3:$AI$3))</f>
        <v/>
      </c>
      <c r="AH44" s="29" t="str">
        <f>INDEX(Д4!$E$44:$AI$53,MATCH($D44,Д4!$D$44:$D$53),MATCH(AH$7,Д4!$E$3:$AI$3))</f>
        <v/>
      </c>
      <c r="AI44" s="61" t="str">
        <f>INDEX(Д4!$E$44:$AI$53,MATCH($D44,Д4!$D$44:$D$53),MATCH(AI$7,Д4!$E$3:$AI$3))</f>
        <v/>
      </c>
      <c r="AJ44" s="143"/>
      <c r="AK44" s="145"/>
      <c r="AL44" s="145"/>
      <c r="AM44" s="150"/>
      <c r="AP44" s="136"/>
      <c r="AQ44" s="136"/>
      <c r="AR44" s="136"/>
      <c r="AS44" s="136"/>
      <c r="AT44" s="136"/>
      <c r="AU44" s="136"/>
      <c r="AV44" s="136"/>
      <c r="AW44" s="137"/>
      <c r="AX44" s="137"/>
    </row>
    <row r="45" spans="1:50" ht="16.5" customHeight="1" thickBot="1" x14ac:dyDescent="0.3">
      <c r="A45" s="147"/>
      <c r="B45" s="139" t="s">
        <v>98</v>
      </c>
      <c r="C45" s="170">
        <v>4</v>
      </c>
      <c r="D45" s="49">
        <v>7</v>
      </c>
      <c r="E45" s="64">
        <f ca="1">INDEX(Д4!$E$44:$AI$53,MATCH($D45,Д4!$D$44:$D$53),MATCH(E$7,Д4!$E$3:$AI$3))</f>
        <v>12</v>
      </c>
      <c r="F45" s="27">
        <f ca="1">INDEX(Д4!$E$44:$AI$53,MATCH($D45,Д4!$D$44:$D$53),MATCH(F$7,Д4!$E$3:$AI$3))</f>
        <v>4</v>
      </c>
      <c r="G45" s="27">
        <f ca="1">INDEX(Д4!$E$44:$AI$53,MATCH($D45,Д4!$D$44:$D$53),MATCH(G$7,Д4!$E$3:$AI$3))</f>
        <v>8</v>
      </c>
      <c r="H45" s="27">
        <f ca="1">INDEX(Д4!$E$44:$AI$53,MATCH($D45,Д4!$D$44:$D$53),MATCH(H$7,Д4!$E$3:$AI$3))</f>
        <v>12</v>
      </c>
      <c r="I45" s="27">
        <f ca="1">INDEX(Д4!$E$44:$AI$53,MATCH($D45,Д4!$D$44:$D$53),MATCH(I$7,Д4!$E$3:$AI$3))</f>
        <v>0</v>
      </c>
      <c r="J45" s="27">
        <f ca="1">INDEX(Д4!$E$44:$AI$53,MATCH($D45,Д4!$D$44:$D$53),MATCH(J$7,Д4!$E$3:$AI$3))</f>
        <v>0</v>
      </c>
      <c r="K45" s="27">
        <f ca="1">INDEX(Д4!$E$44:$AI$53,MATCH($D45,Д4!$D$44:$D$53),MATCH(K$7,Д4!$E$3:$AI$3))</f>
        <v>4</v>
      </c>
      <c r="L45" s="27">
        <f ca="1">INDEX(Д4!$E$44:$AI$53,MATCH($D45,Д4!$D$44:$D$53),MATCH(L$7,Д4!$E$3:$AI$3))</f>
        <v>8</v>
      </c>
      <c r="M45" s="27">
        <f ca="1">INDEX(Д4!$E$44:$AI$53,MATCH($D45,Д4!$D$44:$D$53),MATCH(M$7,Д4!$E$3:$AI$3))</f>
        <v>12</v>
      </c>
      <c r="N45" s="27">
        <f ca="1">INDEX(Д4!$E$44:$AI$53,MATCH($D45,Д4!$D$44:$D$53),MATCH(N$7,Д4!$E$3:$AI$3))</f>
        <v>4</v>
      </c>
      <c r="O45" s="27">
        <f ca="1">INDEX(Д4!$E$44:$AI$53,MATCH($D45,Д4!$D$44:$D$53),MATCH(O$7,Д4!$E$3:$AI$3))</f>
        <v>8</v>
      </c>
      <c r="P45" s="27">
        <f ca="1">INDEX(Д4!$E$44:$AI$53,MATCH($D45,Д4!$D$44:$D$53),MATCH(P$7,Д4!$E$3:$AI$3))</f>
        <v>12</v>
      </c>
      <c r="Q45" s="27">
        <f ca="1">INDEX(Д4!$E$44:$AI$53,MATCH($D45,Д4!$D$44:$D$53),MATCH(Q$7,Д4!$E$3:$AI$3))</f>
        <v>0</v>
      </c>
      <c r="R45" s="27">
        <f ca="1">INDEX(Д4!$E$44:$AI$53,MATCH($D45,Д4!$D$44:$D$53),MATCH(R$7,Д4!$E$3:$AI$3))</f>
        <v>0</v>
      </c>
      <c r="S45" s="27">
        <f ca="1">INDEX(Д4!$E$44:$AI$53,MATCH($D45,Д4!$D$44:$D$53),MATCH(S$7,Д4!$E$3:$AI$3))</f>
        <v>4</v>
      </c>
      <c r="T45" s="27">
        <f ca="1">INDEX(Д4!$E$44:$AI$53,MATCH($D45,Д4!$D$44:$D$53),MATCH(T$7,Д4!$E$3:$AI$3))</f>
        <v>8</v>
      </c>
      <c r="U45" s="27">
        <f ca="1">INDEX(Д4!$E$44:$AI$53,MATCH($D45,Д4!$D$44:$D$53),MATCH(U$7,Д4!$E$3:$AI$3))</f>
        <v>12</v>
      </c>
      <c r="V45" s="27">
        <f ca="1">INDEX(Д4!$E$44:$AI$53,MATCH($D45,Д4!$D$44:$D$53),MATCH(V$7,Д4!$E$3:$AI$3))</f>
        <v>4</v>
      </c>
      <c r="W45" s="27">
        <f ca="1">INDEX(Д4!$E$44:$AI$53,MATCH($D45,Д4!$D$44:$D$53),MATCH(W$7,Д4!$E$3:$AI$3))</f>
        <v>8</v>
      </c>
      <c r="X45" s="27">
        <f ca="1">INDEX(Д4!$E$44:$AI$53,MATCH($D45,Д4!$D$44:$D$53),MATCH(X$7,Д4!$E$3:$AI$3))</f>
        <v>12</v>
      </c>
      <c r="Y45" s="27">
        <f ca="1">INDEX(Д4!$E$44:$AI$53,MATCH($D45,Д4!$D$44:$D$53),MATCH(Y$7,Д4!$E$3:$AI$3))</f>
        <v>0</v>
      </c>
      <c r="Z45" s="27">
        <f ca="1">INDEX(Д4!$E$44:$AI$53,MATCH($D45,Д4!$D$44:$D$53),MATCH(Z$7,Д4!$E$3:$AI$3))</f>
        <v>0</v>
      </c>
      <c r="AA45" s="27">
        <f ca="1">INDEX(Д4!$E$44:$AI$53,MATCH($D45,Д4!$D$44:$D$53),MATCH(AA$7,Д4!$E$3:$AI$3))</f>
        <v>4</v>
      </c>
      <c r="AB45" s="27">
        <f ca="1">INDEX(Д4!$E$44:$AI$53,MATCH($D45,Д4!$D$44:$D$53),MATCH(AB$7,Д4!$E$3:$AI$3))</f>
        <v>8</v>
      </c>
      <c r="AC45" s="27">
        <f ca="1">INDEX(Д4!$E$44:$AI$53,MATCH($D45,Д4!$D$44:$D$53),MATCH(AC$7,Д4!$E$3:$AI$3))</f>
        <v>12</v>
      </c>
      <c r="AD45" s="27">
        <f ca="1">INDEX(Д4!$E$44:$AI$53,MATCH($D45,Д4!$D$44:$D$53),MATCH(AD$7,Д4!$E$3:$AI$3))</f>
        <v>4</v>
      </c>
      <c r="AE45" s="27">
        <f ca="1">INDEX(Д4!$E$44:$AI$53,MATCH($D45,Д4!$D$44:$D$53),MATCH(AE$7,Д4!$E$3:$AI$3))</f>
        <v>8</v>
      </c>
      <c r="AF45" s="27">
        <f ca="1">INDEX(Д4!$E$44:$AI$53,MATCH($D45,Д4!$D$44:$D$53),MATCH(AF$7,Д4!$E$3:$AI$3))</f>
        <v>12</v>
      </c>
      <c r="AG45" s="27">
        <f ca="1">INDEX(Д4!$E$44:$AI$53,MATCH($D45,Д4!$D$44:$D$53),MATCH(AG$7,Д4!$E$3:$AI$3))</f>
        <v>0</v>
      </c>
      <c r="AH45" s="27">
        <f ca="1">INDEX(Д4!$E$44:$AI$53,MATCH($D45,Д4!$D$44:$D$53),MATCH(AH$7,Д4!$E$3:$AI$3))</f>
        <v>0</v>
      </c>
      <c r="AI45" s="32">
        <f ca="1">INDEX(Д4!$E$44:$AI$53,MATCH($D45,Д4!$D$44:$D$53),MATCH(AI$7,Д4!$E$3:$AI$3))</f>
        <v>4</v>
      </c>
      <c r="AJ45" s="143">
        <f>INDEX(Д4!AK$44:$AK$53,MATCH($C45,Д4!$C$44:$C$53),MATCH(E$7,Д4!$E$3:$AI$3))*AND(MONTH($E$8)=MONTH(Д4!$B$44))</f>
        <v>144</v>
      </c>
      <c r="AK45" s="144">
        <f t="shared" ref="AK45" ca="1" si="104">SUM(E45:AI46)</f>
        <v>184</v>
      </c>
      <c r="AL45" s="144"/>
      <c r="AM45" s="149">
        <f ca="1">SUM(F45:H46,J45:AI46)-AJ45+AL45-12</f>
        <v>16</v>
      </c>
      <c r="AP45" s="136">
        <f t="shared" ref="AP45" ca="1" si="105">COUNTIF($E45:$AI46,"12")</f>
        <v>8</v>
      </c>
      <c r="AQ45" s="136">
        <f t="shared" ref="AQ45" ca="1" si="106">IF(COUNTIF($E45:$AI46,"СП")&gt;=1,(COUNTIF($E45:$AI46,"4")+COUNTIF($E45:$AI46,"8")-1)/2,(COUNTIF($E45:$AI46,"4")+COUNTIF($E45:$AI46,"8"))/2)</f>
        <v>7</v>
      </c>
      <c r="AR45" s="136">
        <f t="shared" ca="1" si="2"/>
        <v>96</v>
      </c>
      <c r="AS45" s="136">
        <f t="shared" ref="AS45" ca="1" si="107">IF(COUNTIF($E45:$AI46,"СП")&gt;=1,SUMIF($E45:$AI46,"4",$E45:$AI46)+SUMIF($E45:$AI46,"8",$E45:$AI46)-8,SUMIF($E45:$AI46,"4",$E45:$AI46)+SUMIF($E45:$AI46,"8",$E45:$AI46))</f>
        <v>80</v>
      </c>
      <c r="AT45" s="136">
        <f t="shared" ref="AT45" ca="1" si="108">$AR45+$AS45</f>
        <v>176</v>
      </c>
      <c r="AU45" s="136" t="str">
        <f t="shared" ref="AU45" ca="1" si="109">IF(AK45=AT45,"+","!")</f>
        <v>!</v>
      </c>
      <c r="AV45" s="136">
        <f t="shared" ref="AV45" ca="1" si="110">COUNTIF($E45:$AI46,"ОТ")</f>
        <v>0</v>
      </c>
      <c r="AW45" s="137" t="str">
        <f ca="1">IF(COUNTIF($A46:$AI46,"СП")&gt;0,IF(INDIRECT(ADDRESS(ROW(),MATCH("СП",$A46:$AI46),1))=8,"","!"),"")</f>
        <v>!</v>
      </c>
      <c r="AX45" s="137" t="str">
        <f ca="1">IF(COUNTIF($A46:$AI46,"СП")&gt;0,IF(INDIRECT(ADDRESS(ROW(),MATCH("СП",$A46:$AI46)-1,1))=4,"!",""),"")</f>
        <v/>
      </c>
    </row>
    <row r="46" spans="1:50" ht="16.5" thickBot="1" x14ac:dyDescent="0.3">
      <c r="A46" s="147"/>
      <c r="B46" s="139"/>
      <c r="C46" s="171"/>
      <c r="D46" s="50">
        <v>8</v>
      </c>
      <c r="E46" s="65" t="str">
        <f>INDEX(Д4!$E$44:$AI$53,MATCH($D46,Д4!$D$44:$D$53),MATCH(E$7,Д4!$E$3:$AI$3))</f>
        <v/>
      </c>
      <c r="F46" s="30" t="str">
        <f>INDEX(Д4!$E$44:$AI$53,MATCH($D46,Д4!$D$44:$D$53),MATCH(F$7,Д4!$E$3:$AI$3))</f>
        <v/>
      </c>
      <c r="G46" s="30" t="str">
        <f>INDEX(Д4!$E$44:$AI$53,MATCH($D46,Д4!$D$44:$D$53),MATCH(G$7,Д4!$E$3:$AI$3))</f>
        <v/>
      </c>
      <c r="H46" s="30" t="str">
        <f>INDEX(Д4!$E$44:$AI$53,MATCH($D46,Д4!$D$44:$D$53),MATCH(H$7,Д4!$E$3:$AI$3))</f>
        <v/>
      </c>
      <c r="I46" s="30" t="str">
        <f>INDEX(Д4!$E$44:$AI$53,MATCH($D46,Д4!$D$44:$D$53),MATCH(I$7,Д4!$E$3:$AI$3))</f>
        <v/>
      </c>
      <c r="J46" s="30" t="str">
        <f>INDEX(Д4!$E$44:$AI$53,MATCH($D46,Д4!$D$44:$D$53),MATCH(J$7,Д4!$E$3:$AI$3))</f>
        <v/>
      </c>
      <c r="K46" s="30" t="str">
        <f>INDEX(Д4!$E$44:$AI$53,MATCH($D46,Д4!$D$44:$D$53),MATCH(K$7,Д4!$E$3:$AI$3))</f>
        <v/>
      </c>
      <c r="L46" s="30" t="str">
        <f>INDEX(Д4!$E$44:$AI$53,MATCH($D46,Д4!$D$44:$D$53),MATCH(L$7,Д4!$E$3:$AI$3))</f>
        <v>СП</v>
      </c>
      <c r="M46" s="30" t="str">
        <f>INDEX(Д4!$E$44:$AI$53,MATCH($D46,Д4!$D$44:$D$53),MATCH(M$7,Д4!$E$3:$AI$3))</f>
        <v/>
      </c>
      <c r="N46" s="30" t="str">
        <f>INDEX(Д4!$E$44:$AI$53,MATCH($D46,Д4!$D$44:$D$53),MATCH(N$7,Д4!$E$3:$AI$3))</f>
        <v/>
      </c>
      <c r="O46" s="30" t="str">
        <f>INDEX(Д4!$E$44:$AI$53,MATCH($D46,Д4!$D$44:$D$53),MATCH(O$7,Д4!$E$3:$AI$3))</f>
        <v/>
      </c>
      <c r="P46" s="30" t="str">
        <f>INDEX(Д4!$E$44:$AI$53,MATCH($D46,Д4!$D$44:$D$53),MATCH(P$7,Д4!$E$3:$AI$3))</f>
        <v/>
      </c>
      <c r="Q46" s="30" t="str">
        <f>INDEX(Д4!$E$44:$AI$53,MATCH($D46,Д4!$D$44:$D$53),MATCH(Q$7,Д4!$E$3:$AI$3))</f>
        <v/>
      </c>
      <c r="R46" s="30" t="str">
        <f>INDEX(Д4!$E$44:$AI$53,MATCH($D46,Д4!$D$44:$D$53),MATCH(R$7,Д4!$E$3:$AI$3))</f>
        <v/>
      </c>
      <c r="S46" s="30" t="str">
        <f>INDEX(Д4!$E$44:$AI$53,MATCH($D46,Д4!$D$44:$D$53),MATCH(S$7,Д4!$E$3:$AI$3))</f>
        <v/>
      </c>
      <c r="T46" s="30" t="str">
        <f>INDEX(Д4!$E$44:$AI$53,MATCH($D46,Д4!$D$44:$D$53),MATCH(T$7,Д4!$E$3:$AI$3))</f>
        <v/>
      </c>
      <c r="U46" s="30" t="str">
        <f>INDEX(Д4!$E$44:$AI$53,MATCH($D46,Д4!$D$44:$D$53),MATCH(U$7,Д4!$E$3:$AI$3))</f>
        <v/>
      </c>
      <c r="V46" s="30" t="str">
        <f>INDEX(Д4!$E$44:$AI$53,MATCH($D46,Д4!$D$44:$D$53),MATCH(V$7,Д4!$E$3:$AI$3))</f>
        <v/>
      </c>
      <c r="W46" s="30" t="str">
        <f>INDEX(Д4!$E$44:$AI$53,MATCH($D46,Д4!$D$44:$D$53),MATCH(W$7,Д4!$E$3:$AI$3))</f>
        <v/>
      </c>
      <c r="X46" s="30" t="str">
        <f>INDEX(Д4!$E$44:$AI$53,MATCH($D46,Д4!$D$44:$D$53),MATCH(X$7,Д4!$E$3:$AI$3))</f>
        <v/>
      </c>
      <c r="Y46" s="30" t="str">
        <f>INDEX(Д4!$E$44:$AI$53,MATCH($D46,Д4!$D$44:$D$53),MATCH(Y$7,Д4!$E$3:$AI$3))</f>
        <v/>
      </c>
      <c r="Z46" s="30" t="str">
        <f>INDEX(Д4!$E$44:$AI$53,MATCH($D46,Д4!$D$44:$D$53),MATCH(Z$7,Д4!$E$3:$AI$3))</f>
        <v/>
      </c>
      <c r="AA46" s="30" t="str">
        <f>INDEX(Д4!$E$44:$AI$53,MATCH($D46,Д4!$D$44:$D$53),MATCH(AA$7,Д4!$E$3:$AI$3))</f>
        <v/>
      </c>
      <c r="AB46" s="30" t="str">
        <f>INDEX(Д4!$E$44:$AI$53,MATCH($D46,Д4!$D$44:$D$53),MATCH(AB$7,Д4!$E$3:$AI$3))</f>
        <v/>
      </c>
      <c r="AC46" s="30" t="str">
        <f>INDEX(Д4!$E$44:$AI$53,MATCH($D46,Д4!$D$44:$D$53),MATCH(AC$7,Д4!$E$3:$AI$3))</f>
        <v/>
      </c>
      <c r="AD46" s="30" t="str">
        <f>INDEX(Д4!$E$44:$AI$53,MATCH($D46,Д4!$D$44:$D$53),MATCH(AD$7,Д4!$E$3:$AI$3))</f>
        <v/>
      </c>
      <c r="AE46" s="30" t="str">
        <f>INDEX(Д4!$E$44:$AI$53,MATCH($D46,Д4!$D$44:$D$53),MATCH(AE$7,Д4!$E$3:$AI$3))</f>
        <v/>
      </c>
      <c r="AF46" s="30" t="str">
        <f>INDEX(Д4!$E$44:$AI$53,MATCH($D46,Д4!$D$44:$D$53),MATCH(AF$7,Д4!$E$3:$AI$3))</f>
        <v/>
      </c>
      <c r="AG46" s="30" t="str">
        <f>INDEX(Д4!$E$44:$AI$53,MATCH($D46,Д4!$D$44:$D$53),MATCH(AG$7,Д4!$E$3:$AI$3))</f>
        <v/>
      </c>
      <c r="AH46" s="30" t="str">
        <f>INDEX(Д4!$E$44:$AI$53,MATCH($D46,Д4!$D$44:$D$53),MATCH(AH$7,Д4!$E$3:$AI$3))</f>
        <v/>
      </c>
      <c r="AI46" s="33" t="str">
        <f>INDEX(Д4!$E$44:$AI$53,MATCH($D46,Д4!$D$44:$D$53),MATCH(AI$7,Д4!$E$3:$AI$3))</f>
        <v/>
      </c>
      <c r="AJ46" s="143"/>
      <c r="AK46" s="145"/>
      <c r="AL46" s="145"/>
      <c r="AM46" s="150"/>
      <c r="AP46" s="136"/>
      <c r="AQ46" s="136"/>
      <c r="AR46" s="136"/>
      <c r="AS46" s="136"/>
      <c r="AT46" s="136"/>
      <c r="AU46" s="136"/>
      <c r="AV46" s="136"/>
      <c r="AW46" s="137"/>
      <c r="AX46" s="137"/>
    </row>
    <row r="47" spans="1:50" ht="16.5" customHeight="1" thickBot="1" x14ac:dyDescent="0.3">
      <c r="A47" s="147"/>
      <c r="B47" s="139" t="s">
        <v>99</v>
      </c>
      <c r="C47" s="170">
        <v>5</v>
      </c>
      <c r="D47" s="49">
        <v>9</v>
      </c>
      <c r="E47" s="62" t="str">
        <f>INDEX(Д4!$E$44:$AI$53,MATCH($D47,Д4!$D$44:$D$53),MATCH(E$7,Д4!$E$3:$AI$3))</f>
        <v>-</v>
      </c>
      <c r="F47" s="28" t="str">
        <f>INDEX(Д4!$E$44:$AI$53,MATCH($D47,Д4!$D$44:$D$53),MATCH(F$7,Д4!$E$3:$AI$3))</f>
        <v>-</v>
      </c>
      <c r="G47" s="28" t="str">
        <f>INDEX(Д4!$E$44:$AI$53,MATCH($D47,Д4!$D$44:$D$53),MATCH(G$7,Д4!$E$3:$AI$3))</f>
        <v>-</v>
      </c>
      <c r="H47" s="28" t="str">
        <f>INDEX(Д4!$E$44:$AI$53,MATCH($D47,Д4!$D$44:$D$53),MATCH(H$7,Д4!$E$3:$AI$3))</f>
        <v>-</v>
      </c>
      <c r="I47" s="28" t="str">
        <f>INDEX(Д4!$E$44:$AI$53,MATCH($D47,Д4!$D$44:$D$53),MATCH(I$7,Д4!$E$3:$AI$3))</f>
        <v>-</v>
      </c>
      <c r="J47" s="28" t="str">
        <f>INDEX(Д4!$E$44:$AI$53,MATCH($D47,Д4!$D$44:$D$53),MATCH(J$7,Д4!$E$3:$AI$3))</f>
        <v>-</v>
      </c>
      <c r="K47" s="28" t="str">
        <f>INDEX(Д4!$E$44:$AI$53,MATCH($D47,Д4!$D$44:$D$53),MATCH(K$7,Д4!$E$3:$AI$3))</f>
        <v>-</v>
      </c>
      <c r="L47" s="28" t="str">
        <f>INDEX(Д4!$E$44:$AI$53,MATCH($D47,Д4!$D$44:$D$53),MATCH(L$7,Д4!$E$3:$AI$3))</f>
        <v>-</v>
      </c>
      <c r="M47" s="28" t="str">
        <f>INDEX(Д4!$E$44:$AI$53,MATCH($D47,Д4!$D$44:$D$53),MATCH(M$7,Д4!$E$3:$AI$3))</f>
        <v>-</v>
      </c>
      <c r="N47" s="28" t="str">
        <f>INDEX(Д4!$E$44:$AI$53,MATCH($D47,Д4!$D$44:$D$53),MATCH(N$7,Д4!$E$3:$AI$3))</f>
        <v>-</v>
      </c>
      <c r="O47" s="28" t="str">
        <f>INDEX(Д4!$E$44:$AI$53,MATCH($D47,Д4!$D$44:$D$53),MATCH(O$7,Д4!$E$3:$AI$3))</f>
        <v>-</v>
      </c>
      <c r="P47" s="28" t="str">
        <f>INDEX(Д4!$E$44:$AI$53,MATCH($D47,Д4!$D$44:$D$53),MATCH(P$7,Д4!$E$3:$AI$3))</f>
        <v>-</v>
      </c>
      <c r="Q47" s="28" t="str">
        <f>INDEX(Д4!$E$44:$AI$53,MATCH($D47,Д4!$D$44:$D$53),MATCH(Q$7,Д4!$E$3:$AI$3))</f>
        <v>-</v>
      </c>
      <c r="R47" s="28" t="str">
        <f>INDEX(Д4!$E$44:$AI$53,MATCH($D47,Д4!$D$44:$D$53),MATCH(R$7,Д4!$E$3:$AI$3))</f>
        <v>-</v>
      </c>
      <c r="S47" s="28" t="str">
        <f>INDEX(Д4!$E$44:$AI$53,MATCH($D47,Д4!$D$44:$D$53),MATCH(S$7,Д4!$E$3:$AI$3))</f>
        <v>-</v>
      </c>
      <c r="T47" s="28" t="str">
        <f>INDEX(Д4!$E$44:$AI$53,MATCH($D47,Д4!$D$44:$D$53),MATCH(T$7,Д4!$E$3:$AI$3))</f>
        <v>-</v>
      </c>
      <c r="U47" s="28" t="str">
        <f>INDEX(Д4!$E$44:$AI$53,MATCH($D47,Д4!$D$44:$D$53),MATCH(U$7,Д4!$E$3:$AI$3))</f>
        <v>-</v>
      </c>
      <c r="V47" s="28" t="str">
        <f>INDEX(Д4!$E$44:$AI$53,MATCH($D47,Д4!$D$44:$D$53),MATCH(V$7,Д4!$E$3:$AI$3))</f>
        <v>-</v>
      </c>
      <c r="W47" s="28" t="str">
        <f>INDEX(Д4!$E$44:$AI$53,MATCH($D47,Д4!$D$44:$D$53),MATCH(W$7,Д4!$E$3:$AI$3))</f>
        <v>-</v>
      </c>
      <c r="X47" s="28" t="str">
        <f>INDEX(Д4!$E$44:$AI$53,MATCH($D47,Д4!$D$44:$D$53),MATCH(X$7,Д4!$E$3:$AI$3))</f>
        <v>-</v>
      </c>
      <c r="Y47" s="28" t="str">
        <f>INDEX(Д4!$E$44:$AI$53,MATCH($D47,Д4!$D$44:$D$53),MATCH(Y$7,Д4!$E$3:$AI$3))</f>
        <v>-</v>
      </c>
      <c r="Z47" s="28" t="str">
        <f>INDEX(Д4!$E$44:$AI$53,MATCH($D47,Д4!$D$44:$D$53),MATCH(Z$7,Д4!$E$3:$AI$3))</f>
        <v>-</v>
      </c>
      <c r="AA47" s="28" t="str">
        <f>INDEX(Д4!$E$44:$AI$53,MATCH($D47,Д4!$D$44:$D$53),MATCH(AA$7,Д4!$E$3:$AI$3))</f>
        <v>-</v>
      </c>
      <c r="AB47" s="28" t="str">
        <f>INDEX(Д4!$E$44:$AI$53,MATCH($D47,Д4!$D$44:$D$53),MATCH(AB$7,Д4!$E$3:$AI$3))</f>
        <v>-</v>
      </c>
      <c r="AC47" s="28" t="str">
        <f>INDEX(Д4!$E$44:$AI$53,MATCH($D47,Д4!$D$44:$D$53),MATCH(AC$7,Д4!$E$3:$AI$3))</f>
        <v>-</v>
      </c>
      <c r="AD47" s="28" t="str">
        <f>INDEX(Д4!$E$44:$AI$53,MATCH($D47,Д4!$D$44:$D$53),MATCH(AD$7,Д4!$E$3:$AI$3))</f>
        <v>-</v>
      </c>
      <c r="AE47" s="28" t="str">
        <f>INDEX(Д4!$E$44:$AI$53,MATCH($D47,Д4!$D$44:$D$53),MATCH(AE$7,Д4!$E$3:$AI$3))</f>
        <v>-</v>
      </c>
      <c r="AF47" s="28" t="str">
        <f>INDEX(Д4!$E$44:$AI$53,MATCH($D47,Д4!$D$44:$D$53),MATCH(AF$7,Д4!$E$3:$AI$3))</f>
        <v>-</v>
      </c>
      <c r="AG47" s="28" t="str">
        <f>INDEX(Д4!$E$44:$AI$53,MATCH($D47,Д4!$D$44:$D$53),MATCH(AG$7,Д4!$E$3:$AI$3))</f>
        <v>-</v>
      </c>
      <c r="AH47" s="28" t="str">
        <f>INDEX(Д4!$E$44:$AI$53,MATCH($D47,Д4!$D$44:$D$53),MATCH(AH$7,Д4!$E$3:$AI$3))</f>
        <v>-</v>
      </c>
      <c r="AI47" s="60" t="str">
        <f>INDEX(Д4!$E$44:$AI$53,MATCH($D47,Д4!$D$44:$D$53),MATCH(AI$7,Д4!$E$3:$AI$3))</f>
        <v>-</v>
      </c>
      <c r="AJ47" s="143">
        <f>INDEX(Д4!AK$44:$AK$53,MATCH($C47,Д4!$C$44:$C$53),MATCH(E$7,Д4!$E$3:$AI$3))*AND(MONTH($E$8)=MONTH(Д4!$B$44))</f>
        <v>144</v>
      </c>
      <c r="AK47" s="144">
        <f t="shared" ref="AK47" si="111">SUM(E47:AI48)</f>
        <v>0</v>
      </c>
      <c r="AL47" s="144"/>
      <c r="AM47" s="149">
        <f>SUM(F47:H48,J47:AI48)-AJ47+AL47-12</f>
        <v>-156</v>
      </c>
      <c r="AP47" s="136">
        <f t="shared" ref="AP47" si="112">COUNTIF($E47:$AI48,"12")</f>
        <v>0</v>
      </c>
      <c r="AQ47" s="136">
        <f t="shared" ref="AQ47" si="113">IF(COUNTIF($E47:$AI48,"СП")&gt;=1,(COUNTIF($E47:$AI48,"4")+COUNTIF($E47:$AI48,"8")-1)/2,(COUNTIF($E47:$AI48,"4")+COUNTIF($E47:$AI48,"8"))/2)</f>
        <v>-0.5</v>
      </c>
      <c r="AR47" s="136">
        <f t="shared" si="2"/>
        <v>0</v>
      </c>
      <c r="AS47" s="136">
        <f t="shared" ref="AS47" si="114">IF(COUNTIF($E47:$AI48,"СП")&gt;=1,SUMIF($E47:$AI48,"4",$E47:$AI48)+SUMIF($E47:$AI48,"8",$E47:$AI48)-8,SUMIF($E47:$AI48,"4",$E47:$AI48)+SUMIF($E47:$AI48,"8",$E47:$AI48))</f>
        <v>-8</v>
      </c>
      <c r="AT47" s="136">
        <f t="shared" ref="AT47" si="115">$AR47+$AS47</f>
        <v>-8</v>
      </c>
      <c r="AU47" s="136" t="str">
        <f t="shared" ref="AU47" si="116">IF(AK47=AT47,"+","!")</f>
        <v>!</v>
      </c>
      <c r="AV47" s="136">
        <f t="shared" ref="AV47" si="117">COUNTIF($E47:$AI48,"ОТ")</f>
        <v>0</v>
      </c>
      <c r="AW47" s="137" t="str">
        <f ca="1">IF(COUNTIF($A48:$AI48,"СП")&gt;0,IF(INDIRECT(ADDRESS(ROW(),MATCH("СП",$A48:$AI48),1))=8,"","!"),"")</f>
        <v>!</v>
      </c>
      <c r="AX47" s="137" t="str">
        <f ca="1">IF(COUNTIF($A48:$AI48,"СП")&gt;0,IF(INDIRECT(ADDRESS(ROW(),MATCH("СП",$A48:$AI48)-1,1))=4,"!",""),"")</f>
        <v/>
      </c>
    </row>
    <row r="48" spans="1:50" ht="16.5" thickBot="1" x14ac:dyDescent="0.3">
      <c r="A48" s="148"/>
      <c r="B48" s="140"/>
      <c r="C48" s="171"/>
      <c r="D48" s="50">
        <v>10</v>
      </c>
      <c r="E48" s="63" t="str">
        <f>INDEX(Д4!$E$44:$AI$53,MATCH($D48,Д4!$D$44:$D$53),MATCH(E$7,Д4!$E$3:$AI$3))</f>
        <v/>
      </c>
      <c r="F48" s="29" t="str">
        <f>INDEX(Д4!$E$44:$AI$53,MATCH($D48,Д4!$D$44:$D$53),MATCH(F$7,Д4!$E$3:$AI$3))</f>
        <v/>
      </c>
      <c r="G48" s="29" t="str">
        <f>INDEX(Д4!$E$44:$AI$53,MATCH($D48,Д4!$D$44:$D$53),MATCH(G$7,Д4!$E$3:$AI$3))</f>
        <v/>
      </c>
      <c r="H48" s="29" t="str">
        <f>INDEX(Д4!$E$44:$AI$53,MATCH($D48,Д4!$D$44:$D$53),MATCH(H$7,Д4!$E$3:$AI$3))</f>
        <v/>
      </c>
      <c r="I48" s="29" t="str">
        <f>INDEX(Д4!$E$44:$AI$53,MATCH($D48,Д4!$D$44:$D$53),MATCH(I$7,Д4!$E$3:$AI$3))</f>
        <v/>
      </c>
      <c r="J48" s="29" t="str">
        <f>INDEX(Д4!$E$44:$AI$53,MATCH($D48,Д4!$D$44:$D$53),MATCH(J$7,Д4!$E$3:$AI$3))</f>
        <v/>
      </c>
      <c r="K48" s="29" t="str">
        <f>INDEX(Д4!$E$44:$AI$53,MATCH($D48,Д4!$D$44:$D$53),MATCH(K$7,Д4!$E$3:$AI$3))</f>
        <v/>
      </c>
      <c r="L48" s="29" t="str">
        <f>INDEX(Д4!$E$44:$AI$53,MATCH($D48,Д4!$D$44:$D$53),MATCH(L$7,Д4!$E$3:$AI$3))</f>
        <v/>
      </c>
      <c r="M48" s="29" t="str">
        <f>INDEX(Д4!$E$44:$AI$53,MATCH($D48,Д4!$D$44:$D$53),MATCH(M$7,Д4!$E$3:$AI$3))</f>
        <v>СП</v>
      </c>
      <c r="N48" s="29" t="str">
        <f>INDEX(Д4!$E$44:$AI$53,MATCH($D48,Д4!$D$44:$D$53),MATCH(N$7,Д4!$E$3:$AI$3))</f>
        <v/>
      </c>
      <c r="O48" s="29" t="str">
        <f>INDEX(Д4!$E$44:$AI$53,MATCH($D48,Д4!$D$44:$D$53),MATCH(O$7,Д4!$E$3:$AI$3))</f>
        <v/>
      </c>
      <c r="P48" s="29" t="str">
        <f>INDEX(Д4!$E$44:$AI$53,MATCH($D48,Д4!$D$44:$D$53),MATCH(P$7,Д4!$E$3:$AI$3))</f>
        <v/>
      </c>
      <c r="Q48" s="29" t="str">
        <f>INDEX(Д4!$E$44:$AI$53,MATCH($D48,Д4!$D$44:$D$53),MATCH(Q$7,Д4!$E$3:$AI$3))</f>
        <v/>
      </c>
      <c r="R48" s="29" t="str">
        <f>INDEX(Д4!$E$44:$AI$53,MATCH($D48,Д4!$D$44:$D$53),MATCH(R$7,Д4!$E$3:$AI$3))</f>
        <v/>
      </c>
      <c r="S48" s="29" t="str">
        <f>INDEX(Д4!$E$44:$AI$53,MATCH($D48,Д4!$D$44:$D$53),MATCH(S$7,Д4!$E$3:$AI$3))</f>
        <v/>
      </c>
      <c r="T48" s="29" t="str">
        <f>INDEX(Д4!$E$44:$AI$53,MATCH($D48,Д4!$D$44:$D$53),MATCH(T$7,Д4!$E$3:$AI$3))</f>
        <v/>
      </c>
      <c r="U48" s="29" t="str">
        <f>INDEX(Д4!$E$44:$AI$53,MATCH($D48,Д4!$D$44:$D$53),MATCH(U$7,Д4!$E$3:$AI$3))</f>
        <v/>
      </c>
      <c r="V48" s="29" t="str">
        <f>INDEX(Д4!$E$44:$AI$53,MATCH($D48,Д4!$D$44:$D$53),MATCH(V$7,Д4!$E$3:$AI$3))</f>
        <v/>
      </c>
      <c r="W48" s="29" t="str">
        <f>INDEX(Д4!$E$44:$AI$53,MATCH($D48,Д4!$D$44:$D$53),MATCH(W$7,Д4!$E$3:$AI$3))</f>
        <v/>
      </c>
      <c r="X48" s="29" t="str">
        <f>INDEX(Д4!$E$44:$AI$53,MATCH($D48,Д4!$D$44:$D$53),MATCH(X$7,Д4!$E$3:$AI$3))</f>
        <v/>
      </c>
      <c r="Y48" s="29" t="str">
        <f>INDEX(Д4!$E$44:$AI$53,MATCH($D48,Д4!$D$44:$D$53),MATCH(Y$7,Д4!$E$3:$AI$3))</f>
        <v/>
      </c>
      <c r="Z48" s="29" t="str">
        <f>INDEX(Д4!$E$44:$AI$53,MATCH($D48,Д4!$D$44:$D$53),MATCH(Z$7,Д4!$E$3:$AI$3))</f>
        <v/>
      </c>
      <c r="AA48" s="29" t="str">
        <f>INDEX(Д4!$E$44:$AI$53,MATCH($D48,Д4!$D$44:$D$53),MATCH(AA$7,Д4!$E$3:$AI$3))</f>
        <v/>
      </c>
      <c r="AB48" s="29" t="str">
        <f>INDEX(Д4!$E$44:$AI$53,MATCH($D48,Д4!$D$44:$D$53),MATCH(AB$7,Д4!$E$3:$AI$3))</f>
        <v/>
      </c>
      <c r="AC48" s="29" t="str">
        <f>INDEX(Д4!$E$44:$AI$53,MATCH($D48,Д4!$D$44:$D$53),MATCH(AC$7,Д4!$E$3:$AI$3))</f>
        <v/>
      </c>
      <c r="AD48" s="29" t="str">
        <f>INDEX(Д4!$E$44:$AI$53,MATCH($D48,Д4!$D$44:$D$53),MATCH(AD$7,Д4!$E$3:$AI$3))</f>
        <v/>
      </c>
      <c r="AE48" s="29" t="str">
        <f>INDEX(Д4!$E$44:$AI$53,MATCH($D48,Д4!$D$44:$D$53),MATCH(AE$7,Д4!$E$3:$AI$3))</f>
        <v/>
      </c>
      <c r="AF48" s="29" t="str">
        <f>INDEX(Д4!$E$44:$AI$53,MATCH($D48,Д4!$D$44:$D$53),MATCH(AF$7,Д4!$E$3:$AI$3))</f>
        <v/>
      </c>
      <c r="AG48" s="29" t="str">
        <f>INDEX(Д4!$E$44:$AI$53,MATCH($D48,Д4!$D$44:$D$53),MATCH(AG$7,Д4!$E$3:$AI$3))</f>
        <v/>
      </c>
      <c r="AH48" s="29" t="str">
        <f>INDEX(Д4!$E$44:$AI$53,MATCH($D48,Д4!$D$44:$D$53),MATCH(AH$7,Д4!$E$3:$AI$3))</f>
        <v/>
      </c>
      <c r="AI48" s="29" t="str">
        <f>INDEX(Д4!$E$44:$AI$53,MATCH($D48,Д4!$D$44:$D$53),MATCH(AI$7,Д4!$E$3:$AI$3))</f>
        <v/>
      </c>
      <c r="AJ48" s="143"/>
      <c r="AK48" s="145"/>
      <c r="AL48" s="145"/>
      <c r="AM48" s="150"/>
      <c r="AP48" s="136"/>
      <c r="AQ48" s="136"/>
      <c r="AR48" s="136"/>
      <c r="AS48" s="136"/>
      <c r="AT48" s="136"/>
      <c r="AU48" s="136"/>
      <c r="AV48" s="136"/>
      <c r="AW48" s="137"/>
      <c r="AX48" s="137"/>
    </row>
    <row r="49" spans="1:49" x14ac:dyDescent="0.25">
      <c r="AP49" s="5"/>
      <c r="AQ49" s="5"/>
      <c r="AR49" s="5"/>
      <c r="AS49" s="5"/>
      <c r="AT49" s="5"/>
      <c r="AU49" s="5"/>
      <c r="AV49" s="5"/>
      <c r="AW49" s="5"/>
    </row>
    <row r="50" spans="1:49" ht="15.75" x14ac:dyDescent="0.25">
      <c r="B50" s="131" t="s">
        <v>71</v>
      </c>
      <c r="C50" s="132"/>
      <c r="D50" s="165" t="s">
        <v>72</v>
      </c>
      <c r="E50" s="165"/>
      <c r="F50" s="165"/>
      <c r="G50" s="165"/>
      <c r="H50" s="165"/>
      <c r="I50" s="132"/>
      <c r="J50" s="166" t="s">
        <v>73</v>
      </c>
      <c r="K50" s="166"/>
      <c r="L50" s="166"/>
      <c r="M50" s="132"/>
      <c r="N50" s="167" t="s">
        <v>74</v>
      </c>
      <c r="O50" s="167"/>
      <c r="P50" s="167"/>
      <c r="Q50" s="167"/>
      <c r="R50" s="132"/>
      <c r="S50" s="168" t="s">
        <v>75</v>
      </c>
      <c r="T50" s="168"/>
      <c r="U50" s="168"/>
      <c r="V50" s="168"/>
      <c r="W50" s="168"/>
      <c r="X50" s="168"/>
      <c r="Y50" s="168"/>
      <c r="Z50" s="168"/>
      <c r="AA50" s="168"/>
      <c r="AB50" s="168"/>
      <c r="AC50" s="168"/>
      <c r="AD50" s="132"/>
      <c r="AE50" s="169" t="s">
        <v>76</v>
      </c>
      <c r="AF50" s="169"/>
      <c r="AG50" s="169"/>
      <c r="AH50" s="169"/>
      <c r="AI50" s="169"/>
      <c r="AJ50" s="169"/>
      <c r="AK50" s="169"/>
      <c r="AL50" s="132"/>
      <c r="AP50" s="5"/>
      <c r="AQ50" s="5"/>
      <c r="AR50" s="5"/>
      <c r="AS50" s="5"/>
      <c r="AT50" s="5"/>
      <c r="AU50" s="5"/>
      <c r="AV50" s="5"/>
      <c r="AW50" s="5"/>
    </row>
    <row r="51" spans="1:49" ht="15.75" thickBot="1" x14ac:dyDescent="0.3">
      <c r="AP51" s="5"/>
      <c r="AQ51" s="5"/>
      <c r="AR51" s="5"/>
      <c r="AS51" s="5"/>
      <c r="AT51" s="5"/>
      <c r="AU51" s="5"/>
      <c r="AV51" s="5"/>
      <c r="AW51" s="5"/>
    </row>
    <row r="52" spans="1:49" x14ac:dyDescent="0.25">
      <c r="A52" s="138" t="s">
        <v>12</v>
      </c>
      <c r="B52" s="8" t="str">
        <f>$A$9</f>
        <v>Должность1</v>
      </c>
      <c r="C52" s="8"/>
      <c r="D52" s="8"/>
      <c r="E52" s="16" t="str">
        <f ca="1">IF(AND(COUNTIF(E$9:E$18,"12")&gt;=1,COUNTIF(E$9:E$18,"4")&gt;=1,COUNTIF(E$9:E$18,"8")&gt;=1),"","!")</f>
        <v/>
      </c>
      <c r="F52" s="16" t="str">
        <f t="shared" ref="F52:AH52" ca="1" si="118">IF(AND(COUNTIF(F$9:F$18,"12")&gt;=1,COUNTIF(F$9:F$18,"4")&gt;=1,COUNTIF(F$9:F$18,"8")&gt;=1),"","!")</f>
        <v/>
      </c>
      <c r="G52" s="16" t="str">
        <f t="shared" ca="1" si="118"/>
        <v/>
      </c>
      <c r="H52" s="16" t="str">
        <f t="shared" ca="1" si="118"/>
        <v/>
      </c>
      <c r="I52" s="16" t="str">
        <f t="shared" ca="1" si="118"/>
        <v/>
      </c>
      <c r="J52" s="16" t="str">
        <f t="shared" ca="1" si="118"/>
        <v/>
      </c>
      <c r="K52" s="16" t="str">
        <f t="shared" ca="1" si="118"/>
        <v/>
      </c>
      <c r="L52" s="16" t="str">
        <f t="shared" ca="1" si="118"/>
        <v/>
      </c>
      <c r="M52" s="16" t="str">
        <f t="shared" ca="1" si="118"/>
        <v/>
      </c>
      <c r="N52" s="16" t="str">
        <f t="shared" ca="1" si="118"/>
        <v/>
      </c>
      <c r="O52" s="16" t="str">
        <f t="shared" ca="1" si="118"/>
        <v/>
      </c>
      <c r="P52" s="16" t="str">
        <f t="shared" ca="1" si="118"/>
        <v/>
      </c>
      <c r="Q52" s="16" t="str">
        <f t="shared" ca="1" si="118"/>
        <v/>
      </c>
      <c r="R52" s="16" t="str">
        <f t="shared" ca="1" si="118"/>
        <v/>
      </c>
      <c r="S52" s="16" t="str">
        <f t="shared" ca="1" si="118"/>
        <v/>
      </c>
      <c r="T52" s="16" t="str">
        <f t="shared" ca="1" si="118"/>
        <v/>
      </c>
      <c r="U52" s="16" t="str">
        <f t="shared" ca="1" si="118"/>
        <v/>
      </c>
      <c r="V52" s="16" t="str">
        <f t="shared" ca="1" si="118"/>
        <v/>
      </c>
      <c r="W52" s="16" t="str">
        <f t="shared" ca="1" si="118"/>
        <v/>
      </c>
      <c r="X52" s="16" t="str">
        <f t="shared" ca="1" si="118"/>
        <v/>
      </c>
      <c r="Y52" s="16" t="str">
        <f t="shared" ca="1" si="118"/>
        <v/>
      </c>
      <c r="Z52" s="16" t="str">
        <f t="shared" ca="1" si="118"/>
        <v/>
      </c>
      <c r="AA52" s="16" t="str">
        <f t="shared" ca="1" si="118"/>
        <v/>
      </c>
      <c r="AB52" s="16" t="str">
        <f t="shared" ca="1" si="118"/>
        <v/>
      </c>
      <c r="AC52" s="16" t="str">
        <f t="shared" ca="1" si="118"/>
        <v/>
      </c>
      <c r="AD52" s="16" t="str">
        <f t="shared" ca="1" si="118"/>
        <v/>
      </c>
      <c r="AE52" s="16" t="str">
        <f t="shared" ca="1" si="118"/>
        <v/>
      </c>
      <c r="AF52" s="16" t="str">
        <f t="shared" ca="1" si="118"/>
        <v/>
      </c>
      <c r="AG52" s="16" t="str">
        <f t="shared" ca="1" si="118"/>
        <v/>
      </c>
      <c r="AH52" s="16" t="str">
        <f t="shared" ca="1" si="118"/>
        <v/>
      </c>
      <c r="AI52" s="16" t="str">
        <f ca="1">IF(AND(COUNTIF(AI$9:AI$18,"12")&gt;=1,COUNTIF(AI$9:AI$18,"4")&gt;=1,COUNTIF(AI$9:AI$18,"8")&gt;=1),"","!")</f>
        <v/>
      </c>
      <c r="AP52" s="5"/>
      <c r="AQ52" s="5"/>
      <c r="AR52" s="5"/>
      <c r="AS52" s="5"/>
      <c r="AT52" s="5"/>
      <c r="AU52" s="5"/>
      <c r="AV52" s="5"/>
      <c r="AW52" s="5"/>
    </row>
    <row r="53" spans="1:49" x14ac:dyDescent="0.25">
      <c r="A53" s="134"/>
      <c r="B53" t="str">
        <f>$A$19</f>
        <v>Должность2</v>
      </c>
      <c r="E53" s="5" t="str">
        <f ca="1">IF(AND(COUNTIF(E$19:E$28,"12")&gt;=1,COUNTIF(E$19:E$28,"4")&gt;=1,COUNTIF(E$19:E$28,"8")&gt;=1),"","!")</f>
        <v/>
      </c>
      <c r="F53" s="5" t="str">
        <f t="shared" ref="F53:AI53" ca="1" si="119">IF(AND(COUNTIF(F$19:F$28,"12")&gt;=1,COUNTIF(F$19:F$28,"4")&gt;=1,COUNTIF(F$19:F$28,"8")&gt;=1),"","!")</f>
        <v/>
      </c>
      <c r="G53" s="5" t="str">
        <f t="shared" ca="1" si="119"/>
        <v/>
      </c>
      <c r="H53" s="5" t="str">
        <f t="shared" ca="1" si="119"/>
        <v/>
      </c>
      <c r="I53" s="5" t="str">
        <f t="shared" ca="1" si="119"/>
        <v/>
      </c>
      <c r="J53" s="5" t="str">
        <f t="shared" ca="1" si="119"/>
        <v/>
      </c>
      <c r="K53" s="5" t="str">
        <f t="shared" ca="1" si="119"/>
        <v/>
      </c>
      <c r="L53" s="5" t="str">
        <f t="shared" ca="1" si="119"/>
        <v/>
      </c>
      <c r="M53" s="5" t="str">
        <f t="shared" ca="1" si="119"/>
        <v/>
      </c>
      <c r="N53" s="5" t="str">
        <f t="shared" ca="1" si="119"/>
        <v/>
      </c>
      <c r="O53" s="5" t="str">
        <f t="shared" ca="1" si="119"/>
        <v/>
      </c>
      <c r="P53" s="5" t="str">
        <f t="shared" ca="1" si="119"/>
        <v/>
      </c>
      <c r="Q53" s="5" t="str">
        <f t="shared" ca="1" si="119"/>
        <v/>
      </c>
      <c r="R53" s="5" t="str">
        <f t="shared" ca="1" si="119"/>
        <v/>
      </c>
      <c r="S53" s="5" t="str">
        <f t="shared" ca="1" si="119"/>
        <v/>
      </c>
      <c r="T53" s="5" t="str">
        <f t="shared" ca="1" si="119"/>
        <v/>
      </c>
      <c r="U53" s="5" t="str">
        <f t="shared" ca="1" si="119"/>
        <v/>
      </c>
      <c r="V53" s="5" t="str">
        <f t="shared" ca="1" si="119"/>
        <v/>
      </c>
      <c r="W53" s="5" t="str">
        <f t="shared" ca="1" si="119"/>
        <v/>
      </c>
      <c r="X53" s="5" t="str">
        <f t="shared" ca="1" si="119"/>
        <v/>
      </c>
      <c r="Y53" s="5" t="str">
        <f t="shared" ca="1" si="119"/>
        <v/>
      </c>
      <c r="Z53" s="5" t="str">
        <f t="shared" ca="1" si="119"/>
        <v/>
      </c>
      <c r="AA53" s="5" t="str">
        <f t="shared" ca="1" si="119"/>
        <v/>
      </c>
      <c r="AB53" s="5" t="str">
        <f t="shared" ca="1" si="119"/>
        <v/>
      </c>
      <c r="AC53" s="5" t="str">
        <f t="shared" ca="1" si="119"/>
        <v/>
      </c>
      <c r="AD53" s="5" t="str">
        <f t="shared" ca="1" si="119"/>
        <v/>
      </c>
      <c r="AE53" s="5" t="str">
        <f t="shared" ca="1" si="119"/>
        <v/>
      </c>
      <c r="AF53" s="5" t="str">
        <f t="shared" ca="1" si="119"/>
        <v/>
      </c>
      <c r="AG53" s="5" t="str">
        <f t="shared" ca="1" si="119"/>
        <v/>
      </c>
      <c r="AH53" s="5" t="str">
        <f t="shared" ca="1" si="119"/>
        <v/>
      </c>
      <c r="AI53" s="5" t="str">
        <f t="shared" ca="1" si="119"/>
        <v/>
      </c>
      <c r="AP53" s="5"/>
      <c r="AQ53" s="5"/>
      <c r="AR53" s="5"/>
      <c r="AS53" s="5"/>
      <c r="AT53" s="5"/>
      <c r="AU53" s="5"/>
      <c r="AV53" s="5"/>
      <c r="AW53" s="5"/>
    </row>
    <row r="54" spans="1:49" x14ac:dyDescent="0.25">
      <c r="A54" s="134"/>
      <c r="B54" t="str">
        <f>$A$29</f>
        <v>Должность3</v>
      </c>
      <c r="E54" s="5" t="str">
        <f ca="1">IF(AND(COUNTIF(E$29:E$38,"12")&gt;=1,COUNTIF(E$29:E$38,"4")&gt;=1,COUNTIF(E$29:E$38,"8")&gt;=1),"","!")</f>
        <v/>
      </c>
      <c r="F54" s="5" t="str">
        <f t="shared" ref="F54:AI54" ca="1" si="120">IF(AND(COUNTIF(F$29:F$38,"12")&gt;=1,COUNTIF(F$29:F$38,"4")&gt;=1,COUNTIF(F$29:F$38,"8")&gt;=1),"","!")</f>
        <v/>
      </c>
      <c r="G54" s="5" t="str">
        <f t="shared" ca="1" si="120"/>
        <v/>
      </c>
      <c r="H54" s="5" t="str">
        <f t="shared" ca="1" si="120"/>
        <v/>
      </c>
      <c r="I54" s="5" t="str">
        <f t="shared" ca="1" si="120"/>
        <v/>
      </c>
      <c r="J54" s="5" t="str">
        <f t="shared" ca="1" si="120"/>
        <v/>
      </c>
      <c r="K54" s="5" t="str">
        <f t="shared" ca="1" si="120"/>
        <v/>
      </c>
      <c r="L54" s="5" t="str">
        <f t="shared" ca="1" si="120"/>
        <v/>
      </c>
      <c r="M54" s="5" t="str">
        <f t="shared" ca="1" si="120"/>
        <v/>
      </c>
      <c r="N54" s="5" t="str">
        <f t="shared" ca="1" si="120"/>
        <v/>
      </c>
      <c r="O54" s="5" t="str">
        <f t="shared" ca="1" si="120"/>
        <v/>
      </c>
      <c r="P54" s="5" t="str">
        <f t="shared" ca="1" si="120"/>
        <v/>
      </c>
      <c r="Q54" s="5" t="str">
        <f t="shared" ca="1" si="120"/>
        <v/>
      </c>
      <c r="R54" s="5" t="str">
        <f t="shared" ca="1" si="120"/>
        <v/>
      </c>
      <c r="S54" s="5" t="str">
        <f t="shared" ca="1" si="120"/>
        <v/>
      </c>
      <c r="T54" s="5" t="str">
        <f t="shared" ca="1" si="120"/>
        <v/>
      </c>
      <c r="U54" s="5" t="str">
        <f t="shared" ca="1" si="120"/>
        <v/>
      </c>
      <c r="V54" s="5" t="str">
        <f t="shared" ca="1" si="120"/>
        <v/>
      </c>
      <c r="W54" s="5" t="str">
        <f t="shared" ca="1" si="120"/>
        <v/>
      </c>
      <c r="X54" s="5" t="str">
        <f t="shared" ca="1" si="120"/>
        <v/>
      </c>
      <c r="Y54" s="5" t="str">
        <f t="shared" ca="1" si="120"/>
        <v/>
      </c>
      <c r="Z54" s="5" t="str">
        <f t="shared" ca="1" si="120"/>
        <v/>
      </c>
      <c r="AA54" s="5" t="str">
        <f t="shared" ca="1" si="120"/>
        <v/>
      </c>
      <c r="AB54" s="5" t="str">
        <f t="shared" ca="1" si="120"/>
        <v/>
      </c>
      <c r="AC54" s="5" t="str">
        <f t="shared" ca="1" si="120"/>
        <v/>
      </c>
      <c r="AD54" s="5" t="str">
        <f t="shared" ca="1" si="120"/>
        <v/>
      </c>
      <c r="AE54" s="5" t="str">
        <f t="shared" ca="1" si="120"/>
        <v/>
      </c>
      <c r="AF54" s="5" t="str">
        <f t="shared" ca="1" si="120"/>
        <v/>
      </c>
      <c r="AG54" s="5" t="str">
        <f t="shared" ca="1" si="120"/>
        <v/>
      </c>
      <c r="AH54" s="5" t="str">
        <f t="shared" ca="1" si="120"/>
        <v/>
      </c>
      <c r="AI54" s="5" t="str">
        <f t="shared" ca="1" si="120"/>
        <v/>
      </c>
      <c r="AP54" s="5"/>
      <c r="AQ54" s="5"/>
      <c r="AR54" s="5"/>
      <c r="AS54" s="5"/>
      <c r="AT54" s="5"/>
      <c r="AU54" s="5"/>
      <c r="AV54" s="5"/>
      <c r="AW54" s="5"/>
    </row>
    <row r="55" spans="1:49" x14ac:dyDescent="0.25">
      <c r="A55" s="134"/>
      <c r="B55" t="str">
        <f>$A$39</f>
        <v>Должность4</v>
      </c>
      <c r="E55" s="5" t="str">
        <f ca="1">IF(AND(COUNTIF(E$39:E$48,"12")&gt;=1,COUNTIF(E$39:E$48,"4")&gt;=1,COUNTIF(E$39:E$48,"8")&gt;=1),"","!")</f>
        <v/>
      </c>
      <c r="F55" s="5" t="str">
        <f t="shared" ref="F55:AI55" ca="1" si="121">IF(AND(COUNTIF(F$39:F$48,"12")&gt;=1,COUNTIF(F$39:F$48,"4")&gt;=1,COUNTIF(F$39:F$48,"8")&gt;=1),"","!")</f>
        <v/>
      </c>
      <c r="G55" s="5" t="str">
        <f t="shared" ca="1" si="121"/>
        <v/>
      </c>
      <c r="H55" s="5" t="str">
        <f t="shared" ca="1" si="121"/>
        <v/>
      </c>
      <c r="I55" s="5" t="str">
        <f t="shared" ca="1" si="121"/>
        <v/>
      </c>
      <c r="J55" s="5" t="str">
        <f t="shared" ca="1" si="121"/>
        <v/>
      </c>
      <c r="K55" s="5" t="str">
        <f t="shared" ca="1" si="121"/>
        <v/>
      </c>
      <c r="L55" s="5" t="str">
        <f t="shared" ca="1" si="121"/>
        <v/>
      </c>
      <c r="M55" s="5" t="str">
        <f t="shared" ca="1" si="121"/>
        <v/>
      </c>
      <c r="N55" s="5" t="str">
        <f t="shared" ca="1" si="121"/>
        <v/>
      </c>
      <c r="O55" s="5" t="str">
        <f t="shared" ca="1" si="121"/>
        <v/>
      </c>
      <c r="P55" s="5" t="str">
        <f t="shared" ca="1" si="121"/>
        <v/>
      </c>
      <c r="Q55" s="5" t="str">
        <f t="shared" ca="1" si="121"/>
        <v/>
      </c>
      <c r="R55" s="5" t="str">
        <f t="shared" ca="1" si="121"/>
        <v/>
      </c>
      <c r="S55" s="5" t="str">
        <f t="shared" ca="1" si="121"/>
        <v/>
      </c>
      <c r="T55" s="5" t="str">
        <f t="shared" ca="1" si="121"/>
        <v/>
      </c>
      <c r="U55" s="5" t="str">
        <f t="shared" ca="1" si="121"/>
        <v/>
      </c>
      <c r="V55" s="5" t="str">
        <f t="shared" ca="1" si="121"/>
        <v/>
      </c>
      <c r="W55" s="5" t="str">
        <f t="shared" ca="1" si="121"/>
        <v/>
      </c>
      <c r="X55" s="5" t="str">
        <f t="shared" ca="1" si="121"/>
        <v/>
      </c>
      <c r="Y55" s="5" t="str">
        <f t="shared" ca="1" si="121"/>
        <v/>
      </c>
      <c r="Z55" s="5" t="str">
        <f t="shared" ca="1" si="121"/>
        <v/>
      </c>
      <c r="AA55" s="5" t="str">
        <f t="shared" ca="1" si="121"/>
        <v/>
      </c>
      <c r="AB55" s="5" t="str">
        <f t="shared" ca="1" si="121"/>
        <v/>
      </c>
      <c r="AC55" s="5" t="str">
        <f t="shared" ca="1" si="121"/>
        <v/>
      </c>
      <c r="AD55" s="5" t="str">
        <f t="shared" ca="1" si="121"/>
        <v/>
      </c>
      <c r="AE55" s="5" t="str">
        <f t="shared" ca="1" si="121"/>
        <v/>
      </c>
      <c r="AF55" s="5" t="str">
        <f t="shared" ca="1" si="121"/>
        <v/>
      </c>
      <c r="AG55" s="5" t="str">
        <f t="shared" ca="1" si="121"/>
        <v/>
      </c>
      <c r="AH55" s="5" t="str">
        <f t="shared" ca="1" si="121"/>
        <v/>
      </c>
      <c r="AI55" s="5" t="str">
        <f t="shared" ca="1" si="121"/>
        <v/>
      </c>
      <c r="AP55" s="5"/>
      <c r="AQ55" s="5"/>
      <c r="AR55" s="5"/>
      <c r="AS55" s="5"/>
      <c r="AT55" s="5"/>
      <c r="AU55" s="5"/>
      <c r="AV55" s="5"/>
      <c r="AW55" s="5"/>
    </row>
    <row r="56" spans="1:49" ht="5.45" customHeight="1" x14ac:dyDescent="0.25">
      <c r="A56" s="10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7"/>
      <c r="AI56" s="17"/>
      <c r="AP56" s="5"/>
      <c r="AQ56" s="5"/>
      <c r="AR56" s="5"/>
      <c r="AS56" s="5"/>
      <c r="AT56" s="5"/>
      <c r="AU56" s="5"/>
      <c r="AV56" s="5"/>
      <c r="AW56" s="5"/>
    </row>
    <row r="57" spans="1:49" x14ac:dyDescent="0.25">
      <c r="A57" s="134" t="s">
        <v>10</v>
      </c>
      <c r="B57" t="str">
        <f>$A$9</f>
        <v>Должность1</v>
      </c>
      <c r="E57" s="5" t="str">
        <f ca="1">IF(COUNTIF(E$9:E$18,"12")&gt;1,CONCATENATE("12*",COUNTIF(E$9:E$18,"12")),IF(COUNTIF(E$9:E$18,"4")&gt;1,CONCATENATE("4*",COUNTIF(E$9:E$18,"4")),IF(COUNTIF(E$9:E$18,"8")&gt;1,CONCATENATE("8*",COUNTIF(E$9:E$18,"8")),"")))</f>
        <v/>
      </c>
      <c r="F57" s="5" t="str">
        <f t="shared" ref="F57:AH57" ca="1" si="122">IF(COUNTIF(F$9:F$18,"12")&gt;1,CONCATENATE("12*",COUNTIF(F$9:F$18,"12")),IF(COUNTIF(F$9:F$18,"4")&gt;1,CONCATENATE("4*",COUNTIF(F$9:F$18,"4")),IF(COUNTIF(F$9:F$18,"8")&gt;1,CONCATENATE("8*",COUNTIF(F$9:F$18,"8")),"")))</f>
        <v/>
      </c>
      <c r="G57" s="5" t="str">
        <f t="shared" ca="1" si="122"/>
        <v/>
      </c>
      <c r="H57" s="5" t="str">
        <f t="shared" ca="1" si="122"/>
        <v/>
      </c>
      <c r="I57" s="5" t="str">
        <f t="shared" ca="1" si="122"/>
        <v/>
      </c>
      <c r="J57" s="5" t="str">
        <f t="shared" ca="1" si="122"/>
        <v/>
      </c>
      <c r="K57" s="5" t="str">
        <f t="shared" ca="1" si="122"/>
        <v/>
      </c>
      <c r="L57" s="5" t="str">
        <f t="shared" ca="1" si="122"/>
        <v/>
      </c>
      <c r="M57" s="5" t="str">
        <f t="shared" ca="1" si="122"/>
        <v/>
      </c>
      <c r="N57" s="5" t="str">
        <f t="shared" ca="1" si="122"/>
        <v/>
      </c>
      <c r="O57" s="5" t="str">
        <f t="shared" ca="1" si="122"/>
        <v/>
      </c>
      <c r="P57" s="5" t="str">
        <f t="shared" ca="1" si="122"/>
        <v/>
      </c>
      <c r="Q57" s="5" t="str">
        <f t="shared" ca="1" si="122"/>
        <v/>
      </c>
      <c r="R57" s="5" t="str">
        <f t="shared" ca="1" si="122"/>
        <v/>
      </c>
      <c r="S57" s="5" t="str">
        <f t="shared" ca="1" si="122"/>
        <v/>
      </c>
      <c r="T57" s="5" t="str">
        <f t="shared" ca="1" si="122"/>
        <v/>
      </c>
      <c r="U57" s="5" t="str">
        <f t="shared" ca="1" si="122"/>
        <v/>
      </c>
      <c r="V57" s="5" t="str">
        <f t="shared" ca="1" si="122"/>
        <v/>
      </c>
      <c r="W57" s="5" t="str">
        <f t="shared" ca="1" si="122"/>
        <v/>
      </c>
      <c r="X57" s="5" t="str">
        <f t="shared" ca="1" si="122"/>
        <v/>
      </c>
      <c r="Y57" s="5" t="str">
        <f t="shared" ca="1" si="122"/>
        <v/>
      </c>
      <c r="Z57" s="5" t="str">
        <f t="shared" ca="1" si="122"/>
        <v/>
      </c>
      <c r="AA57" s="5" t="str">
        <f t="shared" ca="1" si="122"/>
        <v/>
      </c>
      <c r="AB57" s="5" t="str">
        <f t="shared" ca="1" si="122"/>
        <v/>
      </c>
      <c r="AC57" s="5" t="str">
        <f t="shared" ca="1" si="122"/>
        <v/>
      </c>
      <c r="AD57" s="5" t="str">
        <f t="shared" ca="1" si="122"/>
        <v/>
      </c>
      <c r="AE57" s="5" t="str">
        <f t="shared" ca="1" si="122"/>
        <v/>
      </c>
      <c r="AF57" s="5" t="str">
        <f t="shared" ca="1" si="122"/>
        <v/>
      </c>
      <c r="AG57" s="5" t="str">
        <f t="shared" ca="1" si="122"/>
        <v/>
      </c>
      <c r="AH57" s="5" t="str">
        <f t="shared" ca="1" si="122"/>
        <v/>
      </c>
      <c r="AI57" s="5" t="str">
        <f ca="1">IF(COUNTIF(AI$9:AI$18,"12")&gt;1,CONCATENATE("12*",COUNTIF(AI$9:AI$18,"12")),IF(COUNTIF(AI$9:AI$18,"4")&gt;1,CONCATENATE("4*",COUNTIF(AI$9:AI$18,"4")),IF(COUNTIF(AI$9:AI$18,"8")&gt;1,CONCATENATE("8*",COUNTIF(AI$9:AI$18,"8")),"")))</f>
        <v/>
      </c>
    </row>
    <row r="58" spans="1:49" x14ac:dyDescent="0.25">
      <c r="A58" s="134"/>
      <c r="B58" t="str">
        <f>$A$19</f>
        <v>Должность2</v>
      </c>
      <c r="E58" s="5" t="str">
        <f ca="1">IF(COUNTIF(E$19:E$28,"12")&gt;1,CONCATENATE("12*",COUNTIF(E$19:E$28,"12")),IF(COUNTIF(E$19:E$28,"4")&gt;1,CONCATENATE("4*",COUNTIF(E$19:E$28,"4")),IF(COUNTIF(E$19:E$28,"8")&gt;1,CONCATENATE("8*",COUNTIF(E$19:E$28,"8")),"")))</f>
        <v/>
      </c>
      <c r="F58" s="5" t="str">
        <f t="shared" ref="F58:AI58" ca="1" si="123">IF(COUNTIF(F$19:F$28,"12")&gt;1,CONCATENATE("12*",COUNTIF(F$19:F$28,"12")),IF(COUNTIF(F$19:F$28,"4")&gt;1,CONCATENATE("4*",COUNTIF(F$19:F$28,"4")),IF(COUNTIF(F$19:F$28,"8")&gt;1,CONCATENATE("8*",COUNTIF(F$19:F$28,"8")),"")))</f>
        <v/>
      </c>
      <c r="G58" s="5" t="str">
        <f t="shared" ca="1" si="123"/>
        <v/>
      </c>
      <c r="H58" s="5" t="str">
        <f t="shared" ca="1" si="123"/>
        <v/>
      </c>
      <c r="I58" s="5" t="str">
        <f t="shared" ca="1" si="123"/>
        <v/>
      </c>
      <c r="J58" s="5" t="str">
        <f t="shared" ca="1" si="123"/>
        <v/>
      </c>
      <c r="K58" s="5" t="str">
        <f t="shared" ca="1" si="123"/>
        <v/>
      </c>
      <c r="L58" s="5" t="str">
        <f t="shared" ca="1" si="123"/>
        <v/>
      </c>
      <c r="M58" s="5" t="str">
        <f t="shared" ca="1" si="123"/>
        <v/>
      </c>
      <c r="N58" s="5" t="str">
        <f t="shared" ca="1" si="123"/>
        <v/>
      </c>
      <c r="O58" s="5" t="str">
        <f t="shared" ca="1" si="123"/>
        <v/>
      </c>
      <c r="P58" s="5" t="str">
        <f t="shared" ca="1" si="123"/>
        <v/>
      </c>
      <c r="Q58" s="5" t="str">
        <f t="shared" ca="1" si="123"/>
        <v/>
      </c>
      <c r="R58" s="5" t="str">
        <f t="shared" ca="1" si="123"/>
        <v/>
      </c>
      <c r="S58" s="5" t="str">
        <f t="shared" ca="1" si="123"/>
        <v/>
      </c>
      <c r="T58" s="5" t="str">
        <f t="shared" ca="1" si="123"/>
        <v/>
      </c>
      <c r="U58" s="5" t="str">
        <f t="shared" ca="1" si="123"/>
        <v/>
      </c>
      <c r="V58" s="5" t="str">
        <f t="shared" ca="1" si="123"/>
        <v/>
      </c>
      <c r="W58" s="5" t="str">
        <f t="shared" ca="1" si="123"/>
        <v/>
      </c>
      <c r="X58" s="5" t="str">
        <f t="shared" ca="1" si="123"/>
        <v/>
      </c>
      <c r="Y58" s="5" t="str">
        <f t="shared" ca="1" si="123"/>
        <v/>
      </c>
      <c r="Z58" s="5" t="str">
        <f t="shared" ca="1" si="123"/>
        <v/>
      </c>
      <c r="AA58" s="5" t="str">
        <f t="shared" ca="1" si="123"/>
        <v/>
      </c>
      <c r="AB58" s="5" t="str">
        <f t="shared" ca="1" si="123"/>
        <v/>
      </c>
      <c r="AC58" s="5" t="str">
        <f t="shared" ca="1" si="123"/>
        <v/>
      </c>
      <c r="AD58" s="5" t="str">
        <f t="shared" ca="1" si="123"/>
        <v/>
      </c>
      <c r="AE58" s="5" t="str">
        <f t="shared" ca="1" si="123"/>
        <v/>
      </c>
      <c r="AF58" s="5" t="str">
        <f t="shared" ca="1" si="123"/>
        <v/>
      </c>
      <c r="AG58" s="5" t="str">
        <f t="shared" ca="1" si="123"/>
        <v/>
      </c>
      <c r="AH58" s="5" t="str">
        <f t="shared" ca="1" si="123"/>
        <v/>
      </c>
      <c r="AI58" s="5" t="str">
        <f t="shared" ca="1" si="123"/>
        <v/>
      </c>
    </row>
    <row r="59" spans="1:49" x14ac:dyDescent="0.25">
      <c r="A59" s="134"/>
      <c r="B59" t="str">
        <f>$A$29</f>
        <v>Должность3</v>
      </c>
      <c r="E59" s="5" t="str">
        <f ca="1">IF(COUNTIF(E$29:E$38,"12")&gt;1,CONCATENATE("12*",COUNTIF(E$29:E$38,"12")),IF(COUNTIF(E$29:E$38,"4")&gt;1,CONCATENATE("4*",COUNTIF(E$29:E$38,"4")),IF(COUNTIF(E$29:E$38,"8")&gt;1,CONCATENATE("8*",COUNTIF(E$29:E$38,"8")),"")))</f>
        <v/>
      </c>
      <c r="F59" s="5" t="str">
        <f t="shared" ref="F59:AI59" ca="1" si="124">IF(COUNTIF(F$29:F$38,"12")&gt;1,CONCATENATE("12*",COUNTIF(F$29:F$38,"12")),IF(COUNTIF(F$29:F$38,"4")&gt;1,CONCATENATE("4*",COUNTIF(F$29:F$38,"4")),IF(COUNTIF(F$29:F$38,"8")&gt;1,CONCATENATE("8*",COUNTIF(F$29:F$38,"8")),"")))</f>
        <v/>
      </c>
      <c r="G59" s="5" t="str">
        <f t="shared" ca="1" si="124"/>
        <v/>
      </c>
      <c r="H59" s="5" t="str">
        <f t="shared" ca="1" si="124"/>
        <v/>
      </c>
      <c r="I59" s="5" t="str">
        <f t="shared" ca="1" si="124"/>
        <v/>
      </c>
      <c r="J59" s="5" t="str">
        <f t="shared" ca="1" si="124"/>
        <v/>
      </c>
      <c r="K59" s="5" t="str">
        <f t="shared" ca="1" si="124"/>
        <v/>
      </c>
      <c r="L59" s="5" t="str">
        <f t="shared" ca="1" si="124"/>
        <v/>
      </c>
      <c r="M59" s="5" t="str">
        <f t="shared" ca="1" si="124"/>
        <v/>
      </c>
      <c r="N59" s="5" t="str">
        <f t="shared" ca="1" si="124"/>
        <v/>
      </c>
      <c r="O59" s="5" t="str">
        <f t="shared" ca="1" si="124"/>
        <v/>
      </c>
      <c r="P59" s="5" t="str">
        <f t="shared" ca="1" si="124"/>
        <v/>
      </c>
      <c r="Q59" s="5" t="str">
        <f t="shared" ca="1" si="124"/>
        <v/>
      </c>
      <c r="R59" s="5" t="str">
        <f t="shared" ca="1" si="124"/>
        <v/>
      </c>
      <c r="S59" s="5" t="str">
        <f t="shared" ca="1" si="124"/>
        <v/>
      </c>
      <c r="T59" s="5" t="str">
        <f t="shared" ca="1" si="124"/>
        <v/>
      </c>
      <c r="U59" s="5" t="str">
        <f t="shared" ca="1" si="124"/>
        <v/>
      </c>
      <c r="V59" s="5" t="str">
        <f t="shared" ca="1" si="124"/>
        <v/>
      </c>
      <c r="W59" s="5" t="str">
        <f t="shared" ca="1" si="124"/>
        <v/>
      </c>
      <c r="X59" s="5" t="str">
        <f t="shared" ca="1" si="124"/>
        <v/>
      </c>
      <c r="Y59" s="5" t="str">
        <f t="shared" ca="1" si="124"/>
        <v/>
      </c>
      <c r="Z59" s="5" t="str">
        <f t="shared" ca="1" si="124"/>
        <v/>
      </c>
      <c r="AA59" s="5" t="str">
        <f t="shared" ca="1" si="124"/>
        <v/>
      </c>
      <c r="AB59" s="5" t="str">
        <f t="shared" ca="1" si="124"/>
        <v/>
      </c>
      <c r="AC59" s="5" t="str">
        <f t="shared" ca="1" si="124"/>
        <v/>
      </c>
      <c r="AD59" s="5" t="str">
        <f t="shared" ca="1" si="124"/>
        <v/>
      </c>
      <c r="AE59" s="5" t="str">
        <f t="shared" ca="1" si="124"/>
        <v/>
      </c>
      <c r="AF59" s="5" t="str">
        <f t="shared" ca="1" si="124"/>
        <v/>
      </c>
      <c r="AG59" s="5" t="str">
        <f t="shared" ca="1" si="124"/>
        <v/>
      </c>
      <c r="AH59" s="5" t="str">
        <f t="shared" ca="1" si="124"/>
        <v/>
      </c>
      <c r="AI59" s="5" t="str">
        <f t="shared" ca="1" si="124"/>
        <v/>
      </c>
    </row>
    <row r="60" spans="1:49" ht="15.75" thickBot="1" x14ac:dyDescent="0.3">
      <c r="A60" s="135"/>
      <c r="B60" s="9" t="str">
        <f>$A$39</f>
        <v>Должность4</v>
      </c>
      <c r="C60" s="9"/>
      <c r="D60" s="9"/>
      <c r="E60" s="18" t="str">
        <f ca="1">IF(COUNTIF(E$39:E$48,"12")&gt;1,CONCATENATE("12*",COUNTIF(E$39:E$48,"12")),IF(COUNTIF(E$39:E$48,"4")&gt;1,CONCATENATE("4*",COUNTIF(E$39:E$48,"4")),IF(COUNTIF(E$39:E$48,"8")&gt;1,CONCATENATE("8*",COUNTIF(E$39:E$48,"8")),"")))</f>
        <v/>
      </c>
      <c r="F60" s="18" t="str">
        <f t="shared" ref="F60:AI60" ca="1" si="125">IF(COUNTIF(F$39:F$48,"12")&gt;1,CONCATENATE("12*",COUNTIF(F$39:F$48,"12")),IF(COUNTIF(F$39:F$48,"4")&gt;1,CONCATENATE("4*",COUNTIF(F$39:F$48,"4")),IF(COUNTIF(F$39:F$48,"8")&gt;1,CONCATENATE("8*",COUNTIF(F$39:F$48,"8")),"")))</f>
        <v/>
      </c>
      <c r="G60" s="18" t="str">
        <f t="shared" ca="1" si="125"/>
        <v/>
      </c>
      <c r="H60" s="18" t="str">
        <f t="shared" ca="1" si="125"/>
        <v/>
      </c>
      <c r="I60" s="18" t="str">
        <f t="shared" ca="1" si="125"/>
        <v/>
      </c>
      <c r="J60" s="18" t="str">
        <f t="shared" ca="1" si="125"/>
        <v/>
      </c>
      <c r="K60" s="18" t="str">
        <f t="shared" ca="1" si="125"/>
        <v/>
      </c>
      <c r="L60" s="18" t="str">
        <f t="shared" ca="1" si="125"/>
        <v/>
      </c>
      <c r="M60" s="18" t="str">
        <f t="shared" ca="1" si="125"/>
        <v/>
      </c>
      <c r="N60" s="18" t="str">
        <f t="shared" ca="1" si="125"/>
        <v/>
      </c>
      <c r="O60" s="18" t="str">
        <f t="shared" ca="1" si="125"/>
        <v/>
      </c>
      <c r="P60" s="18" t="str">
        <f t="shared" ca="1" si="125"/>
        <v/>
      </c>
      <c r="Q60" s="18" t="str">
        <f t="shared" ca="1" si="125"/>
        <v/>
      </c>
      <c r="R60" s="18" t="str">
        <f t="shared" ca="1" si="125"/>
        <v/>
      </c>
      <c r="S60" s="18" t="str">
        <f t="shared" ca="1" si="125"/>
        <v/>
      </c>
      <c r="T60" s="18" t="str">
        <f t="shared" ca="1" si="125"/>
        <v/>
      </c>
      <c r="U60" s="18" t="str">
        <f t="shared" ca="1" si="125"/>
        <v/>
      </c>
      <c r="V60" s="18" t="str">
        <f t="shared" ca="1" si="125"/>
        <v/>
      </c>
      <c r="W60" s="18" t="str">
        <f t="shared" ca="1" si="125"/>
        <v/>
      </c>
      <c r="X60" s="18" t="str">
        <f t="shared" ca="1" si="125"/>
        <v/>
      </c>
      <c r="Y60" s="18" t="str">
        <f t="shared" ca="1" si="125"/>
        <v/>
      </c>
      <c r="Z60" s="18" t="str">
        <f t="shared" ca="1" si="125"/>
        <v/>
      </c>
      <c r="AA60" s="18" t="str">
        <f t="shared" ca="1" si="125"/>
        <v/>
      </c>
      <c r="AB60" s="18" t="str">
        <f t="shared" ca="1" si="125"/>
        <v/>
      </c>
      <c r="AC60" s="18" t="str">
        <f t="shared" ca="1" si="125"/>
        <v/>
      </c>
      <c r="AD60" s="18" t="str">
        <f t="shared" ca="1" si="125"/>
        <v/>
      </c>
      <c r="AE60" s="18" t="str">
        <f t="shared" ca="1" si="125"/>
        <v/>
      </c>
      <c r="AF60" s="18" t="str">
        <f t="shared" ca="1" si="125"/>
        <v/>
      </c>
      <c r="AG60" s="18" t="str">
        <f t="shared" ca="1" si="125"/>
        <v/>
      </c>
      <c r="AH60" s="18" t="str">
        <f t="shared" ca="1" si="125"/>
        <v/>
      </c>
      <c r="AI60" s="18" t="str">
        <f t="shared" ca="1" si="125"/>
        <v/>
      </c>
    </row>
  </sheetData>
  <autoFilter ref="AP8:AX48" xr:uid="{00000000-0009-0000-0000-000000000000}"/>
  <mergeCells count="316">
    <mergeCell ref="AL47:AL48"/>
    <mergeCell ref="AM47:AM48"/>
    <mergeCell ref="AM27:AM28"/>
    <mergeCell ref="AL29:AL30"/>
    <mergeCell ref="AM29:AM30"/>
    <mergeCell ref="AL31:AL32"/>
    <mergeCell ref="AM31:AM32"/>
    <mergeCell ref="AL33:AL34"/>
    <mergeCell ref="AM33:AM34"/>
    <mergeCell ref="AL35:AL36"/>
    <mergeCell ref="AM35:AM36"/>
    <mergeCell ref="D50:H50"/>
    <mergeCell ref="J50:L50"/>
    <mergeCell ref="N50:Q50"/>
    <mergeCell ref="S50:AC50"/>
    <mergeCell ref="AE50:AK50"/>
    <mergeCell ref="AL9:AL10"/>
    <mergeCell ref="AM9:AM10"/>
    <mergeCell ref="AL11:AL12"/>
    <mergeCell ref="AM11:AM12"/>
    <mergeCell ref="AL13:AL14"/>
    <mergeCell ref="AM13:AM14"/>
    <mergeCell ref="AL15:AL16"/>
    <mergeCell ref="AM15:AM16"/>
    <mergeCell ref="AL17:AL18"/>
    <mergeCell ref="AM17:AM18"/>
    <mergeCell ref="AL19:AL20"/>
    <mergeCell ref="AM19:AM20"/>
    <mergeCell ref="AL21:AL22"/>
    <mergeCell ref="AM21:AM22"/>
    <mergeCell ref="AL23:AL24"/>
    <mergeCell ref="AM23:AM24"/>
    <mergeCell ref="AL25:AL26"/>
    <mergeCell ref="AM25:AM26"/>
    <mergeCell ref="AL27:AL28"/>
    <mergeCell ref="A1:AJ1"/>
    <mergeCell ref="AP1:AQ1"/>
    <mergeCell ref="AP2:AQ2"/>
    <mergeCell ref="A3:AJ3"/>
    <mergeCell ref="AP3:AQ3"/>
    <mergeCell ref="A9:A18"/>
    <mergeCell ref="B9:B10"/>
    <mergeCell ref="C9:C10"/>
    <mergeCell ref="AJ9:AJ10"/>
    <mergeCell ref="AK9:AK10"/>
    <mergeCell ref="B11:B12"/>
    <mergeCell ref="C11:C12"/>
    <mergeCell ref="AJ11:AJ12"/>
    <mergeCell ref="AK11:AK12"/>
    <mergeCell ref="AP11:AP12"/>
    <mergeCell ref="AQ11:AQ12"/>
    <mergeCell ref="C13:C14"/>
    <mergeCell ref="AJ13:AJ14"/>
    <mergeCell ref="AK13:AK14"/>
    <mergeCell ref="AP13:AP14"/>
    <mergeCell ref="AQ13:AQ14"/>
    <mergeCell ref="AR11:AR12"/>
    <mergeCell ref="AP9:AP10"/>
    <mergeCell ref="AQ9:AQ10"/>
    <mergeCell ref="AR9:AR10"/>
    <mergeCell ref="AS11:AS12"/>
    <mergeCell ref="AT11:AT12"/>
    <mergeCell ref="AU11:AU12"/>
    <mergeCell ref="AV11:AV12"/>
    <mergeCell ref="AW11:AW12"/>
    <mergeCell ref="AX11:AX12"/>
    <mergeCell ref="AV9:AV10"/>
    <mergeCell ref="AW9:AW10"/>
    <mergeCell ref="AX9:AX10"/>
    <mergeCell ref="AS9:AS10"/>
    <mergeCell ref="AT9:AT10"/>
    <mergeCell ref="AU9:AU10"/>
    <mergeCell ref="AX13:AX14"/>
    <mergeCell ref="B15:B16"/>
    <mergeCell ref="C15:C16"/>
    <mergeCell ref="AJ15:AJ16"/>
    <mergeCell ref="AK15:AK16"/>
    <mergeCell ref="AP15:AP16"/>
    <mergeCell ref="AQ15:AQ16"/>
    <mergeCell ref="AR15:AR16"/>
    <mergeCell ref="AS15:AS16"/>
    <mergeCell ref="AT15:AT16"/>
    <mergeCell ref="AR13:AR14"/>
    <mergeCell ref="AS13:AS14"/>
    <mergeCell ref="AT13:AT14"/>
    <mergeCell ref="AU13:AU14"/>
    <mergeCell ref="AV13:AV14"/>
    <mergeCell ref="AW13:AW14"/>
    <mergeCell ref="B13:B14"/>
    <mergeCell ref="AU15:AU16"/>
    <mergeCell ref="AV15:AV16"/>
    <mergeCell ref="AW15:AW16"/>
    <mergeCell ref="AX15:AX16"/>
    <mergeCell ref="B17:B18"/>
    <mergeCell ref="C17:C18"/>
    <mergeCell ref="AJ17:AJ18"/>
    <mergeCell ref="AK17:AK18"/>
    <mergeCell ref="AP17:AP18"/>
    <mergeCell ref="AQ17:AQ18"/>
    <mergeCell ref="AX17:AX18"/>
    <mergeCell ref="AR17:AR18"/>
    <mergeCell ref="AS17:AS18"/>
    <mergeCell ref="AT17:AT18"/>
    <mergeCell ref="AU17:AU18"/>
    <mergeCell ref="AV17:AV18"/>
    <mergeCell ref="AW17:AW18"/>
    <mergeCell ref="A19:A28"/>
    <mergeCell ref="B19:B20"/>
    <mergeCell ref="C19:C20"/>
    <mergeCell ref="AJ19:AJ20"/>
    <mergeCell ref="AK19:AK20"/>
    <mergeCell ref="AP19:AP20"/>
    <mergeCell ref="AQ19:AQ20"/>
    <mergeCell ref="AR19:AR20"/>
    <mergeCell ref="AS19:AS20"/>
    <mergeCell ref="B23:B24"/>
    <mergeCell ref="C23:C24"/>
    <mergeCell ref="AJ23:AJ24"/>
    <mergeCell ref="AK23:AK24"/>
    <mergeCell ref="AP23:AP24"/>
    <mergeCell ref="AQ23:AQ24"/>
    <mergeCell ref="AR23:AR24"/>
    <mergeCell ref="AS23:AS24"/>
    <mergeCell ref="B27:B28"/>
    <mergeCell ref="C27:C28"/>
    <mergeCell ref="AJ27:AJ28"/>
    <mergeCell ref="AK27:AK28"/>
    <mergeCell ref="AP27:AP28"/>
    <mergeCell ref="AQ27:AQ28"/>
    <mergeCell ref="AR27:AR28"/>
    <mergeCell ref="AT19:AT20"/>
    <mergeCell ref="AU19:AU20"/>
    <mergeCell ref="AV19:AV20"/>
    <mergeCell ref="AW19:AW20"/>
    <mergeCell ref="AX19:AX20"/>
    <mergeCell ref="B21:B22"/>
    <mergeCell ref="C21:C22"/>
    <mergeCell ref="AJ21:AJ22"/>
    <mergeCell ref="AK21:AK22"/>
    <mergeCell ref="AP21:AP22"/>
    <mergeCell ref="AW21:AW22"/>
    <mergeCell ref="AX21:AX22"/>
    <mergeCell ref="AQ21:AQ22"/>
    <mergeCell ref="AR21:AR22"/>
    <mergeCell ref="AS21:AS22"/>
    <mergeCell ref="AT21:AT22"/>
    <mergeCell ref="AU21:AU22"/>
    <mergeCell ref="AV21:AV22"/>
    <mergeCell ref="AT23:AT24"/>
    <mergeCell ref="AU23:AU24"/>
    <mergeCell ref="AV23:AV24"/>
    <mergeCell ref="AW23:AW24"/>
    <mergeCell ref="AX23:AX24"/>
    <mergeCell ref="B25:B26"/>
    <mergeCell ref="C25:C26"/>
    <mergeCell ref="AJ25:AJ26"/>
    <mergeCell ref="AK25:AK26"/>
    <mergeCell ref="AP25:AP26"/>
    <mergeCell ref="AW25:AW26"/>
    <mergeCell ref="AX25:AX26"/>
    <mergeCell ref="AS27:AS28"/>
    <mergeCell ref="AQ25:AQ26"/>
    <mergeCell ref="AR25:AR26"/>
    <mergeCell ref="AS25:AS26"/>
    <mergeCell ref="AT25:AT26"/>
    <mergeCell ref="AU25:AU26"/>
    <mergeCell ref="AV25:AV26"/>
    <mergeCell ref="AT27:AT28"/>
    <mergeCell ref="AU27:AU28"/>
    <mergeCell ref="AV27:AV28"/>
    <mergeCell ref="AW27:AW28"/>
    <mergeCell ref="AX27:AX28"/>
    <mergeCell ref="A29:A38"/>
    <mergeCell ref="B29:B30"/>
    <mergeCell ref="C29:C30"/>
    <mergeCell ref="AJ29:AJ30"/>
    <mergeCell ref="AK29:AK30"/>
    <mergeCell ref="B31:B32"/>
    <mergeCell ref="C31:C32"/>
    <mergeCell ref="AJ31:AJ32"/>
    <mergeCell ref="AK31:AK32"/>
    <mergeCell ref="AP31:AP32"/>
    <mergeCell ref="AQ31:AQ32"/>
    <mergeCell ref="AR31:AR32"/>
    <mergeCell ref="AP29:AP30"/>
    <mergeCell ref="AQ29:AQ30"/>
    <mergeCell ref="AR29:AR30"/>
    <mergeCell ref="AS31:AS32"/>
    <mergeCell ref="AT31:AT32"/>
    <mergeCell ref="AU31:AU32"/>
    <mergeCell ref="AV31:AV32"/>
    <mergeCell ref="AW31:AW32"/>
    <mergeCell ref="AX31:AX32"/>
    <mergeCell ref="AV29:AV30"/>
    <mergeCell ref="AW29:AW30"/>
    <mergeCell ref="AX29:AX30"/>
    <mergeCell ref="AS29:AS30"/>
    <mergeCell ref="AT29:AT30"/>
    <mergeCell ref="AU29:AU30"/>
    <mergeCell ref="AX33:AX34"/>
    <mergeCell ref="B35:B36"/>
    <mergeCell ref="C35:C36"/>
    <mergeCell ref="AJ35:AJ36"/>
    <mergeCell ref="AK35:AK36"/>
    <mergeCell ref="AP35:AP36"/>
    <mergeCell ref="AQ35:AQ36"/>
    <mergeCell ref="AR35:AR36"/>
    <mergeCell ref="AS35:AS36"/>
    <mergeCell ref="AT35:AT36"/>
    <mergeCell ref="AR33:AR34"/>
    <mergeCell ref="AS33:AS34"/>
    <mergeCell ref="AT33:AT34"/>
    <mergeCell ref="AU33:AU34"/>
    <mergeCell ref="AV33:AV34"/>
    <mergeCell ref="AW33:AW34"/>
    <mergeCell ref="B33:B34"/>
    <mergeCell ref="C33:C34"/>
    <mergeCell ref="AJ33:AJ34"/>
    <mergeCell ref="AK33:AK34"/>
    <mergeCell ref="AP33:AP34"/>
    <mergeCell ref="AQ33:AQ34"/>
    <mergeCell ref="AU35:AU36"/>
    <mergeCell ref="AV35:AV36"/>
    <mergeCell ref="AW35:AW36"/>
    <mergeCell ref="AX35:AX36"/>
    <mergeCell ref="B37:B38"/>
    <mergeCell ref="C37:C38"/>
    <mergeCell ref="AJ37:AJ38"/>
    <mergeCell ref="AK37:AK38"/>
    <mergeCell ref="AP37:AP38"/>
    <mergeCell ref="AQ37:AQ38"/>
    <mergeCell ref="AX37:AX38"/>
    <mergeCell ref="AR37:AR38"/>
    <mergeCell ref="AS37:AS38"/>
    <mergeCell ref="AT37:AT38"/>
    <mergeCell ref="AU37:AU38"/>
    <mergeCell ref="AV37:AV38"/>
    <mergeCell ref="AW37:AW38"/>
    <mergeCell ref="AL37:AL38"/>
    <mergeCell ref="AM37:AM38"/>
    <mergeCell ref="AR39:AR40"/>
    <mergeCell ref="AS39:AS40"/>
    <mergeCell ref="B43:B44"/>
    <mergeCell ref="C43:C44"/>
    <mergeCell ref="AJ43:AJ44"/>
    <mergeCell ref="AK43:AK44"/>
    <mergeCell ref="AP43:AP44"/>
    <mergeCell ref="AQ43:AQ44"/>
    <mergeCell ref="AR43:AR44"/>
    <mergeCell ref="AS43:AS44"/>
    <mergeCell ref="AL39:AL40"/>
    <mergeCell ref="AM39:AM40"/>
    <mergeCell ref="AL41:AL42"/>
    <mergeCell ref="AM41:AM42"/>
    <mergeCell ref="AL43:AL44"/>
    <mergeCell ref="AM43:AM44"/>
    <mergeCell ref="AT39:AT40"/>
    <mergeCell ref="AU39:AU40"/>
    <mergeCell ref="AV39:AV40"/>
    <mergeCell ref="AW39:AW40"/>
    <mergeCell ref="AX39:AX40"/>
    <mergeCell ref="B41:B42"/>
    <mergeCell ref="C41:C42"/>
    <mergeCell ref="AJ41:AJ42"/>
    <mergeCell ref="AK41:AK42"/>
    <mergeCell ref="AP41:AP42"/>
    <mergeCell ref="AW41:AW42"/>
    <mergeCell ref="AX41:AX42"/>
    <mergeCell ref="AQ41:AQ42"/>
    <mergeCell ref="AR41:AR42"/>
    <mergeCell ref="AS41:AS42"/>
    <mergeCell ref="AT41:AT42"/>
    <mergeCell ref="AU41:AU42"/>
    <mergeCell ref="AV41:AV42"/>
    <mergeCell ref="B39:B40"/>
    <mergeCell ref="C39:C40"/>
    <mergeCell ref="AJ39:AJ40"/>
    <mergeCell ref="AK39:AK40"/>
    <mergeCell ref="AP39:AP40"/>
    <mergeCell ref="AQ39:AQ40"/>
    <mergeCell ref="AT43:AT44"/>
    <mergeCell ref="AU43:AU44"/>
    <mergeCell ref="AV43:AV44"/>
    <mergeCell ref="AW43:AW44"/>
    <mergeCell ref="AX43:AX44"/>
    <mergeCell ref="B45:B46"/>
    <mergeCell ref="C45:C46"/>
    <mergeCell ref="AJ45:AJ46"/>
    <mergeCell ref="AK45:AK46"/>
    <mergeCell ref="AP45:AP46"/>
    <mergeCell ref="AL45:AL46"/>
    <mergeCell ref="AM45:AM46"/>
    <mergeCell ref="A57:A60"/>
    <mergeCell ref="AT47:AT48"/>
    <mergeCell ref="AU47:AU48"/>
    <mergeCell ref="AV47:AV48"/>
    <mergeCell ref="AW47:AW48"/>
    <mergeCell ref="AX47:AX48"/>
    <mergeCell ref="A52:A55"/>
    <mergeCell ref="AW45:AW46"/>
    <mergeCell ref="AX45:AX46"/>
    <mergeCell ref="B47:B48"/>
    <mergeCell ref="C47:C48"/>
    <mergeCell ref="AJ47:AJ48"/>
    <mergeCell ref="AK47:AK48"/>
    <mergeCell ref="AP47:AP48"/>
    <mergeCell ref="AQ47:AQ48"/>
    <mergeCell ref="AR47:AR48"/>
    <mergeCell ref="AS47:AS48"/>
    <mergeCell ref="AQ45:AQ46"/>
    <mergeCell ref="AR45:AR46"/>
    <mergeCell ref="AS45:AS46"/>
    <mergeCell ref="AT45:AT46"/>
    <mergeCell ref="AU45:AU46"/>
    <mergeCell ref="AV45:AV46"/>
    <mergeCell ref="A39:A48"/>
  </mergeCells>
  <conditionalFormatting sqref="AU9:AU48">
    <cfRule type="cellIs" dxfId="113" priority="17" operator="equal">
      <formula>"-"</formula>
    </cfRule>
  </conditionalFormatting>
  <conditionalFormatting sqref="E52:E55">
    <cfRule type="cellIs" dxfId="112" priority="16" operator="equal">
      <formula>"-"</formula>
    </cfRule>
  </conditionalFormatting>
  <conditionalFormatting sqref="F52:AI55">
    <cfRule type="cellIs" dxfId="111" priority="15" operator="equal">
      <formula>"-"</formula>
    </cfRule>
  </conditionalFormatting>
  <conditionalFormatting sqref="AI9:AI48">
    <cfRule type="cellIs" dxfId="110" priority="11" operator="equal">
      <formula>"Д"</formula>
    </cfRule>
    <cfRule type="cellIs" dxfId="109" priority="12" operator="equal">
      <formula>"СП"</formula>
    </cfRule>
    <cfRule type="cellIs" dxfId="108" priority="13" operator="equal">
      <formula>"ОТ"</formula>
    </cfRule>
  </conditionalFormatting>
  <conditionalFormatting sqref="E9:AH48">
    <cfRule type="cellIs" dxfId="107" priority="1" operator="equal">
      <formula>"В"</formula>
    </cfRule>
    <cfRule type="cellIs" dxfId="106" priority="2" operator="equal">
      <formula>"ПЗ"</formula>
    </cfRule>
    <cfRule type="cellIs" dxfId="105" priority="3" operator="equal">
      <formula>"ПК"</formula>
    </cfRule>
    <cfRule type="containsText" dxfId="104" priority="4" operator="containsText" text="Б">
      <formula>NOT(ISERROR(SEARCH("Б",E9)))</formula>
    </cfRule>
    <cfRule type="expression" dxfId="103" priority="9">
      <formula>E9=0</formula>
    </cfRule>
  </conditionalFormatting>
  <conditionalFormatting sqref="E9:AH48">
    <cfRule type="expression" dxfId="102" priority="5">
      <formula>AND(INDIRECT(ADDRESS(ROW(),COLUMN()))=8,INDIRECT(ADDRESS(ROW(),COLUMN()))="СП")</formula>
    </cfRule>
    <cfRule type="cellIs" dxfId="101" priority="7" operator="equal">
      <formula>"СП"</formula>
    </cfRule>
    <cfRule type="cellIs" dxfId="100" priority="8" operator="equal">
      <formula>"ОТ"</formula>
    </cfRule>
  </conditionalFormatting>
  <conditionalFormatting sqref="E8:AH48">
    <cfRule type="cellIs" dxfId="99" priority="6" operator="equal">
      <formula>"Д"</formula>
    </cfRule>
  </conditionalFormatting>
  <pageMargins left="0.25" right="0.25" top="0.75" bottom="0.75" header="0.3" footer="0.3"/>
  <pageSetup paperSize="9" scale="6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05" id="{83CD3E01-B009-4195-A71A-106D5B0DB147}">
            <xm:f>OR(AND(WEEKDAY(E$8,2)&gt;5,E$6=1),ISNUMBER(MATCH(E$8,Подключения!$A$2:$A$1039,0)))</xm:f>
            <x14:dxf>
              <fill>
                <patternFill>
                  <bgColor theme="0" tint="-0.14996795556505021"/>
                </patternFill>
              </fill>
            </x14:dxf>
          </x14:cfRule>
          <xm:sqref>E8:AI48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43881-13BA-4B1B-8B03-3E51207AEFB2}">
  <sheetPr codeName="Лист17">
    <tabColor theme="9" tint="0.79998168889431442"/>
    <pageSetUpPr fitToPage="1"/>
  </sheetPr>
  <dimension ref="A1:AX60"/>
  <sheetViews>
    <sheetView zoomScale="70" zoomScaleNormal="70" workbookViewId="0">
      <pane xSplit="3" ySplit="8" topLeftCell="D9" activePane="bottomRight" state="frozen"/>
      <selection activeCell="N17" sqref="N17"/>
      <selection pane="topRight" activeCell="N17" sqref="N17"/>
      <selection pane="bottomLeft" activeCell="N17" sqref="N17"/>
      <selection pane="bottomRight" activeCell="D2" sqref="D1:D1048576"/>
    </sheetView>
  </sheetViews>
  <sheetFormatPr defaultRowHeight="15" x14ac:dyDescent="0.25"/>
  <cols>
    <col min="1" max="1" width="9.140625" customWidth="1"/>
    <col min="2" max="2" width="28" customWidth="1"/>
    <col min="3" max="3" width="4.7109375" customWidth="1"/>
    <col min="4" max="4" width="2.85546875" hidden="1" customWidth="1"/>
    <col min="5" max="5" width="5.42578125" customWidth="1"/>
    <col min="6" max="34" width="5" customWidth="1"/>
    <col min="35" max="35" width="4.85546875" hidden="1" customWidth="1"/>
    <col min="36" max="37" width="9.140625" customWidth="1"/>
    <col min="38" max="38" width="10.28515625" customWidth="1"/>
    <col min="39" max="39" width="9.5703125" customWidth="1"/>
    <col min="40" max="41" width="2.7109375" customWidth="1"/>
    <col min="42" max="43" width="6.7109375" customWidth="1"/>
    <col min="44" max="44" width="12.42578125" customWidth="1"/>
    <col min="45" max="45" width="8.28515625" customWidth="1"/>
    <col min="46" max="46" width="6.7109375" customWidth="1"/>
    <col min="47" max="47" width="2.28515625" customWidth="1"/>
    <col min="48" max="48" width="6.7109375" customWidth="1"/>
    <col min="49" max="189" width="9.140625" customWidth="1"/>
  </cols>
  <sheetData>
    <row r="1" spans="1:50" ht="18.75" x14ac:dyDescent="0.25">
      <c r="A1" s="159"/>
      <c r="B1" s="159"/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"/>
      <c r="AL1" s="24"/>
      <c r="AO1" s="22"/>
      <c r="AP1" s="160" t="s">
        <v>14</v>
      </c>
      <c r="AQ1" s="161"/>
      <c r="AR1" s="20">
        <f>'Сводный годовой график'!AX1</f>
        <v>2025</v>
      </c>
      <c r="AS1" s="22"/>
      <c r="AT1" s="22"/>
      <c r="AU1" s="22"/>
      <c r="AV1" s="22"/>
      <c r="AW1" s="22"/>
      <c r="AX1" s="22"/>
    </row>
    <row r="2" spans="1:50" ht="18.75" x14ac:dyDescent="0.25">
      <c r="A2" s="7"/>
      <c r="B2" s="7"/>
      <c r="C2" s="14"/>
      <c r="D2" s="7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7"/>
      <c r="AK2" s="1"/>
      <c r="AO2" s="12"/>
      <c r="AP2" s="162" t="s">
        <v>15</v>
      </c>
      <c r="AQ2" s="163"/>
      <c r="AR2" s="23">
        <v>6</v>
      </c>
      <c r="AT2" s="12"/>
      <c r="AU2" s="12"/>
      <c r="AV2" s="12"/>
      <c r="AW2" s="12"/>
      <c r="AX2" s="12"/>
    </row>
    <row r="3" spans="1:50" ht="21" customHeight="1" x14ac:dyDescent="0.25">
      <c r="A3" s="164" t="str">
        <f>CONCATENATE("График работы персонала на ",LOWER(TEXT($E$8,"ММММ"))," ",TEXT($E$8,"ГГГГ")," года ","(",$AR$3,"/",$AJ$9, ")")</f>
        <v>График работы персонала на июнь 2025 года (19/151)</v>
      </c>
      <c r="B3" s="164"/>
      <c r="C3" s="164"/>
      <c r="D3" s="164"/>
      <c r="E3" s="164"/>
      <c r="F3" s="164"/>
      <c r="G3" s="164"/>
      <c r="H3" s="164"/>
      <c r="I3" s="164"/>
      <c r="J3" s="164"/>
      <c r="K3" s="164"/>
      <c r="L3" s="164"/>
      <c r="M3" s="164"/>
      <c r="N3" s="164"/>
      <c r="O3" s="164"/>
      <c r="P3" s="164"/>
      <c r="Q3" s="164"/>
      <c r="R3" s="164"/>
      <c r="S3" s="164"/>
      <c r="T3" s="164"/>
      <c r="U3" s="164"/>
      <c r="V3" s="164"/>
      <c r="W3" s="164"/>
      <c r="X3" s="164"/>
      <c r="Y3" s="164"/>
      <c r="Z3" s="164"/>
      <c r="AA3" s="164"/>
      <c r="AB3" s="164"/>
      <c r="AC3" s="164"/>
      <c r="AD3" s="164"/>
      <c r="AE3" s="164"/>
      <c r="AF3" s="164"/>
      <c r="AG3" s="164"/>
      <c r="AH3" s="164"/>
      <c r="AI3" s="164"/>
      <c r="AJ3" s="164"/>
      <c r="AK3" s="1"/>
      <c r="AL3" s="21"/>
      <c r="AP3" s="162" t="s">
        <v>16</v>
      </c>
      <c r="AQ3" s="163"/>
      <c r="AR3" s="23">
        <f>INDEX(Производственный_календарь[],MONTH($E$8),3)</f>
        <v>19</v>
      </c>
    </row>
    <row r="4" spans="1:50" ht="21" customHeight="1" x14ac:dyDescent="0.25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1"/>
      <c r="AL4" s="21"/>
      <c r="AP4" s="51" t="s">
        <v>20</v>
      </c>
      <c r="AQ4" s="52"/>
      <c r="AR4" s="53">
        <f>EOMONTH(DATE(AR1,AR2,1),0)-DATE(AR1,AR2,1)+1</f>
        <v>30</v>
      </c>
    </row>
    <row r="5" spans="1:50" ht="16.5" customHeight="1" thickBo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1"/>
      <c r="AL5" s="21"/>
      <c r="AP5" s="54" t="s">
        <v>21</v>
      </c>
      <c r="AQ5" s="55"/>
      <c r="AR5" s="56">
        <v>4</v>
      </c>
    </row>
    <row r="6" spans="1:50" ht="16.5" hidden="1" customHeight="1" x14ac:dyDescent="0.25">
      <c r="E6" s="48">
        <f>IF(COLUMN()-$AR$5&lt;=$AR$4,1,0)</f>
        <v>1</v>
      </c>
      <c r="F6" s="48">
        <f t="shared" ref="F6:AH6" si="0">IF(COLUMN()-$AR$5&lt;=$AR$4,1,0)</f>
        <v>1</v>
      </c>
      <c r="G6" s="48">
        <f t="shared" si="0"/>
        <v>1</v>
      </c>
      <c r="H6" s="48">
        <f t="shared" si="0"/>
        <v>1</v>
      </c>
      <c r="I6" s="48">
        <f t="shared" si="0"/>
        <v>1</v>
      </c>
      <c r="J6" s="48">
        <f t="shared" si="0"/>
        <v>1</v>
      </c>
      <c r="K6" s="48">
        <f t="shared" si="0"/>
        <v>1</v>
      </c>
      <c r="L6" s="48">
        <f t="shared" si="0"/>
        <v>1</v>
      </c>
      <c r="M6" s="48">
        <f t="shared" si="0"/>
        <v>1</v>
      </c>
      <c r="N6" s="48">
        <f t="shared" si="0"/>
        <v>1</v>
      </c>
      <c r="O6" s="48">
        <f t="shared" si="0"/>
        <v>1</v>
      </c>
      <c r="P6" s="48">
        <f t="shared" si="0"/>
        <v>1</v>
      </c>
      <c r="Q6" s="48">
        <f t="shared" si="0"/>
        <v>1</v>
      </c>
      <c r="R6" s="48">
        <f t="shared" si="0"/>
        <v>1</v>
      </c>
      <c r="S6" s="48">
        <f t="shared" si="0"/>
        <v>1</v>
      </c>
      <c r="T6" s="48">
        <f t="shared" si="0"/>
        <v>1</v>
      </c>
      <c r="U6" s="48">
        <f t="shared" si="0"/>
        <v>1</v>
      </c>
      <c r="V6" s="48">
        <f t="shared" si="0"/>
        <v>1</v>
      </c>
      <c r="W6" s="48">
        <f t="shared" si="0"/>
        <v>1</v>
      </c>
      <c r="X6" s="48">
        <f t="shared" si="0"/>
        <v>1</v>
      </c>
      <c r="Y6" s="48">
        <f t="shared" si="0"/>
        <v>1</v>
      </c>
      <c r="Z6" s="48">
        <f t="shared" si="0"/>
        <v>1</v>
      </c>
      <c r="AA6" s="48">
        <f t="shared" si="0"/>
        <v>1</v>
      </c>
      <c r="AB6" s="48">
        <f t="shared" si="0"/>
        <v>1</v>
      </c>
      <c r="AC6" s="48">
        <f t="shared" si="0"/>
        <v>1</v>
      </c>
      <c r="AD6" s="48">
        <f t="shared" si="0"/>
        <v>1</v>
      </c>
      <c r="AE6" s="48">
        <f t="shared" si="0"/>
        <v>1</v>
      </c>
      <c r="AF6" s="48">
        <f t="shared" si="0"/>
        <v>1</v>
      </c>
      <c r="AG6" s="48">
        <f t="shared" si="0"/>
        <v>1</v>
      </c>
      <c r="AH6" s="48">
        <f t="shared" si="0"/>
        <v>1</v>
      </c>
      <c r="AI6" s="48">
        <f>IF(COLUMN()-$AR$5&lt;=$AR$4,1,0)</f>
        <v>0</v>
      </c>
    </row>
    <row r="7" spans="1:50" ht="16.5" hidden="1" customHeight="1" thickBot="1" x14ac:dyDescent="0.3">
      <c r="E7" s="48">
        <v>1</v>
      </c>
      <c r="F7" s="48">
        <v>2</v>
      </c>
      <c r="G7" s="48">
        <v>3</v>
      </c>
      <c r="H7" s="48">
        <v>4</v>
      </c>
      <c r="I7" s="48">
        <v>5</v>
      </c>
      <c r="J7" s="48">
        <v>6</v>
      </c>
      <c r="K7" s="48">
        <v>7</v>
      </c>
      <c r="L7" s="48">
        <v>8</v>
      </c>
      <c r="M7" s="48">
        <v>9</v>
      </c>
      <c r="N7" s="48">
        <v>10</v>
      </c>
      <c r="O7" s="48">
        <v>11</v>
      </c>
      <c r="P7" s="48">
        <v>12</v>
      </c>
      <c r="Q7" s="48">
        <v>13</v>
      </c>
      <c r="R7" s="48">
        <v>14</v>
      </c>
      <c r="S7" s="48">
        <v>15</v>
      </c>
      <c r="T7" s="48">
        <v>16</v>
      </c>
      <c r="U7" s="48">
        <v>17</v>
      </c>
      <c r="V7" s="48">
        <v>18</v>
      </c>
      <c r="W7" s="48">
        <v>19</v>
      </c>
      <c r="X7" s="48">
        <v>20</v>
      </c>
      <c r="Y7" s="48">
        <v>21</v>
      </c>
      <c r="Z7" s="48">
        <v>22</v>
      </c>
      <c r="AA7" s="48">
        <v>23</v>
      </c>
      <c r="AB7" s="48">
        <v>24</v>
      </c>
      <c r="AC7" s="48">
        <v>25</v>
      </c>
      <c r="AD7" s="48">
        <v>26</v>
      </c>
      <c r="AE7" s="48">
        <v>27</v>
      </c>
      <c r="AF7" s="48">
        <v>28</v>
      </c>
      <c r="AG7" s="48">
        <v>29</v>
      </c>
      <c r="AH7" s="48">
        <v>30</v>
      </c>
      <c r="AI7" s="48">
        <v>31</v>
      </c>
    </row>
    <row r="8" spans="1:50" ht="47.45" customHeight="1" thickTop="1" thickBot="1" x14ac:dyDescent="0.3">
      <c r="A8" s="2" t="s">
        <v>0</v>
      </c>
      <c r="B8" s="3" t="s">
        <v>1</v>
      </c>
      <c r="C8" s="15" t="s">
        <v>2</v>
      </c>
      <c r="D8" s="3"/>
      <c r="E8" s="19">
        <f>DATE($AR$1,$AR$2,1)</f>
        <v>45809</v>
      </c>
      <c r="F8" s="19">
        <f>IF(E8,DATE($AR$1,$AR$2,DAY(E$8)+1),"")</f>
        <v>45810</v>
      </c>
      <c r="G8" s="19">
        <f t="shared" ref="G8:AI8" si="1">IF(F8,DATE($AR$1,$AR$2,DAY(F$8)+1),"")</f>
        <v>45811</v>
      </c>
      <c r="H8" s="19">
        <f t="shared" si="1"/>
        <v>45812</v>
      </c>
      <c r="I8" s="19">
        <f t="shared" si="1"/>
        <v>45813</v>
      </c>
      <c r="J8" s="19">
        <f t="shared" si="1"/>
        <v>45814</v>
      </c>
      <c r="K8" s="19">
        <f t="shared" si="1"/>
        <v>45815</v>
      </c>
      <c r="L8" s="19">
        <f t="shared" si="1"/>
        <v>45816</v>
      </c>
      <c r="M8" s="19">
        <f t="shared" si="1"/>
        <v>45817</v>
      </c>
      <c r="N8" s="19">
        <f t="shared" si="1"/>
        <v>45818</v>
      </c>
      <c r="O8" s="19">
        <f t="shared" si="1"/>
        <v>45819</v>
      </c>
      <c r="P8" s="19">
        <f t="shared" si="1"/>
        <v>45820</v>
      </c>
      <c r="Q8" s="19">
        <f t="shared" si="1"/>
        <v>45821</v>
      </c>
      <c r="R8" s="19">
        <f t="shared" si="1"/>
        <v>45822</v>
      </c>
      <c r="S8" s="19">
        <f t="shared" si="1"/>
        <v>45823</v>
      </c>
      <c r="T8" s="19">
        <f t="shared" si="1"/>
        <v>45824</v>
      </c>
      <c r="U8" s="19">
        <f t="shared" si="1"/>
        <v>45825</v>
      </c>
      <c r="V8" s="19">
        <f t="shared" si="1"/>
        <v>45826</v>
      </c>
      <c r="W8" s="19">
        <f t="shared" si="1"/>
        <v>45827</v>
      </c>
      <c r="X8" s="19">
        <f t="shared" si="1"/>
        <v>45828</v>
      </c>
      <c r="Y8" s="19">
        <f t="shared" si="1"/>
        <v>45829</v>
      </c>
      <c r="Z8" s="19">
        <f t="shared" si="1"/>
        <v>45830</v>
      </c>
      <c r="AA8" s="19">
        <f t="shared" si="1"/>
        <v>45831</v>
      </c>
      <c r="AB8" s="19">
        <f t="shared" si="1"/>
        <v>45832</v>
      </c>
      <c r="AC8" s="19">
        <f t="shared" si="1"/>
        <v>45833</v>
      </c>
      <c r="AD8" s="19">
        <f t="shared" si="1"/>
        <v>45834</v>
      </c>
      <c r="AE8" s="19">
        <f t="shared" si="1"/>
        <v>45835</v>
      </c>
      <c r="AF8" s="19">
        <f t="shared" si="1"/>
        <v>45836</v>
      </c>
      <c r="AG8" s="19">
        <f t="shared" si="1"/>
        <v>45837</v>
      </c>
      <c r="AH8" s="19">
        <f t="shared" si="1"/>
        <v>45838</v>
      </c>
      <c r="AI8" s="19">
        <f t="shared" si="1"/>
        <v>45839</v>
      </c>
      <c r="AJ8" s="2" t="s">
        <v>3</v>
      </c>
      <c r="AK8" s="4" t="s">
        <v>4</v>
      </c>
      <c r="AL8" s="31" t="s">
        <v>77</v>
      </c>
      <c r="AM8" s="31" t="s">
        <v>78</v>
      </c>
      <c r="AP8" s="4" t="s">
        <v>6</v>
      </c>
      <c r="AQ8" s="4" t="s">
        <v>5</v>
      </c>
      <c r="AR8" s="4" t="s">
        <v>7</v>
      </c>
      <c r="AS8" s="4" t="s">
        <v>8</v>
      </c>
      <c r="AT8" s="4" t="s">
        <v>13</v>
      </c>
      <c r="AU8" s="6" t="s">
        <v>9</v>
      </c>
      <c r="AV8" s="4" t="s">
        <v>11</v>
      </c>
      <c r="AW8" s="4" t="s">
        <v>18</v>
      </c>
      <c r="AX8" s="4" t="s">
        <v>19</v>
      </c>
    </row>
    <row r="9" spans="1:50" ht="17.25" customHeight="1" thickBot="1" x14ac:dyDescent="0.3">
      <c r="A9" s="146" t="s">
        <v>100</v>
      </c>
      <c r="B9" s="151" t="s">
        <v>80</v>
      </c>
      <c r="C9" s="170">
        <v>1</v>
      </c>
      <c r="D9" s="49">
        <v>1</v>
      </c>
      <c r="E9" s="62">
        <f ca="1">INDEX(Д1!$E$54:$AI$63,MATCH($D9,Д1!$D$54:$D$63),MATCH(E$7,Д1!$E$3:$AI$3))</f>
        <v>12</v>
      </c>
      <c r="F9" s="28">
        <f ca="1">INDEX(Д1!$E$54:$AI$63,MATCH($D9,Д1!$D$54:$D$63),MATCH(F$7,Д1!$E$3:$AI$3))</f>
        <v>0</v>
      </c>
      <c r="G9" s="28">
        <f ca="1">INDEX(Д1!$E$54:$AI$63,MATCH($D9,Д1!$D$54:$D$63),MATCH(G$7,Д1!$E$3:$AI$3))</f>
        <v>0</v>
      </c>
      <c r="H9" s="28">
        <f ca="1">INDEX(Д1!$E$54:$AI$63,MATCH($D9,Д1!$D$54:$D$63),MATCH(H$7,Д1!$E$3:$AI$3))</f>
        <v>4</v>
      </c>
      <c r="I9" s="28">
        <f ca="1">INDEX(Д1!$E$54:$AI$63,MATCH($D9,Д1!$D$54:$D$63),MATCH(I$7,Д1!$E$3:$AI$3))</f>
        <v>8</v>
      </c>
      <c r="J9" s="28">
        <f ca="1">INDEX(Д1!$E$54:$AI$63,MATCH($D9,Д1!$D$54:$D$63),MATCH(J$7,Д1!$E$3:$AI$3))</f>
        <v>12</v>
      </c>
      <c r="K9" s="28">
        <f ca="1">INDEX(Д1!$E$54:$AI$63,MATCH($D9,Д1!$D$54:$D$63),MATCH(K$7,Д1!$E$3:$AI$3))</f>
        <v>4</v>
      </c>
      <c r="L9" s="28">
        <f ca="1">INDEX(Д1!$E$54:$AI$63,MATCH($D9,Д1!$D$54:$D$63),MATCH(L$7,Д1!$E$3:$AI$3))</f>
        <v>8</v>
      </c>
      <c r="M9" s="28">
        <f ca="1">INDEX(Д1!$E$54:$AI$63,MATCH($D9,Д1!$D$54:$D$63),MATCH(M$7,Д1!$E$3:$AI$3))</f>
        <v>12</v>
      </c>
      <c r="N9" s="28">
        <f ca="1">INDEX(Д1!$E$54:$AI$63,MATCH($D9,Д1!$D$54:$D$63),MATCH(N$7,Д1!$E$3:$AI$3))</f>
        <v>0</v>
      </c>
      <c r="O9" s="28">
        <f ca="1">INDEX(Д1!$E$54:$AI$63,MATCH($D9,Д1!$D$54:$D$63),MATCH(O$7,Д1!$E$3:$AI$3))</f>
        <v>0</v>
      </c>
      <c r="P9" s="28">
        <f ca="1">INDEX(Д1!$E$54:$AI$63,MATCH($D9,Д1!$D$54:$D$63),MATCH(P$7,Д1!$E$3:$AI$3))</f>
        <v>4</v>
      </c>
      <c r="Q9" s="28">
        <f ca="1">INDEX(Д1!$E$54:$AI$63,MATCH($D9,Д1!$D$54:$D$63),MATCH(Q$7,Д1!$E$3:$AI$3))</f>
        <v>8</v>
      </c>
      <c r="R9" s="28">
        <f ca="1">INDEX(Д1!$E$54:$AI$63,MATCH($D9,Д1!$D$54:$D$63),MATCH(R$7,Д1!$E$3:$AI$3))</f>
        <v>12</v>
      </c>
      <c r="S9" s="28">
        <f ca="1">INDEX(Д1!$E$54:$AI$63,MATCH($D9,Д1!$D$54:$D$63),MATCH(S$7,Д1!$E$3:$AI$3))</f>
        <v>4</v>
      </c>
      <c r="T9" s="28">
        <f ca="1">INDEX(Д1!$E$54:$AI$63,MATCH($D9,Д1!$D$54:$D$63),MATCH(T$7,Д1!$E$3:$AI$3))</f>
        <v>8</v>
      </c>
      <c r="U9" s="28">
        <f ca="1">INDEX(Д1!$E$54:$AI$63,MATCH($D9,Д1!$D$54:$D$63),MATCH(U$7,Д1!$E$3:$AI$3))</f>
        <v>12</v>
      </c>
      <c r="V9" s="28">
        <f ca="1">INDEX(Д1!$E$54:$AI$63,MATCH($D9,Д1!$D$54:$D$63),MATCH(V$7,Д1!$E$3:$AI$3))</f>
        <v>0</v>
      </c>
      <c r="W9" s="28">
        <f ca="1">INDEX(Д1!$E$54:$AI$63,MATCH($D9,Д1!$D$54:$D$63),MATCH(W$7,Д1!$E$3:$AI$3))</f>
        <v>0</v>
      </c>
      <c r="X9" s="28">
        <f ca="1">INDEX(Д1!$E$54:$AI$63,MATCH($D9,Д1!$D$54:$D$63),MATCH(X$7,Д1!$E$3:$AI$3))</f>
        <v>4</v>
      </c>
      <c r="Y9" s="28">
        <f ca="1">INDEX(Д1!$E$54:$AI$63,MATCH($D9,Д1!$D$54:$D$63),MATCH(Y$7,Д1!$E$3:$AI$3))</f>
        <v>8</v>
      </c>
      <c r="Z9" s="28">
        <f ca="1">INDEX(Д1!$E$54:$AI$63,MATCH($D9,Д1!$D$54:$D$63),MATCH(Z$7,Д1!$E$3:$AI$3))</f>
        <v>12</v>
      </c>
      <c r="AA9" s="28">
        <f ca="1">INDEX(Д1!$E$54:$AI$63,MATCH($D9,Д1!$D$54:$D$63),MATCH(AA$7,Д1!$E$3:$AI$3))</f>
        <v>4</v>
      </c>
      <c r="AB9" s="28">
        <f ca="1">INDEX(Д1!$E$54:$AI$63,MATCH($D9,Д1!$D$54:$D$63),MATCH(AB$7,Д1!$E$3:$AI$3))</f>
        <v>8</v>
      </c>
      <c r="AC9" s="28">
        <f ca="1">INDEX(Д1!$E$54:$AI$63,MATCH($D9,Д1!$D$54:$D$63),MATCH(AC$7,Д1!$E$3:$AI$3))</f>
        <v>12</v>
      </c>
      <c r="AD9" s="28">
        <f ca="1">INDEX(Д1!$E$54:$AI$63,MATCH($D9,Д1!$D$54:$D$63),MATCH(AD$7,Д1!$E$3:$AI$3))</f>
        <v>0</v>
      </c>
      <c r="AE9" s="28">
        <f ca="1">INDEX(Д1!$E$54:$AI$63,MATCH($D9,Д1!$D$54:$D$63),MATCH(AE$7,Д1!$E$3:$AI$3))</f>
        <v>0</v>
      </c>
      <c r="AF9" s="28">
        <f ca="1">INDEX(Д1!$E$54:$AI$63,MATCH($D9,Д1!$D$54:$D$63),MATCH(AF$7,Д1!$E$3:$AI$3))</f>
        <v>4</v>
      </c>
      <c r="AG9" s="28">
        <f ca="1">INDEX(Д1!$E$54:$AI$63,MATCH($D9,Д1!$D$54:$D$63),MATCH(AG$7,Д1!$E$3:$AI$3))</f>
        <v>8</v>
      </c>
      <c r="AH9" s="28">
        <f ca="1">INDEX(Д1!$E$54:$AI$63,MATCH($D9,Д1!$D$54:$D$63),MATCH(AH$7,Д1!$E$3:$AI$3))</f>
        <v>12</v>
      </c>
      <c r="AI9" s="62"/>
      <c r="AJ9" s="143">
        <f>INDEX(Д1!AK$54:$AK$63,MATCH($C9,Д1!$C$54:$C$63),MATCH(E$7,Д1!$E$3:$AI$3))*AND(MONTH($E$8)=MONTH(Д1!$B$54))</f>
        <v>151</v>
      </c>
      <c r="AK9" s="144">
        <f ca="1">SUM(E9:AI10)</f>
        <v>180</v>
      </c>
      <c r="AL9" s="144"/>
      <c r="AM9" s="149">
        <f ca="1">SUM(F9:H10,J9:AI10)-AJ9+AL9-12</f>
        <v>-3</v>
      </c>
      <c r="AP9" s="136">
        <f ca="1">COUNTIF($E9:$AI10,"12")</f>
        <v>8</v>
      </c>
      <c r="AQ9" s="136">
        <f ca="1">IF(COUNTIF($E9:$AI10,"СП")&gt;=1,(COUNTIF($E9:$AI10,"4")+COUNTIF($E9:$AI10,"8")-1)/2,(COUNTIF($E9:$AI10,"4")+COUNTIF($E9:$AI10,"8"))/2)</f>
        <v>6.5</v>
      </c>
      <c r="AR9" s="136">
        <f t="shared" ref="AR9:AR47" ca="1" si="2">SUMIF($E9:$AI10,"12",$E9:$AI10)</f>
        <v>96</v>
      </c>
      <c r="AS9" s="136">
        <f ca="1">IF(COUNTIF($E9:$AI10,"СП")&gt;=1,SUMIF($E9:$AI10,"4",$E9:$AI10)+SUMIF($E9:$AI10,"8",$E9:$AI10)-8,SUMIF($E9:$AI10,"4",$E9:$AI10)+SUMIF($E9:$AI10,"8",$E9:$AI10))</f>
        <v>76</v>
      </c>
      <c r="AT9" s="136">
        <f ca="1">$AR9+$AS9</f>
        <v>172</v>
      </c>
      <c r="AU9" s="136" t="str">
        <f ca="1">IF(AK9=AT9,"+","!")</f>
        <v>!</v>
      </c>
      <c r="AV9" s="136">
        <f ca="1">COUNTIF($E9:$AI10,"ОТ")</f>
        <v>0</v>
      </c>
      <c r="AW9" s="137" t="str">
        <f ca="1">IF(COUNTIF($A10:$AI10,"СП")&gt;0,IF(INDIRECT(ADDRESS(ROW(),MATCH("СП",$A10:$AI10),1))=8,"","!"),"")</f>
        <v>!</v>
      </c>
      <c r="AX9" s="137" t="str">
        <f ca="1">IF(COUNTIF($A10:$AI10,"СП")&gt;0,IF(INDIRECT(ADDRESS(ROW(),MATCH("СП",$A10:$AI10)-1,1))=4,"!",""),"")</f>
        <v/>
      </c>
    </row>
    <row r="10" spans="1:50" ht="16.5" thickBot="1" x14ac:dyDescent="0.3">
      <c r="A10" s="147"/>
      <c r="B10" s="139"/>
      <c r="C10" s="171"/>
      <c r="D10" s="50">
        <v>2</v>
      </c>
      <c r="E10" s="63" t="str">
        <f>INDEX(Д1!$E$54:$AI$63,MATCH($D10,Д1!$D$54:$D$63),MATCH(E$7,Д1!$E$3:$AI$3))</f>
        <v/>
      </c>
      <c r="F10" s="29" t="str">
        <f>INDEX(Д1!$E$54:$AI$63,MATCH($D10,Д1!$D$54:$D$63),MATCH(F$7,Д1!$E$3:$AI$3))</f>
        <v/>
      </c>
      <c r="G10" s="29" t="str">
        <f>INDEX(Д1!$E$54:$AI$63,MATCH($D10,Д1!$D$54:$D$63),MATCH(G$7,Д1!$E$3:$AI$3))</f>
        <v/>
      </c>
      <c r="H10" s="29" t="str">
        <f>INDEX(Д1!$E$54:$AI$63,MATCH($D10,Д1!$D$54:$D$63),MATCH(H$7,Д1!$E$3:$AI$3))</f>
        <v/>
      </c>
      <c r="I10" s="29" t="str">
        <f>INDEX(Д1!$E$54:$AI$63,MATCH($D10,Д1!$D$54:$D$63),MATCH(I$7,Д1!$E$3:$AI$3))</f>
        <v/>
      </c>
      <c r="J10" s="29" t="str">
        <f>INDEX(Д1!$E$54:$AI$63,MATCH($D10,Д1!$D$54:$D$63),MATCH(J$7,Д1!$E$3:$AI$3))</f>
        <v>СП</v>
      </c>
      <c r="K10" s="29" t="str">
        <f>INDEX(Д1!$E$54:$AI$63,MATCH($D10,Д1!$D$54:$D$63),MATCH(K$7,Д1!$E$3:$AI$3))</f>
        <v/>
      </c>
      <c r="L10" s="29" t="str">
        <f>INDEX(Д1!$E$54:$AI$63,MATCH($D10,Д1!$D$54:$D$63),MATCH(L$7,Д1!$E$3:$AI$3))</f>
        <v/>
      </c>
      <c r="M10" s="29" t="str">
        <f>INDEX(Д1!$E$54:$AI$63,MATCH($D10,Д1!$D$54:$D$63),MATCH(M$7,Д1!$E$3:$AI$3))</f>
        <v/>
      </c>
      <c r="N10" s="29" t="str">
        <f>INDEX(Д1!$E$54:$AI$63,MATCH($D10,Д1!$D$54:$D$63),MATCH(N$7,Д1!$E$3:$AI$3))</f>
        <v/>
      </c>
      <c r="O10" s="29" t="str">
        <f>INDEX(Д1!$E$54:$AI$63,MATCH($D10,Д1!$D$54:$D$63),MATCH(O$7,Д1!$E$3:$AI$3))</f>
        <v/>
      </c>
      <c r="P10" s="29" t="str">
        <f>INDEX(Д1!$E$54:$AI$63,MATCH($D10,Д1!$D$54:$D$63),MATCH(P$7,Д1!$E$3:$AI$3))</f>
        <v/>
      </c>
      <c r="Q10" s="29" t="str">
        <f>INDEX(Д1!$E$54:$AI$63,MATCH($D10,Д1!$D$54:$D$63),MATCH(Q$7,Д1!$E$3:$AI$3))</f>
        <v/>
      </c>
      <c r="R10" s="29" t="str">
        <f>INDEX(Д1!$E$54:$AI$63,MATCH($D10,Д1!$D$54:$D$63),MATCH(R$7,Д1!$E$3:$AI$3))</f>
        <v/>
      </c>
      <c r="S10" s="29" t="str">
        <f>INDEX(Д1!$E$54:$AI$63,MATCH($D10,Д1!$D$54:$D$63),MATCH(S$7,Д1!$E$3:$AI$3))</f>
        <v/>
      </c>
      <c r="T10" s="29" t="str">
        <f>INDEX(Д1!$E$54:$AI$63,MATCH($D10,Д1!$D$54:$D$63),MATCH(T$7,Д1!$E$3:$AI$3))</f>
        <v/>
      </c>
      <c r="U10" s="29" t="str">
        <f>INDEX(Д1!$E$54:$AI$63,MATCH($D10,Д1!$D$54:$D$63),MATCH(U$7,Д1!$E$3:$AI$3))</f>
        <v/>
      </c>
      <c r="V10" s="29" t="str">
        <f>INDEX(Д1!$E$54:$AI$63,MATCH($D10,Д1!$D$54:$D$63),MATCH(V$7,Д1!$E$3:$AI$3))</f>
        <v/>
      </c>
      <c r="W10" s="29" t="str">
        <f>INDEX(Д1!$E$54:$AI$63,MATCH($D10,Д1!$D$54:$D$63),MATCH(W$7,Д1!$E$3:$AI$3))</f>
        <v/>
      </c>
      <c r="X10" s="29" t="str">
        <f>INDEX(Д1!$E$54:$AI$63,MATCH($D10,Д1!$D$54:$D$63),MATCH(X$7,Д1!$E$3:$AI$3))</f>
        <v/>
      </c>
      <c r="Y10" s="29" t="str">
        <f>INDEX(Д1!$E$54:$AI$63,MATCH($D10,Д1!$D$54:$D$63),MATCH(Y$7,Д1!$E$3:$AI$3))</f>
        <v/>
      </c>
      <c r="Z10" s="29" t="str">
        <f>INDEX(Д1!$E$54:$AI$63,MATCH($D10,Д1!$D$54:$D$63),MATCH(Z$7,Д1!$E$3:$AI$3))</f>
        <v/>
      </c>
      <c r="AA10" s="29" t="str">
        <f>INDEX(Д1!$E$54:$AI$63,MATCH($D10,Д1!$D$54:$D$63),MATCH(AA$7,Д1!$E$3:$AI$3))</f>
        <v/>
      </c>
      <c r="AB10" s="29" t="str">
        <f>INDEX(Д1!$E$54:$AI$63,MATCH($D10,Д1!$D$54:$D$63),MATCH(AB$7,Д1!$E$3:$AI$3))</f>
        <v/>
      </c>
      <c r="AC10" s="29" t="str">
        <f>INDEX(Д1!$E$54:$AI$63,MATCH($D10,Д1!$D$54:$D$63),MATCH(AC$7,Д1!$E$3:$AI$3))</f>
        <v/>
      </c>
      <c r="AD10" s="29" t="str">
        <f>INDEX(Д1!$E$54:$AI$63,MATCH($D10,Д1!$D$54:$D$63),MATCH(AD$7,Д1!$E$3:$AI$3))</f>
        <v/>
      </c>
      <c r="AE10" s="29" t="str">
        <f>INDEX(Д1!$E$54:$AI$63,MATCH($D10,Д1!$D$54:$D$63),MATCH(AE$7,Д1!$E$3:$AI$3))</f>
        <v/>
      </c>
      <c r="AF10" s="29" t="str">
        <f>INDEX(Д1!$E$54:$AI$63,MATCH($D10,Д1!$D$54:$D$63),MATCH(AF$7,Д1!$E$3:$AI$3))</f>
        <v/>
      </c>
      <c r="AG10" s="29" t="str">
        <f>INDEX(Д1!$E$54:$AI$63,MATCH($D10,Д1!$D$54:$D$63),MATCH(AG$7,Д1!$E$3:$AI$3))</f>
        <v/>
      </c>
      <c r="AH10" s="29" t="str">
        <f>INDEX(Д1!$E$54:$AI$63,MATCH($D10,Д1!$D$54:$D$63),MATCH(AH$7,Д1!$E$3:$AI$3))</f>
        <v/>
      </c>
      <c r="AI10" s="63"/>
      <c r="AJ10" s="143"/>
      <c r="AK10" s="145"/>
      <c r="AL10" s="145"/>
      <c r="AM10" s="150"/>
      <c r="AP10" s="136"/>
      <c r="AQ10" s="136"/>
      <c r="AR10" s="136"/>
      <c r="AS10" s="136"/>
      <c r="AT10" s="136"/>
      <c r="AU10" s="136"/>
      <c r="AV10" s="136"/>
      <c r="AW10" s="137"/>
      <c r="AX10" s="137"/>
    </row>
    <row r="11" spans="1:50" ht="16.5" customHeight="1" thickBot="1" x14ac:dyDescent="0.3">
      <c r="A11" s="147"/>
      <c r="B11" s="139" t="s">
        <v>81</v>
      </c>
      <c r="C11" s="170">
        <v>2</v>
      </c>
      <c r="D11" s="49">
        <v>3</v>
      </c>
      <c r="E11" s="64">
        <f ca="1">INDEX(Д1!$E$54:$AI$63,MATCH($D11,Д1!$D$54:$D$63),MATCH(E$7,Д1!$E$3:$AI$3))</f>
        <v>0</v>
      </c>
      <c r="F11" s="27">
        <f ca="1">INDEX(Д1!$E$54:$AI$63,MATCH($D11,Д1!$D$54:$D$63),MATCH(F$7,Д1!$E$3:$AI$3))</f>
        <v>4</v>
      </c>
      <c r="G11" s="27">
        <f ca="1">INDEX(Д1!$E$54:$AI$63,MATCH($D11,Д1!$D$54:$D$63),MATCH(G$7,Д1!$E$3:$AI$3))</f>
        <v>8</v>
      </c>
      <c r="H11" s="27">
        <f ca="1">INDEX(Д1!$E$54:$AI$63,MATCH($D11,Д1!$D$54:$D$63),MATCH(H$7,Д1!$E$3:$AI$3))</f>
        <v>12</v>
      </c>
      <c r="I11" s="27">
        <f ca="1">INDEX(Д1!$E$54:$AI$63,MATCH($D11,Д1!$D$54:$D$63),MATCH(I$7,Д1!$E$3:$AI$3))</f>
        <v>4</v>
      </c>
      <c r="J11" s="27">
        <f ca="1">INDEX(Д1!$E$54:$AI$63,MATCH($D11,Д1!$D$54:$D$63),MATCH(J$7,Д1!$E$3:$AI$3))</f>
        <v>8</v>
      </c>
      <c r="K11" s="27">
        <f ca="1">INDEX(Д1!$E$54:$AI$63,MATCH($D11,Д1!$D$54:$D$63),MATCH(K$7,Д1!$E$3:$AI$3))</f>
        <v>12</v>
      </c>
      <c r="L11" s="27">
        <f ca="1">INDEX(Д1!$E$54:$AI$63,MATCH($D11,Д1!$D$54:$D$63),MATCH(L$7,Д1!$E$3:$AI$3))</f>
        <v>0</v>
      </c>
      <c r="M11" s="27">
        <f ca="1">INDEX(Д1!$E$54:$AI$63,MATCH($D11,Д1!$D$54:$D$63),MATCH(M$7,Д1!$E$3:$AI$3))</f>
        <v>0</v>
      </c>
      <c r="N11" s="27">
        <f ca="1">INDEX(Д1!$E$54:$AI$63,MATCH($D11,Д1!$D$54:$D$63),MATCH(N$7,Д1!$E$3:$AI$3))</f>
        <v>4</v>
      </c>
      <c r="O11" s="27">
        <f ca="1">INDEX(Д1!$E$54:$AI$63,MATCH($D11,Д1!$D$54:$D$63),MATCH(O$7,Д1!$E$3:$AI$3))</f>
        <v>8</v>
      </c>
      <c r="P11" s="27">
        <f ca="1">INDEX(Д1!$E$54:$AI$63,MATCH($D11,Д1!$D$54:$D$63),MATCH(P$7,Д1!$E$3:$AI$3))</f>
        <v>12</v>
      </c>
      <c r="Q11" s="27">
        <f ca="1">INDEX(Д1!$E$54:$AI$63,MATCH($D11,Д1!$D$54:$D$63),MATCH(Q$7,Д1!$E$3:$AI$3))</f>
        <v>4</v>
      </c>
      <c r="R11" s="27">
        <f ca="1">INDEX(Д1!$E$54:$AI$63,MATCH($D11,Д1!$D$54:$D$63),MATCH(R$7,Д1!$E$3:$AI$3))</f>
        <v>8</v>
      </c>
      <c r="S11" s="27">
        <f ca="1">INDEX(Д1!$E$54:$AI$63,MATCH($D11,Д1!$D$54:$D$63),MATCH(S$7,Д1!$E$3:$AI$3))</f>
        <v>12</v>
      </c>
      <c r="T11" s="27">
        <f ca="1">INDEX(Д1!$E$54:$AI$63,MATCH($D11,Д1!$D$54:$D$63),MATCH(T$7,Д1!$E$3:$AI$3))</f>
        <v>0</v>
      </c>
      <c r="U11" s="27">
        <f ca="1">INDEX(Д1!$E$54:$AI$63,MATCH($D11,Д1!$D$54:$D$63),MATCH(U$7,Д1!$E$3:$AI$3))</f>
        <v>0</v>
      </c>
      <c r="V11" s="27">
        <f ca="1">INDEX(Д1!$E$54:$AI$63,MATCH($D11,Д1!$D$54:$D$63),MATCH(V$7,Д1!$E$3:$AI$3))</f>
        <v>4</v>
      </c>
      <c r="W11" s="27">
        <f ca="1">INDEX(Д1!$E$54:$AI$63,MATCH($D11,Д1!$D$54:$D$63),MATCH(W$7,Д1!$E$3:$AI$3))</f>
        <v>8</v>
      </c>
      <c r="X11" s="27">
        <f ca="1">INDEX(Д1!$E$54:$AI$63,MATCH($D11,Д1!$D$54:$D$63),MATCH(X$7,Д1!$E$3:$AI$3))</f>
        <v>12</v>
      </c>
      <c r="Y11" s="27">
        <f ca="1">INDEX(Д1!$E$54:$AI$63,MATCH($D11,Д1!$D$54:$D$63),MATCH(Y$7,Д1!$E$3:$AI$3))</f>
        <v>4</v>
      </c>
      <c r="Z11" s="27">
        <f ca="1">INDEX(Д1!$E$54:$AI$63,MATCH($D11,Д1!$D$54:$D$63),MATCH(Z$7,Д1!$E$3:$AI$3))</f>
        <v>8</v>
      </c>
      <c r="AA11" s="27">
        <f ca="1">INDEX(Д1!$E$54:$AI$63,MATCH($D11,Д1!$D$54:$D$63),MATCH(AA$7,Д1!$E$3:$AI$3))</f>
        <v>12</v>
      </c>
      <c r="AB11" s="27">
        <f ca="1">INDEX(Д1!$E$54:$AI$63,MATCH($D11,Д1!$D$54:$D$63),MATCH(AB$7,Д1!$E$3:$AI$3))</f>
        <v>0</v>
      </c>
      <c r="AC11" s="27">
        <f ca="1">INDEX(Д1!$E$54:$AI$63,MATCH($D11,Д1!$D$54:$D$63),MATCH(AC$7,Д1!$E$3:$AI$3))</f>
        <v>0</v>
      </c>
      <c r="AD11" s="27">
        <f ca="1">INDEX(Д1!$E$54:$AI$63,MATCH($D11,Д1!$D$54:$D$63),MATCH(AD$7,Д1!$E$3:$AI$3))</f>
        <v>4</v>
      </c>
      <c r="AE11" s="27">
        <f ca="1">INDEX(Д1!$E$54:$AI$63,MATCH($D11,Д1!$D$54:$D$63),MATCH(AE$7,Д1!$E$3:$AI$3))</f>
        <v>8</v>
      </c>
      <c r="AF11" s="27">
        <f ca="1">INDEX(Д1!$E$54:$AI$63,MATCH($D11,Д1!$D$54:$D$63),MATCH(AF$7,Д1!$E$3:$AI$3))</f>
        <v>12</v>
      </c>
      <c r="AG11" s="27">
        <f ca="1">INDEX(Д1!$E$54:$AI$63,MATCH($D11,Д1!$D$54:$D$63),MATCH(AG$7,Д1!$E$3:$AI$3))</f>
        <v>4</v>
      </c>
      <c r="AH11" s="27">
        <f ca="1">INDEX(Д1!$E$54:$AI$63,MATCH($D11,Д1!$D$54:$D$63),MATCH(AH$7,Д1!$E$3:$AI$3))</f>
        <v>8</v>
      </c>
      <c r="AI11" s="64"/>
      <c r="AJ11" s="143">
        <f>INDEX(Д1!AK$54:$AK$63,MATCH($C11,Д1!$C$54:$C$63),MATCH(E$7,Д1!$E$3:$AI$3))*AND(MONTH($E$8)=MONTH(Д1!$B$54))</f>
        <v>151</v>
      </c>
      <c r="AK11" s="144">
        <f ca="1">SUM(K11:AI12)</f>
        <v>144</v>
      </c>
      <c r="AL11" s="155"/>
      <c r="AM11" s="149">
        <f ca="1">SUM(F11:H12,J11:AI12)-AJ11+AL11-12</f>
        <v>13</v>
      </c>
      <c r="AP11" s="136">
        <f t="shared" ref="AP11" ca="1" si="3">COUNTIF($E11:$AI12,"12")</f>
        <v>7</v>
      </c>
      <c r="AQ11" s="136">
        <f t="shared" ref="AQ11" ca="1" si="4">IF(COUNTIF($E11:$AI12,"СП")&gt;=1,(COUNTIF($E11:$AI12,"4")+COUNTIF($E11:$AI12,"8")-1)/2,(COUNTIF($E11:$AI12,"4")+COUNTIF($E11:$AI12,"8"))/2)</f>
        <v>7.5</v>
      </c>
      <c r="AR11" s="136">
        <f t="shared" ca="1" si="2"/>
        <v>84</v>
      </c>
      <c r="AS11" s="136">
        <f t="shared" ref="AS11" ca="1" si="5">IF(COUNTIF($E11:$AI12,"СП")&gt;=1,SUMIF($E11:$AI12,"4",$E11:$AI12)+SUMIF($E11:$AI12,"8",$E11:$AI12)-8,SUMIF($E11:$AI12,"4",$E11:$AI12)+SUMIF($E11:$AI12,"8",$E11:$AI12))</f>
        <v>88</v>
      </c>
      <c r="AT11" s="136">
        <f t="shared" ref="AT11" ca="1" si="6">$AR11+$AS11</f>
        <v>172</v>
      </c>
      <c r="AU11" s="136" t="str">
        <f t="shared" ref="AU11" ca="1" si="7">IF(AK11=AT11,"+","!")</f>
        <v>!</v>
      </c>
      <c r="AV11" s="136">
        <f t="shared" ref="AV11" ca="1" si="8">COUNTIF($E11:$AI12,"ОТ")</f>
        <v>0</v>
      </c>
      <c r="AW11" s="137" t="str">
        <f ca="1">IF(COUNTIF($A12:$AI12,"СП")&gt;0,IF(INDIRECT(ADDRESS(ROW(),MATCH("СП",$A12:$AI12),1))=8,"","!"),"")</f>
        <v/>
      </c>
      <c r="AX11" s="137" t="str">
        <f ca="1">IF(COUNTIF($A12:$AI12,"СП")&gt;0,IF(INDIRECT(ADDRESS(ROW(),MATCH("СП",$A12:$AI12)-1,1))=4,"!",""),"")</f>
        <v>!</v>
      </c>
    </row>
    <row r="12" spans="1:50" ht="16.5" thickBot="1" x14ac:dyDescent="0.3">
      <c r="A12" s="147"/>
      <c r="B12" s="139"/>
      <c r="C12" s="171"/>
      <c r="D12" s="50">
        <v>4</v>
      </c>
      <c r="E12" s="65" t="str">
        <f>INDEX(Д1!$E$54:$AI$63,MATCH($D12,Д1!$D$54:$D$63),MATCH(E$7,Д1!$E$3:$AI$3))</f>
        <v/>
      </c>
      <c r="F12" s="30" t="str">
        <f>INDEX(Д1!$E$54:$AI$63,MATCH($D12,Д1!$D$54:$D$63),MATCH(F$7,Д1!$E$3:$AI$3))</f>
        <v/>
      </c>
      <c r="G12" s="30" t="str">
        <f>INDEX(Д1!$E$54:$AI$63,MATCH($D12,Д1!$D$54:$D$63),MATCH(G$7,Д1!$E$3:$AI$3))</f>
        <v/>
      </c>
      <c r="H12" s="30" t="str">
        <f>INDEX(Д1!$E$54:$AI$63,MATCH($D12,Д1!$D$54:$D$63),MATCH(H$7,Д1!$E$3:$AI$3))</f>
        <v/>
      </c>
      <c r="I12" s="30" t="str">
        <f>INDEX(Д1!$E$54:$AI$63,MATCH($D12,Д1!$D$54:$D$63),MATCH(I$7,Д1!$E$3:$AI$3))</f>
        <v/>
      </c>
      <c r="J12" s="30" t="str">
        <f>INDEX(Д1!$E$54:$AI$63,MATCH($D12,Д1!$D$54:$D$63),MATCH(J$7,Д1!$E$3:$AI$3))</f>
        <v/>
      </c>
      <c r="K12" s="30" t="str">
        <f>INDEX(Д1!$E$54:$AI$63,MATCH($D12,Д1!$D$54:$D$63),MATCH(K$7,Д1!$E$3:$AI$3))</f>
        <v>СП</v>
      </c>
      <c r="L12" s="30" t="str">
        <f>INDEX(Д1!$E$54:$AI$63,MATCH($D12,Д1!$D$54:$D$63),MATCH(L$7,Д1!$E$3:$AI$3))</f>
        <v/>
      </c>
      <c r="M12" s="30" t="str">
        <f>INDEX(Д1!$E$54:$AI$63,MATCH($D12,Д1!$D$54:$D$63),MATCH(M$7,Д1!$E$3:$AI$3))</f>
        <v/>
      </c>
      <c r="N12" s="30" t="str">
        <f>INDEX(Д1!$E$54:$AI$63,MATCH($D12,Д1!$D$54:$D$63),MATCH(N$7,Д1!$E$3:$AI$3))</f>
        <v/>
      </c>
      <c r="O12" s="30" t="str">
        <f>INDEX(Д1!$E$54:$AI$63,MATCH($D12,Д1!$D$54:$D$63),MATCH(O$7,Д1!$E$3:$AI$3))</f>
        <v/>
      </c>
      <c r="P12" s="30" t="str">
        <f>INDEX(Д1!$E$54:$AI$63,MATCH($D12,Д1!$D$54:$D$63),MATCH(P$7,Д1!$E$3:$AI$3))</f>
        <v/>
      </c>
      <c r="Q12" s="30" t="str">
        <f>INDEX(Д1!$E$54:$AI$63,MATCH($D12,Д1!$D$54:$D$63),MATCH(Q$7,Д1!$E$3:$AI$3))</f>
        <v/>
      </c>
      <c r="R12" s="30" t="str">
        <f>INDEX(Д1!$E$54:$AI$63,MATCH($D12,Д1!$D$54:$D$63),MATCH(R$7,Д1!$E$3:$AI$3))</f>
        <v/>
      </c>
      <c r="S12" s="30" t="str">
        <f>INDEX(Д1!$E$54:$AI$63,MATCH($D12,Д1!$D$54:$D$63),MATCH(S$7,Д1!$E$3:$AI$3))</f>
        <v/>
      </c>
      <c r="T12" s="30" t="str">
        <f>INDEX(Д1!$E$54:$AI$63,MATCH($D12,Д1!$D$54:$D$63),MATCH(T$7,Д1!$E$3:$AI$3))</f>
        <v/>
      </c>
      <c r="U12" s="30" t="str">
        <f>INDEX(Д1!$E$54:$AI$63,MATCH($D12,Д1!$D$54:$D$63),MATCH(U$7,Д1!$E$3:$AI$3))</f>
        <v/>
      </c>
      <c r="V12" s="30" t="str">
        <f>INDEX(Д1!$E$54:$AI$63,MATCH($D12,Д1!$D$54:$D$63),MATCH(V$7,Д1!$E$3:$AI$3))</f>
        <v/>
      </c>
      <c r="W12" s="30" t="str">
        <f>INDEX(Д1!$E$54:$AI$63,MATCH($D12,Д1!$D$54:$D$63),MATCH(W$7,Д1!$E$3:$AI$3))</f>
        <v/>
      </c>
      <c r="X12" s="30" t="str">
        <f>INDEX(Д1!$E$54:$AI$63,MATCH($D12,Д1!$D$54:$D$63),MATCH(X$7,Д1!$E$3:$AI$3))</f>
        <v/>
      </c>
      <c r="Y12" s="30" t="str">
        <f>INDEX(Д1!$E$54:$AI$63,MATCH($D12,Д1!$D$54:$D$63),MATCH(Y$7,Д1!$E$3:$AI$3))</f>
        <v/>
      </c>
      <c r="Z12" s="30" t="str">
        <f>INDEX(Д1!$E$54:$AI$63,MATCH($D12,Д1!$D$54:$D$63),MATCH(Z$7,Д1!$E$3:$AI$3))</f>
        <v/>
      </c>
      <c r="AA12" s="30" t="str">
        <f>INDEX(Д1!$E$54:$AI$63,MATCH($D12,Д1!$D$54:$D$63),MATCH(AA$7,Д1!$E$3:$AI$3))</f>
        <v/>
      </c>
      <c r="AB12" s="30" t="str">
        <f>INDEX(Д1!$E$54:$AI$63,MATCH($D12,Д1!$D$54:$D$63),MATCH(AB$7,Д1!$E$3:$AI$3))</f>
        <v/>
      </c>
      <c r="AC12" s="30" t="str">
        <f>INDEX(Д1!$E$54:$AI$63,MATCH($D12,Д1!$D$54:$D$63),MATCH(AC$7,Д1!$E$3:$AI$3))</f>
        <v/>
      </c>
      <c r="AD12" s="30" t="str">
        <f>INDEX(Д1!$E$54:$AI$63,MATCH($D12,Д1!$D$54:$D$63),MATCH(AD$7,Д1!$E$3:$AI$3))</f>
        <v/>
      </c>
      <c r="AE12" s="30" t="str">
        <f>INDEX(Д1!$E$54:$AI$63,MATCH($D12,Д1!$D$54:$D$63),MATCH(AE$7,Д1!$E$3:$AI$3))</f>
        <v/>
      </c>
      <c r="AF12" s="30" t="str">
        <f>INDEX(Д1!$E$54:$AI$63,MATCH($D12,Д1!$D$54:$D$63),MATCH(AF$7,Д1!$E$3:$AI$3))</f>
        <v/>
      </c>
      <c r="AG12" s="30" t="str">
        <f>INDEX(Д1!$E$54:$AI$63,MATCH($D12,Д1!$D$54:$D$63),MATCH(AG$7,Д1!$E$3:$AI$3))</f>
        <v/>
      </c>
      <c r="AH12" s="30" t="str">
        <f>INDEX(Д1!$E$54:$AI$63,MATCH($D12,Д1!$D$54:$D$63),MATCH(AH$7,Д1!$E$3:$AI$3))</f>
        <v/>
      </c>
      <c r="AI12" s="33"/>
      <c r="AJ12" s="143"/>
      <c r="AK12" s="145"/>
      <c r="AL12" s="155"/>
      <c r="AM12" s="150"/>
      <c r="AP12" s="136"/>
      <c r="AQ12" s="136"/>
      <c r="AR12" s="136"/>
      <c r="AS12" s="136"/>
      <c r="AT12" s="136"/>
      <c r="AU12" s="136"/>
      <c r="AV12" s="136"/>
      <c r="AW12" s="137"/>
      <c r="AX12" s="137"/>
    </row>
    <row r="13" spans="1:50" ht="16.5" thickBot="1" x14ac:dyDescent="0.3">
      <c r="A13" s="147"/>
      <c r="B13" s="139" t="s">
        <v>82</v>
      </c>
      <c r="C13" s="170">
        <v>3</v>
      </c>
      <c r="D13" s="49">
        <v>5</v>
      </c>
      <c r="E13" s="62">
        <f ca="1">INDEX(Д1!$E$54:$AI$63,MATCH($D13,Д1!$D$54:$D$63),MATCH(E$7,Д1!$E$3:$AI$3))</f>
        <v>4</v>
      </c>
      <c r="F13" s="28">
        <f ca="1">INDEX(Д1!$E$54:$AI$63,MATCH($D13,Д1!$D$54:$D$63),MATCH(F$7,Д1!$E$3:$AI$3))</f>
        <v>8</v>
      </c>
      <c r="G13" s="28">
        <f ca="1">INDEX(Д1!$E$54:$AI$63,MATCH($D13,Д1!$D$54:$D$63),MATCH(G$7,Д1!$E$3:$AI$3))</f>
        <v>12</v>
      </c>
      <c r="H13" s="28">
        <f ca="1">INDEX(Д1!$E$54:$AI$63,MATCH($D13,Д1!$D$54:$D$63),MATCH(H$7,Д1!$E$3:$AI$3))</f>
        <v>0</v>
      </c>
      <c r="I13" s="28">
        <f ca="1">INDEX(Д1!$E$54:$AI$63,MATCH($D13,Д1!$D$54:$D$63),MATCH(I$7,Д1!$E$3:$AI$3))</f>
        <v>0</v>
      </c>
      <c r="J13" s="28">
        <f ca="1">INDEX(Д1!$E$54:$AI$63,MATCH($D13,Д1!$D$54:$D$63),MATCH(J$7,Д1!$E$3:$AI$3))</f>
        <v>4</v>
      </c>
      <c r="K13" s="28">
        <f ca="1">INDEX(Д1!$E$54:$AI$63,MATCH($D13,Д1!$D$54:$D$63),MATCH(K$7,Д1!$E$3:$AI$3))</f>
        <v>8</v>
      </c>
      <c r="L13" s="28">
        <f ca="1">INDEX(Д1!$E$54:$AI$63,MATCH($D13,Д1!$D$54:$D$63),MATCH(L$7,Д1!$E$3:$AI$3))</f>
        <v>12</v>
      </c>
      <c r="M13" s="28">
        <f ca="1">INDEX(Д1!$E$54:$AI$63,MATCH($D13,Д1!$D$54:$D$63),MATCH(M$7,Д1!$E$3:$AI$3))</f>
        <v>4</v>
      </c>
      <c r="N13" s="28">
        <f ca="1">INDEX(Д1!$E$54:$AI$63,MATCH($D13,Д1!$D$54:$D$63),MATCH(N$7,Д1!$E$3:$AI$3))</f>
        <v>8</v>
      </c>
      <c r="O13" s="28">
        <f ca="1">INDEX(Д1!$E$54:$AI$63,MATCH($D13,Д1!$D$54:$D$63),MATCH(O$7,Д1!$E$3:$AI$3))</f>
        <v>12</v>
      </c>
      <c r="P13" s="28">
        <f ca="1">INDEX(Д1!$E$54:$AI$63,MATCH($D13,Д1!$D$54:$D$63),MATCH(P$7,Д1!$E$3:$AI$3))</f>
        <v>0</v>
      </c>
      <c r="Q13" s="28">
        <f ca="1">INDEX(Д1!$E$54:$AI$63,MATCH($D13,Д1!$D$54:$D$63),MATCH(Q$7,Д1!$E$3:$AI$3))</f>
        <v>0</v>
      </c>
      <c r="R13" s="28">
        <f ca="1">INDEX(Д1!$E$54:$AI$63,MATCH($D13,Д1!$D$54:$D$63),MATCH(R$7,Д1!$E$3:$AI$3))</f>
        <v>4</v>
      </c>
      <c r="S13" s="28">
        <f ca="1">INDEX(Д1!$E$54:$AI$63,MATCH($D13,Д1!$D$54:$D$63),MATCH(S$7,Д1!$E$3:$AI$3))</f>
        <v>8</v>
      </c>
      <c r="T13" s="28">
        <f ca="1">INDEX(Д1!$E$54:$AI$63,MATCH($D13,Д1!$D$54:$D$63),MATCH(T$7,Д1!$E$3:$AI$3))</f>
        <v>12</v>
      </c>
      <c r="U13" s="28">
        <f ca="1">INDEX(Д1!$E$54:$AI$63,MATCH($D13,Д1!$D$54:$D$63),MATCH(U$7,Д1!$E$3:$AI$3))</f>
        <v>4</v>
      </c>
      <c r="V13" s="28">
        <f ca="1">INDEX(Д1!$E$54:$AI$63,MATCH($D13,Д1!$D$54:$D$63),MATCH(V$7,Д1!$E$3:$AI$3))</f>
        <v>8</v>
      </c>
      <c r="W13" s="28">
        <f ca="1">INDEX(Д1!$E$54:$AI$63,MATCH($D13,Д1!$D$54:$D$63),MATCH(W$7,Д1!$E$3:$AI$3))</f>
        <v>12</v>
      </c>
      <c r="X13" s="28">
        <f ca="1">INDEX(Д1!$E$54:$AI$63,MATCH($D13,Д1!$D$54:$D$63),MATCH(X$7,Д1!$E$3:$AI$3))</f>
        <v>0</v>
      </c>
      <c r="Y13" s="28">
        <f ca="1">INDEX(Д1!$E$54:$AI$63,MATCH($D13,Д1!$D$54:$D$63),MATCH(Y$7,Д1!$E$3:$AI$3))</f>
        <v>0</v>
      </c>
      <c r="Z13" s="28">
        <f ca="1">INDEX(Д1!$E$54:$AI$63,MATCH($D13,Д1!$D$54:$D$63),MATCH(Z$7,Д1!$E$3:$AI$3))</f>
        <v>4</v>
      </c>
      <c r="AA13" s="28">
        <f ca="1">INDEX(Д1!$E$54:$AI$63,MATCH($D13,Д1!$D$54:$D$63),MATCH(AA$7,Д1!$E$3:$AI$3))</f>
        <v>8</v>
      </c>
      <c r="AB13" s="28">
        <f ca="1">INDEX(Д1!$E$54:$AI$63,MATCH($D13,Д1!$D$54:$D$63),MATCH(AB$7,Д1!$E$3:$AI$3))</f>
        <v>12</v>
      </c>
      <c r="AC13" s="28">
        <f ca="1">INDEX(Д1!$E$54:$AI$63,MATCH($D13,Д1!$D$54:$D$63),MATCH(AC$7,Д1!$E$3:$AI$3))</f>
        <v>4</v>
      </c>
      <c r="AD13" s="28">
        <f ca="1">INDEX(Д1!$E$54:$AI$63,MATCH($D13,Д1!$D$54:$D$63),MATCH(AD$7,Д1!$E$3:$AI$3))</f>
        <v>8</v>
      </c>
      <c r="AE13" s="28">
        <f ca="1">INDEX(Д1!$E$54:$AI$63,MATCH($D13,Д1!$D$54:$D$63),MATCH(AE$7,Д1!$E$3:$AI$3))</f>
        <v>12</v>
      </c>
      <c r="AF13" s="28">
        <f ca="1">INDEX(Д1!$E$54:$AI$63,MATCH($D13,Д1!$D$54:$D$63),MATCH(AF$7,Д1!$E$3:$AI$3))</f>
        <v>0</v>
      </c>
      <c r="AG13" s="28">
        <f ca="1">INDEX(Д1!$E$54:$AI$63,MATCH($D13,Д1!$D$54:$D$63),MATCH(AG$7,Д1!$E$3:$AI$3))</f>
        <v>0</v>
      </c>
      <c r="AH13" s="28">
        <f ca="1">INDEX(Д1!$E$54:$AI$63,MATCH($D13,Д1!$D$54:$D$63),MATCH(AH$7,Д1!$E$3:$AI$3))</f>
        <v>4</v>
      </c>
      <c r="AI13" s="62"/>
      <c r="AJ13" s="143">
        <f>INDEX(Д1!AK$54:$AK$63,MATCH($C13,Д1!$C$54:$C$63),MATCH(E$7,Д1!$E$3:$AI$3))*AND(MONTH($E$8)=MONTH(Д1!$B$54))</f>
        <v>151</v>
      </c>
      <c r="AK13" s="144">
        <f ca="1">SUM(E13:K14)</f>
        <v>36</v>
      </c>
      <c r="AL13" s="144"/>
      <c r="AM13" s="149">
        <f ca="1">SUM(F13:H14,J13:AI14)-AJ13+AL13-12</f>
        <v>5</v>
      </c>
      <c r="AP13" s="136">
        <f t="shared" ref="AP13" ca="1" si="9">COUNTIF($E13:$AI14,"12")</f>
        <v>7</v>
      </c>
      <c r="AQ13" s="136">
        <f t="shared" ref="AQ13" ca="1" si="10">IF(COUNTIF($E13:$AI14,"СП")&gt;=1,(COUNTIF($E13:$AI14,"4")+COUNTIF($E13:$AI14,"8")-1)/2,(COUNTIF($E13:$AI14,"4")+COUNTIF($E13:$AI14,"8"))/2)</f>
        <v>7</v>
      </c>
      <c r="AR13" s="136">
        <f t="shared" ca="1" si="2"/>
        <v>84</v>
      </c>
      <c r="AS13" s="136">
        <f t="shared" ref="AS13" ca="1" si="11">IF(COUNTIF($E13:$AI14,"СП")&gt;=1,SUMIF($E13:$AI14,"4",$E13:$AI14)+SUMIF($E13:$AI14,"8",$E13:$AI14)-8,SUMIF($E13:$AI14,"4",$E13:$AI14)+SUMIF($E13:$AI14,"8",$E13:$AI14))</f>
        <v>80</v>
      </c>
      <c r="AT13" s="136">
        <f t="shared" ref="AT13" ca="1" si="12">$AR13+$AS13</f>
        <v>164</v>
      </c>
      <c r="AU13" s="136" t="str">
        <f t="shared" ref="AU13" ca="1" si="13">IF(AK13=AT13,"+","!")</f>
        <v>!</v>
      </c>
      <c r="AV13" s="136">
        <f ca="1">COUNTIF($E13:$AI14,"ОТ")</f>
        <v>0</v>
      </c>
      <c r="AW13" s="137" t="str">
        <f ca="1">IF(COUNTIF($A14:$AI14,"СП")&gt;0,IF(INDIRECT(ADDRESS(ROW(),MATCH("СП",$A14:$AI14),1))=8,"","!"),"")</f>
        <v>!</v>
      </c>
      <c r="AX13" s="137" t="str">
        <f ca="1">IF(COUNTIF($A14:$AI14,"СП")&gt;0,IF(INDIRECT(ADDRESS(ROW(),MATCH("СП",$A14:$AI14)-1,1))=4,"!",""),"")</f>
        <v/>
      </c>
    </row>
    <row r="14" spans="1:50" ht="16.5" thickBot="1" x14ac:dyDescent="0.3">
      <c r="A14" s="147"/>
      <c r="B14" s="139"/>
      <c r="C14" s="171"/>
      <c r="D14" s="50">
        <v>6</v>
      </c>
      <c r="E14" s="63" t="str">
        <f>INDEX(Д1!$E$54:$AI$63,MATCH($D14,Д1!$D$54:$D$63),MATCH(E$7,Д1!$E$3:$AI$3))</f>
        <v/>
      </c>
      <c r="F14" s="29" t="str">
        <f>INDEX(Д1!$E$54:$AI$63,MATCH($D14,Д1!$D$54:$D$63),MATCH(F$7,Д1!$E$3:$AI$3))</f>
        <v/>
      </c>
      <c r="G14" s="29" t="str">
        <f>INDEX(Д1!$E$54:$AI$63,MATCH($D14,Д1!$D$54:$D$63),MATCH(G$7,Д1!$E$3:$AI$3))</f>
        <v/>
      </c>
      <c r="H14" s="29" t="str">
        <f>INDEX(Д1!$E$54:$AI$63,MATCH($D14,Д1!$D$54:$D$63),MATCH(H$7,Д1!$E$3:$AI$3))</f>
        <v/>
      </c>
      <c r="I14" s="29" t="str">
        <f>INDEX(Д1!$E$54:$AI$63,MATCH($D14,Д1!$D$54:$D$63),MATCH(I$7,Д1!$E$3:$AI$3))</f>
        <v/>
      </c>
      <c r="J14" s="29" t="str">
        <f>INDEX(Д1!$E$54:$AI$63,MATCH($D14,Д1!$D$54:$D$63),MATCH(J$7,Д1!$E$3:$AI$3))</f>
        <v/>
      </c>
      <c r="K14" s="29" t="str">
        <f>INDEX(Д1!$E$54:$AI$63,MATCH($D14,Д1!$D$54:$D$63),MATCH(K$7,Д1!$E$3:$AI$3))</f>
        <v/>
      </c>
      <c r="L14" s="29" t="str">
        <f>INDEX(Д1!$E$54:$AI$63,MATCH($D14,Д1!$D$54:$D$63),MATCH(L$7,Д1!$E$3:$AI$3))</f>
        <v>СП</v>
      </c>
      <c r="M14" s="29" t="str">
        <f>INDEX(Д1!$E$54:$AI$63,MATCH($D14,Д1!$D$54:$D$63),MATCH(M$7,Д1!$E$3:$AI$3))</f>
        <v/>
      </c>
      <c r="N14" s="29" t="str">
        <f>INDEX(Д1!$E$54:$AI$63,MATCH($D14,Д1!$D$54:$D$63),MATCH(N$7,Д1!$E$3:$AI$3))</f>
        <v/>
      </c>
      <c r="O14" s="29" t="str">
        <f>INDEX(Д1!$E$54:$AI$63,MATCH($D14,Д1!$D$54:$D$63),MATCH(O$7,Д1!$E$3:$AI$3))</f>
        <v/>
      </c>
      <c r="P14" s="29" t="str">
        <f>INDEX(Д1!$E$54:$AI$63,MATCH($D14,Д1!$D$54:$D$63),MATCH(P$7,Д1!$E$3:$AI$3))</f>
        <v/>
      </c>
      <c r="Q14" s="29" t="str">
        <f>INDEX(Д1!$E$54:$AI$63,MATCH($D14,Д1!$D$54:$D$63),MATCH(Q$7,Д1!$E$3:$AI$3))</f>
        <v/>
      </c>
      <c r="R14" s="29" t="str">
        <f>INDEX(Д1!$E$54:$AI$63,MATCH($D14,Д1!$D$54:$D$63),MATCH(R$7,Д1!$E$3:$AI$3))</f>
        <v/>
      </c>
      <c r="S14" s="29" t="str">
        <f>INDEX(Д1!$E$54:$AI$63,MATCH($D14,Д1!$D$54:$D$63),MATCH(S$7,Д1!$E$3:$AI$3))</f>
        <v/>
      </c>
      <c r="T14" s="29" t="str">
        <f>INDEX(Д1!$E$54:$AI$63,MATCH($D14,Д1!$D$54:$D$63),MATCH(T$7,Д1!$E$3:$AI$3))</f>
        <v/>
      </c>
      <c r="U14" s="29" t="str">
        <f>INDEX(Д1!$E$54:$AI$63,MATCH($D14,Д1!$D$54:$D$63),MATCH(U$7,Д1!$E$3:$AI$3))</f>
        <v/>
      </c>
      <c r="V14" s="29" t="str">
        <f>INDEX(Д1!$E$54:$AI$63,MATCH($D14,Д1!$D$54:$D$63),MATCH(V$7,Д1!$E$3:$AI$3))</f>
        <v/>
      </c>
      <c r="W14" s="29" t="str">
        <f>INDEX(Д1!$E$54:$AI$63,MATCH($D14,Д1!$D$54:$D$63),MATCH(W$7,Д1!$E$3:$AI$3))</f>
        <v/>
      </c>
      <c r="X14" s="29" t="str">
        <f>INDEX(Д1!$E$54:$AI$63,MATCH($D14,Д1!$D$54:$D$63),MATCH(X$7,Д1!$E$3:$AI$3))</f>
        <v/>
      </c>
      <c r="Y14" s="29" t="str">
        <f>INDEX(Д1!$E$54:$AI$63,MATCH($D14,Д1!$D$54:$D$63),MATCH(Y$7,Д1!$E$3:$AI$3))</f>
        <v/>
      </c>
      <c r="Z14" s="29" t="str">
        <f>INDEX(Д1!$E$54:$AI$63,MATCH($D14,Д1!$D$54:$D$63),MATCH(Z$7,Д1!$E$3:$AI$3))</f>
        <v/>
      </c>
      <c r="AA14" s="29" t="str">
        <f>INDEX(Д1!$E$54:$AI$63,MATCH($D14,Д1!$D$54:$D$63),MATCH(AA$7,Д1!$E$3:$AI$3))</f>
        <v/>
      </c>
      <c r="AB14" s="29" t="str">
        <f>INDEX(Д1!$E$54:$AI$63,MATCH($D14,Д1!$D$54:$D$63),MATCH(AB$7,Д1!$E$3:$AI$3))</f>
        <v/>
      </c>
      <c r="AC14" s="29" t="str">
        <f>INDEX(Д1!$E$54:$AI$63,MATCH($D14,Д1!$D$54:$D$63),MATCH(AC$7,Д1!$E$3:$AI$3))</f>
        <v/>
      </c>
      <c r="AD14" s="29" t="str">
        <f>INDEX(Д1!$E$54:$AI$63,MATCH($D14,Д1!$D$54:$D$63),MATCH(AD$7,Д1!$E$3:$AI$3))</f>
        <v/>
      </c>
      <c r="AE14" s="29" t="str">
        <f>INDEX(Д1!$E$54:$AI$63,MATCH($D14,Д1!$D$54:$D$63),MATCH(AE$7,Д1!$E$3:$AI$3))</f>
        <v/>
      </c>
      <c r="AF14" s="29" t="str">
        <f>INDEX(Д1!$E$54:$AI$63,MATCH($D14,Д1!$D$54:$D$63),MATCH(AF$7,Д1!$E$3:$AI$3))</f>
        <v/>
      </c>
      <c r="AG14" s="29" t="str">
        <f>INDEX(Д1!$E$54:$AI$63,MATCH($D14,Д1!$D$54:$D$63),MATCH(AG$7,Д1!$E$3:$AI$3))</f>
        <v/>
      </c>
      <c r="AH14" s="29" t="str">
        <f>INDEX(Д1!$E$54:$AI$63,MATCH($D14,Д1!$D$54:$D$63),MATCH(AH$7,Д1!$E$3:$AI$3))</f>
        <v/>
      </c>
      <c r="AI14" s="63"/>
      <c r="AJ14" s="143"/>
      <c r="AK14" s="145"/>
      <c r="AL14" s="145"/>
      <c r="AM14" s="150"/>
      <c r="AP14" s="136"/>
      <c r="AQ14" s="136"/>
      <c r="AR14" s="136"/>
      <c r="AS14" s="136"/>
      <c r="AT14" s="136"/>
      <c r="AU14" s="136"/>
      <c r="AV14" s="136"/>
      <c r="AW14" s="137"/>
      <c r="AX14" s="137"/>
    </row>
    <row r="15" spans="1:50" ht="16.5" customHeight="1" thickBot="1" x14ac:dyDescent="0.3">
      <c r="A15" s="147"/>
      <c r="B15" s="139" t="s">
        <v>83</v>
      </c>
      <c r="C15" s="170">
        <v>4</v>
      </c>
      <c r="D15" s="49">
        <v>7</v>
      </c>
      <c r="E15" s="64">
        <f ca="1">INDEX(Д1!$E$54:$AI$63,MATCH($D15,Д1!$D$54:$D$63),MATCH(E$7,Д1!$E$3:$AI$3))</f>
        <v>8</v>
      </c>
      <c r="F15" s="27">
        <f ca="1">INDEX(Д1!$E$54:$AI$63,MATCH($D15,Д1!$D$54:$D$63),MATCH(F$7,Д1!$E$3:$AI$3))</f>
        <v>12</v>
      </c>
      <c r="G15" s="27">
        <f ca="1">INDEX(Д1!$E$54:$AI$63,MATCH($D15,Д1!$D$54:$D$63),MATCH(G$7,Д1!$E$3:$AI$3))</f>
        <v>4</v>
      </c>
      <c r="H15" s="27">
        <f ca="1">INDEX(Д1!$E$54:$AI$63,MATCH($D15,Д1!$D$54:$D$63),MATCH(H$7,Д1!$E$3:$AI$3))</f>
        <v>8</v>
      </c>
      <c r="I15" s="27">
        <f ca="1">INDEX(Д1!$E$54:$AI$63,MATCH($D15,Д1!$D$54:$D$63),MATCH(I$7,Д1!$E$3:$AI$3))</f>
        <v>12</v>
      </c>
      <c r="J15" s="27">
        <f ca="1">INDEX(Д1!$E$54:$AI$63,MATCH($D15,Д1!$D$54:$D$63),MATCH(J$7,Д1!$E$3:$AI$3))</f>
        <v>0</v>
      </c>
      <c r="K15" s="27">
        <f ca="1">INDEX(Д1!$E$54:$AI$63,MATCH($D15,Д1!$D$54:$D$63),MATCH(K$7,Д1!$E$3:$AI$3))</f>
        <v>0</v>
      </c>
      <c r="L15" s="27">
        <f ca="1">INDEX(Д1!$E$54:$AI$63,MATCH($D15,Д1!$D$54:$D$63),MATCH(L$7,Д1!$E$3:$AI$3))</f>
        <v>4</v>
      </c>
      <c r="M15" s="27">
        <f ca="1">INDEX(Д1!$E$54:$AI$63,MATCH($D15,Д1!$D$54:$D$63),MATCH(M$7,Д1!$E$3:$AI$3))</f>
        <v>8</v>
      </c>
      <c r="N15" s="27">
        <f ca="1">INDEX(Д1!$E$54:$AI$63,MATCH($D15,Д1!$D$54:$D$63),MATCH(N$7,Д1!$E$3:$AI$3))</f>
        <v>12</v>
      </c>
      <c r="O15" s="27">
        <f ca="1">INDEX(Д1!$E$54:$AI$63,MATCH($D15,Д1!$D$54:$D$63),MATCH(O$7,Д1!$E$3:$AI$3))</f>
        <v>4</v>
      </c>
      <c r="P15" s="27">
        <f ca="1">INDEX(Д1!$E$54:$AI$63,MATCH($D15,Д1!$D$54:$D$63),MATCH(P$7,Д1!$E$3:$AI$3))</f>
        <v>8</v>
      </c>
      <c r="Q15" s="27">
        <f ca="1">INDEX(Д1!$E$54:$AI$63,MATCH($D15,Д1!$D$54:$D$63),MATCH(Q$7,Д1!$E$3:$AI$3))</f>
        <v>12</v>
      </c>
      <c r="R15" s="27">
        <f ca="1">INDEX(Д1!$E$54:$AI$63,MATCH($D15,Д1!$D$54:$D$63),MATCH(R$7,Д1!$E$3:$AI$3))</f>
        <v>0</v>
      </c>
      <c r="S15" s="27">
        <f ca="1">INDEX(Д1!$E$54:$AI$63,MATCH($D15,Д1!$D$54:$D$63),MATCH(S$7,Д1!$E$3:$AI$3))</f>
        <v>0</v>
      </c>
      <c r="T15" s="27">
        <f ca="1">INDEX(Д1!$E$54:$AI$63,MATCH($D15,Д1!$D$54:$D$63),MATCH(T$7,Д1!$E$3:$AI$3))</f>
        <v>4</v>
      </c>
      <c r="U15" s="27">
        <f ca="1">INDEX(Д1!$E$54:$AI$63,MATCH($D15,Д1!$D$54:$D$63),MATCH(U$7,Д1!$E$3:$AI$3))</f>
        <v>8</v>
      </c>
      <c r="V15" s="27">
        <f ca="1">INDEX(Д1!$E$54:$AI$63,MATCH($D15,Д1!$D$54:$D$63),MATCH(V$7,Д1!$E$3:$AI$3))</f>
        <v>12</v>
      </c>
      <c r="W15" s="27">
        <f ca="1">INDEX(Д1!$E$54:$AI$63,MATCH($D15,Д1!$D$54:$D$63),MATCH(W$7,Д1!$E$3:$AI$3))</f>
        <v>4</v>
      </c>
      <c r="X15" s="27">
        <f ca="1">INDEX(Д1!$E$54:$AI$63,MATCH($D15,Д1!$D$54:$D$63),MATCH(X$7,Д1!$E$3:$AI$3))</f>
        <v>8</v>
      </c>
      <c r="Y15" s="27">
        <f ca="1">INDEX(Д1!$E$54:$AI$63,MATCH($D15,Д1!$D$54:$D$63),MATCH(Y$7,Д1!$E$3:$AI$3))</f>
        <v>12</v>
      </c>
      <c r="Z15" s="27">
        <f ca="1">INDEX(Д1!$E$54:$AI$63,MATCH($D15,Д1!$D$54:$D$63),MATCH(Z$7,Д1!$E$3:$AI$3))</f>
        <v>0</v>
      </c>
      <c r="AA15" s="27">
        <f ca="1">INDEX(Д1!$E$54:$AI$63,MATCH($D15,Д1!$D$54:$D$63),MATCH(AA$7,Д1!$E$3:$AI$3))</f>
        <v>0</v>
      </c>
      <c r="AB15" s="27">
        <f ca="1">INDEX(Д1!$E$54:$AI$63,MATCH($D15,Д1!$D$54:$D$63),MATCH(AB$7,Д1!$E$3:$AI$3))</f>
        <v>4</v>
      </c>
      <c r="AC15" s="27">
        <f ca="1">INDEX(Д1!$E$54:$AI$63,MATCH($D15,Д1!$D$54:$D$63),MATCH(AC$7,Д1!$E$3:$AI$3))</f>
        <v>8</v>
      </c>
      <c r="AD15" s="27">
        <f ca="1">INDEX(Д1!$E$54:$AI$63,MATCH($D15,Д1!$D$54:$D$63),MATCH(AD$7,Д1!$E$3:$AI$3))</f>
        <v>12</v>
      </c>
      <c r="AE15" s="27">
        <f ca="1">INDEX(Д1!$E$54:$AI$63,MATCH($D15,Д1!$D$54:$D$63),MATCH(AE$7,Д1!$E$3:$AI$3))</f>
        <v>4</v>
      </c>
      <c r="AF15" s="27">
        <f ca="1">INDEX(Д1!$E$54:$AI$63,MATCH($D15,Д1!$D$54:$D$63),MATCH(AF$7,Д1!$E$3:$AI$3))</f>
        <v>8</v>
      </c>
      <c r="AG15" s="27">
        <f ca="1">INDEX(Д1!$E$54:$AI$63,MATCH($D15,Д1!$D$54:$D$63),MATCH(AG$7,Д1!$E$3:$AI$3))</f>
        <v>12</v>
      </c>
      <c r="AH15" s="27">
        <f ca="1">INDEX(Д1!$E$54:$AI$63,MATCH($D15,Д1!$D$54:$D$63),MATCH(AH$7,Д1!$E$3:$AI$3))</f>
        <v>0</v>
      </c>
      <c r="AI15" s="64"/>
      <c r="AJ15" s="143">
        <f>INDEX(Д1!AK$54:$AK$63,MATCH($C15,Д1!$C$54:$C$63),MATCH(E$7,Д1!$E$3:$AI$3))*AND(MONTH($E$8)=MONTH(Д1!$B$54))</f>
        <v>151</v>
      </c>
      <c r="AK15" s="144">
        <f ca="1">SUM(E15:AI16)</f>
        <v>188</v>
      </c>
      <c r="AL15" s="155"/>
      <c r="AM15" s="149">
        <f ca="1">SUM(F15:H16,J15:AI16)-AJ15+AL15-12</f>
        <v>5</v>
      </c>
      <c r="AP15" s="136">
        <f t="shared" ref="AP15" ca="1" si="14">COUNTIF($E15:$AI16,"12")</f>
        <v>8</v>
      </c>
      <c r="AQ15" s="136">
        <f t="shared" ref="AQ15" ca="1" si="15">IF(COUNTIF($E15:$AI16,"СП")&gt;=1,(COUNTIF($E15:$AI16,"4")+COUNTIF($E15:$AI16,"8")-1)/2,(COUNTIF($E15:$AI16,"4")+COUNTIF($E15:$AI16,"8"))/2)</f>
        <v>7</v>
      </c>
      <c r="AR15" s="136">
        <f t="shared" ca="1" si="2"/>
        <v>96</v>
      </c>
      <c r="AS15" s="136">
        <f t="shared" ref="AS15" ca="1" si="16">IF(COUNTIF($E15:$AI16,"СП")&gt;=1,SUMIF($E15:$AI16,"4",$E15:$AI16)+SUMIF($E15:$AI16,"8",$E15:$AI16)-8,SUMIF($E15:$AI16,"4",$E15:$AI16)+SUMIF($E15:$AI16,"8",$E15:$AI16))</f>
        <v>84</v>
      </c>
      <c r="AT15" s="136">
        <f t="shared" ref="AT15" ca="1" si="17">$AR15+$AS15</f>
        <v>180</v>
      </c>
      <c r="AU15" s="136" t="str">
        <f t="shared" ref="AU15" ca="1" si="18">IF(AK15=AT15,"+","!")</f>
        <v>!</v>
      </c>
      <c r="AV15" s="136">
        <f t="shared" ref="AV15" ca="1" si="19">COUNTIF($E15:$AI16,"ОТ")</f>
        <v>0</v>
      </c>
      <c r="AW15" s="137" t="str">
        <f ca="1">IF(COUNTIF($A16:$AI16,"СП")&gt;0,IF(INDIRECT(ADDRESS(ROW(),MATCH("СП",$A16:$AI16),1))=8,"","!"),"")</f>
        <v>!</v>
      </c>
      <c r="AX15" s="137" t="str">
        <f ca="1">IF(COUNTIF($A16:$AI16,"СП")&gt;0,IF(INDIRECT(ADDRESS(ROW(),MATCH("СП",$A16:$AI16)-1,1))=4,"!",""),"")</f>
        <v/>
      </c>
    </row>
    <row r="16" spans="1:50" ht="16.5" thickBot="1" x14ac:dyDescent="0.3">
      <c r="A16" s="147"/>
      <c r="B16" s="139"/>
      <c r="C16" s="171"/>
      <c r="D16" s="50">
        <v>8</v>
      </c>
      <c r="E16" s="65" t="str">
        <f>INDEX(Д1!$E$54:$AI$63,MATCH($D16,Д1!$D$54:$D$63),MATCH(E$7,Д1!$E$3:$AI$3))</f>
        <v/>
      </c>
      <c r="F16" s="30" t="str">
        <f>INDEX(Д1!$E$54:$AI$63,MATCH($D16,Д1!$D$54:$D$63),MATCH(F$7,Д1!$E$3:$AI$3))</f>
        <v/>
      </c>
      <c r="G16" s="30" t="str">
        <f>INDEX(Д1!$E$54:$AI$63,MATCH($D16,Д1!$D$54:$D$63),MATCH(G$7,Д1!$E$3:$AI$3))</f>
        <v/>
      </c>
      <c r="H16" s="30" t="str">
        <f>INDEX(Д1!$E$54:$AI$63,MATCH($D16,Д1!$D$54:$D$63),MATCH(H$7,Д1!$E$3:$AI$3))</f>
        <v/>
      </c>
      <c r="I16" s="30" t="str">
        <f>INDEX(Д1!$E$54:$AI$63,MATCH($D16,Д1!$D$54:$D$63),MATCH(I$7,Д1!$E$3:$AI$3))</f>
        <v/>
      </c>
      <c r="J16" s="30" t="str">
        <f>INDEX(Д1!$E$54:$AI$63,MATCH($D16,Д1!$D$54:$D$63),MATCH(J$7,Д1!$E$3:$AI$3))</f>
        <v/>
      </c>
      <c r="K16" s="30" t="str">
        <f>INDEX(Д1!$E$54:$AI$63,MATCH($D16,Д1!$D$54:$D$63),MATCH(K$7,Д1!$E$3:$AI$3))</f>
        <v/>
      </c>
      <c r="L16" s="30" t="str">
        <f>INDEX(Д1!$E$54:$AI$63,MATCH($D16,Д1!$D$54:$D$63),MATCH(L$7,Д1!$E$3:$AI$3))</f>
        <v/>
      </c>
      <c r="M16" s="30" t="str">
        <f>INDEX(Д1!$E$54:$AI$63,MATCH($D16,Д1!$D$54:$D$63),MATCH(M$7,Д1!$E$3:$AI$3))</f>
        <v>СП</v>
      </c>
      <c r="N16" s="30" t="str">
        <f>INDEX(Д1!$E$54:$AI$63,MATCH($D16,Д1!$D$54:$D$63),MATCH(N$7,Д1!$E$3:$AI$3))</f>
        <v/>
      </c>
      <c r="O16" s="30" t="str">
        <f>INDEX(Д1!$E$54:$AI$63,MATCH($D16,Д1!$D$54:$D$63),MATCH(O$7,Д1!$E$3:$AI$3))</f>
        <v/>
      </c>
      <c r="P16" s="30" t="str">
        <f>INDEX(Д1!$E$54:$AI$63,MATCH($D16,Д1!$D$54:$D$63),MATCH(P$7,Д1!$E$3:$AI$3))</f>
        <v/>
      </c>
      <c r="Q16" s="30" t="str">
        <f>INDEX(Д1!$E$54:$AI$63,MATCH($D16,Д1!$D$54:$D$63),MATCH(Q$7,Д1!$E$3:$AI$3))</f>
        <v/>
      </c>
      <c r="R16" s="30" t="str">
        <f>INDEX(Д1!$E$54:$AI$63,MATCH($D16,Д1!$D$54:$D$63),MATCH(R$7,Д1!$E$3:$AI$3))</f>
        <v/>
      </c>
      <c r="S16" s="30" t="str">
        <f>INDEX(Д1!$E$54:$AI$63,MATCH($D16,Д1!$D$54:$D$63),MATCH(S$7,Д1!$E$3:$AI$3))</f>
        <v/>
      </c>
      <c r="T16" s="30" t="str">
        <f>INDEX(Д1!$E$54:$AI$63,MATCH($D16,Д1!$D$54:$D$63),MATCH(T$7,Д1!$E$3:$AI$3))</f>
        <v/>
      </c>
      <c r="U16" s="30" t="str">
        <f>INDEX(Д1!$E$54:$AI$63,MATCH($D16,Д1!$D$54:$D$63),MATCH(U$7,Д1!$E$3:$AI$3))</f>
        <v/>
      </c>
      <c r="V16" s="30" t="str">
        <f>INDEX(Д1!$E$54:$AI$63,MATCH($D16,Д1!$D$54:$D$63),MATCH(V$7,Д1!$E$3:$AI$3))</f>
        <v/>
      </c>
      <c r="W16" s="30" t="str">
        <f>INDEX(Д1!$E$54:$AI$63,MATCH($D16,Д1!$D$54:$D$63),MATCH(W$7,Д1!$E$3:$AI$3))</f>
        <v/>
      </c>
      <c r="X16" s="30" t="str">
        <f>INDEX(Д1!$E$54:$AI$63,MATCH($D16,Д1!$D$54:$D$63),MATCH(X$7,Д1!$E$3:$AI$3))</f>
        <v/>
      </c>
      <c r="Y16" s="30" t="str">
        <f>INDEX(Д1!$E$54:$AI$63,MATCH($D16,Д1!$D$54:$D$63),MATCH(Y$7,Д1!$E$3:$AI$3))</f>
        <v/>
      </c>
      <c r="Z16" s="30" t="str">
        <f>INDEX(Д1!$E$54:$AI$63,MATCH($D16,Д1!$D$54:$D$63),MATCH(Z$7,Д1!$E$3:$AI$3))</f>
        <v/>
      </c>
      <c r="AA16" s="30" t="str">
        <f>INDEX(Д1!$E$54:$AI$63,MATCH($D16,Д1!$D$54:$D$63),MATCH(AA$7,Д1!$E$3:$AI$3))</f>
        <v/>
      </c>
      <c r="AB16" s="30" t="str">
        <f>INDEX(Д1!$E$54:$AI$63,MATCH($D16,Д1!$D$54:$D$63),MATCH(AB$7,Д1!$E$3:$AI$3))</f>
        <v/>
      </c>
      <c r="AC16" s="30" t="str">
        <f>INDEX(Д1!$E$54:$AI$63,MATCH($D16,Д1!$D$54:$D$63),MATCH(AC$7,Д1!$E$3:$AI$3))</f>
        <v/>
      </c>
      <c r="AD16" s="30" t="str">
        <f>INDEX(Д1!$E$54:$AI$63,MATCH($D16,Д1!$D$54:$D$63),MATCH(AD$7,Д1!$E$3:$AI$3))</f>
        <v/>
      </c>
      <c r="AE16" s="30" t="str">
        <f>INDEX(Д1!$E$54:$AI$63,MATCH($D16,Д1!$D$54:$D$63),MATCH(AE$7,Д1!$E$3:$AI$3))</f>
        <v/>
      </c>
      <c r="AF16" s="30" t="str">
        <f>INDEX(Д1!$E$54:$AI$63,MATCH($D16,Д1!$D$54:$D$63),MATCH(AF$7,Д1!$E$3:$AI$3))</f>
        <v/>
      </c>
      <c r="AG16" s="30" t="str">
        <f>INDEX(Д1!$E$54:$AI$63,MATCH($D16,Д1!$D$54:$D$63),MATCH(AG$7,Д1!$E$3:$AI$3))</f>
        <v/>
      </c>
      <c r="AH16" s="30" t="str">
        <f>INDEX(Д1!$E$54:$AI$63,MATCH($D16,Д1!$D$54:$D$63),MATCH(AH$7,Д1!$E$3:$AI$3))</f>
        <v/>
      </c>
      <c r="AI16" s="65"/>
      <c r="AJ16" s="143"/>
      <c r="AK16" s="145"/>
      <c r="AL16" s="145"/>
      <c r="AM16" s="150"/>
      <c r="AP16" s="136"/>
      <c r="AQ16" s="136"/>
      <c r="AR16" s="136"/>
      <c r="AS16" s="136"/>
      <c r="AT16" s="136"/>
      <c r="AU16" s="136"/>
      <c r="AV16" s="136"/>
      <c r="AW16" s="137"/>
      <c r="AX16" s="137"/>
    </row>
    <row r="17" spans="1:50" ht="16.5" customHeight="1" thickBot="1" x14ac:dyDescent="0.3">
      <c r="A17" s="147"/>
      <c r="B17" s="139" t="s">
        <v>84</v>
      </c>
      <c r="C17" s="170">
        <v>5</v>
      </c>
      <c r="D17" s="49">
        <v>9</v>
      </c>
      <c r="E17" s="62" t="str">
        <f>INDEX(Д1!$E$54:$AI$63,MATCH($D17,Д1!$D54:$D$63),MATCH(E$7,Д1!$E$3:$AI$3))</f>
        <v>-</v>
      </c>
      <c r="F17" s="28" t="str">
        <f>INDEX(Д1!$E$54:$AI$63,MATCH($D17,Д1!$D54:$D$63),MATCH(F$7,Д1!$E$3:$AI$3))</f>
        <v>-</v>
      </c>
      <c r="G17" s="28" t="str">
        <f>INDEX(Д1!$E$54:$AI$63,MATCH($D17,Д1!$D54:$D$63),MATCH(G$7,Д1!$E$3:$AI$3))</f>
        <v>-</v>
      </c>
      <c r="H17" s="28" t="str">
        <f>INDEX(Д1!$E$54:$AI$63,MATCH($D17,Д1!$D54:$D$63),MATCH(H$7,Д1!$E$3:$AI$3))</f>
        <v>-</v>
      </c>
      <c r="I17" s="28" t="str">
        <f>INDEX(Д1!$E$54:$AI$63,MATCH($D17,Д1!$D54:$D$63),MATCH(I$7,Д1!$E$3:$AI$3))</f>
        <v>-</v>
      </c>
      <c r="J17" s="28" t="str">
        <f>INDEX(Д1!$E$54:$AI$63,MATCH($D17,Д1!$D54:$D$63),MATCH(J$7,Д1!$E$3:$AI$3))</f>
        <v>-</v>
      </c>
      <c r="K17" s="28" t="str">
        <f>INDEX(Д1!$E$54:$AI$63,MATCH($D17,Д1!$D54:$D$63),MATCH(K$7,Д1!$E$3:$AI$3))</f>
        <v>-</v>
      </c>
      <c r="L17" s="28" t="str">
        <f>INDEX(Д1!$E$54:$AI$63,MATCH($D17,Д1!$D54:$D$63),MATCH(L$7,Д1!$E$3:$AI$3))</f>
        <v>-</v>
      </c>
      <c r="M17" s="28" t="str">
        <f>INDEX(Д1!$E$54:$AI$63,MATCH($D17,Д1!$D54:$D$63),MATCH(M$7,Д1!$E$3:$AI$3))</f>
        <v>-</v>
      </c>
      <c r="N17" s="28" t="str">
        <f>INDEX(Д1!$E$54:$AI$63,MATCH($D17,Д1!$D54:$D$63),MATCH(N$7,Д1!$E$3:$AI$3))</f>
        <v>-</v>
      </c>
      <c r="O17" s="28" t="str">
        <f>INDEX(Д1!$E$54:$AI$63,MATCH($D17,Д1!$D54:$D$63),MATCH(O$7,Д1!$E$3:$AI$3))</f>
        <v>-</v>
      </c>
      <c r="P17" s="28" t="str">
        <f>INDEX(Д1!$E$54:$AI$63,MATCH($D17,Д1!$D54:$D$63),MATCH(P$7,Д1!$E$3:$AI$3))</f>
        <v>-</v>
      </c>
      <c r="Q17" s="28" t="str">
        <f>INDEX(Д1!$E$54:$AI$63,MATCH($D17,Д1!$D54:$D$63),MATCH(Q$7,Д1!$E$3:$AI$3))</f>
        <v>-</v>
      </c>
      <c r="R17" s="28" t="str">
        <f>INDEX(Д1!$E$54:$AI$63,MATCH($D17,Д1!$D54:$D$63),MATCH(R$7,Д1!$E$3:$AI$3))</f>
        <v>-</v>
      </c>
      <c r="S17" s="28" t="str">
        <f>INDEX(Д1!$E$54:$AI$63,MATCH($D17,Д1!$D54:$D$63),MATCH(S$7,Д1!$E$3:$AI$3))</f>
        <v>-</v>
      </c>
      <c r="T17" s="28" t="str">
        <f>INDEX(Д1!$E$54:$AI$63,MATCH($D17,Д1!$D54:$D$63),MATCH(T$7,Д1!$E$3:$AI$3))</f>
        <v>-</v>
      </c>
      <c r="U17" s="28" t="str">
        <f>INDEX(Д1!$E$54:$AI$63,MATCH($D17,Д1!$D54:$D$63),MATCH(U$7,Д1!$E$3:$AI$3))</f>
        <v>-</v>
      </c>
      <c r="V17" s="28" t="str">
        <f>INDEX(Д1!$E$54:$AI$63,MATCH($D17,Д1!$D54:$D$63),MATCH(V$7,Д1!$E$3:$AI$3))</f>
        <v>-</v>
      </c>
      <c r="W17" s="28" t="str">
        <f>INDEX(Д1!$E$54:$AI$63,MATCH($D17,Д1!$D54:$D$63),MATCH(W$7,Д1!$E$3:$AI$3))</f>
        <v>-</v>
      </c>
      <c r="X17" s="28" t="str">
        <f>INDEX(Д1!$E$54:$AI$63,MATCH($D17,Д1!$D54:$D$63),MATCH(X$7,Д1!$E$3:$AI$3))</f>
        <v>-</v>
      </c>
      <c r="Y17" s="28" t="str">
        <f>INDEX(Д1!$E$54:$AI$63,MATCH($D17,Д1!$D54:$D$63),MATCH(Y$7,Д1!$E$3:$AI$3))</f>
        <v>-</v>
      </c>
      <c r="Z17" s="28" t="str">
        <f>INDEX(Д1!$E$54:$AI$63,MATCH($D17,Д1!$D54:$D$63),MATCH(Z$7,Д1!$E$3:$AI$3))</f>
        <v>-</v>
      </c>
      <c r="AA17" s="28" t="str">
        <f>INDEX(Д1!$E$54:$AI$63,MATCH($D17,Д1!$D54:$D$63),MATCH(AA$7,Д1!$E$3:$AI$3))</f>
        <v>-</v>
      </c>
      <c r="AB17" s="28" t="str">
        <f>INDEX(Д1!$E$54:$AI$63,MATCH($D17,Д1!$D54:$D$63),MATCH(AB$7,Д1!$E$3:$AI$3))</f>
        <v>-</v>
      </c>
      <c r="AC17" s="28" t="str">
        <f>INDEX(Д1!$E$54:$AI$63,MATCH($D17,Д1!$D54:$D$63),MATCH(AC$7,Д1!$E$3:$AI$3))</f>
        <v>-</v>
      </c>
      <c r="AD17" s="28" t="str">
        <f>INDEX(Д1!$E$54:$AI$63,MATCH($D17,Д1!$D54:$D$63),MATCH(AD$7,Д1!$E$3:$AI$3))</f>
        <v>-</v>
      </c>
      <c r="AE17" s="28" t="str">
        <f>INDEX(Д1!$E$54:$AI$63,MATCH($D17,Д1!$D54:$D$63),MATCH(AE$7,Д1!$E$3:$AI$3))</f>
        <v>-</v>
      </c>
      <c r="AF17" s="28" t="str">
        <f>INDEX(Д1!$E$54:$AI$63,MATCH($D17,Д1!$D54:$D$63),MATCH(AF$7,Д1!$E$3:$AI$3))</f>
        <v>-</v>
      </c>
      <c r="AG17" s="28" t="str">
        <f>INDEX(Д1!$E$54:$AI$63,MATCH($D17,Д1!$D54:$D$63),MATCH(AG$7,Д1!$E$3:$AI$3))</f>
        <v>-</v>
      </c>
      <c r="AH17" s="28" t="str">
        <f>INDEX(Д1!$E$54:$AI$63,MATCH($D17,Д1!$D54:$D$63),MATCH(AH$7,Д1!$E$3:$AI$3))</f>
        <v>-</v>
      </c>
      <c r="AI17" s="62"/>
      <c r="AJ17" s="143">
        <f>INDEX(Д1!AK$54:$AK$63,MATCH($C17,Д1!$C$54:$C$63),MATCH(E$7,Д1!$E$3:$AI$3))*AND(MONTH($E$8)=MONTH(Д1!$B$54))</f>
        <v>151</v>
      </c>
      <c r="AK17" s="144">
        <f>SUM(E17:AI17)</f>
        <v>0</v>
      </c>
      <c r="AL17" s="144"/>
      <c r="AM17" s="149">
        <f>SUM(F17:H18,J17:AI18)-AJ17+AL17-12</f>
        <v>-163</v>
      </c>
      <c r="AP17" s="136">
        <f t="shared" ref="AP17" si="20">COUNTIF($E17:$AI18,"12")</f>
        <v>0</v>
      </c>
      <c r="AQ17" s="136">
        <f t="shared" ref="AQ17" si="21">IF(COUNTIF($E17:$AI18,"СП")&gt;=1,(COUNTIF($E17:$AI18,"4")+COUNTIF($E17:$AI18,"8")-1)/2,(COUNTIF($E17:$AI18,"4")+COUNTIF($E17:$AI18,"8"))/2)</f>
        <v>-0.5</v>
      </c>
      <c r="AR17" s="136">
        <f t="shared" si="2"/>
        <v>0</v>
      </c>
      <c r="AS17" s="136">
        <f t="shared" ref="AS17" si="22">IF(COUNTIF($E17:$AI18,"СП")&gt;=1,SUMIF($E17:$AI18,"4",$E17:$AI18)+SUMIF($E17:$AI18,"8",$E17:$AI18)-8,SUMIF($E17:$AI18,"4",$E17:$AI18)+SUMIF($E17:$AI18,"8",$E17:$AI18))</f>
        <v>-8</v>
      </c>
      <c r="AT17" s="136">
        <f t="shared" ref="AT17" si="23">$AR17+$AS17</f>
        <v>-8</v>
      </c>
      <c r="AU17" s="136" t="str">
        <f t="shared" ref="AU17" si="24">IF(AK17=AT17,"+","!")</f>
        <v>!</v>
      </c>
      <c r="AV17" s="136">
        <f t="shared" ref="AV17" si="25">COUNTIF($E17:$AI18,"ОТ")</f>
        <v>0</v>
      </c>
      <c r="AW17" s="137" t="str">
        <f ca="1">IF(COUNTIF($A18:$AI18,"СП")&gt;0,IF(INDIRECT(ADDRESS(ROW(),MATCH("СП",$A18:$AI18),1))=8,"","!"),"")</f>
        <v>!</v>
      </c>
      <c r="AX17" s="137" t="str">
        <f ca="1">IF(COUNTIF($A18:$AI18,"СП")&gt;0,IF(INDIRECT(ADDRESS(ROW(),MATCH("СП",$A18:$AI18)-1,1))=4,"!",""),"")</f>
        <v/>
      </c>
    </row>
    <row r="18" spans="1:50" ht="16.5" thickBot="1" x14ac:dyDescent="0.3">
      <c r="A18" s="148"/>
      <c r="B18" s="140"/>
      <c r="C18" s="172"/>
      <c r="D18" s="50">
        <v>10</v>
      </c>
      <c r="E18" s="66" t="str">
        <f>INDEX(Д1!$E$54:$AI$63,MATCH($D18,Д1!$D$54:$D$63),MATCH(E$7,Д1!$E$3:$AI$3))</f>
        <v/>
      </c>
      <c r="F18" s="67" t="str">
        <f>INDEX(Д1!$E$54:$AI$63,MATCH($D18,Д1!$D$54:$D$63),MATCH(F$7,Д1!$E$3:$AI$3))</f>
        <v/>
      </c>
      <c r="G18" s="67" t="str">
        <f>INDEX(Д1!$E$54:$AI$63,MATCH($D18,Д1!$D$54:$D$63),MATCH(G$7,Д1!$E$3:$AI$3))</f>
        <v/>
      </c>
      <c r="H18" s="67" t="str">
        <f>INDEX(Д1!$E$54:$AI$63,MATCH($D18,Д1!$D$54:$D$63),MATCH(H$7,Д1!$E$3:$AI$3))</f>
        <v/>
      </c>
      <c r="I18" s="67" t="str">
        <f>INDEX(Д1!$E$54:$AI$63,MATCH($D18,Д1!$D$54:$D$63),MATCH(I$7,Д1!$E$3:$AI$3))</f>
        <v/>
      </c>
      <c r="J18" s="67" t="str">
        <f>INDEX(Д1!$E$54:$AI$63,MATCH($D18,Д1!$D$54:$D$63),MATCH(J$7,Д1!$E$3:$AI$3))</f>
        <v/>
      </c>
      <c r="K18" s="67" t="str">
        <f>INDEX(Д1!$E$54:$AI$63,MATCH($D18,Д1!$D$54:$D$63),MATCH(K$7,Д1!$E$3:$AI$3))</f>
        <v/>
      </c>
      <c r="L18" s="67" t="str">
        <f>INDEX(Д1!$E$54:$AI$63,MATCH($D18,Д1!$D$54:$D$63),MATCH(L$7,Д1!$E$3:$AI$3))</f>
        <v/>
      </c>
      <c r="M18" s="67" t="str">
        <f>INDEX(Д1!$E$54:$AI$63,MATCH($D18,Д1!$D$54:$D$63),MATCH(M$7,Д1!$E$3:$AI$3))</f>
        <v/>
      </c>
      <c r="N18" s="67" t="str">
        <f>INDEX(Д1!$E$54:$AI$63,MATCH($D18,Д1!$D$54:$D$63),MATCH(N$7,Д1!$E$3:$AI$3))</f>
        <v>СП</v>
      </c>
      <c r="O18" s="67" t="str">
        <f>INDEX(Д1!$E$54:$AI$63,MATCH($D18,Д1!$D$54:$D$63),MATCH(O$7,Д1!$E$3:$AI$3))</f>
        <v/>
      </c>
      <c r="P18" s="67" t="str">
        <f>INDEX(Д1!$E$54:$AI$63,MATCH($D18,Д1!$D$54:$D$63),MATCH(P$7,Д1!$E$3:$AI$3))</f>
        <v/>
      </c>
      <c r="Q18" s="67" t="str">
        <f>INDEX(Д1!$E$54:$AI$63,MATCH($D18,Д1!$D$54:$D$63),MATCH(Q$7,Д1!$E$3:$AI$3))</f>
        <v/>
      </c>
      <c r="R18" s="67" t="str">
        <f>INDEX(Д1!$E$54:$AI$63,MATCH($D18,Д1!$D$54:$D$63),MATCH(R$7,Д1!$E$3:$AI$3))</f>
        <v/>
      </c>
      <c r="S18" s="67" t="str">
        <f>INDEX(Д1!$E$54:$AI$63,MATCH($D18,Д1!$D$54:$D$63),MATCH(S$7,Д1!$E$3:$AI$3))</f>
        <v/>
      </c>
      <c r="T18" s="67" t="str">
        <f>INDEX(Д1!$E$54:$AI$63,MATCH($D18,Д1!$D$54:$D$63),MATCH(T$7,Д1!$E$3:$AI$3))</f>
        <v/>
      </c>
      <c r="U18" s="67" t="str">
        <f>INDEX(Д1!$E$54:$AI$63,MATCH($D18,Д1!$D$54:$D$63),MATCH(U$7,Д1!$E$3:$AI$3))</f>
        <v/>
      </c>
      <c r="V18" s="67" t="str">
        <f>INDEX(Д1!$E$54:$AI$63,MATCH($D18,Д1!$D$54:$D$63),MATCH(V$7,Д1!$E$3:$AI$3))</f>
        <v/>
      </c>
      <c r="W18" s="67" t="str">
        <f>INDEX(Д1!$E$54:$AI$63,MATCH($D18,Д1!$D$54:$D$63),MATCH(W$7,Д1!$E$3:$AI$3))</f>
        <v/>
      </c>
      <c r="X18" s="67" t="str">
        <f>INDEX(Д1!$E$54:$AI$63,MATCH($D18,Д1!$D$54:$D$63),MATCH(X$7,Д1!$E$3:$AI$3))</f>
        <v/>
      </c>
      <c r="Y18" s="67" t="str">
        <f>INDEX(Д1!$E$54:$AI$63,MATCH($D18,Д1!$D$54:$D$63),MATCH(Y$7,Д1!$E$3:$AI$3))</f>
        <v/>
      </c>
      <c r="Z18" s="67" t="str">
        <f>INDEX(Д1!$E$54:$AI$63,MATCH($D18,Д1!$D$54:$D$63),MATCH(Z$7,Д1!$E$3:$AI$3))</f>
        <v/>
      </c>
      <c r="AA18" s="67" t="str">
        <f>INDEX(Д1!$E$54:$AI$63,MATCH($D18,Д1!$D$54:$D$63),MATCH(AA$7,Д1!$E$3:$AI$3))</f>
        <v/>
      </c>
      <c r="AB18" s="67" t="str">
        <f>INDEX(Д1!$E$54:$AI$63,MATCH($D18,Д1!$D$54:$D$63),MATCH(AB$7,Д1!$E$3:$AI$3))</f>
        <v/>
      </c>
      <c r="AC18" s="67" t="str">
        <f>INDEX(Д1!$E$54:$AI$63,MATCH($D18,Д1!$D$54:$D$63),MATCH(AC$7,Д1!$E$3:$AI$3))</f>
        <v/>
      </c>
      <c r="AD18" s="67" t="str">
        <f>INDEX(Д1!$E$54:$AI$63,MATCH($D18,Д1!$D$54:$D$63),MATCH(AD$7,Д1!$E$3:$AI$3))</f>
        <v/>
      </c>
      <c r="AE18" s="67" t="str">
        <f>INDEX(Д1!$E$54:$AI$63,MATCH($D18,Д1!$D$54:$D$63),MATCH(AE$7,Д1!$E$3:$AI$3))</f>
        <v/>
      </c>
      <c r="AF18" s="67" t="str">
        <f>INDEX(Д1!$E$54:$AI$63,MATCH($D18,Д1!$D$54:$D$63),MATCH(AF$7,Д1!$E$3:$AI$3))</f>
        <v/>
      </c>
      <c r="AG18" s="67" t="str">
        <f>INDEX(Д1!$E$54:$AI$63,MATCH($D18,Д1!$D$54:$D$63),MATCH(AG$7,Д1!$E$3:$AI$3))</f>
        <v/>
      </c>
      <c r="AH18" s="67" t="str">
        <f>INDEX(Д1!$E$54:$AI$63,MATCH($D18,Д1!$D$54:$D$63),MATCH(AH$7,Д1!$E$3:$AI$3))</f>
        <v/>
      </c>
      <c r="AI18" s="68"/>
      <c r="AJ18" s="153"/>
      <c r="AK18" s="158"/>
      <c r="AL18" s="158"/>
      <c r="AM18" s="150"/>
      <c r="AP18" s="136"/>
      <c r="AQ18" s="136"/>
      <c r="AR18" s="136"/>
      <c r="AS18" s="136"/>
      <c r="AT18" s="136"/>
      <c r="AU18" s="136"/>
      <c r="AV18" s="136"/>
      <c r="AW18" s="137"/>
      <c r="AX18" s="137"/>
    </row>
    <row r="19" spans="1:50" ht="17.25" customHeight="1" thickTop="1" thickBot="1" x14ac:dyDescent="0.3">
      <c r="A19" s="146" t="s">
        <v>101</v>
      </c>
      <c r="B19" s="151" t="s">
        <v>85</v>
      </c>
      <c r="C19" s="173">
        <v>1</v>
      </c>
      <c r="D19" s="49">
        <v>1</v>
      </c>
      <c r="E19" s="64">
        <f ca="1">INDEX(Д2!$E$54:$AI$63,MATCH($D19,Д2!$D$54:$D$63),MATCH(E$7,Д2!$E$3:$AI$3))</f>
        <v>12</v>
      </c>
      <c r="F19" s="64">
        <f ca="1">INDEX(Д2!$E$54:$AI$63,MATCH($D19,Д2!$D$54:$D$63),MATCH(F$7,Д2!$E$3:$AI$3))</f>
        <v>0</v>
      </c>
      <c r="G19" s="64">
        <f ca="1">INDEX(Д2!$E$54:$AI$63,MATCH($D19,Д2!$D$54:$D$63),MATCH(G$7,Д2!$E$3:$AI$3))</f>
        <v>0</v>
      </c>
      <c r="H19" s="64">
        <f ca="1">INDEX(Д2!$E$54:$AI$63,MATCH($D19,Д2!$D$54:$D$63),MATCH(H$7,Д2!$E$3:$AI$3))</f>
        <v>4</v>
      </c>
      <c r="I19" s="64">
        <f ca="1">INDEX(Д2!$E$54:$AI$63,MATCH($D19,Д2!$D$54:$D$63),MATCH(I$7,Д2!$E$3:$AI$3))</f>
        <v>8</v>
      </c>
      <c r="J19" s="64">
        <f ca="1">INDEX(Д2!$E$54:$AI$63,MATCH($D19,Д2!$D$54:$D$63),MATCH(J$7,Д2!$E$3:$AI$3))</f>
        <v>12</v>
      </c>
      <c r="K19" s="64">
        <f ca="1">INDEX(Д2!$E$54:$AI$63,MATCH($D19,Д2!$D$54:$D$63),MATCH(K$7,Д2!$E$3:$AI$3))</f>
        <v>4</v>
      </c>
      <c r="L19" s="64">
        <f ca="1">INDEX(Д2!$E$54:$AI$63,MATCH($D19,Д2!$D$54:$D$63),MATCH(L$7,Д2!$E$3:$AI$3))</f>
        <v>8</v>
      </c>
      <c r="M19" s="64">
        <f ca="1">INDEX(Д2!$E$54:$AI$63,MATCH($D19,Д2!$D$54:$D$63),MATCH(M$7,Д2!$E$3:$AI$3))</f>
        <v>12</v>
      </c>
      <c r="N19" s="64">
        <f ca="1">INDEX(Д2!$E$54:$AI$63,MATCH($D19,Д2!$D$54:$D$63),MATCH(N$7,Д2!$E$3:$AI$3))</f>
        <v>0</v>
      </c>
      <c r="O19" s="64">
        <f ca="1">INDEX(Д2!$E$54:$AI$63,MATCH($D19,Д2!$D$54:$D$63),MATCH(O$7,Д2!$E$3:$AI$3))</f>
        <v>0</v>
      </c>
      <c r="P19" s="64">
        <f ca="1">INDEX(Д2!$E$54:$AI$63,MATCH($D19,Д2!$D$54:$D$63),MATCH(P$7,Д2!$E$3:$AI$3))</f>
        <v>4</v>
      </c>
      <c r="Q19" s="64">
        <f ca="1">INDEX(Д2!$E$54:$AI$63,MATCH($D19,Д2!$D$54:$D$63),MATCH(Q$7,Д2!$E$3:$AI$3))</f>
        <v>8</v>
      </c>
      <c r="R19" s="64">
        <f ca="1">INDEX(Д2!$E$54:$AI$63,MATCH($D19,Д2!$D$54:$D$63),MATCH(R$7,Д2!$E$3:$AI$3))</f>
        <v>12</v>
      </c>
      <c r="S19" s="64">
        <f ca="1">INDEX(Д2!$E$54:$AI$63,MATCH($D19,Д2!$D$54:$D$63),MATCH(S$7,Д2!$E$3:$AI$3))</f>
        <v>4</v>
      </c>
      <c r="T19" s="64">
        <f ca="1">INDEX(Д2!$E$54:$AI$63,MATCH($D19,Д2!$D$54:$D$63),MATCH(T$7,Д2!$E$3:$AI$3))</f>
        <v>8</v>
      </c>
      <c r="U19" s="64">
        <f ca="1">INDEX(Д2!$E$54:$AI$63,MATCH($D19,Д2!$D$54:$D$63),MATCH(U$7,Д2!$E$3:$AI$3))</f>
        <v>12</v>
      </c>
      <c r="V19" s="64">
        <f ca="1">INDEX(Д2!$E$54:$AI$63,MATCH($D19,Д2!$D$54:$D$63),MATCH(V$7,Д2!$E$3:$AI$3))</f>
        <v>0</v>
      </c>
      <c r="W19" s="64">
        <f ca="1">INDEX(Д2!$E$54:$AI$63,MATCH($D19,Д2!$D$54:$D$63),MATCH(W$7,Д2!$E$3:$AI$3))</f>
        <v>0</v>
      </c>
      <c r="X19" s="64">
        <f ca="1">INDEX(Д2!$E$54:$AI$63,MATCH($D19,Д2!$D$54:$D$63),MATCH(X$7,Д2!$E$3:$AI$3))</f>
        <v>4</v>
      </c>
      <c r="Y19" s="64">
        <f ca="1">INDEX(Д2!$E$54:$AI$63,MATCH($D19,Д2!$D$54:$D$63),MATCH(Y$7,Д2!$E$3:$AI$3))</f>
        <v>8</v>
      </c>
      <c r="Z19" s="64">
        <f ca="1">INDEX(Д2!$E$54:$AI$63,MATCH($D19,Д2!$D$54:$D$63),MATCH(Z$7,Д2!$E$3:$AI$3))</f>
        <v>12</v>
      </c>
      <c r="AA19" s="64">
        <f ca="1">INDEX(Д2!$E$54:$AI$63,MATCH($D19,Д2!$D$54:$D$63),MATCH(AA$7,Д2!$E$3:$AI$3))</f>
        <v>4</v>
      </c>
      <c r="AB19" s="64">
        <f ca="1">INDEX(Д2!$E$54:$AI$63,MATCH($D19,Д2!$D$54:$D$63),MATCH(AB$7,Д2!$E$3:$AI$3))</f>
        <v>8</v>
      </c>
      <c r="AC19" s="64">
        <f ca="1">INDEX(Д2!$E$54:$AI$63,MATCH($D19,Д2!$D$54:$D$63),MATCH(AC$7,Д2!$E$3:$AI$3))</f>
        <v>12</v>
      </c>
      <c r="AD19" s="64">
        <f ca="1">INDEX(Д2!$E$54:$AI$63,MATCH($D19,Д2!$D$54:$D$63),MATCH(AD$7,Д2!$E$3:$AI$3))</f>
        <v>0</v>
      </c>
      <c r="AE19" s="64">
        <f ca="1">INDEX(Д2!$E$54:$AI$63,MATCH($D19,Д2!$D$54:$D$63),MATCH(AE$7,Д2!$E$3:$AI$3))</f>
        <v>0</v>
      </c>
      <c r="AF19" s="64">
        <f ca="1">INDEX(Д2!$E$54:$AI$63,MATCH($D19,Д2!$D$54:$D$63),MATCH(AF$7,Д2!$E$3:$AI$3))</f>
        <v>4</v>
      </c>
      <c r="AG19" s="64">
        <f ca="1">INDEX(Д2!$E$54:$AI$63,MATCH($D19,Д2!$D$54:$D$63),MATCH(AG$7,Д2!$E$3:$AI$3))</f>
        <v>8</v>
      </c>
      <c r="AH19" s="64">
        <f ca="1">INDEX(Д2!$E$54:$AI$63,MATCH($D19,Д2!$D$54:$D$63),MATCH(AH$7,Д2!$E$3:$AI$3))</f>
        <v>12</v>
      </c>
      <c r="AI19" s="32"/>
      <c r="AJ19" s="157">
        <f>INDEX(Д2!AK$54:$AK$63,MATCH($C19,Д2!$C$54:$C$63),MATCH(E$7,Д2!$E$3:$AI$3))*AND(MONTH($E$8)=MONTH(Д2!$B$54))</f>
        <v>151</v>
      </c>
      <c r="AK19" s="154">
        <v>0</v>
      </c>
      <c r="AL19" s="155"/>
      <c r="AM19" s="149">
        <f ca="1">SUM(F19:H20,J19:AI20)-AJ19+AL19-12</f>
        <v>-3</v>
      </c>
      <c r="AP19" s="136">
        <f t="shared" ref="AP19" ca="1" si="26">COUNTIF($E19:$AI20,"12")</f>
        <v>8</v>
      </c>
      <c r="AQ19" s="136">
        <f t="shared" ref="AQ19" ca="1" si="27">IF(COUNTIF($E19:$AI20,"СП")&gt;=1,(COUNTIF($E19:$AI20,"4")+COUNTIF($E19:$AI20,"8")-1)/2,(COUNTIF($E19:$AI20,"4")+COUNTIF($E19:$AI20,"8"))/2)</f>
        <v>6.5</v>
      </c>
      <c r="AR19" s="136">
        <f t="shared" ca="1" si="2"/>
        <v>96</v>
      </c>
      <c r="AS19" s="136">
        <f t="shared" ref="AS19" ca="1" si="28">IF(COUNTIF($E19:$AI20,"СП")&gt;=1,SUMIF($E19:$AI20,"4",$E19:$AI20)+SUMIF($E19:$AI20,"8",$E19:$AI20)-8,SUMIF($E19:$AI20,"4",$E19:$AI20)+SUMIF($E19:$AI20,"8",$E19:$AI20))</f>
        <v>76</v>
      </c>
      <c r="AT19" s="136">
        <f t="shared" ref="AT19" ca="1" si="29">$AR19+$AS19</f>
        <v>172</v>
      </c>
      <c r="AU19" s="136" t="str">
        <f t="shared" ref="AU19" ca="1" si="30">IF(AK19=AT19,"+","!")</f>
        <v>!</v>
      </c>
      <c r="AV19" s="136">
        <f t="shared" ref="AV19" ca="1" si="31">COUNTIF($E19:$AI20,"ОТ")</f>
        <v>0</v>
      </c>
      <c r="AW19" s="137" t="str">
        <f ca="1">IF(COUNTIF($A20:$AI20,"СП")&gt;0,IF(INDIRECT(ADDRESS(ROW(),MATCH("СП",$A20:$AI20),1))=8,"","!"),"")</f>
        <v>!</v>
      </c>
      <c r="AX19" s="137" t="str">
        <f ca="1">IF(COUNTIF($A20:$AI20,"СП")&gt;0,IF(INDIRECT(ADDRESS(ROW(),MATCH("СП",$A20:$AI20)-1,1))=4,"!",""),"")</f>
        <v/>
      </c>
    </row>
    <row r="20" spans="1:50" ht="16.5" thickBot="1" x14ac:dyDescent="0.3">
      <c r="A20" s="147"/>
      <c r="B20" s="139"/>
      <c r="C20" s="171"/>
      <c r="D20" s="50">
        <v>2</v>
      </c>
      <c r="E20" s="63" t="str">
        <f>INDEX(Д2!$E$54:$AI$63,MATCH($D20,Д2!$D$54:$D$63),MATCH(E$7,Д2!$E$3:$AI$3))</f>
        <v/>
      </c>
      <c r="F20" s="29" t="str">
        <f>INDEX(Д2!$E$54:$AI$63,MATCH($D20,Д2!$D$54:$D$63),MATCH(F$7,Д2!$E$3:$AI$3))</f>
        <v/>
      </c>
      <c r="G20" s="29" t="str">
        <f>INDEX(Д2!$E$54:$AI$63,MATCH($D20,Д2!$D$54:$D$63),MATCH(G$7,Д2!$E$3:$AI$3))</f>
        <v/>
      </c>
      <c r="H20" s="29" t="str">
        <f>INDEX(Д2!$E$54:$AI$63,MATCH($D20,Д2!$D$54:$D$63),MATCH(H$7,Д2!$E$3:$AI$3))</f>
        <v/>
      </c>
      <c r="I20" s="29" t="str">
        <f>INDEX(Д2!$E$54:$AI$63,MATCH($D20,Д2!$D$54:$D$63),MATCH(I$7,Д2!$E$3:$AI$3))</f>
        <v/>
      </c>
      <c r="J20" s="29" t="str">
        <f>INDEX(Д2!$E$54:$AI$63,MATCH($D20,Д2!$D$54:$D$63),MATCH(J$7,Д2!$E$3:$AI$3))</f>
        <v>СП</v>
      </c>
      <c r="K20" s="29" t="str">
        <f>INDEX(Д2!$E$54:$AI$63,MATCH($D20,Д2!$D$54:$D$63),MATCH(K$7,Д2!$E$3:$AI$3))</f>
        <v/>
      </c>
      <c r="L20" s="29" t="str">
        <f>INDEX(Д2!$E$54:$AI$63,MATCH($D20,Д2!$D$54:$D$63),MATCH(L$7,Д2!$E$3:$AI$3))</f>
        <v/>
      </c>
      <c r="M20" s="29" t="str">
        <f>INDEX(Д2!$E$54:$AI$63,MATCH($D20,Д2!$D$54:$D$63),MATCH(M$7,Д2!$E$3:$AI$3))</f>
        <v/>
      </c>
      <c r="N20" s="29" t="str">
        <f>INDEX(Д2!$E$54:$AI$63,MATCH($D20,Д2!$D$54:$D$63),MATCH(N$7,Д2!$E$3:$AI$3))</f>
        <v/>
      </c>
      <c r="O20" s="29" t="str">
        <f>INDEX(Д2!$E$54:$AI$63,MATCH($D20,Д2!$D$54:$D$63),MATCH(O$7,Д2!$E$3:$AI$3))</f>
        <v/>
      </c>
      <c r="P20" s="29" t="str">
        <f>INDEX(Д2!$E$54:$AI$63,MATCH($D20,Д2!$D$54:$D$63),MATCH(P$7,Д2!$E$3:$AI$3))</f>
        <v/>
      </c>
      <c r="Q20" s="29" t="str">
        <f>INDEX(Д2!$E$54:$AI$63,MATCH($D20,Д2!$D$54:$D$63),MATCH(Q$7,Д2!$E$3:$AI$3))</f>
        <v/>
      </c>
      <c r="R20" s="29" t="str">
        <f>INDEX(Д2!$E$54:$AI$63,MATCH($D20,Д2!$D$54:$D$63),MATCH(R$7,Д2!$E$3:$AI$3))</f>
        <v/>
      </c>
      <c r="S20" s="29" t="str">
        <f>INDEX(Д2!$E$54:$AI$63,MATCH($D20,Д2!$D$54:$D$63),MATCH(S$7,Д2!$E$3:$AI$3))</f>
        <v/>
      </c>
      <c r="T20" s="29" t="str">
        <f>INDEX(Д2!$E$54:$AI$63,MATCH($D20,Д2!$D$54:$D$63),MATCH(T$7,Д2!$E$3:$AI$3))</f>
        <v/>
      </c>
      <c r="U20" s="29" t="str">
        <f>INDEX(Д2!$E$54:$AI$63,MATCH($D20,Д2!$D$54:$D$63),MATCH(U$7,Д2!$E$3:$AI$3))</f>
        <v/>
      </c>
      <c r="V20" s="29" t="str">
        <f>INDEX(Д2!$E$54:$AI$63,MATCH($D20,Д2!$D$54:$D$63),MATCH(V$7,Д2!$E$3:$AI$3))</f>
        <v/>
      </c>
      <c r="W20" s="29" t="str">
        <f>INDEX(Д2!$E$54:$AI$63,MATCH($D20,Д2!$D$54:$D$63),MATCH(W$7,Д2!$E$3:$AI$3))</f>
        <v/>
      </c>
      <c r="X20" s="29" t="str">
        <f>INDEX(Д2!$E$54:$AI$63,MATCH($D20,Д2!$D$54:$D$63),MATCH(X$7,Д2!$E$3:$AI$3))</f>
        <v/>
      </c>
      <c r="Y20" s="29" t="str">
        <f>INDEX(Д2!$E$54:$AI$63,MATCH($D20,Д2!$D$54:$D$63),MATCH(Y$7,Д2!$E$3:$AI$3))</f>
        <v/>
      </c>
      <c r="Z20" s="29" t="str">
        <f>INDEX(Д2!$E$54:$AI$63,MATCH($D20,Д2!$D$54:$D$63),MATCH(Z$7,Д2!$E$3:$AI$3))</f>
        <v/>
      </c>
      <c r="AA20" s="29" t="str">
        <f>INDEX(Д2!$E$54:$AI$63,MATCH($D20,Д2!$D$54:$D$63),MATCH(AA$7,Д2!$E$3:$AI$3))</f>
        <v/>
      </c>
      <c r="AB20" s="29" t="str">
        <f>INDEX(Д2!$E$54:$AI$63,MATCH($D20,Д2!$D$54:$D$63),MATCH(AB$7,Д2!$E$3:$AI$3))</f>
        <v/>
      </c>
      <c r="AC20" s="29" t="str">
        <f>INDEX(Д2!$E$54:$AI$63,MATCH($D20,Д2!$D$54:$D$63),MATCH(AC$7,Д2!$E$3:$AI$3))</f>
        <v/>
      </c>
      <c r="AD20" s="29" t="str">
        <f>INDEX(Д2!$E$54:$AI$63,MATCH($D20,Д2!$D$54:$D$63),MATCH(AD$7,Д2!$E$3:$AI$3))</f>
        <v/>
      </c>
      <c r="AE20" s="29" t="str">
        <f>INDEX(Д2!$E$54:$AI$63,MATCH($D20,Д2!$D$54:$D$63),MATCH(AE$7,Д2!$E$3:$AI$3))</f>
        <v/>
      </c>
      <c r="AF20" s="29" t="str">
        <f>INDEX(Д2!$E$54:$AI$63,MATCH($D20,Д2!$D$54:$D$63),MATCH(AF$7,Д2!$E$3:$AI$3))</f>
        <v/>
      </c>
      <c r="AG20" s="29" t="str">
        <f>INDEX(Д2!$E$54:$AI$63,MATCH($D20,Д2!$D$54:$D$63),MATCH(AG$7,Д2!$E$3:$AI$3))</f>
        <v/>
      </c>
      <c r="AH20" s="29" t="str">
        <f>INDEX(Д2!$E$54:$AI$63,MATCH($D20,Д2!$D$54:$D$63),MATCH(AH$7,Д2!$E$3:$AI$3))</f>
        <v/>
      </c>
      <c r="AI20" s="61"/>
      <c r="AJ20" s="143"/>
      <c r="AK20" s="145"/>
      <c r="AL20" s="145" t="s">
        <v>17</v>
      </c>
      <c r="AM20" s="150"/>
      <c r="AP20" s="136"/>
      <c r="AQ20" s="136"/>
      <c r="AR20" s="136"/>
      <c r="AS20" s="136"/>
      <c r="AT20" s="136"/>
      <c r="AU20" s="136"/>
      <c r="AV20" s="136"/>
      <c r="AW20" s="137"/>
      <c r="AX20" s="137"/>
    </row>
    <row r="21" spans="1:50" ht="16.5" customHeight="1" thickBot="1" x14ac:dyDescent="0.3">
      <c r="A21" s="147"/>
      <c r="B21" s="139" t="s">
        <v>86</v>
      </c>
      <c r="C21" s="170">
        <v>2</v>
      </c>
      <c r="D21" s="49">
        <v>3</v>
      </c>
      <c r="E21" s="64">
        <f ca="1">INDEX(Д2!$E$54:$AI$63,MATCH($D21,Д2!$D$54:$D$63),MATCH(E$7,Д2!$E$3:$AI$3))</f>
        <v>0</v>
      </c>
      <c r="F21" s="27">
        <f ca="1">INDEX(Д2!$E$54:$AI$63,MATCH($D21,Д2!$D$54:$D$63),MATCH(F$7,Д2!$E$3:$AI$3))</f>
        <v>4</v>
      </c>
      <c r="G21" s="27">
        <f ca="1">INDEX(Д2!$E$54:$AI$63,MATCH($D21,Д2!$D$54:$D$63),MATCH(G$7,Д2!$E$3:$AI$3))</f>
        <v>8</v>
      </c>
      <c r="H21" s="27">
        <f ca="1">INDEX(Д2!$E$54:$AI$63,MATCH($D21,Д2!$D$54:$D$63),MATCH(H$7,Д2!$E$3:$AI$3))</f>
        <v>12</v>
      </c>
      <c r="I21" s="27">
        <f ca="1">INDEX(Д2!$E$54:$AI$63,MATCH($D21,Д2!$D$54:$D$63),MATCH(I$7,Д2!$E$3:$AI$3))</f>
        <v>4</v>
      </c>
      <c r="J21" s="27">
        <f ca="1">INDEX(Д2!$E$54:$AI$63,MATCH($D21,Д2!$D$54:$D$63),MATCH(J$7,Д2!$E$3:$AI$3))</f>
        <v>8</v>
      </c>
      <c r="K21" s="27">
        <f ca="1">INDEX(Д2!$E$54:$AI$63,MATCH($D21,Д2!$D$54:$D$63),MATCH(K$7,Д2!$E$3:$AI$3))</f>
        <v>12</v>
      </c>
      <c r="L21" s="27">
        <f ca="1">INDEX(Д2!$E$54:$AI$63,MATCH($D21,Д2!$D$54:$D$63),MATCH(L$7,Д2!$E$3:$AI$3))</f>
        <v>0</v>
      </c>
      <c r="M21" s="27">
        <f ca="1">INDEX(Д2!$E$54:$AI$63,MATCH($D21,Д2!$D$54:$D$63),MATCH(M$7,Д2!$E$3:$AI$3))</f>
        <v>0</v>
      </c>
      <c r="N21" s="27">
        <f ca="1">INDEX(Д2!$E$54:$AI$63,MATCH($D21,Д2!$D$54:$D$63),MATCH(N$7,Д2!$E$3:$AI$3))</f>
        <v>4</v>
      </c>
      <c r="O21" s="27">
        <f ca="1">INDEX(Д2!$E$54:$AI$63,MATCH($D21,Д2!$D$54:$D$63),MATCH(O$7,Д2!$E$3:$AI$3))</f>
        <v>8</v>
      </c>
      <c r="P21" s="27">
        <f ca="1">INDEX(Д2!$E$54:$AI$63,MATCH($D21,Д2!$D$54:$D$63),MATCH(P$7,Д2!$E$3:$AI$3))</f>
        <v>12</v>
      </c>
      <c r="Q21" s="27">
        <f ca="1">INDEX(Д2!$E$54:$AI$63,MATCH($D21,Д2!$D$54:$D$63),MATCH(Q$7,Д2!$E$3:$AI$3))</f>
        <v>4</v>
      </c>
      <c r="R21" s="27">
        <f ca="1">INDEX(Д2!$E$54:$AI$63,MATCH($D21,Д2!$D$54:$D$63),MATCH(R$7,Д2!$E$3:$AI$3))</f>
        <v>8</v>
      </c>
      <c r="S21" s="27">
        <f ca="1">INDEX(Д2!$E$54:$AI$63,MATCH($D21,Д2!$D$54:$D$63),MATCH(S$7,Д2!$E$3:$AI$3))</f>
        <v>12</v>
      </c>
      <c r="T21" s="27">
        <f ca="1">INDEX(Д2!$E$54:$AI$63,MATCH($D21,Д2!$D$54:$D$63),MATCH(T$7,Д2!$E$3:$AI$3))</f>
        <v>0</v>
      </c>
      <c r="U21" s="27">
        <f ca="1">INDEX(Д2!$E$54:$AI$63,MATCH($D21,Д2!$D$54:$D$63),MATCH(U$7,Д2!$E$3:$AI$3))</f>
        <v>0</v>
      </c>
      <c r="V21" s="27">
        <f ca="1">INDEX(Д2!$E$54:$AI$63,MATCH($D21,Д2!$D$54:$D$63),MATCH(V$7,Д2!$E$3:$AI$3))</f>
        <v>4</v>
      </c>
      <c r="W21" s="27">
        <f ca="1">INDEX(Д2!$E$54:$AI$63,MATCH($D21,Д2!$D$54:$D$63),MATCH(W$7,Д2!$E$3:$AI$3))</f>
        <v>8</v>
      </c>
      <c r="X21" s="27">
        <f ca="1">INDEX(Д2!$E$54:$AI$63,MATCH($D21,Д2!$D$54:$D$63),MATCH(X$7,Д2!$E$3:$AI$3))</f>
        <v>12</v>
      </c>
      <c r="Y21" s="27">
        <f ca="1">INDEX(Д2!$E$54:$AI$63,MATCH($D21,Д2!$D$54:$D$63),MATCH(Y$7,Д2!$E$3:$AI$3))</f>
        <v>4</v>
      </c>
      <c r="Z21" s="27">
        <f ca="1">INDEX(Д2!$E$54:$AI$63,MATCH($D21,Д2!$D$54:$D$63),MATCH(Z$7,Д2!$E$3:$AI$3))</f>
        <v>8</v>
      </c>
      <c r="AA21" s="27">
        <f ca="1">INDEX(Д2!$E$54:$AI$63,MATCH($D21,Д2!$D$54:$D$63),MATCH(AA$7,Д2!$E$3:$AI$3))</f>
        <v>12</v>
      </c>
      <c r="AB21" s="27">
        <f ca="1">INDEX(Д2!$E$54:$AI$63,MATCH($D21,Д2!$D$54:$D$63),MATCH(AB$7,Д2!$E$3:$AI$3))</f>
        <v>0</v>
      </c>
      <c r="AC21" s="27">
        <f ca="1">INDEX(Д2!$E$54:$AI$63,MATCH($D21,Д2!$D$54:$D$63),MATCH(AC$7,Д2!$E$3:$AI$3))</f>
        <v>0</v>
      </c>
      <c r="AD21" s="27">
        <f ca="1">INDEX(Д2!$E$54:$AI$63,MATCH($D21,Д2!$D$54:$D$63),MATCH(AD$7,Д2!$E$3:$AI$3))</f>
        <v>4</v>
      </c>
      <c r="AE21" s="27">
        <f ca="1">INDEX(Д2!$E$54:$AI$63,MATCH($D21,Д2!$D$54:$D$63),MATCH(AE$7,Д2!$E$3:$AI$3))</f>
        <v>8</v>
      </c>
      <c r="AF21" s="27">
        <f ca="1">INDEX(Д2!$E$54:$AI$63,MATCH($D21,Д2!$D$54:$D$63),MATCH(AF$7,Д2!$E$3:$AI$3))</f>
        <v>12</v>
      </c>
      <c r="AG21" s="27">
        <f ca="1">INDEX(Д2!$E$54:$AI$63,MATCH($D21,Д2!$D$54:$D$63),MATCH(AG$7,Д2!$E$3:$AI$3))</f>
        <v>4</v>
      </c>
      <c r="AH21" s="27">
        <f ca="1">INDEX(Д2!$E$54:$AI$63,MATCH($D21,Д2!$D$54:$D$63),MATCH(AH$7,Д2!$E$3:$AI$3))</f>
        <v>8</v>
      </c>
      <c r="AI21" s="32"/>
      <c r="AJ21" s="143">
        <f>INDEX(Д2!AK$54:$AK$63,MATCH($C21,Д2!$C$54:$C$63),MATCH(E$7,Д2!$E$3:$AI$3))*AND(MONTH($E$8)=MONTH(Д2!$B$54))</f>
        <v>151</v>
      </c>
      <c r="AK21" s="144">
        <f ca="1">SUM(E21:AI22)</f>
        <v>180</v>
      </c>
      <c r="AL21" s="144"/>
      <c r="AM21" s="149">
        <f ca="1">SUM(F21:H22,J21:AI22)-AJ21+AL21-12</f>
        <v>13</v>
      </c>
      <c r="AP21" s="136">
        <f t="shared" ref="AP21" ca="1" si="32">COUNTIF($E21:$AI22,"12")</f>
        <v>7</v>
      </c>
      <c r="AQ21" s="136">
        <f t="shared" ref="AQ21" ca="1" si="33">IF(COUNTIF($E21:$AI22,"СП")&gt;=1,(COUNTIF($E21:$AI22,"4")+COUNTIF($E21:$AI22,"8")-1)/2,(COUNTIF($E21:$AI22,"4")+COUNTIF($E21:$AI22,"8"))/2)</f>
        <v>7.5</v>
      </c>
      <c r="AR21" s="136">
        <f t="shared" ca="1" si="2"/>
        <v>84</v>
      </c>
      <c r="AS21" s="136">
        <f t="shared" ref="AS21" ca="1" si="34">IF(COUNTIF($E21:$AI22,"СП")&gt;=1,SUMIF($E21:$AI22,"4",$E21:$AI22)+SUMIF($E21:$AI22,"8",$E21:$AI22)-8,SUMIF($E21:$AI22,"4",$E21:$AI22)+SUMIF($E21:$AI22,"8",$E21:$AI22))</f>
        <v>88</v>
      </c>
      <c r="AT21" s="136">
        <f t="shared" ref="AT21" ca="1" si="35">$AR21+$AS21</f>
        <v>172</v>
      </c>
      <c r="AU21" s="136" t="str">
        <f t="shared" ref="AU21" ca="1" si="36">IF(AK21=AT21,"+","!")</f>
        <v>!</v>
      </c>
      <c r="AV21" s="136">
        <f t="shared" ref="AV21" ca="1" si="37">COUNTIF($E21:$AI22,"ОТ")</f>
        <v>0</v>
      </c>
      <c r="AW21" s="137" t="str">
        <f ca="1">IF(COUNTIF($A22:$AI22,"СП")&gt;0,IF(INDIRECT(ADDRESS(ROW(),MATCH("СП",$A22:$AI22),1))=8,"","!"),"")</f>
        <v/>
      </c>
      <c r="AX21" s="137" t="str">
        <f ca="1">IF(COUNTIF($A22:$AI22,"СП")&gt;0,IF(INDIRECT(ADDRESS(ROW(),MATCH("СП",$A22:$AI22)-1,1))=4,"!",""),"")</f>
        <v>!</v>
      </c>
    </row>
    <row r="22" spans="1:50" ht="16.5" thickBot="1" x14ac:dyDescent="0.3">
      <c r="A22" s="147"/>
      <c r="B22" s="139"/>
      <c r="C22" s="171"/>
      <c r="D22" s="50">
        <v>4</v>
      </c>
      <c r="E22" s="65" t="str">
        <f>INDEX(Д2!$E$54:$AI$63,MATCH($D22,Д2!$D$54:$D$63),MATCH(E$7,Д2!$E$3:$AI$3))</f>
        <v/>
      </c>
      <c r="F22" s="30" t="str">
        <f>INDEX(Д2!$E$54:$AI$63,MATCH($D22,Д2!$D$54:$D$63),MATCH(F$7,Д2!$E$3:$AI$3))</f>
        <v/>
      </c>
      <c r="G22" s="30" t="str">
        <f>INDEX(Д2!$E$54:$AI$63,MATCH($D22,Д2!$D$54:$D$63),MATCH(G$7,Д2!$E$3:$AI$3))</f>
        <v/>
      </c>
      <c r="H22" s="30" t="str">
        <f>INDEX(Д2!$E$54:$AI$63,MATCH($D22,Д2!$D$54:$D$63),MATCH(H$7,Д2!$E$3:$AI$3))</f>
        <v/>
      </c>
      <c r="I22" s="30" t="str">
        <f>INDEX(Д2!$E$54:$AI$63,MATCH($D22,Д2!$D$54:$D$63),MATCH(I$7,Д2!$E$3:$AI$3))</f>
        <v/>
      </c>
      <c r="J22" s="30" t="str">
        <f>INDEX(Д2!$E$54:$AI$63,MATCH($D22,Д2!$D$54:$D$63),MATCH(J$7,Д2!$E$3:$AI$3))</f>
        <v/>
      </c>
      <c r="K22" s="30" t="str">
        <f>INDEX(Д2!$E$54:$AI$63,MATCH($D22,Д2!$D$54:$D$63),MATCH(K$7,Д2!$E$3:$AI$3))</f>
        <v>СП</v>
      </c>
      <c r="L22" s="30" t="str">
        <f>INDEX(Д2!$E$54:$AI$63,MATCH($D22,Д2!$D$54:$D$63),MATCH(L$7,Д2!$E$3:$AI$3))</f>
        <v/>
      </c>
      <c r="M22" s="30" t="str">
        <f>INDEX(Д2!$E$54:$AI$63,MATCH($D22,Д2!$D$54:$D$63),MATCH(M$7,Д2!$E$3:$AI$3))</f>
        <v/>
      </c>
      <c r="N22" s="30" t="str">
        <f>INDEX(Д2!$E$54:$AI$63,MATCH($D22,Д2!$D$54:$D$63),MATCH(N$7,Д2!$E$3:$AI$3))</f>
        <v/>
      </c>
      <c r="O22" s="30" t="str">
        <f>INDEX(Д2!$E$54:$AI$63,MATCH($D22,Д2!$D$54:$D$63),MATCH(O$7,Д2!$E$3:$AI$3))</f>
        <v/>
      </c>
      <c r="P22" s="30" t="str">
        <f>INDEX(Д2!$E$54:$AI$63,MATCH($D22,Д2!$D$54:$D$63),MATCH(P$7,Д2!$E$3:$AI$3))</f>
        <v/>
      </c>
      <c r="Q22" s="30" t="str">
        <f>INDEX(Д2!$E$54:$AI$63,MATCH($D22,Д2!$D$54:$D$63),MATCH(Q$7,Д2!$E$3:$AI$3))</f>
        <v/>
      </c>
      <c r="R22" s="30" t="str">
        <f>INDEX(Д2!$E$54:$AI$63,MATCH($D22,Д2!$D$54:$D$63),MATCH(R$7,Д2!$E$3:$AI$3))</f>
        <v/>
      </c>
      <c r="S22" s="30" t="str">
        <f>INDEX(Д2!$E$54:$AI$63,MATCH($D22,Д2!$D$54:$D$63),MATCH(S$7,Д2!$E$3:$AI$3))</f>
        <v/>
      </c>
      <c r="T22" s="30" t="str">
        <f>INDEX(Д2!$E$54:$AI$63,MATCH($D22,Д2!$D$54:$D$63),MATCH(T$7,Д2!$E$3:$AI$3))</f>
        <v/>
      </c>
      <c r="U22" s="30" t="str">
        <f>INDEX(Д2!$E$54:$AI$63,MATCH($D22,Д2!$D$54:$D$63),MATCH(U$7,Д2!$E$3:$AI$3))</f>
        <v/>
      </c>
      <c r="V22" s="30" t="str">
        <f>INDEX(Д2!$E$54:$AI$63,MATCH($D22,Д2!$D$54:$D$63),MATCH(V$7,Д2!$E$3:$AI$3))</f>
        <v/>
      </c>
      <c r="W22" s="30" t="str">
        <f>INDEX(Д2!$E$54:$AI$63,MATCH($D22,Д2!$D$54:$D$63),MATCH(W$7,Д2!$E$3:$AI$3))</f>
        <v/>
      </c>
      <c r="X22" s="30" t="str">
        <f>INDEX(Д2!$E$54:$AI$63,MATCH($D22,Д2!$D$54:$D$63),MATCH(X$7,Д2!$E$3:$AI$3))</f>
        <v/>
      </c>
      <c r="Y22" s="30" t="str">
        <f>INDEX(Д2!$E$54:$AI$63,MATCH($D22,Д2!$D$54:$D$63),MATCH(Y$7,Д2!$E$3:$AI$3))</f>
        <v/>
      </c>
      <c r="Z22" s="30" t="str">
        <f>INDEX(Д2!$E$54:$AI$63,MATCH($D22,Д2!$D$54:$D$63),MATCH(Z$7,Д2!$E$3:$AI$3))</f>
        <v/>
      </c>
      <c r="AA22" s="30" t="str">
        <f>INDEX(Д2!$E$54:$AI$63,MATCH($D22,Д2!$D$54:$D$63),MATCH(AA$7,Д2!$E$3:$AI$3))</f>
        <v/>
      </c>
      <c r="AB22" s="30" t="str">
        <f>INDEX(Д2!$E$54:$AI$63,MATCH($D22,Д2!$D$54:$D$63),MATCH(AB$7,Д2!$E$3:$AI$3))</f>
        <v/>
      </c>
      <c r="AC22" s="30" t="str">
        <f>INDEX(Д2!$E$54:$AI$63,MATCH($D22,Д2!$D$54:$D$63),MATCH(AC$7,Д2!$E$3:$AI$3))</f>
        <v/>
      </c>
      <c r="AD22" s="30" t="str">
        <f>INDEX(Д2!$E$54:$AI$63,MATCH($D22,Д2!$D$54:$D$63),MATCH(AD$7,Д2!$E$3:$AI$3))</f>
        <v/>
      </c>
      <c r="AE22" s="30" t="str">
        <f>INDEX(Д2!$E$54:$AI$63,MATCH($D22,Д2!$D$54:$D$63),MATCH(AE$7,Д2!$E$3:$AI$3))</f>
        <v/>
      </c>
      <c r="AF22" s="30" t="str">
        <f>INDEX(Д2!$E$54:$AI$63,MATCH($D22,Д2!$D$54:$D$63),MATCH(AF$7,Д2!$E$3:$AI$3))</f>
        <v/>
      </c>
      <c r="AG22" s="30" t="str">
        <f>INDEX(Д2!$E$54:$AI$63,MATCH($D22,Д2!$D$54:$D$63),MATCH(AG$7,Д2!$E$3:$AI$3))</f>
        <v/>
      </c>
      <c r="AH22" s="30" t="str">
        <f>INDEX(Д2!$E$54:$AI$63,MATCH($D22,Д2!$D$54:$D$63),MATCH(AH$7,Д2!$E$3:$AI$3))</f>
        <v/>
      </c>
      <c r="AI22" s="33"/>
      <c r="AJ22" s="143"/>
      <c r="AK22" s="145"/>
      <c r="AL22" s="145"/>
      <c r="AM22" s="150"/>
      <c r="AP22" s="136"/>
      <c r="AQ22" s="136"/>
      <c r="AR22" s="136"/>
      <c r="AS22" s="136"/>
      <c r="AT22" s="136"/>
      <c r="AU22" s="136"/>
      <c r="AV22" s="136"/>
      <c r="AW22" s="137"/>
      <c r="AX22" s="137"/>
    </row>
    <row r="23" spans="1:50" ht="16.5" customHeight="1" thickBot="1" x14ac:dyDescent="0.3">
      <c r="A23" s="147"/>
      <c r="B23" s="139" t="s">
        <v>87</v>
      </c>
      <c r="C23" s="170">
        <v>3</v>
      </c>
      <c r="D23" s="49">
        <v>5</v>
      </c>
      <c r="E23" s="62">
        <f ca="1">INDEX(Д2!$E$54:$AI$63,MATCH($D23,Д2!$D$54:$D$63),MATCH(E$7,Д2!$E$3:$AI$3))</f>
        <v>4</v>
      </c>
      <c r="F23" s="28">
        <f ca="1">INDEX(Д2!$E$54:$AI$63,MATCH($D23,Д2!$D$54:$D$63),MATCH(F$7,Д2!$E$3:$AI$3))</f>
        <v>8</v>
      </c>
      <c r="G23" s="28">
        <f ca="1">INDEX(Д2!$E$54:$AI$63,MATCH($D23,Д2!$D$54:$D$63),MATCH(G$7,Д2!$E$3:$AI$3))</f>
        <v>12</v>
      </c>
      <c r="H23" s="28">
        <f ca="1">INDEX(Д2!$E$54:$AI$63,MATCH($D23,Д2!$D$54:$D$63),MATCH(H$7,Д2!$E$3:$AI$3))</f>
        <v>0</v>
      </c>
      <c r="I23" s="28">
        <f ca="1">INDEX(Д2!$E$54:$AI$63,MATCH($D23,Д2!$D$54:$D$63),MATCH(I$7,Д2!$E$3:$AI$3))</f>
        <v>0</v>
      </c>
      <c r="J23" s="28">
        <f ca="1">INDEX(Д2!$E$54:$AI$63,MATCH($D23,Д2!$D$54:$D$63),MATCH(J$7,Д2!$E$3:$AI$3))</f>
        <v>4</v>
      </c>
      <c r="K23" s="28">
        <f ca="1">INDEX(Д2!$E$54:$AI$63,MATCH($D23,Д2!$D$54:$D$63),MATCH(K$7,Д2!$E$3:$AI$3))</f>
        <v>8</v>
      </c>
      <c r="L23" s="28">
        <f ca="1">INDEX(Д2!$E$54:$AI$63,MATCH($D23,Д2!$D$54:$D$63),MATCH(L$7,Д2!$E$3:$AI$3))</f>
        <v>12</v>
      </c>
      <c r="M23" s="28">
        <f ca="1">INDEX(Д2!$E$54:$AI$63,MATCH($D23,Д2!$D$54:$D$63),MATCH(M$7,Д2!$E$3:$AI$3))</f>
        <v>4</v>
      </c>
      <c r="N23" s="28">
        <f ca="1">INDEX(Д2!$E$54:$AI$63,MATCH($D23,Д2!$D$54:$D$63),MATCH(N$7,Д2!$E$3:$AI$3))</f>
        <v>8</v>
      </c>
      <c r="O23" s="28">
        <f ca="1">INDEX(Д2!$E$54:$AI$63,MATCH($D23,Д2!$D$54:$D$63),MATCH(O$7,Д2!$E$3:$AI$3))</f>
        <v>12</v>
      </c>
      <c r="P23" s="28">
        <f ca="1">INDEX(Д2!$E$54:$AI$63,MATCH($D23,Д2!$D$54:$D$63),MATCH(P$7,Д2!$E$3:$AI$3))</f>
        <v>0</v>
      </c>
      <c r="Q23" s="28">
        <f ca="1">INDEX(Д2!$E$54:$AI$63,MATCH($D23,Д2!$D$54:$D$63),MATCH(Q$7,Д2!$E$3:$AI$3))</f>
        <v>0</v>
      </c>
      <c r="R23" s="28">
        <f ca="1">INDEX(Д2!$E$54:$AI$63,MATCH($D23,Д2!$D$54:$D$63),MATCH(R$7,Д2!$E$3:$AI$3))</f>
        <v>4</v>
      </c>
      <c r="S23" s="28">
        <f ca="1">INDEX(Д2!$E$54:$AI$63,MATCH($D23,Д2!$D$54:$D$63),MATCH(S$7,Д2!$E$3:$AI$3))</f>
        <v>8</v>
      </c>
      <c r="T23" s="28">
        <f ca="1">INDEX(Д2!$E$54:$AI$63,MATCH($D23,Д2!$D$54:$D$63),MATCH(T$7,Д2!$E$3:$AI$3))</f>
        <v>12</v>
      </c>
      <c r="U23" s="28">
        <f ca="1">INDEX(Д2!$E$54:$AI$63,MATCH($D23,Д2!$D$54:$D$63),MATCH(U$7,Д2!$E$3:$AI$3))</f>
        <v>4</v>
      </c>
      <c r="V23" s="28">
        <f ca="1">INDEX(Д2!$E$54:$AI$63,MATCH($D23,Д2!$D$54:$D$63),MATCH(V$7,Д2!$E$3:$AI$3))</f>
        <v>8</v>
      </c>
      <c r="W23" s="28">
        <f ca="1">INDEX(Д2!$E$54:$AI$63,MATCH($D23,Д2!$D$54:$D$63),MATCH(W$7,Д2!$E$3:$AI$3))</f>
        <v>12</v>
      </c>
      <c r="X23" s="28">
        <f ca="1">INDEX(Д2!$E$54:$AI$63,MATCH($D23,Д2!$D$54:$D$63),MATCH(X$7,Д2!$E$3:$AI$3))</f>
        <v>0</v>
      </c>
      <c r="Y23" s="28">
        <f ca="1">INDEX(Д2!$E$54:$AI$63,MATCH($D23,Д2!$D$54:$D$63),MATCH(Y$7,Д2!$E$3:$AI$3))</f>
        <v>0</v>
      </c>
      <c r="Z23" s="28">
        <f ca="1">INDEX(Д2!$E$54:$AI$63,MATCH($D23,Д2!$D$54:$D$63),MATCH(Z$7,Д2!$E$3:$AI$3))</f>
        <v>4</v>
      </c>
      <c r="AA23" s="28">
        <f ca="1">INDEX(Д2!$E$54:$AI$63,MATCH($D23,Д2!$D$54:$D$63),MATCH(AA$7,Д2!$E$3:$AI$3))</f>
        <v>8</v>
      </c>
      <c r="AB23" s="28">
        <f ca="1">INDEX(Д2!$E$54:$AI$63,MATCH($D23,Д2!$D$54:$D$63),MATCH(AB$7,Д2!$E$3:$AI$3))</f>
        <v>12</v>
      </c>
      <c r="AC23" s="28">
        <f ca="1">INDEX(Д2!$E$54:$AI$63,MATCH($D23,Д2!$D$54:$D$63),MATCH(AC$7,Д2!$E$3:$AI$3))</f>
        <v>4</v>
      </c>
      <c r="AD23" s="28">
        <f ca="1">INDEX(Д2!$E$54:$AI$63,MATCH($D23,Д2!$D$54:$D$63),MATCH(AD$7,Д2!$E$3:$AI$3))</f>
        <v>8</v>
      </c>
      <c r="AE23" s="28">
        <f ca="1">INDEX(Д2!$E$54:$AI$63,MATCH($D23,Д2!$D$54:$D$63),MATCH(AE$7,Д2!$E$3:$AI$3))</f>
        <v>12</v>
      </c>
      <c r="AF23" s="28">
        <f ca="1">INDEX(Д2!$E$54:$AI$63,MATCH($D23,Д2!$D$54:$D$63),MATCH(AF$7,Д2!$E$3:$AI$3))</f>
        <v>0</v>
      </c>
      <c r="AG23" s="28">
        <f ca="1">INDEX(Д2!$E$54:$AI$63,MATCH($D23,Д2!$D$54:$D$63),MATCH(AG$7,Д2!$E$3:$AI$3))</f>
        <v>0</v>
      </c>
      <c r="AH23" s="28">
        <f ca="1">INDEX(Д2!$E$54:$AI$63,MATCH($D23,Д2!$D$54:$D$63),MATCH(AH$7,Д2!$E$3:$AI$3))</f>
        <v>4</v>
      </c>
      <c r="AI23" s="60"/>
      <c r="AJ23" s="143">
        <f>INDEX(Д2!AK$54:$AK$63,MATCH($C23,Д2!$C$54:$C$63),MATCH(E$7,Д2!$E$3:$AI$3))*AND(MONTH($E$8)=MONTH(Д2!$B$54))</f>
        <v>151</v>
      </c>
      <c r="AK23" s="144">
        <f ca="1">SUM(E23:AI24)</f>
        <v>172</v>
      </c>
      <c r="AL23" s="144"/>
      <c r="AM23" s="149">
        <f ca="1">SUM(F23:H24,J23:AI24)-AJ23+AL23-12</f>
        <v>5</v>
      </c>
      <c r="AP23" s="136">
        <f t="shared" ref="AP23" ca="1" si="38">COUNTIF($E23:$AI24,"12")</f>
        <v>7</v>
      </c>
      <c r="AQ23" s="136">
        <f t="shared" ref="AQ23" ca="1" si="39">IF(COUNTIF($E23:$AI24,"СП")&gt;=1,(COUNTIF($E23:$AI24,"4")+COUNTIF($E23:$AI24,"8")-1)/2,(COUNTIF($E23:$AI24,"4")+COUNTIF($E23:$AI24,"8"))/2)</f>
        <v>7</v>
      </c>
      <c r="AR23" s="136">
        <f t="shared" ca="1" si="2"/>
        <v>84</v>
      </c>
      <c r="AS23" s="136">
        <f t="shared" ref="AS23" ca="1" si="40">IF(COUNTIF($E23:$AI24,"СП")&gt;=1,SUMIF($E23:$AI24,"4",$E23:$AI24)+SUMIF($E23:$AI24,"8",$E23:$AI24)-8,SUMIF($E23:$AI24,"4",$E23:$AI24)+SUMIF($E23:$AI24,"8",$E23:$AI24))</f>
        <v>80</v>
      </c>
      <c r="AT23" s="136">
        <f t="shared" ref="AT23" ca="1" si="41">$AR23+$AS23</f>
        <v>164</v>
      </c>
      <c r="AU23" s="136" t="str">
        <f t="shared" ref="AU23" ca="1" si="42">IF(AK23=AT23,"+","!")</f>
        <v>!</v>
      </c>
      <c r="AV23" s="136">
        <f t="shared" ref="AV23" ca="1" si="43">COUNTIF($E23:$AI24,"ОТ")</f>
        <v>0</v>
      </c>
      <c r="AW23" s="137" t="str">
        <f ca="1">IF(COUNTIF($A24:$AI24,"СП")&gt;0,IF(INDIRECT(ADDRESS(ROW(),MATCH("СП",$A24:$AI24),1))=8,"","!"),"")</f>
        <v>!</v>
      </c>
      <c r="AX23" s="137" t="str">
        <f ca="1">IF(COUNTIF($A24:$AI24,"СП")&gt;0,IF(INDIRECT(ADDRESS(ROW(),MATCH("СП",$A24:$AI24)-1,1))=4,"!",""),"")</f>
        <v/>
      </c>
    </row>
    <row r="24" spans="1:50" ht="16.5" thickBot="1" x14ac:dyDescent="0.3">
      <c r="A24" s="147"/>
      <c r="B24" s="139"/>
      <c r="C24" s="171"/>
      <c r="D24" s="50">
        <v>6</v>
      </c>
      <c r="E24" s="63" t="str">
        <f>INDEX(Д2!$E$54:$AI$63,MATCH($D24,Д2!$D$54:$D63),MATCH(E$7,Д2!$E$3:$AI$3))</f>
        <v/>
      </c>
      <c r="F24" s="29" t="str">
        <f>INDEX(Д2!$E$54:$AI$63,MATCH($D24,Д2!$D$54:$D63),MATCH(F$7,Д2!$E$3:$AI$3))</f>
        <v/>
      </c>
      <c r="G24" s="29" t="str">
        <f>INDEX(Д2!$E$54:$AI$63,MATCH($D24,Д2!$D$54:$D63),MATCH(G$7,Д2!$E$3:$AI$3))</f>
        <v/>
      </c>
      <c r="H24" s="29" t="str">
        <f>INDEX(Д2!$E$54:$AI$63,MATCH($D24,Д2!$D$54:$D63),MATCH(H$7,Д2!$E$3:$AI$3))</f>
        <v/>
      </c>
      <c r="I24" s="29" t="str">
        <f>INDEX(Д2!$E$54:$AI$63,MATCH($D24,Д2!$D$54:$D63),MATCH(I$7,Д2!$E$3:$AI$3))</f>
        <v/>
      </c>
      <c r="J24" s="29" t="str">
        <f>INDEX(Д2!$E$54:$AI$63,MATCH($D24,Д2!$D$54:$D63),MATCH(J$7,Д2!$E$3:$AI$3))</f>
        <v/>
      </c>
      <c r="K24" s="29" t="str">
        <f>INDEX(Д2!$E$54:$AI$63,MATCH($D24,Д2!$D$54:$D63),MATCH(K$7,Д2!$E$3:$AI$3))</f>
        <v/>
      </c>
      <c r="L24" s="29" t="str">
        <f>INDEX(Д2!$E$54:$AI$63,MATCH($D24,Д2!$D$54:$D63),MATCH(L$7,Д2!$E$3:$AI$3))</f>
        <v>СП</v>
      </c>
      <c r="M24" s="29" t="str">
        <f>INDEX(Д2!$E$54:$AI$63,MATCH($D24,Д2!$D$54:$D63),MATCH(M$7,Д2!$E$3:$AI$3))</f>
        <v/>
      </c>
      <c r="N24" s="29" t="str">
        <f>INDEX(Д2!$E$54:$AI$63,MATCH($D24,Д2!$D$54:$D63),MATCH(N$7,Д2!$E$3:$AI$3))</f>
        <v/>
      </c>
      <c r="O24" s="29" t="str">
        <f>INDEX(Д2!$E$54:$AI$63,MATCH($D24,Д2!$D$54:$D63),MATCH(O$7,Д2!$E$3:$AI$3))</f>
        <v/>
      </c>
      <c r="P24" s="29" t="str">
        <f>INDEX(Д2!$E$54:$AI$63,MATCH($D24,Д2!$D$54:$D63),MATCH(P$7,Д2!$E$3:$AI$3))</f>
        <v/>
      </c>
      <c r="Q24" s="29" t="str">
        <f>INDEX(Д2!$E$54:$AI$63,MATCH($D24,Д2!$D$54:$D63),MATCH(Q$7,Д2!$E$3:$AI$3))</f>
        <v/>
      </c>
      <c r="R24" s="29" t="str">
        <f>INDEX(Д2!$E$54:$AI$63,MATCH($D24,Д2!$D$54:$D63),MATCH(R$7,Д2!$E$3:$AI$3))</f>
        <v/>
      </c>
      <c r="S24" s="29" t="str">
        <f>INDEX(Д2!$E$54:$AI$63,MATCH($D24,Д2!$D$54:$D63),MATCH(S$7,Д2!$E$3:$AI$3))</f>
        <v/>
      </c>
      <c r="T24" s="29" t="str">
        <f>INDEX(Д2!$E$54:$AI$63,MATCH($D24,Д2!$D$54:$D63),MATCH(T$7,Д2!$E$3:$AI$3))</f>
        <v/>
      </c>
      <c r="U24" s="29" t="str">
        <f>INDEX(Д2!$E$54:$AI$63,MATCH($D24,Д2!$D$54:$D63),MATCH(U$7,Д2!$E$3:$AI$3))</f>
        <v/>
      </c>
      <c r="V24" s="29" t="str">
        <f>INDEX(Д2!$E$54:$AI$63,MATCH($D24,Д2!$D$54:$D63),MATCH(V$7,Д2!$E$3:$AI$3))</f>
        <v/>
      </c>
      <c r="W24" s="29" t="str">
        <f>INDEX(Д2!$E$54:$AI$63,MATCH($D24,Д2!$D$54:$D63),MATCH(W$7,Д2!$E$3:$AI$3))</f>
        <v/>
      </c>
      <c r="X24" s="29" t="str">
        <f>INDEX(Д2!$E$54:$AI$63,MATCH($D24,Д2!$D$54:$D63),MATCH(X$7,Д2!$E$3:$AI$3))</f>
        <v/>
      </c>
      <c r="Y24" s="29" t="str">
        <f>INDEX(Д2!$E$54:$AI$63,MATCH($D24,Д2!$D$54:$D63),MATCH(Y$7,Д2!$E$3:$AI$3))</f>
        <v/>
      </c>
      <c r="Z24" s="29" t="str">
        <f>INDEX(Д2!$E$54:$AI$63,MATCH($D24,Д2!$D$54:$D63),MATCH(Z$7,Д2!$E$3:$AI$3))</f>
        <v/>
      </c>
      <c r="AA24" s="29" t="str">
        <f>INDEX(Д2!$E$54:$AI$63,MATCH($D24,Д2!$D$54:$D63),MATCH(AA$7,Д2!$E$3:$AI$3))</f>
        <v/>
      </c>
      <c r="AB24" s="29" t="str">
        <f>INDEX(Д2!$E$54:$AI$63,MATCH($D24,Д2!$D$54:$D63),MATCH(AB$7,Д2!$E$3:$AI$3))</f>
        <v/>
      </c>
      <c r="AC24" s="29" t="str">
        <f>INDEX(Д2!$E$54:$AI$63,MATCH($D24,Д2!$D$54:$D63),MATCH(AC$7,Д2!$E$3:$AI$3))</f>
        <v/>
      </c>
      <c r="AD24" s="29" t="str">
        <f>INDEX(Д2!$E$54:$AI$63,MATCH($D24,Д2!$D$54:$D63),MATCH(AD$7,Д2!$E$3:$AI$3))</f>
        <v/>
      </c>
      <c r="AE24" s="29" t="str">
        <f>INDEX(Д2!$E$54:$AI$63,MATCH($D24,Д2!$D$54:$D63),MATCH(AE$7,Д2!$E$3:$AI$3))</f>
        <v/>
      </c>
      <c r="AF24" s="29" t="str">
        <f>INDEX(Д2!$E$54:$AI$63,MATCH($D24,Д2!$D$54:$D63),MATCH(AF$7,Д2!$E$3:$AI$3))</f>
        <v/>
      </c>
      <c r="AG24" s="29" t="str">
        <f>INDEX(Д2!$E$54:$AI$63,MATCH($D24,Д2!$D$54:$D63),MATCH(AG$7,Д2!$E$3:$AI$3))</f>
        <v/>
      </c>
      <c r="AH24" s="29" t="str">
        <f>INDEX(Д2!$E$54:$AI$63,MATCH($D24,Д2!$D$54:$D63),MATCH(AH$7,Д2!$E$3:$AI$3))</f>
        <v/>
      </c>
      <c r="AI24" s="61"/>
      <c r="AJ24" s="143"/>
      <c r="AK24" s="145"/>
      <c r="AL24" s="145"/>
      <c r="AM24" s="150"/>
      <c r="AP24" s="136"/>
      <c r="AQ24" s="136"/>
      <c r="AR24" s="136"/>
      <c r="AS24" s="136"/>
      <c r="AT24" s="136"/>
      <c r="AU24" s="136"/>
      <c r="AV24" s="136"/>
      <c r="AW24" s="137"/>
      <c r="AX24" s="137"/>
    </row>
    <row r="25" spans="1:50" ht="16.5" customHeight="1" thickBot="1" x14ac:dyDescent="0.3">
      <c r="A25" s="147"/>
      <c r="B25" s="139" t="s">
        <v>88</v>
      </c>
      <c r="C25" s="170">
        <v>4</v>
      </c>
      <c r="D25" s="49">
        <v>7</v>
      </c>
      <c r="E25" s="64">
        <f ca="1">INDEX(Д2!$E$54:$AI$63,MATCH($D25,Д2!$D$54:$D$63),MATCH(E$7,Д2!$E$3:$AI$3))</f>
        <v>8</v>
      </c>
      <c r="F25" s="27">
        <f ca="1">INDEX(Д2!$E$54:$AI$63,MATCH($D25,Д2!$D$54:$D$63),MATCH(F$7,Д2!$E$3:$AI$3))</f>
        <v>12</v>
      </c>
      <c r="G25" s="27">
        <f ca="1">INDEX(Д2!$E$54:$AI$63,MATCH($D25,Д2!$D$54:$D$63),MATCH(G$7,Д2!$E$3:$AI$3))</f>
        <v>4</v>
      </c>
      <c r="H25" s="27">
        <f ca="1">INDEX(Д2!$E$54:$AI$63,MATCH($D25,Д2!$D$54:$D$63),MATCH(H$7,Д2!$E$3:$AI$3))</f>
        <v>8</v>
      </c>
      <c r="I25" s="27">
        <f ca="1">INDEX(Д2!$E$54:$AI$63,MATCH($D25,Д2!$D$54:$D$63),MATCH(I$7,Д2!$E$3:$AI$3))</f>
        <v>12</v>
      </c>
      <c r="J25" s="27">
        <f ca="1">INDEX(Д2!$E$54:$AI$63,MATCH($D25,Д2!$D$54:$D$63),MATCH(J$7,Д2!$E$3:$AI$3))</f>
        <v>0</v>
      </c>
      <c r="K25" s="27">
        <f ca="1">INDEX(Д2!$E$54:$AI$63,MATCH($D25,Д2!$D$54:$D$63),MATCH(K$7,Д2!$E$3:$AI$3))</f>
        <v>0</v>
      </c>
      <c r="L25" s="27">
        <f ca="1">INDEX(Д2!$E$54:$AI$63,MATCH($D25,Д2!$D$54:$D$63),MATCH(L$7,Д2!$E$3:$AI$3))</f>
        <v>4</v>
      </c>
      <c r="M25" s="27">
        <f ca="1">INDEX(Д2!$E$54:$AI$63,MATCH($D25,Д2!$D$54:$D$63),MATCH(M$7,Д2!$E$3:$AI$3))</f>
        <v>8</v>
      </c>
      <c r="N25" s="27">
        <f ca="1">INDEX(Д2!$E$54:$AI$63,MATCH($D25,Д2!$D$54:$D$63),MATCH(N$7,Д2!$E$3:$AI$3))</f>
        <v>12</v>
      </c>
      <c r="O25" s="27">
        <f ca="1">INDEX(Д2!$E$54:$AI$63,MATCH($D25,Д2!$D$54:$D$63),MATCH(O$7,Д2!$E$3:$AI$3))</f>
        <v>4</v>
      </c>
      <c r="P25" s="27">
        <f ca="1">INDEX(Д2!$E$54:$AI$63,MATCH($D25,Д2!$D$54:$D$63),MATCH(P$7,Д2!$E$3:$AI$3))</f>
        <v>8</v>
      </c>
      <c r="Q25" s="27">
        <f ca="1">INDEX(Д2!$E$54:$AI$63,MATCH($D25,Д2!$D$54:$D$63),MATCH(Q$7,Д2!$E$3:$AI$3))</f>
        <v>12</v>
      </c>
      <c r="R25" s="27">
        <f ca="1">INDEX(Д2!$E$54:$AI$63,MATCH($D25,Д2!$D$54:$D$63),MATCH(R$7,Д2!$E$3:$AI$3))</f>
        <v>0</v>
      </c>
      <c r="S25" s="27">
        <f ca="1">INDEX(Д2!$E$54:$AI$63,MATCH($D25,Д2!$D$54:$D$63),MATCH(S$7,Д2!$E$3:$AI$3))</f>
        <v>0</v>
      </c>
      <c r="T25" s="27">
        <f ca="1">INDEX(Д2!$E$54:$AI$63,MATCH($D25,Д2!$D$54:$D$63),MATCH(T$7,Д2!$E$3:$AI$3))</f>
        <v>4</v>
      </c>
      <c r="U25" s="27">
        <f ca="1">INDEX(Д2!$E$54:$AI$63,MATCH($D25,Д2!$D$54:$D$63),MATCH(U$7,Д2!$E$3:$AI$3))</f>
        <v>8</v>
      </c>
      <c r="V25" s="27">
        <f ca="1">INDEX(Д2!$E$54:$AI$63,MATCH($D25,Д2!$D$54:$D$63),MATCH(V$7,Д2!$E$3:$AI$3))</f>
        <v>12</v>
      </c>
      <c r="W25" s="27">
        <f ca="1">INDEX(Д2!$E$54:$AI$63,MATCH($D25,Д2!$D$54:$D$63),MATCH(W$7,Д2!$E$3:$AI$3))</f>
        <v>4</v>
      </c>
      <c r="X25" s="27">
        <f ca="1">INDEX(Д2!$E$54:$AI$63,MATCH($D25,Д2!$D$54:$D$63),MATCH(X$7,Д2!$E$3:$AI$3))</f>
        <v>8</v>
      </c>
      <c r="Y25" s="27">
        <f ca="1">INDEX(Д2!$E$54:$AI$63,MATCH($D25,Д2!$D$54:$D$63),MATCH(Y$7,Д2!$E$3:$AI$3))</f>
        <v>12</v>
      </c>
      <c r="Z25" s="27">
        <f ca="1">INDEX(Д2!$E$54:$AI$63,MATCH($D25,Д2!$D$54:$D$63),MATCH(Z$7,Д2!$E$3:$AI$3))</f>
        <v>0</v>
      </c>
      <c r="AA25" s="27">
        <f ca="1">INDEX(Д2!$E$54:$AI$63,MATCH($D25,Д2!$D$54:$D$63),MATCH(AA$7,Д2!$E$3:$AI$3))</f>
        <v>0</v>
      </c>
      <c r="AB25" s="27">
        <f ca="1">INDEX(Д2!$E$54:$AI$63,MATCH($D25,Д2!$D$54:$D$63),MATCH(AB$7,Д2!$E$3:$AI$3))</f>
        <v>4</v>
      </c>
      <c r="AC25" s="27">
        <f ca="1">INDEX(Д2!$E$54:$AI$63,MATCH($D25,Д2!$D$54:$D$63),MATCH(AC$7,Д2!$E$3:$AI$3))</f>
        <v>8</v>
      </c>
      <c r="AD25" s="27">
        <f ca="1">INDEX(Д2!$E$54:$AI$63,MATCH($D25,Д2!$D$54:$D$63),MATCH(AD$7,Д2!$E$3:$AI$3))</f>
        <v>12</v>
      </c>
      <c r="AE25" s="27">
        <f ca="1">INDEX(Д2!$E$54:$AI$63,MATCH($D25,Д2!$D$54:$D$63),MATCH(AE$7,Д2!$E$3:$AI$3))</f>
        <v>4</v>
      </c>
      <c r="AF25" s="27">
        <f ca="1">INDEX(Д2!$E$54:$AI$63,MATCH($D25,Д2!$D$54:$D$63),MATCH(AF$7,Д2!$E$3:$AI$3))</f>
        <v>8</v>
      </c>
      <c r="AG25" s="27">
        <f ca="1">INDEX(Д2!$E$54:$AI$63,MATCH($D25,Д2!$D$54:$D$63),MATCH(AG$7,Д2!$E$3:$AI$3))</f>
        <v>12</v>
      </c>
      <c r="AH25" s="27">
        <f ca="1">INDEX(Д2!$E$54:$AI$63,MATCH($D25,Д2!$D$54:$D$63),MATCH(AH$7,Д2!$E$3:$AI$3))</f>
        <v>0</v>
      </c>
      <c r="AI25" s="32"/>
      <c r="AJ25" s="143">
        <f>INDEX(Д2!AK$54:$AK$63,MATCH($C25,Д2!$C$54:$C$63),MATCH(E$7,Д2!$E$3:$AI$3))*AND(MONTH($E$8)=MONTH(Д2!$B$54))</f>
        <v>151</v>
      </c>
      <c r="AK25" s="144">
        <f ca="1">SUM(E25:AI26)</f>
        <v>188</v>
      </c>
      <c r="AL25" s="144"/>
      <c r="AM25" s="149">
        <f ca="1">SUM(F25:H26,J25:AI26)-AJ25+AL25-12</f>
        <v>5</v>
      </c>
      <c r="AP25" s="136">
        <f t="shared" ref="AP25" ca="1" si="44">COUNTIF($E25:$AI26,"12")</f>
        <v>8</v>
      </c>
      <c r="AQ25" s="136">
        <f t="shared" ref="AQ25" ca="1" si="45">IF(COUNTIF($E25:$AI26,"СП")&gt;=1,(COUNTIF($E25:$AI26,"4")+COUNTIF($E25:$AI26,"8")-1)/2,(COUNTIF($E25:$AI26,"4")+COUNTIF($E25:$AI26,"8"))/2)</f>
        <v>7</v>
      </c>
      <c r="AR25" s="136">
        <f t="shared" ca="1" si="2"/>
        <v>96</v>
      </c>
      <c r="AS25" s="136">
        <f t="shared" ref="AS25" ca="1" si="46">IF(COUNTIF($E25:$AI26,"СП")&gt;=1,SUMIF($E25:$AI26,"4",$E25:$AI26)+SUMIF($E25:$AI26,"8",$E25:$AI26)-8,SUMIF($E25:$AI26,"4",$E25:$AI26)+SUMIF($E25:$AI26,"8",$E25:$AI26))</f>
        <v>84</v>
      </c>
      <c r="AT25" s="136">
        <f t="shared" ref="AT25" ca="1" si="47">$AR25+$AS25</f>
        <v>180</v>
      </c>
      <c r="AU25" s="136" t="str">
        <f t="shared" ref="AU25" ca="1" si="48">IF(AK25=AT25,"+","!")</f>
        <v>!</v>
      </c>
      <c r="AV25" s="136">
        <f t="shared" ref="AV25" ca="1" si="49">COUNTIF($E25:$AI26,"ОТ")</f>
        <v>0</v>
      </c>
      <c r="AW25" s="137" t="str">
        <f ca="1">IF(COUNTIF($A26:$AI26,"СП")&gt;0,IF(INDIRECT(ADDRESS(ROW(),MATCH("СП",$A26:$AI26),1))=8,"","!"),"")</f>
        <v>!</v>
      </c>
      <c r="AX25" s="137" t="str">
        <f ca="1">IF(COUNTIF($A26:$AI26,"СП")&gt;0,IF(INDIRECT(ADDRESS(ROW(),MATCH("СП",$A26:$AI26)-1,1))=4,"!",""),"")</f>
        <v/>
      </c>
    </row>
    <row r="26" spans="1:50" ht="16.5" thickBot="1" x14ac:dyDescent="0.3">
      <c r="A26" s="147"/>
      <c r="B26" s="139"/>
      <c r="C26" s="171"/>
      <c r="D26" s="50">
        <v>8</v>
      </c>
      <c r="E26" s="65" t="str">
        <f>INDEX(Д2!$E$54:$AI$63,MATCH($D26,Д2!$D$54:$D$63),MATCH(E$7,Д2!$E$3:$AI$3))</f>
        <v/>
      </c>
      <c r="F26" s="30" t="str">
        <f>INDEX(Д2!$E$54:$AI$63,MATCH($D26,Д2!$D$54:$D$63),MATCH(F$7,Д2!$E$3:$AI$3))</f>
        <v/>
      </c>
      <c r="G26" s="30" t="str">
        <f>INDEX(Д2!$E$54:$AI$63,MATCH($D26,Д2!$D$54:$D$63),MATCH(G$7,Д2!$E$3:$AI$3))</f>
        <v/>
      </c>
      <c r="H26" s="30" t="str">
        <f>INDEX(Д2!$E$54:$AI$63,MATCH($D26,Д2!$D$54:$D$63),MATCH(H$7,Д2!$E$3:$AI$3))</f>
        <v/>
      </c>
      <c r="I26" s="30" t="str">
        <f>INDEX(Д2!$E$54:$AI$63,MATCH($D26,Д2!$D$54:$D$63),MATCH(I$7,Д2!$E$3:$AI$3))</f>
        <v/>
      </c>
      <c r="J26" s="30" t="str">
        <f>INDEX(Д2!$E$54:$AI$63,MATCH($D26,Д2!$D$54:$D$63),MATCH(J$7,Д2!$E$3:$AI$3))</f>
        <v/>
      </c>
      <c r="K26" s="30" t="str">
        <f>INDEX(Д2!$E$54:$AI$63,MATCH($D26,Д2!$D$54:$D$63),MATCH(K$7,Д2!$E$3:$AI$3))</f>
        <v/>
      </c>
      <c r="L26" s="30" t="str">
        <f>INDEX(Д2!$E$54:$AI$63,MATCH($D26,Д2!$D$54:$D$63),MATCH(L$7,Д2!$E$3:$AI$3))</f>
        <v/>
      </c>
      <c r="M26" s="30" t="str">
        <f>INDEX(Д2!$E$54:$AI$63,MATCH($D26,Д2!$D$54:$D$63),MATCH(M$7,Д2!$E$3:$AI$3))</f>
        <v>СП</v>
      </c>
      <c r="N26" s="30" t="str">
        <f>INDEX(Д2!$E$54:$AI$63,MATCH($D26,Д2!$D$54:$D$63),MATCH(N$7,Д2!$E$3:$AI$3))</f>
        <v/>
      </c>
      <c r="O26" s="30" t="str">
        <f>INDEX(Д2!$E$54:$AI$63,MATCH($D26,Д2!$D$54:$D$63),MATCH(O$7,Д2!$E$3:$AI$3))</f>
        <v/>
      </c>
      <c r="P26" s="30" t="str">
        <f>INDEX(Д2!$E$54:$AI$63,MATCH($D26,Д2!$D$54:$D$63),MATCH(P$7,Д2!$E$3:$AI$3))</f>
        <v/>
      </c>
      <c r="Q26" s="30" t="str">
        <f>INDEX(Д2!$E$54:$AI$63,MATCH($D26,Д2!$D$54:$D$63),MATCH(Q$7,Д2!$E$3:$AI$3))</f>
        <v/>
      </c>
      <c r="R26" s="30" t="str">
        <f>INDEX(Д2!$E$54:$AI$63,MATCH($D26,Д2!$D$54:$D$63),MATCH(R$7,Д2!$E$3:$AI$3))</f>
        <v/>
      </c>
      <c r="S26" s="30" t="str">
        <f>INDEX(Д2!$E$54:$AI$63,MATCH($D26,Д2!$D$54:$D$63),MATCH(S$7,Д2!$E$3:$AI$3))</f>
        <v/>
      </c>
      <c r="T26" s="30" t="str">
        <f>INDEX(Д2!$E$54:$AI$63,MATCH($D26,Д2!$D$54:$D$63),MATCH(T$7,Д2!$E$3:$AI$3))</f>
        <v/>
      </c>
      <c r="U26" s="30" t="str">
        <f>INDEX(Д2!$E$54:$AI$63,MATCH($D26,Д2!$D$54:$D$63),MATCH(U$7,Д2!$E$3:$AI$3))</f>
        <v/>
      </c>
      <c r="V26" s="30" t="str">
        <f>INDEX(Д2!$E$54:$AI$63,MATCH($D26,Д2!$D$54:$D$63),MATCH(V$7,Д2!$E$3:$AI$3))</f>
        <v/>
      </c>
      <c r="W26" s="30" t="str">
        <f>INDEX(Д2!$E$54:$AI$63,MATCH($D26,Д2!$D$54:$D$63),MATCH(W$7,Д2!$E$3:$AI$3))</f>
        <v/>
      </c>
      <c r="X26" s="30" t="str">
        <f>INDEX(Д2!$E$54:$AI$63,MATCH($D26,Д2!$D$54:$D$63),MATCH(X$7,Д2!$E$3:$AI$3))</f>
        <v/>
      </c>
      <c r="Y26" s="30" t="str">
        <f>INDEX(Д2!$E$54:$AI$63,MATCH($D26,Д2!$D$54:$D$63),MATCH(Y$7,Д2!$E$3:$AI$3))</f>
        <v/>
      </c>
      <c r="Z26" s="30" t="str">
        <f>INDEX(Д2!$E$54:$AI$63,MATCH($D26,Д2!$D$54:$D$63),MATCH(Z$7,Д2!$E$3:$AI$3))</f>
        <v/>
      </c>
      <c r="AA26" s="30" t="str">
        <f>INDEX(Д2!$E$54:$AI$63,MATCH($D26,Д2!$D$54:$D$63),MATCH(AA$7,Д2!$E$3:$AI$3))</f>
        <v/>
      </c>
      <c r="AB26" s="30" t="str">
        <f>INDEX(Д2!$E$54:$AI$63,MATCH($D26,Д2!$D$54:$D$63),MATCH(AB$7,Д2!$E$3:$AI$3))</f>
        <v/>
      </c>
      <c r="AC26" s="30" t="str">
        <f>INDEX(Д2!$E$54:$AI$63,MATCH($D26,Д2!$D$54:$D$63),MATCH(AC$7,Д2!$E$3:$AI$3))</f>
        <v/>
      </c>
      <c r="AD26" s="30" t="str">
        <f>INDEX(Д2!$E$54:$AI$63,MATCH($D26,Д2!$D$54:$D$63),MATCH(AD$7,Д2!$E$3:$AI$3))</f>
        <v/>
      </c>
      <c r="AE26" s="30" t="str">
        <f>INDEX(Д2!$E$54:$AI$63,MATCH($D26,Д2!$D$54:$D$63),MATCH(AE$7,Д2!$E$3:$AI$3))</f>
        <v/>
      </c>
      <c r="AF26" s="30" t="str">
        <f>INDEX(Д2!$E$54:$AI$63,MATCH($D26,Д2!$D$54:$D$63),MATCH(AF$7,Д2!$E$3:$AI$3))</f>
        <v/>
      </c>
      <c r="AG26" s="30" t="str">
        <f>INDEX(Д2!$E$54:$AI$63,MATCH($D26,Д2!$D$54:$D$63),MATCH(AG$7,Д2!$E$3:$AI$3))</f>
        <v/>
      </c>
      <c r="AH26" s="30" t="str">
        <f>INDEX(Д2!$E$54:$AI$63,MATCH($D26,Д2!$D$54:$D$63),MATCH(AH$7,Д2!$E$3:$AI$3))</f>
        <v/>
      </c>
      <c r="AI26" s="33"/>
      <c r="AJ26" s="143"/>
      <c r="AK26" s="145"/>
      <c r="AL26" s="145"/>
      <c r="AM26" s="150"/>
      <c r="AP26" s="136"/>
      <c r="AQ26" s="136"/>
      <c r="AR26" s="136"/>
      <c r="AS26" s="136"/>
      <c r="AT26" s="136"/>
      <c r="AU26" s="136"/>
      <c r="AV26" s="136"/>
      <c r="AW26" s="137"/>
      <c r="AX26" s="137"/>
    </row>
    <row r="27" spans="1:50" ht="16.5" customHeight="1" thickBot="1" x14ac:dyDescent="0.3">
      <c r="A27" s="147"/>
      <c r="B27" s="139" t="s">
        <v>89</v>
      </c>
      <c r="C27" s="170">
        <v>5</v>
      </c>
      <c r="D27" s="49">
        <v>9</v>
      </c>
      <c r="E27" s="62" t="str">
        <f>INDEX(Д2!$E$54:$AI$63,MATCH($D27,Д2!$D54:$D$63),MATCH(E$7,Д2!$E$3:$AI$3))</f>
        <v>-</v>
      </c>
      <c r="F27" s="28" t="str">
        <f>INDEX(Д2!$E$54:$AI$63,MATCH($D27,Д2!$D54:$D$63),MATCH(F$7,Д2!$E$3:$AI$3))</f>
        <v>-</v>
      </c>
      <c r="G27" s="28" t="str">
        <f>INDEX(Д2!$E$54:$AI$63,MATCH($D27,Д2!$D54:$D$63),MATCH(G$7,Д2!$E$3:$AI$3))</f>
        <v>-</v>
      </c>
      <c r="H27" s="28" t="str">
        <f>INDEX(Д2!$E$54:$AI$63,MATCH($D27,Д2!$D54:$D$63),MATCH(H$7,Д2!$E$3:$AI$3))</f>
        <v>-</v>
      </c>
      <c r="I27" s="28" t="str">
        <f>INDEX(Д2!$E$54:$AI$63,MATCH($D27,Д2!$D54:$D$63),MATCH(I$7,Д2!$E$3:$AI$3))</f>
        <v>-</v>
      </c>
      <c r="J27" s="28" t="str">
        <f>INDEX(Д2!$E$54:$AI$63,MATCH($D27,Д2!$D54:$D$63),MATCH(J$7,Д2!$E$3:$AI$3))</f>
        <v>-</v>
      </c>
      <c r="K27" s="28" t="str">
        <f>INDEX(Д2!$E$54:$AI$63,MATCH($D27,Д2!$D54:$D$63),MATCH(K$7,Д2!$E$3:$AI$3))</f>
        <v>-</v>
      </c>
      <c r="L27" s="28" t="str">
        <f>INDEX(Д2!$E$54:$AI$63,MATCH($D27,Д2!$D54:$D$63),MATCH(L$7,Д2!$E$3:$AI$3))</f>
        <v>-</v>
      </c>
      <c r="M27" s="28" t="str">
        <f>INDEX(Д2!$E$54:$AI$63,MATCH($D27,Д2!$D54:$D$63),MATCH(M$7,Д2!$E$3:$AI$3))</f>
        <v>-</v>
      </c>
      <c r="N27" s="28" t="str">
        <f>INDEX(Д2!$E$54:$AI$63,MATCH($D27,Д2!$D54:$D$63),MATCH(N$7,Д2!$E$3:$AI$3))</f>
        <v>-</v>
      </c>
      <c r="O27" s="28" t="str">
        <f>INDEX(Д2!$E$54:$AI$63,MATCH($D27,Д2!$D54:$D$63),MATCH(O$7,Д2!$E$3:$AI$3))</f>
        <v>-</v>
      </c>
      <c r="P27" s="28" t="str">
        <f>INDEX(Д2!$E$54:$AI$63,MATCH($D27,Д2!$D54:$D$63),MATCH(P$7,Д2!$E$3:$AI$3))</f>
        <v>-</v>
      </c>
      <c r="Q27" s="28" t="str">
        <f>INDEX(Д2!$E$54:$AI$63,MATCH($D27,Д2!$D54:$D$63),MATCH(Q$7,Д2!$E$3:$AI$3))</f>
        <v>-</v>
      </c>
      <c r="R27" s="28" t="str">
        <f>INDEX(Д2!$E$54:$AI$63,MATCH($D27,Д2!$D54:$D$63),MATCH(R$7,Д2!$E$3:$AI$3))</f>
        <v>-</v>
      </c>
      <c r="S27" s="28" t="str">
        <f>INDEX(Д2!$E$54:$AI$63,MATCH($D27,Д2!$D54:$D$63),MATCH(S$7,Д2!$E$3:$AI$3))</f>
        <v>-</v>
      </c>
      <c r="T27" s="28" t="str">
        <f>INDEX(Д2!$E$54:$AI$63,MATCH($D27,Д2!$D54:$D$63),MATCH(T$7,Д2!$E$3:$AI$3))</f>
        <v>-</v>
      </c>
      <c r="U27" s="28" t="str">
        <f>INDEX(Д2!$E$54:$AI$63,MATCH($D27,Д2!$D54:$D$63),MATCH(U$7,Д2!$E$3:$AI$3))</f>
        <v>-</v>
      </c>
      <c r="V27" s="28" t="str">
        <f>INDEX(Д2!$E$54:$AI$63,MATCH($D27,Д2!$D54:$D$63),MATCH(V$7,Д2!$E$3:$AI$3))</f>
        <v>-</v>
      </c>
      <c r="W27" s="28" t="str">
        <f>INDEX(Д2!$E$54:$AI$63,MATCH($D27,Д2!$D54:$D$63),MATCH(W$7,Д2!$E$3:$AI$3))</f>
        <v>-</v>
      </c>
      <c r="X27" s="28" t="str">
        <f>INDEX(Д2!$E$54:$AI$63,MATCH($D27,Д2!$D54:$D$63),MATCH(X$7,Д2!$E$3:$AI$3))</f>
        <v>-</v>
      </c>
      <c r="Y27" s="28" t="str">
        <f>INDEX(Д2!$E$54:$AI$63,MATCH($D27,Д2!$D54:$D$63),MATCH(Y$7,Д2!$E$3:$AI$3))</f>
        <v>-</v>
      </c>
      <c r="Z27" s="28" t="str">
        <f>INDEX(Д2!$E$54:$AI$63,MATCH($D27,Д2!$D54:$D$63),MATCH(Z$7,Д2!$E$3:$AI$3))</f>
        <v>-</v>
      </c>
      <c r="AA27" s="28" t="str">
        <f>INDEX(Д2!$E$54:$AI$63,MATCH($D27,Д2!$D54:$D$63),MATCH(AA$7,Д2!$E$3:$AI$3))</f>
        <v>-</v>
      </c>
      <c r="AB27" s="28" t="str">
        <f>INDEX(Д2!$E$54:$AI$63,MATCH($D27,Д2!$D54:$D$63),MATCH(AB$7,Д2!$E$3:$AI$3))</f>
        <v>-</v>
      </c>
      <c r="AC27" s="28" t="str">
        <f>INDEX(Д2!$E$54:$AI$63,MATCH($D27,Д2!$D54:$D$63),MATCH(AC$7,Д2!$E$3:$AI$3))</f>
        <v>-</v>
      </c>
      <c r="AD27" s="28" t="str">
        <f>INDEX(Д2!$E$54:$AI$63,MATCH($D27,Д2!$D54:$D$63),MATCH(AD$7,Д2!$E$3:$AI$3))</f>
        <v>-</v>
      </c>
      <c r="AE27" s="28" t="str">
        <f>INDEX(Д2!$E$54:$AI$63,MATCH($D27,Д2!$D54:$D$63),MATCH(AE$7,Д2!$E$3:$AI$3))</f>
        <v>-</v>
      </c>
      <c r="AF27" s="28" t="str">
        <f>INDEX(Д2!$E$54:$AI$63,MATCH($D27,Д2!$D54:$D$63),MATCH(AF$7,Д2!$E$3:$AI$3))</f>
        <v>-</v>
      </c>
      <c r="AG27" s="28" t="str">
        <f>INDEX(Д2!$E$54:$AI$63,MATCH($D27,Д2!$D54:$D$63),MATCH(AG$7,Д2!$E$3:$AI$3))</f>
        <v>-</v>
      </c>
      <c r="AH27" s="28" t="str">
        <f>INDEX(Д2!$E$54:$AI$63,MATCH($D27,Д2!$D54:$D$63),MATCH(AH$7,Д2!$E$3:$AI$3))</f>
        <v>-</v>
      </c>
      <c r="AI27" s="60"/>
      <c r="AJ27" s="143">
        <f>INDEX(Д2!AK$54:$AK$63,MATCH($C27,Д2!$C$54:$C$63),MATCH(E$7,Д2!$E$3:$AI$3))*AND(MONTH($E$8)=MONTH(Д2!$B$54))</f>
        <v>151</v>
      </c>
      <c r="AK27" s="144">
        <f>SUM(E27:AI28)</f>
        <v>0</v>
      </c>
      <c r="AL27" s="144"/>
      <c r="AM27" s="149">
        <f>SUM(F27:H28,J27:AI28)-AJ27+AL27-12</f>
        <v>-163</v>
      </c>
      <c r="AP27" s="136">
        <f t="shared" ref="AP27" si="50">COUNTIF($E27:$AI28,"12")</f>
        <v>0</v>
      </c>
      <c r="AQ27" s="136">
        <f t="shared" ref="AQ27" si="51">IF(COUNTIF($E27:$AI28,"СП")&gt;=1,(COUNTIF($E27:$AI28,"4")+COUNTIF($E27:$AI28,"8")-1)/2,(COUNTIF($E27:$AI28,"4")+COUNTIF($E27:$AI28,"8"))/2)</f>
        <v>-0.5</v>
      </c>
      <c r="AR27" s="136">
        <f t="shared" si="2"/>
        <v>0</v>
      </c>
      <c r="AS27" s="136">
        <f t="shared" ref="AS27" si="52">IF(COUNTIF($E27:$AI28,"СП")&gt;=1,SUMIF($E27:$AI28,"4",$E27:$AI28)+SUMIF($E27:$AI28,"8",$E27:$AI28)-8,SUMIF($E27:$AI28,"4",$E27:$AI28)+SUMIF($E27:$AI28,"8",$E27:$AI28))</f>
        <v>-8</v>
      </c>
      <c r="AT27" s="136">
        <f t="shared" ref="AT27" si="53">$AR27+$AS27</f>
        <v>-8</v>
      </c>
      <c r="AU27" s="136" t="str">
        <f t="shared" ref="AU27" si="54">IF(AK27=AT27,"+","!")</f>
        <v>!</v>
      </c>
      <c r="AV27" s="136">
        <f t="shared" ref="AV27" si="55">COUNTIF($E27:$AI28,"ОТ")</f>
        <v>0</v>
      </c>
      <c r="AW27" s="137" t="str">
        <f ca="1">IF(COUNTIF($A28:$AI28,"СП")&gt;0,IF(INDIRECT(ADDRESS(ROW(),MATCH("СП",$A28:$AI28),1))=8,"","!"),"")</f>
        <v>!</v>
      </c>
      <c r="AX27" s="137" t="str">
        <f ca="1">IF(COUNTIF($A28:$AI28,"СП")&gt;0,IF(INDIRECT(ADDRESS(ROW(),MATCH("СП",$A28:$AI28)-1,1))=4,"!",""),"")</f>
        <v/>
      </c>
    </row>
    <row r="28" spans="1:50" ht="16.5" thickBot="1" x14ac:dyDescent="0.3">
      <c r="A28" s="148"/>
      <c r="B28" s="140"/>
      <c r="C28" s="172"/>
      <c r="D28" s="50">
        <v>10</v>
      </c>
      <c r="E28" s="66" t="str">
        <f>INDEX(Д2!$E$54:$AI$63,MATCH($D28,Д2!$D$54:$D$63),MATCH(E$7,Д2!$E$3:$AI$3))</f>
        <v/>
      </c>
      <c r="F28" s="67" t="str">
        <f>INDEX(Д2!$E$54:$AI$63,MATCH($D28,Д2!$D$54:$D$63),MATCH(F$7,Д2!$E$3:$AI$3))</f>
        <v/>
      </c>
      <c r="G28" s="67" t="str">
        <f>INDEX(Д2!$E$54:$AI$63,MATCH($D28,Д2!$D$54:$D$63),MATCH(G$7,Д2!$E$3:$AI$3))</f>
        <v/>
      </c>
      <c r="H28" s="67" t="str">
        <f>INDEX(Д2!$E$54:$AI$63,MATCH($D28,Д2!$D$54:$D$63),MATCH(H$7,Д2!$E$3:$AI$3))</f>
        <v/>
      </c>
      <c r="I28" s="67" t="str">
        <f>INDEX(Д2!$E$54:$AI$63,MATCH($D28,Д2!$D$54:$D$63),MATCH(I$7,Д2!$E$3:$AI$3))</f>
        <v/>
      </c>
      <c r="J28" s="67" t="str">
        <f>INDEX(Д2!$E$54:$AI$63,MATCH($D28,Д2!$D$54:$D$63),MATCH(J$7,Д2!$E$3:$AI$3))</f>
        <v/>
      </c>
      <c r="K28" s="67" t="str">
        <f>INDEX(Д2!$E$54:$AI$63,MATCH($D28,Д2!$D$54:$D$63),MATCH(K$7,Д2!$E$3:$AI$3))</f>
        <v/>
      </c>
      <c r="L28" s="67" t="str">
        <f>INDEX(Д2!$E$54:$AI$63,MATCH($D28,Д2!$D$54:$D$63),MATCH(L$7,Д2!$E$3:$AI$3))</f>
        <v/>
      </c>
      <c r="M28" s="67" t="str">
        <f>INDEX(Д2!$E$54:$AI$63,MATCH($D28,Д2!$D$54:$D$63),MATCH(M$7,Д2!$E$3:$AI$3))</f>
        <v/>
      </c>
      <c r="N28" s="67" t="str">
        <f>INDEX(Д2!$E$54:$AI$63,MATCH($D28,Д2!$D$54:$D$63),MATCH(N$7,Д2!$E$3:$AI$3))</f>
        <v>СП</v>
      </c>
      <c r="O28" s="67" t="str">
        <f>INDEX(Д2!$E$54:$AI$63,MATCH($D28,Д2!$D$54:$D$63),MATCH(O$7,Д2!$E$3:$AI$3))</f>
        <v/>
      </c>
      <c r="P28" s="67" t="str">
        <f>INDEX(Д2!$E$54:$AI$63,MATCH($D28,Д2!$D$54:$D$63),MATCH(P$7,Д2!$E$3:$AI$3))</f>
        <v/>
      </c>
      <c r="Q28" s="67" t="str">
        <f>INDEX(Д2!$E$54:$AI$63,MATCH($D28,Д2!$D$54:$D$63),MATCH(Q$7,Д2!$E$3:$AI$3))</f>
        <v/>
      </c>
      <c r="R28" s="67" t="str">
        <f>INDEX(Д2!$E$54:$AI$63,MATCH($D28,Д2!$D$54:$D$63),MATCH(R$7,Д2!$E$3:$AI$3))</f>
        <v/>
      </c>
      <c r="S28" s="67" t="str">
        <f>INDEX(Д2!$E$54:$AI$63,MATCH($D28,Д2!$D$54:$D$63),MATCH(S$7,Д2!$E$3:$AI$3))</f>
        <v/>
      </c>
      <c r="T28" s="67" t="str">
        <f>INDEX(Д2!$E$54:$AI$63,MATCH($D28,Д2!$D$54:$D$63),MATCH(T$7,Д2!$E$3:$AI$3))</f>
        <v/>
      </c>
      <c r="U28" s="67" t="str">
        <f>INDEX(Д2!$E$54:$AI$63,MATCH($D28,Д2!$D$54:$D$63),MATCH(U$7,Д2!$E$3:$AI$3))</f>
        <v/>
      </c>
      <c r="V28" s="67" t="str">
        <f>INDEX(Д2!$E$54:$AI$63,MATCH($D28,Д2!$D$54:$D$63),MATCH(V$7,Д2!$E$3:$AI$3))</f>
        <v/>
      </c>
      <c r="W28" s="67" t="str">
        <f>INDEX(Д2!$E$54:$AI$63,MATCH($D28,Д2!$D$54:$D$63),MATCH(W$7,Д2!$E$3:$AI$3))</f>
        <v/>
      </c>
      <c r="X28" s="67" t="str">
        <f>INDEX(Д2!$E$54:$AI$63,MATCH($D28,Д2!$D$54:$D$63),MATCH(X$7,Д2!$E$3:$AI$3))</f>
        <v/>
      </c>
      <c r="Y28" s="67" t="str">
        <f>INDEX(Д2!$E$54:$AI$63,MATCH($D28,Д2!$D$54:$D$63),MATCH(Y$7,Д2!$E$3:$AI$3))</f>
        <v/>
      </c>
      <c r="Z28" s="67" t="str">
        <f>INDEX(Д2!$E$54:$AI$63,MATCH($D28,Д2!$D$54:$D$63),MATCH(Z$7,Д2!$E$3:$AI$3))</f>
        <v/>
      </c>
      <c r="AA28" s="67" t="str">
        <f>INDEX(Д2!$E$54:$AI$63,MATCH($D28,Д2!$D$54:$D$63),MATCH(AA$7,Д2!$E$3:$AI$3))</f>
        <v/>
      </c>
      <c r="AB28" s="67" t="str">
        <f>INDEX(Д2!$E$54:$AI$63,MATCH($D28,Д2!$D$54:$D$63),MATCH(AB$7,Д2!$E$3:$AI$3))</f>
        <v/>
      </c>
      <c r="AC28" s="67" t="str">
        <f>INDEX(Д2!$E$54:$AI$63,MATCH($D28,Д2!$D$54:$D$63),MATCH(AC$7,Д2!$E$3:$AI$3))</f>
        <v/>
      </c>
      <c r="AD28" s="67" t="str">
        <f>INDEX(Д2!$E$54:$AI$63,MATCH($D28,Д2!$D$54:$D$63),MATCH(AD$7,Д2!$E$3:$AI$3))</f>
        <v/>
      </c>
      <c r="AE28" s="67" t="str">
        <f>INDEX(Д2!$E$54:$AI$63,MATCH($D28,Д2!$D$54:$D$63),MATCH(AE$7,Д2!$E$3:$AI$3))</f>
        <v/>
      </c>
      <c r="AF28" s="67" t="str">
        <f>INDEX(Д2!$E$54:$AI$63,MATCH($D28,Д2!$D$54:$D$63),MATCH(AF$7,Д2!$E$3:$AI$3))</f>
        <v/>
      </c>
      <c r="AG28" s="67" t="str">
        <f>INDEX(Д2!$E$54:$AI$63,MATCH($D28,Д2!$D$54:$D$63),MATCH(AG$7,Д2!$E$3:$AI$3))</f>
        <v/>
      </c>
      <c r="AH28" s="67" t="str">
        <f>INDEX(Д2!$E$54:$AI$63,MATCH($D28,Д2!$D$54:$D$63),MATCH(AH$7,Д2!$E$3:$AI$3))</f>
        <v/>
      </c>
      <c r="AI28" s="68"/>
      <c r="AJ28" s="153"/>
      <c r="AK28" s="158"/>
      <c r="AL28" s="158"/>
      <c r="AM28" s="150"/>
      <c r="AP28" s="136"/>
      <c r="AQ28" s="136"/>
      <c r="AR28" s="136"/>
      <c r="AS28" s="136"/>
      <c r="AT28" s="136"/>
      <c r="AU28" s="136"/>
      <c r="AV28" s="136"/>
      <c r="AW28" s="137"/>
      <c r="AX28" s="137"/>
    </row>
    <row r="29" spans="1:50" ht="17.25" customHeight="1" thickTop="1" thickBot="1" x14ac:dyDescent="0.3">
      <c r="A29" s="146" t="s">
        <v>102</v>
      </c>
      <c r="B29" s="151" t="s">
        <v>90</v>
      </c>
      <c r="C29" s="173">
        <v>1</v>
      </c>
      <c r="D29" s="49">
        <v>1</v>
      </c>
      <c r="E29" s="64">
        <f ca="1">INDEX(Д3!$E$54:$AI$63,MATCH($D29,Д3!$D$54:$D$63),MATCH(E$7,Д3!$E$3:$AI$3))</f>
        <v>12</v>
      </c>
      <c r="F29" s="27">
        <f ca="1">INDEX(Д3!$E$54:$AI$63,MATCH($D29,Д3!$D$54:$D$63),MATCH(F$7,Д3!$E$3:$AI$3))</f>
        <v>0</v>
      </c>
      <c r="G29" s="27">
        <f ca="1">INDEX(Д3!$E$54:$AI$63,MATCH($D29,Д3!$D$54:$D$63),MATCH(G$7,Д3!$E$3:$AI$3))</f>
        <v>0</v>
      </c>
      <c r="H29" s="27">
        <f ca="1">INDEX(Д3!$E$54:$AI$63,MATCH($D29,Д3!$D$54:$D$63),MATCH(H$7,Д3!$E$3:$AI$3))</f>
        <v>4</v>
      </c>
      <c r="I29" s="27">
        <f ca="1">INDEX(Д3!$E$54:$AI$63,MATCH($D29,Д3!$D$54:$D$63),MATCH(I$7,Д3!$E$3:$AI$3))</f>
        <v>8</v>
      </c>
      <c r="J29" s="27">
        <f ca="1">INDEX(Д3!$E$54:$AI$63,MATCH($D29,Д3!$D$54:$D$63),MATCH(J$7,Д3!$E$3:$AI$3))</f>
        <v>12</v>
      </c>
      <c r="K29" s="27">
        <f ca="1">INDEX(Д3!$E$54:$AI$63,MATCH($D29,Д3!$D$54:$D$63),MATCH(K$7,Д3!$E$3:$AI$3))</f>
        <v>4</v>
      </c>
      <c r="L29" s="27">
        <f ca="1">INDEX(Д3!$E$54:$AI$63,MATCH($D29,Д3!$D$54:$D$63),MATCH(L$7,Д3!$E$3:$AI$3))</f>
        <v>8</v>
      </c>
      <c r="M29" s="27">
        <f ca="1">INDEX(Д3!$E$54:$AI$63,MATCH($D29,Д3!$D$54:$D$63),MATCH(M$7,Д3!$E$3:$AI$3))</f>
        <v>12</v>
      </c>
      <c r="N29" s="27">
        <f ca="1">INDEX(Д3!$E$54:$AI$63,MATCH($D29,Д3!$D$54:$D$63),MATCH(N$7,Д3!$E$3:$AI$3))</f>
        <v>0</v>
      </c>
      <c r="O29" s="27">
        <f ca="1">INDEX(Д3!$E$54:$AI$63,MATCH($D29,Д3!$D$54:$D$63),MATCH(O$7,Д3!$E$3:$AI$3))</f>
        <v>0</v>
      </c>
      <c r="P29" s="27">
        <f ca="1">INDEX(Д3!$E$54:$AI$63,MATCH($D29,Д3!$D$54:$D$63),MATCH(P$7,Д3!$E$3:$AI$3))</f>
        <v>4</v>
      </c>
      <c r="Q29" s="27">
        <f ca="1">INDEX(Д3!$E$54:$AI$63,MATCH($D29,Д3!$D$54:$D$63),MATCH(Q$7,Д3!$E$3:$AI$3))</f>
        <v>8</v>
      </c>
      <c r="R29" s="27">
        <f ca="1">INDEX(Д3!$E$54:$AI$63,MATCH($D29,Д3!$D$54:$D$63),MATCH(R$7,Д3!$E$3:$AI$3))</f>
        <v>12</v>
      </c>
      <c r="S29" s="27">
        <f ca="1">INDEX(Д3!$E$54:$AI$63,MATCH($D29,Д3!$D$54:$D$63),MATCH(S$7,Д3!$E$3:$AI$3))</f>
        <v>4</v>
      </c>
      <c r="T29" s="27">
        <f ca="1">INDEX(Д3!$E$54:$AI$63,MATCH($D29,Д3!$D$54:$D$63),MATCH(T$7,Д3!$E$3:$AI$3))</f>
        <v>8</v>
      </c>
      <c r="U29" s="27">
        <f ca="1">INDEX(Д3!$E$54:$AI$63,MATCH($D29,Д3!$D$54:$D$63),MATCH(U$7,Д3!$E$3:$AI$3))</f>
        <v>12</v>
      </c>
      <c r="V29" s="27">
        <f ca="1">INDEX(Д3!$E$54:$AI$63,MATCH($D29,Д3!$D$54:$D$63),MATCH(V$7,Д3!$E$3:$AI$3))</f>
        <v>0</v>
      </c>
      <c r="W29" s="27">
        <f ca="1">INDEX(Д3!$E$54:$AI$63,MATCH($D29,Д3!$D$54:$D$63),MATCH(W$7,Д3!$E$3:$AI$3))</f>
        <v>0</v>
      </c>
      <c r="X29" s="27">
        <f ca="1">INDEX(Д3!$E$54:$AI$63,MATCH($D29,Д3!$D$54:$D$63),MATCH(X$7,Д3!$E$3:$AI$3))</f>
        <v>4</v>
      </c>
      <c r="Y29" s="27">
        <f ca="1">INDEX(Д3!$E$54:$AI$63,MATCH($D29,Д3!$D$54:$D$63),MATCH(Y$7,Д3!$E$3:$AI$3))</f>
        <v>8</v>
      </c>
      <c r="Z29" s="27">
        <f ca="1">INDEX(Д3!$E$54:$AI$63,MATCH($D29,Д3!$D$54:$D$63),MATCH(Z$7,Д3!$E$3:$AI$3))</f>
        <v>12</v>
      </c>
      <c r="AA29" s="27">
        <f ca="1">INDEX(Д3!$E$54:$AI$63,MATCH($D29,Д3!$D$54:$D$63),MATCH(AA$7,Д3!$E$3:$AI$3))</f>
        <v>4</v>
      </c>
      <c r="AB29" s="27">
        <f ca="1">INDEX(Д3!$E$54:$AI$63,MATCH($D29,Д3!$D$54:$D$63),MATCH(AB$7,Д3!$E$3:$AI$3))</f>
        <v>8</v>
      </c>
      <c r="AC29" s="27">
        <f ca="1">INDEX(Д3!$E$54:$AI$63,MATCH($D29,Д3!$D$54:$D$63),MATCH(AC$7,Д3!$E$3:$AI$3))</f>
        <v>12</v>
      </c>
      <c r="AD29" s="27">
        <f ca="1">INDEX(Д3!$E$54:$AI$63,MATCH($D29,Д3!$D$54:$D$63),MATCH(AD$7,Д3!$E$3:$AI$3))</f>
        <v>0</v>
      </c>
      <c r="AE29" s="27">
        <f ca="1">INDEX(Д3!$E$54:$AI$63,MATCH($D29,Д3!$D$54:$D$63),MATCH(AE$7,Д3!$E$3:$AI$3))</f>
        <v>0</v>
      </c>
      <c r="AF29" s="27">
        <f ca="1">INDEX(Д3!$E$54:$AI$63,MATCH($D29,Д3!$D$54:$D$63),MATCH(AF$7,Д3!$E$3:$AI$3))</f>
        <v>4</v>
      </c>
      <c r="AG29" s="27">
        <f ca="1">INDEX(Д3!$E$54:$AI$63,MATCH($D29,Д3!$D$54:$D$63),MATCH(AG$7,Д3!$E$3:$AI$3))</f>
        <v>8</v>
      </c>
      <c r="AH29" s="27">
        <f ca="1">INDEX(Д3!$E$54:$AI$63,MATCH($D29,Д3!$D$54:$D$63),MATCH(AH$7,Д3!$E$3:$AI$3))</f>
        <v>12</v>
      </c>
      <c r="AI29" s="32"/>
      <c r="AJ29" s="157">
        <f>INDEX(Д3!AK$54:$AK$63,MATCH($C29,Д3!$C$54:$C$63),MATCH(E$7,Д3!$E$3:$AI$3))*AND(MONTH($E$8)=MONTH(Д3!$B$54))</f>
        <v>151</v>
      </c>
      <c r="AK29" s="157">
        <f ca="1">SUM(E29:AI30)</f>
        <v>180</v>
      </c>
      <c r="AL29" s="145"/>
      <c r="AM29" s="149">
        <f ca="1">SUM(F29:H30,J29:AI30)-AJ29+AL29-12</f>
        <v>-3</v>
      </c>
      <c r="AP29" s="136">
        <f t="shared" ref="AP29" ca="1" si="56">COUNTIF($E29:$AI30,"12")</f>
        <v>8</v>
      </c>
      <c r="AQ29" s="136">
        <f t="shared" ref="AQ29" ca="1" si="57">IF(COUNTIF($E29:$AI30,"СП")&gt;=1,(COUNTIF($E29:$AI30,"4")+COUNTIF($E29:$AI30,"8")-1)/2,(COUNTIF($E29:$AI30,"4")+COUNTIF($E29:$AI30,"8"))/2)</f>
        <v>6.5</v>
      </c>
      <c r="AR29" s="136">
        <f t="shared" ca="1" si="2"/>
        <v>96</v>
      </c>
      <c r="AS29" s="136">
        <f t="shared" ref="AS29" ca="1" si="58">IF(COUNTIF($E29:$AI30,"СП")&gt;=1,SUMIF($E29:$AI30,"4",$E29:$AI30)+SUMIF($E29:$AI30,"8",$E29:$AI30)-8,SUMIF($E29:$AI30,"4",$E29:$AI30)+SUMIF($E29:$AI30,"8",$E29:$AI30))</f>
        <v>76</v>
      </c>
      <c r="AT29" s="136">
        <f t="shared" ref="AT29" ca="1" si="59">$AR29+$AS29</f>
        <v>172</v>
      </c>
      <c r="AU29" s="136" t="str">
        <f t="shared" ref="AU29" ca="1" si="60">IF(AK29=AT29,"+","!")</f>
        <v>!</v>
      </c>
      <c r="AV29" s="136">
        <f t="shared" ref="AV29" ca="1" si="61">COUNTIF($E29:$AI30,"ОТ")</f>
        <v>0</v>
      </c>
      <c r="AW29" s="137" t="str">
        <f ca="1">IF(COUNTIF($A30:$AI30,"СП")&gt;0,IF(INDIRECT(ADDRESS(ROW(),MATCH("СП",$A30:$AI30),1))=8,"","!"),"")</f>
        <v>!</v>
      </c>
      <c r="AX29" s="137" t="str">
        <f ca="1">IF(COUNTIF($A30:$AI30,"СП")&gt;0,IF(INDIRECT(ADDRESS(ROW(),MATCH("СП",$A30:$AI30)-1,1))=4,"!",""),"")</f>
        <v/>
      </c>
    </row>
    <row r="30" spans="1:50" ht="16.5" thickBot="1" x14ac:dyDescent="0.3">
      <c r="A30" s="147"/>
      <c r="B30" s="139"/>
      <c r="C30" s="171"/>
      <c r="D30" s="50">
        <v>2</v>
      </c>
      <c r="E30" s="63" t="str">
        <f>INDEX(Д3!$E$54:$AI$63,MATCH($D30,Д3!$D$54:$D$63),MATCH(E$7,Д3!$E$3:$AI$3))</f>
        <v/>
      </c>
      <c r="F30" s="29" t="str">
        <f>INDEX(Д3!$E$54:$AI$63,MATCH($D30,Д3!$D$54:$D$63),MATCH(F$7,Д3!$E$3:$AI$3))</f>
        <v/>
      </c>
      <c r="G30" s="29" t="str">
        <f>INDEX(Д3!$E$54:$AI$63,MATCH($D30,Д3!$D$54:$D$63),MATCH(G$7,Д3!$E$3:$AI$3))</f>
        <v/>
      </c>
      <c r="H30" s="29" t="str">
        <f>INDEX(Д3!$E$54:$AI$63,MATCH($D30,Д3!$D$54:$D$63),MATCH(H$7,Д3!$E$3:$AI$3))</f>
        <v/>
      </c>
      <c r="I30" s="29" t="str">
        <f>INDEX(Д3!$E$54:$AI$63,MATCH($D30,Д3!$D$54:$D$63),MATCH(I$7,Д3!$E$3:$AI$3))</f>
        <v/>
      </c>
      <c r="J30" s="29" t="str">
        <f>INDEX(Д3!$E$54:$AI$63,MATCH($D30,Д3!$D$54:$D$63),MATCH(J$7,Д3!$E$3:$AI$3))</f>
        <v>СП</v>
      </c>
      <c r="K30" s="29" t="str">
        <f>INDEX(Д3!$E$54:$AI$63,MATCH($D30,Д3!$D$54:$D$63),MATCH(K$7,Д3!$E$3:$AI$3))</f>
        <v/>
      </c>
      <c r="L30" s="29" t="str">
        <f>INDEX(Д3!$E$54:$AI$63,MATCH($D30,Д3!$D$54:$D$63),MATCH(L$7,Д3!$E$3:$AI$3))</f>
        <v/>
      </c>
      <c r="M30" s="29" t="str">
        <f>INDEX(Д3!$E$54:$AI$63,MATCH($D30,Д3!$D$54:$D$63),MATCH(M$7,Д3!$E$3:$AI$3))</f>
        <v/>
      </c>
      <c r="N30" s="29" t="str">
        <f>INDEX(Д3!$E$54:$AI$63,MATCH($D30,Д3!$D$54:$D$63),MATCH(N$7,Д3!$E$3:$AI$3))</f>
        <v/>
      </c>
      <c r="O30" s="29" t="str">
        <f>INDEX(Д3!$E$54:$AI$63,MATCH($D30,Д3!$D$54:$D$63),MATCH(O$7,Д3!$E$3:$AI$3))</f>
        <v/>
      </c>
      <c r="P30" s="29" t="str">
        <f>INDEX(Д3!$E$54:$AI$63,MATCH($D30,Д3!$D$54:$D$63),MATCH(P$7,Д3!$E$3:$AI$3))</f>
        <v/>
      </c>
      <c r="Q30" s="29" t="str">
        <f>INDEX(Д3!$E$54:$AI$63,MATCH($D30,Д3!$D$54:$D$63),MATCH(Q$7,Д3!$E$3:$AI$3))</f>
        <v/>
      </c>
      <c r="R30" s="29" t="str">
        <f>INDEX(Д3!$E$54:$AI$63,MATCH($D30,Д3!$D$54:$D$63),MATCH(R$7,Д3!$E$3:$AI$3))</f>
        <v/>
      </c>
      <c r="S30" s="29" t="str">
        <f>INDEX(Д3!$E$54:$AI$63,MATCH($D30,Д3!$D$54:$D$63),MATCH(S$7,Д3!$E$3:$AI$3))</f>
        <v/>
      </c>
      <c r="T30" s="29" t="str">
        <f>INDEX(Д3!$E$54:$AI$63,MATCH($D30,Д3!$D$54:$D$63),MATCH(T$7,Д3!$E$3:$AI$3))</f>
        <v/>
      </c>
      <c r="U30" s="29" t="str">
        <f>INDEX(Д3!$E$54:$AI$63,MATCH($D30,Д3!$D$54:$D$63),MATCH(U$7,Д3!$E$3:$AI$3))</f>
        <v/>
      </c>
      <c r="V30" s="29" t="str">
        <f>INDEX(Д3!$E$54:$AI$63,MATCH($D30,Д3!$D$54:$D$63),MATCH(V$7,Д3!$E$3:$AI$3))</f>
        <v/>
      </c>
      <c r="W30" s="29" t="str">
        <f>INDEX(Д3!$E$54:$AI$63,MATCH($D30,Д3!$D$54:$D$63),MATCH(W$7,Д3!$E$3:$AI$3))</f>
        <v/>
      </c>
      <c r="X30" s="29" t="str">
        <f>INDEX(Д3!$E$54:$AI$63,MATCH($D30,Д3!$D$54:$D$63),MATCH(X$7,Д3!$E$3:$AI$3))</f>
        <v/>
      </c>
      <c r="Y30" s="29" t="str">
        <f>INDEX(Д3!$E$54:$AI$63,MATCH($D30,Д3!$D$54:$D$63),MATCH(Y$7,Д3!$E$3:$AI$3))</f>
        <v/>
      </c>
      <c r="Z30" s="29" t="str">
        <f>INDEX(Д3!$E$54:$AI$63,MATCH($D30,Д3!$D$54:$D$63),MATCH(Z$7,Д3!$E$3:$AI$3))</f>
        <v/>
      </c>
      <c r="AA30" s="29" t="str">
        <f>INDEX(Д3!$E$54:$AI$63,MATCH($D30,Д3!$D$54:$D$63),MATCH(AA$7,Д3!$E$3:$AI$3))</f>
        <v/>
      </c>
      <c r="AB30" s="29" t="str">
        <f>INDEX(Д3!$E$54:$AI$63,MATCH($D30,Д3!$D$54:$D$63),MATCH(AB$7,Д3!$E$3:$AI$3))</f>
        <v/>
      </c>
      <c r="AC30" s="29" t="str">
        <f>INDEX(Д3!$E$54:$AI$63,MATCH($D30,Д3!$D$54:$D$63),MATCH(AC$7,Д3!$E$3:$AI$3))</f>
        <v/>
      </c>
      <c r="AD30" s="29" t="str">
        <f>INDEX(Д3!$E$54:$AI$63,MATCH($D30,Д3!$D$54:$D$63),MATCH(AD$7,Д3!$E$3:$AI$3))</f>
        <v/>
      </c>
      <c r="AE30" s="29" t="str">
        <f>INDEX(Д3!$E$54:$AI$63,MATCH($D30,Д3!$D$54:$D$63),MATCH(AE$7,Д3!$E$3:$AI$3))</f>
        <v/>
      </c>
      <c r="AF30" s="29" t="str">
        <f>INDEX(Д3!$E$54:$AI$63,MATCH($D30,Д3!$D$54:$D$63),MATCH(AF$7,Д3!$E$3:$AI$3))</f>
        <v/>
      </c>
      <c r="AG30" s="29" t="str">
        <f>INDEX(Д3!$E$54:$AI$63,MATCH($D30,Д3!$D$54:$D$63),MATCH(AG$7,Д3!$E$3:$AI$3))</f>
        <v/>
      </c>
      <c r="AH30" s="29" t="str">
        <f>INDEX(Д3!$E$54:$AI$63,MATCH($D30,Д3!$D$54:$D$63),MATCH(AH$7,Д3!$E$3:$AI$3))</f>
        <v/>
      </c>
      <c r="AI30" s="61"/>
      <c r="AJ30" s="143"/>
      <c r="AK30" s="143"/>
      <c r="AL30" s="143"/>
      <c r="AM30" s="150"/>
      <c r="AP30" s="136"/>
      <c r="AQ30" s="136"/>
      <c r="AR30" s="136"/>
      <c r="AS30" s="136"/>
      <c r="AT30" s="136"/>
      <c r="AU30" s="136"/>
      <c r="AV30" s="136"/>
      <c r="AW30" s="137"/>
      <c r="AX30" s="137"/>
    </row>
    <row r="31" spans="1:50" ht="16.5" thickBot="1" x14ac:dyDescent="0.3">
      <c r="A31" s="147"/>
      <c r="B31" s="139" t="s">
        <v>91</v>
      </c>
      <c r="C31" s="170">
        <v>2</v>
      </c>
      <c r="D31" s="49">
        <v>3</v>
      </c>
      <c r="E31" s="64">
        <f ca="1">INDEX(Д3!$E$54:$AI$63,MATCH($D31,Д3!$D$54:$D$63),MATCH(E$7,Д3!$E$3:$AI$3))</f>
        <v>0</v>
      </c>
      <c r="F31" s="27">
        <f ca="1">INDEX(Д3!$E$54:$AI$63,MATCH($D31,Д3!$D$54:$D$63),MATCH(F$7,Д3!$E$3:$AI$3))</f>
        <v>4</v>
      </c>
      <c r="G31" s="27">
        <f ca="1">INDEX(Д3!$E$54:$AI$63,MATCH($D31,Д3!$D$54:$D$63),MATCH(G$7,Д3!$E$3:$AI$3))</f>
        <v>8</v>
      </c>
      <c r="H31" s="27">
        <f ca="1">INDEX(Д3!$E$54:$AI$63,MATCH($D31,Д3!$D$54:$D$63),MATCH(H$7,Д3!$E$3:$AI$3))</f>
        <v>12</v>
      </c>
      <c r="I31" s="27">
        <f ca="1">INDEX(Д3!$E$54:$AI$63,MATCH($D31,Д3!$D$54:$D$63),MATCH(I$7,Д3!$E$3:$AI$3))</f>
        <v>4</v>
      </c>
      <c r="J31" s="27">
        <f ca="1">INDEX(Д3!$E$54:$AI$63,MATCH($D31,Д3!$D$54:$D$63),MATCH(J$7,Д3!$E$3:$AI$3))</f>
        <v>8</v>
      </c>
      <c r="K31" s="27">
        <f ca="1">INDEX(Д3!$E$54:$AI$63,MATCH($D31,Д3!$D$54:$D$63),MATCH(K$7,Д3!$E$3:$AI$3))</f>
        <v>12</v>
      </c>
      <c r="L31" s="27">
        <f ca="1">INDEX(Д3!$E$54:$AI$63,MATCH($D31,Д3!$D$54:$D$63),MATCH(L$7,Д3!$E$3:$AI$3))</f>
        <v>0</v>
      </c>
      <c r="M31" s="27">
        <f ca="1">INDEX(Д3!$E$54:$AI$63,MATCH($D31,Д3!$D$54:$D$63),MATCH(M$7,Д3!$E$3:$AI$3))</f>
        <v>0</v>
      </c>
      <c r="N31" s="27">
        <f ca="1">INDEX(Д3!$E$54:$AI$63,MATCH($D31,Д3!$D$54:$D$63),MATCH(N$7,Д3!$E$3:$AI$3))</f>
        <v>4</v>
      </c>
      <c r="O31" s="27">
        <f ca="1">INDEX(Д3!$E$54:$AI$63,MATCH($D31,Д3!$D$54:$D$63),MATCH(O$7,Д3!$E$3:$AI$3))</f>
        <v>8</v>
      </c>
      <c r="P31" s="27">
        <f ca="1">INDEX(Д3!$E$54:$AI$63,MATCH($D31,Д3!$D$54:$D$63),MATCH(P$7,Д3!$E$3:$AI$3))</f>
        <v>12</v>
      </c>
      <c r="Q31" s="27">
        <f ca="1">INDEX(Д3!$E$54:$AI$63,MATCH($D31,Д3!$D$54:$D$63),MATCH(Q$7,Д3!$E$3:$AI$3))</f>
        <v>4</v>
      </c>
      <c r="R31" s="27">
        <f ca="1">INDEX(Д3!$E$54:$AI$63,MATCH($D31,Д3!$D$54:$D$63),MATCH(R$7,Д3!$E$3:$AI$3))</f>
        <v>8</v>
      </c>
      <c r="S31" s="27">
        <f ca="1">INDEX(Д3!$E$54:$AI$63,MATCH($D31,Д3!$D$54:$D$63),MATCH(S$7,Д3!$E$3:$AI$3))</f>
        <v>12</v>
      </c>
      <c r="T31" s="27">
        <f ca="1">INDEX(Д3!$E$54:$AI$63,MATCH($D31,Д3!$D$54:$D$63),MATCH(T$7,Д3!$E$3:$AI$3))</f>
        <v>0</v>
      </c>
      <c r="U31" s="27">
        <f ca="1">INDEX(Д3!$E$54:$AI$63,MATCH($D31,Д3!$D$54:$D$63),MATCH(U$7,Д3!$E$3:$AI$3))</f>
        <v>0</v>
      </c>
      <c r="V31" s="27">
        <f ca="1">INDEX(Д3!$E$54:$AI$63,MATCH($D31,Д3!$D$54:$D$63),MATCH(V$7,Д3!$E$3:$AI$3))</f>
        <v>4</v>
      </c>
      <c r="W31" s="27">
        <f ca="1">INDEX(Д3!$E$54:$AI$63,MATCH($D31,Д3!$D$54:$D$63),MATCH(W$7,Д3!$E$3:$AI$3))</f>
        <v>8</v>
      </c>
      <c r="X31" s="27">
        <f ca="1">INDEX(Д3!$E$54:$AI$63,MATCH($D31,Д3!$D$54:$D$63),MATCH(X$7,Д3!$E$3:$AI$3))</f>
        <v>12</v>
      </c>
      <c r="Y31" s="27">
        <f ca="1">INDEX(Д3!$E$54:$AI$63,MATCH($D31,Д3!$D$54:$D$63),MATCH(Y$7,Д3!$E$3:$AI$3))</f>
        <v>4</v>
      </c>
      <c r="Z31" s="27">
        <f ca="1">INDEX(Д3!$E$54:$AI$63,MATCH($D31,Д3!$D$54:$D$63),MATCH(Z$7,Д3!$E$3:$AI$3))</f>
        <v>8</v>
      </c>
      <c r="AA31" s="27">
        <f ca="1">INDEX(Д3!$E$54:$AI$63,MATCH($D31,Д3!$D$54:$D$63),MATCH(AA$7,Д3!$E$3:$AI$3))</f>
        <v>12</v>
      </c>
      <c r="AB31" s="27">
        <f ca="1">INDEX(Д3!$E$54:$AI$63,MATCH($D31,Д3!$D$54:$D$63),MATCH(AB$7,Д3!$E$3:$AI$3))</f>
        <v>0</v>
      </c>
      <c r="AC31" s="27">
        <f ca="1">INDEX(Д3!$E$54:$AI$63,MATCH($D31,Д3!$D$54:$D$63),MATCH(AC$7,Д3!$E$3:$AI$3))</f>
        <v>0</v>
      </c>
      <c r="AD31" s="27">
        <f ca="1">INDEX(Д3!$E$54:$AI$63,MATCH($D31,Д3!$D$54:$D$63),MATCH(AD$7,Д3!$E$3:$AI$3))</f>
        <v>4</v>
      </c>
      <c r="AE31" s="27">
        <f ca="1">INDEX(Д3!$E$54:$AI$63,MATCH($D31,Д3!$D$54:$D$63),MATCH(AE$7,Д3!$E$3:$AI$3))</f>
        <v>8</v>
      </c>
      <c r="AF31" s="27">
        <f ca="1">INDEX(Д3!$E$54:$AI$63,MATCH($D31,Д3!$D$54:$D$63),MATCH(AF$7,Д3!$E$3:$AI$3))</f>
        <v>12</v>
      </c>
      <c r="AG31" s="27">
        <f ca="1">INDEX(Д3!$E$54:$AI$63,MATCH($D31,Д3!$D$54:$D$63),MATCH(AG$7,Д3!$E$3:$AI$3))</f>
        <v>4</v>
      </c>
      <c r="AH31" s="27">
        <f ca="1">INDEX(Д3!$E$54:$AI$63,MATCH($D31,Д3!$D$54:$D$63),MATCH(AH$7,Д3!$E$3:$AI$3))</f>
        <v>8</v>
      </c>
      <c r="AI31" s="32"/>
      <c r="AJ31" s="143">
        <f>INDEX(Д3!AK$54:$AK$63,MATCH($C31,Д3!$C$54:$C$63),MATCH(E$7,Д3!$E$3:$AI$3))*AND(MONTH($E$8)=MONTH(Д3!$B$54))</f>
        <v>151</v>
      </c>
      <c r="AK31" s="143">
        <f ca="1">SUM(E31:AI32)</f>
        <v>180</v>
      </c>
      <c r="AL31" s="143"/>
      <c r="AM31" s="149">
        <f ca="1">SUM(F31:H32,J31:AI32)-AJ31+AL31-12</f>
        <v>13</v>
      </c>
      <c r="AP31" s="136">
        <f t="shared" ref="AP31" ca="1" si="62">COUNTIF($E31:$AI32,"12")</f>
        <v>7</v>
      </c>
      <c r="AQ31" s="136">
        <f t="shared" ref="AQ31" ca="1" si="63">IF(COUNTIF($E31:$AI32,"СП")&gt;=1,(COUNTIF($E31:$AI32,"4")+COUNTIF($E31:$AI32,"8")-1)/2,(COUNTIF($E31:$AI32,"4")+COUNTIF($E31:$AI32,"8"))/2)</f>
        <v>7.5</v>
      </c>
      <c r="AR31" s="136">
        <f t="shared" ca="1" si="2"/>
        <v>84</v>
      </c>
      <c r="AS31" s="136">
        <f t="shared" ref="AS31" ca="1" si="64">IF(COUNTIF($E31:$AI32,"СП")&gt;=1,SUMIF($E31:$AI32,"4",$E31:$AI32)+SUMIF($E31:$AI32,"8",$E31:$AI32)-8,SUMIF($E31:$AI32,"4",$E31:$AI32)+SUMIF($E31:$AI32,"8",$E31:$AI32))</f>
        <v>88</v>
      </c>
      <c r="AT31" s="136">
        <f t="shared" ref="AT31" ca="1" si="65">$AR31+$AS31</f>
        <v>172</v>
      </c>
      <c r="AU31" s="136" t="str">
        <f t="shared" ref="AU31" ca="1" si="66">IF(AK31=AT31,"+","!")</f>
        <v>!</v>
      </c>
      <c r="AV31" s="136">
        <f t="shared" ref="AV31" ca="1" si="67">COUNTIF($E31:$AI32,"ОТ")</f>
        <v>0</v>
      </c>
      <c r="AW31" s="137" t="str">
        <f ca="1">IF(COUNTIF($A32:$AI32,"СП")&gt;0,IF(INDIRECT(ADDRESS(ROW(),MATCH("СП",$A32:$AI32),1))=8,"","!"),"")</f>
        <v/>
      </c>
      <c r="AX31" s="137" t="str">
        <f ca="1">IF(COUNTIF($A32:$AI32,"СП")&gt;0,IF(INDIRECT(ADDRESS(ROW(),MATCH("СП",$A32:$AI32)-1,1))=4,"!",""),"")</f>
        <v>!</v>
      </c>
    </row>
    <row r="32" spans="1:50" ht="16.5" thickBot="1" x14ac:dyDescent="0.3">
      <c r="A32" s="147"/>
      <c r="B32" s="139"/>
      <c r="C32" s="171"/>
      <c r="D32" s="50">
        <v>4</v>
      </c>
      <c r="E32" s="65" t="str">
        <f>INDEX(Д3!$E$54:$AI$63,MATCH($D32,Д3!$D$54:$D$63),MATCH(E$7,Д3!$E$3:$AI$3))</f>
        <v/>
      </c>
      <c r="F32" s="30" t="str">
        <f>INDEX(Д3!$E$54:$AI$63,MATCH($D32,Д3!$D$54:$D$63),MATCH(F$7,Д3!$E$3:$AI$3))</f>
        <v/>
      </c>
      <c r="G32" s="30" t="str">
        <f>INDEX(Д3!$E$54:$AI$63,MATCH($D32,Д3!$D$54:$D$63),MATCH(G$7,Д3!$E$3:$AI$3))</f>
        <v/>
      </c>
      <c r="H32" s="30" t="str">
        <f>INDEX(Д3!$E$54:$AI$63,MATCH($D32,Д3!$D$54:$D$63),MATCH(H$7,Д3!$E$3:$AI$3))</f>
        <v/>
      </c>
      <c r="I32" s="30" t="str">
        <f>INDEX(Д3!$E$54:$AI$63,MATCH($D32,Д3!$D$54:$D$63),MATCH(I$7,Д3!$E$3:$AI$3))</f>
        <v/>
      </c>
      <c r="J32" s="30" t="str">
        <f>INDEX(Д3!$E$54:$AI$63,MATCH($D32,Д3!$D$54:$D$63),MATCH(J$7,Д3!$E$3:$AI$3))</f>
        <v/>
      </c>
      <c r="K32" s="30" t="str">
        <f>INDEX(Д3!$E$54:$AI$63,MATCH($D32,Д3!$D$54:$D$63),MATCH(K$7,Д3!$E$3:$AI$3))</f>
        <v>СП</v>
      </c>
      <c r="L32" s="30" t="str">
        <f>INDEX(Д3!$E$54:$AI$63,MATCH($D32,Д3!$D$54:$D$63),MATCH(L$7,Д3!$E$3:$AI$3))</f>
        <v/>
      </c>
      <c r="M32" s="30" t="str">
        <f>INDEX(Д3!$E$54:$AI$63,MATCH($D32,Д3!$D$54:$D$63),MATCH(M$7,Д3!$E$3:$AI$3))</f>
        <v/>
      </c>
      <c r="N32" s="30" t="str">
        <f>INDEX(Д3!$E$54:$AI$63,MATCH($D32,Д3!$D$54:$D$63),MATCH(N$7,Д3!$E$3:$AI$3))</f>
        <v/>
      </c>
      <c r="O32" s="30" t="str">
        <f>INDEX(Д3!$E$54:$AI$63,MATCH($D32,Д3!$D$54:$D$63),MATCH(O$7,Д3!$E$3:$AI$3))</f>
        <v/>
      </c>
      <c r="P32" s="30" t="str">
        <f>INDEX(Д3!$E$54:$AI$63,MATCH($D32,Д3!$D$54:$D$63),MATCH(P$7,Д3!$E$3:$AI$3))</f>
        <v/>
      </c>
      <c r="Q32" s="30" t="str">
        <f>INDEX(Д3!$E$54:$AI$63,MATCH($D32,Д3!$D$54:$D$63),MATCH(Q$7,Д3!$E$3:$AI$3))</f>
        <v/>
      </c>
      <c r="R32" s="30" t="str">
        <f>INDEX(Д3!$E$54:$AI$63,MATCH($D32,Д3!$D$54:$D$63),MATCH(R$7,Д3!$E$3:$AI$3))</f>
        <v/>
      </c>
      <c r="S32" s="30" t="str">
        <f>INDEX(Д3!$E$54:$AI$63,MATCH($D32,Д3!$D$54:$D$63),MATCH(S$7,Д3!$E$3:$AI$3))</f>
        <v/>
      </c>
      <c r="T32" s="30" t="str">
        <f>INDEX(Д3!$E$54:$AI$63,MATCH($D32,Д3!$D$54:$D$63),MATCH(T$7,Д3!$E$3:$AI$3))</f>
        <v/>
      </c>
      <c r="U32" s="30" t="str">
        <f>INDEX(Д3!$E$54:$AI$63,MATCH($D32,Д3!$D$54:$D$63),MATCH(U$7,Д3!$E$3:$AI$3))</f>
        <v/>
      </c>
      <c r="V32" s="30" t="str">
        <f>INDEX(Д3!$E$54:$AI$63,MATCH($D32,Д3!$D$54:$D$63),MATCH(V$7,Д3!$E$3:$AI$3))</f>
        <v/>
      </c>
      <c r="W32" s="30" t="str">
        <f>INDEX(Д3!$E$54:$AI$63,MATCH($D32,Д3!$D$54:$D$63),MATCH(W$7,Д3!$E$3:$AI$3))</f>
        <v/>
      </c>
      <c r="X32" s="30" t="str">
        <f>INDEX(Д3!$E$54:$AI$63,MATCH($D32,Д3!$D$54:$D$63),MATCH(X$7,Д3!$E$3:$AI$3))</f>
        <v/>
      </c>
      <c r="Y32" s="30" t="str">
        <f>INDEX(Д3!$E$54:$AI$63,MATCH($D32,Д3!$D$54:$D$63),MATCH(Y$7,Д3!$E$3:$AI$3))</f>
        <v/>
      </c>
      <c r="Z32" s="30" t="str">
        <f>INDEX(Д3!$E$54:$AI$63,MATCH($D32,Д3!$D$54:$D$63),MATCH(Z$7,Д3!$E$3:$AI$3))</f>
        <v/>
      </c>
      <c r="AA32" s="30" t="str">
        <f>INDEX(Д3!$E$54:$AI$63,MATCH($D32,Д3!$D$54:$D$63),MATCH(AA$7,Д3!$E$3:$AI$3))</f>
        <v/>
      </c>
      <c r="AB32" s="30" t="str">
        <f>INDEX(Д3!$E$54:$AI$63,MATCH($D32,Д3!$D$54:$D$63),MATCH(AB$7,Д3!$E$3:$AI$3))</f>
        <v/>
      </c>
      <c r="AC32" s="30" t="str">
        <f>INDEX(Д3!$E$54:$AI$63,MATCH($D32,Д3!$D$54:$D$63),MATCH(AC$7,Д3!$E$3:$AI$3))</f>
        <v/>
      </c>
      <c r="AD32" s="30" t="str">
        <f>INDEX(Д3!$E$54:$AI$63,MATCH($D32,Д3!$D$54:$D$63),MATCH(AD$7,Д3!$E$3:$AI$3))</f>
        <v/>
      </c>
      <c r="AE32" s="30" t="str">
        <f>INDEX(Д3!$E$54:$AI$63,MATCH($D32,Д3!$D$54:$D$63),MATCH(AE$7,Д3!$E$3:$AI$3))</f>
        <v/>
      </c>
      <c r="AF32" s="30" t="str">
        <f>INDEX(Д3!$E$54:$AI$63,MATCH($D32,Д3!$D$54:$D$63),MATCH(AF$7,Д3!$E$3:$AI$3))</f>
        <v/>
      </c>
      <c r="AG32" s="30" t="str">
        <f>INDEX(Д3!$E$54:$AI$63,MATCH($D32,Д3!$D$54:$D$63),MATCH(AG$7,Д3!$E$3:$AI$3))</f>
        <v/>
      </c>
      <c r="AH32" s="30" t="str">
        <f>INDEX(Д3!$E$54:$AI$63,MATCH($D32,Д3!$D$54:$D$63),MATCH(AH$7,Д3!$E$3:$AI$3))</f>
        <v/>
      </c>
      <c r="AI32" s="33"/>
      <c r="AJ32" s="143"/>
      <c r="AK32" s="143"/>
      <c r="AL32" s="143"/>
      <c r="AM32" s="150"/>
      <c r="AP32" s="136"/>
      <c r="AQ32" s="136"/>
      <c r="AR32" s="136"/>
      <c r="AS32" s="136"/>
      <c r="AT32" s="136"/>
      <c r="AU32" s="136"/>
      <c r="AV32" s="136"/>
      <c r="AW32" s="137"/>
      <c r="AX32" s="137"/>
    </row>
    <row r="33" spans="1:50" ht="16.5" customHeight="1" thickBot="1" x14ac:dyDescent="0.3">
      <c r="A33" s="147"/>
      <c r="B33" s="139" t="s">
        <v>92</v>
      </c>
      <c r="C33" s="170">
        <v>3</v>
      </c>
      <c r="D33" s="49">
        <v>5</v>
      </c>
      <c r="E33" s="62">
        <f ca="1">INDEX(Д3!$E$54:$AI$63,MATCH($D33,Д3!$D$54:$D$63),MATCH(E$7,Д3!$E$3:$AI$3))</f>
        <v>4</v>
      </c>
      <c r="F33" s="28">
        <f ca="1">INDEX(Д3!$E$54:$AI$63,MATCH($D33,Д3!$D$54:$D$63),MATCH(F$7,Д3!$E$3:$AI$3))</f>
        <v>8</v>
      </c>
      <c r="G33" s="28">
        <f ca="1">INDEX(Д3!$E$54:$AI$63,MATCH($D33,Д3!$D$54:$D$63),MATCH(G$7,Д3!$E$3:$AI$3))</f>
        <v>12</v>
      </c>
      <c r="H33" s="28">
        <f ca="1">INDEX(Д3!$E$54:$AI$63,MATCH($D33,Д3!$D$54:$D$63),MATCH(H$7,Д3!$E$3:$AI$3))</f>
        <v>0</v>
      </c>
      <c r="I33" s="28">
        <f ca="1">INDEX(Д3!$E$54:$AI$63,MATCH($D33,Д3!$D$54:$D$63),MATCH(I$7,Д3!$E$3:$AI$3))</f>
        <v>0</v>
      </c>
      <c r="J33" s="28">
        <f ca="1">INDEX(Д3!$E$54:$AI$63,MATCH($D33,Д3!$D$54:$D$63),MATCH(J$7,Д3!$E$3:$AI$3))</f>
        <v>4</v>
      </c>
      <c r="K33" s="28">
        <f ca="1">INDEX(Д3!$E$54:$AI$63,MATCH($D33,Д3!$D$54:$D$63),MATCH(K$7,Д3!$E$3:$AI$3))</f>
        <v>8</v>
      </c>
      <c r="L33" s="28">
        <f ca="1">INDEX(Д3!$E$54:$AI$63,MATCH($D33,Д3!$D$54:$D$63),MATCH(L$7,Д3!$E$3:$AI$3))</f>
        <v>12</v>
      </c>
      <c r="M33" s="28">
        <f ca="1">INDEX(Д3!$E$54:$AI$63,MATCH($D33,Д3!$D$54:$D$63),MATCH(M$7,Д3!$E$3:$AI$3))</f>
        <v>4</v>
      </c>
      <c r="N33" s="28">
        <f ca="1">INDEX(Д3!$E$54:$AI$63,MATCH($D33,Д3!$D$54:$D$63),MATCH(N$7,Д3!$E$3:$AI$3))</f>
        <v>8</v>
      </c>
      <c r="O33" s="28">
        <f ca="1">INDEX(Д3!$E$54:$AI$63,MATCH($D33,Д3!$D$54:$D$63),MATCH(O$7,Д3!$E$3:$AI$3))</f>
        <v>12</v>
      </c>
      <c r="P33" s="28">
        <f ca="1">INDEX(Д3!$E$54:$AI$63,MATCH($D33,Д3!$D$54:$D$63),MATCH(P$7,Д3!$E$3:$AI$3))</f>
        <v>0</v>
      </c>
      <c r="Q33" s="28">
        <f ca="1">INDEX(Д3!$E$54:$AI$63,MATCH($D33,Д3!$D$54:$D$63),MATCH(Q$7,Д3!$E$3:$AI$3))</f>
        <v>0</v>
      </c>
      <c r="R33" s="28">
        <f ca="1">INDEX(Д3!$E$54:$AI$63,MATCH($D33,Д3!$D$54:$D$63),MATCH(R$7,Д3!$E$3:$AI$3))</f>
        <v>4</v>
      </c>
      <c r="S33" s="28">
        <f ca="1">INDEX(Д3!$E$54:$AI$63,MATCH($D33,Д3!$D$54:$D$63),MATCH(S$7,Д3!$E$3:$AI$3))</f>
        <v>8</v>
      </c>
      <c r="T33" s="28">
        <f ca="1">INDEX(Д3!$E$54:$AI$63,MATCH($D33,Д3!$D$54:$D$63),MATCH(T$7,Д3!$E$3:$AI$3))</f>
        <v>12</v>
      </c>
      <c r="U33" s="28">
        <f ca="1">INDEX(Д3!$E$54:$AI$63,MATCH($D33,Д3!$D$54:$D$63),MATCH(U$7,Д3!$E$3:$AI$3))</f>
        <v>4</v>
      </c>
      <c r="V33" s="28">
        <f ca="1">INDEX(Д3!$E$54:$AI$63,MATCH($D33,Д3!$D$54:$D$63),MATCH(V$7,Д3!$E$3:$AI$3))</f>
        <v>8</v>
      </c>
      <c r="W33" s="28">
        <f ca="1">INDEX(Д3!$E$54:$AI$63,MATCH($D33,Д3!$D$54:$D$63),MATCH(W$7,Д3!$E$3:$AI$3))</f>
        <v>12</v>
      </c>
      <c r="X33" s="28">
        <f ca="1">INDEX(Д3!$E$54:$AI$63,MATCH($D33,Д3!$D$54:$D$63),MATCH(X$7,Д3!$E$3:$AI$3))</f>
        <v>0</v>
      </c>
      <c r="Y33" s="28">
        <f ca="1">INDEX(Д3!$E$54:$AI$63,MATCH($D33,Д3!$D$54:$D$63),MATCH(Y$7,Д3!$E$3:$AI$3))</f>
        <v>0</v>
      </c>
      <c r="Z33" s="28">
        <f ca="1">INDEX(Д3!$E$54:$AI$63,MATCH($D33,Д3!$D$54:$D$63),MATCH(Z$7,Д3!$E$3:$AI$3))</f>
        <v>4</v>
      </c>
      <c r="AA33" s="28">
        <f ca="1">INDEX(Д3!$E$54:$AI$63,MATCH($D33,Д3!$D$54:$D$63),MATCH(AA$7,Д3!$E$3:$AI$3))</f>
        <v>8</v>
      </c>
      <c r="AB33" s="28">
        <f ca="1">INDEX(Д3!$E$54:$AI$63,MATCH($D33,Д3!$D$54:$D$63),MATCH(AB$7,Д3!$E$3:$AI$3))</f>
        <v>12</v>
      </c>
      <c r="AC33" s="28">
        <f ca="1">INDEX(Д3!$E$54:$AI$63,MATCH($D33,Д3!$D$54:$D$63),MATCH(AC$7,Д3!$E$3:$AI$3))</f>
        <v>4</v>
      </c>
      <c r="AD33" s="28">
        <f ca="1">INDEX(Д3!$E$54:$AI$63,MATCH($D33,Д3!$D$54:$D$63),MATCH(AD$7,Д3!$E$3:$AI$3))</f>
        <v>8</v>
      </c>
      <c r="AE33" s="28">
        <f ca="1">INDEX(Д3!$E$54:$AI$63,MATCH($D33,Д3!$D$54:$D$63),MATCH(AE$7,Д3!$E$3:$AI$3))</f>
        <v>12</v>
      </c>
      <c r="AF33" s="28">
        <f ca="1">INDEX(Д3!$E$54:$AI$63,MATCH($D33,Д3!$D$54:$D$63),MATCH(AF$7,Д3!$E$3:$AI$3))</f>
        <v>0</v>
      </c>
      <c r="AG33" s="28">
        <f ca="1">INDEX(Д3!$E$54:$AI$63,MATCH($D33,Д3!$D$54:$D$63),MATCH(AG$7,Д3!$E$3:$AI$3))</f>
        <v>0</v>
      </c>
      <c r="AH33" s="28">
        <f ca="1">INDEX(Д3!$E$54:$AI$63,MATCH($D33,Д3!$D$54:$D$63),MATCH(AH$7,Д3!$E$3:$AI$3))</f>
        <v>4</v>
      </c>
      <c r="AI33" s="60"/>
      <c r="AJ33" s="143">
        <f>INDEX(Д3!AK$54:$AK$63,MATCH($C33,Д3!$C$54:$C$63),MATCH(E$7,Д3!$E$3:$AI$3))*AND(MONTH($E$8)=MONTH(Д3!$B$54))</f>
        <v>151</v>
      </c>
      <c r="AK33" s="143">
        <f ca="1">SUM(E33:AI34)</f>
        <v>172</v>
      </c>
      <c r="AL33" s="143"/>
      <c r="AM33" s="149">
        <f ca="1">SUM(F33:H34,J33:AI34)-AJ33+AL33-12</f>
        <v>5</v>
      </c>
      <c r="AP33" s="136">
        <f t="shared" ref="AP33" ca="1" si="68">COUNTIF($E33:$AI34,"12")</f>
        <v>7</v>
      </c>
      <c r="AQ33" s="136">
        <f t="shared" ref="AQ33" ca="1" si="69">IF(COUNTIF($E33:$AI34,"СП")&gt;=1,(COUNTIF($E33:$AI34,"4")+COUNTIF($E33:$AI34,"8")-1)/2,(COUNTIF($E33:$AI34,"4")+COUNTIF($E33:$AI34,"8"))/2)</f>
        <v>7</v>
      </c>
      <c r="AR33" s="136">
        <f t="shared" ca="1" si="2"/>
        <v>84</v>
      </c>
      <c r="AS33" s="136">
        <f t="shared" ref="AS33" ca="1" si="70">IF(COUNTIF($E33:$AI34,"СП")&gt;=1,SUMIF($E33:$AI34,"4",$E33:$AI34)+SUMIF($E33:$AI34,"8",$E33:$AI34)-8,SUMIF($E33:$AI34,"4",$E33:$AI34)+SUMIF($E33:$AI34,"8",$E33:$AI34))</f>
        <v>80</v>
      </c>
      <c r="AT33" s="136">
        <f t="shared" ref="AT33" ca="1" si="71">$AR33+$AS33</f>
        <v>164</v>
      </c>
      <c r="AU33" s="136" t="str">
        <f t="shared" ref="AU33" ca="1" si="72">IF(AK33=AT33,"+","!")</f>
        <v>!</v>
      </c>
      <c r="AV33" s="136">
        <f t="shared" ref="AV33" ca="1" si="73">COUNTIF($E33:$AI34,"ОТ")</f>
        <v>0</v>
      </c>
      <c r="AW33" s="137" t="str">
        <f ca="1">IF(COUNTIF($A34:$AI34,"СП")&gt;0,IF(INDIRECT(ADDRESS(ROW(),MATCH("СП",$A34:$AI34),1))=8,"","!"),"")</f>
        <v>!</v>
      </c>
      <c r="AX33" s="137" t="str">
        <f ca="1">IF(COUNTIF($A34:$AI34,"СП")&gt;0,IF(INDIRECT(ADDRESS(ROW(),MATCH("СП",$A34:$AI34)-1,1))=4,"!",""),"")</f>
        <v/>
      </c>
    </row>
    <row r="34" spans="1:50" ht="16.5" thickBot="1" x14ac:dyDescent="0.3">
      <c r="A34" s="147"/>
      <c r="B34" s="139"/>
      <c r="C34" s="171"/>
      <c r="D34" s="50">
        <v>6</v>
      </c>
      <c r="E34" s="63" t="str">
        <f>INDEX(Д3!$E$54:$AI$63,MATCH($D34,Д3!$D$54:$D$63),MATCH(E$7,Д3!$E$3:$AI$3))</f>
        <v/>
      </c>
      <c r="F34" s="29" t="str">
        <f>INDEX(Д3!$E$54:$AI$63,MATCH($D34,Д3!$D$54:$D$63),MATCH(F$7,Д3!$E$3:$AI$3))</f>
        <v/>
      </c>
      <c r="G34" s="29" t="str">
        <f>INDEX(Д3!$E$54:$AI$63,MATCH($D34,Д3!$D$54:$D$63),MATCH(G$7,Д3!$E$3:$AI$3))</f>
        <v/>
      </c>
      <c r="H34" s="29" t="str">
        <f>INDEX(Д3!$E$54:$AI$63,MATCH($D34,Д3!$D$54:$D$63),MATCH(H$7,Д3!$E$3:$AI$3))</f>
        <v/>
      </c>
      <c r="I34" s="29" t="str">
        <f>INDEX(Д3!$E$54:$AI$63,MATCH($D34,Д3!$D$54:$D$63),MATCH(I$7,Д3!$E$3:$AI$3))</f>
        <v/>
      </c>
      <c r="J34" s="29" t="str">
        <f>INDEX(Д3!$E$54:$AI$63,MATCH($D34,Д3!$D$54:$D$63),MATCH(J$7,Д3!$E$3:$AI$3))</f>
        <v/>
      </c>
      <c r="K34" s="29" t="str">
        <f>INDEX(Д3!$E$54:$AI$63,MATCH($D34,Д3!$D$54:$D$63),MATCH(K$7,Д3!$E$3:$AI$3))</f>
        <v/>
      </c>
      <c r="L34" s="29" t="str">
        <f>INDEX(Д3!$E$54:$AI$63,MATCH($D34,Д3!$D$54:$D$63),MATCH(L$7,Д3!$E$3:$AI$3))</f>
        <v>СП</v>
      </c>
      <c r="M34" s="29" t="str">
        <f>INDEX(Д3!$E$54:$AI$63,MATCH($D34,Д3!$D$54:$D$63),MATCH(M$7,Д3!$E$3:$AI$3))</f>
        <v/>
      </c>
      <c r="N34" s="29" t="str">
        <f>INDEX(Д3!$E$54:$AI$63,MATCH($D34,Д3!$D$54:$D$63),MATCH(N$7,Д3!$E$3:$AI$3))</f>
        <v/>
      </c>
      <c r="O34" s="29" t="str">
        <f>INDEX(Д3!$E$54:$AI$63,MATCH($D34,Д3!$D$54:$D$63),MATCH(O$7,Д3!$E$3:$AI$3))</f>
        <v/>
      </c>
      <c r="P34" s="29" t="str">
        <f>INDEX(Д3!$E$54:$AI$63,MATCH($D34,Д3!$D$54:$D$63),MATCH(P$7,Д3!$E$3:$AI$3))</f>
        <v/>
      </c>
      <c r="Q34" s="29" t="str">
        <f>INDEX(Д3!$E$54:$AI$63,MATCH($D34,Д3!$D$54:$D$63),MATCH(Q$7,Д3!$E$3:$AI$3))</f>
        <v/>
      </c>
      <c r="R34" s="29" t="str">
        <f>INDEX(Д3!$E$54:$AI$63,MATCH($D34,Д3!$D$54:$D$63),MATCH(R$7,Д3!$E$3:$AI$3))</f>
        <v/>
      </c>
      <c r="S34" s="29" t="str">
        <f>INDEX(Д3!$E$54:$AI$63,MATCH($D34,Д3!$D$54:$D$63),MATCH(S$7,Д3!$E$3:$AI$3))</f>
        <v/>
      </c>
      <c r="T34" s="29" t="str">
        <f>INDEX(Д3!$E$54:$AI$63,MATCH($D34,Д3!$D$54:$D$63),MATCH(T$7,Д3!$E$3:$AI$3))</f>
        <v/>
      </c>
      <c r="U34" s="29" t="str">
        <f>INDEX(Д3!$E$54:$AI$63,MATCH($D34,Д3!$D$54:$D$63),MATCH(U$7,Д3!$E$3:$AI$3))</f>
        <v/>
      </c>
      <c r="V34" s="29" t="str">
        <f>INDEX(Д3!$E$54:$AI$63,MATCH($D34,Д3!$D$54:$D$63),MATCH(V$7,Д3!$E$3:$AI$3))</f>
        <v/>
      </c>
      <c r="W34" s="29" t="str">
        <f>INDEX(Д3!$E$54:$AI$63,MATCH($D34,Д3!$D$54:$D$63),MATCH(W$7,Д3!$E$3:$AI$3))</f>
        <v/>
      </c>
      <c r="X34" s="29" t="str">
        <f>INDEX(Д3!$E$54:$AI$63,MATCH($D34,Д3!$D$54:$D$63),MATCH(X$7,Д3!$E$3:$AI$3))</f>
        <v/>
      </c>
      <c r="Y34" s="29" t="str">
        <f>INDEX(Д3!$E$54:$AI$63,MATCH($D34,Д3!$D$54:$D$63),MATCH(Y$7,Д3!$E$3:$AI$3))</f>
        <v/>
      </c>
      <c r="Z34" s="29" t="str">
        <f>INDEX(Д3!$E$54:$AI$63,MATCH($D34,Д3!$D$54:$D$63),MATCH(Z$7,Д3!$E$3:$AI$3))</f>
        <v/>
      </c>
      <c r="AA34" s="29" t="str">
        <f>INDEX(Д3!$E$54:$AI$63,MATCH($D34,Д3!$D$54:$D$63),MATCH(AA$7,Д3!$E$3:$AI$3))</f>
        <v/>
      </c>
      <c r="AB34" s="29" t="str">
        <f>INDEX(Д3!$E$54:$AI$63,MATCH($D34,Д3!$D$54:$D$63),MATCH(AB$7,Д3!$E$3:$AI$3))</f>
        <v/>
      </c>
      <c r="AC34" s="29" t="str">
        <f>INDEX(Д3!$E$54:$AI$63,MATCH($D34,Д3!$D$54:$D$63),MATCH(AC$7,Д3!$E$3:$AI$3))</f>
        <v/>
      </c>
      <c r="AD34" s="29" t="str">
        <f>INDEX(Д3!$E$54:$AI$63,MATCH($D34,Д3!$D$54:$D$63),MATCH(AD$7,Д3!$E$3:$AI$3))</f>
        <v/>
      </c>
      <c r="AE34" s="29" t="str">
        <f>INDEX(Д3!$E$54:$AI$63,MATCH($D34,Д3!$D$54:$D$63),MATCH(AE$7,Д3!$E$3:$AI$3))</f>
        <v/>
      </c>
      <c r="AF34" s="29" t="str">
        <f>INDEX(Д3!$E$54:$AI$63,MATCH($D34,Д3!$D$54:$D$63),MATCH(AF$7,Д3!$E$3:$AI$3))</f>
        <v/>
      </c>
      <c r="AG34" s="29" t="str">
        <f>INDEX(Д3!$E$54:$AI$63,MATCH($D34,Д3!$D$54:$D$63),MATCH(AG$7,Д3!$E$3:$AI$3))</f>
        <v/>
      </c>
      <c r="AH34" s="29" t="str">
        <f>INDEX(Д3!$E$54:$AI$63,MATCH($D34,Д3!$D$54:$D$63),MATCH(AH$7,Д3!$E$3:$AI$3))</f>
        <v/>
      </c>
      <c r="AI34" s="61"/>
      <c r="AJ34" s="143"/>
      <c r="AK34" s="143"/>
      <c r="AL34" s="143"/>
      <c r="AM34" s="150"/>
      <c r="AP34" s="136"/>
      <c r="AQ34" s="136"/>
      <c r="AR34" s="136"/>
      <c r="AS34" s="136"/>
      <c r="AT34" s="136"/>
      <c r="AU34" s="136"/>
      <c r="AV34" s="136"/>
      <c r="AW34" s="137"/>
      <c r="AX34" s="137"/>
    </row>
    <row r="35" spans="1:50" ht="16.5" customHeight="1" thickBot="1" x14ac:dyDescent="0.3">
      <c r="A35" s="147"/>
      <c r="B35" s="139" t="s">
        <v>93</v>
      </c>
      <c r="C35" s="170">
        <v>4</v>
      </c>
      <c r="D35" s="49">
        <v>7</v>
      </c>
      <c r="E35" s="64">
        <f ca="1">INDEX(Д3!$E$54:$AI$63,MATCH($D35,Д3!$D$54:$D$63),MATCH(E$7,Д3!$E$3:$AI$3))</f>
        <v>8</v>
      </c>
      <c r="F35" s="27">
        <f ca="1">INDEX(Д3!$E$54:$AI$63,MATCH($D35,Д3!$D$54:$D$63),MATCH(F$7,Д3!$E$3:$AI$3))</f>
        <v>12</v>
      </c>
      <c r="G35" s="27">
        <f ca="1">INDEX(Д3!$E$54:$AI$63,MATCH($D35,Д3!$D$54:$D$63),MATCH(G$7,Д3!$E$3:$AI$3))</f>
        <v>4</v>
      </c>
      <c r="H35" s="27">
        <f ca="1">INDEX(Д3!$E$54:$AI$63,MATCH($D35,Д3!$D$54:$D$63),MATCH(H$7,Д3!$E$3:$AI$3))</f>
        <v>8</v>
      </c>
      <c r="I35" s="27">
        <f ca="1">INDEX(Д3!$E$54:$AI$63,MATCH($D35,Д3!$D$54:$D$63),MATCH(I$7,Д3!$E$3:$AI$3))</f>
        <v>12</v>
      </c>
      <c r="J35" s="27">
        <f ca="1">INDEX(Д3!$E$54:$AI$63,MATCH($D35,Д3!$D$54:$D$63),MATCH(J$7,Д3!$E$3:$AI$3))</f>
        <v>0</v>
      </c>
      <c r="K35" s="27">
        <f ca="1">INDEX(Д3!$E$54:$AI$63,MATCH($D35,Д3!$D$54:$D$63),MATCH(K$7,Д3!$E$3:$AI$3))</f>
        <v>0</v>
      </c>
      <c r="L35" s="27">
        <f ca="1">INDEX(Д3!$E$54:$AI$63,MATCH($D35,Д3!$D$54:$D$63),MATCH(L$7,Д3!$E$3:$AI$3))</f>
        <v>4</v>
      </c>
      <c r="M35" s="27">
        <f ca="1">INDEX(Д3!$E$54:$AI$63,MATCH($D35,Д3!$D$54:$D$63),MATCH(M$7,Д3!$E$3:$AI$3))</f>
        <v>8</v>
      </c>
      <c r="N35" s="27">
        <f ca="1">INDEX(Д3!$E$54:$AI$63,MATCH($D35,Д3!$D$54:$D$63),MATCH(N$7,Д3!$E$3:$AI$3))</f>
        <v>12</v>
      </c>
      <c r="O35" s="27">
        <f ca="1">INDEX(Д3!$E$54:$AI$63,MATCH($D35,Д3!$D$54:$D$63),MATCH(O$7,Д3!$E$3:$AI$3))</f>
        <v>4</v>
      </c>
      <c r="P35" s="27">
        <f ca="1">INDEX(Д3!$E$54:$AI$63,MATCH($D35,Д3!$D$54:$D$63),MATCH(P$7,Д3!$E$3:$AI$3))</f>
        <v>8</v>
      </c>
      <c r="Q35" s="27">
        <f ca="1">INDEX(Д3!$E$54:$AI$63,MATCH($D35,Д3!$D$54:$D$63),MATCH(Q$7,Д3!$E$3:$AI$3))</f>
        <v>12</v>
      </c>
      <c r="R35" s="27">
        <f ca="1">INDEX(Д3!$E$54:$AI$63,MATCH($D35,Д3!$D$54:$D$63),MATCH(R$7,Д3!$E$3:$AI$3))</f>
        <v>0</v>
      </c>
      <c r="S35" s="27">
        <f ca="1">INDEX(Д3!$E$54:$AI$63,MATCH($D35,Д3!$D$54:$D$63),MATCH(S$7,Д3!$E$3:$AI$3))</f>
        <v>0</v>
      </c>
      <c r="T35" s="27">
        <f ca="1">INDEX(Д3!$E$54:$AI$63,MATCH($D35,Д3!$D$54:$D$63),MATCH(T$7,Д3!$E$3:$AI$3))</f>
        <v>4</v>
      </c>
      <c r="U35" s="27">
        <f ca="1">INDEX(Д3!$E$54:$AI$63,MATCH($D35,Д3!$D$54:$D$63),MATCH(U$7,Д3!$E$3:$AI$3))</f>
        <v>8</v>
      </c>
      <c r="V35" s="27">
        <f ca="1">INDEX(Д3!$E$54:$AI$63,MATCH($D35,Д3!$D$54:$D$63),MATCH(V$7,Д3!$E$3:$AI$3))</f>
        <v>12</v>
      </c>
      <c r="W35" s="27">
        <f ca="1">INDEX(Д3!$E$54:$AI$63,MATCH($D35,Д3!$D$54:$D$63),MATCH(W$7,Д3!$E$3:$AI$3))</f>
        <v>4</v>
      </c>
      <c r="X35" s="27">
        <f ca="1">INDEX(Д3!$E$54:$AI$63,MATCH($D35,Д3!$D$54:$D$63),MATCH(X$7,Д3!$E$3:$AI$3))</f>
        <v>8</v>
      </c>
      <c r="Y35" s="27">
        <f ca="1">INDEX(Д3!$E$54:$AI$63,MATCH($D35,Д3!$D$54:$D$63),MATCH(Y$7,Д3!$E$3:$AI$3))</f>
        <v>12</v>
      </c>
      <c r="Z35" s="27">
        <f ca="1">INDEX(Д3!$E$54:$AI$63,MATCH($D35,Д3!$D$54:$D$63),MATCH(Z$7,Д3!$E$3:$AI$3))</f>
        <v>0</v>
      </c>
      <c r="AA35" s="27">
        <f ca="1">INDEX(Д3!$E$54:$AI$63,MATCH($D35,Д3!$D$54:$D$63),MATCH(AA$7,Д3!$E$3:$AI$3))</f>
        <v>0</v>
      </c>
      <c r="AB35" s="27">
        <f ca="1">INDEX(Д3!$E$54:$AI$63,MATCH($D35,Д3!$D$54:$D$63),MATCH(AB$7,Д3!$E$3:$AI$3))</f>
        <v>4</v>
      </c>
      <c r="AC35" s="27">
        <f ca="1">INDEX(Д3!$E$54:$AI$63,MATCH($D35,Д3!$D$54:$D$63),MATCH(AC$7,Д3!$E$3:$AI$3))</f>
        <v>8</v>
      </c>
      <c r="AD35" s="27">
        <f ca="1">INDEX(Д3!$E$54:$AI$63,MATCH($D35,Д3!$D$54:$D$63),MATCH(AD$7,Д3!$E$3:$AI$3))</f>
        <v>12</v>
      </c>
      <c r="AE35" s="27">
        <f ca="1">INDEX(Д3!$E$54:$AI$63,MATCH($D35,Д3!$D$54:$D$63),MATCH(AE$7,Д3!$E$3:$AI$3))</f>
        <v>4</v>
      </c>
      <c r="AF35" s="27">
        <f ca="1">INDEX(Д3!$E$54:$AI$63,MATCH($D35,Д3!$D$54:$D$63),MATCH(AF$7,Д3!$E$3:$AI$3))</f>
        <v>8</v>
      </c>
      <c r="AG35" s="27">
        <f ca="1">INDEX(Д3!$E$54:$AI$63,MATCH($D35,Д3!$D$54:$D$63),MATCH(AG$7,Д3!$E$3:$AI$3))</f>
        <v>12</v>
      </c>
      <c r="AH35" s="27">
        <f ca="1">INDEX(Д3!$E$54:$AI$63,MATCH($D35,Д3!$D$54:$D$63),MATCH(AH$7,Д3!$E$3:$AI$3))</f>
        <v>0</v>
      </c>
      <c r="AI35" s="32"/>
      <c r="AJ35" s="143">
        <f>INDEX(Д3!AK$54:$AK$63,MATCH($C35,Д3!$C$54:$C$63),MATCH(E$7,Д3!$E$3:$AI$3))*AND(MONTH($E$8)=MONTH(Д3!$B$54))</f>
        <v>151</v>
      </c>
      <c r="AK35" s="143">
        <f ca="1">SUM(E35:AI36)</f>
        <v>188</v>
      </c>
      <c r="AL35" s="143"/>
      <c r="AM35" s="149">
        <f ca="1">SUM(F35:H36,J35:AI36)-AJ35+AL35-12</f>
        <v>5</v>
      </c>
      <c r="AP35" s="136">
        <f t="shared" ref="AP35" ca="1" si="74">COUNTIF($E35:$AI36,"12")</f>
        <v>8</v>
      </c>
      <c r="AQ35" s="136">
        <f t="shared" ref="AQ35" ca="1" si="75">IF(COUNTIF($E35:$AI36,"СП")&gt;=1,(COUNTIF($E35:$AI36,"4")+COUNTIF($E35:$AI36,"8")-1)/2,(COUNTIF($E35:$AI36,"4")+COUNTIF($E35:$AI36,"8"))/2)</f>
        <v>7</v>
      </c>
      <c r="AR35" s="136">
        <f t="shared" ca="1" si="2"/>
        <v>96</v>
      </c>
      <c r="AS35" s="136">
        <f t="shared" ref="AS35" ca="1" si="76">IF(COUNTIF($E35:$AI36,"СП")&gt;=1,SUMIF($E35:$AI36,"4",$E35:$AI36)+SUMIF($E35:$AI36,"8",$E35:$AI36)-8,SUMIF($E35:$AI36,"4",$E35:$AI36)+SUMIF($E35:$AI36,"8",$E35:$AI36))</f>
        <v>84</v>
      </c>
      <c r="AT35" s="136">
        <f t="shared" ref="AT35" ca="1" si="77">$AR35+$AS35</f>
        <v>180</v>
      </c>
      <c r="AU35" s="136" t="str">
        <f t="shared" ref="AU35" ca="1" si="78">IF(AK35=AT35,"+","!")</f>
        <v>!</v>
      </c>
      <c r="AV35" s="136">
        <f t="shared" ref="AV35" ca="1" si="79">COUNTIF($E35:$AI36,"ОТ")</f>
        <v>0</v>
      </c>
      <c r="AW35" s="137" t="str">
        <f ca="1">IF(COUNTIF($A36:$AI36,"СП")&gt;0,IF(INDIRECT(ADDRESS(ROW(),MATCH("СП",$A36:$AI36),1))=8,"","!"),"")</f>
        <v>!</v>
      </c>
      <c r="AX35" s="137" t="str">
        <f ca="1">IF(COUNTIF($A36:$AI36,"СП")&gt;0,IF(INDIRECT(ADDRESS(ROW(),MATCH("СП",$A36:$AI36)-1,1))=4,"!",""),"")</f>
        <v/>
      </c>
    </row>
    <row r="36" spans="1:50" ht="16.5" thickBot="1" x14ac:dyDescent="0.3">
      <c r="A36" s="147"/>
      <c r="B36" s="139"/>
      <c r="C36" s="171"/>
      <c r="D36" s="50">
        <v>8</v>
      </c>
      <c r="E36" s="65" t="str">
        <f>INDEX(Д3!$E$54:$AI$63,MATCH($D36,Д3!$D$54:$D$63),MATCH(E$7,Д3!$E$3:$AI$3))</f>
        <v/>
      </c>
      <c r="F36" s="30" t="str">
        <f>INDEX(Д3!$E$54:$AI$63,MATCH($D36,Д3!$D$54:$D$63),MATCH(F$7,Д3!$E$3:$AI$3))</f>
        <v/>
      </c>
      <c r="G36" s="30" t="str">
        <f>INDEX(Д3!$E$54:$AI$63,MATCH($D36,Д3!$D$54:$D$63),MATCH(G$7,Д3!$E$3:$AI$3))</f>
        <v/>
      </c>
      <c r="H36" s="30" t="str">
        <f>INDEX(Д3!$E$54:$AI$63,MATCH($D36,Д3!$D$54:$D$63),MATCH(H$7,Д3!$E$3:$AI$3))</f>
        <v/>
      </c>
      <c r="I36" s="30" t="str">
        <f>INDEX(Д3!$E$54:$AI$63,MATCH($D36,Д3!$D$54:$D$63),MATCH(I$7,Д3!$E$3:$AI$3))</f>
        <v/>
      </c>
      <c r="J36" s="30" t="str">
        <f>INDEX(Д3!$E$54:$AI$63,MATCH($D36,Д3!$D$54:$D$63),MATCH(J$7,Д3!$E$3:$AI$3))</f>
        <v/>
      </c>
      <c r="K36" s="30" t="str">
        <f>INDEX(Д3!$E$54:$AI$63,MATCH($D36,Д3!$D$54:$D$63),MATCH(K$7,Д3!$E$3:$AI$3))</f>
        <v/>
      </c>
      <c r="L36" s="30" t="str">
        <f>INDEX(Д3!$E$54:$AI$63,MATCH($D36,Д3!$D$54:$D$63),MATCH(L$7,Д3!$E$3:$AI$3))</f>
        <v/>
      </c>
      <c r="M36" s="30" t="str">
        <f>INDEX(Д3!$E$54:$AI$63,MATCH($D36,Д3!$D$54:$D$63),MATCH(M$7,Д3!$E$3:$AI$3))</f>
        <v>СП</v>
      </c>
      <c r="N36" s="30" t="str">
        <f>INDEX(Д3!$E$54:$AI$63,MATCH($D36,Д3!$D$54:$D$63),MATCH(N$7,Д3!$E$3:$AI$3))</f>
        <v/>
      </c>
      <c r="O36" s="30" t="str">
        <f>INDEX(Д3!$E$54:$AI$63,MATCH($D36,Д3!$D$54:$D$63),MATCH(O$7,Д3!$E$3:$AI$3))</f>
        <v/>
      </c>
      <c r="P36" s="30" t="str">
        <f>INDEX(Д3!$E$54:$AI$63,MATCH($D36,Д3!$D$54:$D$63),MATCH(P$7,Д3!$E$3:$AI$3))</f>
        <v/>
      </c>
      <c r="Q36" s="30" t="str">
        <f>INDEX(Д3!$E$54:$AI$63,MATCH($D36,Д3!$D$54:$D$63),MATCH(Q$7,Д3!$E$3:$AI$3))</f>
        <v/>
      </c>
      <c r="R36" s="30" t="str">
        <f>INDEX(Д3!$E$54:$AI$63,MATCH($D36,Д3!$D$54:$D$63),MATCH(R$7,Д3!$E$3:$AI$3))</f>
        <v/>
      </c>
      <c r="S36" s="30" t="str">
        <f>INDEX(Д3!$E$54:$AI$63,MATCH($D36,Д3!$D$54:$D$63),MATCH(S$7,Д3!$E$3:$AI$3))</f>
        <v/>
      </c>
      <c r="T36" s="30" t="str">
        <f>INDEX(Д3!$E$54:$AI$63,MATCH($D36,Д3!$D$54:$D$63),MATCH(T$7,Д3!$E$3:$AI$3))</f>
        <v/>
      </c>
      <c r="U36" s="30" t="str">
        <f>INDEX(Д3!$E$54:$AI$63,MATCH($D36,Д3!$D$54:$D$63),MATCH(U$7,Д3!$E$3:$AI$3))</f>
        <v/>
      </c>
      <c r="V36" s="30" t="str">
        <f>INDEX(Д3!$E$54:$AI$63,MATCH($D36,Д3!$D$54:$D$63),MATCH(V$7,Д3!$E$3:$AI$3))</f>
        <v/>
      </c>
      <c r="W36" s="30" t="str">
        <f>INDEX(Д3!$E$54:$AI$63,MATCH($D36,Д3!$D$54:$D$63),MATCH(W$7,Д3!$E$3:$AI$3))</f>
        <v/>
      </c>
      <c r="X36" s="30" t="str">
        <f>INDEX(Д3!$E$54:$AI$63,MATCH($D36,Д3!$D$54:$D$63),MATCH(X$7,Д3!$E$3:$AI$3))</f>
        <v/>
      </c>
      <c r="Y36" s="30" t="str">
        <f>INDEX(Д3!$E$54:$AI$63,MATCH($D36,Д3!$D$54:$D$63),MATCH(Y$7,Д3!$E$3:$AI$3))</f>
        <v/>
      </c>
      <c r="Z36" s="30" t="str">
        <f>INDEX(Д3!$E$54:$AI$63,MATCH($D36,Д3!$D$54:$D$63),MATCH(Z$7,Д3!$E$3:$AI$3))</f>
        <v/>
      </c>
      <c r="AA36" s="30" t="str">
        <f>INDEX(Д3!$E$54:$AI$63,MATCH($D36,Д3!$D$54:$D$63),MATCH(AA$7,Д3!$E$3:$AI$3))</f>
        <v/>
      </c>
      <c r="AB36" s="30" t="str">
        <f>INDEX(Д3!$E$54:$AI$63,MATCH($D36,Д3!$D$54:$D$63),MATCH(AB$7,Д3!$E$3:$AI$3))</f>
        <v/>
      </c>
      <c r="AC36" s="30" t="str">
        <f>INDEX(Д3!$E$54:$AI$63,MATCH($D36,Д3!$D$54:$D$63),MATCH(AC$7,Д3!$E$3:$AI$3))</f>
        <v/>
      </c>
      <c r="AD36" s="30" t="str">
        <f>INDEX(Д3!$E$54:$AI$63,MATCH($D36,Д3!$D$54:$D$63),MATCH(AD$7,Д3!$E$3:$AI$3))</f>
        <v/>
      </c>
      <c r="AE36" s="30" t="str">
        <f>INDEX(Д3!$E$54:$AI$63,MATCH($D36,Д3!$D$54:$D$63),MATCH(AE$7,Д3!$E$3:$AI$3))</f>
        <v/>
      </c>
      <c r="AF36" s="30" t="str">
        <f>INDEX(Д3!$E$54:$AI$63,MATCH($D36,Д3!$D$54:$D$63),MATCH(AF$7,Д3!$E$3:$AI$3))</f>
        <v/>
      </c>
      <c r="AG36" s="30" t="str">
        <f>INDEX(Д3!$E$54:$AI$63,MATCH($D36,Д3!$D$54:$D$63),MATCH(AG$7,Д3!$E$3:$AI$3))</f>
        <v/>
      </c>
      <c r="AH36" s="30" t="str">
        <f>INDEX(Д3!$E$54:$AI$63,MATCH($D36,Д3!$D$54:$D$63),MATCH(AH$7,Д3!$E$3:$AI$3))</f>
        <v/>
      </c>
      <c r="AI36" s="33"/>
      <c r="AJ36" s="143"/>
      <c r="AK36" s="143"/>
      <c r="AL36" s="143"/>
      <c r="AM36" s="150"/>
      <c r="AP36" s="136"/>
      <c r="AQ36" s="136"/>
      <c r="AR36" s="136"/>
      <c r="AS36" s="136"/>
      <c r="AT36" s="136"/>
      <c r="AU36" s="136"/>
      <c r="AV36" s="136"/>
      <c r="AW36" s="137"/>
      <c r="AX36" s="137"/>
    </row>
    <row r="37" spans="1:50" ht="16.5" customHeight="1" thickBot="1" x14ac:dyDescent="0.3">
      <c r="A37" s="147"/>
      <c r="B37" s="139" t="s">
        <v>94</v>
      </c>
      <c r="C37" s="170">
        <v>5</v>
      </c>
      <c r="D37" s="49">
        <v>9</v>
      </c>
      <c r="E37" s="62" t="str">
        <f>INDEX(Д3!$E$54:$AI$63,MATCH($D37,Д3!$D$54:$D$63),MATCH(E$7,Д3!$E$3:$AI$3))</f>
        <v>-</v>
      </c>
      <c r="F37" s="28" t="str">
        <f>INDEX(Д3!$E$54:$AI$63,MATCH($D37,Д3!$D$54:$D$63),MATCH(F$7,Д3!$E$3:$AI$3))</f>
        <v>-</v>
      </c>
      <c r="G37" s="28" t="str">
        <f>INDEX(Д3!$E$54:$AI$63,MATCH($D37,Д3!$D$54:$D$63),MATCH(G$7,Д3!$E$3:$AI$3))</f>
        <v>-</v>
      </c>
      <c r="H37" s="28" t="str">
        <f>INDEX(Д3!$E$54:$AI$63,MATCH($D37,Д3!$D$54:$D$63),MATCH(H$7,Д3!$E$3:$AI$3))</f>
        <v>-</v>
      </c>
      <c r="I37" s="28" t="str">
        <f>INDEX(Д3!$E$54:$AI$63,MATCH($D37,Д3!$D$54:$D$63),MATCH(I$7,Д3!$E$3:$AI$3))</f>
        <v>-</v>
      </c>
      <c r="J37" s="28" t="str">
        <f>INDEX(Д3!$E$54:$AI$63,MATCH($D37,Д3!$D$54:$D$63),MATCH(J$7,Д3!$E$3:$AI$3))</f>
        <v>-</v>
      </c>
      <c r="K37" s="28" t="str">
        <f>INDEX(Д3!$E$54:$AI$63,MATCH($D37,Д3!$D$54:$D$63),MATCH(K$7,Д3!$E$3:$AI$3))</f>
        <v>-</v>
      </c>
      <c r="L37" s="28" t="str">
        <f>INDEX(Д3!$E$54:$AI$63,MATCH($D37,Д3!$D$54:$D$63),MATCH(L$7,Д3!$E$3:$AI$3))</f>
        <v>-</v>
      </c>
      <c r="M37" s="28" t="str">
        <f>INDEX(Д3!$E$54:$AI$63,MATCH($D37,Д3!$D$54:$D$63),MATCH(M$7,Д3!$E$3:$AI$3))</f>
        <v>-</v>
      </c>
      <c r="N37" s="28" t="str">
        <f>INDEX(Д3!$E$54:$AI$63,MATCH($D37,Д3!$D$54:$D$63),MATCH(N$7,Д3!$E$3:$AI$3))</f>
        <v>-</v>
      </c>
      <c r="O37" s="28" t="str">
        <f>INDEX(Д3!$E$54:$AI$63,MATCH($D37,Д3!$D$54:$D$63),MATCH(O$7,Д3!$E$3:$AI$3))</f>
        <v>-</v>
      </c>
      <c r="P37" s="28" t="str">
        <f>INDEX(Д3!$E$54:$AI$63,MATCH($D37,Д3!$D$54:$D$63),MATCH(P$7,Д3!$E$3:$AI$3))</f>
        <v>-</v>
      </c>
      <c r="Q37" s="28" t="str">
        <f>INDEX(Д3!$E$54:$AI$63,MATCH($D37,Д3!$D$54:$D$63),MATCH(Q$7,Д3!$E$3:$AI$3))</f>
        <v>-</v>
      </c>
      <c r="R37" s="28" t="str">
        <f>INDEX(Д3!$E$54:$AI$63,MATCH($D37,Д3!$D$54:$D$63),MATCH(R$7,Д3!$E$3:$AI$3))</f>
        <v>-</v>
      </c>
      <c r="S37" s="28" t="str">
        <f>INDEX(Д3!$E$54:$AI$63,MATCH($D37,Д3!$D$54:$D$63),MATCH(S$7,Д3!$E$3:$AI$3))</f>
        <v>-</v>
      </c>
      <c r="T37" s="28" t="str">
        <f>INDEX(Д3!$E$54:$AI$63,MATCH($D37,Д3!$D$54:$D$63),MATCH(T$7,Д3!$E$3:$AI$3))</f>
        <v>-</v>
      </c>
      <c r="U37" s="28" t="str">
        <f>INDEX(Д3!$E$54:$AI$63,MATCH($D37,Д3!$D$54:$D$63),MATCH(U$7,Д3!$E$3:$AI$3))</f>
        <v>-</v>
      </c>
      <c r="V37" s="28" t="str">
        <f>INDEX(Д3!$E$54:$AI$63,MATCH($D37,Д3!$D$54:$D$63),MATCH(V$7,Д3!$E$3:$AI$3))</f>
        <v>-</v>
      </c>
      <c r="W37" s="28" t="str">
        <f>INDEX(Д3!$E$54:$AI$63,MATCH($D37,Д3!$D$54:$D$63),MATCH(W$7,Д3!$E$3:$AI$3))</f>
        <v>-</v>
      </c>
      <c r="X37" s="28" t="str">
        <f>INDEX(Д3!$E$54:$AI$63,MATCH($D37,Д3!$D$54:$D$63),MATCH(X$7,Д3!$E$3:$AI$3))</f>
        <v>-</v>
      </c>
      <c r="Y37" s="28" t="str">
        <f>INDEX(Д3!$E$54:$AI$63,MATCH($D37,Д3!$D$54:$D$63),MATCH(Y$7,Д3!$E$3:$AI$3))</f>
        <v>-</v>
      </c>
      <c r="Z37" s="28" t="str">
        <f>INDEX(Д3!$E$54:$AI$63,MATCH($D37,Д3!$D$54:$D$63),MATCH(Z$7,Д3!$E$3:$AI$3))</f>
        <v>-</v>
      </c>
      <c r="AA37" s="28" t="str">
        <f>INDEX(Д3!$E$54:$AI$63,MATCH($D37,Д3!$D$54:$D$63),MATCH(AA$7,Д3!$E$3:$AI$3))</f>
        <v>-</v>
      </c>
      <c r="AB37" s="28" t="str">
        <f>INDEX(Д3!$E$54:$AI$63,MATCH($D37,Д3!$D$54:$D$63),MATCH(AB$7,Д3!$E$3:$AI$3))</f>
        <v>-</v>
      </c>
      <c r="AC37" s="28" t="str">
        <f>INDEX(Д3!$E$54:$AI$63,MATCH($D37,Д3!$D$54:$D$63),MATCH(AC$7,Д3!$E$3:$AI$3))</f>
        <v>-</v>
      </c>
      <c r="AD37" s="28" t="str">
        <f>INDEX(Д3!$E$54:$AI$63,MATCH($D37,Д3!$D$54:$D$63),MATCH(AD$7,Д3!$E$3:$AI$3))</f>
        <v>-</v>
      </c>
      <c r="AE37" s="28" t="str">
        <f>INDEX(Д3!$E$54:$AI$63,MATCH($D37,Д3!$D$54:$D$63),MATCH(AE$7,Д3!$E$3:$AI$3))</f>
        <v>-</v>
      </c>
      <c r="AF37" s="28" t="str">
        <f>INDEX(Д3!$E$54:$AI$63,MATCH($D37,Д3!$D$54:$D$63),MATCH(AF$7,Д3!$E$3:$AI$3))</f>
        <v>-</v>
      </c>
      <c r="AG37" s="28" t="str">
        <f>INDEX(Д3!$E$54:$AI$63,MATCH($D37,Д3!$D$54:$D$63),MATCH(AG$7,Д3!$E$3:$AI$3))</f>
        <v>-</v>
      </c>
      <c r="AH37" s="28" t="str">
        <f>INDEX(Д3!$E$54:$AI$63,MATCH($D37,Д3!$D$54:$D$63),MATCH(AH$7,Д3!$E$3:$AI$3))</f>
        <v>-</v>
      </c>
      <c r="AI37" s="60"/>
      <c r="AJ37" s="143">
        <f>INDEX(Д3!AK$54:$AK$63,MATCH($C37,Д3!$C$54:$C$63),MATCH(E$7,Д3!$E$3:$AI$3))*AND(MONTH($E$8)=MONTH(Д3!$B$54))</f>
        <v>151</v>
      </c>
      <c r="AK37" s="143">
        <f>SUM(E37:AJ38)</f>
        <v>151</v>
      </c>
      <c r="AL37" s="143"/>
      <c r="AM37" s="149">
        <f>SUM(F37:H38,J37:AI38)-AJ37+AL37-12</f>
        <v>-163</v>
      </c>
      <c r="AP37" s="136">
        <f t="shared" ref="AP37" si="80">COUNTIF($E37:$AI38,"12")</f>
        <v>0</v>
      </c>
      <c r="AQ37" s="136">
        <f t="shared" ref="AQ37" si="81">IF(COUNTIF($E37:$AI38,"СП")&gt;=1,(COUNTIF($E37:$AI38,"4")+COUNTIF($E37:$AI38,"8")-1)/2,(COUNTIF($E37:$AI38,"4")+COUNTIF($E37:$AI38,"8"))/2)</f>
        <v>-0.5</v>
      </c>
      <c r="AR37" s="136">
        <f t="shared" si="2"/>
        <v>0</v>
      </c>
      <c r="AS37" s="136">
        <f t="shared" ref="AS37" si="82">IF(COUNTIF($E37:$AI38,"СП")&gt;=1,SUMIF($E37:$AI38,"4",$E37:$AI38)+SUMIF($E37:$AI38,"8",$E37:$AI38)-8,SUMIF($E37:$AI38,"4",$E37:$AI38)+SUMIF($E37:$AI38,"8",$E37:$AI38))</f>
        <v>-8</v>
      </c>
      <c r="AT37" s="136">
        <f t="shared" ref="AT37" si="83">$AR37+$AS37</f>
        <v>-8</v>
      </c>
      <c r="AU37" s="136" t="str">
        <f t="shared" ref="AU37" si="84">IF(AK37=AT37,"+","!")</f>
        <v>!</v>
      </c>
      <c r="AV37" s="136">
        <f t="shared" ref="AV37" si="85">COUNTIF($E37:$AI38,"ОТ")</f>
        <v>0</v>
      </c>
      <c r="AW37" s="137" t="str">
        <f ca="1">IF(COUNTIF($A38:$AI38,"СП")&gt;0,IF(INDIRECT(ADDRESS(ROW(),MATCH("СП",$A38:$AI38),1))=8,"","!"),"")</f>
        <v>!</v>
      </c>
      <c r="AX37" s="137" t="str">
        <f ca="1">IF(COUNTIF($A38:$AI38,"СП")&gt;0,IF(INDIRECT(ADDRESS(ROW(),MATCH("СП",$A38:$AI38)-1,1))=4,"!",""),"")</f>
        <v/>
      </c>
    </row>
    <row r="38" spans="1:50" ht="16.5" thickBot="1" x14ac:dyDescent="0.3">
      <c r="A38" s="148"/>
      <c r="B38" s="140"/>
      <c r="C38" s="172"/>
      <c r="D38" s="50">
        <v>10</v>
      </c>
      <c r="E38" s="66" t="str">
        <f>INDEX(Д3!$E$54:$AI$63,MATCH($D38,Д3!$D$54:$D$63),MATCH(E$7,Д3!$E$3:$AI$3))</f>
        <v/>
      </c>
      <c r="F38" s="67" t="str">
        <f>INDEX(Д3!$E$54:$AI$63,MATCH($D38,Д3!$D$54:$D$63),MATCH(F$7,Д3!$E$3:$AI$3))</f>
        <v/>
      </c>
      <c r="G38" s="67" t="str">
        <f>INDEX(Д3!$E$54:$AI$63,MATCH($D38,Д3!$D$54:$D$63),MATCH(G$7,Д3!$E$3:$AI$3))</f>
        <v/>
      </c>
      <c r="H38" s="67" t="str">
        <f>INDEX(Д3!$E$54:$AI$63,MATCH($D38,Д3!$D$54:$D$63),MATCH(H$7,Д3!$E$3:$AI$3))</f>
        <v/>
      </c>
      <c r="I38" s="67" t="str">
        <f>INDEX(Д3!$E$54:$AI$63,MATCH($D38,Д3!$D$54:$D$63),MATCH(I$7,Д3!$E$3:$AI$3))</f>
        <v/>
      </c>
      <c r="J38" s="67" t="str">
        <f>INDEX(Д3!$E$54:$AI$63,MATCH($D38,Д3!$D$54:$D$63),MATCH(J$7,Д3!$E$3:$AI$3))</f>
        <v/>
      </c>
      <c r="K38" s="67" t="str">
        <f>INDEX(Д3!$E$54:$AI$63,MATCH($D38,Д3!$D$54:$D$63),MATCH(K$7,Д3!$E$3:$AI$3))</f>
        <v/>
      </c>
      <c r="L38" s="67" t="str">
        <f>INDEX(Д3!$E$54:$AI$63,MATCH($D38,Д3!$D$54:$D$63),MATCH(L$7,Д3!$E$3:$AI$3))</f>
        <v/>
      </c>
      <c r="M38" s="67" t="str">
        <f>INDEX(Д3!$E$54:$AI$63,MATCH($D38,Д3!$D$54:$D$63),MATCH(M$7,Д3!$E$3:$AI$3))</f>
        <v/>
      </c>
      <c r="N38" s="67" t="str">
        <f>INDEX(Д3!$E$54:$AI$63,MATCH($D38,Д3!$D$54:$D$63),MATCH(N$7,Д3!$E$3:$AI$3))</f>
        <v>СП</v>
      </c>
      <c r="O38" s="67" t="str">
        <f>INDEX(Д3!$E$54:$AI$63,MATCH($D38,Д3!$D$54:$D$63),MATCH(O$7,Д3!$E$3:$AI$3))</f>
        <v/>
      </c>
      <c r="P38" s="67" t="str">
        <f>INDEX(Д3!$E$54:$AI$63,MATCH($D38,Д3!$D$54:$D$63),MATCH(P$7,Д3!$E$3:$AI$3))</f>
        <v/>
      </c>
      <c r="Q38" s="67" t="str">
        <f>INDEX(Д3!$E$54:$AI$63,MATCH($D38,Д3!$D$54:$D$63),MATCH(Q$7,Д3!$E$3:$AI$3))</f>
        <v/>
      </c>
      <c r="R38" s="67" t="str">
        <f>INDEX(Д3!$E$54:$AI$63,MATCH($D38,Д3!$D$54:$D$63),MATCH(R$7,Д3!$E$3:$AI$3))</f>
        <v/>
      </c>
      <c r="S38" s="67" t="str">
        <f>INDEX(Д3!$E$54:$AI$63,MATCH($D38,Д3!$D$54:$D$63),MATCH(S$7,Д3!$E$3:$AI$3))</f>
        <v/>
      </c>
      <c r="T38" s="67" t="str">
        <f>INDEX(Д3!$E$54:$AI$63,MATCH($D38,Д3!$D$54:$D$63),MATCH(T$7,Д3!$E$3:$AI$3))</f>
        <v/>
      </c>
      <c r="U38" s="67" t="str">
        <f>INDEX(Д3!$E$54:$AI$63,MATCH($D38,Д3!$D$54:$D$63),MATCH(U$7,Д3!$E$3:$AI$3))</f>
        <v/>
      </c>
      <c r="V38" s="67" t="str">
        <f>INDEX(Д3!$E$54:$AI$63,MATCH($D38,Д3!$D$54:$D$63),MATCH(V$7,Д3!$E$3:$AI$3))</f>
        <v/>
      </c>
      <c r="W38" s="67" t="str">
        <f>INDEX(Д3!$E$54:$AI$63,MATCH($D38,Д3!$D$54:$D$63),MATCH(W$7,Д3!$E$3:$AI$3))</f>
        <v/>
      </c>
      <c r="X38" s="67" t="str">
        <f>INDEX(Д3!$E$54:$AI$63,MATCH($D38,Д3!$D$54:$D$63),MATCH(X$7,Д3!$E$3:$AI$3))</f>
        <v/>
      </c>
      <c r="Y38" s="67" t="str">
        <f>INDEX(Д3!$E$54:$AI$63,MATCH($D38,Д3!$D$54:$D$63),MATCH(Y$7,Д3!$E$3:$AI$3))</f>
        <v/>
      </c>
      <c r="Z38" s="67" t="str">
        <f>INDEX(Д3!$E$54:$AI$63,MATCH($D38,Д3!$D$54:$D$63),MATCH(Z$7,Д3!$E$3:$AI$3))</f>
        <v/>
      </c>
      <c r="AA38" s="67" t="str">
        <f>INDEX(Д3!$E$54:$AI$63,MATCH($D38,Д3!$D$54:$D$63),MATCH(AA$7,Д3!$E$3:$AI$3))</f>
        <v/>
      </c>
      <c r="AB38" s="67" t="str">
        <f>INDEX(Д3!$E$54:$AI$63,MATCH($D38,Д3!$D$54:$D$63),MATCH(AB$7,Д3!$E$3:$AI$3))</f>
        <v/>
      </c>
      <c r="AC38" s="67" t="str">
        <f>INDEX(Д3!$E$54:$AI$63,MATCH($D38,Д3!$D$54:$D$63),MATCH(AC$7,Д3!$E$3:$AI$3))</f>
        <v/>
      </c>
      <c r="AD38" s="67" t="str">
        <f>INDEX(Д3!$E$54:$AI$63,MATCH($D38,Д3!$D$54:$D$63),MATCH(AD$7,Д3!$E$3:$AI$3))</f>
        <v/>
      </c>
      <c r="AE38" s="67" t="str">
        <f>INDEX(Д3!$E$54:$AI$63,MATCH($D38,Д3!$D$54:$D$63),MATCH(AE$7,Д3!$E$3:$AI$3))</f>
        <v/>
      </c>
      <c r="AF38" s="67" t="str">
        <f>INDEX(Д3!$E$54:$AI$63,MATCH($D38,Д3!$D$54:$D$63),MATCH(AF$7,Д3!$E$3:$AI$3))</f>
        <v/>
      </c>
      <c r="AG38" s="67" t="str">
        <f>INDEX(Д3!$E$54:$AI$63,MATCH($D38,Д3!$D$54:$D$63),MATCH(AG$7,Д3!$E$3:$AI$3))</f>
        <v/>
      </c>
      <c r="AH38" s="67" t="str">
        <f>INDEX(Д3!$E$54:$AI$63,MATCH($D38,Д3!$D$54:$D$63),MATCH(AH$7,Д3!$E$3:$AI$3))</f>
        <v/>
      </c>
      <c r="AI38" s="68"/>
      <c r="AJ38" s="153"/>
      <c r="AK38" s="143"/>
      <c r="AL38" s="153"/>
      <c r="AM38" s="150"/>
      <c r="AP38" s="136"/>
      <c r="AQ38" s="136"/>
      <c r="AR38" s="136"/>
      <c r="AS38" s="136"/>
      <c r="AT38" s="136"/>
      <c r="AU38" s="136"/>
      <c r="AV38" s="136"/>
      <c r="AW38" s="137"/>
      <c r="AX38" s="137"/>
    </row>
    <row r="39" spans="1:50" ht="17.25" customHeight="1" thickTop="1" thickBot="1" x14ac:dyDescent="0.3">
      <c r="A39" s="146" t="s">
        <v>103</v>
      </c>
      <c r="B39" s="151" t="s">
        <v>95</v>
      </c>
      <c r="C39" s="173">
        <v>1</v>
      </c>
      <c r="D39" s="49">
        <v>1</v>
      </c>
      <c r="E39" s="64">
        <f ca="1">INDEX(Д4!$E$54:$AI$63,MATCH($D39,Д4!$D$54:$D$63),MATCH(E$7,Д4!$E$3:$AI$3))</f>
        <v>12</v>
      </c>
      <c r="F39" s="27">
        <f ca="1">INDEX(Д4!$E$54:$AI$63,MATCH($D39,Д4!$D$54:$D$63),MATCH(F$7,Д4!$E$3:$AI$3))</f>
        <v>0</v>
      </c>
      <c r="G39" s="27">
        <f ca="1">INDEX(Д4!$E$54:$AI$63,MATCH($D39,Д4!$D$54:$D$63),MATCH(G$7,Д4!$E$3:$AI$3))</f>
        <v>0</v>
      </c>
      <c r="H39" s="27">
        <f ca="1">INDEX(Д4!$E$54:$AI$63,MATCH($D39,Д4!$D$54:$D$63),MATCH(H$7,Д4!$E$3:$AI$3))</f>
        <v>4</v>
      </c>
      <c r="I39" s="27">
        <f ca="1">INDEX(Д4!$E$54:$AI$63,MATCH($D39,Д4!$D$54:$D$63),MATCH(I$7,Д4!$E$3:$AI$3))</f>
        <v>8</v>
      </c>
      <c r="J39" s="27">
        <f ca="1">INDEX(Д4!$E$54:$AI$63,MATCH($D39,Д4!$D$54:$D$63),MATCH(J$7,Д4!$E$3:$AI$3))</f>
        <v>12</v>
      </c>
      <c r="K39" s="27">
        <f ca="1">INDEX(Д4!$E$54:$AI$63,MATCH($D39,Д4!$D$54:$D$63),MATCH(K$7,Д4!$E$3:$AI$3))</f>
        <v>4</v>
      </c>
      <c r="L39" s="27">
        <f ca="1">INDEX(Д4!$E$54:$AI$63,MATCH($D39,Д4!$D$54:$D$63),MATCH(L$7,Д4!$E$3:$AI$3))</f>
        <v>8</v>
      </c>
      <c r="M39" s="27">
        <f ca="1">INDEX(Д4!$E$54:$AI$63,MATCH($D39,Д4!$D$54:$D$63),MATCH(M$7,Д4!$E$3:$AI$3))</f>
        <v>12</v>
      </c>
      <c r="N39" s="27">
        <f ca="1">INDEX(Д4!$E$54:$AI$63,MATCH($D39,Д4!$D$54:$D$63),MATCH(N$7,Д4!$E$3:$AI$3))</f>
        <v>0</v>
      </c>
      <c r="O39" s="27">
        <f ca="1">INDEX(Д4!$E$54:$AI$63,MATCH($D39,Д4!$D$54:$D$63),MATCH(O$7,Д4!$E$3:$AI$3))</f>
        <v>0</v>
      </c>
      <c r="P39" s="27">
        <f ca="1">INDEX(Д4!$E$54:$AI$63,MATCH($D39,Д4!$D$54:$D$63),MATCH(P$7,Д4!$E$3:$AI$3))</f>
        <v>4</v>
      </c>
      <c r="Q39" s="27">
        <f ca="1">INDEX(Д4!$E$54:$AI$63,MATCH($D39,Д4!$D$54:$D$63),MATCH(Q$7,Д4!$E$3:$AI$3))</f>
        <v>8</v>
      </c>
      <c r="R39" s="27">
        <f ca="1">INDEX(Д4!$E$54:$AI$63,MATCH($D39,Д4!$D$54:$D$63),MATCH(R$7,Д4!$E$3:$AI$3))</f>
        <v>12</v>
      </c>
      <c r="S39" s="27">
        <f ca="1">INDEX(Д4!$E$54:$AI$63,MATCH($D39,Д4!$D$54:$D$63),MATCH(S$7,Д4!$E$3:$AI$3))</f>
        <v>4</v>
      </c>
      <c r="T39" s="27">
        <f ca="1">INDEX(Д4!$E$54:$AI$63,MATCH($D39,Д4!$D$54:$D$63),MATCH(T$7,Д4!$E$3:$AI$3))</f>
        <v>8</v>
      </c>
      <c r="U39" s="27">
        <f ca="1">INDEX(Д4!$E$54:$AI$63,MATCH($D39,Д4!$D$54:$D$63),MATCH(U$7,Д4!$E$3:$AI$3))</f>
        <v>12</v>
      </c>
      <c r="V39" s="27">
        <f ca="1">INDEX(Д4!$E$54:$AI$63,MATCH($D39,Д4!$D$54:$D$63),MATCH(V$7,Д4!$E$3:$AI$3))</f>
        <v>0</v>
      </c>
      <c r="W39" s="27">
        <f ca="1">INDEX(Д4!$E$54:$AI$63,MATCH($D39,Д4!$D$54:$D$63),MATCH(W$7,Д4!$E$3:$AI$3))</f>
        <v>0</v>
      </c>
      <c r="X39" s="27">
        <f ca="1">INDEX(Д4!$E$54:$AI$63,MATCH($D39,Д4!$D$54:$D$63),MATCH(X$7,Д4!$E$3:$AI$3))</f>
        <v>4</v>
      </c>
      <c r="Y39" s="27">
        <f ca="1">INDEX(Д4!$E$54:$AI$63,MATCH($D39,Д4!$D$54:$D$63),MATCH(Y$7,Д4!$E$3:$AI$3))</f>
        <v>8</v>
      </c>
      <c r="Z39" s="27">
        <f ca="1">INDEX(Д4!$E$54:$AI$63,MATCH($D39,Д4!$D$54:$D$63),MATCH(Z$7,Д4!$E$3:$AI$3))</f>
        <v>12</v>
      </c>
      <c r="AA39" s="27">
        <f ca="1">INDEX(Д4!$E$54:$AI$63,MATCH($D39,Д4!$D$54:$D$63),MATCH(AA$7,Д4!$E$3:$AI$3))</f>
        <v>4</v>
      </c>
      <c r="AB39" s="27">
        <f ca="1">INDEX(Д4!$E$54:$AI$63,MATCH($D39,Д4!$D$54:$D$63),MATCH(AB$7,Д4!$E$3:$AI$3))</f>
        <v>8</v>
      </c>
      <c r="AC39" s="27">
        <f ca="1">INDEX(Д4!$E$54:$AI$63,MATCH($D39,Д4!$D$54:$D$63),MATCH(AC$7,Д4!$E$3:$AI$3))</f>
        <v>12</v>
      </c>
      <c r="AD39" s="27">
        <f ca="1">INDEX(Д4!$E$54:$AI$63,MATCH($D39,Д4!$D$54:$D$63),MATCH(AD$7,Д4!$E$3:$AI$3))</f>
        <v>0</v>
      </c>
      <c r="AE39" s="27">
        <f ca="1">INDEX(Д4!$E$54:$AI$63,MATCH($D39,Д4!$D$54:$D$63),MATCH(AE$7,Д4!$E$3:$AI$3))</f>
        <v>0</v>
      </c>
      <c r="AF39" s="27">
        <f ca="1">INDEX(Д4!$E$54:$AI$63,MATCH($D39,Д4!$D$54:$D$63),MATCH(AF$7,Д4!$E$3:$AI$3))</f>
        <v>4</v>
      </c>
      <c r="AG39" s="27">
        <f ca="1">INDEX(Д4!$E$54:$AI$63,MATCH($D39,Д4!$D$54:$D$63),MATCH(AG$7,Д4!$E$3:$AI$3))</f>
        <v>8</v>
      </c>
      <c r="AH39" s="27">
        <f ca="1">INDEX(Д4!$E$54:$AI$63,MATCH($D39,Д4!$D$54:$D$63),MATCH(AH$7,Д4!$E$3:$AI$3))</f>
        <v>12</v>
      </c>
      <c r="AI39" s="32"/>
      <c r="AJ39" s="143">
        <f>INDEX(Д4!AK$54:$AK$63,MATCH($C39,Д4!$C$54:$C$63),MATCH(E$7,Д4!$E$3:$AI$3))*AND(MONTH($E$8)=MONTH(Д4!$B$54))</f>
        <v>151</v>
      </c>
      <c r="AK39" s="154">
        <f ca="1">SUM(E39:AI40)</f>
        <v>180</v>
      </c>
      <c r="AL39" s="155"/>
      <c r="AM39" s="149">
        <f ca="1">SUM(F39:H40,J39:AI40)-AJ39+AL39-12</f>
        <v>-3</v>
      </c>
      <c r="AP39" s="136">
        <f t="shared" ref="AP39" ca="1" si="86">COUNTIF($E39:$AI40,"12")</f>
        <v>8</v>
      </c>
      <c r="AQ39" s="136">
        <f t="shared" ref="AQ39" ca="1" si="87">IF(COUNTIF($E39:$AI40,"СП")&gt;=1,(COUNTIF($E39:$AI40,"4")+COUNTIF($E39:$AI40,"8")-1)/2,(COUNTIF($E39:$AI40,"4")+COUNTIF($E39:$AI40,"8"))/2)</f>
        <v>6.5</v>
      </c>
      <c r="AR39" s="136">
        <f t="shared" ca="1" si="2"/>
        <v>96</v>
      </c>
      <c r="AS39" s="136">
        <f t="shared" ref="AS39" ca="1" si="88">IF(COUNTIF($E39:$AI40,"СП")&gt;=1,SUMIF($E39:$AI40,"4",$E39:$AI40)+SUMIF($E39:$AI40,"8",$E39:$AI40)-8,SUMIF($E39:$AI40,"4",$E39:$AI40)+SUMIF($E39:$AI40,"8",$E39:$AI40))</f>
        <v>76</v>
      </c>
      <c r="AT39" s="136">
        <f t="shared" ref="AT39" ca="1" si="89">$AR39+$AS39</f>
        <v>172</v>
      </c>
      <c r="AU39" s="136" t="str">
        <f t="shared" ref="AU39" ca="1" si="90">IF(AK39=AT39,"+","!")</f>
        <v>!</v>
      </c>
      <c r="AV39" s="136">
        <f t="shared" ref="AV39" ca="1" si="91">COUNTIF($E39:$AI40,"ОТ")</f>
        <v>0</v>
      </c>
      <c r="AW39" s="137" t="str">
        <f ca="1">IF(COUNTIF($A40:$AI40,"СП")&gt;0,IF(INDIRECT(ADDRESS(ROW(),MATCH("СП",$A40:$AI40),1))=8,"","!"),"")</f>
        <v>!</v>
      </c>
      <c r="AX39" s="137" t="str">
        <f ca="1">IF(COUNTIF($A40:$AI40,"СП")&gt;0,IF(INDIRECT(ADDRESS(ROW(),MATCH("СП",$A40:$AI40)-1,1))=4,"!",""),"")</f>
        <v/>
      </c>
    </row>
    <row r="40" spans="1:50" ht="16.5" thickBot="1" x14ac:dyDescent="0.3">
      <c r="A40" s="147"/>
      <c r="B40" s="139"/>
      <c r="C40" s="171"/>
      <c r="D40" s="50">
        <v>2</v>
      </c>
      <c r="E40" s="63" t="str">
        <f>INDEX(Д4!$E$54:$AI$63,MATCH($D40,Д4!$D$54:$D$63),MATCH(E$7,Д4!$E$3:$AI$3))</f>
        <v/>
      </c>
      <c r="F40" s="29" t="str">
        <f>INDEX(Д4!$E$54:$AI$63,MATCH($D40,Д4!$D$54:$D$63),MATCH(F$7,Д4!$E$3:$AI$3))</f>
        <v/>
      </c>
      <c r="G40" s="29" t="str">
        <f>INDEX(Д4!$E$54:$AI$63,MATCH($D40,Д4!$D$54:$D$63),MATCH(G$7,Д4!$E$3:$AI$3))</f>
        <v/>
      </c>
      <c r="H40" s="29" t="str">
        <f>INDEX(Д4!$E$54:$AI$63,MATCH($D40,Д4!$D$54:$D$63),MATCH(H$7,Д4!$E$3:$AI$3))</f>
        <v/>
      </c>
      <c r="I40" s="29" t="str">
        <f>INDEX(Д4!$E$54:$AI$63,MATCH($D40,Д4!$D$54:$D$63),MATCH(I$7,Д4!$E$3:$AI$3))</f>
        <v/>
      </c>
      <c r="J40" s="29" t="str">
        <f>INDEX(Д4!$E$54:$AI$63,MATCH($D40,Д4!$D$54:$D$63),MATCH(J$7,Д4!$E$3:$AI$3))</f>
        <v>СП</v>
      </c>
      <c r="K40" s="29" t="str">
        <f>INDEX(Д4!$E$54:$AI$63,MATCH($D40,Д4!$D$54:$D$63),MATCH(K$7,Д4!$E$3:$AI$3))</f>
        <v/>
      </c>
      <c r="L40" s="29" t="str">
        <f>INDEX(Д4!$E$54:$AI$63,MATCH($D40,Д4!$D$54:$D$63),MATCH(L$7,Д4!$E$3:$AI$3))</f>
        <v/>
      </c>
      <c r="M40" s="29" t="str">
        <f>INDEX(Д4!$E$54:$AI$63,MATCH($D40,Д4!$D$54:$D$63),MATCH(M$7,Д4!$E$3:$AI$3))</f>
        <v/>
      </c>
      <c r="N40" s="29" t="str">
        <f>INDEX(Д4!$E$54:$AI$63,MATCH($D40,Д4!$D$54:$D$63),MATCH(N$7,Д4!$E$3:$AI$3))</f>
        <v/>
      </c>
      <c r="O40" s="29" t="str">
        <f>INDEX(Д4!$E$54:$AI$63,MATCH($D40,Д4!$D$54:$D$63),MATCH(O$7,Д4!$E$3:$AI$3))</f>
        <v/>
      </c>
      <c r="P40" s="29" t="str">
        <f>INDEX(Д4!$E$54:$AI$63,MATCH($D40,Д4!$D$54:$D$63),MATCH(P$7,Д4!$E$3:$AI$3))</f>
        <v/>
      </c>
      <c r="Q40" s="29" t="str">
        <f>INDEX(Д4!$E$54:$AI$63,MATCH($D40,Д4!$D$54:$D$63),MATCH(Q$7,Д4!$E$3:$AI$3))</f>
        <v/>
      </c>
      <c r="R40" s="29" t="str">
        <f>INDEX(Д4!$E$54:$AI$63,MATCH($D40,Д4!$D$54:$D$63),MATCH(R$7,Д4!$E$3:$AI$3))</f>
        <v/>
      </c>
      <c r="S40" s="29" t="str">
        <f>INDEX(Д4!$E$54:$AI$63,MATCH($D40,Д4!$D$54:$D$63),MATCH(S$7,Д4!$E$3:$AI$3))</f>
        <v/>
      </c>
      <c r="T40" s="29" t="str">
        <f>INDEX(Д4!$E$54:$AI$63,MATCH($D40,Д4!$D$54:$D$63),MATCH(T$7,Д4!$E$3:$AI$3))</f>
        <v/>
      </c>
      <c r="U40" s="29" t="str">
        <f>INDEX(Д4!$E$54:$AI$63,MATCH($D40,Д4!$D$54:$D$63),MATCH(U$7,Д4!$E$3:$AI$3))</f>
        <v/>
      </c>
      <c r="V40" s="29" t="str">
        <f>INDEX(Д4!$E$54:$AI$63,MATCH($D40,Д4!$D$54:$D$63),MATCH(V$7,Д4!$E$3:$AI$3))</f>
        <v/>
      </c>
      <c r="W40" s="29" t="str">
        <f>INDEX(Д4!$E$54:$AI$63,MATCH($D40,Д4!$D$54:$D$63),MATCH(W$7,Д4!$E$3:$AI$3))</f>
        <v/>
      </c>
      <c r="X40" s="29" t="str">
        <f>INDEX(Д4!$E$54:$AI$63,MATCH($D40,Д4!$D$54:$D$63),MATCH(X$7,Д4!$E$3:$AI$3))</f>
        <v/>
      </c>
      <c r="Y40" s="29" t="str">
        <f>INDEX(Д4!$E$54:$AI$63,MATCH($D40,Д4!$D$54:$D$63),MATCH(Y$7,Д4!$E$3:$AI$3))</f>
        <v/>
      </c>
      <c r="Z40" s="29" t="str">
        <f>INDEX(Д4!$E$54:$AI$63,MATCH($D40,Д4!$D$54:$D$63),MATCH(Z$7,Д4!$E$3:$AI$3))</f>
        <v/>
      </c>
      <c r="AA40" s="29" t="str">
        <f>INDEX(Д4!$E$54:$AI$63,MATCH($D40,Д4!$D$54:$D$63),MATCH(AA$7,Д4!$E$3:$AI$3))</f>
        <v/>
      </c>
      <c r="AB40" s="29" t="str">
        <f>INDEX(Д4!$E$54:$AI$63,MATCH($D40,Д4!$D$54:$D$63),MATCH(AB$7,Д4!$E$3:$AI$3))</f>
        <v/>
      </c>
      <c r="AC40" s="29" t="str">
        <f>INDEX(Д4!$E$54:$AI$63,MATCH($D40,Д4!$D$54:$D$63),MATCH(AC$7,Д4!$E$3:$AI$3))</f>
        <v/>
      </c>
      <c r="AD40" s="29" t="str">
        <f>INDEX(Д4!$E$54:$AI$63,MATCH($D40,Д4!$D$54:$D$63),MATCH(AD$7,Д4!$E$3:$AI$3))</f>
        <v/>
      </c>
      <c r="AE40" s="29" t="str">
        <f>INDEX(Д4!$E$54:$AI$63,MATCH($D40,Д4!$D$54:$D$63),MATCH(AE$7,Д4!$E$3:$AI$3))</f>
        <v/>
      </c>
      <c r="AF40" s="29" t="str">
        <f>INDEX(Д4!$E$54:$AI$63,MATCH($D40,Д4!$D$54:$D$63),MATCH(AF$7,Д4!$E$3:$AI$3))</f>
        <v/>
      </c>
      <c r="AG40" s="29" t="str">
        <f>INDEX(Д4!$E$54:$AI$63,MATCH($D40,Д4!$D$54:$D$63),MATCH(AG$7,Д4!$E$3:$AI$3))</f>
        <v/>
      </c>
      <c r="AH40" s="29" t="str">
        <f>INDEX(Д4!$E$54:$AI$63,MATCH($D40,Д4!$D$54:$D$63),MATCH(AH$7,Д4!$E$3:$AI$3))</f>
        <v/>
      </c>
      <c r="AI40" s="61"/>
      <c r="AJ40" s="153"/>
      <c r="AK40" s="145"/>
      <c r="AL40" s="145"/>
      <c r="AM40" s="150"/>
      <c r="AP40" s="136"/>
      <c r="AQ40" s="136"/>
      <c r="AR40" s="136"/>
      <c r="AS40" s="136"/>
      <c r="AT40" s="136"/>
      <c r="AU40" s="136"/>
      <c r="AV40" s="136"/>
      <c r="AW40" s="137"/>
      <c r="AX40" s="137"/>
    </row>
    <row r="41" spans="1:50" ht="16.5" customHeight="1" thickBot="1" x14ac:dyDescent="0.3">
      <c r="A41" s="147"/>
      <c r="B41" s="139" t="s">
        <v>96</v>
      </c>
      <c r="C41" s="170">
        <v>2</v>
      </c>
      <c r="D41" s="49">
        <v>3</v>
      </c>
      <c r="E41" s="64">
        <f ca="1">INDEX(Д4!$E$54:$AI$63,MATCH($D41,Д4!$D$54:$D$63),MATCH(E$7,Д4!$E$3:$AI$3))</f>
        <v>0</v>
      </c>
      <c r="F41" s="27">
        <f ca="1">INDEX(Д4!$E$54:$AI$63,MATCH($D41,Д4!$D$54:$D$63),MATCH(F$7,Д4!$E$3:$AI$3))</f>
        <v>4</v>
      </c>
      <c r="G41" s="27">
        <f ca="1">INDEX(Д4!$E$54:$AI$63,MATCH($D41,Д4!$D$54:$D$63),MATCH(G$7,Д4!$E$3:$AI$3))</f>
        <v>8</v>
      </c>
      <c r="H41" s="27">
        <f ca="1">INDEX(Д4!$E$54:$AI$63,MATCH($D41,Д4!$D$54:$D$63),MATCH(H$7,Д4!$E$3:$AI$3))</f>
        <v>12</v>
      </c>
      <c r="I41" s="27">
        <f ca="1">INDEX(Д4!$E$54:$AI$63,MATCH($D41,Д4!$D$54:$D$63),MATCH(I$7,Д4!$E$3:$AI$3))</f>
        <v>4</v>
      </c>
      <c r="J41" s="27">
        <f ca="1">INDEX(Д4!$E$54:$AI$63,MATCH($D41,Д4!$D$54:$D$63),MATCH(J$7,Д4!$E$3:$AI$3))</f>
        <v>8</v>
      </c>
      <c r="K41" s="27">
        <f ca="1">INDEX(Д4!$E$54:$AI$63,MATCH($D41,Д4!$D$54:$D$63),MATCH(K$7,Д4!$E$3:$AI$3))</f>
        <v>12</v>
      </c>
      <c r="L41" s="27">
        <f ca="1">INDEX(Д4!$E$54:$AI$63,MATCH($D41,Д4!$D$54:$D$63),MATCH(L$7,Д4!$E$3:$AI$3))</f>
        <v>0</v>
      </c>
      <c r="M41" s="27">
        <f ca="1">INDEX(Д4!$E$54:$AI$63,MATCH($D41,Д4!$D$54:$D$63),MATCH(M$7,Д4!$E$3:$AI$3))</f>
        <v>0</v>
      </c>
      <c r="N41" s="27">
        <f ca="1">INDEX(Д4!$E$54:$AI$63,MATCH($D41,Д4!$D$54:$D$63),MATCH(N$7,Д4!$E$3:$AI$3))</f>
        <v>4</v>
      </c>
      <c r="O41" s="27">
        <f ca="1">INDEX(Д4!$E$54:$AI$63,MATCH($D41,Д4!$D$54:$D$63),MATCH(O$7,Д4!$E$3:$AI$3))</f>
        <v>8</v>
      </c>
      <c r="P41" s="27">
        <f ca="1">INDEX(Д4!$E$54:$AI$63,MATCH($D41,Д4!$D$54:$D$63),MATCH(P$7,Д4!$E$3:$AI$3))</f>
        <v>12</v>
      </c>
      <c r="Q41" s="27">
        <f ca="1">INDEX(Д4!$E$54:$AI$63,MATCH($D41,Д4!$D$54:$D$63),MATCH(Q$7,Д4!$E$3:$AI$3))</f>
        <v>4</v>
      </c>
      <c r="R41" s="27">
        <f ca="1">INDEX(Д4!$E$54:$AI$63,MATCH($D41,Д4!$D$54:$D$63),MATCH(R$7,Д4!$E$3:$AI$3))</f>
        <v>8</v>
      </c>
      <c r="S41" s="27">
        <f ca="1">INDEX(Д4!$E$54:$AI$63,MATCH($D41,Д4!$D$54:$D$63),MATCH(S$7,Д4!$E$3:$AI$3))</f>
        <v>12</v>
      </c>
      <c r="T41" s="27">
        <f ca="1">INDEX(Д4!$E$54:$AI$63,MATCH($D41,Д4!$D$54:$D$63),MATCH(T$7,Д4!$E$3:$AI$3))</f>
        <v>0</v>
      </c>
      <c r="U41" s="27">
        <f ca="1">INDEX(Д4!$E$54:$AI$63,MATCH($D41,Д4!$D$54:$D$63),MATCH(U$7,Д4!$E$3:$AI$3))</f>
        <v>0</v>
      </c>
      <c r="V41" s="27">
        <f ca="1">INDEX(Д4!$E$54:$AI$63,MATCH($D41,Д4!$D$54:$D$63),MATCH(V$7,Д4!$E$3:$AI$3))</f>
        <v>4</v>
      </c>
      <c r="W41" s="27">
        <f ca="1">INDEX(Д4!$E$54:$AI$63,MATCH($D41,Д4!$D$54:$D$63),MATCH(W$7,Д4!$E$3:$AI$3))</f>
        <v>8</v>
      </c>
      <c r="X41" s="27">
        <f ca="1">INDEX(Д4!$E$54:$AI$63,MATCH($D41,Д4!$D$54:$D$63),MATCH(X$7,Д4!$E$3:$AI$3))</f>
        <v>12</v>
      </c>
      <c r="Y41" s="27">
        <f ca="1">INDEX(Д4!$E$54:$AI$63,MATCH($D41,Д4!$D$54:$D$63),MATCH(Y$7,Д4!$E$3:$AI$3))</f>
        <v>4</v>
      </c>
      <c r="Z41" s="27">
        <f ca="1">INDEX(Д4!$E$54:$AI$63,MATCH($D41,Д4!$D$54:$D$63),MATCH(Z$7,Д4!$E$3:$AI$3))</f>
        <v>8</v>
      </c>
      <c r="AA41" s="27">
        <f ca="1">INDEX(Д4!$E$54:$AI$63,MATCH($D41,Д4!$D$54:$D$63),MATCH(AA$7,Д4!$E$3:$AI$3))</f>
        <v>12</v>
      </c>
      <c r="AB41" s="27">
        <f ca="1">INDEX(Д4!$E$54:$AI$63,MATCH($D41,Д4!$D$54:$D$63),MATCH(AB$7,Д4!$E$3:$AI$3))</f>
        <v>0</v>
      </c>
      <c r="AC41" s="27">
        <f ca="1">INDEX(Д4!$E$54:$AI$63,MATCH($D41,Д4!$D$54:$D$63),MATCH(AC$7,Д4!$E$3:$AI$3))</f>
        <v>0</v>
      </c>
      <c r="AD41" s="27">
        <f ca="1">INDEX(Д4!$E$54:$AI$63,MATCH($D41,Д4!$D$54:$D$63),MATCH(AD$7,Д4!$E$3:$AI$3))</f>
        <v>4</v>
      </c>
      <c r="AE41" s="27">
        <f ca="1">INDEX(Д4!$E$54:$AI$63,MATCH($D41,Д4!$D$54:$D$63),MATCH(AE$7,Д4!$E$3:$AI$3))</f>
        <v>8</v>
      </c>
      <c r="AF41" s="27">
        <f ca="1">INDEX(Д4!$E$54:$AI$63,MATCH($D41,Д4!$D$54:$D$63),MATCH(AF$7,Д4!$E$3:$AI$3))</f>
        <v>12</v>
      </c>
      <c r="AG41" s="27">
        <f ca="1">INDEX(Д4!$E$54:$AI$63,MATCH($D41,Д4!$D$54:$D$63),MATCH(AG$7,Д4!$E$3:$AI$3))</f>
        <v>4</v>
      </c>
      <c r="AH41" s="27">
        <f ca="1">INDEX(Д4!$E$54:$AI$63,MATCH($D41,Д4!$D$54:$D$63),MATCH(AH$7,Д4!$E$3:$AI$3))</f>
        <v>8</v>
      </c>
      <c r="AI41" s="32"/>
      <c r="AJ41" s="143">
        <f>INDEX(Д4!AK$54:$AK$63,MATCH($C41,Д4!$C$54:$C$63),MATCH(E$7,Д4!$E$3:$AI$3))*AND(MONTH($E$8)=MONTH(Д4!$B$54))</f>
        <v>151</v>
      </c>
      <c r="AK41" s="144">
        <f ca="1">SUM(E41:AI42)</f>
        <v>180</v>
      </c>
      <c r="AL41" s="144"/>
      <c r="AM41" s="149">
        <f ca="1">SUM(F41:H42,J41:AI42)-AJ41+AL41-12</f>
        <v>13</v>
      </c>
      <c r="AP41" s="136">
        <f t="shared" ref="AP41" ca="1" si="92">COUNTIF($E41:$AI42,"12")</f>
        <v>7</v>
      </c>
      <c r="AQ41" s="136">
        <f t="shared" ref="AQ41" ca="1" si="93">IF(COUNTIF($E41:$AI42,"СП")&gt;=1,(COUNTIF($E41:$AI42,"4")+COUNTIF($E41:$AI42,"8")-1)/2,(COUNTIF($E41:$AI42,"4")+COUNTIF($E41:$AI42,"8"))/2)</f>
        <v>7.5</v>
      </c>
      <c r="AR41" s="136">
        <f t="shared" ca="1" si="2"/>
        <v>84</v>
      </c>
      <c r="AS41" s="136">
        <f t="shared" ref="AS41" ca="1" si="94">IF(COUNTIF($E41:$AI42,"СП")&gt;=1,SUMIF($E41:$AI42,"4",$E41:$AI42)+SUMIF($E41:$AI42,"8",$E41:$AI42)-8,SUMIF($E41:$AI42,"4",$E41:$AI42)+SUMIF($E41:$AI42,"8",$E41:$AI42))</f>
        <v>88</v>
      </c>
      <c r="AT41" s="136">
        <f t="shared" ref="AT41" ca="1" si="95">$AR41+$AS41</f>
        <v>172</v>
      </c>
      <c r="AU41" s="136" t="str">
        <f t="shared" ref="AU41" ca="1" si="96">IF(AK41=AT41,"+","!")</f>
        <v>!</v>
      </c>
      <c r="AV41" s="136">
        <f t="shared" ref="AV41" ca="1" si="97">COUNTIF($E41:$AI42,"ОТ")</f>
        <v>0</v>
      </c>
      <c r="AW41" s="137" t="str">
        <f ca="1">IF(COUNTIF($A42:$AI42,"СП")&gt;0,IF(INDIRECT(ADDRESS(ROW(),MATCH("СП",$A42:$AI42),1))=8,"","!"),"")</f>
        <v/>
      </c>
      <c r="AX41" s="137" t="str">
        <f ca="1">IF(COUNTIF($A42:$AI42,"СП")&gt;0,IF(INDIRECT(ADDRESS(ROW(),MATCH("СП",$A42:$AI42)-1,1))=4,"!",""),"")</f>
        <v>!</v>
      </c>
    </row>
    <row r="42" spans="1:50" ht="16.5" thickBot="1" x14ac:dyDescent="0.3">
      <c r="A42" s="147"/>
      <c r="B42" s="139"/>
      <c r="C42" s="171"/>
      <c r="D42" s="50">
        <v>4</v>
      </c>
      <c r="E42" s="65" t="str">
        <f>INDEX(Д4!$E$54:$AI$63,MATCH($D42,Д4!$D$54:$D$63),MATCH(E$7,Д4!$E$3:$AI$3))</f>
        <v/>
      </c>
      <c r="F42" s="30" t="str">
        <f>INDEX(Д4!$E$54:$AI$63,MATCH($D42,Д4!$D$54:$D$63),MATCH(F$7,Д4!$E$3:$AI$3))</f>
        <v/>
      </c>
      <c r="G42" s="30" t="str">
        <f>INDEX(Д4!$E$54:$AI$63,MATCH($D42,Д4!$D$54:$D$63),MATCH(G$7,Д4!$E$3:$AI$3))</f>
        <v/>
      </c>
      <c r="H42" s="30" t="str">
        <f>INDEX(Д4!$E$54:$AI$63,MATCH($D42,Д4!$D$54:$D$63),MATCH(H$7,Д4!$E$3:$AI$3))</f>
        <v/>
      </c>
      <c r="I42" s="30" t="str">
        <f>INDEX(Д4!$E$54:$AI$63,MATCH($D42,Д4!$D$54:$D$63),MATCH(I$7,Д4!$E$3:$AI$3))</f>
        <v/>
      </c>
      <c r="J42" s="30" t="str">
        <f>INDEX(Д4!$E$54:$AI$63,MATCH($D42,Д4!$D$54:$D$63),MATCH(J$7,Д4!$E$3:$AI$3))</f>
        <v/>
      </c>
      <c r="K42" s="30" t="str">
        <f>INDEX(Д4!$E$54:$AI$63,MATCH($D42,Д4!$D$54:$D$63),MATCH(K$7,Д4!$E$3:$AI$3))</f>
        <v>СП</v>
      </c>
      <c r="L42" s="30" t="str">
        <f>INDEX(Д4!$E$54:$AI$63,MATCH($D42,Д4!$D$54:$D$63),MATCH(L$7,Д4!$E$3:$AI$3))</f>
        <v/>
      </c>
      <c r="M42" s="30" t="str">
        <f>INDEX(Д4!$E$54:$AI$63,MATCH($D42,Д4!$D$54:$D$63),MATCH(M$7,Д4!$E$3:$AI$3))</f>
        <v/>
      </c>
      <c r="N42" s="30" t="str">
        <f>INDEX(Д4!$E$54:$AI$63,MATCH($D42,Д4!$D$54:$D$63),MATCH(N$7,Д4!$E$3:$AI$3))</f>
        <v/>
      </c>
      <c r="O42" s="30" t="str">
        <f>INDEX(Д4!$E$54:$AI$63,MATCH($D42,Д4!$D$54:$D$63),MATCH(O$7,Д4!$E$3:$AI$3))</f>
        <v/>
      </c>
      <c r="P42" s="30" t="str">
        <f>INDEX(Д4!$E$54:$AI$63,MATCH($D42,Д4!$D$54:$D$63),MATCH(P$7,Д4!$E$3:$AI$3))</f>
        <v/>
      </c>
      <c r="Q42" s="30" t="str">
        <f>INDEX(Д4!$E$54:$AI$63,MATCH($D42,Д4!$D$54:$D$63),MATCH(Q$7,Д4!$E$3:$AI$3))</f>
        <v/>
      </c>
      <c r="R42" s="30" t="str">
        <f>INDEX(Д4!$E$54:$AI$63,MATCH($D42,Д4!$D$54:$D$63),MATCH(R$7,Д4!$E$3:$AI$3))</f>
        <v/>
      </c>
      <c r="S42" s="30" t="str">
        <f>INDEX(Д4!$E$54:$AI$63,MATCH($D42,Д4!$D$54:$D$63),MATCH(S$7,Д4!$E$3:$AI$3))</f>
        <v/>
      </c>
      <c r="T42" s="30" t="str">
        <f>INDEX(Д4!$E$54:$AI$63,MATCH($D42,Д4!$D$54:$D$63),MATCH(T$7,Д4!$E$3:$AI$3))</f>
        <v/>
      </c>
      <c r="U42" s="30" t="str">
        <f>INDEX(Д4!$E$54:$AI$63,MATCH($D42,Д4!$D$54:$D$63),MATCH(U$7,Д4!$E$3:$AI$3))</f>
        <v/>
      </c>
      <c r="V42" s="30" t="str">
        <f>INDEX(Д4!$E$54:$AI$63,MATCH($D42,Д4!$D$54:$D$63),MATCH(V$7,Д4!$E$3:$AI$3))</f>
        <v/>
      </c>
      <c r="W42" s="30" t="str">
        <f>INDEX(Д4!$E$54:$AI$63,MATCH($D42,Д4!$D$54:$D$63),MATCH(W$7,Д4!$E$3:$AI$3))</f>
        <v/>
      </c>
      <c r="X42" s="30" t="str">
        <f>INDEX(Д4!$E$54:$AI$63,MATCH($D42,Д4!$D$54:$D$63),MATCH(X$7,Д4!$E$3:$AI$3))</f>
        <v/>
      </c>
      <c r="Y42" s="30" t="str">
        <f>INDEX(Д4!$E$54:$AI$63,MATCH($D42,Д4!$D$54:$D$63),MATCH(Y$7,Д4!$E$3:$AI$3))</f>
        <v/>
      </c>
      <c r="Z42" s="30" t="str">
        <f>INDEX(Д4!$E$54:$AI$63,MATCH($D42,Д4!$D$54:$D$63),MATCH(Z$7,Д4!$E$3:$AI$3))</f>
        <v/>
      </c>
      <c r="AA42" s="30" t="str">
        <f>INDEX(Д4!$E$54:$AI$63,MATCH($D42,Д4!$D$54:$D$63),MATCH(AA$7,Д4!$E$3:$AI$3))</f>
        <v/>
      </c>
      <c r="AB42" s="30" t="str">
        <f>INDEX(Д4!$E$54:$AI$63,MATCH($D42,Д4!$D$54:$D$63),MATCH(AB$7,Д4!$E$3:$AI$3))</f>
        <v/>
      </c>
      <c r="AC42" s="30" t="str">
        <f>INDEX(Д4!$E$54:$AI$63,MATCH($D42,Д4!$D$54:$D$63),MATCH(AC$7,Д4!$E$3:$AI$3))</f>
        <v/>
      </c>
      <c r="AD42" s="30" t="str">
        <f>INDEX(Д4!$E$54:$AI$63,MATCH($D42,Д4!$D$54:$D$63),MATCH(AD$7,Д4!$E$3:$AI$3))</f>
        <v/>
      </c>
      <c r="AE42" s="30" t="str">
        <f>INDEX(Д4!$E$54:$AI$63,MATCH($D42,Д4!$D$54:$D$63),MATCH(AE$7,Д4!$E$3:$AI$3))</f>
        <v/>
      </c>
      <c r="AF42" s="30" t="str">
        <f>INDEX(Д4!$E$54:$AI$63,MATCH($D42,Д4!$D$54:$D$63),MATCH(AF$7,Д4!$E$3:$AI$3))</f>
        <v/>
      </c>
      <c r="AG42" s="30" t="str">
        <f>INDEX(Д4!$E$54:$AI$63,MATCH($D42,Д4!$D$54:$D$63),MATCH(AG$7,Д4!$E$3:$AI$3))</f>
        <v/>
      </c>
      <c r="AH42" s="30" t="str">
        <f>INDEX(Д4!$E$54:$AI$63,MATCH($D42,Д4!$D$54:$D$63),MATCH(AH$7,Д4!$E$3:$AI$3))</f>
        <v/>
      </c>
      <c r="AI42" s="33"/>
      <c r="AJ42" s="143"/>
      <c r="AK42" s="145"/>
      <c r="AL42" s="145"/>
      <c r="AM42" s="150"/>
      <c r="AP42" s="136"/>
      <c r="AQ42" s="136"/>
      <c r="AR42" s="136"/>
      <c r="AS42" s="136"/>
      <c r="AT42" s="136"/>
      <c r="AU42" s="136"/>
      <c r="AV42" s="136"/>
      <c r="AW42" s="137"/>
      <c r="AX42" s="137"/>
    </row>
    <row r="43" spans="1:50" ht="16.5" thickBot="1" x14ac:dyDescent="0.3">
      <c r="A43" s="147"/>
      <c r="B43" s="139" t="s">
        <v>97</v>
      </c>
      <c r="C43" s="170">
        <v>3</v>
      </c>
      <c r="D43" s="49">
        <v>5</v>
      </c>
      <c r="E43" s="62">
        <f ca="1">INDEX(Д4!$E$54:$AI$63,MATCH($D43,Д4!$D$54:$D$63),MATCH(E$7,Д4!$E$3:$AI$3))</f>
        <v>4</v>
      </c>
      <c r="F43" s="28">
        <f ca="1">INDEX(Д4!$E$54:$AI$63,MATCH($D43,Д4!$D$54:$D$63),MATCH(F$7,Д4!$E$3:$AI$3))</f>
        <v>8</v>
      </c>
      <c r="G43" s="28">
        <f ca="1">INDEX(Д4!$E$54:$AI$63,MATCH($D43,Д4!$D$54:$D$63),MATCH(G$7,Д4!$E$3:$AI$3))</f>
        <v>12</v>
      </c>
      <c r="H43" s="28">
        <f ca="1">INDEX(Д4!$E$54:$AI$63,MATCH($D43,Д4!$D$54:$D$63),MATCH(H$7,Д4!$E$3:$AI$3))</f>
        <v>0</v>
      </c>
      <c r="I43" s="28">
        <f ca="1">INDEX(Д4!$E$54:$AI$63,MATCH($D43,Д4!$D$54:$D$63),MATCH(I$7,Д4!$E$3:$AI$3))</f>
        <v>0</v>
      </c>
      <c r="J43" s="28">
        <f ca="1">INDEX(Д4!$E$54:$AI$63,MATCH($D43,Д4!$D$54:$D$63),MATCH(J$7,Д4!$E$3:$AI$3))</f>
        <v>4</v>
      </c>
      <c r="K43" s="28">
        <f ca="1">INDEX(Д4!$E$54:$AI$63,MATCH($D43,Д4!$D$54:$D$63),MATCH(K$7,Д4!$E$3:$AI$3))</f>
        <v>8</v>
      </c>
      <c r="L43" s="28">
        <f ca="1">INDEX(Д4!$E$54:$AI$63,MATCH($D43,Д4!$D$54:$D$63),MATCH(L$7,Д4!$E$3:$AI$3))</f>
        <v>12</v>
      </c>
      <c r="M43" s="28">
        <f ca="1">INDEX(Д4!$E$54:$AI$63,MATCH($D43,Д4!$D$54:$D$63),MATCH(M$7,Д4!$E$3:$AI$3))</f>
        <v>4</v>
      </c>
      <c r="N43" s="28">
        <f ca="1">INDEX(Д4!$E$54:$AI$63,MATCH($D43,Д4!$D$54:$D$63),MATCH(N$7,Д4!$E$3:$AI$3))</f>
        <v>8</v>
      </c>
      <c r="O43" s="28">
        <f ca="1">INDEX(Д4!$E$54:$AI$63,MATCH($D43,Д4!$D$54:$D$63),MATCH(O$7,Д4!$E$3:$AI$3))</f>
        <v>12</v>
      </c>
      <c r="P43" s="28">
        <f ca="1">INDEX(Д4!$E$54:$AI$63,MATCH($D43,Д4!$D$54:$D$63),MATCH(P$7,Д4!$E$3:$AI$3))</f>
        <v>0</v>
      </c>
      <c r="Q43" s="28">
        <f ca="1">INDEX(Д4!$E$54:$AI$63,MATCH($D43,Д4!$D$54:$D$63),MATCH(Q$7,Д4!$E$3:$AI$3))</f>
        <v>0</v>
      </c>
      <c r="R43" s="28">
        <f ca="1">INDEX(Д4!$E$54:$AI$63,MATCH($D43,Д4!$D$54:$D$63),MATCH(R$7,Д4!$E$3:$AI$3))</f>
        <v>4</v>
      </c>
      <c r="S43" s="28">
        <f ca="1">INDEX(Д4!$E$54:$AI$63,MATCH($D43,Д4!$D$54:$D$63),MATCH(S$7,Д4!$E$3:$AI$3))</f>
        <v>8</v>
      </c>
      <c r="T43" s="28">
        <f ca="1">INDEX(Д4!$E$54:$AI$63,MATCH($D43,Д4!$D$54:$D$63),MATCH(T$7,Д4!$E$3:$AI$3))</f>
        <v>12</v>
      </c>
      <c r="U43" s="28">
        <f ca="1">INDEX(Д4!$E$54:$AI$63,MATCH($D43,Д4!$D$54:$D$63),MATCH(U$7,Д4!$E$3:$AI$3))</f>
        <v>4</v>
      </c>
      <c r="V43" s="28">
        <f ca="1">INDEX(Д4!$E$54:$AI$63,MATCH($D43,Д4!$D$54:$D$63),MATCH(V$7,Д4!$E$3:$AI$3))</f>
        <v>8</v>
      </c>
      <c r="W43" s="28">
        <f ca="1">INDEX(Д4!$E$54:$AI$63,MATCH($D43,Д4!$D$54:$D$63),MATCH(W$7,Д4!$E$3:$AI$3))</f>
        <v>12</v>
      </c>
      <c r="X43" s="28">
        <f ca="1">INDEX(Д4!$E$54:$AI$63,MATCH($D43,Д4!$D$54:$D$63),MATCH(X$7,Д4!$E$3:$AI$3))</f>
        <v>0</v>
      </c>
      <c r="Y43" s="28">
        <f ca="1">INDEX(Д4!$E$54:$AI$63,MATCH($D43,Д4!$D$54:$D$63),MATCH(Y$7,Д4!$E$3:$AI$3))</f>
        <v>0</v>
      </c>
      <c r="Z43" s="28">
        <f ca="1">INDEX(Д4!$E$54:$AI$63,MATCH($D43,Д4!$D$54:$D$63),MATCH(Z$7,Д4!$E$3:$AI$3))</f>
        <v>4</v>
      </c>
      <c r="AA43" s="28">
        <f ca="1">INDEX(Д4!$E$54:$AI$63,MATCH($D43,Д4!$D$54:$D$63),MATCH(AA$7,Д4!$E$3:$AI$3))</f>
        <v>8</v>
      </c>
      <c r="AB43" s="28">
        <f ca="1">INDEX(Д4!$E$54:$AI$63,MATCH($D43,Д4!$D$54:$D$63),MATCH(AB$7,Д4!$E$3:$AI$3))</f>
        <v>12</v>
      </c>
      <c r="AC43" s="28">
        <f ca="1">INDEX(Д4!$E$54:$AI$63,MATCH($D43,Д4!$D$54:$D$63),MATCH(AC$7,Д4!$E$3:$AI$3))</f>
        <v>4</v>
      </c>
      <c r="AD43" s="28">
        <f ca="1">INDEX(Д4!$E$54:$AI$63,MATCH($D43,Д4!$D$54:$D$63),MATCH(AD$7,Д4!$E$3:$AI$3))</f>
        <v>8</v>
      </c>
      <c r="AE43" s="28">
        <f ca="1">INDEX(Д4!$E$54:$AI$63,MATCH($D43,Д4!$D$54:$D$63),MATCH(AE$7,Д4!$E$3:$AI$3))</f>
        <v>12</v>
      </c>
      <c r="AF43" s="28">
        <f ca="1">INDEX(Д4!$E$54:$AI$63,MATCH($D43,Д4!$D$54:$D$63),MATCH(AF$7,Д4!$E$3:$AI$3))</f>
        <v>0</v>
      </c>
      <c r="AG43" s="28">
        <f ca="1">INDEX(Д4!$E$54:$AI$63,MATCH($D43,Д4!$D$54:$D$63),MATCH(AG$7,Д4!$E$3:$AI$3))</f>
        <v>0</v>
      </c>
      <c r="AH43" s="28">
        <f ca="1">INDEX(Д4!$E$54:$AI$63,MATCH($D43,Д4!$D$54:$D$63),MATCH(AH$7,Д4!$E$3:$AI$3))</f>
        <v>4</v>
      </c>
      <c r="AI43" s="60"/>
      <c r="AJ43" s="143">
        <f>INDEX(Д4!AK$54:$AK$63,MATCH($C43,Д4!$C$54:$C$63),MATCH(E$7,Д4!$E$3:$AI$3))*AND(MONTH($E$8)=MONTH(Д4!$B$54))</f>
        <v>151</v>
      </c>
      <c r="AK43" s="144">
        <f ca="1">SUM(E43:AI44)</f>
        <v>344</v>
      </c>
      <c r="AL43" s="144"/>
      <c r="AM43" s="149">
        <f ca="1">SUM(F43:H44,J43:AI44)-AJ43+AL43-12</f>
        <v>173</v>
      </c>
      <c r="AP43" s="136">
        <f t="shared" ref="AP43" ca="1" si="98">COUNTIF($E43:$AI44,"12")</f>
        <v>14</v>
      </c>
      <c r="AQ43" s="136">
        <f t="shared" ref="AQ43" ca="1" si="99">IF(COUNTIF($E43:$AI44,"СП")&gt;=1,(COUNTIF($E43:$AI44,"4")+COUNTIF($E43:$AI44,"8")-1)/2,(COUNTIF($E43:$AI44,"4")+COUNTIF($E43:$AI44,"8"))/2)</f>
        <v>15</v>
      </c>
      <c r="AR43" s="136">
        <f t="shared" ca="1" si="2"/>
        <v>168</v>
      </c>
      <c r="AS43" s="136">
        <f t="shared" ref="AS43" ca="1" si="100">IF(COUNTIF($E43:$AI44,"СП")&gt;=1,SUMIF($E43:$AI44,"4",$E43:$AI44)+SUMIF($E43:$AI44,"8",$E43:$AI44)-8,SUMIF($E43:$AI44,"4",$E43:$AI44)+SUMIF($E43:$AI44,"8",$E43:$AI44))</f>
        <v>176</v>
      </c>
      <c r="AT43" s="136">
        <f t="shared" ref="AT43" ca="1" si="101">$AR43+$AS43</f>
        <v>344</v>
      </c>
      <c r="AU43" s="136" t="str">
        <f t="shared" ref="AU43" ca="1" si="102">IF(AK43=AT43,"+","!")</f>
        <v>+</v>
      </c>
      <c r="AV43" s="136">
        <f t="shared" ref="AV43" ca="1" si="103">COUNTIF($E43:$AI44,"ОТ")</f>
        <v>0</v>
      </c>
      <c r="AW43" s="137" t="str">
        <f ca="1">IF(COUNTIF($A44:$AI44,"СП")&gt;0,IF(INDIRECT(ADDRESS(ROW(),MATCH("СП",$A44:$AI44),1))=8,"","!"),"")</f>
        <v/>
      </c>
      <c r="AX43" s="137" t="str">
        <f ca="1">IF(COUNTIF($A44:$AI44,"СП")&gt;0,IF(INDIRECT(ADDRESS(ROW(),MATCH("СП",$A44:$AI44)-1,1))=4,"!",""),"")</f>
        <v/>
      </c>
    </row>
    <row r="44" spans="1:50" ht="16.5" thickBot="1" x14ac:dyDescent="0.3">
      <c r="A44" s="147"/>
      <c r="B44" s="139"/>
      <c r="C44" s="171"/>
      <c r="D44" s="50">
        <v>6</v>
      </c>
      <c r="E44" s="63">
        <f ca="1">INDEX(Д4!$E$53:$AI$63,MATCH($D44,Д4!$D$54:$D$63),MATCH(E$7,Д4!$E$3:$AI$3))</f>
        <v>4</v>
      </c>
      <c r="F44" s="29">
        <f ca="1">INDEX(Д4!$E$53:$AI$63,MATCH($D44,Д4!$D$54:$D$63),MATCH(F$7,Д4!$E$3:$AI$3))</f>
        <v>8</v>
      </c>
      <c r="G44" s="29">
        <f ca="1">INDEX(Д4!$E$53:$AI$63,MATCH($D44,Д4!$D$54:$D$63),MATCH(G$7,Д4!$E$3:$AI$3))</f>
        <v>12</v>
      </c>
      <c r="H44" s="29">
        <f ca="1">INDEX(Д4!$E$53:$AI$63,MATCH($D44,Д4!$D$54:$D$63),MATCH(H$7,Д4!$E$3:$AI$3))</f>
        <v>0</v>
      </c>
      <c r="I44" s="29">
        <f ca="1">INDEX(Д4!$E$53:$AI$63,MATCH($D44,Д4!$D$54:$D$63),MATCH(I$7,Д4!$E$3:$AI$3))</f>
        <v>0</v>
      </c>
      <c r="J44" s="29">
        <f ca="1">INDEX(Д4!$E$53:$AI$63,MATCH($D44,Д4!$D$54:$D$63),MATCH(J$7,Д4!$E$3:$AI$3))</f>
        <v>4</v>
      </c>
      <c r="K44" s="29">
        <f ca="1">INDEX(Д4!$E$53:$AI$63,MATCH($D44,Д4!$D$54:$D$63),MATCH(K$7,Д4!$E$3:$AI$3))</f>
        <v>8</v>
      </c>
      <c r="L44" s="29">
        <f ca="1">INDEX(Д4!$E$53:$AI$63,MATCH($D44,Д4!$D$54:$D$63),MATCH(L$7,Д4!$E$3:$AI$3))</f>
        <v>12</v>
      </c>
      <c r="M44" s="29">
        <f ca="1">INDEX(Д4!$E$53:$AI$63,MATCH($D44,Д4!$D$54:$D$63),MATCH(M$7,Д4!$E$3:$AI$3))</f>
        <v>4</v>
      </c>
      <c r="N44" s="29">
        <f ca="1">INDEX(Д4!$E$53:$AI$63,MATCH($D44,Д4!$D$54:$D$63),MATCH(N$7,Д4!$E$3:$AI$3))</f>
        <v>8</v>
      </c>
      <c r="O44" s="29">
        <f ca="1">INDEX(Д4!$E$53:$AI$63,MATCH($D44,Д4!$D$54:$D$63),MATCH(O$7,Д4!$E$3:$AI$3))</f>
        <v>12</v>
      </c>
      <c r="P44" s="29">
        <f ca="1">INDEX(Д4!$E$53:$AI$63,MATCH($D44,Д4!$D$54:$D$63),MATCH(P$7,Д4!$E$3:$AI$3))</f>
        <v>0</v>
      </c>
      <c r="Q44" s="29">
        <f ca="1">INDEX(Д4!$E$53:$AI$63,MATCH($D44,Д4!$D$54:$D$63),MATCH(Q$7,Д4!$E$3:$AI$3))</f>
        <v>0</v>
      </c>
      <c r="R44" s="29">
        <f ca="1">INDEX(Д4!$E$53:$AI$63,MATCH($D44,Д4!$D$54:$D$63),MATCH(R$7,Д4!$E$3:$AI$3))</f>
        <v>4</v>
      </c>
      <c r="S44" s="29">
        <f ca="1">INDEX(Д4!$E$53:$AI$63,MATCH($D44,Д4!$D$54:$D$63),MATCH(S$7,Д4!$E$3:$AI$3))</f>
        <v>8</v>
      </c>
      <c r="T44" s="29">
        <f ca="1">INDEX(Д4!$E$53:$AI$63,MATCH($D44,Д4!$D$54:$D$63),MATCH(T$7,Д4!$E$3:$AI$3))</f>
        <v>12</v>
      </c>
      <c r="U44" s="29">
        <f ca="1">INDEX(Д4!$E$53:$AI$63,MATCH($D44,Д4!$D$54:$D$63),MATCH(U$7,Д4!$E$3:$AI$3))</f>
        <v>4</v>
      </c>
      <c r="V44" s="29">
        <f ca="1">INDEX(Д4!$E$53:$AI$63,MATCH($D44,Д4!$D$54:$D$63),MATCH(V$7,Д4!$E$3:$AI$3))</f>
        <v>8</v>
      </c>
      <c r="W44" s="29">
        <f ca="1">INDEX(Д4!$E$53:$AI$63,MATCH($D44,Д4!$D$54:$D$63),MATCH(W$7,Д4!$E$3:$AI$3))</f>
        <v>12</v>
      </c>
      <c r="X44" s="29">
        <f ca="1">INDEX(Д4!$E$53:$AI$63,MATCH($D44,Д4!$D$54:$D$63),MATCH(X$7,Д4!$E$3:$AI$3))</f>
        <v>0</v>
      </c>
      <c r="Y44" s="29">
        <f ca="1">INDEX(Д4!$E$53:$AI$63,MATCH($D44,Д4!$D$54:$D$63),MATCH(Y$7,Д4!$E$3:$AI$3))</f>
        <v>0</v>
      </c>
      <c r="Z44" s="29">
        <f ca="1">INDEX(Д4!$E$53:$AI$63,MATCH($D44,Д4!$D$54:$D$63),MATCH(Z$7,Д4!$E$3:$AI$3))</f>
        <v>4</v>
      </c>
      <c r="AA44" s="29">
        <f ca="1">INDEX(Д4!$E$53:$AI$63,MATCH($D44,Д4!$D$54:$D$63),MATCH(AA$7,Д4!$E$3:$AI$3))</f>
        <v>8</v>
      </c>
      <c r="AB44" s="29">
        <f ca="1">INDEX(Д4!$E$53:$AI$63,MATCH($D44,Д4!$D$54:$D$63),MATCH(AB$7,Д4!$E$3:$AI$3))</f>
        <v>12</v>
      </c>
      <c r="AC44" s="29">
        <f ca="1">INDEX(Д4!$E$53:$AI$63,MATCH($D44,Д4!$D$54:$D$63),MATCH(AC$7,Д4!$E$3:$AI$3))</f>
        <v>4</v>
      </c>
      <c r="AD44" s="29">
        <f ca="1">INDEX(Д4!$E$53:$AI$63,MATCH($D44,Д4!$D$54:$D$63),MATCH(AD$7,Д4!$E$3:$AI$3))</f>
        <v>8</v>
      </c>
      <c r="AE44" s="29">
        <f ca="1">INDEX(Д4!$E$53:$AI$63,MATCH($D44,Д4!$D$54:$D$63),MATCH(AE$7,Д4!$E$3:$AI$3))</f>
        <v>12</v>
      </c>
      <c r="AF44" s="29">
        <f ca="1">INDEX(Д4!$E$53:$AI$63,MATCH($D44,Д4!$D$54:$D$63),MATCH(AF$7,Д4!$E$3:$AI$3))</f>
        <v>0</v>
      </c>
      <c r="AG44" s="29">
        <f ca="1">INDEX(Д4!$E$53:$AI$63,MATCH($D44,Д4!$D$54:$D$63),MATCH(AG$7,Д4!$E$3:$AI$3))</f>
        <v>0</v>
      </c>
      <c r="AH44" s="29">
        <f ca="1">INDEX(Д4!$E$53:$AI$63,MATCH($D44,Д4!$D$54:$D$63),MATCH(AH$7,Д4!$E$3:$AI$3))</f>
        <v>4</v>
      </c>
      <c r="AI44" s="61"/>
      <c r="AJ44" s="143"/>
      <c r="AK44" s="145"/>
      <c r="AL44" s="145"/>
      <c r="AM44" s="150"/>
      <c r="AP44" s="136"/>
      <c r="AQ44" s="136"/>
      <c r="AR44" s="136"/>
      <c r="AS44" s="136"/>
      <c r="AT44" s="136"/>
      <c r="AU44" s="136"/>
      <c r="AV44" s="136"/>
      <c r="AW44" s="137"/>
      <c r="AX44" s="137"/>
    </row>
    <row r="45" spans="1:50" ht="16.5" customHeight="1" thickBot="1" x14ac:dyDescent="0.3">
      <c r="A45" s="147"/>
      <c r="B45" s="139" t="s">
        <v>98</v>
      </c>
      <c r="C45" s="170">
        <v>4</v>
      </c>
      <c r="D45" s="49">
        <v>7</v>
      </c>
      <c r="E45" s="64">
        <f ca="1">INDEX(Д4!$E$54:$AI$63,MATCH($D45,Д4!$D$54:$D$63),MATCH(E$7,Д4!$E$3:$AI$3))</f>
        <v>8</v>
      </c>
      <c r="F45" s="27">
        <f ca="1">INDEX(Д4!$E$54:$AI$63,MATCH($D45,Д4!$D$54:$D$63),MATCH(F$7,Д4!$E$3:$AI$3))</f>
        <v>12</v>
      </c>
      <c r="G45" s="27">
        <f ca="1">INDEX(Д4!$E$54:$AI$63,MATCH($D45,Д4!$D$54:$D$63),MATCH(G$7,Д4!$E$3:$AI$3))</f>
        <v>4</v>
      </c>
      <c r="H45" s="27">
        <f ca="1">INDEX(Д4!$E$54:$AI$63,MATCH($D45,Д4!$D$54:$D$63),MATCH(H$7,Д4!$E$3:$AI$3))</f>
        <v>8</v>
      </c>
      <c r="I45" s="27">
        <f ca="1">INDEX(Д4!$E$54:$AI$63,MATCH($D45,Д4!$D$54:$D$63),MATCH(I$7,Д4!$E$3:$AI$3))</f>
        <v>12</v>
      </c>
      <c r="J45" s="27">
        <f ca="1">INDEX(Д4!$E$54:$AI$63,MATCH($D45,Д4!$D$54:$D$63),MATCH(J$7,Д4!$E$3:$AI$3))</f>
        <v>0</v>
      </c>
      <c r="K45" s="27">
        <f ca="1">INDEX(Д4!$E$54:$AI$63,MATCH($D45,Д4!$D$54:$D$63),MATCH(K$7,Д4!$E$3:$AI$3))</f>
        <v>0</v>
      </c>
      <c r="L45" s="27">
        <f ca="1">INDEX(Д4!$E$54:$AI$63,MATCH($D45,Д4!$D$54:$D$63),MATCH(L$7,Д4!$E$3:$AI$3))</f>
        <v>4</v>
      </c>
      <c r="M45" s="27">
        <f ca="1">INDEX(Д4!$E$54:$AI$63,MATCH($D45,Д4!$D$54:$D$63),MATCH(M$7,Д4!$E$3:$AI$3))</f>
        <v>8</v>
      </c>
      <c r="N45" s="27">
        <f ca="1">INDEX(Д4!$E$54:$AI$63,MATCH($D45,Д4!$D$54:$D$63),MATCH(N$7,Д4!$E$3:$AI$3))</f>
        <v>12</v>
      </c>
      <c r="O45" s="27">
        <f ca="1">INDEX(Д4!$E$54:$AI$63,MATCH($D45,Д4!$D$54:$D$63),MATCH(O$7,Д4!$E$3:$AI$3))</f>
        <v>4</v>
      </c>
      <c r="P45" s="27">
        <f ca="1">INDEX(Д4!$E$54:$AI$63,MATCH($D45,Д4!$D$54:$D$63),MATCH(P$7,Д4!$E$3:$AI$3))</f>
        <v>8</v>
      </c>
      <c r="Q45" s="27">
        <f ca="1">INDEX(Д4!$E$54:$AI$63,MATCH($D45,Д4!$D$54:$D$63),MATCH(Q$7,Д4!$E$3:$AI$3))</f>
        <v>12</v>
      </c>
      <c r="R45" s="27">
        <f ca="1">INDEX(Д4!$E$54:$AI$63,MATCH($D45,Д4!$D$54:$D$63),MATCH(R$7,Д4!$E$3:$AI$3))</f>
        <v>0</v>
      </c>
      <c r="S45" s="27">
        <f ca="1">INDEX(Д4!$E$54:$AI$63,MATCH($D45,Д4!$D$54:$D$63),MATCH(S$7,Д4!$E$3:$AI$3))</f>
        <v>0</v>
      </c>
      <c r="T45" s="27">
        <f ca="1">INDEX(Д4!$E$54:$AI$63,MATCH($D45,Д4!$D$54:$D$63),MATCH(T$7,Д4!$E$3:$AI$3))</f>
        <v>4</v>
      </c>
      <c r="U45" s="27">
        <f ca="1">INDEX(Д4!$E$54:$AI$63,MATCH($D45,Д4!$D$54:$D$63),MATCH(U$7,Д4!$E$3:$AI$3))</f>
        <v>8</v>
      </c>
      <c r="V45" s="27">
        <f ca="1">INDEX(Д4!$E$54:$AI$63,MATCH($D45,Д4!$D$54:$D$63),MATCH(V$7,Д4!$E$3:$AI$3))</f>
        <v>12</v>
      </c>
      <c r="W45" s="27">
        <f ca="1">INDEX(Д4!$E$54:$AI$63,MATCH($D45,Д4!$D$54:$D$63),MATCH(W$7,Д4!$E$3:$AI$3))</f>
        <v>4</v>
      </c>
      <c r="X45" s="27">
        <f ca="1">INDEX(Д4!$E$54:$AI$63,MATCH($D45,Д4!$D$54:$D$63),MATCH(X$7,Д4!$E$3:$AI$3))</f>
        <v>8</v>
      </c>
      <c r="Y45" s="27">
        <f ca="1">INDEX(Д4!$E$54:$AI$63,MATCH($D45,Д4!$D$54:$D$63),MATCH(Y$7,Д4!$E$3:$AI$3))</f>
        <v>12</v>
      </c>
      <c r="Z45" s="27">
        <f ca="1">INDEX(Д4!$E$54:$AI$63,MATCH($D45,Д4!$D$54:$D$63),MATCH(Z$7,Д4!$E$3:$AI$3))</f>
        <v>0</v>
      </c>
      <c r="AA45" s="27">
        <f ca="1">INDEX(Д4!$E$54:$AI$63,MATCH($D45,Д4!$D$54:$D$63),MATCH(AA$7,Д4!$E$3:$AI$3))</f>
        <v>0</v>
      </c>
      <c r="AB45" s="27">
        <f ca="1">INDEX(Д4!$E$54:$AI$63,MATCH($D45,Д4!$D$54:$D$63),MATCH(AB$7,Д4!$E$3:$AI$3))</f>
        <v>4</v>
      </c>
      <c r="AC45" s="27">
        <f ca="1">INDEX(Д4!$E$54:$AI$63,MATCH($D45,Д4!$D$54:$D$63),MATCH(AC$7,Д4!$E$3:$AI$3))</f>
        <v>8</v>
      </c>
      <c r="AD45" s="27">
        <f ca="1">INDEX(Д4!$E$54:$AI$63,MATCH($D45,Д4!$D$54:$D$63),MATCH(AD$7,Д4!$E$3:$AI$3))</f>
        <v>12</v>
      </c>
      <c r="AE45" s="27">
        <f ca="1">INDEX(Д4!$E$54:$AI$63,MATCH($D45,Д4!$D$54:$D$63),MATCH(AE$7,Д4!$E$3:$AI$3))</f>
        <v>4</v>
      </c>
      <c r="AF45" s="27">
        <f ca="1">INDEX(Д4!$E$54:$AI$63,MATCH($D45,Д4!$D$54:$D$63),MATCH(AF$7,Д4!$E$3:$AI$3))</f>
        <v>8</v>
      </c>
      <c r="AG45" s="27">
        <f ca="1">INDEX(Д4!$E$54:$AI$63,MATCH($D45,Д4!$D$54:$D$63),MATCH(AG$7,Д4!$E$3:$AI$3))</f>
        <v>12</v>
      </c>
      <c r="AH45" s="27">
        <f ca="1">INDEX(Д4!$E$54:$AI$63,MATCH($D45,Д4!$D$54:$D$63),MATCH(AH$7,Д4!$E$3:$AI$3))</f>
        <v>0</v>
      </c>
      <c r="AI45" s="32"/>
      <c r="AJ45" s="143">
        <f>INDEX(Д4!AK$54:$AK$63,MATCH($C45,Д4!$C$54:$C$63),MATCH(E$7,Д4!$E$3:$AI$3))*AND(MONTH($E$8)=MONTH(Д4!$B$54))</f>
        <v>151</v>
      </c>
      <c r="AK45" s="144">
        <f t="shared" ref="AK45" ca="1" si="104">SUM(E45:AI46)</f>
        <v>188</v>
      </c>
      <c r="AL45" s="144"/>
      <c r="AM45" s="149">
        <f ca="1">SUM(F45:H46,J45:AI46)-AJ45+AL45-12</f>
        <v>5</v>
      </c>
      <c r="AP45" s="136">
        <f t="shared" ref="AP45" ca="1" si="105">COUNTIF($E45:$AI46,"12")</f>
        <v>8</v>
      </c>
      <c r="AQ45" s="136">
        <f t="shared" ref="AQ45" ca="1" si="106">IF(COUNTIF($E45:$AI46,"СП")&gt;=1,(COUNTIF($E45:$AI46,"4")+COUNTIF($E45:$AI46,"8")-1)/2,(COUNTIF($E45:$AI46,"4")+COUNTIF($E45:$AI46,"8"))/2)</f>
        <v>7</v>
      </c>
      <c r="AR45" s="136">
        <f t="shared" ca="1" si="2"/>
        <v>96</v>
      </c>
      <c r="AS45" s="136">
        <f t="shared" ref="AS45" ca="1" si="107">IF(COUNTIF($E45:$AI46,"СП")&gt;=1,SUMIF($E45:$AI46,"4",$E45:$AI46)+SUMIF($E45:$AI46,"8",$E45:$AI46)-8,SUMIF($E45:$AI46,"4",$E45:$AI46)+SUMIF($E45:$AI46,"8",$E45:$AI46))</f>
        <v>84</v>
      </c>
      <c r="AT45" s="136">
        <f t="shared" ref="AT45" ca="1" si="108">$AR45+$AS45</f>
        <v>180</v>
      </c>
      <c r="AU45" s="136" t="str">
        <f t="shared" ref="AU45" ca="1" si="109">IF(AK45=AT45,"+","!")</f>
        <v>!</v>
      </c>
      <c r="AV45" s="136">
        <f t="shared" ref="AV45" ca="1" si="110">COUNTIF($E45:$AI46,"ОТ")</f>
        <v>0</v>
      </c>
      <c r="AW45" s="137" t="str">
        <f ca="1">IF(COUNTIF($A46:$AI46,"СП")&gt;0,IF(INDIRECT(ADDRESS(ROW(),MATCH("СП",$A46:$AI46),1))=8,"","!"),"")</f>
        <v>!</v>
      </c>
      <c r="AX45" s="137" t="str">
        <f ca="1">IF(COUNTIF($A46:$AI46,"СП")&gt;0,IF(INDIRECT(ADDRESS(ROW(),MATCH("СП",$A46:$AI46)-1,1))=4,"!",""),"")</f>
        <v/>
      </c>
    </row>
    <row r="46" spans="1:50" ht="16.5" thickBot="1" x14ac:dyDescent="0.3">
      <c r="A46" s="147"/>
      <c r="B46" s="139"/>
      <c r="C46" s="171"/>
      <c r="D46" s="50">
        <v>8</v>
      </c>
      <c r="E46" s="65" t="str">
        <f>INDEX(Д4!$E$54:$AI$63,MATCH($D46,Д4!$D$54:$D$63),MATCH(E$7,Д4!$E$3:$AI$3))</f>
        <v/>
      </c>
      <c r="F46" s="30" t="str">
        <f>INDEX(Д4!$E$54:$AI$63,MATCH($D46,Д4!$D$54:$D$63),MATCH(F$7,Д4!$E$3:$AI$3))</f>
        <v/>
      </c>
      <c r="G46" s="30" t="str">
        <f>INDEX(Д4!$E$54:$AI$63,MATCH($D46,Д4!$D$54:$D$63),MATCH(G$7,Д4!$E$3:$AI$3))</f>
        <v/>
      </c>
      <c r="H46" s="30" t="str">
        <f>INDEX(Д4!$E$54:$AI$63,MATCH($D46,Д4!$D$54:$D$63),MATCH(H$7,Д4!$E$3:$AI$3))</f>
        <v/>
      </c>
      <c r="I46" s="30" t="str">
        <f>INDEX(Д4!$E$54:$AI$63,MATCH($D46,Д4!$D$54:$D$63),MATCH(I$7,Д4!$E$3:$AI$3))</f>
        <v/>
      </c>
      <c r="J46" s="30" t="str">
        <f>INDEX(Д4!$E$54:$AI$63,MATCH($D46,Д4!$D$54:$D$63),MATCH(J$7,Д4!$E$3:$AI$3))</f>
        <v/>
      </c>
      <c r="K46" s="30" t="str">
        <f>INDEX(Д4!$E$54:$AI$63,MATCH($D46,Д4!$D$54:$D$63),MATCH(K$7,Д4!$E$3:$AI$3))</f>
        <v/>
      </c>
      <c r="L46" s="30" t="str">
        <f>INDEX(Д4!$E$54:$AI$63,MATCH($D46,Д4!$D$54:$D$63),MATCH(L$7,Д4!$E$3:$AI$3))</f>
        <v/>
      </c>
      <c r="M46" s="30" t="str">
        <f>INDEX(Д4!$E$54:$AI$63,MATCH($D46,Д4!$D$54:$D$63),MATCH(M$7,Д4!$E$3:$AI$3))</f>
        <v>СП</v>
      </c>
      <c r="N46" s="30" t="str">
        <f>INDEX(Д4!$E$54:$AI$63,MATCH($D46,Д4!$D$54:$D$63),MATCH(N$7,Д4!$E$3:$AI$3))</f>
        <v/>
      </c>
      <c r="O46" s="30" t="str">
        <f>INDEX(Д4!$E$54:$AI$63,MATCH($D46,Д4!$D$54:$D$63),MATCH(O$7,Д4!$E$3:$AI$3))</f>
        <v/>
      </c>
      <c r="P46" s="30" t="str">
        <f>INDEX(Д4!$E$54:$AI$63,MATCH($D46,Д4!$D$54:$D$63),MATCH(P$7,Д4!$E$3:$AI$3))</f>
        <v/>
      </c>
      <c r="Q46" s="30" t="str">
        <f>INDEX(Д4!$E$54:$AI$63,MATCH($D46,Д4!$D$54:$D$63),MATCH(Q$7,Д4!$E$3:$AI$3))</f>
        <v/>
      </c>
      <c r="R46" s="30" t="str">
        <f>INDEX(Д4!$E$54:$AI$63,MATCH($D46,Д4!$D$54:$D$63),MATCH(R$7,Д4!$E$3:$AI$3))</f>
        <v/>
      </c>
      <c r="S46" s="30" t="str">
        <f>INDEX(Д4!$E$54:$AI$63,MATCH($D46,Д4!$D$54:$D$63),MATCH(S$7,Д4!$E$3:$AI$3))</f>
        <v/>
      </c>
      <c r="T46" s="30" t="str">
        <f>INDEX(Д4!$E$54:$AI$63,MATCH($D46,Д4!$D$54:$D$63),MATCH(T$7,Д4!$E$3:$AI$3))</f>
        <v/>
      </c>
      <c r="U46" s="30" t="str">
        <f>INDEX(Д4!$E$54:$AI$63,MATCH($D46,Д4!$D$54:$D$63),MATCH(U$7,Д4!$E$3:$AI$3))</f>
        <v/>
      </c>
      <c r="V46" s="30" t="str">
        <f>INDEX(Д4!$E$54:$AI$63,MATCH($D46,Д4!$D$54:$D$63),MATCH(V$7,Д4!$E$3:$AI$3))</f>
        <v/>
      </c>
      <c r="W46" s="30" t="str">
        <f>INDEX(Д4!$E$54:$AI$63,MATCH($D46,Д4!$D$54:$D$63),MATCH(W$7,Д4!$E$3:$AI$3))</f>
        <v/>
      </c>
      <c r="X46" s="30" t="str">
        <f>INDEX(Д4!$E$54:$AI$63,MATCH($D46,Д4!$D$54:$D$63),MATCH(X$7,Д4!$E$3:$AI$3))</f>
        <v/>
      </c>
      <c r="Y46" s="30" t="str">
        <f>INDEX(Д4!$E$54:$AI$63,MATCH($D46,Д4!$D$54:$D$63),MATCH(Y$7,Д4!$E$3:$AI$3))</f>
        <v/>
      </c>
      <c r="Z46" s="30" t="str">
        <f>INDEX(Д4!$E$54:$AI$63,MATCH($D46,Д4!$D$54:$D$63),MATCH(Z$7,Д4!$E$3:$AI$3))</f>
        <v/>
      </c>
      <c r="AA46" s="30" t="str">
        <f>INDEX(Д4!$E$54:$AI$63,MATCH($D46,Д4!$D$54:$D$63),MATCH(AA$7,Д4!$E$3:$AI$3))</f>
        <v/>
      </c>
      <c r="AB46" s="30" t="str">
        <f>INDEX(Д4!$E$54:$AI$63,MATCH($D46,Д4!$D$54:$D$63),MATCH(AB$7,Д4!$E$3:$AI$3))</f>
        <v/>
      </c>
      <c r="AC46" s="30" t="str">
        <f>INDEX(Д4!$E$54:$AI$63,MATCH($D46,Д4!$D$54:$D$63),MATCH(AC$7,Д4!$E$3:$AI$3))</f>
        <v/>
      </c>
      <c r="AD46" s="30" t="str">
        <f>INDEX(Д4!$E$54:$AI$63,MATCH($D46,Д4!$D$54:$D$63),MATCH(AD$7,Д4!$E$3:$AI$3))</f>
        <v/>
      </c>
      <c r="AE46" s="30" t="str">
        <f>INDEX(Д4!$E$54:$AI$63,MATCH($D46,Д4!$D$54:$D$63),MATCH(AE$7,Д4!$E$3:$AI$3))</f>
        <v/>
      </c>
      <c r="AF46" s="30" t="str">
        <f>INDEX(Д4!$E$54:$AI$63,MATCH($D46,Д4!$D$54:$D$63),MATCH(AF$7,Д4!$E$3:$AI$3))</f>
        <v/>
      </c>
      <c r="AG46" s="30" t="str">
        <f>INDEX(Д4!$E$54:$AI$63,MATCH($D46,Д4!$D$54:$D$63),MATCH(AG$7,Д4!$E$3:$AI$3))</f>
        <v/>
      </c>
      <c r="AH46" s="30" t="str">
        <f>INDEX(Д4!$E$54:$AI$63,MATCH($D46,Д4!$D$54:$D$63),MATCH(AH$7,Д4!$E$3:$AI$3))</f>
        <v/>
      </c>
      <c r="AI46" s="33"/>
      <c r="AJ46" s="143"/>
      <c r="AK46" s="145"/>
      <c r="AL46" s="145"/>
      <c r="AM46" s="150"/>
      <c r="AP46" s="136"/>
      <c r="AQ46" s="136"/>
      <c r="AR46" s="136"/>
      <c r="AS46" s="136"/>
      <c r="AT46" s="136"/>
      <c r="AU46" s="136"/>
      <c r="AV46" s="136"/>
      <c r="AW46" s="137"/>
      <c r="AX46" s="137"/>
    </row>
    <row r="47" spans="1:50" ht="16.5" customHeight="1" thickBot="1" x14ac:dyDescent="0.3">
      <c r="A47" s="147"/>
      <c r="B47" s="139" t="s">
        <v>99</v>
      </c>
      <c r="C47" s="170">
        <v>5</v>
      </c>
      <c r="D47" s="49">
        <v>9</v>
      </c>
      <c r="E47" s="62" t="str">
        <f>INDEX(Д4!$E$54:$AI$63,MATCH($D47,Д4!$D$54:$D$63),MATCH(E$7,Д4!$E$3:$AI$3))</f>
        <v>-</v>
      </c>
      <c r="F47" s="28" t="str">
        <f>INDEX(Д4!$E$54:$AI$63,MATCH($D47,Д4!$D$54:$D$63),MATCH(F$7,Д4!$E$3:$AI$3))</f>
        <v>-</v>
      </c>
      <c r="G47" s="28" t="str">
        <f>INDEX(Д4!$E$54:$AI$63,MATCH($D47,Д4!$D$54:$D$63),MATCH(G$7,Д4!$E$3:$AI$3))</f>
        <v>-</v>
      </c>
      <c r="H47" s="28" t="str">
        <f>INDEX(Д4!$E$54:$AI$63,MATCH($D47,Д4!$D$54:$D$63),MATCH(H$7,Д4!$E$3:$AI$3))</f>
        <v>-</v>
      </c>
      <c r="I47" s="28" t="str">
        <f>INDEX(Д4!$E$54:$AI$63,MATCH($D47,Д4!$D$54:$D$63),MATCH(I$7,Д4!$E$3:$AI$3))</f>
        <v>-</v>
      </c>
      <c r="J47" s="28" t="str">
        <f>INDEX(Д4!$E$54:$AI$63,MATCH($D47,Д4!$D$54:$D$63),MATCH(J$7,Д4!$E$3:$AI$3))</f>
        <v>-</v>
      </c>
      <c r="K47" s="28" t="str">
        <f>INDEX(Д4!$E$54:$AI$63,MATCH($D47,Д4!$D$54:$D$63),MATCH(K$7,Д4!$E$3:$AI$3))</f>
        <v>-</v>
      </c>
      <c r="L47" s="28" t="str">
        <f>INDEX(Д4!$E$54:$AI$63,MATCH($D47,Д4!$D$54:$D$63),MATCH(L$7,Д4!$E$3:$AI$3))</f>
        <v>-</v>
      </c>
      <c r="M47" s="28" t="str">
        <f>INDEX(Д4!$E$54:$AI$63,MATCH($D47,Д4!$D$54:$D$63),MATCH(M$7,Д4!$E$3:$AI$3))</f>
        <v>-</v>
      </c>
      <c r="N47" s="28" t="str">
        <f>INDEX(Д4!$E$54:$AI$63,MATCH($D47,Д4!$D$54:$D$63),MATCH(N$7,Д4!$E$3:$AI$3))</f>
        <v>-</v>
      </c>
      <c r="O47" s="28" t="str">
        <f>INDEX(Д4!$E$54:$AI$63,MATCH($D47,Д4!$D$54:$D$63),MATCH(O$7,Д4!$E$3:$AI$3))</f>
        <v>-</v>
      </c>
      <c r="P47" s="28" t="str">
        <f>INDEX(Д4!$E$54:$AI$63,MATCH($D47,Д4!$D$54:$D$63),MATCH(P$7,Д4!$E$3:$AI$3))</f>
        <v>-</v>
      </c>
      <c r="Q47" s="28" t="str">
        <f>INDEX(Д4!$E$54:$AI$63,MATCH($D47,Д4!$D$54:$D$63),MATCH(Q$7,Д4!$E$3:$AI$3))</f>
        <v>-</v>
      </c>
      <c r="R47" s="28" t="str">
        <f>INDEX(Д4!$E$54:$AI$63,MATCH($D47,Д4!$D$54:$D$63),MATCH(R$7,Д4!$E$3:$AI$3))</f>
        <v>-</v>
      </c>
      <c r="S47" s="28" t="str">
        <f>INDEX(Д4!$E$54:$AI$63,MATCH($D47,Д4!$D$54:$D$63),MATCH(S$7,Д4!$E$3:$AI$3))</f>
        <v>-</v>
      </c>
      <c r="T47" s="28" t="str">
        <f>INDEX(Д4!$E$54:$AI$63,MATCH($D47,Д4!$D$54:$D$63),MATCH(T$7,Д4!$E$3:$AI$3))</f>
        <v>-</v>
      </c>
      <c r="U47" s="28" t="str">
        <f>INDEX(Д4!$E$54:$AI$63,MATCH($D47,Д4!$D$54:$D$63),MATCH(U$7,Д4!$E$3:$AI$3))</f>
        <v>-</v>
      </c>
      <c r="V47" s="28" t="str">
        <f>INDEX(Д4!$E$54:$AI$63,MATCH($D47,Д4!$D$54:$D$63),MATCH(V$7,Д4!$E$3:$AI$3))</f>
        <v>-</v>
      </c>
      <c r="W47" s="28" t="str">
        <f>INDEX(Д4!$E$54:$AI$63,MATCH($D47,Д4!$D$54:$D$63),MATCH(W$7,Д4!$E$3:$AI$3))</f>
        <v>-</v>
      </c>
      <c r="X47" s="28" t="str">
        <f>INDEX(Д4!$E$54:$AI$63,MATCH($D47,Д4!$D$54:$D$63),MATCH(X$7,Д4!$E$3:$AI$3))</f>
        <v>-</v>
      </c>
      <c r="Y47" s="28" t="str">
        <f>INDEX(Д4!$E$54:$AI$63,MATCH($D47,Д4!$D$54:$D$63),MATCH(Y$7,Д4!$E$3:$AI$3))</f>
        <v>-</v>
      </c>
      <c r="Z47" s="28" t="str">
        <f>INDEX(Д4!$E$54:$AI$63,MATCH($D47,Д4!$D$54:$D$63),MATCH(Z$7,Д4!$E$3:$AI$3))</f>
        <v>-</v>
      </c>
      <c r="AA47" s="28" t="str">
        <f>INDEX(Д4!$E$54:$AI$63,MATCH($D47,Д4!$D$54:$D$63),MATCH(AA$7,Д4!$E$3:$AI$3))</f>
        <v>-</v>
      </c>
      <c r="AB47" s="28" t="str">
        <f>INDEX(Д4!$E$54:$AI$63,MATCH($D47,Д4!$D$54:$D$63),MATCH(AB$7,Д4!$E$3:$AI$3))</f>
        <v>-</v>
      </c>
      <c r="AC47" s="28" t="str">
        <f>INDEX(Д4!$E$54:$AI$63,MATCH($D47,Д4!$D$54:$D$63),MATCH(AC$7,Д4!$E$3:$AI$3))</f>
        <v>-</v>
      </c>
      <c r="AD47" s="28" t="str">
        <f>INDEX(Д4!$E$54:$AI$63,MATCH($D47,Д4!$D$54:$D$63),MATCH(AD$7,Д4!$E$3:$AI$3))</f>
        <v>-</v>
      </c>
      <c r="AE47" s="28" t="str">
        <f>INDEX(Д4!$E$54:$AI$63,MATCH($D47,Д4!$D$54:$D$63),MATCH(AE$7,Д4!$E$3:$AI$3))</f>
        <v>-</v>
      </c>
      <c r="AF47" s="28" t="str">
        <f>INDEX(Д4!$E$54:$AI$63,MATCH($D47,Д4!$D$54:$D$63),MATCH(AF$7,Д4!$E$3:$AI$3))</f>
        <v>-</v>
      </c>
      <c r="AG47" s="28" t="str">
        <f>INDEX(Д4!$E$54:$AI$63,MATCH($D47,Д4!$D$54:$D$63),MATCH(AG$7,Д4!$E$3:$AI$3))</f>
        <v>-</v>
      </c>
      <c r="AH47" s="28" t="str">
        <f>INDEX(Д4!$E$54:$AI$63,MATCH($D47,Д4!$D$54:$D$63),MATCH(AH$7,Д4!$E$3:$AI$3))</f>
        <v>-</v>
      </c>
      <c r="AI47" s="60"/>
      <c r="AJ47" s="143">
        <f>INDEX(Д4!AK$54:$AK$63,MATCH($C47,Д4!$C$54:$C$63),MATCH(E$7,Д4!$E$3:$AI$3))*AND(MONTH($E$8)=MONTH(Д4!$B$54))</f>
        <v>151</v>
      </c>
      <c r="AK47" s="144">
        <f t="shared" ref="AK47" si="111">SUM(E47:AI48)</f>
        <v>0</v>
      </c>
      <c r="AL47" s="144"/>
      <c r="AM47" s="149">
        <f>SUM(F47:H48,J47:AI48)-AJ47+AL47-12</f>
        <v>-163</v>
      </c>
      <c r="AP47" s="136">
        <f t="shared" ref="AP47" si="112">COUNTIF($E47:$AI48,"12")</f>
        <v>0</v>
      </c>
      <c r="AQ47" s="136">
        <f t="shared" ref="AQ47" si="113">IF(COUNTIF($E47:$AI48,"СП")&gt;=1,(COUNTIF($E47:$AI48,"4")+COUNTIF($E47:$AI48,"8")-1)/2,(COUNTIF($E47:$AI48,"4")+COUNTIF($E47:$AI48,"8"))/2)</f>
        <v>-0.5</v>
      </c>
      <c r="AR47" s="136">
        <f t="shared" si="2"/>
        <v>0</v>
      </c>
      <c r="AS47" s="136">
        <f t="shared" ref="AS47" si="114">IF(COUNTIF($E47:$AI48,"СП")&gt;=1,SUMIF($E47:$AI48,"4",$E47:$AI48)+SUMIF($E47:$AI48,"8",$E47:$AI48)-8,SUMIF($E47:$AI48,"4",$E47:$AI48)+SUMIF($E47:$AI48,"8",$E47:$AI48))</f>
        <v>-8</v>
      </c>
      <c r="AT47" s="136">
        <f t="shared" ref="AT47" si="115">$AR47+$AS47</f>
        <v>-8</v>
      </c>
      <c r="AU47" s="136" t="str">
        <f t="shared" ref="AU47" si="116">IF(AK47=AT47,"+","!")</f>
        <v>!</v>
      </c>
      <c r="AV47" s="136">
        <f t="shared" ref="AV47" si="117">COUNTIF($E47:$AI48,"ОТ")</f>
        <v>0</v>
      </c>
      <c r="AW47" s="137" t="str">
        <f ca="1">IF(COUNTIF($A48:$AI48,"СП")&gt;0,IF(INDIRECT(ADDRESS(ROW(),MATCH("СП",$A48:$AI48),1))=8,"","!"),"")</f>
        <v>!</v>
      </c>
      <c r="AX47" s="137" t="str">
        <f ca="1">IF(COUNTIF($A48:$AI48,"СП")&gt;0,IF(INDIRECT(ADDRESS(ROW(),MATCH("СП",$A48:$AI48)-1,1))=4,"!",""),"")</f>
        <v/>
      </c>
    </row>
    <row r="48" spans="1:50" ht="16.5" thickBot="1" x14ac:dyDescent="0.3">
      <c r="A48" s="148"/>
      <c r="B48" s="140"/>
      <c r="C48" s="171"/>
      <c r="D48" s="50">
        <v>10</v>
      </c>
      <c r="E48" s="63" t="str">
        <f>INDEX(Д4!$E$54:$AI$63,MATCH($D48,Д4!$D$54:$D$63),MATCH(E$7,Д4!$E$3:$AI$3))</f>
        <v/>
      </c>
      <c r="F48" s="29" t="str">
        <f>INDEX(Д4!$E$54:$AI$63,MATCH($D48,Д4!$D$54:$D$63),MATCH(F$7,Д4!$E$3:$AI$3))</f>
        <v/>
      </c>
      <c r="G48" s="29" t="str">
        <f>INDEX(Д4!$E$54:$AI$63,MATCH($D48,Д4!$D$54:$D$63),MATCH(G$7,Д4!$E$3:$AI$3))</f>
        <v/>
      </c>
      <c r="H48" s="29" t="str">
        <f>INDEX(Д4!$E$54:$AI$63,MATCH($D48,Д4!$D$54:$D$63),MATCH(H$7,Д4!$E$3:$AI$3))</f>
        <v/>
      </c>
      <c r="I48" s="29" t="str">
        <f>INDEX(Д4!$E$54:$AI$63,MATCH($D48,Д4!$D$54:$D$63),MATCH(I$7,Д4!$E$3:$AI$3))</f>
        <v/>
      </c>
      <c r="J48" s="29" t="str">
        <f>INDEX(Д4!$E$54:$AI$63,MATCH($D48,Д4!$D$54:$D$63),MATCH(J$7,Д4!$E$3:$AI$3))</f>
        <v/>
      </c>
      <c r="K48" s="29" t="str">
        <f>INDEX(Д4!$E$54:$AI$63,MATCH($D48,Д4!$D$54:$D$63),MATCH(K$7,Д4!$E$3:$AI$3))</f>
        <v/>
      </c>
      <c r="L48" s="29" t="str">
        <f>INDEX(Д4!$E$54:$AI$63,MATCH($D48,Д4!$D$54:$D$63),MATCH(L$7,Д4!$E$3:$AI$3))</f>
        <v/>
      </c>
      <c r="M48" s="29" t="str">
        <f>INDEX(Д4!$E$54:$AI$63,MATCH($D48,Д4!$D$54:$D$63),MATCH(M$7,Д4!$E$3:$AI$3))</f>
        <v/>
      </c>
      <c r="N48" s="29" t="str">
        <f>INDEX(Д4!$E$54:$AI$63,MATCH($D48,Д4!$D$54:$D$63),MATCH(N$7,Д4!$E$3:$AI$3))</f>
        <v>СП</v>
      </c>
      <c r="O48" s="29" t="str">
        <f>INDEX(Д4!$E$54:$AI$63,MATCH($D48,Д4!$D$54:$D$63),MATCH(O$7,Д4!$E$3:$AI$3))</f>
        <v/>
      </c>
      <c r="P48" s="29" t="str">
        <f>INDEX(Д4!$E$54:$AI$63,MATCH($D48,Д4!$D$54:$D$63),MATCH(P$7,Д4!$E$3:$AI$3))</f>
        <v/>
      </c>
      <c r="Q48" s="29" t="str">
        <f>INDEX(Д4!$E$54:$AI$63,MATCH($D48,Д4!$D$54:$D$63),MATCH(Q$7,Д4!$E$3:$AI$3))</f>
        <v/>
      </c>
      <c r="R48" s="29" t="str">
        <f>INDEX(Д4!$E$54:$AI$63,MATCH($D48,Д4!$D$54:$D$63),MATCH(R$7,Д4!$E$3:$AI$3))</f>
        <v/>
      </c>
      <c r="S48" s="29" t="str">
        <f>INDEX(Д4!$E$54:$AI$63,MATCH($D48,Д4!$D$54:$D$63),MATCH(S$7,Д4!$E$3:$AI$3))</f>
        <v/>
      </c>
      <c r="T48" s="29" t="str">
        <f>INDEX(Д4!$E$54:$AI$63,MATCH($D48,Д4!$D$54:$D$63),MATCH(T$7,Д4!$E$3:$AI$3))</f>
        <v/>
      </c>
      <c r="U48" s="29" t="str">
        <f>INDEX(Д4!$E$54:$AI$63,MATCH($D48,Д4!$D$54:$D$63),MATCH(U$7,Д4!$E$3:$AI$3))</f>
        <v/>
      </c>
      <c r="V48" s="29" t="str">
        <f>INDEX(Д4!$E$54:$AI$63,MATCH($D48,Д4!$D$54:$D$63),MATCH(V$7,Д4!$E$3:$AI$3))</f>
        <v/>
      </c>
      <c r="W48" s="29" t="str">
        <f>INDEX(Д4!$E$54:$AI$63,MATCH($D48,Д4!$D$54:$D$63),MATCH(W$7,Д4!$E$3:$AI$3))</f>
        <v/>
      </c>
      <c r="X48" s="29" t="str">
        <f>INDEX(Д4!$E$54:$AI$63,MATCH($D48,Д4!$D$54:$D$63),MATCH(X$7,Д4!$E$3:$AI$3))</f>
        <v/>
      </c>
      <c r="Y48" s="29" t="str">
        <f>INDEX(Д4!$E$54:$AI$63,MATCH($D48,Д4!$D$54:$D$63),MATCH(Y$7,Д4!$E$3:$AI$3))</f>
        <v/>
      </c>
      <c r="Z48" s="29" t="str">
        <f>INDEX(Д4!$E$54:$AI$63,MATCH($D48,Д4!$D$54:$D$63),MATCH(Z$7,Д4!$E$3:$AI$3))</f>
        <v/>
      </c>
      <c r="AA48" s="29" t="str">
        <f>INDEX(Д4!$E$54:$AI$63,MATCH($D48,Д4!$D$54:$D$63),MATCH(AA$7,Д4!$E$3:$AI$3))</f>
        <v/>
      </c>
      <c r="AB48" s="29" t="str">
        <f>INDEX(Д4!$E$54:$AI$63,MATCH($D48,Д4!$D$54:$D$63),MATCH(AB$7,Д4!$E$3:$AI$3))</f>
        <v/>
      </c>
      <c r="AC48" s="29" t="str">
        <f>INDEX(Д4!$E$54:$AI$63,MATCH($D48,Д4!$D$54:$D$63),MATCH(AC$7,Д4!$E$3:$AI$3))</f>
        <v/>
      </c>
      <c r="AD48" s="29" t="str">
        <f>INDEX(Д4!$E$54:$AI$63,MATCH($D48,Д4!$D$54:$D$63),MATCH(AD$7,Д4!$E$3:$AI$3))</f>
        <v/>
      </c>
      <c r="AE48" s="29" t="str">
        <f>INDEX(Д4!$E$54:$AI$63,MATCH($D48,Д4!$D$54:$D$63),MATCH(AE$7,Д4!$E$3:$AI$3))</f>
        <v/>
      </c>
      <c r="AF48" s="29" t="str">
        <f>INDEX(Д4!$E$54:$AI$63,MATCH($D48,Д4!$D$54:$D$63),MATCH(AF$7,Д4!$E$3:$AI$3))</f>
        <v/>
      </c>
      <c r="AG48" s="29" t="str">
        <f>INDEX(Д4!$E$54:$AI$63,MATCH($D48,Д4!$D$54:$D$63),MATCH(AG$7,Д4!$E$3:$AI$3))</f>
        <v/>
      </c>
      <c r="AH48" s="29" t="str">
        <f>INDEX(Д4!$E$54:$AI$63,MATCH($D48,Д4!$D$54:$D$63),MATCH(AH$7,Д4!$E$3:$AI$3))</f>
        <v/>
      </c>
      <c r="AI48" s="29"/>
      <c r="AJ48" s="143"/>
      <c r="AK48" s="145"/>
      <c r="AL48" s="145"/>
      <c r="AM48" s="150"/>
      <c r="AP48" s="136"/>
      <c r="AQ48" s="136"/>
      <c r="AR48" s="136"/>
      <c r="AS48" s="136"/>
      <c r="AT48" s="136"/>
      <c r="AU48" s="136"/>
      <c r="AV48" s="136"/>
      <c r="AW48" s="137"/>
      <c r="AX48" s="137"/>
    </row>
    <row r="49" spans="1:49" x14ac:dyDescent="0.25">
      <c r="AP49" s="5"/>
      <c r="AQ49" s="5"/>
      <c r="AR49" s="5"/>
      <c r="AS49" s="5"/>
      <c r="AT49" s="5"/>
      <c r="AU49" s="5"/>
      <c r="AV49" s="5"/>
      <c r="AW49" s="5"/>
    </row>
    <row r="50" spans="1:49" ht="15.75" x14ac:dyDescent="0.25">
      <c r="B50" s="131" t="s">
        <v>71</v>
      </c>
      <c r="C50" s="132"/>
      <c r="D50" s="165" t="s">
        <v>72</v>
      </c>
      <c r="E50" s="165"/>
      <c r="F50" s="165"/>
      <c r="G50" s="165"/>
      <c r="H50" s="165"/>
      <c r="I50" s="132"/>
      <c r="J50" s="166" t="s">
        <v>73</v>
      </c>
      <c r="K50" s="166"/>
      <c r="L50" s="166"/>
      <c r="M50" s="132"/>
      <c r="N50" s="167" t="s">
        <v>74</v>
      </c>
      <c r="O50" s="167"/>
      <c r="P50" s="167"/>
      <c r="Q50" s="167"/>
      <c r="R50" s="132"/>
      <c r="S50" s="168" t="s">
        <v>75</v>
      </c>
      <c r="T50" s="168"/>
      <c r="U50" s="168"/>
      <c r="V50" s="168"/>
      <c r="W50" s="168"/>
      <c r="X50" s="168"/>
      <c r="Y50" s="168"/>
      <c r="Z50" s="168"/>
      <c r="AA50" s="168"/>
      <c r="AB50" s="168"/>
      <c r="AC50" s="168"/>
      <c r="AD50" s="132"/>
      <c r="AE50" s="169" t="s">
        <v>76</v>
      </c>
      <c r="AF50" s="169"/>
      <c r="AG50" s="169"/>
      <c r="AH50" s="169"/>
      <c r="AI50" s="169"/>
      <c r="AJ50" s="169"/>
      <c r="AK50" s="169"/>
      <c r="AL50" s="132"/>
      <c r="AP50" s="5"/>
      <c r="AQ50" s="5"/>
      <c r="AR50" s="5"/>
      <c r="AS50" s="5"/>
      <c r="AT50" s="5"/>
      <c r="AU50" s="5"/>
      <c r="AV50" s="5"/>
      <c r="AW50" s="5"/>
    </row>
    <row r="51" spans="1:49" ht="15.75" thickBot="1" x14ac:dyDescent="0.3">
      <c r="AP51" s="5"/>
      <c r="AQ51" s="5"/>
      <c r="AR51" s="5"/>
      <c r="AS51" s="5"/>
      <c r="AT51" s="5"/>
      <c r="AU51" s="5"/>
      <c r="AV51" s="5"/>
      <c r="AW51" s="5"/>
    </row>
    <row r="52" spans="1:49" x14ac:dyDescent="0.25">
      <c r="A52" s="138" t="s">
        <v>12</v>
      </c>
      <c r="B52" s="8" t="str">
        <f>$A$9</f>
        <v>Должность1</v>
      </c>
      <c r="C52" s="8"/>
      <c r="D52" s="8"/>
      <c r="E52" s="16" t="str">
        <f ca="1">IF(AND(COUNTIF(E$9:E$18,"12")&gt;=1,COUNTIF(E$9:E$18,"4")&gt;=1,COUNTIF(E$9:E$18,"8")&gt;=1),"","!")</f>
        <v/>
      </c>
      <c r="F52" s="16" t="str">
        <f t="shared" ref="F52:AH52" ca="1" si="118">IF(AND(COUNTIF(F$9:F$18,"12")&gt;=1,COUNTIF(F$9:F$18,"4")&gt;=1,COUNTIF(F$9:F$18,"8")&gt;=1),"","!")</f>
        <v/>
      </c>
      <c r="G52" s="16" t="str">
        <f t="shared" ca="1" si="118"/>
        <v/>
      </c>
      <c r="H52" s="16" t="str">
        <f t="shared" ca="1" si="118"/>
        <v/>
      </c>
      <c r="I52" s="16" t="str">
        <f t="shared" ca="1" si="118"/>
        <v/>
      </c>
      <c r="J52" s="16" t="str">
        <f t="shared" ca="1" si="118"/>
        <v/>
      </c>
      <c r="K52" s="16" t="str">
        <f t="shared" ca="1" si="118"/>
        <v/>
      </c>
      <c r="L52" s="16" t="str">
        <f t="shared" ca="1" si="118"/>
        <v/>
      </c>
      <c r="M52" s="16" t="str">
        <f t="shared" ca="1" si="118"/>
        <v/>
      </c>
      <c r="N52" s="16" t="str">
        <f t="shared" ca="1" si="118"/>
        <v/>
      </c>
      <c r="O52" s="16" t="str">
        <f t="shared" ca="1" si="118"/>
        <v/>
      </c>
      <c r="P52" s="16" t="str">
        <f t="shared" ca="1" si="118"/>
        <v/>
      </c>
      <c r="Q52" s="16" t="str">
        <f t="shared" ca="1" si="118"/>
        <v/>
      </c>
      <c r="R52" s="16" t="str">
        <f t="shared" ca="1" si="118"/>
        <v/>
      </c>
      <c r="S52" s="16" t="str">
        <f t="shared" ca="1" si="118"/>
        <v/>
      </c>
      <c r="T52" s="16" t="str">
        <f t="shared" ca="1" si="118"/>
        <v/>
      </c>
      <c r="U52" s="16" t="str">
        <f t="shared" ca="1" si="118"/>
        <v/>
      </c>
      <c r="V52" s="16" t="str">
        <f t="shared" ca="1" si="118"/>
        <v/>
      </c>
      <c r="W52" s="16" t="str">
        <f t="shared" ca="1" si="118"/>
        <v/>
      </c>
      <c r="X52" s="16" t="str">
        <f t="shared" ca="1" si="118"/>
        <v/>
      </c>
      <c r="Y52" s="16" t="str">
        <f t="shared" ca="1" si="118"/>
        <v/>
      </c>
      <c r="Z52" s="16" t="str">
        <f t="shared" ca="1" si="118"/>
        <v/>
      </c>
      <c r="AA52" s="16" t="str">
        <f t="shared" ca="1" si="118"/>
        <v/>
      </c>
      <c r="AB52" s="16" t="str">
        <f t="shared" ca="1" si="118"/>
        <v/>
      </c>
      <c r="AC52" s="16" t="str">
        <f t="shared" ca="1" si="118"/>
        <v/>
      </c>
      <c r="AD52" s="16" t="str">
        <f t="shared" ca="1" si="118"/>
        <v/>
      </c>
      <c r="AE52" s="16" t="str">
        <f t="shared" ca="1" si="118"/>
        <v/>
      </c>
      <c r="AF52" s="16" t="str">
        <f t="shared" ca="1" si="118"/>
        <v/>
      </c>
      <c r="AG52" s="16" t="str">
        <f t="shared" ca="1" si="118"/>
        <v/>
      </c>
      <c r="AH52" s="16" t="str">
        <f t="shared" ca="1" si="118"/>
        <v/>
      </c>
      <c r="AI52" s="16" t="str">
        <f>IF(AND(COUNTIF(AI$9:AI$18,"12")&gt;=1,COUNTIF(AI$9:AI$18,"4")&gt;=1,COUNTIF(AI$9:AI$18,"8")&gt;=1),"","!")</f>
        <v>!</v>
      </c>
      <c r="AP52" s="5"/>
      <c r="AQ52" s="5"/>
      <c r="AR52" s="5"/>
      <c r="AS52" s="5"/>
      <c r="AT52" s="5"/>
      <c r="AU52" s="5"/>
      <c r="AV52" s="5"/>
      <c r="AW52" s="5"/>
    </row>
    <row r="53" spans="1:49" x14ac:dyDescent="0.25">
      <c r="A53" s="134"/>
      <c r="B53" t="str">
        <f>$A$19</f>
        <v>Должность2</v>
      </c>
      <c r="E53" s="5" t="str">
        <f ca="1">IF(AND(COUNTIF(E$19:E$28,"12")&gt;=1,COUNTIF(E$19:E$28,"4")&gt;=1,COUNTIF(E$19:E$28,"8")&gt;=1),"","!")</f>
        <v/>
      </c>
      <c r="F53" s="5" t="str">
        <f t="shared" ref="F53:AI53" ca="1" si="119">IF(AND(COUNTIF(F$19:F$28,"12")&gt;=1,COUNTIF(F$19:F$28,"4")&gt;=1,COUNTIF(F$19:F$28,"8")&gt;=1),"","!")</f>
        <v/>
      </c>
      <c r="G53" s="5" t="str">
        <f t="shared" ca="1" si="119"/>
        <v/>
      </c>
      <c r="H53" s="5" t="str">
        <f t="shared" ca="1" si="119"/>
        <v/>
      </c>
      <c r="I53" s="5" t="str">
        <f t="shared" ca="1" si="119"/>
        <v/>
      </c>
      <c r="J53" s="5" t="str">
        <f t="shared" ca="1" si="119"/>
        <v/>
      </c>
      <c r="K53" s="5" t="str">
        <f t="shared" ca="1" si="119"/>
        <v/>
      </c>
      <c r="L53" s="5" t="str">
        <f t="shared" ca="1" si="119"/>
        <v/>
      </c>
      <c r="M53" s="5" t="str">
        <f t="shared" ca="1" si="119"/>
        <v/>
      </c>
      <c r="N53" s="5" t="str">
        <f t="shared" ca="1" si="119"/>
        <v/>
      </c>
      <c r="O53" s="5" t="str">
        <f t="shared" ca="1" si="119"/>
        <v/>
      </c>
      <c r="P53" s="5" t="str">
        <f t="shared" ca="1" si="119"/>
        <v/>
      </c>
      <c r="Q53" s="5" t="str">
        <f t="shared" ca="1" si="119"/>
        <v/>
      </c>
      <c r="R53" s="5" t="str">
        <f t="shared" ca="1" si="119"/>
        <v/>
      </c>
      <c r="S53" s="5" t="str">
        <f t="shared" ca="1" si="119"/>
        <v/>
      </c>
      <c r="T53" s="5" t="str">
        <f t="shared" ca="1" si="119"/>
        <v/>
      </c>
      <c r="U53" s="5" t="str">
        <f t="shared" ca="1" si="119"/>
        <v/>
      </c>
      <c r="V53" s="5" t="str">
        <f t="shared" ca="1" si="119"/>
        <v/>
      </c>
      <c r="W53" s="5" t="str">
        <f t="shared" ca="1" si="119"/>
        <v/>
      </c>
      <c r="X53" s="5" t="str">
        <f t="shared" ca="1" si="119"/>
        <v/>
      </c>
      <c r="Y53" s="5" t="str">
        <f t="shared" ca="1" si="119"/>
        <v/>
      </c>
      <c r="Z53" s="5" t="str">
        <f t="shared" ca="1" si="119"/>
        <v/>
      </c>
      <c r="AA53" s="5" t="str">
        <f t="shared" ca="1" si="119"/>
        <v/>
      </c>
      <c r="AB53" s="5" t="str">
        <f t="shared" ca="1" si="119"/>
        <v/>
      </c>
      <c r="AC53" s="5" t="str">
        <f t="shared" ca="1" si="119"/>
        <v/>
      </c>
      <c r="AD53" s="5" t="str">
        <f t="shared" ca="1" si="119"/>
        <v/>
      </c>
      <c r="AE53" s="5" t="str">
        <f t="shared" ca="1" si="119"/>
        <v/>
      </c>
      <c r="AF53" s="5" t="str">
        <f t="shared" ca="1" si="119"/>
        <v/>
      </c>
      <c r="AG53" s="5" t="str">
        <f t="shared" ca="1" si="119"/>
        <v/>
      </c>
      <c r="AH53" s="5" t="str">
        <f t="shared" ca="1" si="119"/>
        <v/>
      </c>
      <c r="AI53" s="5" t="str">
        <f t="shared" si="119"/>
        <v>!</v>
      </c>
      <c r="AP53" s="5"/>
      <c r="AQ53" s="5"/>
      <c r="AR53" s="5"/>
      <c r="AS53" s="5"/>
      <c r="AT53" s="5"/>
      <c r="AU53" s="5"/>
      <c r="AV53" s="5"/>
      <c r="AW53" s="5"/>
    </row>
    <row r="54" spans="1:49" x14ac:dyDescent="0.25">
      <c r="A54" s="134"/>
      <c r="B54" t="str">
        <f>$A$29</f>
        <v>Должность3</v>
      </c>
      <c r="E54" s="5" t="str">
        <f ca="1">IF(AND(COUNTIF(E$29:E$38,"12")&gt;=1,COUNTIF(E$29:E$38,"4")&gt;=1,COUNTIF(E$29:E$38,"8")&gt;=1),"","!")</f>
        <v/>
      </c>
      <c r="F54" s="5" t="str">
        <f t="shared" ref="F54:AI54" ca="1" si="120">IF(AND(COUNTIF(F$29:F$38,"12")&gt;=1,COUNTIF(F$29:F$38,"4")&gt;=1,COUNTIF(F$29:F$38,"8")&gt;=1),"","!")</f>
        <v/>
      </c>
      <c r="G54" s="5" t="str">
        <f t="shared" ca="1" si="120"/>
        <v/>
      </c>
      <c r="H54" s="5" t="str">
        <f t="shared" ca="1" si="120"/>
        <v/>
      </c>
      <c r="I54" s="5" t="str">
        <f t="shared" ca="1" si="120"/>
        <v/>
      </c>
      <c r="J54" s="5" t="str">
        <f t="shared" ca="1" si="120"/>
        <v/>
      </c>
      <c r="K54" s="5" t="str">
        <f t="shared" ca="1" si="120"/>
        <v/>
      </c>
      <c r="L54" s="5" t="str">
        <f t="shared" ca="1" si="120"/>
        <v/>
      </c>
      <c r="M54" s="5" t="str">
        <f t="shared" ca="1" si="120"/>
        <v/>
      </c>
      <c r="N54" s="5" t="str">
        <f t="shared" ca="1" si="120"/>
        <v/>
      </c>
      <c r="O54" s="5" t="str">
        <f t="shared" ca="1" si="120"/>
        <v/>
      </c>
      <c r="P54" s="5" t="str">
        <f t="shared" ca="1" si="120"/>
        <v/>
      </c>
      <c r="Q54" s="5" t="str">
        <f t="shared" ca="1" si="120"/>
        <v/>
      </c>
      <c r="R54" s="5" t="str">
        <f t="shared" ca="1" si="120"/>
        <v/>
      </c>
      <c r="S54" s="5" t="str">
        <f t="shared" ca="1" si="120"/>
        <v/>
      </c>
      <c r="T54" s="5" t="str">
        <f t="shared" ca="1" si="120"/>
        <v/>
      </c>
      <c r="U54" s="5" t="str">
        <f t="shared" ca="1" si="120"/>
        <v/>
      </c>
      <c r="V54" s="5" t="str">
        <f t="shared" ca="1" si="120"/>
        <v/>
      </c>
      <c r="W54" s="5" t="str">
        <f t="shared" ca="1" si="120"/>
        <v/>
      </c>
      <c r="X54" s="5" t="str">
        <f t="shared" ca="1" si="120"/>
        <v/>
      </c>
      <c r="Y54" s="5" t="str">
        <f t="shared" ca="1" si="120"/>
        <v/>
      </c>
      <c r="Z54" s="5" t="str">
        <f t="shared" ca="1" si="120"/>
        <v/>
      </c>
      <c r="AA54" s="5" t="str">
        <f t="shared" ca="1" si="120"/>
        <v/>
      </c>
      <c r="AB54" s="5" t="str">
        <f t="shared" ca="1" si="120"/>
        <v/>
      </c>
      <c r="AC54" s="5" t="str">
        <f t="shared" ca="1" si="120"/>
        <v/>
      </c>
      <c r="AD54" s="5" t="str">
        <f t="shared" ca="1" si="120"/>
        <v/>
      </c>
      <c r="AE54" s="5" t="str">
        <f t="shared" ca="1" si="120"/>
        <v/>
      </c>
      <c r="AF54" s="5" t="str">
        <f t="shared" ca="1" si="120"/>
        <v/>
      </c>
      <c r="AG54" s="5" t="str">
        <f t="shared" ca="1" si="120"/>
        <v/>
      </c>
      <c r="AH54" s="5" t="str">
        <f t="shared" ca="1" si="120"/>
        <v/>
      </c>
      <c r="AI54" s="5" t="str">
        <f t="shared" si="120"/>
        <v>!</v>
      </c>
      <c r="AP54" s="5"/>
      <c r="AQ54" s="5"/>
      <c r="AR54" s="5"/>
      <c r="AS54" s="5"/>
      <c r="AT54" s="5"/>
      <c r="AU54" s="5"/>
      <c r="AV54" s="5"/>
      <c r="AW54" s="5"/>
    </row>
    <row r="55" spans="1:49" x14ac:dyDescent="0.25">
      <c r="A55" s="134"/>
      <c r="B55" t="str">
        <f>$A$39</f>
        <v>Должность4</v>
      </c>
      <c r="E55" s="5" t="str">
        <f ca="1">IF(AND(COUNTIF(E$39:E$48,"12")&gt;=1,COUNTIF(E$39:E$48,"4")&gt;=1,COUNTIF(E$39:E$48,"8")&gt;=1),"","!")</f>
        <v/>
      </c>
      <c r="F55" s="5" t="str">
        <f t="shared" ref="F55:AI55" ca="1" si="121">IF(AND(COUNTIF(F$39:F$48,"12")&gt;=1,COUNTIF(F$39:F$48,"4")&gt;=1,COUNTIF(F$39:F$48,"8")&gt;=1),"","!")</f>
        <v/>
      </c>
      <c r="G55" s="5" t="str">
        <f t="shared" ca="1" si="121"/>
        <v/>
      </c>
      <c r="H55" s="5" t="str">
        <f t="shared" ca="1" si="121"/>
        <v/>
      </c>
      <c r="I55" s="5" t="str">
        <f t="shared" ca="1" si="121"/>
        <v/>
      </c>
      <c r="J55" s="5" t="str">
        <f t="shared" ca="1" si="121"/>
        <v/>
      </c>
      <c r="K55" s="5" t="str">
        <f t="shared" ca="1" si="121"/>
        <v/>
      </c>
      <c r="L55" s="5" t="str">
        <f t="shared" ca="1" si="121"/>
        <v/>
      </c>
      <c r="M55" s="5" t="str">
        <f t="shared" ca="1" si="121"/>
        <v/>
      </c>
      <c r="N55" s="5" t="str">
        <f t="shared" ca="1" si="121"/>
        <v/>
      </c>
      <c r="O55" s="5" t="str">
        <f t="shared" ca="1" si="121"/>
        <v/>
      </c>
      <c r="P55" s="5" t="str">
        <f t="shared" ca="1" si="121"/>
        <v/>
      </c>
      <c r="Q55" s="5" t="str">
        <f t="shared" ca="1" si="121"/>
        <v/>
      </c>
      <c r="R55" s="5" t="str">
        <f t="shared" ca="1" si="121"/>
        <v/>
      </c>
      <c r="S55" s="5" t="str">
        <f t="shared" ca="1" si="121"/>
        <v/>
      </c>
      <c r="T55" s="5" t="str">
        <f t="shared" ca="1" si="121"/>
        <v/>
      </c>
      <c r="U55" s="5" t="str">
        <f t="shared" ca="1" si="121"/>
        <v/>
      </c>
      <c r="V55" s="5" t="str">
        <f t="shared" ca="1" si="121"/>
        <v/>
      </c>
      <c r="W55" s="5" t="str">
        <f t="shared" ca="1" si="121"/>
        <v/>
      </c>
      <c r="X55" s="5" t="str">
        <f t="shared" ca="1" si="121"/>
        <v/>
      </c>
      <c r="Y55" s="5" t="str">
        <f t="shared" ca="1" si="121"/>
        <v/>
      </c>
      <c r="Z55" s="5" t="str">
        <f t="shared" ca="1" si="121"/>
        <v/>
      </c>
      <c r="AA55" s="5" t="str">
        <f t="shared" ca="1" si="121"/>
        <v/>
      </c>
      <c r="AB55" s="5" t="str">
        <f t="shared" ca="1" si="121"/>
        <v/>
      </c>
      <c r="AC55" s="5" t="str">
        <f t="shared" ca="1" si="121"/>
        <v/>
      </c>
      <c r="AD55" s="5" t="str">
        <f t="shared" ca="1" si="121"/>
        <v/>
      </c>
      <c r="AE55" s="5" t="str">
        <f t="shared" ca="1" si="121"/>
        <v/>
      </c>
      <c r="AF55" s="5" t="str">
        <f t="shared" ca="1" si="121"/>
        <v/>
      </c>
      <c r="AG55" s="5" t="str">
        <f t="shared" ca="1" si="121"/>
        <v/>
      </c>
      <c r="AH55" s="5" t="str">
        <f t="shared" ca="1" si="121"/>
        <v/>
      </c>
      <c r="AI55" s="5" t="str">
        <f t="shared" si="121"/>
        <v>!</v>
      </c>
      <c r="AP55" s="5"/>
      <c r="AQ55" s="5"/>
      <c r="AR55" s="5"/>
      <c r="AS55" s="5"/>
      <c r="AT55" s="5"/>
      <c r="AU55" s="5"/>
      <c r="AV55" s="5"/>
      <c r="AW55" s="5"/>
    </row>
    <row r="56" spans="1:49" ht="5.45" customHeight="1" x14ac:dyDescent="0.25">
      <c r="A56" s="10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7"/>
      <c r="AI56" s="17"/>
      <c r="AP56" s="5"/>
      <c r="AQ56" s="5"/>
      <c r="AR56" s="5"/>
      <c r="AS56" s="5"/>
      <c r="AT56" s="5"/>
      <c r="AU56" s="5"/>
      <c r="AV56" s="5"/>
      <c r="AW56" s="5"/>
    </row>
    <row r="57" spans="1:49" x14ac:dyDescent="0.25">
      <c r="A57" s="134" t="s">
        <v>10</v>
      </c>
      <c r="B57" t="str">
        <f>$A$9</f>
        <v>Должность1</v>
      </c>
      <c r="E57" s="5" t="str">
        <f ca="1">IF(COUNTIF(E$9:E$18,"12")&gt;1,CONCATENATE("12*",COUNTIF(E$9:E$18,"12")),IF(COUNTIF(E$9:E$18,"4")&gt;1,CONCATENATE("4*",COUNTIF(E$9:E$18,"4")),IF(COUNTIF(E$9:E$18,"8")&gt;1,CONCATENATE("8*",COUNTIF(E$9:E$18,"8")),"")))</f>
        <v/>
      </c>
      <c r="F57" s="5" t="str">
        <f t="shared" ref="F57:AH57" ca="1" si="122">IF(COUNTIF(F$9:F$18,"12")&gt;1,CONCATENATE("12*",COUNTIF(F$9:F$18,"12")),IF(COUNTIF(F$9:F$18,"4")&gt;1,CONCATENATE("4*",COUNTIF(F$9:F$18,"4")),IF(COUNTIF(F$9:F$18,"8")&gt;1,CONCATENATE("8*",COUNTIF(F$9:F$18,"8")),"")))</f>
        <v/>
      </c>
      <c r="G57" s="5" t="str">
        <f t="shared" ca="1" si="122"/>
        <v/>
      </c>
      <c r="H57" s="5" t="str">
        <f t="shared" ca="1" si="122"/>
        <v/>
      </c>
      <c r="I57" s="5" t="str">
        <f t="shared" ca="1" si="122"/>
        <v/>
      </c>
      <c r="J57" s="5" t="str">
        <f t="shared" ca="1" si="122"/>
        <v/>
      </c>
      <c r="K57" s="5" t="str">
        <f t="shared" ca="1" si="122"/>
        <v/>
      </c>
      <c r="L57" s="5" t="str">
        <f t="shared" ca="1" si="122"/>
        <v/>
      </c>
      <c r="M57" s="5" t="str">
        <f t="shared" ca="1" si="122"/>
        <v/>
      </c>
      <c r="N57" s="5" t="str">
        <f t="shared" ca="1" si="122"/>
        <v/>
      </c>
      <c r="O57" s="5" t="str">
        <f t="shared" ca="1" si="122"/>
        <v/>
      </c>
      <c r="P57" s="5" t="str">
        <f t="shared" ca="1" si="122"/>
        <v/>
      </c>
      <c r="Q57" s="5" t="str">
        <f t="shared" ca="1" si="122"/>
        <v/>
      </c>
      <c r="R57" s="5" t="str">
        <f t="shared" ca="1" si="122"/>
        <v/>
      </c>
      <c r="S57" s="5" t="str">
        <f t="shared" ca="1" si="122"/>
        <v/>
      </c>
      <c r="T57" s="5" t="str">
        <f t="shared" ca="1" si="122"/>
        <v/>
      </c>
      <c r="U57" s="5" t="str">
        <f t="shared" ca="1" si="122"/>
        <v/>
      </c>
      <c r="V57" s="5" t="str">
        <f t="shared" ca="1" si="122"/>
        <v/>
      </c>
      <c r="W57" s="5" t="str">
        <f t="shared" ca="1" si="122"/>
        <v/>
      </c>
      <c r="X57" s="5" t="str">
        <f t="shared" ca="1" si="122"/>
        <v/>
      </c>
      <c r="Y57" s="5" t="str">
        <f t="shared" ca="1" si="122"/>
        <v/>
      </c>
      <c r="Z57" s="5" t="str">
        <f t="shared" ca="1" si="122"/>
        <v/>
      </c>
      <c r="AA57" s="5" t="str">
        <f t="shared" ca="1" si="122"/>
        <v/>
      </c>
      <c r="AB57" s="5" t="str">
        <f t="shared" ca="1" si="122"/>
        <v/>
      </c>
      <c r="AC57" s="5" t="str">
        <f t="shared" ca="1" si="122"/>
        <v/>
      </c>
      <c r="AD57" s="5" t="str">
        <f t="shared" ca="1" si="122"/>
        <v/>
      </c>
      <c r="AE57" s="5" t="str">
        <f t="shared" ca="1" si="122"/>
        <v/>
      </c>
      <c r="AF57" s="5" t="str">
        <f t="shared" ca="1" si="122"/>
        <v/>
      </c>
      <c r="AG57" s="5" t="str">
        <f t="shared" ca="1" si="122"/>
        <v/>
      </c>
      <c r="AH57" s="5" t="str">
        <f t="shared" ca="1" si="122"/>
        <v/>
      </c>
      <c r="AI57" s="5" t="str">
        <f>IF(COUNTIF(AI$9:AI$18,"12")&gt;1,CONCATENATE("12*",COUNTIF(AI$9:AI$18,"12")),IF(COUNTIF(AI$9:AI$18,"4")&gt;1,CONCATENATE("4*",COUNTIF(AI$9:AI$18,"4")),IF(COUNTIF(AI$9:AI$18,"8")&gt;1,CONCATENATE("8*",COUNTIF(AI$9:AI$18,"8")),"")))</f>
        <v/>
      </c>
    </row>
    <row r="58" spans="1:49" x14ac:dyDescent="0.25">
      <c r="A58" s="134"/>
      <c r="B58" t="str">
        <f>$A$19</f>
        <v>Должность2</v>
      </c>
      <c r="E58" s="5" t="str">
        <f ca="1">IF(COUNTIF(E$19:E$28,"12")&gt;1,CONCATENATE("12*",COUNTIF(E$19:E$28,"12")),IF(COUNTIF(E$19:E$28,"4")&gt;1,CONCATENATE("4*",COUNTIF(E$19:E$28,"4")),IF(COUNTIF(E$19:E$28,"8")&gt;1,CONCATENATE("8*",COUNTIF(E$19:E$28,"8")),"")))</f>
        <v/>
      </c>
      <c r="F58" s="5" t="str">
        <f t="shared" ref="F58:AI58" ca="1" si="123">IF(COUNTIF(F$19:F$28,"12")&gt;1,CONCATENATE("12*",COUNTIF(F$19:F$28,"12")),IF(COUNTIF(F$19:F$28,"4")&gt;1,CONCATENATE("4*",COUNTIF(F$19:F$28,"4")),IF(COUNTIF(F$19:F$28,"8")&gt;1,CONCATENATE("8*",COUNTIF(F$19:F$28,"8")),"")))</f>
        <v/>
      </c>
      <c r="G58" s="5" t="str">
        <f t="shared" ca="1" si="123"/>
        <v/>
      </c>
      <c r="H58" s="5" t="str">
        <f t="shared" ca="1" si="123"/>
        <v/>
      </c>
      <c r="I58" s="5" t="str">
        <f t="shared" ca="1" si="123"/>
        <v/>
      </c>
      <c r="J58" s="5" t="str">
        <f t="shared" ca="1" si="123"/>
        <v/>
      </c>
      <c r="K58" s="5" t="str">
        <f t="shared" ca="1" si="123"/>
        <v/>
      </c>
      <c r="L58" s="5" t="str">
        <f t="shared" ca="1" si="123"/>
        <v/>
      </c>
      <c r="M58" s="5" t="str">
        <f t="shared" ca="1" si="123"/>
        <v/>
      </c>
      <c r="N58" s="5" t="str">
        <f t="shared" ca="1" si="123"/>
        <v/>
      </c>
      <c r="O58" s="5" t="str">
        <f t="shared" ca="1" si="123"/>
        <v/>
      </c>
      <c r="P58" s="5" t="str">
        <f t="shared" ca="1" si="123"/>
        <v/>
      </c>
      <c r="Q58" s="5" t="str">
        <f t="shared" ca="1" si="123"/>
        <v/>
      </c>
      <c r="R58" s="5" t="str">
        <f t="shared" ca="1" si="123"/>
        <v/>
      </c>
      <c r="S58" s="5" t="str">
        <f t="shared" ca="1" si="123"/>
        <v/>
      </c>
      <c r="T58" s="5" t="str">
        <f t="shared" ca="1" si="123"/>
        <v/>
      </c>
      <c r="U58" s="5" t="str">
        <f t="shared" ca="1" si="123"/>
        <v/>
      </c>
      <c r="V58" s="5" t="str">
        <f t="shared" ca="1" si="123"/>
        <v/>
      </c>
      <c r="W58" s="5" t="str">
        <f t="shared" ca="1" si="123"/>
        <v/>
      </c>
      <c r="X58" s="5" t="str">
        <f t="shared" ca="1" si="123"/>
        <v/>
      </c>
      <c r="Y58" s="5" t="str">
        <f t="shared" ca="1" si="123"/>
        <v/>
      </c>
      <c r="Z58" s="5" t="str">
        <f t="shared" ca="1" si="123"/>
        <v/>
      </c>
      <c r="AA58" s="5" t="str">
        <f t="shared" ca="1" si="123"/>
        <v/>
      </c>
      <c r="AB58" s="5" t="str">
        <f t="shared" ca="1" si="123"/>
        <v/>
      </c>
      <c r="AC58" s="5" t="str">
        <f t="shared" ca="1" si="123"/>
        <v/>
      </c>
      <c r="AD58" s="5" t="str">
        <f t="shared" ca="1" si="123"/>
        <v/>
      </c>
      <c r="AE58" s="5" t="str">
        <f t="shared" ca="1" si="123"/>
        <v/>
      </c>
      <c r="AF58" s="5" t="str">
        <f t="shared" ca="1" si="123"/>
        <v/>
      </c>
      <c r="AG58" s="5" t="str">
        <f t="shared" ca="1" si="123"/>
        <v/>
      </c>
      <c r="AH58" s="5" t="str">
        <f t="shared" ca="1" si="123"/>
        <v/>
      </c>
      <c r="AI58" s="5" t="str">
        <f t="shared" si="123"/>
        <v/>
      </c>
    </row>
    <row r="59" spans="1:49" x14ac:dyDescent="0.25">
      <c r="A59" s="134"/>
      <c r="B59" t="str">
        <f>$A$29</f>
        <v>Должность3</v>
      </c>
      <c r="E59" s="5" t="str">
        <f ca="1">IF(COUNTIF(E$29:E$38,"12")&gt;1,CONCATENATE("12*",COUNTIF(E$29:E$38,"12")),IF(COUNTIF(E$29:E$38,"4")&gt;1,CONCATENATE("4*",COUNTIF(E$29:E$38,"4")),IF(COUNTIF(E$29:E$38,"8")&gt;1,CONCATENATE("8*",COUNTIF(E$29:E$38,"8")),"")))</f>
        <v/>
      </c>
      <c r="F59" s="5" t="str">
        <f t="shared" ref="F59:AI59" ca="1" si="124">IF(COUNTIF(F$29:F$38,"12")&gt;1,CONCATENATE("12*",COUNTIF(F$29:F$38,"12")),IF(COUNTIF(F$29:F$38,"4")&gt;1,CONCATENATE("4*",COUNTIF(F$29:F$38,"4")),IF(COUNTIF(F$29:F$38,"8")&gt;1,CONCATENATE("8*",COUNTIF(F$29:F$38,"8")),"")))</f>
        <v/>
      </c>
      <c r="G59" s="5" t="str">
        <f t="shared" ca="1" si="124"/>
        <v/>
      </c>
      <c r="H59" s="5" t="str">
        <f t="shared" ca="1" si="124"/>
        <v/>
      </c>
      <c r="I59" s="5" t="str">
        <f t="shared" ca="1" si="124"/>
        <v/>
      </c>
      <c r="J59" s="5" t="str">
        <f t="shared" ca="1" si="124"/>
        <v/>
      </c>
      <c r="K59" s="5" t="str">
        <f t="shared" ca="1" si="124"/>
        <v/>
      </c>
      <c r="L59" s="5" t="str">
        <f t="shared" ca="1" si="124"/>
        <v/>
      </c>
      <c r="M59" s="5" t="str">
        <f t="shared" ca="1" si="124"/>
        <v/>
      </c>
      <c r="N59" s="5" t="str">
        <f t="shared" ca="1" si="124"/>
        <v/>
      </c>
      <c r="O59" s="5" t="str">
        <f t="shared" ca="1" si="124"/>
        <v/>
      </c>
      <c r="P59" s="5" t="str">
        <f t="shared" ca="1" si="124"/>
        <v/>
      </c>
      <c r="Q59" s="5" t="str">
        <f t="shared" ca="1" si="124"/>
        <v/>
      </c>
      <c r="R59" s="5" t="str">
        <f t="shared" ca="1" si="124"/>
        <v/>
      </c>
      <c r="S59" s="5" t="str">
        <f t="shared" ca="1" si="124"/>
        <v/>
      </c>
      <c r="T59" s="5" t="str">
        <f t="shared" ca="1" si="124"/>
        <v/>
      </c>
      <c r="U59" s="5" t="str">
        <f t="shared" ca="1" si="124"/>
        <v/>
      </c>
      <c r="V59" s="5" t="str">
        <f t="shared" ca="1" si="124"/>
        <v/>
      </c>
      <c r="W59" s="5" t="str">
        <f t="shared" ca="1" si="124"/>
        <v/>
      </c>
      <c r="X59" s="5" t="str">
        <f t="shared" ca="1" si="124"/>
        <v/>
      </c>
      <c r="Y59" s="5" t="str">
        <f t="shared" ca="1" si="124"/>
        <v/>
      </c>
      <c r="Z59" s="5" t="str">
        <f t="shared" ca="1" si="124"/>
        <v/>
      </c>
      <c r="AA59" s="5" t="str">
        <f t="shared" ca="1" si="124"/>
        <v/>
      </c>
      <c r="AB59" s="5" t="str">
        <f t="shared" ca="1" si="124"/>
        <v/>
      </c>
      <c r="AC59" s="5" t="str">
        <f t="shared" ca="1" si="124"/>
        <v/>
      </c>
      <c r="AD59" s="5" t="str">
        <f t="shared" ca="1" si="124"/>
        <v/>
      </c>
      <c r="AE59" s="5" t="str">
        <f t="shared" ca="1" si="124"/>
        <v/>
      </c>
      <c r="AF59" s="5" t="str">
        <f t="shared" ca="1" si="124"/>
        <v/>
      </c>
      <c r="AG59" s="5" t="str">
        <f t="shared" ca="1" si="124"/>
        <v/>
      </c>
      <c r="AH59" s="5" t="str">
        <f t="shared" ca="1" si="124"/>
        <v/>
      </c>
      <c r="AI59" s="5" t="str">
        <f t="shared" si="124"/>
        <v/>
      </c>
    </row>
    <row r="60" spans="1:49" ht="15.75" thickBot="1" x14ac:dyDescent="0.3">
      <c r="A60" s="135"/>
      <c r="B60" s="9" t="str">
        <f>$A$39</f>
        <v>Должность4</v>
      </c>
      <c r="C60" s="9"/>
      <c r="D60" s="9"/>
      <c r="E60" s="18" t="str">
        <f ca="1">IF(COUNTIF(E$39:E$48,"12")&gt;1,CONCATENATE("12*",COUNTIF(E$39:E$48,"12")),IF(COUNTIF(E$39:E$48,"4")&gt;1,CONCATENATE("4*",COUNTIF(E$39:E$48,"4")),IF(COUNTIF(E$39:E$48,"8")&gt;1,CONCATENATE("8*",COUNTIF(E$39:E$48,"8")),"")))</f>
        <v>4*2</v>
      </c>
      <c r="F60" s="18" t="str">
        <f t="shared" ref="F60:AI60" ca="1" si="125">IF(COUNTIF(F$39:F$48,"12")&gt;1,CONCATENATE("12*",COUNTIF(F$39:F$48,"12")),IF(COUNTIF(F$39:F$48,"4")&gt;1,CONCATENATE("4*",COUNTIF(F$39:F$48,"4")),IF(COUNTIF(F$39:F$48,"8")&gt;1,CONCATENATE("8*",COUNTIF(F$39:F$48,"8")),"")))</f>
        <v>8*2</v>
      </c>
      <c r="G60" s="18" t="str">
        <f t="shared" ca="1" si="125"/>
        <v>12*2</v>
      </c>
      <c r="H60" s="18" t="str">
        <f t="shared" ca="1" si="125"/>
        <v/>
      </c>
      <c r="I60" s="18" t="str">
        <f t="shared" ca="1" si="125"/>
        <v/>
      </c>
      <c r="J60" s="18" t="str">
        <f t="shared" ca="1" si="125"/>
        <v>4*2</v>
      </c>
      <c r="K60" s="18" t="str">
        <f t="shared" ca="1" si="125"/>
        <v>8*2</v>
      </c>
      <c r="L60" s="18" t="str">
        <f t="shared" ca="1" si="125"/>
        <v>12*2</v>
      </c>
      <c r="M60" s="18" t="str">
        <f t="shared" ca="1" si="125"/>
        <v>4*2</v>
      </c>
      <c r="N60" s="18" t="str">
        <f t="shared" ca="1" si="125"/>
        <v>8*2</v>
      </c>
      <c r="O60" s="18" t="str">
        <f t="shared" ca="1" si="125"/>
        <v>12*2</v>
      </c>
      <c r="P60" s="18" t="str">
        <f t="shared" ca="1" si="125"/>
        <v/>
      </c>
      <c r="Q60" s="18" t="str">
        <f t="shared" ca="1" si="125"/>
        <v/>
      </c>
      <c r="R60" s="18" t="str">
        <f t="shared" ca="1" si="125"/>
        <v>4*2</v>
      </c>
      <c r="S60" s="18" t="str">
        <f t="shared" ca="1" si="125"/>
        <v>8*2</v>
      </c>
      <c r="T60" s="18" t="str">
        <f t="shared" ca="1" si="125"/>
        <v>12*2</v>
      </c>
      <c r="U60" s="18" t="str">
        <f t="shared" ca="1" si="125"/>
        <v>4*2</v>
      </c>
      <c r="V60" s="18" t="str">
        <f t="shared" ca="1" si="125"/>
        <v>8*2</v>
      </c>
      <c r="W60" s="18" t="str">
        <f t="shared" ca="1" si="125"/>
        <v>12*2</v>
      </c>
      <c r="X60" s="18" t="str">
        <f t="shared" ca="1" si="125"/>
        <v/>
      </c>
      <c r="Y60" s="18" t="str">
        <f t="shared" ca="1" si="125"/>
        <v/>
      </c>
      <c r="Z60" s="18" t="str">
        <f t="shared" ca="1" si="125"/>
        <v>4*2</v>
      </c>
      <c r="AA60" s="18" t="str">
        <f t="shared" ca="1" si="125"/>
        <v>8*2</v>
      </c>
      <c r="AB60" s="18" t="str">
        <f t="shared" ca="1" si="125"/>
        <v>12*2</v>
      </c>
      <c r="AC60" s="18" t="str">
        <f t="shared" ca="1" si="125"/>
        <v>4*2</v>
      </c>
      <c r="AD60" s="18" t="str">
        <f t="shared" ca="1" si="125"/>
        <v>8*2</v>
      </c>
      <c r="AE60" s="18" t="str">
        <f t="shared" ca="1" si="125"/>
        <v>12*2</v>
      </c>
      <c r="AF60" s="18" t="str">
        <f t="shared" ca="1" si="125"/>
        <v/>
      </c>
      <c r="AG60" s="18" t="str">
        <f t="shared" ca="1" si="125"/>
        <v/>
      </c>
      <c r="AH60" s="18" t="str">
        <f t="shared" ca="1" si="125"/>
        <v>4*2</v>
      </c>
      <c r="AI60" s="18" t="str">
        <f t="shared" si="125"/>
        <v/>
      </c>
    </row>
  </sheetData>
  <autoFilter ref="AP8:AX48" xr:uid="{00000000-0009-0000-0000-000000000000}"/>
  <mergeCells count="316">
    <mergeCell ref="AL47:AL48"/>
    <mergeCell ref="AM47:AM48"/>
    <mergeCell ref="AM27:AM28"/>
    <mergeCell ref="AL29:AL30"/>
    <mergeCell ref="AM29:AM30"/>
    <mergeCell ref="AL31:AL32"/>
    <mergeCell ref="AM31:AM32"/>
    <mergeCell ref="AL33:AL34"/>
    <mergeCell ref="AM33:AM34"/>
    <mergeCell ref="AL35:AL36"/>
    <mergeCell ref="AM35:AM36"/>
    <mergeCell ref="D50:H50"/>
    <mergeCell ref="J50:L50"/>
    <mergeCell ref="N50:Q50"/>
    <mergeCell ref="S50:AC50"/>
    <mergeCell ref="AE50:AK50"/>
    <mergeCell ref="AL9:AL10"/>
    <mergeCell ref="AM9:AM10"/>
    <mergeCell ref="AL11:AL12"/>
    <mergeCell ref="AM11:AM12"/>
    <mergeCell ref="AL13:AL14"/>
    <mergeCell ref="AM13:AM14"/>
    <mergeCell ref="AL15:AL16"/>
    <mergeCell ref="AM15:AM16"/>
    <mergeCell ref="AL17:AL18"/>
    <mergeCell ref="AM17:AM18"/>
    <mergeCell ref="AL19:AL20"/>
    <mergeCell ref="AM19:AM20"/>
    <mergeCell ref="AL21:AL22"/>
    <mergeCell ref="AM21:AM22"/>
    <mergeCell ref="AL23:AL24"/>
    <mergeCell ref="AM23:AM24"/>
    <mergeCell ref="AL25:AL26"/>
    <mergeCell ref="AM25:AM26"/>
    <mergeCell ref="AL27:AL28"/>
    <mergeCell ref="A1:AJ1"/>
    <mergeCell ref="AP1:AQ1"/>
    <mergeCell ref="AP2:AQ2"/>
    <mergeCell ref="A3:AJ3"/>
    <mergeCell ref="AP3:AQ3"/>
    <mergeCell ref="A9:A18"/>
    <mergeCell ref="B9:B10"/>
    <mergeCell ref="C9:C10"/>
    <mergeCell ref="AJ9:AJ10"/>
    <mergeCell ref="AK9:AK10"/>
    <mergeCell ref="B11:B12"/>
    <mergeCell ref="C11:C12"/>
    <mergeCell ref="AJ11:AJ12"/>
    <mergeCell ref="AK11:AK12"/>
    <mergeCell ref="AP11:AP12"/>
    <mergeCell ref="AQ11:AQ12"/>
    <mergeCell ref="C13:C14"/>
    <mergeCell ref="AJ13:AJ14"/>
    <mergeCell ref="AK13:AK14"/>
    <mergeCell ref="AP13:AP14"/>
    <mergeCell ref="AQ13:AQ14"/>
    <mergeCell ref="AR11:AR12"/>
    <mergeCell ref="AP9:AP10"/>
    <mergeCell ref="AQ9:AQ10"/>
    <mergeCell ref="AR9:AR10"/>
    <mergeCell ref="AS11:AS12"/>
    <mergeCell ref="AT11:AT12"/>
    <mergeCell ref="AU11:AU12"/>
    <mergeCell ref="AV11:AV12"/>
    <mergeCell ref="AW11:AW12"/>
    <mergeCell ref="AX11:AX12"/>
    <mergeCell ref="AV9:AV10"/>
    <mergeCell ref="AW9:AW10"/>
    <mergeCell ref="AX9:AX10"/>
    <mergeCell ref="AS9:AS10"/>
    <mergeCell ref="AT9:AT10"/>
    <mergeCell ref="AU9:AU10"/>
    <mergeCell ref="AX13:AX14"/>
    <mergeCell ref="B15:B16"/>
    <mergeCell ref="C15:C16"/>
    <mergeCell ref="AJ15:AJ16"/>
    <mergeCell ref="AK15:AK16"/>
    <mergeCell ref="AP15:AP16"/>
    <mergeCell ref="AQ15:AQ16"/>
    <mergeCell ref="AR15:AR16"/>
    <mergeCell ref="AS15:AS16"/>
    <mergeCell ref="AT15:AT16"/>
    <mergeCell ref="AR13:AR14"/>
    <mergeCell ref="AS13:AS14"/>
    <mergeCell ref="AT13:AT14"/>
    <mergeCell ref="AU13:AU14"/>
    <mergeCell ref="AV13:AV14"/>
    <mergeCell ref="AW13:AW14"/>
    <mergeCell ref="B13:B14"/>
    <mergeCell ref="AU15:AU16"/>
    <mergeCell ref="AV15:AV16"/>
    <mergeCell ref="AW15:AW16"/>
    <mergeCell ref="AX15:AX16"/>
    <mergeCell ref="B17:B18"/>
    <mergeCell ref="C17:C18"/>
    <mergeCell ref="AJ17:AJ18"/>
    <mergeCell ref="AK17:AK18"/>
    <mergeCell ref="AP17:AP18"/>
    <mergeCell ref="AQ17:AQ18"/>
    <mergeCell ref="AX17:AX18"/>
    <mergeCell ref="AR17:AR18"/>
    <mergeCell ref="AS17:AS18"/>
    <mergeCell ref="AT17:AT18"/>
    <mergeCell ref="AU17:AU18"/>
    <mergeCell ref="AV17:AV18"/>
    <mergeCell ref="AW17:AW18"/>
    <mergeCell ref="A19:A28"/>
    <mergeCell ref="B19:B20"/>
    <mergeCell ref="C19:C20"/>
    <mergeCell ref="AJ19:AJ20"/>
    <mergeCell ref="AK19:AK20"/>
    <mergeCell ref="AP19:AP20"/>
    <mergeCell ref="AQ19:AQ20"/>
    <mergeCell ref="AR19:AR20"/>
    <mergeCell ref="AS19:AS20"/>
    <mergeCell ref="B23:B24"/>
    <mergeCell ref="C23:C24"/>
    <mergeCell ref="AJ23:AJ24"/>
    <mergeCell ref="AK23:AK24"/>
    <mergeCell ref="AP23:AP24"/>
    <mergeCell ref="AQ23:AQ24"/>
    <mergeCell ref="AR23:AR24"/>
    <mergeCell ref="AS23:AS24"/>
    <mergeCell ref="B27:B28"/>
    <mergeCell ref="C27:C28"/>
    <mergeCell ref="AJ27:AJ28"/>
    <mergeCell ref="AK27:AK28"/>
    <mergeCell ref="AP27:AP28"/>
    <mergeCell ref="AQ27:AQ28"/>
    <mergeCell ref="AR27:AR28"/>
    <mergeCell ref="AT19:AT20"/>
    <mergeCell ref="AU19:AU20"/>
    <mergeCell ref="AV19:AV20"/>
    <mergeCell ref="AW19:AW20"/>
    <mergeCell ref="AX19:AX20"/>
    <mergeCell ref="B21:B22"/>
    <mergeCell ref="C21:C22"/>
    <mergeCell ref="AJ21:AJ22"/>
    <mergeCell ref="AK21:AK22"/>
    <mergeCell ref="AP21:AP22"/>
    <mergeCell ref="AW21:AW22"/>
    <mergeCell ref="AX21:AX22"/>
    <mergeCell ref="AQ21:AQ22"/>
    <mergeCell ref="AR21:AR22"/>
    <mergeCell ref="AS21:AS22"/>
    <mergeCell ref="AT21:AT22"/>
    <mergeCell ref="AU21:AU22"/>
    <mergeCell ref="AV21:AV22"/>
    <mergeCell ref="AT23:AT24"/>
    <mergeCell ref="AU23:AU24"/>
    <mergeCell ref="AV23:AV24"/>
    <mergeCell ref="AW23:AW24"/>
    <mergeCell ref="AX23:AX24"/>
    <mergeCell ref="B25:B26"/>
    <mergeCell ref="C25:C26"/>
    <mergeCell ref="AJ25:AJ26"/>
    <mergeCell ref="AK25:AK26"/>
    <mergeCell ref="AP25:AP26"/>
    <mergeCell ref="AW25:AW26"/>
    <mergeCell ref="AX25:AX26"/>
    <mergeCell ref="AS27:AS28"/>
    <mergeCell ref="AQ25:AQ26"/>
    <mergeCell ref="AR25:AR26"/>
    <mergeCell ref="AS25:AS26"/>
    <mergeCell ref="AT25:AT26"/>
    <mergeCell ref="AU25:AU26"/>
    <mergeCell ref="AV25:AV26"/>
    <mergeCell ref="AT27:AT28"/>
    <mergeCell ref="AU27:AU28"/>
    <mergeCell ref="AV27:AV28"/>
    <mergeCell ref="AW27:AW28"/>
    <mergeCell ref="AX27:AX28"/>
    <mergeCell ref="A29:A38"/>
    <mergeCell ref="B29:B30"/>
    <mergeCell ref="C29:C30"/>
    <mergeCell ref="AJ29:AJ30"/>
    <mergeCell ref="AK29:AK30"/>
    <mergeCell ref="B31:B32"/>
    <mergeCell ref="C31:C32"/>
    <mergeCell ref="AJ31:AJ32"/>
    <mergeCell ref="AK31:AK32"/>
    <mergeCell ref="AP31:AP32"/>
    <mergeCell ref="AQ31:AQ32"/>
    <mergeCell ref="AR31:AR32"/>
    <mergeCell ref="AP29:AP30"/>
    <mergeCell ref="AQ29:AQ30"/>
    <mergeCell ref="AR29:AR30"/>
    <mergeCell ref="AS31:AS32"/>
    <mergeCell ref="AT31:AT32"/>
    <mergeCell ref="AU31:AU32"/>
    <mergeCell ref="AV31:AV32"/>
    <mergeCell ref="AW31:AW32"/>
    <mergeCell ref="AX31:AX32"/>
    <mergeCell ref="AV29:AV30"/>
    <mergeCell ref="AW29:AW30"/>
    <mergeCell ref="AX29:AX30"/>
    <mergeCell ref="AS29:AS30"/>
    <mergeCell ref="AT29:AT30"/>
    <mergeCell ref="AU29:AU30"/>
    <mergeCell ref="AX33:AX34"/>
    <mergeCell ref="B35:B36"/>
    <mergeCell ref="C35:C36"/>
    <mergeCell ref="AJ35:AJ36"/>
    <mergeCell ref="AK35:AK36"/>
    <mergeCell ref="AP35:AP36"/>
    <mergeCell ref="AQ35:AQ36"/>
    <mergeCell ref="AR35:AR36"/>
    <mergeCell ref="AS35:AS36"/>
    <mergeCell ref="AT35:AT36"/>
    <mergeCell ref="AR33:AR34"/>
    <mergeCell ref="AS33:AS34"/>
    <mergeCell ref="AT33:AT34"/>
    <mergeCell ref="AU33:AU34"/>
    <mergeCell ref="AV33:AV34"/>
    <mergeCell ref="AW33:AW34"/>
    <mergeCell ref="B33:B34"/>
    <mergeCell ref="C33:C34"/>
    <mergeCell ref="AJ33:AJ34"/>
    <mergeCell ref="AK33:AK34"/>
    <mergeCell ref="AP33:AP34"/>
    <mergeCell ref="AQ33:AQ34"/>
    <mergeCell ref="AU35:AU36"/>
    <mergeCell ref="AV35:AV36"/>
    <mergeCell ref="AW35:AW36"/>
    <mergeCell ref="AX35:AX36"/>
    <mergeCell ref="B37:B38"/>
    <mergeCell ref="C37:C38"/>
    <mergeCell ref="AJ37:AJ38"/>
    <mergeCell ref="AK37:AK38"/>
    <mergeCell ref="AP37:AP38"/>
    <mergeCell ref="AQ37:AQ38"/>
    <mergeCell ref="AX37:AX38"/>
    <mergeCell ref="AR37:AR38"/>
    <mergeCell ref="AS37:AS38"/>
    <mergeCell ref="AT37:AT38"/>
    <mergeCell ref="AU37:AU38"/>
    <mergeCell ref="AV37:AV38"/>
    <mergeCell ref="AW37:AW38"/>
    <mergeCell ref="AL37:AL38"/>
    <mergeCell ref="AM37:AM38"/>
    <mergeCell ref="AR39:AR40"/>
    <mergeCell ref="AS39:AS40"/>
    <mergeCell ref="B43:B44"/>
    <mergeCell ref="C43:C44"/>
    <mergeCell ref="AJ43:AJ44"/>
    <mergeCell ref="AK43:AK44"/>
    <mergeCell ref="AP43:AP44"/>
    <mergeCell ref="AQ43:AQ44"/>
    <mergeCell ref="AR43:AR44"/>
    <mergeCell ref="AS43:AS44"/>
    <mergeCell ref="AL39:AL40"/>
    <mergeCell ref="AM39:AM40"/>
    <mergeCell ref="AL41:AL42"/>
    <mergeCell ref="AM41:AM42"/>
    <mergeCell ref="AL43:AL44"/>
    <mergeCell ref="AM43:AM44"/>
    <mergeCell ref="AT39:AT40"/>
    <mergeCell ref="AU39:AU40"/>
    <mergeCell ref="AV39:AV40"/>
    <mergeCell ref="AW39:AW40"/>
    <mergeCell ref="AX39:AX40"/>
    <mergeCell ref="B41:B42"/>
    <mergeCell ref="C41:C42"/>
    <mergeCell ref="AJ41:AJ42"/>
    <mergeCell ref="AK41:AK42"/>
    <mergeCell ref="AP41:AP42"/>
    <mergeCell ref="AW41:AW42"/>
    <mergeCell ref="AX41:AX42"/>
    <mergeCell ref="AQ41:AQ42"/>
    <mergeCell ref="AR41:AR42"/>
    <mergeCell ref="AS41:AS42"/>
    <mergeCell ref="AT41:AT42"/>
    <mergeCell ref="AU41:AU42"/>
    <mergeCell ref="AV41:AV42"/>
    <mergeCell ref="B39:B40"/>
    <mergeCell ref="C39:C40"/>
    <mergeCell ref="AJ39:AJ40"/>
    <mergeCell ref="AK39:AK40"/>
    <mergeCell ref="AP39:AP40"/>
    <mergeCell ref="AQ39:AQ40"/>
    <mergeCell ref="AT43:AT44"/>
    <mergeCell ref="AU43:AU44"/>
    <mergeCell ref="AV43:AV44"/>
    <mergeCell ref="AW43:AW44"/>
    <mergeCell ref="AX43:AX44"/>
    <mergeCell ref="B45:B46"/>
    <mergeCell ref="C45:C46"/>
    <mergeCell ref="AJ45:AJ46"/>
    <mergeCell ref="AK45:AK46"/>
    <mergeCell ref="AP45:AP46"/>
    <mergeCell ref="AL45:AL46"/>
    <mergeCell ref="AM45:AM46"/>
    <mergeCell ref="A57:A60"/>
    <mergeCell ref="AT47:AT48"/>
    <mergeCell ref="AU47:AU48"/>
    <mergeCell ref="AV47:AV48"/>
    <mergeCell ref="AW47:AW48"/>
    <mergeCell ref="AX47:AX48"/>
    <mergeCell ref="A52:A55"/>
    <mergeCell ref="AW45:AW46"/>
    <mergeCell ref="AX45:AX46"/>
    <mergeCell ref="B47:B48"/>
    <mergeCell ref="C47:C48"/>
    <mergeCell ref="AJ47:AJ48"/>
    <mergeCell ref="AK47:AK48"/>
    <mergeCell ref="AP47:AP48"/>
    <mergeCell ref="AQ47:AQ48"/>
    <mergeCell ref="AR47:AR48"/>
    <mergeCell ref="AS47:AS48"/>
    <mergeCell ref="AQ45:AQ46"/>
    <mergeCell ref="AR45:AR46"/>
    <mergeCell ref="AS45:AS46"/>
    <mergeCell ref="AT45:AT46"/>
    <mergeCell ref="AU45:AU46"/>
    <mergeCell ref="AV45:AV46"/>
    <mergeCell ref="A39:A48"/>
  </mergeCells>
  <conditionalFormatting sqref="AU9:AU48">
    <cfRule type="cellIs" dxfId="97" priority="17" operator="equal">
      <formula>"-"</formula>
    </cfRule>
  </conditionalFormatting>
  <conditionalFormatting sqref="E52:E55">
    <cfRule type="cellIs" dxfId="96" priority="16" operator="equal">
      <formula>"-"</formula>
    </cfRule>
  </conditionalFormatting>
  <conditionalFormatting sqref="F52:AI55">
    <cfRule type="cellIs" dxfId="95" priority="15" operator="equal">
      <formula>"-"</formula>
    </cfRule>
  </conditionalFormatting>
  <conditionalFormatting sqref="AI9:AI48">
    <cfRule type="cellIs" dxfId="94" priority="11" operator="equal">
      <formula>"Д"</formula>
    </cfRule>
    <cfRule type="cellIs" dxfId="93" priority="12" operator="equal">
      <formula>"СП"</formula>
    </cfRule>
    <cfRule type="cellIs" dxfId="92" priority="13" operator="equal">
      <formula>"ОТ"</formula>
    </cfRule>
  </conditionalFormatting>
  <conditionalFormatting sqref="E9:AH48">
    <cfRule type="cellIs" dxfId="91" priority="1" operator="equal">
      <formula>"В"</formula>
    </cfRule>
    <cfRule type="cellIs" dxfId="90" priority="2" operator="equal">
      <formula>"ПЗ"</formula>
    </cfRule>
    <cfRule type="cellIs" dxfId="89" priority="3" operator="equal">
      <formula>"ПК"</formula>
    </cfRule>
    <cfRule type="containsText" dxfId="88" priority="4" operator="containsText" text="Б">
      <formula>NOT(ISERROR(SEARCH("Б",E9)))</formula>
    </cfRule>
    <cfRule type="expression" dxfId="87" priority="9">
      <formula>E9=0</formula>
    </cfRule>
  </conditionalFormatting>
  <conditionalFormatting sqref="E9:AH48">
    <cfRule type="expression" dxfId="86" priority="5">
      <formula>AND(INDIRECT(ADDRESS(ROW(),COLUMN()))=8,INDIRECT(ADDRESS(ROW(),COLUMN()))="СП")</formula>
    </cfRule>
    <cfRule type="cellIs" dxfId="85" priority="7" operator="equal">
      <formula>"СП"</formula>
    </cfRule>
    <cfRule type="cellIs" dxfId="84" priority="8" operator="equal">
      <formula>"ОТ"</formula>
    </cfRule>
  </conditionalFormatting>
  <conditionalFormatting sqref="E8:AH48">
    <cfRule type="cellIs" dxfId="83" priority="6" operator="equal">
      <formula>"Д"</formula>
    </cfRule>
  </conditionalFormatting>
  <pageMargins left="0.25" right="0.25" top="0.75" bottom="0.75" header="0.3" footer="0.3"/>
  <pageSetup paperSize="9" scale="6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07" id="{C7F7FD91-7F28-4983-836B-600F8441D99F}">
            <xm:f>OR(AND(WEEKDAY(E$8,2)&gt;5,E$6=1),ISNUMBER(MATCH(E$8,Подключения!$A$2:$A$1039,0)))</xm:f>
            <x14:dxf>
              <fill>
                <patternFill>
                  <bgColor theme="0" tint="-0.14996795556505021"/>
                </patternFill>
              </fill>
            </x14:dxf>
          </x14:cfRule>
          <xm:sqref>E8:AI48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2">
    <tabColor theme="7" tint="-0.249977111117893"/>
    <pageSetUpPr fitToPage="1"/>
  </sheetPr>
  <dimension ref="B1:DS129"/>
  <sheetViews>
    <sheetView zoomScale="70" zoomScaleNormal="70" workbookViewId="0">
      <pane ySplit="3" topLeftCell="A4" activePane="bottomLeft" state="frozen"/>
      <selection activeCell="AY1" sqref="AY1:CC1048576"/>
      <selection pane="bottomLeft" activeCell="AW1" sqref="AW1:CH1048576"/>
    </sheetView>
  </sheetViews>
  <sheetFormatPr defaultRowHeight="15" x14ac:dyDescent="0.25"/>
  <cols>
    <col min="2" max="3" width="10.7109375" customWidth="1"/>
    <col min="4" max="4" width="4.5703125" customWidth="1"/>
    <col min="5" max="5" width="5.140625" customWidth="1"/>
    <col min="6" max="6" width="4.85546875" customWidth="1"/>
    <col min="7" max="35" width="4.7109375" customWidth="1"/>
    <col min="36" max="36" width="14.85546875" customWidth="1"/>
    <col min="37" max="42" width="10.7109375" customWidth="1"/>
    <col min="44" max="44" width="8" customWidth="1"/>
    <col min="45" max="45" width="10.7109375" customWidth="1"/>
    <col min="46" max="47" width="2.7109375" customWidth="1"/>
    <col min="48" max="48" width="9.140625" customWidth="1"/>
    <col min="49" max="50" width="3" customWidth="1"/>
    <col min="51" max="119" width="2.7109375" customWidth="1"/>
    <col min="123" max="123" width="12.42578125" bestFit="1" customWidth="1"/>
  </cols>
  <sheetData>
    <row r="1" spans="2:123" ht="21.75" thickBot="1" x14ac:dyDescent="0.3">
      <c r="AV1" s="42">
        <f>'Сводный годовой график'!$AX$1</f>
        <v>2025</v>
      </c>
    </row>
    <row r="2" spans="2:123" ht="25.5" customHeight="1" thickTop="1" thickBot="1" x14ac:dyDescent="0.3">
      <c r="B2" s="242" t="s">
        <v>24</v>
      </c>
      <c r="C2" s="244" t="s">
        <v>25</v>
      </c>
      <c r="D2" s="46"/>
      <c r="E2" s="203" t="s">
        <v>26</v>
      </c>
      <c r="F2" s="203"/>
      <c r="G2" s="203"/>
      <c r="H2" s="203"/>
      <c r="I2" s="203"/>
      <c r="J2" s="203"/>
      <c r="K2" s="203"/>
      <c r="L2" s="203"/>
      <c r="M2" s="203"/>
      <c r="N2" s="203"/>
      <c r="O2" s="203"/>
      <c r="P2" s="203"/>
      <c r="Q2" s="203"/>
      <c r="R2" s="203"/>
      <c r="S2" s="203"/>
      <c r="T2" s="203"/>
      <c r="U2" s="203"/>
      <c r="V2" s="203"/>
      <c r="W2" s="203"/>
      <c r="X2" s="203"/>
      <c r="Y2" s="203"/>
      <c r="Z2" s="203"/>
      <c r="AA2" s="203"/>
      <c r="AB2" s="203"/>
      <c r="AC2" s="203"/>
      <c r="AD2" s="203"/>
      <c r="AE2" s="203"/>
      <c r="AF2" s="203"/>
      <c r="AG2" s="203"/>
      <c r="AH2" s="203"/>
      <c r="AI2" s="204"/>
      <c r="AJ2" s="246" t="s">
        <v>27</v>
      </c>
      <c r="AK2" s="248" t="s">
        <v>28</v>
      </c>
      <c r="AL2" s="250" t="s">
        <v>29</v>
      </c>
      <c r="AM2" s="232" t="s">
        <v>30</v>
      </c>
      <c r="AN2" s="234" t="s">
        <v>31</v>
      </c>
      <c r="AO2" s="234" t="s">
        <v>32</v>
      </c>
      <c r="AP2" s="236" t="s">
        <v>33</v>
      </c>
      <c r="AQ2" s="238" t="s">
        <v>34</v>
      </c>
      <c r="AR2" s="240" t="s">
        <v>35</v>
      </c>
      <c r="CK2" s="231" t="s">
        <v>66</v>
      </c>
      <c r="CL2" s="231"/>
      <c r="CM2" s="231"/>
      <c r="CN2" s="231"/>
      <c r="CO2" s="231"/>
      <c r="CP2" s="231"/>
      <c r="CQ2" s="231"/>
      <c r="CR2" s="231"/>
      <c r="CS2" s="231"/>
      <c r="CT2" s="231"/>
      <c r="CU2" s="231"/>
      <c r="CV2" s="231"/>
      <c r="CW2" s="231"/>
      <c r="CX2" s="231"/>
      <c r="CY2" s="231"/>
      <c r="CZ2" s="231"/>
      <c r="DA2" s="231"/>
      <c r="DB2" s="231"/>
      <c r="DC2" s="231"/>
      <c r="DD2" s="231"/>
      <c r="DE2" s="231"/>
      <c r="DF2" s="231"/>
      <c r="DG2" s="231"/>
      <c r="DH2" s="231"/>
      <c r="DI2" s="231"/>
      <c r="DJ2" s="231"/>
      <c r="DK2" s="231"/>
      <c r="DL2" s="231"/>
      <c r="DM2" s="231"/>
      <c r="DN2" s="231"/>
      <c r="DO2" s="231"/>
    </row>
    <row r="3" spans="2:123" ht="27" customHeight="1" thickBot="1" x14ac:dyDescent="0.3">
      <c r="B3" s="243"/>
      <c r="C3" s="245"/>
      <c r="D3" s="47"/>
      <c r="E3" s="43">
        <v>1</v>
      </c>
      <c r="F3" s="44">
        <f>E3+1</f>
        <v>2</v>
      </c>
      <c r="G3" s="44">
        <f t="shared" ref="G3:AH3" si="0">F3+1</f>
        <v>3</v>
      </c>
      <c r="H3" s="44">
        <f t="shared" si="0"/>
        <v>4</v>
      </c>
      <c r="I3" s="44">
        <f t="shared" si="0"/>
        <v>5</v>
      </c>
      <c r="J3" s="44">
        <f t="shared" si="0"/>
        <v>6</v>
      </c>
      <c r="K3" s="44">
        <f t="shared" si="0"/>
        <v>7</v>
      </c>
      <c r="L3" s="44">
        <f t="shared" si="0"/>
        <v>8</v>
      </c>
      <c r="M3" s="44">
        <f t="shared" si="0"/>
        <v>9</v>
      </c>
      <c r="N3" s="44">
        <f t="shared" si="0"/>
        <v>10</v>
      </c>
      <c r="O3" s="44">
        <f t="shared" si="0"/>
        <v>11</v>
      </c>
      <c r="P3" s="44">
        <f t="shared" si="0"/>
        <v>12</v>
      </c>
      <c r="Q3" s="44">
        <f t="shared" si="0"/>
        <v>13</v>
      </c>
      <c r="R3" s="44">
        <f t="shared" si="0"/>
        <v>14</v>
      </c>
      <c r="S3" s="44">
        <f t="shared" si="0"/>
        <v>15</v>
      </c>
      <c r="T3" s="44">
        <f t="shared" si="0"/>
        <v>16</v>
      </c>
      <c r="U3" s="44">
        <f t="shared" si="0"/>
        <v>17</v>
      </c>
      <c r="V3" s="44">
        <f t="shared" si="0"/>
        <v>18</v>
      </c>
      <c r="W3" s="44">
        <f t="shared" si="0"/>
        <v>19</v>
      </c>
      <c r="X3" s="44">
        <f t="shared" si="0"/>
        <v>20</v>
      </c>
      <c r="Y3" s="44">
        <f t="shared" si="0"/>
        <v>21</v>
      </c>
      <c r="Z3" s="44">
        <f t="shared" si="0"/>
        <v>22</v>
      </c>
      <c r="AA3" s="44">
        <f>Z3+1</f>
        <v>23</v>
      </c>
      <c r="AB3" s="44">
        <f t="shared" si="0"/>
        <v>24</v>
      </c>
      <c r="AC3" s="44">
        <f t="shared" si="0"/>
        <v>25</v>
      </c>
      <c r="AD3" s="44">
        <f t="shared" si="0"/>
        <v>26</v>
      </c>
      <c r="AE3" s="44">
        <f t="shared" si="0"/>
        <v>27</v>
      </c>
      <c r="AF3" s="44">
        <f t="shared" si="0"/>
        <v>28</v>
      </c>
      <c r="AG3" s="44">
        <f>AF3+1</f>
        <v>29</v>
      </c>
      <c r="AH3" s="44">
        <f t="shared" si="0"/>
        <v>30</v>
      </c>
      <c r="AI3" s="45">
        <f>AH3+1</f>
        <v>31</v>
      </c>
      <c r="AJ3" s="247"/>
      <c r="AK3" s="249"/>
      <c r="AL3" s="251"/>
      <c r="AM3" s="233"/>
      <c r="AN3" s="235"/>
      <c r="AO3" s="235"/>
      <c r="AP3" s="237"/>
      <c r="AQ3" s="239"/>
      <c r="AR3" s="241"/>
      <c r="CK3">
        <v>1</v>
      </c>
      <c r="CL3">
        <v>2</v>
      </c>
      <c r="CM3">
        <v>3</v>
      </c>
      <c r="CN3">
        <v>4</v>
      </c>
      <c r="CO3">
        <v>5</v>
      </c>
      <c r="CP3">
        <v>6</v>
      </c>
      <c r="CQ3">
        <v>7</v>
      </c>
      <c r="CR3">
        <v>8</v>
      </c>
      <c r="CS3">
        <v>9</v>
      </c>
      <c r="CT3">
        <v>10</v>
      </c>
      <c r="CU3">
        <v>11</v>
      </c>
      <c r="CV3">
        <v>12</v>
      </c>
      <c r="CW3">
        <v>13</v>
      </c>
      <c r="CX3">
        <v>14</v>
      </c>
      <c r="CY3">
        <v>15</v>
      </c>
      <c r="CZ3">
        <v>16</v>
      </c>
      <c r="DA3">
        <v>17</v>
      </c>
      <c r="DB3">
        <v>18</v>
      </c>
      <c r="DC3">
        <v>19</v>
      </c>
      <c r="DD3">
        <v>20</v>
      </c>
      <c r="DE3">
        <v>21</v>
      </c>
      <c r="DF3">
        <v>22</v>
      </c>
      <c r="DG3">
        <v>23</v>
      </c>
      <c r="DH3">
        <v>24</v>
      </c>
      <c r="DI3">
        <v>25</v>
      </c>
      <c r="DJ3">
        <v>26</v>
      </c>
      <c r="DK3">
        <v>27</v>
      </c>
      <c r="DL3">
        <v>28</v>
      </c>
      <c r="DM3">
        <v>29</v>
      </c>
      <c r="DN3">
        <v>30</v>
      </c>
      <c r="DO3">
        <v>31</v>
      </c>
    </row>
    <row r="4" spans="2:123" ht="17.25" customHeight="1" thickTop="1" thickBot="1" x14ac:dyDescent="0.3">
      <c r="B4" s="200">
        <f>DATE($AV$1,1,1)</f>
        <v>45658</v>
      </c>
      <c r="C4" s="196">
        <v>1</v>
      </c>
      <c r="D4" s="81">
        <v>1</v>
      </c>
      <c r="E4" s="83">
        <f ca="1">IF(AND(INDEX('Сводный годовой график'!$C$1:$AR$4,MATCH($C$4,'Сводный годовой график'!$B$1:$B$4),MATCH(DATE($AV$1,MONTH($B$4),E$3),'Сводный годовой график'!$C$5:$AR$5))&lt;&gt;12,INDIRECT(ADDRESS(ROW()+1,COLUMN()))="СП"),8,INDEX('Сводный годовой график'!$C$1:$AR$4,MATCH($C$4,'Сводный годовой график'!$B$1:$B$4),MATCH(DATE($AV$1,MONTH($B$4),E$3),'Сводный годовой график'!$C$5:$AR$5)))</f>
        <v>8</v>
      </c>
      <c r="F4" s="28">
        <f ca="1">IF(AND(INDEX('Сводный годовой график'!$C$1:$AR$4,MATCH($C$4,'Сводный годовой график'!$B$1:$B$4),MATCH(DATE($AV$1,MONTH($B$4),F$3),'Сводный годовой график'!$C$5:$AR$5))&lt;&gt;12,INDIRECT(ADDRESS(ROW()+1,COLUMN()))="СП"),8,INDEX('Сводный годовой график'!$C$1:$AR$4,MATCH($C$4,'Сводный годовой график'!$B$1:$B$4),MATCH(DATE($AV$1,MONTH($B$4),F$3),'Сводный годовой график'!$C$5:$AR$5)))</f>
        <v>0</v>
      </c>
      <c r="G4" s="28">
        <f ca="1">IF(AND(INDEX('Сводный годовой график'!$C$1:$AR$4,MATCH($C$4,'Сводный годовой график'!$B$1:$B$4),MATCH(DATE($AV$1,MONTH($B$4),G$3),'Сводный годовой график'!$C$5:$AR$5))&lt;&gt;12,INDIRECT(ADDRESS(ROW()+1,COLUMN()))="СП"),8,INDEX('Сводный годовой график'!$C$1:$AR$4,MATCH($C$4,'Сводный годовой график'!$B$1:$B$4),MATCH(DATE($AV$1,MONTH($B$4),G$3),'Сводный годовой график'!$C$5:$AR$5)))</f>
        <v>4</v>
      </c>
      <c r="H4" s="28">
        <f ca="1">IF(AND(INDEX('Сводный годовой график'!$C$1:$AR$4,MATCH($C$4,'Сводный годовой график'!$B$1:$B$4),MATCH(DATE($AV$1,MONTH($B$4),H$3),'Сводный годовой график'!$C$5:$AR$5))&lt;&gt;12,INDIRECT(ADDRESS(ROW()+1,COLUMN()))="СП"),8,INDEX('Сводный годовой график'!$C$1:$AR$4,MATCH($C$4,'Сводный годовой график'!$B$1:$B$4),MATCH(DATE($AV$1,MONTH($B$4),H$3),'Сводный годовой график'!$C$5:$AR$5)))</f>
        <v>8</v>
      </c>
      <c r="I4" s="28">
        <f ca="1">IF(AND(INDEX('Сводный годовой график'!$C$1:$AR$4,MATCH($C$4,'Сводный годовой график'!$B$1:$B$4),MATCH(DATE($AV$1,MONTH($B$4),I$3),'Сводный годовой график'!$C$5:$AR$5))&lt;&gt;12,INDIRECT(ADDRESS(ROW()+1,COLUMN()))="СП"),8,INDEX('Сводный годовой график'!$C$1:$AR$4,MATCH($C$4,'Сводный годовой график'!$B$1:$B$4),MATCH(DATE($AV$1,MONTH($B$4),I$3),'Сводный годовой график'!$C$5:$AR$5)))</f>
        <v>12</v>
      </c>
      <c r="J4" s="28">
        <f ca="1">IF(AND(INDEX('Сводный годовой график'!$C$1:$AR$4,MATCH($C$4,'Сводный годовой график'!$B$1:$B$4),MATCH(DATE($AV$1,MONTH($B$4),J$3),'Сводный годовой график'!$C$5:$AR$5))&lt;&gt;12,INDIRECT(ADDRESS(ROW()+1,COLUMN()))="СП"),8,INDEX('Сводный годовой график'!$C$1:$AR$4,MATCH($C$4,'Сводный годовой график'!$B$1:$B$4),MATCH(DATE($AV$1,MONTH($B$4),J$3),'Сводный годовой график'!$C$5:$AR$5)))</f>
        <v>4</v>
      </c>
      <c r="K4" s="28">
        <f ca="1">IF(AND(INDEX('Сводный годовой график'!$C$1:$AR$4,MATCH($C$4,'Сводный годовой график'!$B$1:$B$4),MATCH(DATE($AV$1,MONTH($B$4),K$3),'Сводный годовой график'!$C$5:$AR$5))&lt;&gt;12,INDIRECT(ADDRESS(ROW()+1,COLUMN()))="СП"),8,INDEX('Сводный годовой график'!$C$1:$AR$4,MATCH($C$4,'Сводный годовой график'!$B$1:$B$4),MATCH(DATE($AV$1,MONTH($B$4),K$3),'Сводный годовой график'!$C$5:$AR$5)))</f>
        <v>8</v>
      </c>
      <c r="L4" s="28">
        <f ca="1">IF(AND(INDEX('Сводный годовой график'!$C$1:$AR$4,MATCH($C$4,'Сводный годовой график'!$B$1:$B$4),MATCH(DATE($AV$1,MONTH($B$4),L$3),'Сводный годовой график'!$C$5:$AR$5))&lt;&gt;12,INDIRECT(ADDRESS(ROW()+1,COLUMN()))="СП"),8,INDEX('Сводный годовой график'!$C$1:$AR$4,MATCH($C$4,'Сводный годовой график'!$B$1:$B$4),MATCH(DATE($AV$1,MONTH($B$4),L$3),'Сводный годовой график'!$C$5:$AR$5)))</f>
        <v>12</v>
      </c>
      <c r="M4" s="28">
        <f ca="1">IF(AND(INDEX('Сводный годовой график'!$C$1:$AR$4,MATCH($C$4,'Сводный годовой график'!$B$1:$B$4),MATCH(DATE($AV$1,MONTH($B$4),M$3),'Сводный годовой график'!$C$5:$AR$5))&lt;&gt;12,INDIRECT(ADDRESS(ROW()+1,COLUMN()))="СП"),8,INDEX('Сводный годовой график'!$C$1:$AR$4,MATCH($C$4,'Сводный годовой график'!$B$1:$B$4),MATCH(DATE($AV$1,MONTH($B$4),M$3),'Сводный годовой график'!$C$5:$AR$5)))</f>
        <v>0</v>
      </c>
      <c r="N4" s="28">
        <f ca="1">IF(AND(INDEX('Сводный годовой график'!$C$1:$AR$4,MATCH($C$4,'Сводный годовой график'!$B$1:$B$4),MATCH(DATE($AV$1,MONTH($B$4),N$3),'Сводный годовой график'!$C$5:$AR$5))&lt;&gt;12,INDIRECT(ADDRESS(ROW()+1,COLUMN()))="СП"),8,INDEX('Сводный годовой график'!$C$1:$AR$4,MATCH($C$4,'Сводный годовой график'!$B$1:$B$4),MATCH(DATE($AV$1,MONTH($B$4),N$3),'Сводный годовой график'!$C$5:$AR$5)))</f>
        <v>0</v>
      </c>
      <c r="O4" s="28">
        <f ca="1">IF(AND(INDEX('Сводный годовой график'!$C$1:$AR$4,MATCH($C$4,'Сводный годовой график'!$B$1:$B$4),MATCH(DATE($AV$1,MONTH($B$4),O$3),'Сводный годовой график'!$C$5:$AR$5))&lt;&gt;12,INDIRECT(ADDRESS(ROW()+1,COLUMN()))="СП"),8,INDEX('Сводный годовой график'!$C$1:$AR$4,MATCH($C$4,'Сводный годовой график'!$B$1:$B$4),MATCH(DATE($AV$1,MONTH($B$4),O$3),'Сводный годовой график'!$C$5:$AR$5)))</f>
        <v>4</v>
      </c>
      <c r="P4" s="28">
        <f ca="1">IF(AND(INDEX('Сводный годовой график'!$C$1:$AR$4,MATCH($C$4,'Сводный годовой график'!$B$1:$B$4),MATCH(DATE($AV$1,MONTH($B$4),P$3),'Сводный годовой график'!$C$5:$AR$5))&lt;&gt;12,INDIRECT(ADDRESS(ROW()+1,COLUMN()))="СП"),8,INDEX('Сводный годовой график'!$C$1:$AR$4,MATCH($C$4,'Сводный годовой график'!$B$1:$B$4),MATCH(DATE($AV$1,MONTH($B$4),P$3),'Сводный годовой график'!$C$5:$AR$5)))</f>
        <v>8</v>
      </c>
      <c r="Q4" s="28">
        <f ca="1">IF(AND(INDEX('Сводный годовой график'!$C$1:$AR$4,MATCH($C$4,'Сводный годовой график'!$B$1:$B$4),MATCH(DATE($AV$1,MONTH($B$4),Q$3),'Сводный годовой график'!$C$5:$AR$5))&lt;&gt;12,INDIRECT(ADDRESS(ROW()+1,COLUMN()))="СП"),8,INDEX('Сводный годовой график'!$C$1:$AR$4,MATCH($C$4,'Сводный годовой график'!$B$1:$B$4),MATCH(DATE($AV$1,MONTH($B$4),Q$3),'Сводный годовой график'!$C$5:$AR$5)))</f>
        <v>12</v>
      </c>
      <c r="R4" s="28">
        <f ca="1">IF(AND(INDEX('Сводный годовой график'!$C$1:$AR$4,MATCH($C$4,'Сводный годовой график'!$B$1:$B$4),MATCH(DATE($AV$1,MONTH($B$4),R$3),'Сводный годовой график'!$C$5:$AR$5))&lt;&gt;12,INDIRECT(ADDRESS(ROW()+1,COLUMN()))="СП"),8,INDEX('Сводный годовой график'!$C$1:$AR$4,MATCH($C$4,'Сводный годовой график'!$B$1:$B$4),MATCH(DATE($AV$1,MONTH($B$4),R$3),'Сводный годовой график'!$C$5:$AR$5)))</f>
        <v>4</v>
      </c>
      <c r="S4" s="28">
        <f ca="1">IF(AND(INDEX('Сводный годовой график'!$C$1:$AR$4,MATCH($C$4,'Сводный годовой график'!$B$1:$B$4),MATCH(DATE($AV$1,MONTH($B$4),S$3),'Сводный годовой график'!$C$5:$AR$5))&lt;&gt;12,INDIRECT(ADDRESS(ROW()+1,COLUMN()))="СП"),8,INDEX('Сводный годовой график'!$C$1:$AR$4,MATCH($C$4,'Сводный годовой график'!$B$1:$B$4),MATCH(DATE($AV$1,MONTH($B$4),S$3),'Сводный годовой график'!$C$5:$AR$5)))</f>
        <v>8</v>
      </c>
      <c r="T4" s="28">
        <f ca="1">IF(AND(INDEX('Сводный годовой график'!$C$1:$AR$4,MATCH($C$4,'Сводный годовой график'!$B$1:$B$4),MATCH(DATE($AV$1,MONTH($B$4),T$3),'Сводный годовой график'!$C$5:$AR$5))&lt;&gt;12,INDIRECT(ADDRESS(ROW()+1,COLUMN()))="СП"),8,INDEX('Сводный годовой график'!$C$1:$AR$4,MATCH($C$4,'Сводный годовой график'!$B$1:$B$4),MATCH(DATE($AV$1,MONTH($B$4),T$3),'Сводный годовой график'!$C$5:$AR$5)))</f>
        <v>12</v>
      </c>
      <c r="U4" s="28">
        <f ca="1">IF(AND(INDEX('Сводный годовой график'!$C$1:$AR$4,MATCH($C$4,'Сводный годовой график'!$B$1:$B$4),MATCH(DATE($AV$1,MONTH($B$4),U$3),'Сводный годовой график'!$C$5:$AR$5))&lt;&gt;12,INDIRECT(ADDRESS(ROW()+1,COLUMN()))="СП"),8,INDEX('Сводный годовой график'!$C$1:$AR$4,MATCH($C$4,'Сводный годовой график'!$B$1:$B$4),MATCH(DATE($AV$1,MONTH($B$4),U$3),'Сводный годовой график'!$C$5:$AR$5)))</f>
        <v>0</v>
      </c>
      <c r="V4" s="28">
        <f ca="1">IF(AND(INDEX('Сводный годовой график'!$C$1:$AR$4,MATCH($C$4,'Сводный годовой график'!$B$1:$B$4),MATCH(DATE($AV$1,MONTH($B$4),V$3),'Сводный годовой график'!$C$5:$AR$5))&lt;&gt;12,INDIRECT(ADDRESS(ROW()+1,COLUMN()))="СП"),8,INDEX('Сводный годовой график'!$C$1:$AR$4,MATCH($C$4,'Сводный годовой график'!$B$1:$B$4),MATCH(DATE($AV$1,MONTH($B$4),V$3),'Сводный годовой график'!$C$5:$AR$5)))</f>
        <v>0</v>
      </c>
      <c r="W4" s="28">
        <f ca="1">IF(AND(INDEX('Сводный годовой график'!$C$1:$AR$4,MATCH($C$4,'Сводный годовой график'!$B$1:$B$4),MATCH(DATE($AV$1,MONTH($B$4),W$3),'Сводный годовой график'!$C$5:$AR$5))&lt;&gt;12,INDIRECT(ADDRESS(ROW()+1,COLUMN()))="СП"),8,INDEX('Сводный годовой график'!$C$1:$AR$4,MATCH($C$4,'Сводный годовой график'!$B$1:$B$4),MATCH(DATE($AV$1,MONTH($B$4),W$3),'Сводный годовой график'!$C$5:$AR$5)))</f>
        <v>4</v>
      </c>
      <c r="X4" s="28">
        <f ca="1">IF(AND(INDEX('Сводный годовой график'!$C$1:$AR$4,MATCH($C$4,'Сводный годовой график'!$B$1:$B$4),MATCH(DATE($AV$1,MONTH($B$4),X$3),'Сводный годовой график'!$C$5:$AR$5))&lt;&gt;12,INDIRECT(ADDRESS(ROW()+1,COLUMN()))="СП"),8,INDEX('Сводный годовой график'!$C$1:$AR$4,MATCH($C$4,'Сводный годовой график'!$B$1:$B$4),MATCH(DATE($AV$1,MONTH($B$4),X$3),'Сводный годовой график'!$C$5:$AR$5)))</f>
        <v>8</v>
      </c>
      <c r="Y4" s="28">
        <f ca="1">IF(AND(INDEX('Сводный годовой график'!$C$1:$AR$4,MATCH($C$4,'Сводный годовой график'!$B$1:$B$4),MATCH(DATE($AV$1,MONTH($B$4),Y$3),'Сводный годовой график'!$C$5:$AR$5))&lt;&gt;12,INDIRECT(ADDRESS(ROW()+1,COLUMN()))="СП"),8,INDEX('Сводный годовой график'!$C$1:$AR$4,MATCH($C$4,'Сводный годовой график'!$B$1:$B$4),MATCH(DATE($AV$1,MONTH($B$4),Y$3),'Сводный годовой график'!$C$5:$AR$5)))</f>
        <v>12</v>
      </c>
      <c r="Z4" s="28">
        <f ca="1">IF(AND(INDEX('Сводный годовой график'!$C$1:$AR$4,MATCH($C$4,'Сводный годовой график'!$B$1:$B$4),MATCH(DATE($AV$1,MONTH($B$4),Z$3),'Сводный годовой график'!$C$5:$AR$5))&lt;&gt;12,INDIRECT(ADDRESS(ROW()+1,COLUMN()))="СП"),8,INDEX('Сводный годовой график'!$C$1:$AR$4,MATCH($C$4,'Сводный годовой график'!$B$1:$B$4),MATCH(DATE($AV$1,MONTH($B$4),Z$3),'Сводный годовой график'!$C$5:$AR$5)))</f>
        <v>4</v>
      </c>
      <c r="AA4" s="28">
        <f ca="1">IF(AND(INDEX('Сводный годовой график'!$C$1:$AR$4,MATCH($C$4,'Сводный годовой график'!$B$1:$B$4),MATCH(DATE($AV$1,MONTH($B$4),AA$3),'Сводный годовой график'!$C$5:$AR$5))&lt;&gt;12,INDIRECT(ADDRESS(ROW()+1,COLUMN()))="СП"),8,INDEX('Сводный годовой график'!$C$1:$AR$4,MATCH($C$4,'Сводный годовой график'!$B$1:$B$4),MATCH(DATE($AV$1,MONTH($B$4),AA$3),'Сводный годовой график'!$C$5:$AR$5)))</f>
        <v>8</v>
      </c>
      <c r="AB4" s="28">
        <f ca="1">IF(AND(INDEX('Сводный годовой график'!$C$1:$AR$4,MATCH($C$4,'Сводный годовой график'!$B$1:$B$4),MATCH(DATE($AV$1,MONTH($B$4),AB$3),'Сводный годовой график'!$C$5:$AR$5))&lt;&gt;12,INDIRECT(ADDRESS(ROW()+1,COLUMN()))="СП"),8,INDEX('Сводный годовой график'!$C$1:$AR$4,MATCH($C$4,'Сводный годовой график'!$B$1:$B$4),MATCH(DATE($AV$1,MONTH($B$4),AB$3),'Сводный годовой график'!$C$5:$AR$5)))</f>
        <v>12</v>
      </c>
      <c r="AC4" s="28">
        <f ca="1">IF(AND(INDEX('Сводный годовой график'!$C$1:$AR$4,MATCH($C$4,'Сводный годовой график'!$B$1:$B$4),MATCH(DATE($AV$1,MONTH($B$4),AC$3),'Сводный годовой график'!$C$5:$AR$5))&lt;&gt;12,INDIRECT(ADDRESS(ROW()+1,COLUMN()))="СП"),8,INDEX('Сводный годовой график'!$C$1:$AR$4,MATCH($C$4,'Сводный годовой график'!$B$1:$B$4),MATCH(DATE($AV$1,MONTH($B$4),AC$3),'Сводный годовой график'!$C$5:$AR$5)))</f>
        <v>0</v>
      </c>
      <c r="AD4" s="28">
        <f ca="1">IF(AND(INDEX('Сводный годовой график'!$C$1:$AR$4,MATCH($C$4,'Сводный годовой график'!$B$1:$B$4),MATCH(DATE($AV$1,MONTH($B$4),AD$3),'Сводный годовой график'!$C$5:$AR$5))&lt;&gt;12,INDIRECT(ADDRESS(ROW()+1,COLUMN()))="СП"),8,INDEX('Сводный годовой график'!$C$1:$AR$4,MATCH($C$4,'Сводный годовой график'!$B$1:$B$4),MATCH(DATE($AV$1,MONTH($B$4),AD$3),'Сводный годовой график'!$C$5:$AR$5)))</f>
        <v>0</v>
      </c>
      <c r="AE4" s="28">
        <f ca="1">IF(AND(INDEX('Сводный годовой график'!$C$1:$AR$4,MATCH($C$4,'Сводный годовой график'!$B$1:$B$4),MATCH(DATE($AV$1,MONTH($B$4),AE$3),'Сводный годовой график'!$C$5:$AR$5))&lt;&gt;12,INDIRECT(ADDRESS(ROW()+1,COLUMN()))="СП"),8,INDEX('Сводный годовой график'!$C$1:$AR$4,MATCH($C$4,'Сводный годовой график'!$B$1:$B$4),MATCH(DATE($AV$1,MONTH($B$4),AE$3),'Сводный годовой график'!$C$5:$AR$5)))</f>
        <v>4</v>
      </c>
      <c r="AF4" s="28">
        <f ca="1">IF(AND(INDEX('Сводный годовой график'!$C$1:$AR$4,MATCH($C$4,'Сводный годовой график'!$B$1:$B$4),MATCH(DATE($AV$1,MONTH($B$4),AF$3),'Сводный годовой график'!$C$5:$AR$5))&lt;&gt;12,INDIRECT(ADDRESS(ROW()+1,COLUMN()))="СП"),8,INDEX('Сводный годовой график'!$C$1:$AR$4,MATCH($C$4,'Сводный годовой график'!$B$1:$B$4),MATCH(DATE($AV$1,MONTH($B$4),AF$3),'Сводный годовой график'!$C$5:$AR$5)))</f>
        <v>8</v>
      </c>
      <c r="AG4" s="28">
        <f ca="1">IF(AND(INDEX('Сводный годовой график'!$C$1:$AR$4,MATCH($C$4,'Сводный годовой график'!$B$1:$B$4),MATCH(DATE($AV$1,MONTH($B$4),AG$3),'Сводный годовой график'!$C$5:$AR$5))&lt;&gt;12,INDIRECT(ADDRESS(ROW()+1,COLUMN()))="СП"),8,INDEX('Сводный годовой график'!$C$1:$AR$4,MATCH($C$4,'Сводный годовой график'!$B$1:$B$4),MATCH(DATE($AV$1,MONTH($B$4),AG$3),'Сводный годовой график'!$C$5:$AR$5)))</f>
        <v>12</v>
      </c>
      <c r="AH4" s="28">
        <f ca="1">IF(AND(INDEX('Сводный годовой график'!$C$1:$AR$4,MATCH($C$4,'Сводный годовой график'!$B$1:$B$4),MATCH(DATE($AV$1,MONTH($B$4),AH$3),'Сводный годовой график'!$C$5:$AR$5))&lt;&gt;12,INDIRECT(ADDRESS(ROW()+1,COLUMN()))="СП"),8,INDEX('Сводный годовой график'!$C$1:$AR$4,MATCH($C$4,'Сводный годовой график'!$B$1:$B$4),MATCH(DATE($AV$1,MONTH($B$4),AH$3),'Сводный годовой график'!$C$5:$AR$5)))</f>
        <v>4</v>
      </c>
      <c r="AI4" s="95">
        <f ca="1">IF(AND(INDEX('Сводный годовой график'!$C$1:$AR$4,MATCH($C$4,'Сводный годовой график'!$B$1:$B$4),MATCH(DATE($AV$1,MONTH($B$4),AI$3),'Сводный годовой график'!$C$5:$AR$5))&lt;&gt;12,INDIRECT(ADDRESS(ROW()+1,COLUMN()))="СП"),8,INDEX('Сводный годовой график'!$C$1:$AR$4,MATCH($C$4,'Сводный годовой график'!$B$1:$B$4),MATCH(DATE($AV$1,MONTH($B$4),AI$3),'Сводный годовой график'!$C$5:$AR$5)))</f>
        <v>8</v>
      </c>
      <c r="AJ4" s="205">
        <f>INDEX(Подключения!$D$3:$H$14,MONTH(B4),5)</f>
        <v>136</v>
      </c>
      <c r="AK4" s="216">
        <f>$AJ$4-SUM(AY4:CC5)</f>
        <v>136</v>
      </c>
      <c r="AL4" s="216">
        <f ca="1">SUM(E4:AI5)</f>
        <v>188</v>
      </c>
      <c r="AM4" s="216">
        <f ca="1">SUM(E4:L4)</f>
        <v>56</v>
      </c>
      <c r="AN4" s="218">
        <f ca="1">-AM4-AK4+AL4</f>
        <v>-4</v>
      </c>
      <c r="AO4" s="218">
        <v>0</v>
      </c>
      <c r="AP4" s="218">
        <f ca="1">AN4-AO4</f>
        <v>-4</v>
      </c>
      <c r="AQ4" s="218" t="s">
        <v>37</v>
      </c>
      <c r="AR4" s="229">
        <v>1</v>
      </c>
      <c r="CK4" s="59"/>
      <c r="CL4" s="59"/>
      <c r="CM4" s="59"/>
      <c r="CN4" s="59"/>
      <c r="CO4" s="59"/>
      <c r="CP4" s="59"/>
      <c r="CQ4" s="59"/>
      <c r="CR4" s="59"/>
      <c r="CS4" s="59"/>
      <c r="CT4" s="59"/>
      <c r="CU4" s="59"/>
      <c r="CV4" s="59"/>
      <c r="CW4" s="59"/>
      <c r="CX4" s="59"/>
      <c r="CY4" s="59"/>
      <c r="CZ4" s="59"/>
      <c r="DA4" s="59"/>
      <c r="DB4" s="59"/>
      <c r="DC4" s="59"/>
      <c r="DD4" s="59"/>
      <c r="DE4" s="59"/>
      <c r="DF4" s="59"/>
      <c r="DG4" s="59"/>
      <c r="DH4" s="59"/>
      <c r="DI4" s="59"/>
      <c r="DJ4" s="59"/>
      <c r="DK4" s="59"/>
      <c r="DL4" s="59"/>
      <c r="DM4" s="59"/>
      <c r="DN4" s="59"/>
      <c r="DO4" s="59"/>
    </row>
    <row r="5" spans="2:123" ht="16.5" thickBot="1" x14ac:dyDescent="0.3">
      <c r="B5" s="201"/>
      <c r="C5" s="197"/>
      <c r="D5" s="82">
        <v>2</v>
      </c>
      <c r="E5" s="96" t="str">
        <f t="shared" ref="E5:AI5" si="1">IF(INDEX($CK$4:$DO$123,ROW()-3,E$3)=0,"","СП")</f>
        <v>СП</v>
      </c>
      <c r="F5" s="92" t="str">
        <f t="shared" si="1"/>
        <v/>
      </c>
      <c r="G5" s="92" t="str">
        <f t="shared" si="1"/>
        <v/>
      </c>
      <c r="H5" s="92" t="str">
        <f t="shared" si="1"/>
        <v/>
      </c>
      <c r="I5" s="92" t="str">
        <f t="shared" si="1"/>
        <v/>
      </c>
      <c r="J5" s="92" t="str">
        <f t="shared" si="1"/>
        <v/>
      </c>
      <c r="K5" s="92" t="str">
        <f t="shared" si="1"/>
        <v/>
      </c>
      <c r="L5" s="92" t="str">
        <f t="shared" si="1"/>
        <v/>
      </c>
      <c r="M5" s="92" t="str">
        <f t="shared" si="1"/>
        <v/>
      </c>
      <c r="N5" s="92" t="str">
        <f t="shared" si="1"/>
        <v/>
      </c>
      <c r="O5" s="92" t="str">
        <f t="shared" si="1"/>
        <v/>
      </c>
      <c r="P5" s="92" t="str">
        <f t="shared" si="1"/>
        <v/>
      </c>
      <c r="Q5" s="92" t="str">
        <f t="shared" si="1"/>
        <v/>
      </c>
      <c r="R5" s="92" t="str">
        <f t="shared" si="1"/>
        <v/>
      </c>
      <c r="S5" s="92" t="str">
        <f t="shared" si="1"/>
        <v/>
      </c>
      <c r="T5" s="92" t="str">
        <f t="shared" si="1"/>
        <v/>
      </c>
      <c r="U5" s="92" t="str">
        <f t="shared" si="1"/>
        <v/>
      </c>
      <c r="V5" s="92" t="str">
        <f t="shared" si="1"/>
        <v/>
      </c>
      <c r="W5" s="92" t="str">
        <f t="shared" si="1"/>
        <v/>
      </c>
      <c r="X5" s="92" t="str">
        <f t="shared" si="1"/>
        <v/>
      </c>
      <c r="Y5" s="92" t="str">
        <f t="shared" si="1"/>
        <v/>
      </c>
      <c r="Z5" s="92" t="str">
        <f t="shared" si="1"/>
        <v/>
      </c>
      <c r="AA5" s="92" t="str">
        <f t="shared" si="1"/>
        <v/>
      </c>
      <c r="AB5" s="92" t="str">
        <f t="shared" si="1"/>
        <v/>
      </c>
      <c r="AC5" s="92" t="str">
        <f t="shared" si="1"/>
        <v/>
      </c>
      <c r="AD5" s="92" t="str">
        <f t="shared" si="1"/>
        <v/>
      </c>
      <c r="AE5" s="92" t="str">
        <f t="shared" si="1"/>
        <v/>
      </c>
      <c r="AF5" s="92" t="str">
        <f t="shared" si="1"/>
        <v/>
      </c>
      <c r="AG5" s="92" t="str">
        <f t="shared" si="1"/>
        <v/>
      </c>
      <c r="AH5" s="92" t="str">
        <f t="shared" si="1"/>
        <v/>
      </c>
      <c r="AI5" s="97" t="str">
        <f t="shared" si="1"/>
        <v/>
      </c>
      <c r="AJ5" s="206"/>
      <c r="AK5" s="209"/>
      <c r="AL5" s="209"/>
      <c r="AM5" s="209"/>
      <c r="AN5" s="211"/>
      <c r="AO5" s="211"/>
      <c r="AP5" s="211"/>
      <c r="AQ5" s="211"/>
      <c r="AR5" s="230"/>
      <c r="CK5" s="58">
        <f>IF(DAY(INDEX('Сводный годовой график'!$BA$4:$BL$14,$C4,MONTH($B$4)))=E$3,1,0)</f>
        <v>1</v>
      </c>
      <c r="CL5" s="58">
        <f>IF(DAY(INDEX('Сводный годовой график'!$BA$4:$BL$14,$C4,MONTH($B$4)))=F$3,1,0)</f>
        <v>0</v>
      </c>
      <c r="CM5" s="58">
        <f>IF(DAY(INDEX('Сводный годовой график'!$BA$4:$BL$14,$C4,MONTH($B$4)))=G$3,1,0)</f>
        <v>0</v>
      </c>
      <c r="CN5" s="58">
        <f>IF(DAY(INDEX('Сводный годовой график'!$BA$4:$BL$14,$C4,MONTH($B$4)))=H$3,1,0)</f>
        <v>0</v>
      </c>
      <c r="CO5" s="58">
        <f>IF(DAY(INDEX('Сводный годовой график'!$BA$4:$BL$14,$C4,MONTH($B$4)))=I$3,1,0)</f>
        <v>0</v>
      </c>
      <c r="CP5" s="58">
        <f>IF(DAY(INDEX('Сводный годовой график'!$BA$4:$BL$14,$C4,MONTH($B$4)))=J$3,1,0)</f>
        <v>0</v>
      </c>
      <c r="CQ5" s="58">
        <f>IF(DAY(INDEX('Сводный годовой график'!$BA$4:$BL$14,$C4,MONTH($B$4)))=K$3,1,0)</f>
        <v>0</v>
      </c>
      <c r="CR5" s="58">
        <f>IF(DAY(INDEX('Сводный годовой график'!$BA$4:$BL$14,$C4,MONTH($B$4)))=L$3,1,0)</f>
        <v>0</v>
      </c>
      <c r="CS5" s="58">
        <f>IF(DAY(INDEX('Сводный годовой график'!$BA$4:$BL$14,$C4,MONTH($B$4)))=M$3,1,0)</f>
        <v>0</v>
      </c>
      <c r="CT5" s="58">
        <f>IF(DAY(INDEX('Сводный годовой график'!$BA$4:$BL$14,$C4,MONTH($B$4)))=N$3,1,0)</f>
        <v>0</v>
      </c>
      <c r="CU5" s="58">
        <f>IF(DAY(INDEX('Сводный годовой график'!$BA$4:$BL$14,$C4,MONTH($B$4)))=O$3,1,0)</f>
        <v>0</v>
      </c>
      <c r="CV5" s="58">
        <f>IF(DAY(INDEX('Сводный годовой график'!$BA$4:$BL$14,$C4,MONTH($B$4)))=P$3,1,0)</f>
        <v>0</v>
      </c>
      <c r="CW5" s="58">
        <f>IF(DAY(INDEX('Сводный годовой график'!$BA$4:$BL$14,$C4,MONTH($B$4)))=Q$3,1,0)</f>
        <v>0</v>
      </c>
      <c r="CX5" s="58">
        <f>IF(DAY(INDEX('Сводный годовой график'!$BA$4:$BL$14,$C4,MONTH($B$4)))=R$3,1,0)</f>
        <v>0</v>
      </c>
      <c r="CY5" s="58">
        <f>IF(DAY(INDEX('Сводный годовой график'!$BA$4:$BL$14,$C4,MONTH($B$4)))=S$3,1,0)</f>
        <v>0</v>
      </c>
      <c r="CZ5" s="58">
        <f>IF(DAY(INDEX('Сводный годовой график'!$BA$4:$BL$14,$C4,MONTH($B$4)))=T$3,1,0)</f>
        <v>0</v>
      </c>
      <c r="DA5" s="58">
        <f>IF(DAY(INDEX('Сводный годовой график'!$BA$4:$BL$14,$C4,MONTH($B$4)))=U$3,1,0)</f>
        <v>0</v>
      </c>
      <c r="DB5" s="58">
        <f>IF(DAY(INDEX('Сводный годовой график'!$BA$4:$BL$14,$C4,MONTH($B$4)))=V$3,1,0)</f>
        <v>0</v>
      </c>
      <c r="DC5" s="58">
        <f>IF(DAY(INDEX('Сводный годовой график'!$BA$4:$BL$14,$C4,MONTH($B$4)))=W$3,1,0)</f>
        <v>0</v>
      </c>
      <c r="DD5" s="58">
        <f>IF(DAY(INDEX('Сводный годовой график'!$BA$4:$BL$14,$C4,MONTH($B$4)))=X$3,1,0)</f>
        <v>0</v>
      </c>
      <c r="DE5" s="58">
        <f>IF(DAY(INDEX('Сводный годовой график'!$BA$4:$BL$14,$C4,MONTH($B$4)))=Y$3,1,0)</f>
        <v>0</v>
      </c>
      <c r="DF5" s="58">
        <f>IF(DAY(INDEX('Сводный годовой график'!$BA$4:$BL$14,$C4,MONTH($B$4)))=Z$3,1,0)</f>
        <v>0</v>
      </c>
      <c r="DG5" s="58">
        <f>IF(DAY(INDEX('Сводный годовой график'!$BA$4:$BL$14,$C4,MONTH($B$4)))=AA$3,1,0)</f>
        <v>0</v>
      </c>
      <c r="DH5" s="58">
        <f>IF(DAY(INDEX('Сводный годовой график'!$BA$4:$BL$14,$C4,MONTH($B$4)))=AB$3,1,0)</f>
        <v>0</v>
      </c>
      <c r="DI5" s="58">
        <f>IF(DAY(INDEX('Сводный годовой график'!$BA$4:$BL$14,$C4,MONTH($B$4)))=AC$3,1,0)</f>
        <v>0</v>
      </c>
      <c r="DJ5" s="58">
        <f>IF(DAY(INDEX('Сводный годовой график'!$BA$4:$BL$14,$C4,MONTH($B$4)))=AD$3,1,0)</f>
        <v>0</v>
      </c>
      <c r="DK5" s="58">
        <f>IF(DAY(INDEX('Сводный годовой график'!$BA$4:$BL$14,$C4,MONTH($B$4)))=AE$3,1,0)</f>
        <v>0</v>
      </c>
      <c r="DL5" s="58">
        <f>IF(DAY(INDEX('Сводный годовой график'!$BA$4:$BL$14,$C4,MONTH($B$4)))=AF$3,1,0)</f>
        <v>0</v>
      </c>
      <c r="DM5" s="58">
        <f>IF(DAY(INDEX('Сводный годовой график'!$BA$4:$BL$14,$C4,MONTH($B$4)))=AG$3,1,0)</f>
        <v>0</v>
      </c>
      <c r="DN5" s="58">
        <f>IF(DAY(INDEX('Сводный годовой график'!$BA$4:$BL$14,$C4,MONTH($B$4)))=AH$3,1,0)</f>
        <v>0</v>
      </c>
      <c r="DO5" s="58">
        <f>IF(DAY(INDEX('Сводный годовой график'!$BA$4:$BL$14,$C4,MONTH($B$4)))=AI$3,1,0)</f>
        <v>0</v>
      </c>
    </row>
    <row r="6" spans="2:123" ht="16.5" thickBot="1" x14ac:dyDescent="0.3">
      <c r="B6" s="201"/>
      <c r="C6" s="196">
        <v>2</v>
      </c>
      <c r="D6" s="81">
        <v>3</v>
      </c>
      <c r="E6" s="96">
        <f ca="1">IF(AND(INDEX('Сводный годовой график'!$C$1:$AR$4,MATCH($C$6,'Сводный годовой график'!$B$1:$B$4),MATCH(DATE($AV$1,MONTH($B$4),E$3),'Сводный годовой график'!$C$5:$AR$5))&lt;&gt;12,INDIRECT(ADDRESS(ROW()+1,COLUMN()))="СП"),8,INDEX('Сводный годовой график'!$C$1:$AR$4,MATCH($C$6,'Сводный годовой график'!$B$1:$B$4),MATCH(DATE($AV$1,MONTH($B$4),E$3),'Сводный годовой график'!$C$5:$AR$5)))</f>
        <v>4</v>
      </c>
      <c r="F6" s="92">
        <f ca="1">IF(AND(INDEX('Сводный годовой график'!$C$1:$AR$4,MATCH($C$6,'Сводный годовой график'!$B$1:$B$4),MATCH(DATE($AV$1,MONTH($B$4),F$3),'Сводный годовой график'!$C$5:$AR$5))&lt;&gt;12,INDIRECT(ADDRESS(ROW()+1,COLUMN()))="СП"),8,INDEX('Сводный годовой график'!$C$1:$AR$4,MATCH($C$6,'Сводный годовой график'!$B$1:$B$4),MATCH(DATE($AV$1,MONTH($B$4),F$3),'Сводный годовой график'!$C$5:$AR$5)))</f>
        <v>8</v>
      </c>
      <c r="G6" s="92">
        <f ca="1">IF(AND(INDEX('Сводный годовой график'!$C$1:$AR$4,MATCH($C$6,'Сводный годовой график'!$B$1:$B$4),MATCH(DATE($AV$1,MONTH($B$4),G$3),'Сводный годовой график'!$C$5:$AR$5))&lt;&gt;12,INDIRECT(ADDRESS(ROW()+1,COLUMN()))="СП"),8,INDEX('Сводный годовой график'!$C$1:$AR$4,MATCH($C$6,'Сводный годовой график'!$B$1:$B$4),MATCH(DATE($AV$1,MONTH($B$4),G$3),'Сводный годовой график'!$C$5:$AR$5)))</f>
        <v>12</v>
      </c>
      <c r="H6" s="92">
        <f ca="1">IF(AND(INDEX('Сводный годовой график'!$C$1:$AR$4,MATCH($C$6,'Сводный годовой график'!$B$1:$B$4),MATCH(DATE($AV$1,MONTH($B$4),H$3),'Сводный годовой график'!$C$5:$AR$5))&lt;&gt;12,INDIRECT(ADDRESS(ROW()+1,COLUMN()))="СП"),8,INDEX('Сводный годовой график'!$C$1:$AR$4,MATCH($C$6,'Сводный годовой график'!$B$1:$B$4),MATCH(DATE($AV$1,MONTH($B$4),H$3),'Сводный годовой график'!$C$5:$AR$5)))</f>
        <v>4</v>
      </c>
      <c r="I6" s="92">
        <f ca="1">IF(AND(INDEX('Сводный годовой график'!$C$1:$AR$4,MATCH($C$6,'Сводный годовой график'!$B$1:$B$4),MATCH(DATE($AV$1,MONTH($B$4),I$3),'Сводный годовой график'!$C$5:$AR$5))&lt;&gt;12,INDIRECT(ADDRESS(ROW()+1,COLUMN()))="СП"),8,INDEX('Сводный годовой график'!$C$1:$AR$4,MATCH($C$6,'Сводный годовой график'!$B$1:$B$4),MATCH(DATE($AV$1,MONTH($B$4),I$3),'Сводный годовой график'!$C$5:$AR$5)))</f>
        <v>8</v>
      </c>
      <c r="J6" s="92">
        <f ca="1">IF(AND(INDEX('Сводный годовой график'!$C$1:$AR$4,MATCH($C$6,'Сводный годовой график'!$B$1:$B$4),MATCH(DATE($AV$1,MONTH($B$4),J$3),'Сводный годовой график'!$C$5:$AR$5))&lt;&gt;12,INDIRECT(ADDRESS(ROW()+1,COLUMN()))="СП"),8,INDEX('Сводный годовой график'!$C$1:$AR$4,MATCH($C$6,'Сводный годовой график'!$B$1:$B$4),MATCH(DATE($AV$1,MONTH($B$4),J$3),'Сводный годовой график'!$C$5:$AR$5)))</f>
        <v>12</v>
      </c>
      <c r="K6" s="92">
        <f ca="1">IF(AND(INDEX('Сводный годовой график'!$C$1:$AR$4,MATCH($C$6,'Сводный годовой график'!$B$1:$B$4),MATCH(DATE($AV$1,MONTH($B$4),K$3),'Сводный годовой график'!$C$5:$AR$5))&lt;&gt;12,INDIRECT(ADDRESS(ROW()+1,COLUMN()))="СП"),8,INDEX('Сводный годовой график'!$C$1:$AR$4,MATCH($C$6,'Сводный годовой график'!$B$1:$B$4),MATCH(DATE($AV$1,MONTH($B$4),K$3),'Сводный годовой график'!$C$5:$AR$5)))</f>
        <v>0</v>
      </c>
      <c r="L6" s="92">
        <f ca="1">IF(AND(INDEX('Сводный годовой график'!$C$1:$AR$4,MATCH($C$6,'Сводный годовой график'!$B$1:$B$4),MATCH(DATE($AV$1,MONTH($B$4),L$3),'Сводный годовой график'!$C$5:$AR$5))&lt;&gt;12,INDIRECT(ADDRESS(ROW()+1,COLUMN()))="СП"),8,INDEX('Сводный годовой график'!$C$1:$AR$4,MATCH($C$6,'Сводный годовой график'!$B$1:$B$4),MATCH(DATE($AV$1,MONTH($B$4),L$3),'Сводный годовой график'!$C$5:$AR$5)))</f>
        <v>0</v>
      </c>
      <c r="M6" s="92">
        <f ca="1">IF(AND(INDEX('Сводный годовой график'!$C$1:$AR$4,MATCH($C$6,'Сводный годовой график'!$B$1:$B$4),MATCH(DATE($AV$1,MONTH($B$4),M$3),'Сводный годовой график'!$C$5:$AR$5))&lt;&gt;12,INDIRECT(ADDRESS(ROW()+1,COLUMN()))="СП"),8,INDEX('Сводный годовой график'!$C$1:$AR$4,MATCH($C$6,'Сводный годовой график'!$B$1:$B$4),MATCH(DATE($AV$1,MONTH($B$4),M$3),'Сводный годовой график'!$C$5:$AR$5)))</f>
        <v>4</v>
      </c>
      <c r="N6" s="92">
        <f ca="1">IF(AND(INDEX('Сводный годовой график'!$C$1:$AR$4,MATCH($C$6,'Сводный годовой график'!$B$1:$B$4),MATCH(DATE($AV$1,MONTH($B$4),N$3),'Сводный годовой график'!$C$5:$AR$5))&lt;&gt;12,INDIRECT(ADDRESS(ROW()+1,COLUMN()))="СП"),8,INDEX('Сводный годовой график'!$C$1:$AR$4,MATCH($C$6,'Сводный годовой график'!$B$1:$B$4),MATCH(DATE($AV$1,MONTH($B$4),N$3),'Сводный годовой график'!$C$5:$AR$5)))</f>
        <v>8</v>
      </c>
      <c r="O6" s="92">
        <f ca="1">IF(AND(INDEX('Сводный годовой график'!$C$1:$AR$4,MATCH($C$6,'Сводный годовой график'!$B$1:$B$4),MATCH(DATE($AV$1,MONTH($B$4),O$3),'Сводный годовой график'!$C$5:$AR$5))&lt;&gt;12,INDIRECT(ADDRESS(ROW()+1,COLUMN()))="СП"),8,INDEX('Сводный годовой график'!$C$1:$AR$4,MATCH($C$6,'Сводный годовой график'!$B$1:$B$4),MATCH(DATE($AV$1,MONTH($B$4),O$3),'Сводный годовой график'!$C$5:$AR$5)))</f>
        <v>12</v>
      </c>
      <c r="P6" s="92">
        <f ca="1">IF(AND(INDEX('Сводный годовой график'!$C$1:$AR$4,MATCH($C$6,'Сводный годовой график'!$B$1:$B$4),MATCH(DATE($AV$1,MONTH($B$4),P$3),'Сводный годовой график'!$C$5:$AR$5))&lt;&gt;12,INDIRECT(ADDRESS(ROW()+1,COLUMN()))="СП"),8,INDEX('Сводный годовой график'!$C$1:$AR$4,MATCH($C$6,'Сводный годовой график'!$B$1:$B$4),MATCH(DATE($AV$1,MONTH($B$4),P$3),'Сводный годовой график'!$C$5:$AR$5)))</f>
        <v>4</v>
      </c>
      <c r="Q6" s="92">
        <f ca="1">IF(AND(INDEX('Сводный годовой график'!$C$1:$AR$4,MATCH($C$6,'Сводный годовой график'!$B$1:$B$4),MATCH(DATE($AV$1,MONTH($B$4),Q$3),'Сводный годовой график'!$C$5:$AR$5))&lt;&gt;12,INDIRECT(ADDRESS(ROW()+1,COLUMN()))="СП"),8,INDEX('Сводный годовой график'!$C$1:$AR$4,MATCH($C$6,'Сводный годовой график'!$B$1:$B$4),MATCH(DATE($AV$1,MONTH($B$4),Q$3),'Сводный годовой график'!$C$5:$AR$5)))</f>
        <v>8</v>
      </c>
      <c r="R6" s="92">
        <f ca="1">IF(AND(INDEX('Сводный годовой график'!$C$1:$AR$4,MATCH($C$6,'Сводный годовой график'!$B$1:$B$4),MATCH(DATE($AV$1,MONTH($B$4),R$3),'Сводный годовой график'!$C$5:$AR$5))&lt;&gt;12,INDIRECT(ADDRESS(ROW()+1,COLUMN()))="СП"),8,INDEX('Сводный годовой график'!$C$1:$AR$4,MATCH($C$6,'Сводный годовой график'!$B$1:$B$4),MATCH(DATE($AV$1,MONTH($B$4),R$3),'Сводный годовой график'!$C$5:$AR$5)))</f>
        <v>12</v>
      </c>
      <c r="S6" s="92">
        <f ca="1">IF(AND(INDEX('Сводный годовой график'!$C$1:$AR$4,MATCH($C$6,'Сводный годовой график'!$B$1:$B$4),MATCH(DATE($AV$1,MONTH($B$4),S$3),'Сводный годовой график'!$C$5:$AR$5))&lt;&gt;12,INDIRECT(ADDRESS(ROW()+1,COLUMN()))="СП"),8,INDEX('Сводный годовой график'!$C$1:$AR$4,MATCH($C$6,'Сводный годовой график'!$B$1:$B$4),MATCH(DATE($AV$1,MONTH($B$4),S$3),'Сводный годовой график'!$C$5:$AR$5)))</f>
        <v>0</v>
      </c>
      <c r="T6" s="92">
        <f ca="1">IF(AND(INDEX('Сводный годовой график'!$C$1:$AR$4,MATCH($C$6,'Сводный годовой график'!$B$1:$B$4),MATCH(DATE($AV$1,MONTH($B$4),T$3),'Сводный годовой график'!$C$5:$AR$5))&lt;&gt;12,INDIRECT(ADDRESS(ROW()+1,COLUMN()))="СП"),8,INDEX('Сводный годовой график'!$C$1:$AR$4,MATCH($C$6,'Сводный годовой график'!$B$1:$B$4),MATCH(DATE($AV$1,MONTH($B$4),T$3),'Сводный годовой график'!$C$5:$AR$5)))</f>
        <v>0</v>
      </c>
      <c r="U6" s="92">
        <f ca="1">IF(AND(INDEX('Сводный годовой график'!$C$1:$AR$4,MATCH($C$6,'Сводный годовой график'!$B$1:$B$4),MATCH(DATE($AV$1,MONTH($B$4),U$3),'Сводный годовой график'!$C$5:$AR$5))&lt;&gt;12,INDIRECT(ADDRESS(ROW()+1,COLUMN()))="СП"),8,INDEX('Сводный годовой график'!$C$1:$AR$4,MATCH($C$6,'Сводный годовой график'!$B$1:$B$4),MATCH(DATE($AV$1,MONTH($B$4),U$3),'Сводный годовой график'!$C$5:$AR$5)))</f>
        <v>4</v>
      </c>
      <c r="V6" s="92">
        <f ca="1">IF(AND(INDEX('Сводный годовой график'!$C$1:$AR$4,MATCH($C$6,'Сводный годовой график'!$B$1:$B$4),MATCH(DATE($AV$1,MONTH($B$4),V$3),'Сводный годовой график'!$C$5:$AR$5))&lt;&gt;12,INDIRECT(ADDRESS(ROW()+1,COLUMN()))="СП"),8,INDEX('Сводный годовой график'!$C$1:$AR$4,MATCH($C$6,'Сводный годовой график'!$B$1:$B$4),MATCH(DATE($AV$1,MONTH($B$4),V$3),'Сводный годовой график'!$C$5:$AR$5)))</f>
        <v>8</v>
      </c>
      <c r="W6" s="92">
        <f ca="1">IF(AND(INDEX('Сводный годовой график'!$C$1:$AR$4,MATCH($C$6,'Сводный годовой график'!$B$1:$B$4),MATCH(DATE($AV$1,MONTH($B$4),W$3),'Сводный годовой график'!$C$5:$AR$5))&lt;&gt;12,INDIRECT(ADDRESS(ROW()+1,COLUMN()))="СП"),8,INDEX('Сводный годовой график'!$C$1:$AR$4,MATCH($C$6,'Сводный годовой график'!$B$1:$B$4),MATCH(DATE($AV$1,MONTH($B$4),W$3),'Сводный годовой график'!$C$5:$AR$5)))</f>
        <v>12</v>
      </c>
      <c r="X6" s="92">
        <f ca="1">IF(AND(INDEX('Сводный годовой график'!$C$1:$AR$4,MATCH($C$6,'Сводный годовой график'!$B$1:$B$4),MATCH(DATE($AV$1,MONTH($B$4),X$3),'Сводный годовой график'!$C$5:$AR$5))&lt;&gt;12,INDIRECT(ADDRESS(ROW()+1,COLUMN()))="СП"),8,INDEX('Сводный годовой график'!$C$1:$AR$4,MATCH($C$6,'Сводный годовой график'!$B$1:$B$4),MATCH(DATE($AV$1,MONTH($B$4),X$3),'Сводный годовой график'!$C$5:$AR$5)))</f>
        <v>4</v>
      </c>
      <c r="Y6" s="92">
        <f ca="1">IF(AND(INDEX('Сводный годовой график'!$C$1:$AR$4,MATCH($C$6,'Сводный годовой график'!$B$1:$B$4),MATCH(DATE($AV$1,MONTH($B$4),Y$3),'Сводный годовой график'!$C$5:$AR$5))&lt;&gt;12,INDIRECT(ADDRESS(ROW()+1,COLUMN()))="СП"),8,INDEX('Сводный годовой график'!$C$1:$AR$4,MATCH($C$6,'Сводный годовой график'!$B$1:$B$4),MATCH(DATE($AV$1,MONTH($B$4),Y$3),'Сводный годовой график'!$C$5:$AR$5)))</f>
        <v>8</v>
      </c>
      <c r="Z6" s="92">
        <f ca="1">IF(AND(INDEX('Сводный годовой график'!$C$1:$AR$4,MATCH($C$6,'Сводный годовой график'!$B$1:$B$4),MATCH(DATE($AV$1,MONTH($B$4),Z$3),'Сводный годовой график'!$C$5:$AR$5))&lt;&gt;12,INDIRECT(ADDRESS(ROW()+1,COLUMN()))="СП"),8,INDEX('Сводный годовой график'!$C$1:$AR$4,MATCH($C$6,'Сводный годовой график'!$B$1:$B$4),MATCH(DATE($AV$1,MONTH($B$4),Z$3),'Сводный годовой график'!$C$5:$AR$5)))</f>
        <v>12</v>
      </c>
      <c r="AA6" s="92">
        <f ca="1">IF(AND(INDEX('Сводный годовой график'!$C$1:$AR$4,MATCH($C$6,'Сводный годовой график'!$B$1:$B$4),MATCH(DATE($AV$1,MONTH($B$4),AA$3),'Сводный годовой график'!$C$5:$AR$5))&lt;&gt;12,INDIRECT(ADDRESS(ROW()+1,COLUMN()))="СП"),8,INDEX('Сводный годовой график'!$C$1:$AR$4,MATCH($C$6,'Сводный годовой график'!$B$1:$B$4),MATCH(DATE($AV$1,MONTH($B$4),AA$3),'Сводный годовой график'!$C$5:$AR$5)))</f>
        <v>0</v>
      </c>
      <c r="AB6" s="92">
        <f ca="1">IF(AND(INDEX('Сводный годовой график'!$C$1:$AR$4,MATCH($C$6,'Сводный годовой график'!$B$1:$B$4),MATCH(DATE($AV$1,MONTH($B$4),AB$3),'Сводный годовой график'!$C$5:$AR$5))&lt;&gt;12,INDIRECT(ADDRESS(ROW()+1,COLUMN()))="СП"),8,INDEX('Сводный годовой график'!$C$1:$AR$4,MATCH($C$6,'Сводный годовой график'!$B$1:$B$4),MATCH(DATE($AV$1,MONTH($B$4),AB$3),'Сводный годовой график'!$C$5:$AR$5)))</f>
        <v>0</v>
      </c>
      <c r="AC6" s="92">
        <f ca="1">IF(AND(INDEX('Сводный годовой график'!$C$1:$AR$4,MATCH($C$6,'Сводный годовой график'!$B$1:$B$4),MATCH(DATE($AV$1,MONTH($B$4),AC$3),'Сводный годовой график'!$C$5:$AR$5))&lt;&gt;12,INDIRECT(ADDRESS(ROW()+1,COLUMN()))="СП"),8,INDEX('Сводный годовой график'!$C$1:$AR$4,MATCH($C$6,'Сводный годовой график'!$B$1:$B$4),MATCH(DATE($AV$1,MONTH($B$4),AC$3),'Сводный годовой график'!$C$5:$AR$5)))</f>
        <v>4</v>
      </c>
      <c r="AD6" s="92">
        <f ca="1">IF(AND(INDEX('Сводный годовой график'!$C$1:$AR$4,MATCH($C$6,'Сводный годовой график'!$B$1:$B$4),MATCH(DATE($AV$1,MONTH($B$4),AD$3),'Сводный годовой график'!$C$5:$AR$5))&lt;&gt;12,INDIRECT(ADDRESS(ROW()+1,COLUMN()))="СП"),8,INDEX('Сводный годовой график'!$C$1:$AR$4,MATCH($C$6,'Сводный годовой график'!$B$1:$B$4),MATCH(DATE($AV$1,MONTH($B$4),AD$3),'Сводный годовой график'!$C$5:$AR$5)))</f>
        <v>8</v>
      </c>
      <c r="AE6" s="92">
        <f ca="1">IF(AND(INDEX('Сводный годовой график'!$C$1:$AR$4,MATCH($C$6,'Сводный годовой график'!$B$1:$B$4),MATCH(DATE($AV$1,MONTH($B$4),AE$3),'Сводный годовой график'!$C$5:$AR$5))&lt;&gt;12,INDIRECT(ADDRESS(ROW()+1,COLUMN()))="СП"),8,INDEX('Сводный годовой график'!$C$1:$AR$4,MATCH($C$6,'Сводный годовой график'!$B$1:$B$4),MATCH(DATE($AV$1,MONTH($B$4),AE$3),'Сводный годовой график'!$C$5:$AR$5)))</f>
        <v>12</v>
      </c>
      <c r="AF6" s="92">
        <f ca="1">IF(AND(INDEX('Сводный годовой график'!$C$1:$AR$4,MATCH($C$6,'Сводный годовой график'!$B$1:$B$4),MATCH(DATE($AV$1,MONTH($B$4),AF$3),'Сводный годовой график'!$C$5:$AR$5))&lt;&gt;12,INDIRECT(ADDRESS(ROW()+1,COLUMN()))="СП"),8,INDEX('Сводный годовой график'!$C$1:$AR$4,MATCH($C$6,'Сводный годовой график'!$B$1:$B$4),MATCH(DATE($AV$1,MONTH($B$4),AF$3),'Сводный годовой график'!$C$5:$AR$5)))</f>
        <v>4</v>
      </c>
      <c r="AG6" s="92">
        <f ca="1">IF(AND(INDEX('Сводный годовой график'!$C$1:$AR$4,MATCH($C$6,'Сводный годовой график'!$B$1:$B$4),MATCH(DATE($AV$1,MONTH($B$4),AG$3),'Сводный годовой график'!$C$5:$AR$5))&lt;&gt;12,INDIRECT(ADDRESS(ROW()+1,COLUMN()))="СП"),8,INDEX('Сводный годовой график'!$C$1:$AR$4,MATCH($C$6,'Сводный годовой график'!$B$1:$B$4),MATCH(DATE($AV$1,MONTH($B$4),AG$3),'Сводный годовой график'!$C$5:$AR$5)))</f>
        <v>8</v>
      </c>
      <c r="AH6" s="92">
        <f ca="1">IF(AND(INDEX('Сводный годовой график'!$C$1:$AR$4,MATCH($C$6,'Сводный годовой график'!$B$1:$B$4),MATCH(DATE($AV$1,MONTH($B$4),AH$3),'Сводный годовой график'!$C$5:$AR$5))&lt;&gt;12,INDIRECT(ADDRESS(ROW()+1,COLUMN()))="СП"),8,INDEX('Сводный годовой график'!$C$1:$AR$4,MATCH($C$6,'Сводный годовой график'!$B$1:$B$4),MATCH(DATE($AV$1,MONTH($B$4),AH$3),'Сводный годовой график'!$C$5:$AR$5)))</f>
        <v>12</v>
      </c>
      <c r="AI6" s="97">
        <f ca="1">IF(AND(INDEX('Сводный годовой график'!$C$1:$AR$4,MATCH($C$6,'Сводный годовой график'!$B$1:$B$4),MATCH(DATE($AV$1,MONTH($B$4),AI$3),'Сводный годовой график'!$C$5:$AR$5))&lt;&gt;12,INDIRECT(ADDRESS(ROW()+1,COLUMN()))="СП"),8,INDEX('Сводный годовой график'!$C$1:$AR$4,MATCH($C$6,'Сводный годовой график'!$B$1:$B$4),MATCH(DATE($AV$1,MONTH($B$4),AI$3),'Сводный годовой график'!$C$5:$AR$5)))</f>
        <v>0</v>
      </c>
      <c r="AJ6" s="206"/>
      <c r="AK6" s="223">
        <f>$AJ$4-SUM(AY6:CC7)</f>
        <v>136</v>
      </c>
      <c r="AL6" s="209">
        <f t="shared" ref="AL6" ca="1" si="2">SUM(E6:AI7)</f>
        <v>192</v>
      </c>
      <c r="AM6" s="209">
        <f t="shared" ref="AM6" ca="1" si="3">SUM(E6:L6)</f>
        <v>48</v>
      </c>
      <c r="AN6" s="211">
        <f t="shared" ref="AN6" ca="1" si="4">-AM6-AK6+AL6</f>
        <v>8</v>
      </c>
      <c r="AO6" s="211">
        <v>0</v>
      </c>
      <c r="AP6" s="211">
        <f t="shared" ref="AP6" ca="1" si="5">AN6-AO6</f>
        <v>8</v>
      </c>
      <c r="AQ6" s="209">
        <v>0</v>
      </c>
      <c r="AR6" s="210">
        <v>1</v>
      </c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  <c r="DH6" s="59"/>
      <c r="DI6" s="59"/>
      <c r="DJ6" s="59"/>
      <c r="DK6" s="59"/>
      <c r="DL6" s="59"/>
      <c r="DM6" s="59"/>
      <c r="DN6" s="59"/>
      <c r="DO6" s="59"/>
    </row>
    <row r="7" spans="2:123" ht="16.5" thickBot="1" x14ac:dyDescent="0.3">
      <c r="B7" s="201"/>
      <c r="C7" s="197"/>
      <c r="D7" s="82">
        <v>4</v>
      </c>
      <c r="E7" s="96" t="str">
        <f t="shared" ref="E7:AI7" si="6">IF(INDEX($CK$4:$DO$123,ROW()-3,E$3)=0,"","СП")</f>
        <v/>
      </c>
      <c r="F7" s="92" t="str">
        <f t="shared" si="6"/>
        <v>СП</v>
      </c>
      <c r="G7" s="92" t="str">
        <f t="shared" si="6"/>
        <v/>
      </c>
      <c r="H7" s="92" t="str">
        <f t="shared" si="6"/>
        <v/>
      </c>
      <c r="I7" s="92" t="str">
        <f t="shared" si="6"/>
        <v/>
      </c>
      <c r="J7" s="92" t="str">
        <f t="shared" si="6"/>
        <v/>
      </c>
      <c r="K7" s="92" t="str">
        <f t="shared" si="6"/>
        <v/>
      </c>
      <c r="L7" s="92" t="str">
        <f t="shared" si="6"/>
        <v/>
      </c>
      <c r="M7" s="92" t="str">
        <f t="shared" si="6"/>
        <v/>
      </c>
      <c r="N7" s="92" t="str">
        <f t="shared" si="6"/>
        <v/>
      </c>
      <c r="O7" s="92" t="str">
        <f t="shared" si="6"/>
        <v/>
      </c>
      <c r="P7" s="92" t="str">
        <f t="shared" si="6"/>
        <v/>
      </c>
      <c r="Q7" s="92" t="str">
        <f t="shared" si="6"/>
        <v/>
      </c>
      <c r="R7" s="92" t="str">
        <f t="shared" si="6"/>
        <v/>
      </c>
      <c r="S7" s="92" t="str">
        <f t="shared" si="6"/>
        <v/>
      </c>
      <c r="T7" s="92" t="str">
        <f t="shared" si="6"/>
        <v/>
      </c>
      <c r="U7" s="92" t="str">
        <f t="shared" si="6"/>
        <v/>
      </c>
      <c r="V7" s="92" t="str">
        <f t="shared" si="6"/>
        <v/>
      </c>
      <c r="W7" s="92" t="str">
        <f t="shared" si="6"/>
        <v/>
      </c>
      <c r="X7" s="92" t="str">
        <f t="shared" si="6"/>
        <v/>
      </c>
      <c r="Y7" s="92" t="str">
        <f t="shared" si="6"/>
        <v/>
      </c>
      <c r="Z7" s="92" t="str">
        <f t="shared" si="6"/>
        <v/>
      </c>
      <c r="AA7" s="92" t="str">
        <f t="shared" si="6"/>
        <v/>
      </c>
      <c r="AB7" s="92" t="str">
        <f t="shared" si="6"/>
        <v/>
      </c>
      <c r="AC7" s="92" t="str">
        <f t="shared" si="6"/>
        <v/>
      </c>
      <c r="AD7" s="92" t="str">
        <f t="shared" si="6"/>
        <v/>
      </c>
      <c r="AE7" s="92" t="str">
        <f t="shared" si="6"/>
        <v/>
      </c>
      <c r="AF7" s="92" t="str">
        <f t="shared" si="6"/>
        <v/>
      </c>
      <c r="AG7" s="92" t="str">
        <f t="shared" si="6"/>
        <v/>
      </c>
      <c r="AH7" s="92" t="str">
        <f t="shared" si="6"/>
        <v/>
      </c>
      <c r="AI7" s="97" t="str">
        <f t="shared" si="6"/>
        <v/>
      </c>
      <c r="AJ7" s="206"/>
      <c r="AK7" s="220"/>
      <c r="AL7" s="209"/>
      <c r="AM7" s="209"/>
      <c r="AN7" s="211"/>
      <c r="AO7" s="211"/>
      <c r="AP7" s="211"/>
      <c r="AQ7" s="209"/>
      <c r="AR7" s="210"/>
      <c r="CK7" s="58">
        <f>IF(DAY(INDEX('Сводный годовой график'!$BA$4:$BL$14,$C6,MONTH($B$4)))=E$3,1,0)</f>
        <v>0</v>
      </c>
      <c r="CL7" s="58">
        <f>IF(DAY(INDEX('Сводный годовой график'!$BA$4:$BL$14,$C6,MONTH($B$4)))=F$3,1,0)</f>
        <v>1</v>
      </c>
      <c r="CM7" s="58">
        <f>IF(DAY(INDEX('Сводный годовой график'!$BA$4:$BL$14,$C6,MONTH($B$4)))=G$3,1,0)</f>
        <v>0</v>
      </c>
      <c r="CN7" s="58">
        <f>IF(DAY(INDEX('Сводный годовой график'!$BA$4:$BL$14,$C6,MONTH($B$4)))=H$3,1,0)</f>
        <v>0</v>
      </c>
      <c r="CO7" s="58">
        <f>IF(DAY(INDEX('Сводный годовой график'!$BA$4:$BL$14,$C6,MONTH($B$4)))=I$3,1,0)</f>
        <v>0</v>
      </c>
      <c r="CP7" s="58">
        <f>IF(DAY(INDEX('Сводный годовой график'!$BA$4:$BL$14,$C6,MONTH($B$4)))=J$3,1,0)</f>
        <v>0</v>
      </c>
      <c r="CQ7" s="58">
        <f>IF(DAY(INDEX('Сводный годовой график'!$BA$4:$BL$14,$C6,MONTH($B$4)))=K$3,1,0)</f>
        <v>0</v>
      </c>
      <c r="CR7" s="58">
        <f>IF(DAY(INDEX('Сводный годовой график'!$BA$4:$BL$14,$C6,MONTH($B$4)))=L$3,1,0)</f>
        <v>0</v>
      </c>
      <c r="CS7" s="58">
        <f>IF(DAY(INDEX('Сводный годовой график'!$BA$4:$BL$14,$C6,MONTH($B$4)))=M$3,1,0)</f>
        <v>0</v>
      </c>
      <c r="CT7" s="58">
        <f>IF(DAY(INDEX('Сводный годовой график'!$BA$4:$BL$14,$C6,MONTH($B$4)))=N$3,1,0)</f>
        <v>0</v>
      </c>
      <c r="CU7" s="58">
        <f>IF(DAY(INDEX('Сводный годовой график'!$BA$4:$BL$14,$C6,MONTH($B$4)))=O$3,1,0)</f>
        <v>0</v>
      </c>
      <c r="CV7" s="58">
        <f>IF(DAY(INDEX('Сводный годовой график'!$BA$4:$BL$14,$C6,MONTH($B$4)))=P$3,1,0)</f>
        <v>0</v>
      </c>
      <c r="CW7" s="58">
        <f>IF(DAY(INDEX('Сводный годовой график'!$BA$4:$BL$14,$C6,MONTH($B$4)))=Q$3,1,0)</f>
        <v>0</v>
      </c>
      <c r="CX7" s="58">
        <f>IF(DAY(INDEX('Сводный годовой график'!$BA$4:$BL$14,$C6,MONTH($B$4)))=R$3,1,0)</f>
        <v>0</v>
      </c>
      <c r="CY7" s="58">
        <f>IF(DAY(INDEX('Сводный годовой график'!$BA$4:$BL$14,$C6,MONTH($B$4)))=S$3,1,0)</f>
        <v>0</v>
      </c>
      <c r="CZ7" s="58">
        <f>IF(DAY(INDEX('Сводный годовой график'!$BA$4:$BL$14,$C6,MONTH($B$4)))=T$3,1,0)</f>
        <v>0</v>
      </c>
      <c r="DA7" s="58">
        <f>IF(DAY(INDEX('Сводный годовой график'!$BA$4:$BL$14,$C6,MONTH($B$4)))=U$3,1,0)</f>
        <v>0</v>
      </c>
      <c r="DB7" s="58">
        <f>IF(DAY(INDEX('Сводный годовой график'!$BA$4:$BL$14,$C6,MONTH($B$4)))=V$3,1,0)</f>
        <v>0</v>
      </c>
      <c r="DC7" s="58">
        <f>IF(DAY(INDEX('Сводный годовой график'!$BA$4:$BL$14,$C6,MONTH($B$4)))=W$3,1,0)</f>
        <v>0</v>
      </c>
      <c r="DD7" s="58">
        <f>IF(DAY(INDEX('Сводный годовой график'!$BA$4:$BL$14,$C6,MONTH($B$4)))=X$3,1,0)</f>
        <v>0</v>
      </c>
      <c r="DE7" s="58">
        <f>IF(DAY(INDEX('Сводный годовой график'!$BA$4:$BL$14,$C6,MONTH($B$4)))=Y$3,1,0)</f>
        <v>0</v>
      </c>
      <c r="DF7" s="58">
        <f>IF(DAY(INDEX('Сводный годовой график'!$BA$4:$BL$14,$C6,MONTH($B$4)))=Z$3,1,0)</f>
        <v>0</v>
      </c>
      <c r="DG7" s="58">
        <f>IF(DAY(INDEX('Сводный годовой график'!$BA$4:$BL$14,$C6,MONTH($B$4)))=AA$3,1,0)</f>
        <v>0</v>
      </c>
      <c r="DH7" s="58">
        <f>IF(DAY(INDEX('Сводный годовой график'!$BA$4:$BL$14,$C6,MONTH($B$4)))=AB$3,1,0)</f>
        <v>0</v>
      </c>
      <c r="DI7" s="58">
        <f>IF(DAY(INDEX('Сводный годовой график'!$BA$4:$BL$14,$C6,MONTH($B$4)))=AC$3,1,0)</f>
        <v>0</v>
      </c>
      <c r="DJ7" s="58">
        <f>IF(DAY(INDEX('Сводный годовой график'!$BA$4:$BL$14,$C6,MONTH($B$4)))=AD$3,1,0)</f>
        <v>0</v>
      </c>
      <c r="DK7" s="58">
        <f>IF(DAY(INDEX('Сводный годовой график'!$BA$4:$BL$14,$C6,MONTH($B$4)))=AE$3,1,0)</f>
        <v>0</v>
      </c>
      <c r="DL7" s="58">
        <f>IF(DAY(INDEX('Сводный годовой график'!$BA$4:$BL$14,$C6,MONTH($B$4)))=AF$3,1,0)</f>
        <v>0</v>
      </c>
      <c r="DM7" s="58">
        <f>IF(DAY(INDEX('Сводный годовой график'!$BA$4:$BL$14,$C6,MONTH($B$4)))=AG$3,1,0)</f>
        <v>0</v>
      </c>
      <c r="DN7" s="58">
        <f>IF(DAY(INDEX('Сводный годовой график'!$BA$4:$BL$14,$C6,MONTH($B$4)))=AH$3,1,0)</f>
        <v>0</v>
      </c>
      <c r="DO7" s="58">
        <f>IF(DAY(INDEX('Сводный годовой график'!$BA$4:$BL$14,$C6,MONTH($B$4)))=AI$3,1,0)</f>
        <v>0</v>
      </c>
    </row>
    <row r="8" spans="2:123" ht="16.5" thickBot="1" x14ac:dyDescent="0.3">
      <c r="B8" s="201"/>
      <c r="C8" s="196">
        <v>3</v>
      </c>
      <c r="D8" s="81">
        <v>5</v>
      </c>
      <c r="E8" s="96">
        <f ca="1">IF(AND(INDEX('Сводный годовой график'!$C$1:$AR$4,MATCH($C$8,'Сводный годовой график'!$B$1:$B$4),MATCH(DATE($AV$1,MONTH($B$4),E$3),'Сводный годовой график'!$C$5:$AR$5))&lt;&gt;12,INDIRECT(ADDRESS(ROW()+1,COLUMN()))="СП"),8,INDEX('Сводный годовой график'!$C$1:$AR$4,MATCH($C$8,'Сводный годовой график'!$B$1:$B$4),MATCH(DATE($AV$1,MONTH($B$4),E$3),'Сводный годовой график'!$C$5:$AR$5)))</f>
        <v>8</v>
      </c>
      <c r="F8" s="92">
        <f ca="1">IF(AND(INDEX('Сводный годовой график'!$C$1:$AR$4,MATCH($C$8,'Сводный годовой график'!$B$1:$B$4),MATCH(DATE($AV$1,MONTH($B$4),F$3),'Сводный годовой график'!$C$5:$AR$5))&lt;&gt;12,INDIRECT(ADDRESS(ROW()+1,COLUMN()))="СП"),8,INDEX('Сводный годовой график'!$C$1:$AR$4,MATCH($C$8,'Сводный годовой график'!$B$1:$B$4),MATCH(DATE($AV$1,MONTH($B$4),F$3),'Сводный годовой график'!$C$5:$AR$5)))</f>
        <v>12</v>
      </c>
      <c r="G8" s="92">
        <f ca="1">IF(AND(INDEX('Сводный годовой график'!$C$1:$AR$4,MATCH($C$8,'Сводный годовой график'!$B$1:$B$4),MATCH(DATE($AV$1,MONTH($B$4),G$3),'Сводный годовой график'!$C$5:$AR$5))&lt;&gt;12,INDIRECT(ADDRESS(ROW()+1,COLUMN()))="СП"),8,INDEX('Сводный годовой график'!$C$1:$AR$4,MATCH($C$8,'Сводный годовой график'!$B$1:$B$4),MATCH(DATE($AV$1,MONTH($B$4),G$3),'Сводный годовой график'!$C$5:$AR$5)))</f>
        <v>8</v>
      </c>
      <c r="H8" s="92">
        <f ca="1">IF(AND(INDEX('Сводный годовой график'!$C$1:$AR$4,MATCH($C$8,'Сводный годовой график'!$B$1:$B$4),MATCH(DATE($AV$1,MONTH($B$4),H$3),'Сводный годовой график'!$C$5:$AR$5))&lt;&gt;12,INDIRECT(ADDRESS(ROW()+1,COLUMN()))="СП"),8,INDEX('Сводный годовой график'!$C$1:$AR$4,MATCH($C$8,'Сводный годовой график'!$B$1:$B$4),MATCH(DATE($AV$1,MONTH($B$4),H$3),'Сводный годовой график'!$C$5:$AR$5)))</f>
        <v>0</v>
      </c>
      <c r="I8" s="92">
        <f ca="1">IF(AND(INDEX('Сводный годовой график'!$C$1:$AR$4,MATCH($C$8,'Сводный годовой график'!$B$1:$B$4),MATCH(DATE($AV$1,MONTH($B$4),I$3),'Сводный годовой график'!$C$5:$AR$5))&lt;&gt;12,INDIRECT(ADDRESS(ROW()+1,COLUMN()))="СП"),8,INDEX('Сводный годовой график'!$C$1:$AR$4,MATCH($C$8,'Сводный годовой график'!$B$1:$B$4),MATCH(DATE($AV$1,MONTH($B$4),I$3),'Сводный годовой график'!$C$5:$AR$5)))</f>
        <v>4</v>
      </c>
      <c r="J8" s="92">
        <f ca="1">IF(AND(INDEX('Сводный годовой график'!$C$1:$AR$4,MATCH($C$8,'Сводный годовой график'!$B$1:$B$4),MATCH(DATE($AV$1,MONTH($B$4),J$3),'Сводный годовой график'!$C$5:$AR$5))&lt;&gt;12,INDIRECT(ADDRESS(ROW()+1,COLUMN()))="СП"),8,INDEX('Сводный годовой график'!$C$1:$AR$4,MATCH($C$8,'Сводный годовой график'!$B$1:$B$4),MATCH(DATE($AV$1,MONTH($B$4),J$3),'Сводный годовой график'!$C$5:$AR$5)))</f>
        <v>8</v>
      </c>
      <c r="K8" s="92">
        <f ca="1">IF(AND(INDEX('Сводный годовой график'!$C$1:$AR$4,MATCH($C$8,'Сводный годовой график'!$B$1:$B$4),MATCH(DATE($AV$1,MONTH($B$4),K$3),'Сводный годовой график'!$C$5:$AR$5))&lt;&gt;12,INDIRECT(ADDRESS(ROW()+1,COLUMN()))="СП"),8,INDEX('Сводный годовой график'!$C$1:$AR$4,MATCH($C$8,'Сводный годовой график'!$B$1:$B$4),MATCH(DATE($AV$1,MONTH($B$4),K$3),'Сводный годовой график'!$C$5:$AR$5)))</f>
        <v>12</v>
      </c>
      <c r="L8" s="92">
        <f ca="1">IF(AND(INDEX('Сводный годовой график'!$C$1:$AR$4,MATCH($C$8,'Сводный годовой график'!$B$1:$B$4),MATCH(DATE($AV$1,MONTH($B$4),L$3),'Сводный годовой график'!$C$5:$AR$5))&lt;&gt;12,INDIRECT(ADDRESS(ROW()+1,COLUMN()))="СП"),8,INDEX('Сводный годовой график'!$C$1:$AR$4,MATCH($C$8,'Сводный годовой график'!$B$1:$B$4),MATCH(DATE($AV$1,MONTH($B$4),L$3),'Сводный годовой график'!$C$5:$AR$5)))</f>
        <v>4</v>
      </c>
      <c r="M8" s="92">
        <f ca="1">IF(AND(INDEX('Сводный годовой график'!$C$1:$AR$4,MATCH($C$8,'Сводный годовой график'!$B$1:$B$4),MATCH(DATE($AV$1,MONTH($B$4),M$3),'Сводный годовой график'!$C$5:$AR$5))&lt;&gt;12,INDIRECT(ADDRESS(ROW()+1,COLUMN()))="СП"),8,INDEX('Сводный годовой график'!$C$1:$AR$4,MATCH($C$8,'Сводный годовой график'!$B$1:$B$4),MATCH(DATE($AV$1,MONTH($B$4),M$3),'Сводный годовой график'!$C$5:$AR$5)))</f>
        <v>8</v>
      </c>
      <c r="N8" s="92">
        <f ca="1">IF(AND(INDEX('Сводный годовой график'!$C$1:$AR$4,MATCH($C$8,'Сводный годовой график'!$B$1:$B$4),MATCH(DATE($AV$1,MONTH($B$4),N$3),'Сводный годовой график'!$C$5:$AR$5))&lt;&gt;12,INDIRECT(ADDRESS(ROW()+1,COLUMN()))="СП"),8,INDEX('Сводный годовой график'!$C$1:$AR$4,MATCH($C$8,'Сводный годовой график'!$B$1:$B$4),MATCH(DATE($AV$1,MONTH($B$4),N$3),'Сводный годовой график'!$C$5:$AR$5)))</f>
        <v>12</v>
      </c>
      <c r="O8" s="92">
        <f ca="1">IF(AND(INDEX('Сводный годовой график'!$C$1:$AR$4,MATCH($C$8,'Сводный годовой график'!$B$1:$B$4),MATCH(DATE($AV$1,MONTH($B$4),O$3),'Сводный годовой график'!$C$5:$AR$5))&lt;&gt;12,INDIRECT(ADDRESS(ROW()+1,COLUMN()))="СП"),8,INDEX('Сводный годовой график'!$C$1:$AR$4,MATCH($C$8,'Сводный годовой график'!$B$1:$B$4),MATCH(DATE($AV$1,MONTH($B$4),O$3),'Сводный годовой график'!$C$5:$AR$5)))</f>
        <v>0</v>
      </c>
      <c r="P8" s="92">
        <f ca="1">IF(AND(INDEX('Сводный годовой график'!$C$1:$AR$4,MATCH($C$8,'Сводный годовой график'!$B$1:$B$4),MATCH(DATE($AV$1,MONTH($B$4),P$3),'Сводный годовой график'!$C$5:$AR$5))&lt;&gt;12,INDIRECT(ADDRESS(ROW()+1,COLUMN()))="СП"),8,INDEX('Сводный годовой график'!$C$1:$AR$4,MATCH($C$8,'Сводный годовой график'!$B$1:$B$4),MATCH(DATE($AV$1,MONTH($B$4),P$3),'Сводный годовой график'!$C$5:$AR$5)))</f>
        <v>0</v>
      </c>
      <c r="Q8" s="92">
        <f ca="1">IF(AND(INDEX('Сводный годовой график'!$C$1:$AR$4,MATCH($C$8,'Сводный годовой график'!$B$1:$B$4),MATCH(DATE($AV$1,MONTH($B$4),Q$3),'Сводный годовой график'!$C$5:$AR$5))&lt;&gt;12,INDIRECT(ADDRESS(ROW()+1,COLUMN()))="СП"),8,INDEX('Сводный годовой график'!$C$1:$AR$4,MATCH($C$8,'Сводный годовой график'!$B$1:$B$4),MATCH(DATE($AV$1,MONTH($B$4),Q$3),'Сводный годовой график'!$C$5:$AR$5)))</f>
        <v>4</v>
      </c>
      <c r="R8" s="92">
        <f ca="1">IF(AND(INDEX('Сводный годовой график'!$C$1:$AR$4,MATCH($C$8,'Сводный годовой график'!$B$1:$B$4),MATCH(DATE($AV$1,MONTH($B$4),R$3),'Сводный годовой график'!$C$5:$AR$5))&lt;&gt;12,INDIRECT(ADDRESS(ROW()+1,COLUMN()))="СП"),8,INDEX('Сводный годовой график'!$C$1:$AR$4,MATCH($C$8,'Сводный годовой график'!$B$1:$B$4),MATCH(DATE($AV$1,MONTH($B$4),R$3),'Сводный годовой график'!$C$5:$AR$5)))</f>
        <v>8</v>
      </c>
      <c r="S8" s="92">
        <f ca="1">IF(AND(INDEX('Сводный годовой график'!$C$1:$AR$4,MATCH($C$8,'Сводный годовой график'!$B$1:$B$4),MATCH(DATE($AV$1,MONTH($B$4),S$3),'Сводный годовой график'!$C$5:$AR$5))&lt;&gt;12,INDIRECT(ADDRESS(ROW()+1,COLUMN()))="СП"),8,INDEX('Сводный годовой график'!$C$1:$AR$4,MATCH($C$8,'Сводный годовой график'!$B$1:$B$4),MATCH(DATE($AV$1,MONTH($B$4),S$3),'Сводный годовой график'!$C$5:$AR$5)))</f>
        <v>12</v>
      </c>
      <c r="T8" s="92">
        <f ca="1">IF(AND(INDEX('Сводный годовой график'!$C$1:$AR$4,MATCH($C$8,'Сводный годовой график'!$B$1:$B$4),MATCH(DATE($AV$1,MONTH($B$4),T$3),'Сводный годовой график'!$C$5:$AR$5))&lt;&gt;12,INDIRECT(ADDRESS(ROW()+1,COLUMN()))="СП"),8,INDEX('Сводный годовой график'!$C$1:$AR$4,MATCH($C$8,'Сводный годовой график'!$B$1:$B$4),MATCH(DATE($AV$1,MONTH($B$4),T$3),'Сводный годовой график'!$C$5:$AR$5)))</f>
        <v>4</v>
      </c>
      <c r="U8" s="92">
        <f ca="1">IF(AND(INDEX('Сводный годовой график'!$C$1:$AR$4,MATCH($C$8,'Сводный годовой график'!$B$1:$B$4),MATCH(DATE($AV$1,MONTH($B$4),U$3),'Сводный годовой график'!$C$5:$AR$5))&lt;&gt;12,INDIRECT(ADDRESS(ROW()+1,COLUMN()))="СП"),8,INDEX('Сводный годовой график'!$C$1:$AR$4,MATCH($C$8,'Сводный годовой график'!$B$1:$B$4),MATCH(DATE($AV$1,MONTH($B$4),U$3),'Сводный годовой график'!$C$5:$AR$5)))</f>
        <v>8</v>
      </c>
      <c r="V8" s="92">
        <f ca="1">IF(AND(INDEX('Сводный годовой график'!$C$1:$AR$4,MATCH($C$8,'Сводный годовой график'!$B$1:$B$4),MATCH(DATE($AV$1,MONTH($B$4),V$3),'Сводный годовой график'!$C$5:$AR$5))&lt;&gt;12,INDIRECT(ADDRESS(ROW()+1,COLUMN()))="СП"),8,INDEX('Сводный годовой график'!$C$1:$AR$4,MATCH($C$8,'Сводный годовой график'!$B$1:$B$4),MATCH(DATE($AV$1,MONTH($B$4),V$3),'Сводный годовой график'!$C$5:$AR$5)))</f>
        <v>12</v>
      </c>
      <c r="W8" s="92">
        <f ca="1">IF(AND(INDEX('Сводный годовой график'!$C$1:$AR$4,MATCH($C$8,'Сводный годовой график'!$B$1:$B$4),MATCH(DATE($AV$1,MONTH($B$4),W$3),'Сводный годовой график'!$C$5:$AR$5))&lt;&gt;12,INDIRECT(ADDRESS(ROW()+1,COLUMN()))="СП"),8,INDEX('Сводный годовой график'!$C$1:$AR$4,MATCH($C$8,'Сводный годовой график'!$B$1:$B$4),MATCH(DATE($AV$1,MONTH($B$4),W$3),'Сводный годовой график'!$C$5:$AR$5)))</f>
        <v>0</v>
      </c>
      <c r="X8" s="92">
        <f ca="1">IF(AND(INDEX('Сводный годовой график'!$C$1:$AR$4,MATCH($C$8,'Сводный годовой график'!$B$1:$B$4),MATCH(DATE($AV$1,MONTH($B$4),X$3),'Сводный годовой график'!$C$5:$AR$5))&lt;&gt;12,INDIRECT(ADDRESS(ROW()+1,COLUMN()))="СП"),8,INDEX('Сводный годовой график'!$C$1:$AR$4,MATCH($C$8,'Сводный годовой график'!$B$1:$B$4),MATCH(DATE($AV$1,MONTH($B$4),X$3),'Сводный годовой график'!$C$5:$AR$5)))</f>
        <v>0</v>
      </c>
      <c r="Y8" s="92">
        <f ca="1">IF(AND(INDEX('Сводный годовой график'!$C$1:$AR$4,MATCH($C$8,'Сводный годовой график'!$B$1:$B$4),MATCH(DATE($AV$1,MONTH($B$4),Y$3),'Сводный годовой график'!$C$5:$AR$5))&lt;&gt;12,INDIRECT(ADDRESS(ROW()+1,COLUMN()))="СП"),8,INDEX('Сводный годовой график'!$C$1:$AR$4,MATCH($C$8,'Сводный годовой график'!$B$1:$B$4),MATCH(DATE($AV$1,MONTH($B$4),Y$3),'Сводный годовой график'!$C$5:$AR$5)))</f>
        <v>4</v>
      </c>
      <c r="Z8" s="92">
        <f ca="1">IF(AND(INDEX('Сводный годовой график'!$C$1:$AR$4,MATCH($C$8,'Сводный годовой график'!$B$1:$B$4),MATCH(DATE($AV$1,MONTH($B$4),Z$3),'Сводный годовой график'!$C$5:$AR$5))&lt;&gt;12,INDIRECT(ADDRESS(ROW()+1,COLUMN()))="СП"),8,INDEX('Сводный годовой график'!$C$1:$AR$4,MATCH($C$8,'Сводный годовой график'!$B$1:$B$4),MATCH(DATE($AV$1,MONTH($B$4),Z$3),'Сводный годовой график'!$C$5:$AR$5)))</f>
        <v>8</v>
      </c>
      <c r="AA8" s="92">
        <f ca="1">IF(AND(INDEX('Сводный годовой график'!$C$1:$AR$4,MATCH($C$8,'Сводный годовой график'!$B$1:$B$4),MATCH(DATE($AV$1,MONTH($B$4),AA$3),'Сводный годовой график'!$C$5:$AR$5))&lt;&gt;12,INDIRECT(ADDRESS(ROW()+1,COLUMN()))="СП"),8,INDEX('Сводный годовой график'!$C$1:$AR$4,MATCH($C$8,'Сводный годовой график'!$B$1:$B$4),MATCH(DATE($AV$1,MONTH($B$4),AA$3),'Сводный годовой график'!$C$5:$AR$5)))</f>
        <v>12</v>
      </c>
      <c r="AB8" s="92">
        <f ca="1">IF(AND(INDEX('Сводный годовой график'!$C$1:$AR$4,MATCH($C$8,'Сводный годовой график'!$B$1:$B$4),MATCH(DATE($AV$1,MONTH($B$4),AB$3),'Сводный годовой график'!$C$5:$AR$5))&lt;&gt;12,INDIRECT(ADDRESS(ROW()+1,COLUMN()))="СП"),8,INDEX('Сводный годовой график'!$C$1:$AR$4,MATCH($C$8,'Сводный годовой график'!$B$1:$B$4),MATCH(DATE($AV$1,MONTH($B$4),AB$3),'Сводный годовой график'!$C$5:$AR$5)))</f>
        <v>4</v>
      </c>
      <c r="AC8" s="92">
        <f ca="1">IF(AND(INDEX('Сводный годовой график'!$C$1:$AR$4,MATCH($C$8,'Сводный годовой график'!$B$1:$B$4),MATCH(DATE($AV$1,MONTH($B$4),AC$3),'Сводный годовой график'!$C$5:$AR$5))&lt;&gt;12,INDIRECT(ADDRESS(ROW()+1,COLUMN()))="СП"),8,INDEX('Сводный годовой график'!$C$1:$AR$4,MATCH($C$8,'Сводный годовой график'!$B$1:$B$4),MATCH(DATE($AV$1,MONTH($B$4),AC$3),'Сводный годовой график'!$C$5:$AR$5)))</f>
        <v>8</v>
      </c>
      <c r="AD8" s="92">
        <f ca="1">IF(AND(INDEX('Сводный годовой график'!$C$1:$AR$4,MATCH($C$8,'Сводный годовой график'!$B$1:$B$4),MATCH(DATE($AV$1,MONTH($B$4),AD$3),'Сводный годовой график'!$C$5:$AR$5))&lt;&gt;12,INDIRECT(ADDRESS(ROW()+1,COLUMN()))="СП"),8,INDEX('Сводный годовой график'!$C$1:$AR$4,MATCH($C$8,'Сводный годовой график'!$B$1:$B$4),MATCH(DATE($AV$1,MONTH($B$4),AD$3),'Сводный годовой график'!$C$5:$AR$5)))</f>
        <v>12</v>
      </c>
      <c r="AE8" s="92">
        <f ca="1">IF(AND(INDEX('Сводный годовой график'!$C$1:$AR$4,MATCH($C$8,'Сводный годовой график'!$B$1:$B$4),MATCH(DATE($AV$1,MONTH($B$4),AE$3),'Сводный годовой график'!$C$5:$AR$5))&lt;&gt;12,INDIRECT(ADDRESS(ROW()+1,COLUMN()))="СП"),8,INDEX('Сводный годовой график'!$C$1:$AR$4,MATCH($C$8,'Сводный годовой график'!$B$1:$B$4),MATCH(DATE($AV$1,MONTH($B$4),AE$3),'Сводный годовой график'!$C$5:$AR$5)))</f>
        <v>0</v>
      </c>
      <c r="AF8" s="92">
        <f ca="1">IF(AND(INDEX('Сводный годовой график'!$C$1:$AR$4,MATCH($C$8,'Сводный годовой график'!$B$1:$B$4),MATCH(DATE($AV$1,MONTH($B$4),AF$3),'Сводный годовой график'!$C$5:$AR$5))&lt;&gt;12,INDIRECT(ADDRESS(ROW()+1,COLUMN()))="СП"),8,INDEX('Сводный годовой график'!$C$1:$AR$4,MATCH($C$8,'Сводный годовой график'!$B$1:$B$4),MATCH(DATE($AV$1,MONTH($B$4),AF$3),'Сводный годовой график'!$C$5:$AR$5)))</f>
        <v>0</v>
      </c>
      <c r="AG8" s="92">
        <f ca="1">IF(AND(INDEX('Сводный годовой график'!$C$1:$AR$4,MATCH($C$8,'Сводный годовой график'!$B$1:$B$4),MATCH(DATE($AV$1,MONTH($B$4),AG$3),'Сводный годовой график'!$C$5:$AR$5))&lt;&gt;12,INDIRECT(ADDRESS(ROW()+1,COLUMN()))="СП"),8,INDEX('Сводный годовой график'!$C$1:$AR$4,MATCH($C$8,'Сводный годовой график'!$B$1:$B$4),MATCH(DATE($AV$1,MONTH($B$4),AG$3),'Сводный годовой график'!$C$5:$AR$5)))</f>
        <v>4</v>
      </c>
      <c r="AH8" s="92">
        <f ca="1">IF(AND(INDEX('Сводный годовой график'!$C$1:$AR$4,MATCH($C$8,'Сводный годовой график'!$B$1:$B$4),MATCH(DATE($AV$1,MONTH($B$4),AH$3),'Сводный годовой график'!$C$5:$AR$5))&lt;&gt;12,INDIRECT(ADDRESS(ROW()+1,COLUMN()))="СП"),8,INDEX('Сводный годовой график'!$C$1:$AR$4,MATCH($C$8,'Сводный годовой график'!$B$1:$B$4),MATCH(DATE($AV$1,MONTH($B$4),AH$3),'Сводный годовой график'!$C$5:$AR$5)))</f>
        <v>8</v>
      </c>
      <c r="AI8" s="97">
        <f ca="1">IF(AND(INDEX('Сводный годовой график'!$C$1:$AR$4,MATCH($C$8,'Сводный годовой график'!$B$1:$B$4),MATCH(DATE($AV$1,MONTH($B$4),AI$3),'Сводный годовой график'!$C$5:$AR$5))&lt;&gt;12,INDIRECT(ADDRESS(ROW()+1,COLUMN()))="СП"),8,INDEX('Сводный годовой график'!$C$1:$AR$4,MATCH($C$8,'Сводный годовой график'!$B$1:$B$4),MATCH(DATE($AV$1,MONTH($B$4),AI$3),'Сводный годовой график'!$C$5:$AR$5)))</f>
        <v>12</v>
      </c>
      <c r="AJ8" s="206"/>
      <c r="AK8" s="223">
        <f>$AJ$4-SUM(AY8:CC9)</f>
        <v>136</v>
      </c>
      <c r="AL8" s="209">
        <f t="shared" ref="AL8" ca="1" si="7">SUM(E8:AI9)</f>
        <v>196</v>
      </c>
      <c r="AM8" s="209">
        <f ca="1">SUM(E8:L8)</f>
        <v>56</v>
      </c>
      <c r="AN8" s="211">
        <f t="shared" ref="AN8" ca="1" si="8">-AM8-AK8+AL8</f>
        <v>4</v>
      </c>
      <c r="AO8" s="211">
        <v>0</v>
      </c>
      <c r="AP8" s="211">
        <f t="shared" ref="AP8" ca="1" si="9">AN8-AO8</f>
        <v>4</v>
      </c>
      <c r="AQ8" s="209">
        <v>0</v>
      </c>
      <c r="AR8" s="210">
        <v>1</v>
      </c>
      <c r="CK8" s="59"/>
      <c r="CL8" s="59"/>
      <c r="CM8" s="59"/>
      <c r="CN8" s="59"/>
      <c r="CO8" s="59"/>
      <c r="CP8" s="59"/>
      <c r="CQ8" s="59"/>
      <c r="CR8" s="59"/>
      <c r="CS8" s="59"/>
      <c r="CT8" s="59"/>
      <c r="CU8" s="59"/>
      <c r="CV8" s="59"/>
      <c r="CW8" s="59"/>
      <c r="CX8" s="59"/>
      <c r="CY8" s="59"/>
      <c r="CZ8" s="59"/>
      <c r="DA8" s="59"/>
      <c r="DB8" s="59"/>
      <c r="DC8" s="59"/>
      <c r="DD8" s="59"/>
      <c r="DE8" s="59"/>
      <c r="DF8" s="59"/>
      <c r="DG8" s="59"/>
      <c r="DH8" s="59"/>
      <c r="DI8" s="59"/>
      <c r="DJ8" s="59"/>
      <c r="DK8" s="59"/>
      <c r="DL8" s="59"/>
      <c r="DM8" s="59"/>
      <c r="DN8" s="59"/>
      <c r="DO8" s="59"/>
    </row>
    <row r="9" spans="2:123" ht="16.5" thickBot="1" x14ac:dyDescent="0.3">
      <c r="B9" s="201"/>
      <c r="C9" s="197"/>
      <c r="D9" s="82">
        <v>6</v>
      </c>
      <c r="E9" s="96" t="str">
        <f t="shared" ref="E9:AI9" si="10">IF(INDEX($CK$4:$DO$123,ROW()-3,E$3)=0,"","СП")</f>
        <v/>
      </c>
      <c r="F9" s="92" t="str">
        <f t="shared" si="10"/>
        <v/>
      </c>
      <c r="G9" s="92" t="str">
        <f t="shared" si="10"/>
        <v>СП</v>
      </c>
      <c r="H9" s="92" t="str">
        <f t="shared" si="10"/>
        <v/>
      </c>
      <c r="I9" s="92" t="str">
        <f t="shared" si="10"/>
        <v/>
      </c>
      <c r="J9" s="92" t="str">
        <f t="shared" si="10"/>
        <v/>
      </c>
      <c r="K9" s="92" t="str">
        <f t="shared" si="10"/>
        <v/>
      </c>
      <c r="L9" s="92" t="str">
        <f t="shared" si="10"/>
        <v/>
      </c>
      <c r="M9" s="92" t="str">
        <f t="shared" si="10"/>
        <v/>
      </c>
      <c r="N9" s="92" t="str">
        <f t="shared" si="10"/>
        <v/>
      </c>
      <c r="O9" s="92" t="str">
        <f t="shared" si="10"/>
        <v/>
      </c>
      <c r="P9" s="92" t="str">
        <f t="shared" si="10"/>
        <v/>
      </c>
      <c r="Q9" s="92" t="str">
        <f t="shared" si="10"/>
        <v/>
      </c>
      <c r="R9" s="92" t="str">
        <f t="shared" si="10"/>
        <v/>
      </c>
      <c r="S9" s="92" t="str">
        <f t="shared" si="10"/>
        <v/>
      </c>
      <c r="T9" s="92" t="str">
        <f t="shared" si="10"/>
        <v/>
      </c>
      <c r="U9" s="92" t="str">
        <f t="shared" si="10"/>
        <v/>
      </c>
      <c r="V9" s="92" t="str">
        <f t="shared" si="10"/>
        <v/>
      </c>
      <c r="W9" s="92" t="str">
        <f t="shared" si="10"/>
        <v/>
      </c>
      <c r="X9" s="92" t="str">
        <f t="shared" si="10"/>
        <v/>
      </c>
      <c r="Y9" s="92" t="str">
        <f t="shared" si="10"/>
        <v/>
      </c>
      <c r="Z9" s="92" t="str">
        <f t="shared" si="10"/>
        <v/>
      </c>
      <c r="AA9" s="92" t="str">
        <f t="shared" si="10"/>
        <v/>
      </c>
      <c r="AB9" s="92" t="str">
        <f t="shared" si="10"/>
        <v/>
      </c>
      <c r="AC9" s="92" t="str">
        <f t="shared" si="10"/>
        <v/>
      </c>
      <c r="AD9" s="92" t="str">
        <f t="shared" si="10"/>
        <v/>
      </c>
      <c r="AE9" s="92" t="str">
        <f t="shared" si="10"/>
        <v/>
      </c>
      <c r="AF9" s="92" t="str">
        <f t="shared" si="10"/>
        <v/>
      </c>
      <c r="AG9" s="92" t="str">
        <f t="shared" si="10"/>
        <v/>
      </c>
      <c r="AH9" s="92" t="str">
        <f t="shared" si="10"/>
        <v/>
      </c>
      <c r="AI9" s="97" t="str">
        <f t="shared" si="10"/>
        <v/>
      </c>
      <c r="AJ9" s="206"/>
      <c r="AK9" s="220"/>
      <c r="AL9" s="209"/>
      <c r="AM9" s="209"/>
      <c r="AN9" s="211"/>
      <c r="AO9" s="211"/>
      <c r="AP9" s="211"/>
      <c r="AQ9" s="209"/>
      <c r="AR9" s="210"/>
      <c r="CK9" s="58">
        <f>IF(DAY(INDEX('Сводный годовой график'!$BA$4:$BL$14,$C8,MONTH($B$4)))=E$3,1,0)</f>
        <v>0</v>
      </c>
      <c r="CL9" s="58">
        <f>IF(DAY(INDEX('Сводный годовой график'!$BA$4:$BL$14,$C8,MONTH($B$4)))=F$3,1,0)</f>
        <v>0</v>
      </c>
      <c r="CM9" s="58">
        <f>IF(DAY(INDEX('Сводный годовой график'!$BA$4:$BL$14,$C8,MONTH($B$4)))=G$3,1,0)</f>
        <v>1</v>
      </c>
      <c r="CN9" s="58">
        <f>IF(DAY(INDEX('Сводный годовой график'!$BA$4:$BL$14,$C8,MONTH($B$4)))=H$3,1,0)</f>
        <v>0</v>
      </c>
      <c r="CO9" s="58">
        <f>IF(DAY(INDEX('Сводный годовой график'!$BA$4:$BL$14,$C8,MONTH($B$4)))=I$3,1,0)</f>
        <v>0</v>
      </c>
      <c r="CP9" s="58">
        <f>IF(DAY(INDEX('Сводный годовой график'!$BA$4:$BL$14,$C8,MONTH($B$4)))=J$3,1,0)</f>
        <v>0</v>
      </c>
      <c r="CQ9" s="58">
        <f>IF(DAY(INDEX('Сводный годовой график'!$BA$4:$BL$14,$C8,MONTH($B$4)))=K$3,1,0)</f>
        <v>0</v>
      </c>
      <c r="CR9" s="58">
        <f>IF(DAY(INDEX('Сводный годовой график'!$BA$4:$BL$14,$C8,MONTH($B$4)))=L$3,1,0)</f>
        <v>0</v>
      </c>
      <c r="CS9" s="58">
        <f>IF(DAY(INDEX('Сводный годовой график'!$BA$4:$BL$14,$C8,MONTH($B$4)))=M$3,1,0)</f>
        <v>0</v>
      </c>
      <c r="CT9" s="58">
        <f>IF(DAY(INDEX('Сводный годовой график'!$BA$4:$BL$14,$C8,MONTH($B$4)))=N$3,1,0)</f>
        <v>0</v>
      </c>
      <c r="CU9" s="58">
        <f>IF(DAY(INDEX('Сводный годовой график'!$BA$4:$BL$14,$C8,MONTH($B$4)))=O$3,1,0)</f>
        <v>0</v>
      </c>
      <c r="CV9" s="58">
        <f>IF(DAY(INDEX('Сводный годовой график'!$BA$4:$BL$14,$C8,MONTH($B$4)))=P$3,1,0)</f>
        <v>0</v>
      </c>
      <c r="CW9" s="58">
        <f>IF(DAY(INDEX('Сводный годовой график'!$BA$4:$BL$14,$C8,MONTH($B$4)))=Q$3,1,0)</f>
        <v>0</v>
      </c>
      <c r="CX9" s="58">
        <f>IF(DAY(INDEX('Сводный годовой график'!$BA$4:$BL$14,$C8,MONTH($B$4)))=R$3,1,0)</f>
        <v>0</v>
      </c>
      <c r="CY9" s="58">
        <f>IF(DAY(INDEX('Сводный годовой график'!$BA$4:$BL$14,$C8,MONTH($B$4)))=S$3,1,0)</f>
        <v>0</v>
      </c>
      <c r="CZ9" s="58">
        <f>IF(DAY(INDEX('Сводный годовой график'!$BA$4:$BL$14,$C8,MONTH($B$4)))=T$3,1,0)</f>
        <v>0</v>
      </c>
      <c r="DA9" s="58">
        <f>IF(DAY(INDEX('Сводный годовой график'!$BA$4:$BL$14,$C8,MONTH($B$4)))=U$3,1,0)</f>
        <v>0</v>
      </c>
      <c r="DB9" s="58">
        <f>IF(DAY(INDEX('Сводный годовой график'!$BA$4:$BL$14,$C8,MONTH($B$4)))=V$3,1,0)</f>
        <v>0</v>
      </c>
      <c r="DC9" s="58">
        <f>IF(DAY(INDEX('Сводный годовой график'!$BA$4:$BL$14,$C8,MONTH($B$4)))=W$3,1,0)</f>
        <v>0</v>
      </c>
      <c r="DD9" s="58">
        <f>IF(DAY(INDEX('Сводный годовой график'!$BA$4:$BL$14,$C8,MONTH($B$4)))=X$3,1,0)</f>
        <v>0</v>
      </c>
      <c r="DE9" s="58">
        <f>IF(DAY(INDEX('Сводный годовой график'!$BA$4:$BL$14,$C8,MONTH($B$4)))=Y$3,1,0)</f>
        <v>0</v>
      </c>
      <c r="DF9" s="58">
        <f>IF(DAY(INDEX('Сводный годовой график'!$BA$4:$BL$14,$C8,MONTH($B$4)))=Z$3,1,0)</f>
        <v>0</v>
      </c>
      <c r="DG9" s="58">
        <f>IF(DAY(INDEX('Сводный годовой график'!$BA$4:$BL$14,$C8,MONTH($B$4)))=AA$3,1,0)</f>
        <v>0</v>
      </c>
      <c r="DH9" s="58">
        <f>IF(DAY(INDEX('Сводный годовой график'!$BA$4:$BL$14,$C8,MONTH($B$4)))=AB$3,1,0)</f>
        <v>0</v>
      </c>
      <c r="DI9" s="58">
        <f>IF(DAY(INDEX('Сводный годовой график'!$BA$4:$BL$14,$C8,MONTH($B$4)))=AC$3,1,0)</f>
        <v>0</v>
      </c>
      <c r="DJ9" s="58">
        <f>IF(DAY(INDEX('Сводный годовой график'!$BA$4:$BL$14,$C8,MONTH($B$4)))=AD$3,1,0)</f>
        <v>0</v>
      </c>
      <c r="DK9" s="58">
        <f>IF(DAY(INDEX('Сводный годовой график'!$BA$4:$BL$14,$C8,MONTH($B$4)))=AE$3,1,0)</f>
        <v>0</v>
      </c>
      <c r="DL9" s="58">
        <f>IF(DAY(INDEX('Сводный годовой график'!$BA$4:$BL$14,$C8,MONTH($B$4)))=AF$3,1,0)</f>
        <v>0</v>
      </c>
      <c r="DM9" s="58">
        <f>IF(DAY(INDEX('Сводный годовой график'!$BA$4:$BL$14,$C8,MONTH($B$4)))=AG$3,1,0)</f>
        <v>0</v>
      </c>
      <c r="DN9" s="58">
        <f>IF(DAY(INDEX('Сводный годовой график'!$BA$4:$BL$14,$C8,MONTH($B$4)))=AH$3,1,0)</f>
        <v>0</v>
      </c>
      <c r="DO9" s="58">
        <f>IF(DAY(INDEX('Сводный годовой график'!$BA$4:$BL$14,$C8,MONTH($B$4)))=AI$3,1,0)</f>
        <v>0</v>
      </c>
      <c r="DS9" s="78"/>
    </row>
    <row r="10" spans="2:123" ht="16.5" thickBot="1" x14ac:dyDescent="0.3">
      <c r="B10" s="201"/>
      <c r="C10" s="196">
        <v>4</v>
      </c>
      <c r="D10" s="81">
        <v>7</v>
      </c>
      <c r="E10" s="96">
        <f ca="1">IF(AND(INDEX('Сводный годовой график'!$C$1:$AR$4,MATCH($C$10,'Сводный годовой график'!$B$1:$B$4),MATCH(DATE($AV$1,MONTH($B$4),E$3),'Сводный годовой график'!$C$5:$AR$5))&lt;&gt;12,INDIRECT(ADDRESS(ROW()+1,COLUMN()))="СП"),8,INDEX('Сводный годовой график'!$C$1:$AR$4,MATCH($C$10,'Сводный годовой график'!$B$1:$B$4),MATCH(DATE($AV$1,MONTH($B$4),E$3),'Сводный годовой график'!$C$5:$AR$5)))</f>
        <v>12</v>
      </c>
      <c r="F10" s="92">
        <f ca="1">IF(AND(INDEX('Сводный годовой график'!$C$1:$AR$4,MATCH($C$10,'Сводный годовой график'!$B$1:$B$4),MATCH(DATE($AV$1,MONTH($B$4),F$3),'Сводный годовой график'!$C$5:$AR$5))&lt;&gt;12,INDIRECT(ADDRESS(ROW()+1,COLUMN()))="СП"),8,INDEX('Сводный годовой график'!$C$1:$AR$4,MATCH($C$10,'Сводный годовой график'!$B$1:$B$4),MATCH(DATE($AV$1,MONTH($B$4),F$3),'Сводный годовой график'!$C$5:$AR$5)))</f>
        <v>4</v>
      </c>
      <c r="G10" s="92">
        <f ca="1">IF(AND(INDEX('Сводный годовой график'!$C$1:$AR$4,MATCH($C$10,'Сводный годовой график'!$B$1:$B$4),MATCH(DATE($AV$1,MONTH($B$4),G$3),'Сводный годовой график'!$C$5:$AR$5))&lt;&gt;12,INDIRECT(ADDRESS(ROW()+1,COLUMN()))="СП"),8,INDEX('Сводный годовой график'!$C$1:$AR$4,MATCH($C$10,'Сводный годовой график'!$B$1:$B$4),MATCH(DATE($AV$1,MONTH($B$4),G$3),'Сводный годовой график'!$C$5:$AR$5)))</f>
        <v>8</v>
      </c>
      <c r="H10" s="92">
        <f ca="1">IF(AND(INDEX('Сводный годовой график'!$C$1:$AR$4,MATCH($C$10,'Сводный годовой график'!$B$1:$B$4),MATCH(DATE($AV$1,MONTH($B$4),H$3),'Сводный годовой график'!$C$5:$AR$5))&lt;&gt;12,INDIRECT(ADDRESS(ROW()+1,COLUMN()))="СП"),8,INDEX('Сводный годовой график'!$C$1:$AR$4,MATCH($C$10,'Сводный годовой график'!$B$1:$B$4),MATCH(DATE($AV$1,MONTH($B$4),H$3),'Сводный годовой график'!$C$5:$AR$5)))</f>
        <v>12</v>
      </c>
      <c r="I10" s="92">
        <f ca="1">IF(AND(INDEX('Сводный годовой график'!$C$1:$AR$4,MATCH($C$10,'Сводный годовой график'!$B$1:$B$4),MATCH(DATE($AV$1,MONTH($B$4),I$3),'Сводный годовой график'!$C$5:$AR$5))&lt;&gt;12,INDIRECT(ADDRESS(ROW()+1,COLUMN()))="СП"),8,INDEX('Сводный годовой график'!$C$1:$AR$4,MATCH($C$10,'Сводный годовой график'!$B$1:$B$4),MATCH(DATE($AV$1,MONTH($B$4),I$3),'Сводный годовой график'!$C$5:$AR$5)))</f>
        <v>0</v>
      </c>
      <c r="J10" s="92">
        <f ca="1">IF(AND(INDEX('Сводный годовой график'!$C$1:$AR$4,MATCH($C$10,'Сводный годовой график'!$B$1:$B$4),MATCH(DATE($AV$1,MONTH($B$4),J$3),'Сводный годовой график'!$C$5:$AR$5))&lt;&gt;12,INDIRECT(ADDRESS(ROW()+1,COLUMN()))="СП"),8,INDEX('Сводный годовой график'!$C$1:$AR$4,MATCH($C$10,'Сводный годовой график'!$B$1:$B$4),MATCH(DATE($AV$1,MONTH($B$4),J$3),'Сводный годовой график'!$C$5:$AR$5)))</f>
        <v>0</v>
      </c>
      <c r="K10" s="92">
        <f ca="1">IF(AND(INDEX('Сводный годовой график'!$C$1:$AR$4,MATCH($C$10,'Сводный годовой график'!$B$1:$B$4),MATCH(DATE($AV$1,MONTH($B$4),K$3),'Сводный годовой график'!$C$5:$AR$5))&lt;&gt;12,INDIRECT(ADDRESS(ROW()+1,COLUMN()))="СП"),8,INDEX('Сводный годовой график'!$C$1:$AR$4,MATCH($C$10,'Сводный годовой график'!$B$1:$B$4),MATCH(DATE($AV$1,MONTH($B$4),K$3),'Сводный годовой график'!$C$5:$AR$5)))</f>
        <v>4</v>
      </c>
      <c r="L10" s="92">
        <f ca="1">IF(AND(INDEX('Сводный годовой график'!$C$1:$AR$4,MATCH($C$10,'Сводный годовой график'!$B$1:$B$4),MATCH(DATE($AV$1,MONTH($B$4),L$3),'Сводный годовой график'!$C$5:$AR$5))&lt;&gt;12,INDIRECT(ADDRESS(ROW()+1,COLUMN()))="СП"),8,INDEX('Сводный годовой график'!$C$1:$AR$4,MATCH($C$10,'Сводный годовой график'!$B$1:$B$4),MATCH(DATE($AV$1,MONTH($B$4),L$3),'Сводный годовой график'!$C$5:$AR$5)))</f>
        <v>8</v>
      </c>
      <c r="M10" s="92">
        <f ca="1">IF(AND(INDEX('Сводный годовой график'!$C$1:$AR$4,MATCH($C$10,'Сводный годовой график'!$B$1:$B$4),MATCH(DATE($AV$1,MONTH($B$4),M$3),'Сводный годовой график'!$C$5:$AR$5))&lt;&gt;12,INDIRECT(ADDRESS(ROW()+1,COLUMN()))="СП"),8,INDEX('Сводный годовой график'!$C$1:$AR$4,MATCH($C$10,'Сводный годовой график'!$B$1:$B$4),MATCH(DATE($AV$1,MONTH($B$4),M$3),'Сводный годовой график'!$C$5:$AR$5)))</f>
        <v>12</v>
      </c>
      <c r="N10" s="92">
        <f ca="1">IF(AND(INDEX('Сводный годовой график'!$C$1:$AR$4,MATCH($C$10,'Сводный годовой график'!$B$1:$B$4),MATCH(DATE($AV$1,MONTH($B$4),N$3),'Сводный годовой график'!$C$5:$AR$5))&lt;&gt;12,INDIRECT(ADDRESS(ROW()+1,COLUMN()))="СП"),8,INDEX('Сводный годовой график'!$C$1:$AR$4,MATCH($C$10,'Сводный годовой график'!$B$1:$B$4),MATCH(DATE($AV$1,MONTH($B$4),N$3),'Сводный годовой график'!$C$5:$AR$5)))</f>
        <v>4</v>
      </c>
      <c r="O10" s="92">
        <f ca="1">IF(AND(INDEX('Сводный годовой график'!$C$1:$AR$4,MATCH($C$10,'Сводный годовой график'!$B$1:$B$4),MATCH(DATE($AV$1,MONTH($B$4),O$3),'Сводный годовой график'!$C$5:$AR$5))&lt;&gt;12,INDIRECT(ADDRESS(ROW()+1,COLUMN()))="СП"),8,INDEX('Сводный годовой график'!$C$1:$AR$4,MATCH($C$10,'Сводный годовой график'!$B$1:$B$4),MATCH(DATE($AV$1,MONTH($B$4),O$3),'Сводный годовой график'!$C$5:$AR$5)))</f>
        <v>8</v>
      </c>
      <c r="P10" s="92">
        <f ca="1">IF(AND(INDEX('Сводный годовой график'!$C$1:$AR$4,MATCH($C$10,'Сводный годовой график'!$B$1:$B$4),MATCH(DATE($AV$1,MONTH($B$4),P$3),'Сводный годовой график'!$C$5:$AR$5))&lt;&gt;12,INDIRECT(ADDRESS(ROW()+1,COLUMN()))="СП"),8,INDEX('Сводный годовой график'!$C$1:$AR$4,MATCH($C$10,'Сводный годовой график'!$B$1:$B$4),MATCH(DATE($AV$1,MONTH($B$4),P$3),'Сводный годовой график'!$C$5:$AR$5)))</f>
        <v>12</v>
      </c>
      <c r="Q10" s="92">
        <f ca="1">IF(AND(INDEX('Сводный годовой график'!$C$1:$AR$4,MATCH($C$10,'Сводный годовой график'!$B$1:$B$4),MATCH(DATE($AV$1,MONTH($B$4),Q$3),'Сводный годовой график'!$C$5:$AR$5))&lt;&gt;12,INDIRECT(ADDRESS(ROW()+1,COLUMN()))="СП"),8,INDEX('Сводный годовой график'!$C$1:$AR$4,MATCH($C$10,'Сводный годовой график'!$B$1:$B$4),MATCH(DATE($AV$1,MONTH($B$4),Q$3),'Сводный годовой график'!$C$5:$AR$5)))</f>
        <v>0</v>
      </c>
      <c r="R10" s="92">
        <f ca="1">IF(AND(INDEX('Сводный годовой график'!$C$1:$AR$4,MATCH($C$10,'Сводный годовой график'!$B$1:$B$4),MATCH(DATE($AV$1,MONTH($B$4),R$3),'Сводный годовой график'!$C$5:$AR$5))&lt;&gt;12,INDIRECT(ADDRESS(ROW()+1,COLUMN()))="СП"),8,INDEX('Сводный годовой график'!$C$1:$AR$4,MATCH($C$10,'Сводный годовой график'!$B$1:$B$4),MATCH(DATE($AV$1,MONTH($B$4),R$3),'Сводный годовой график'!$C$5:$AR$5)))</f>
        <v>0</v>
      </c>
      <c r="S10" s="92">
        <f ca="1">IF(AND(INDEX('Сводный годовой график'!$C$1:$AR$4,MATCH($C$10,'Сводный годовой график'!$B$1:$B$4),MATCH(DATE($AV$1,MONTH($B$4),S$3),'Сводный годовой график'!$C$5:$AR$5))&lt;&gt;12,INDIRECT(ADDRESS(ROW()+1,COLUMN()))="СП"),8,INDEX('Сводный годовой график'!$C$1:$AR$4,MATCH($C$10,'Сводный годовой график'!$B$1:$B$4),MATCH(DATE($AV$1,MONTH($B$4),S$3),'Сводный годовой график'!$C$5:$AR$5)))</f>
        <v>4</v>
      </c>
      <c r="T10" s="92">
        <f ca="1">IF(AND(INDEX('Сводный годовой график'!$C$1:$AR$4,MATCH($C$10,'Сводный годовой график'!$B$1:$B$4),MATCH(DATE($AV$1,MONTH($B$4),T$3),'Сводный годовой график'!$C$5:$AR$5))&lt;&gt;12,INDIRECT(ADDRESS(ROW()+1,COLUMN()))="СП"),8,INDEX('Сводный годовой график'!$C$1:$AR$4,MATCH($C$10,'Сводный годовой график'!$B$1:$B$4),MATCH(DATE($AV$1,MONTH($B$4),T$3),'Сводный годовой график'!$C$5:$AR$5)))</f>
        <v>8</v>
      </c>
      <c r="U10" s="92">
        <f ca="1">IF(AND(INDEX('Сводный годовой график'!$C$1:$AR$4,MATCH($C$10,'Сводный годовой график'!$B$1:$B$4),MATCH(DATE($AV$1,MONTH($B$4),U$3),'Сводный годовой график'!$C$5:$AR$5))&lt;&gt;12,INDIRECT(ADDRESS(ROW()+1,COLUMN()))="СП"),8,INDEX('Сводный годовой график'!$C$1:$AR$4,MATCH($C$10,'Сводный годовой график'!$B$1:$B$4),MATCH(DATE($AV$1,MONTH($B$4),U$3),'Сводный годовой график'!$C$5:$AR$5)))</f>
        <v>12</v>
      </c>
      <c r="V10" s="92">
        <f ca="1">IF(AND(INDEX('Сводный годовой график'!$C$1:$AR$4,MATCH($C$10,'Сводный годовой график'!$B$1:$B$4),MATCH(DATE($AV$1,MONTH($B$4),V$3),'Сводный годовой график'!$C$5:$AR$5))&lt;&gt;12,INDIRECT(ADDRESS(ROW()+1,COLUMN()))="СП"),8,INDEX('Сводный годовой график'!$C$1:$AR$4,MATCH($C$10,'Сводный годовой график'!$B$1:$B$4),MATCH(DATE($AV$1,MONTH($B$4),V$3),'Сводный годовой график'!$C$5:$AR$5)))</f>
        <v>4</v>
      </c>
      <c r="W10" s="92">
        <f ca="1">IF(AND(INDEX('Сводный годовой график'!$C$1:$AR$4,MATCH($C$10,'Сводный годовой график'!$B$1:$B$4),MATCH(DATE($AV$1,MONTH($B$4),W$3),'Сводный годовой график'!$C$5:$AR$5))&lt;&gt;12,INDIRECT(ADDRESS(ROW()+1,COLUMN()))="СП"),8,INDEX('Сводный годовой график'!$C$1:$AR$4,MATCH($C$10,'Сводный годовой график'!$B$1:$B$4),MATCH(DATE($AV$1,MONTH($B$4),W$3),'Сводный годовой график'!$C$5:$AR$5)))</f>
        <v>8</v>
      </c>
      <c r="X10" s="92">
        <f ca="1">IF(AND(INDEX('Сводный годовой график'!$C$1:$AR$4,MATCH($C$10,'Сводный годовой график'!$B$1:$B$4),MATCH(DATE($AV$1,MONTH($B$4),X$3),'Сводный годовой график'!$C$5:$AR$5))&lt;&gt;12,INDIRECT(ADDRESS(ROW()+1,COLUMN()))="СП"),8,INDEX('Сводный годовой график'!$C$1:$AR$4,MATCH($C$10,'Сводный годовой график'!$B$1:$B$4),MATCH(DATE($AV$1,MONTH($B$4),X$3),'Сводный годовой график'!$C$5:$AR$5)))</f>
        <v>12</v>
      </c>
      <c r="Y10" s="92">
        <f ca="1">IF(AND(INDEX('Сводный годовой график'!$C$1:$AR$4,MATCH($C$10,'Сводный годовой график'!$B$1:$B$4),MATCH(DATE($AV$1,MONTH($B$4),Y$3),'Сводный годовой график'!$C$5:$AR$5))&lt;&gt;12,INDIRECT(ADDRESS(ROW()+1,COLUMN()))="СП"),8,INDEX('Сводный годовой график'!$C$1:$AR$4,MATCH($C$10,'Сводный годовой график'!$B$1:$B$4),MATCH(DATE($AV$1,MONTH($B$4),Y$3),'Сводный годовой график'!$C$5:$AR$5)))</f>
        <v>0</v>
      </c>
      <c r="Z10" s="92">
        <f ca="1">IF(AND(INDEX('Сводный годовой график'!$C$1:$AR$4,MATCH($C$10,'Сводный годовой график'!$B$1:$B$4),MATCH(DATE($AV$1,MONTH($B$4),Z$3),'Сводный годовой график'!$C$5:$AR$5))&lt;&gt;12,INDIRECT(ADDRESS(ROW()+1,COLUMN()))="СП"),8,INDEX('Сводный годовой график'!$C$1:$AR$4,MATCH($C$10,'Сводный годовой график'!$B$1:$B$4),MATCH(DATE($AV$1,MONTH($B$4),Z$3),'Сводный годовой график'!$C$5:$AR$5)))</f>
        <v>0</v>
      </c>
      <c r="AA10" s="92">
        <f ca="1">IF(AND(INDEX('Сводный годовой график'!$C$1:$AR$4,MATCH($C$10,'Сводный годовой график'!$B$1:$B$4),MATCH(DATE($AV$1,MONTH($B$4),AA$3),'Сводный годовой график'!$C$5:$AR$5))&lt;&gt;12,INDIRECT(ADDRESS(ROW()+1,COLUMN()))="СП"),8,INDEX('Сводный годовой график'!$C$1:$AR$4,MATCH($C$10,'Сводный годовой график'!$B$1:$B$4),MATCH(DATE($AV$1,MONTH($B$4),AA$3),'Сводный годовой график'!$C$5:$AR$5)))</f>
        <v>4</v>
      </c>
      <c r="AB10" s="92">
        <f ca="1">IF(AND(INDEX('Сводный годовой график'!$C$1:$AR$4,MATCH($C$10,'Сводный годовой график'!$B$1:$B$4),MATCH(DATE($AV$1,MONTH($B$4),AB$3),'Сводный годовой график'!$C$5:$AR$5))&lt;&gt;12,INDIRECT(ADDRESS(ROW()+1,COLUMN()))="СП"),8,INDEX('Сводный годовой график'!$C$1:$AR$4,MATCH($C$10,'Сводный годовой график'!$B$1:$B$4),MATCH(DATE($AV$1,MONTH($B$4),AB$3),'Сводный годовой график'!$C$5:$AR$5)))</f>
        <v>8</v>
      </c>
      <c r="AC10" s="92">
        <f ca="1">IF(AND(INDEX('Сводный годовой график'!$C$1:$AR$4,MATCH($C$10,'Сводный годовой график'!$B$1:$B$4),MATCH(DATE($AV$1,MONTH($B$4),AC$3),'Сводный годовой график'!$C$5:$AR$5))&lt;&gt;12,INDIRECT(ADDRESS(ROW()+1,COLUMN()))="СП"),8,INDEX('Сводный годовой график'!$C$1:$AR$4,MATCH($C$10,'Сводный годовой график'!$B$1:$B$4),MATCH(DATE($AV$1,MONTH($B$4),AC$3),'Сводный годовой график'!$C$5:$AR$5)))</f>
        <v>12</v>
      </c>
      <c r="AD10" s="92">
        <f ca="1">IF(AND(INDEX('Сводный годовой график'!$C$1:$AR$4,MATCH($C$10,'Сводный годовой график'!$B$1:$B$4),MATCH(DATE($AV$1,MONTH($B$4),AD$3),'Сводный годовой график'!$C$5:$AR$5))&lt;&gt;12,INDIRECT(ADDRESS(ROW()+1,COLUMN()))="СП"),8,INDEX('Сводный годовой график'!$C$1:$AR$4,MATCH($C$10,'Сводный годовой график'!$B$1:$B$4),MATCH(DATE($AV$1,MONTH($B$4),AD$3),'Сводный годовой график'!$C$5:$AR$5)))</f>
        <v>4</v>
      </c>
      <c r="AE10" s="92">
        <f ca="1">IF(AND(INDEX('Сводный годовой график'!$C$1:$AR$4,MATCH($C$10,'Сводный годовой график'!$B$1:$B$4),MATCH(DATE($AV$1,MONTH($B$4),AE$3),'Сводный годовой график'!$C$5:$AR$5))&lt;&gt;12,INDIRECT(ADDRESS(ROW()+1,COLUMN()))="СП"),8,INDEX('Сводный годовой график'!$C$1:$AR$4,MATCH($C$10,'Сводный годовой график'!$B$1:$B$4),MATCH(DATE($AV$1,MONTH($B$4),AE$3),'Сводный годовой график'!$C$5:$AR$5)))</f>
        <v>8</v>
      </c>
      <c r="AF10" s="92">
        <f ca="1">IF(AND(INDEX('Сводный годовой график'!$C$1:$AR$4,MATCH($C$10,'Сводный годовой график'!$B$1:$B$4),MATCH(DATE($AV$1,MONTH($B$4),AF$3),'Сводный годовой график'!$C$5:$AR$5))&lt;&gt;12,INDIRECT(ADDRESS(ROW()+1,COLUMN()))="СП"),8,INDEX('Сводный годовой график'!$C$1:$AR$4,MATCH($C$10,'Сводный годовой график'!$B$1:$B$4),MATCH(DATE($AV$1,MONTH($B$4),AF$3),'Сводный годовой график'!$C$5:$AR$5)))</f>
        <v>12</v>
      </c>
      <c r="AG10" s="92">
        <f ca="1">IF(AND(INDEX('Сводный годовой график'!$C$1:$AR$4,MATCH($C$10,'Сводный годовой график'!$B$1:$B$4),MATCH(DATE($AV$1,MONTH($B$4),AG$3),'Сводный годовой график'!$C$5:$AR$5))&lt;&gt;12,INDIRECT(ADDRESS(ROW()+1,COLUMN()))="СП"),8,INDEX('Сводный годовой график'!$C$1:$AR$4,MATCH($C$10,'Сводный годовой график'!$B$1:$B$4),MATCH(DATE($AV$1,MONTH($B$4),AG$3),'Сводный годовой график'!$C$5:$AR$5)))</f>
        <v>0</v>
      </c>
      <c r="AH10" s="92">
        <f ca="1">IF(AND(INDEX('Сводный годовой график'!$C$1:$AR$4,MATCH($C$10,'Сводный годовой график'!$B$1:$B$4),MATCH(DATE($AV$1,MONTH($B$4),AH$3),'Сводный годовой график'!$C$5:$AR$5))&lt;&gt;12,INDIRECT(ADDRESS(ROW()+1,COLUMN()))="СП"),8,INDEX('Сводный годовой график'!$C$1:$AR$4,MATCH($C$10,'Сводный годовой график'!$B$1:$B$4),MATCH(DATE($AV$1,MONTH($B$4),AH$3),'Сводный годовой график'!$C$5:$AR$5)))</f>
        <v>0</v>
      </c>
      <c r="AI10" s="97">
        <f ca="1">IF(AND(INDEX('Сводный годовой график'!$C$1:$AR$4,MATCH($C$10,'Сводный годовой график'!$B$1:$B$4),MATCH(DATE($AV$1,MONTH($B$4),AI$3),'Сводный годовой график'!$C$5:$AR$5))&lt;&gt;12,INDIRECT(ADDRESS(ROW()+1,COLUMN()))="СП"),8,INDEX('Сводный годовой график'!$C$1:$AR$4,MATCH($C$10,'Сводный годовой график'!$B$1:$B$4),MATCH(DATE($AV$1,MONTH($B$4),AI$3),'Сводный годовой график'!$C$5:$AR$5)))</f>
        <v>4</v>
      </c>
      <c r="AJ10" s="206"/>
      <c r="AK10" s="223">
        <f>$AJ$4-SUM(AY10:CC11)</f>
        <v>136</v>
      </c>
      <c r="AL10" s="209">
        <f t="shared" ref="AL10" ca="1" si="11">SUM(E10:AI11)</f>
        <v>184</v>
      </c>
      <c r="AM10" s="209">
        <f t="shared" ref="AM10" ca="1" si="12">SUM(E10:L10)</f>
        <v>48</v>
      </c>
      <c r="AN10" s="211">
        <f t="shared" ref="AN10" ca="1" si="13">-AM10-AK10+AL10</f>
        <v>0</v>
      </c>
      <c r="AO10" s="211">
        <v>0</v>
      </c>
      <c r="AP10" s="211">
        <f t="shared" ref="AP10" ca="1" si="14">AN10-AO10</f>
        <v>0</v>
      </c>
      <c r="AQ10" s="209">
        <v>0</v>
      </c>
      <c r="AR10" s="210">
        <v>1</v>
      </c>
      <c r="CK10" s="59"/>
      <c r="CL10" s="59"/>
      <c r="CM10" s="59"/>
      <c r="CN10" s="59"/>
      <c r="CO10" s="59"/>
      <c r="CP10" s="59"/>
      <c r="CQ10" s="59"/>
      <c r="CR10" s="59"/>
      <c r="CS10" s="59"/>
      <c r="CT10" s="59"/>
      <c r="CU10" s="59"/>
      <c r="CV10" s="59"/>
      <c r="CW10" s="59"/>
      <c r="CX10" s="59"/>
      <c r="CY10" s="59"/>
      <c r="CZ10" s="59"/>
      <c r="DA10" s="59"/>
      <c r="DB10" s="59"/>
      <c r="DC10" s="59"/>
      <c r="DD10" s="59"/>
      <c r="DE10" s="59"/>
      <c r="DF10" s="59"/>
      <c r="DG10" s="59"/>
      <c r="DH10" s="59"/>
      <c r="DI10" s="59"/>
      <c r="DJ10" s="59"/>
      <c r="DK10" s="59"/>
      <c r="DL10" s="59"/>
      <c r="DM10" s="59"/>
      <c r="DN10" s="59"/>
      <c r="DO10" s="59"/>
      <c r="DS10" s="78"/>
    </row>
    <row r="11" spans="2:123" ht="16.5" thickBot="1" x14ac:dyDescent="0.3">
      <c r="B11" s="201"/>
      <c r="C11" s="197"/>
      <c r="D11" s="82">
        <v>8</v>
      </c>
      <c r="E11" s="96" t="str">
        <f t="shared" ref="E11:AI11" si="15">IF(INDEX($CK$4:$DO$123,ROW()-3,E$3)=0,"","СП")</f>
        <v/>
      </c>
      <c r="F11" s="92" t="str">
        <f t="shared" si="15"/>
        <v/>
      </c>
      <c r="G11" s="92" t="str">
        <f t="shared" si="15"/>
        <v/>
      </c>
      <c r="H11" s="92" t="str">
        <f t="shared" si="15"/>
        <v>СП</v>
      </c>
      <c r="I11" s="92" t="str">
        <f t="shared" si="15"/>
        <v/>
      </c>
      <c r="J11" s="92" t="str">
        <f t="shared" si="15"/>
        <v/>
      </c>
      <c r="K11" s="92" t="str">
        <f t="shared" si="15"/>
        <v/>
      </c>
      <c r="L11" s="92" t="str">
        <f t="shared" si="15"/>
        <v/>
      </c>
      <c r="M11" s="92" t="str">
        <f t="shared" si="15"/>
        <v/>
      </c>
      <c r="N11" s="92" t="str">
        <f t="shared" si="15"/>
        <v/>
      </c>
      <c r="O11" s="92" t="str">
        <f t="shared" si="15"/>
        <v/>
      </c>
      <c r="P11" s="92" t="str">
        <f t="shared" si="15"/>
        <v/>
      </c>
      <c r="Q11" s="92" t="str">
        <f t="shared" si="15"/>
        <v/>
      </c>
      <c r="R11" s="92" t="str">
        <f t="shared" si="15"/>
        <v/>
      </c>
      <c r="S11" s="92" t="str">
        <f t="shared" si="15"/>
        <v/>
      </c>
      <c r="T11" s="92" t="str">
        <f t="shared" si="15"/>
        <v/>
      </c>
      <c r="U11" s="92" t="str">
        <f t="shared" si="15"/>
        <v/>
      </c>
      <c r="V11" s="92" t="str">
        <f t="shared" si="15"/>
        <v/>
      </c>
      <c r="W11" s="92" t="str">
        <f t="shared" si="15"/>
        <v/>
      </c>
      <c r="X11" s="92" t="str">
        <f t="shared" si="15"/>
        <v/>
      </c>
      <c r="Y11" s="92" t="str">
        <f t="shared" si="15"/>
        <v/>
      </c>
      <c r="Z11" s="92" t="str">
        <f t="shared" si="15"/>
        <v/>
      </c>
      <c r="AA11" s="92" t="str">
        <f t="shared" si="15"/>
        <v/>
      </c>
      <c r="AB11" s="92" t="str">
        <f t="shared" si="15"/>
        <v/>
      </c>
      <c r="AC11" s="92" t="str">
        <f t="shared" si="15"/>
        <v/>
      </c>
      <c r="AD11" s="92" t="str">
        <f t="shared" si="15"/>
        <v/>
      </c>
      <c r="AE11" s="92" t="str">
        <f t="shared" si="15"/>
        <v/>
      </c>
      <c r="AF11" s="92" t="str">
        <f t="shared" si="15"/>
        <v/>
      </c>
      <c r="AG11" s="92" t="str">
        <f t="shared" si="15"/>
        <v/>
      </c>
      <c r="AH11" s="92" t="str">
        <f t="shared" si="15"/>
        <v/>
      </c>
      <c r="AI11" s="97" t="str">
        <f t="shared" si="15"/>
        <v/>
      </c>
      <c r="AJ11" s="206"/>
      <c r="AK11" s="220"/>
      <c r="AL11" s="209"/>
      <c r="AM11" s="209"/>
      <c r="AN11" s="211"/>
      <c r="AO11" s="211"/>
      <c r="AP11" s="211"/>
      <c r="AQ11" s="209"/>
      <c r="AR11" s="210"/>
      <c r="CK11" s="58">
        <f>IF(DAY(INDEX('Сводный годовой график'!$BA$4:$BL$14,$C10,MONTH($B$4)))=E$3,1,0)</f>
        <v>0</v>
      </c>
      <c r="CL11" s="58">
        <f>IF(DAY(INDEX('Сводный годовой график'!$BA$4:$BL$14,$C10,MONTH($B$4)))=F$3,1,0)</f>
        <v>0</v>
      </c>
      <c r="CM11" s="58">
        <f>IF(DAY(INDEX('Сводный годовой график'!$BA$4:$BL$14,$C10,MONTH($B$4)))=G$3,1,0)</f>
        <v>0</v>
      </c>
      <c r="CN11" s="58">
        <f>IF(DAY(INDEX('Сводный годовой график'!$BA$4:$BL$14,$C10,MONTH($B$4)))=H$3,1,0)</f>
        <v>1</v>
      </c>
      <c r="CO11" s="58">
        <f>IF(DAY(INDEX('Сводный годовой график'!$BA$4:$BL$14,$C10,MONTH($B$4)))=I$3,1,0)</f>
        <v>0</v>
      </c>
      <c r="CP11" s="58">
        <f>IF(DAY(INDEX('Сводный годовой график'!$BA$4:$BL$14,$C10,MONTH($B$4)))=J$3,1,0)</f>
        <v>0</v>
      </c>
      <c r="CQ11" s="58">
        <f>IF(DAY(INDEX('Сводный годовой график'!$BA$4:$BL$14,$C10,MONTH($B$4)))=K$3,1,0)</f>
        <v>0</v>
      </c>
      <c r="CR11" s="58">
        <f>IF(DAY(INDEX('Сводный годовой график'!$BA$4:$BL$14,$C10,MONTH($B$4)))=L$3,1,0)</f>
        <v>0</v>
      </c>
      <c r="CS11" s="58">
        <f>IF(DAY(INDEX('Сводный годовой график'!$BA$4:$BL$14,$C10,MONTH($B$4)))=M$3,1,0)</f>
        <v>0</v>
      </c>
      <c r="CT11" s="58">
        <f>IF(DAY(INDEX('Сводный годовой график'!$BA$4:$BL$14,$C10,MONTH($B$4)))=N$3,1,0)</f>
        <v>0</v>
      </c>
      <c r="CU11" s="58">
        <f>IF(DAY(INDEX('Сводный годовой график'!$BA$4:$BL$14,$C10,MONTH($B$4)))=O$3,1,0)</f>
        <v>0</v>
      </c>
      <c r="CV11" s="58">
        <f>IF(DAY(INDEX('Сводный годовой график'!$BA$4:$BL$14,$C10,MONTH($B$4)))=P$3,1,0)</f>
        <v>0</v>
      </c>
      <c r="CW11" s="58">
        <f>IF(DAY(INDEX('Сводный годовой график'!$BA$4:$BL$14,$C10,MONTH($B$4)))=Q$3,1,0)</f>
        <v>0</v>
      </c>
      <c r="CX11" s="58">
        <f>IF(DAY(INDEX('Сводный годовой график'!$BA$4:$BL$14,$C10,MONTH($B$4)))=R$3,1,0)</f>
        <v>0</v>
      </c>
      <c r="CY11" s="58">
        <f>IF(DAY(INDEX('Сводный годовой график'!$BA$4:$BL$14,$C10,MONTH($B$4)))=S$3,1,0)</f>
        <v>0</v>
      </c>
      <c r="CZ11" s="58">
        <f>IF(DAY(INDEX('Сводный годовой график'!$BA$4:$BL$14,$C10,MONTH($B$4)))=T$3,1,0)</f>
        <v>0</v>
      </c>
      <c r="DA11" s="58">
        <f>IF(DAY(INDEX('Сводный годовой график'!$BA$4:$BL$14,$C10,MONTH($B$4)))=U$3,1,0)</f>
        <v>0</v>
      </c>
      <c r="DB11" s="58">
        <f>IF(DAY(INDEX('Сводный годовой график'!$BA$4:$BL$14,$C10,MONTH($B$4)))=V$3,1,0)</f>
        <v>0</v>
      </c>
      <c r="DC11" s="58">
        <f>IF(DAY(INDEX('Сводный годовой график'!$BA$4:$BL$14,$C10,MONTH($B$4)))=W$3,1,0)</f>
        <v>0</v>
      </c>
      <c r="DD11" s="58">
        <f>IF(DAY(INDEX('Сводный годовой график'!$BA$4:$BL$14,$C10,MONTH($B$4)))=X$3,1,0)</f>
        <v>0</v>
      </c>
      <c r="DE11" s="58">
        <f>IF(DAY(INDEX('Сводный годовой график'!$BA$4:$BL$14,$C10,MONTH($B$4)))=Y$3,1,0)</f>
        <v>0</v>
      </c>
      <c r="DF11" s="58">
        <f>IF(DAY(INDEX('Сводный годовой график'!$BA$4:$BL$14,$C10,MONTH($B$4)))=Z$3,1,0)</f>
        <v>0</v>
      </c>
      <c r="DG11" s="58">
        <f>IF(DAY(INDEX('Сводный годовой график'!$BA$4:$BL$14,$C10,MONTH($B$4)))=AA$3,1,0)</f>
        <v>0</v>
      </c>
      <c r="DH11" s="58">
        <f>IF(DAY(INDEX('Сводный годовой график'!$BA$4:$BL$14,$C10,MONTH($B$4)))=AB$3,1,0)</f>
        <v>0</v>
      </c>
      <c r="DI11" s="58">
        <f>IF(DAY(INDEX('Сводный годовой график'!$BA$4:$BL$14,$C10,MONTH($B$4)))=AC$3,1,0)</f>
        <v>0</v>
      </c>
      <c r="DJ11" s="58">
        <f>IF(DAY(INDEX('Сводный годовой график'!$BA$4:$BL$14,$C10,MONTH($B$4)))=AD$3,1,0)</f>
        <v>0</v>
      </c>
      <c r="DK11" s="58">
        <f>IF(DAY(INDEX('Сводный годовой график'!$BA$4:$BL$14,$C10,MONTH($B$4)))=AE$3,1,0)</f>
        <v>0</v>
      </c>
      <c r="DL11" s="58">
        <f>IF(DAY(INDEX('Сводный годовой график'!$BA$4:$BL$14,$C10,MONTH($B$4)))=AF$3,1,0)</f>
        <v>0</v>
      </c>
      <c r="DM11" s="58">
        <f>IF(DAY(INDEX('Сводный годовой график'!$BA$4:$BL$14,$C10,MONTH($B$4)))=AG$3,1,0)</f>
        <v>0</v>
      </c>
      <c r="DN11" s="58">
        <f>IF(DAY(INDEX('Сводный годовой график'!$BA$4:$BL$14,$C10,MONTH($B$4)))=AH$3,1,0)</f>
        <v>0</v>
      </c>
      <c r="DO11" s="58">
        <f>IF(DAY(INDEX('Сводный годовой график'!$BA$4:$BL$14,$C10,MONTH($B$4)))=AI$3,1,0)</f>
        <v>0</v>
      </c>
    </row>
    <row r="12" spans="2:123" ht="16.5" thickBot="1" x14ac:dyDescent="0.3">
      <c r="B12" s="201"/>
      <c r="C12" s="196">
        <v>5</v>
      </c>
      <c r="D12" s="81">
        <v>9</v>
      </c>
      <c r="E12" s="96" t="s">
        <v>36</v>
      </c>
      <c r="F12" s="92" t="s">
        <v>36</v>
      </c>
      <c r="G12" s="92" t="s">
        <v>36</v>
      </c>
      <c r="H12" s="92" t="s">
        <v>36</v>
      </c>
      <c r="I12" s="92" t="s">
        <v>36</v>
      </c>
      <c r="J12" s="92" t="s">
        <v>36</v>
      </c>
      <c r="K12" s="92" t="s">
        <v>36</v>
      </c>
      <c r="L12" s="92" t="s">
        <v>36</v>
      </c>
      <c r="M12" s="92" t="s">
        <v>36</v>
      </c>
      <c r="N12" s="92" t="s">
        <v>36</v>
      </c>
      <c r="O12" s="92" t="s">
        <v>36</v>
      </c>
      <c r="P12" s="92" t="s">
        <v>36</v>
      </c>
      <c r="Q12" s="92" t="s">
        <v>36</v>
      </c>
      <c r="R12" s="92" t="s">
        <v>36</v>
      </c>
      <c r="S12" s="92" t="s">
        <v>36</v>
      </c>
      <c r="T12" s="92" t="s">
        <v>36</v>
      </c>
      <c r="U12" s="92" t="s">
        <v>36</v>
      </c>
      <c r="V12" s="92" t="s">
        <v>36</v>
      </c>
      <c r="W12" s="92" t="s">
        <v>36</v>
      </c>
      <c r="X12" s="92" t="s">
        <v>36</v>
      </c>
      <c r="Y12" s="92" t="s">
        <v>36</v>
      </c>
      <c r="Z12" s="92" t="s">
        <v>36</v>
      </c>
      <c r="AA12" s="92" t="s">
        <v>36</v>
      </c>
      <c r="AB12" s="92" t="s">
        <v>36</v>
      </c>
      <c r="AC12" s="92" t="s">
        <v>36</v>
      </c>
      <c r="AD12" s="92" t="s">
        <v>36</v>
      </c>
      <c r="AE12" s="92" t="s">
        <v>36</v>
      </c>
      <c r="AF12" s="92" t="s">
        <v>36</v>
      </c>
      <c r="AG12" s="92" t="s">
        <v>36</v>
      </c>
      <c r="AH12" s="92" t="s">
        <v>36</v>
      </c>
      <c r="AI12" s="97" t="s">
        <v>36</v>
      </c>
      <c r="AJ12" s="206"/>
      <c r="AK12" s="223">
        <f>$AJ$4-SUM(AY12:CC13)</f>
        <v>136</v>
      </c>
      <c r="AL12" s="209">
        <f t="shared" ref="AL12" si="16">SUM(E12:AI13)</f>
        <v>0</v>
      </c>
      <c r="AM12" s="209">
        <f t="shared" ref="AM12" si="17">SUM(E12:L12)</f>
        <v>0</v>
      </c>
      <c r="AN12" s="211">
        <f t="shared" ref="AN12" si="18">-AM12-AK12+AL12</f>
        <v>-136</v>
      </c>
      <c r="AO12" s="211">
        <v>0</v>
      </c>
      <c r="AP12" s="211">
        <f t="shared" ref="AP12" si="19">AN12-AO12</f>
        <v>-136</v>
      </c>
      <c r="AQ12" s="209">
        <v>7</v>
      </c>
      <c r="AR12" s="210">
        <v>1</v>
      </c>
      <c r="AS12" s="21"/>
      <c r="CK12" s="59"/>
      <c r="CL12" s="59"/>
      <c r="CM12" s="59"/>
      <c r="CN12" s="59"/>
      <c r="CO12" s="59"/>
      <c r="CP12" s="59"/>
      <c r="CQ12" s="59"/>
      <c r="CR12" s="59"/>
      <c r="CS12" s="59"/>
      <c r="CT12" s="59"/>
      <c r="CU12" s="59"/>
      <c r="CV12" s="59"/>
      <c r="CW12" s="59"/>
      <c r="CX12" s="59"/>
      <c r="CY12" s="59"/>
      <c r="CZ12" s="59"/>
      <c r="DA12" s="59"/>
      <c r="DB12" s="59"/>
      <c r="DC12" s="59"/>
      <c r="DD12" s="59"/>
      <c r="DE12" s="59"/>
      <c r="DF12" s="59"/>
      <c r="DG12" s="59"/>
      <c r="DH12" s="59"/>
      <c r="DI12" s="59"/>
      <c r="DJ12" s="59"/>
      <c r="DK12" s="59"/>
      <c r="DL12" s="59"/>
      <c r="DM12" s="59"/>
      <c r="DN12" s="59"/>
      <c r="DO12" s="59"/>
    </row>
    <row r="13" spans="2:123" ht="16.5" thickBot="1" x14ac:dyDescent="0.3">
      <c r="B13" s="202"/>
      <c r="C13" s="212"/>
      <c r="D13" s="99">
        <v>10</v>
      </c>
      <c r="E13" s="87" t="str">
        <f t="shared" ref="E13:AI13" si="20">IF(INDEX($CK$4:$DO$123,ROW()-3,E$3)=0,"","СП")</f>
        <v/>
      </c>
      <c r="F13" s="30" t="str">
        <f t="shared" si="20"/>
        <v/>
      </c>
      <c r="G13" s="30" t="str">
        <f t="shared" si="20"/>
        <v/>
      </c>
      <c r="H13" s="30" t="str">
        <f t="shared" si="20"/>
        <v/>
      </c>
      <c r="I13" s="30" t="str">
        <f t="shared" si="20"/>
        <v>СП</v>
      </c>
      <c r="J13" s="30" t="str">
        <f t="shared" si="20"/>
        <v/>
      </c>
      <c r="K13" s="30" t="str">
        <f t="shared" si="20"/>
        <v/>
      </c>
      <c r="L13" s="30" t="str">
        <f t="shared" si="20"/>
        <v/>
      </c>
      <c r="M13" s="30" t="str">
        <f t="shared" si="20"/>
        <v/>
      </c>
      <c r="N13" s="30" t="str">
        <f t="shared" si="20"/>
        <v/>
      </c>
      <c r="O13" s="30" t="str">
        <f t="shared" si="20"/>
        <v/>
      </c>
      <c r="P13" s="30" t="str">
        <f t="shared" si="20"/>
        <v/>
      </c>
      <c r="Q13" s="30" t="str">
        <f t="shared" si="20"/>
        <v/>
      </c>
      <c r="R13" s="30" t="str">
        <f t="shared" si="20"/>
        <v/>
      </c>
      <c r="S13" s="30" t="str">
        <f t="shared" si="20"/>
        <v/>
      </c>
      <c r="T13" s="30" t="str">
        <f t="shared" si="20"/>
        <v/>
      </c>
      <c r="U13" s="30" t="str">
        <f t="shared" si="20"/>
        <v/>
      </c>
      <c r="V13" s="30" t="str">
        <f t="shared" si="20"/>
        <v/>
      </c>
      <c r="W13" s="30" t="str">
        <f t="shared" si="20"/>
        <v/>
      </c>
      <c r="X13" s="30" t="str">
        <f t="shared" si="20"/>
        <v/>
      </c>
      <c r="Y13" s="30" t="str">
        <f t="shared" si="20"/>
        <v/>
      </c>
      <c r="Z13" s="30" t="str">
        <f t="shared" si="20"/>
        <v/>
      </c>
      <c r="AA13" s="30" t="str">
        <f t="shared" si="20"/>
        <v/>
      </c>
      <c r="AB13" s="30" t="str">
        <f t="shared" si="20"/>
        <v/>
      </c>
      <c r="AC13" s="30" t="str">
        <f t="shared" si="20"/>
        <v/>
      </c>
      <c r="AD13" s="30" t="str">
        <f t="shared" si="20"/>
        <v/>
      </c>
      <c r="AE13" s="30" t="str">
        <f t="shared" si="20"/>
        <v/>
      </c>
      <c r="AF13" s="30" t="str">
        <f t="shared" si="20"/>
        <v/>
      </c>
      <c r="AG13" s="30" t="str">
        <f t="shared" si="20"/>
        <v/>
      </c>
      <c r="AH13" s="30" t="str">
        <f t="shared" si="20"/>
        <v/>
      </c>
      <c r="AI13" s="91" t="str">
        <f t="shared" si="20"/>
        <v/>
      </c>
      <c r="AJ13" s="207"/>
      <c r="AK13" s="226"/>
      <c r="AL13" s="213"/>
      <c r="AM13" s="213"/>
      <c r="AN13" s="214"/>
      <c r="AO13" s="214"/>
      <c r="AP13" s="214"/>
      <c r="AQ13" s="213"/>
      <c r="AR13" s="215"/>
      <c r="CK13" s="58">
        <f>IF(DAY(INDEX('Сводный годовой график'!$BA$4:$BL$14,$C12,MONTH($B$4)))=E$3,1,0)</f>
        <v>0</v>
      </c>
      <c r="CL13" s="58">
        <f>IF(DAY(INDEX('Сводный годовой график'!$BA$4:$BL$14,$C12,MONTH($B$4)))=F$3,1,0)</f>
        <v>0</v>
      </c>
      <c r="CM13" s="58">
        <f>IF(DAY(INDEX('Сводный годовой график'!$BA$4:$BL$14,$C12,MONTH($B$4)))=G$3,1,0)</f>
        <v>0</v>
      </c>
      <c r="CN13" s="58">
        <f>IF(DAY(INDEX('Сводный годовой график'!$BA$4:$BL$14,$C12,MONTH($B$4)))=H$3,1,0)</f>
        <v>0</v>
      </c>
      <c r="CO13" s="58">
        <f>IF(DAY(INDEX('Сводный годовой график'!$BA$4:$BL$14,$C12,MONTH($B$4)))=I$3,1,0)</f>
        <v>1</v>
      </c>
      <c r="CP13" s="58">
        <f>IF(DAY(INDEX('Сводный годовой график'!$BA$4:$BL$14,$C12,MONTH($B$4)))=J$3,1,0)</f>
        <v>0</v>
      </c>
      <c r="CQ13" s="58">
        <f>IF(DAY(INDEX('Сводный годовой график'!$BA$4:$BL$14,$C12,MONTH($B$4)))=K$3,1,0)</f>
        <v>0</v>
      </c>
      <c r="CR13" s="58">
        <f>IF(DAY(INDEX('Сводный годовой график'!$BA$4:$BL$14,$C12,MONTH($B$4)))=L$3,1,0)</f>
        <v>0</v>
      </c>
      <c r="CS13" s="58">
        <f>IF(DAY(INDEX('Сводный годовой график'!$BA$4:$BL$14,$C12,MONTH($B$4)))=M$3,1,0)</f>
        <v>0</v>
      </c>
      <c r="CT13" s="58">
        <f>IF(DAY(INDEX('Сводный годовой график'!$BA$4:$BL$14,$C12,MONTH($B$4)))=N$3,1,0)</f>
        <v>0</v>
      </c>
      <c r="CU13" s="58">
        <f>IF(DAY(INDEX('Сводный годовой график'!$BA$4:$BL$14,$C12,MONTH($B$4)))=O$3,1,0)</f>
        <v>0</v>
      </c>
      <c r="CV13" s="58">
        <f>IF(DAY(INDEX('Сводный годовой график'!$BA$4:$BL$14,$C12,MONTH($B$4)))=P$3,1,0)</f>
        <v>0</v>
      </c>
      <c r="CW13" s="58">
        <f>IF(DAY(INDEX('Сводный годовой график'!$BA$4:$BL$14,$C12,MONTH($B$4)))=Q$3,1,0)</f>
        <v>0</v>
      </c>
      <c r="CX13" s="58">
        <f>IF(DAY(INDEX('Сводный годовой график'!$BA$4:$BL$14,$C12,MONTH($B$4)))=R$3,1,0)</f>
        <v>0</v>
      </c>
      <c r="CY13" s="58">
        <f>IF(DAY(INDEX('Сводный годовой график'!$BA$4:$BL$14,$C12,MONTH($B$4)))=S$3,1,0)</f>
        <v>0</v>
      </c>
      <c r="CZ13" s="58">
        <f>IF(DAY(INDEX('Сводный годовой график'!$BA$4:$BL$14,$C12,MONTH($B$4)))=T$3,1,0)</f>
        <v>0</v>
      </c>
      <c r="DA13" s="58">
        <f>IF(DAY(INDEX('Сводный годовой график'!$BA$4:$BL$14,$C12,MONTH($B$4)))=U$3,1,0)</f>
        <v>0</v>
      </c>
      <c r="DB13" s="58">
        <f>IF(DAY(INDEX('Сводный годовой график'!$BA$4:$BL$14,$C12,MONTH($B$4)))=V$3,1,0)</f>
        <v>0</v>
      </c>
      <c r="DC13" s="58">
        <f>IF(DAY(INDEX('Сводный годовой график'!$BA$4:$BL$14,$C12,MONTH($B$4)))=W$3,1,0)</f>
        <v>0</v>
      </c>
      <c r="DD13" s="58">
        <f>IF(DAY(INDEX('Сводный годовой график'!$BA$4:$BL$14,$C12,MONTH($B$4)))=X$3,1,0)</f>
        <v>0</v>
      </c>
      <c r="DE13" s="58">
        <f>IF(DAY(INDEX('Сводный годовой график'!$BA$4:$BL$14,$C12,MONTH($B$4)))=Y$3,1,0)</f>
        <v>0</v>
      </c>
      <c r="DF13" s="58">
        <f>IF(DAY(INDEX('Сводный годовой график'!$BA$4:$BL$14,$C12,MONTH($B$4)))=Z$3,1,0)</f>
        <v>0</v>
      </c>
      <c r="DG13" s="58">
        <f>IF(DAY(INDEX('Сводный годовой график'!$BA$4:$BL$14,$C12,MONTH($B$4)))=AA$3,1,0)</f>
        <v>0</v>
      </c>
      <c r="DH13" s="58">
        <f>IF(DAY(INDEX('Сводный годовой график'!$BA$4:$BL$14,$C12,MONTH($B$4)))=AB$3,1,0)</f>
        <v>0</v>
      </c>
      <c r="DI13" s="58">
        <f>IF(DAY(INDEX('Сводный годовой график'!$BA$4:$BL$14,$C12,MONTH($B$4)))=AC$3,1,0)</f>
        <v>0</v>
      </c>
      <c r="DJ13" s="58">
        <f>IF(DAY(INDEX('Сводный годовой график'!$BA$4:$BL$14,$C12,MONTH($B$4)))=AD$3,1,0)</f>
        <v>0</v>
      </c>
      <c r="DK13" s="58">
        <f>IF(DAY(INDEX('Сводный годовой график'!$BA$4:$BL$14,$C12,MONTH($B$4)))=AE$3,1,0)</f>
        <v>0</v>
      </c>
      <c r="DL13" s="58">
        <f>IF(DAY(INDEX('Сводный годовой график'!$BA$4:$BL$14,$C12,MONTH($B$4)))=AF$3,1,0)</f>
        <v>0</v>
      </c>
      <c r="DM13" s="58">
        <f>IF(DAY(INDEX('Сводный годовой график'!$BA$4:$BL$14,$C12,MONTH($B$4)))=AG$3,1,0)</f>
        <v>0</v>
      </c>
      <c r="DN13" s="58">
        <f>IF(DAY(INDEX('Сводный годовой график'!$BA$4:$BL$14,$C12,MONTH($B$4)))=AH$3,1,0)</f>
        <v>0</v>
      </c>
      <c r="DO13" s="58">
        <f>IF(DAY(INDEX('Сводный годовой график'!$BA$4:$BL$14,$C12,MONTH($B$4)))=AI$3,1,0)</f>
        <v>0</v>
      </c>
    </row>
    <row r="14" spans="2:123" ht="17.25" customHeight="1" thickTop="1" thickBot="1" x14ac:dyDescent="0.3">
      <c r="B14" s="200">
        <f>DATE($AV$1,2,1)</f>
        <v>45689</v>
      </c>
      <c r="C14" s="196">
        <v>1</v>
      </c>
      <c r="D14" s="81">
        <v>1</v>
      </c>
      <c r="E14" s="83">
        <f ca="1">IF(AND(INDEX('Сводный годовой график'!$C$1:$AR$4,MATCH($C$14,'Сводный годовой график'!$B$1:$B$4),MATCH(DATE($AV$1,MONTH($B$14),E$3),'Сводный годовой график'!$C$6:$AR$6))&lt;&gt;12,INDIRECT(ADDRESS(ROW()+1,COLUMN()))="СП"),8,INDEX('Сводный годовой график'!$C$1:$AR$4,MATCH($C$14,'Сводный годовой график'!$B$1:$B$4),MATCH(DATE($AV$1,MONTH($B$14),E$3),'Сводный годовой график'!$C$6:$AR$6)))</f>
        <v>12</v>
      </c>
      <c r="F14" s="28">
        <f ca="1">IF(AND(INDEX('Сводный годовой график'!$C$1:$AR$4,MATCH($C$14,'Сводный годовой график'!$B$1:$B$4),MATCH(DATE($AV$1,MONTH($B$14),F$3),'Сводный годовой график'!$C$6:$AR$6))&lt;&gt;12,INDIRECT(ADDRESS(ROW()+1,COLUMN()))="СП"),8,INDEX('Сводный годовой график'!$C$1:$AR$4,MATCH($C$14,'Сводный годовой график'!$B$1:$B$4),MATCH(DATE($AV$1,MONTH($B$14),F$3),'Сводный годовой график'!$C$6:$AR$6)))</f>
        <v>8</v>
      </c>
      <c r="G14" s="28">
        <f ca="1">IF(AND(INDEX('Сводный годовой график'!$C$1:$AR$4,MATCH($C$14,'Сводный годовой график'!$B$1:$B$4),MATCH(DATE($AV$1,MONTH($B$14),G$3),'Сводный годовой график'!$C$6:$AR$6))&lt;&gt;12,INDIRECT(ADDRESS(ROW()+1,COLUMN()))="СП"),8,INDEX('Сводный годовой график'!$C$1:$AR$4,MATCH($C$14,'Сводный годовой график'!$B$1:$B$4),MATCH(DATE($AV$1,MONTH($B$14),G$3),'Сводный годовой график'!$C$6:$AR$6)))</f>
        <v>0</v>
      </c>
      <c r="H14" s="28">
        <f ca="1">IF(AND(INDEX('Сводный годовой график'!$C$1:$AR$4,MATCH($C$14,'Сводный годовой график'!$B$1:$B$4),MATCH(DATE($AV$1,MONTH($B$14),H$3),'Сводный годовой график'!$C$6:$AR$6))&lt;&gt;12,INDIRECT(ADDRESS(ROW()+1,COLUMN()))="СП"),8,INDEX('Сводный годовой график'!$C$1:$AR$4,MATCH($C$14,'Сводный годовой график'!$B$1:$B$4),MATCH(DATE($AV$1,MONTH($B$14),H$3),'Сводный годовой график'!$C$6:$AR$6)))</f>
        <v>4</v>
      </c>
      <c r="I14" s="28">
        <f ca="1">IF(AND(INDEX('Сводный годовой график'!$C$1:$AR$4,MATCH($C$14,'Сводный годовой график'!$B$1:$B$4),MATCH(DATE($AV$1,MONTH($B$14),I$3),'Сводный годовой график'!$C$6:$AR$6))&lt;&gt;12,INDIRECT(ADDRESS(ROW()+1,COLUMN()))="СП"),8,INDEX('Сводный годовой график'!$C$1:$AR$4,MATCH($C$14,'Сводный годовой график'!$B$1:$B$4),MATCH(DATE($AV$1,MONTH($B$14),I$3),'Сводный годовой график'!$C$6:$AR$6)))</f>
        <v>8</v>
      </c>
      <c r="J14" s="28">
        <f ca="1">IF(AND(INDEX('Сводный годовой график'!$C$1:$AR$4,MATCH($C$14,'Сводный годовой график'!$B$1:$B$4),MATCH(DATE($AV$1,MONTH($B$14),J$3),'Сводный годовой график'!$C$6:$AR$6))&lt;&gt;12,INDIRECT(ADDRESS(ROW()+1,COLUMN()))="СП"),8,INDEX('Сводный годовой график'!$C$1:$AR$4,MATCH($C$14,'Сводный годовой график'!$B$1:$B$4),MATCH(DATE($AV$1,MONTH($B$14),J$3),'Сводный годовой график'!$C$6:$AR$6)))</f>
        <v>12</v>
      </c>
      <c r="K14" s="28">
        <f ca="1">IF(AND(INDEX('Сводный годовой график'!$C$1:$AR$4,MATCH($C$14,'Сводный годовой график'!$B$1:$B$4),MATCH(DATE($AV$1,MONTH($B$14),K$3),'Сводный годовой график'!$C$6:$AR$6))&lt;&gt;12,INDIRECT(ADDRESS(ROW()+1,COLUMN()))="СП"),8,INDEX('Сводный годовой график'!$C$1:$AR$4,MATCH($C$14,'Сводный годовой график'!$B$1:$B$4),MATCH(DATE($AV$1,MONTH($B$14),K$3),'Сводный годовой график'!$C$6:$AR$6)))</f>
        <v>4</v>
      </c>
      <c r="L14" s="28">
        <f ca="1">IF(AND(INDEX('Сводный годовой график'!$C$1:$AR$4,MATCH($C$14,'Сводный годовой график'!$B$1:$B$4),MATCH(DATE($AV$1,MONTH($B$14),L$3),'Сводный годовой график'!$C$6:$AR$6))&lt;&gt;12,INDIRECT(ADDRESS(ROW()+1,COLUMN()))="СП"),8,INDEX('Сводный годовой график'!$C$1:$AR$4,MATCH($C$14,'Сводный годовой график'!$B$1:$B$4),MATCH(DATE($AV$1,MONTH($B$14),L$3),'Сводный годовой график'!$C$6:$AR$6)))</f>
        <v>8</v>
      </c>
      <c r="M14" s="28">
        <f ca="1">IF(AND(INDEX('Сводный годовой график'!$C$1:$AR$4,MATCH($C$14,'Сводный годовой график'!$B$1:$B$4),MATCH(DATE($AV$1,MONTH($B$14),M$3),'Сводный годовой график'!$C$6:$AR$6))&lt;&gt;12,INDIRECT(ADDRESS(ROW()+1,COLUMN()))="СП"),8,INDEX('Сводный годовой график'!$C$1:$AR$4,MATCH($C$14,'Сводный годовой график'!$B$1:$B$4),MATCH(DATE($AV$1,MONTH($B$14),M$3),'Сводный годовой график'!$C$6:$AR$6)))</f>
        <v>12</v>
      </c>
      <c r="N14" s="28">
        <f ca="1">IF(AND(INDEX('Сводный годовой график'!$C$1:$AR$4,MATCH($C$14,'Сводный годовой график'!$B$1:$B$4),MATCH(DATE($AV$1,MONTH($B$14),N$3),'Сводный годовой график'!$C$6:$AR$6))&lt;&gt;12,INDIRECT(ADDRESS(ROW()+1,COLUMN()))="СП"),8,INDEX('Сводный годовой график'!$C$1:$AR$4,MATCH($C$14,'Сводный годовой график'!$B$1:$B$4),MATCH(DATE($AV$1,MONTH($B$14),N$3),'Сводный годовой график'!$C$6:$AR$6)))</f>
        <v>0</v>
      </c>
      <c r="O14" s="28">
        <f ca="1">IF(AND(INDEX('Сводный годовой график'!$C$1:$AR$4,MATCH($C$14,'Сводный годовой график'!$B$1:$B$4),MATCH(DATE($AV$1,MONTH($B$14),O$3),'Сводный годовой график'!$C$6:$AR$6))&lt;&gt;12,INDIRECT(ADDRESS(ROW()+1,COLUMN()))="СП"),8,INDEX('Сводный годовой график'!$C$1:$AR$4,MATCH($C$14,'Сводный годовой график'!$B$1:$B$4),MATCH(DATE($AV$1,MONTH($B$14),O$3),'Сводный годовой график'!$C$6:$AR$6)))</f>
        <v>0</v>
      </c>
      <c r="P14" s="28">
        <f ca="1">IF(AND(INDEX('Сводный годовой график'!$C$1:$AR$4,MATCH($C$14,'Сводный годовой график'!$B$1:$B$4),MATCH(DATE($AV$1,MONTH($B$14),P$3),'Сводный годовой график'!$C$6:$AR$6))&lt;&gt;12,INDIRECT(ADDRESS(ROW()+1,COLUMN()))="СП"),8,INDEX('Сводный годовой график'!$C$1:$AR$4,MATCH($C$14,'Сводный годовой график'!$B$1:$B$4),MATCH(DATE($AV$1,MONTH($B$14),P$3),'Сводный годовой график'!$C$6:$AR$6)))</f>
        <v>4</v>
      </c>
      <c r="Q14" s="28">
        <f ca="1">IF(AND(INDEX('Сводный годовой график'!$C$1:$AR$4,MATCH($C$14,'Сводный годовой график'!$B$1:$B$4),MATCH(DATE($AV$1,MONTH($B$14),Q$3),'Сводный годовой график'!$C$6:$AR$6))&lt;&gt;12,INDIRECT(ADDRESS(ROW()+1,COLUMN()))="СП"),8,INDEX('Сводный годовой график'!$C$1:$AR$4,MATCH($C$14,'Сводный годовой график'!$B$1:$B$4),MATCH(DATE($AV$1,MONTH($B$14),Q$3),'Сводный годовой график'!$C$6:$AR$6)))</f>
        <v>8</v>
      </c>
      <c r="R14" s="28">
        <f ca="1">IF(AND(INDEX('Сводный годовой график'!$C$1:$AR$4,MATCH($C$14,'Сводный годовой график'!$B$1:$B$4),MATCH(DATE($AV$1,MONTH($B$14),R$3),'Сводный годовой график'!$C$6:$AR$6))&lt;&gt;12,INDIRECT(ADDRESS(ROW()+1,COLUMN()))="СП"),8,INDEX('Сводный годовой график'!$C$1:$AR$4,MATCH($C$14,'Сводный годовой график'!$B$1:$B$4),MATCH(DATE($AV$1,MONTH($B$14),R$3),'Сводный годовой график'!$C$6:$AR$6)))</f>
        <v>12</v>
      </c>
      <c r="S14" s="28">
        <f ca="1">IF(AND(INDEX('Сводный годовой график'!$C$1:$AR$4,MATCH($C$14,'Сводный годовой график'!$B$1:$B$4),MATCH(DATE($AV$1,MONTH($B$14),S$3),'Сводный годовой график'!$C$6:$AR$6))&lt;&gt;12,INDIRECT(ADDRESS(ROW()+1,COLUMN()))="СП"),8,INDEX('Сводный годовой график'!$C$1:$AR$4,MATCH($C$14,'Сводный годовой график'!$B$1:$B$4),MATCH(DATE($AV$1,MONTH($B$14),S$3),'Сводный годовой график'!$C$6:$AR$6)))</f>
        <v>4</v>
      </c>
      <c r="T14" s="28">
        <f ca="1">IF(AND(INDEX('Сводный годовой график'!$C$1:$AR$4,MATCH($C$14,'Сводный годовой график'!$B$1:$B$4),MATCH(DATE($AV$1,MONTH($B$14),T$3),'Сводный годовой график'!$C$6:$AR$6))&lt;&gt;12,INDIRECT(ADDRESS(ROW()+1,COLUMN()))="СП"),8,INDEX('Сводный годовой график'!$C$1:$AR$4,MATCH($C$14,'Сводный годовой график'!$B$1:$B$4),MATCH(DATE($AV$1,MONTH($B$14),T$3),'Сводный годовой график'!$C$6:$AR$6)))</f>
        <v>8</v>
      </c>
      <c r="U14" s="28">
        <f ca="1">IF(AND(INDEX('Сводный годовой график'!$C$1:$AR$4,MATCH($C$14,'Сводный годовой график'!$B$1:$B$4),MATCH(DATE($AV$1,MONTH($B$14),U$3),'Сводный годовой график'!$C$6:$AR$6))&lt;&gt;12,INDIRECT(ADDRESS(ROW()+1,COLUMN()))="СП"),8,INDEX('Сводный годовой график'!$C$1:$AR$4,MATCH($C$14,'Сводный годовой график'!$B$1:$B$4),MATCH(DATE($AV$1,MONTH($B$14),U$3),'Сводный годовой график'!$C$6:$AR$6)))</f>
        <v>12</v>
      </c>
      <c r="V14" s="28">
        <f ca="1">IF(AND(INDEX('Сводный годовой график'!$C$1:$AR$4,MATCH($C$14,'Сводный годовой график'!$B$1:$B$4),MATCH(DATE($AV$1,MONTH($B$14),V$3),'Сводный годовой график'!$C$6:$AR$6))&lt;&gt;12,INDIRECT(ADDRESS(ROW()+1,COLUMN()))="СП"),8,INDEX('Сводный годовой график'!$C$1:$AR$4,MATCH($C$14,'Сводный годовой график'!$B$1:$B$4),MATCH(DATE($AV$1,MONTH($B$14),V$3),'Сводный годовой график'!$C$6:$AR$6)))</f>
        <v>0</v>
      </c>
      <c r="W14" s="28">
        <f ca="1">IF(AND(INDEX('Сводный годовой график'!$C$1:$AR$4,MATCH($C$14,'Сводный годовой график'!$B$1:$B$4),MATCH(DATE($AV$1,MONTH($B$14),W$3),'Сводный годовой график'!$C$6:$AR$6))&lt;&gt;12,INDIRECT(ADDRESS(ROW()+1,COLUMN()))="СП"),8,INDEX('Сводный годовой график'!$C$1:$AR$4,MATCH($C$14,'Сводный годовой график'!$B$1:$B$4),MATCH(DATE($AV$1,MONTH($B$14),W$3),'Сводный годовой график'!$C$6:$AR$6)))</f>
        <v>0</v>
      </c>
      <c r="X14" s="28">
        <f ca="1">IF(AND(INDEX('Сводный годовой график'!$C$1:$AR$4,MATCH($C$14,'Сводный годовой график'!$B$1:$B$4),MATCH(DATE($AV$1,MONTH($B$14),X$3),'Сводный годовой график'!$C$6:$AR$6))&lt;&gt;12,INDIRECT(ADDRESS(ROW()+1,COLUMN()))="СП"),8,INDEX('Сводный годовой график'!$C$1:$AR$4,MATCH($C$14,'Сводный годовой график'!$B$1:$B$4),MATCH(DATE($AV$1,MONTH($B$14),X$3),'Сводный годовой график'!$C$6:$AR$6)))</f>
        <v>4</v>
      </c>
      <c r="Y14" s="28">
        <f ca="1">IF(AND(INDEX('Сводный годовой график'!$C$1:$AR$4,MATCH($C$14,'Сводный годовой график'!$B$1:$B$4),MATCH(DATE($AV$1,MONTH($B$14),Y$3),'Сводный годовой график'!$C$6:$AR$6))&lt;&gt;12,INDIRECT(ADDRESS(ROW()+1,COLUMN()))="СП"),8,INDEX('Сводный годовой график'!$C$1:$AR$4,MATCH($C$14,'Сводный годовой график'!$B$1:$B$4),MATCH(DATE($AV$1,MONTH($B$14),Y$3),'Сводный годовой график'!$C$6:$AR$6)))</f>
        <v>8</v>
      </c>
      <c r="Z14" s="28">
        <f ca="1">IF(AND(INDEX('Сводный годовой график'!$C$1:$AR$4,MATCH($C$14,'Сводный годовой график'!$B$1:$B$4),MATCH(DATE($AV$1,MONTH($B$14),Z$3),'Сводный годовой график'!$C$6:$AR$6))&lt;&gt;12,INDIRECT(ADDRESS(ROW()+1,COLUMN()))="СП"),8,INDEX('Сводный годовой график'!$C$1:$AR$4,MATCH($C$14,'Сводный годовой график'!$B$1:$B$4),MATCH(DATE($AV$1,MONTH($B$14),Z$3),'Сводный годовой график'!$C$6:$AR$6)))</f>
        <v>12</v>
      </c>
      <c r="AA14" s="28">
        <f ca="1">IF(AND(INDEX('Сводный годовой график'!$C$1:$AR$4,MATCH($C$14,'Сводный годовой график'!$B$1:$B$4),MATCH(DATE($AV$1,MONTH($B$14),AA$3),'Сводный годовой график'!$C$6:$AR$6))&lt;&gt;12,INDIRECT(ADDRESS(ROW()+1,COLUMN()))="СП"),8,INDEX('Сводный годовой график'!$C$1:$AR$4,MATCH($C$14,'Сводный годовой график'!$B$1:$B$4),MATCH(DATE($AV$1,MONTH($B$14),AA$3),'Сводный годовой график'!$C$6:$AR$6)))</f>
        <v>4</v>
      </c>
      <c r="AB14" s="28">
        <f ca="1">IF(AND(INDEX('Сводный годовой график'!$C$1:$AR$4,MATCH($C$14,'Сводный годовой график'!$B$1:$B$4),MATCH(DATE($AV$1,MONTH($B$14),AB$3),'Сводный годовой график'!$C$6:$AR$6))&lt;&gt;12,INDIRECT(ADDRESS(ROW()+1,COLUMN()))="СП"),8,INDEX('Сводный годовой график'!$C$1:$AR$4,MATCH($C$14,'Сводный годовой график'!$B$1:$B$4),MATCH(DATE($AV$1,MONTH($B$14),AB$3),'Сводный годовой график'!$C$6:$AR$6)))</f>
        <v>8</v>
      </c>
      <c r="AC14" s="28">
        <f ca="1">IF(AND(INDEX('Сводный годовой график'!$C$1:$AR$4,MATCH($C$14,'Сводный годовой график'!$B$1:$B$4),MATCH(DATE($AV$1,MONTH($B$14),AC$3),'Сводный годовой график'!$C$6:$AR$6))&lt;&gt;12,INDIRECT(ADDRESS(ROW()+1,COLUMN()))="СП"),8,INDEX('Сводный годовой график'!$C$1:$AR$4,MATCH($C$14,'Сводный годовой график'!$B$1:$B$4),MATCH(DATE($AV$1,MONTH($B$14),AC$3),'Сводный годовой график'!$C$6:$AR$6)))</f>
        <v>12</v>
      </c>
      <c r="AD14" s="28">
        <f ca="1">IF(AND(INDEX('Сводный годовой график'!$C$1:$AR$4,MATCH($C$14,'Сводный годовой график'!$B$1:$B$4),MATCH(DATE($AV$1,MONTH($B$14),AD$3),'Сводный годовой график'!$C$6:$AR$6))&lt;&gt;12,INDIRECT(ADDRESS(ROW()+1,COLUMN()))="СП"),8,INDEX('Сводный годовой график'!$C$1:$AR$4,MATCH($C$14,'Сводный годовой график'!$B$1:$B$4),MATCH(DATE($AV$1,MONTH($B$14),AD$3),'Сводный годовой график'!$C$6:$AR$6)))</f>
        <v>0</v>
      </c>
      <c r="AE14" s="28">
        <f ca="1">IF(AND(INDEX('Сводный годовой график'!$C$1:$AR$4,MATCH($C$14,'Сводный годовой график'!$B$1:$B$4),MATCH(DATE($AV$1,MONTH($B$14),AE$3),'Сводный годовой график'!$C$6:$AR$6))&lt;&gt;12,INDIRECT(ADDRESS(ROW()+1,COLUMN()))="СП"),8,INDEX('Сводный годовой график'!$C$1:$AR$4,MATCH($C$14,'Сводный годовой график'!$B$1:$B$4),MATCH(DATE($AV$1,MONTH($B$14),AE$3),'Сводный годовой график'!$C$6:$AR$6)))</f>
        <v>0</v>
      </c>
      <c r="AF14" s="28">
        <f ca="1">IF(AND(INDEX('Сводный годовой график'!$C$1:$AR$4,MATCH($C$14,'Сводный годовой график'!$B$1:$B$4),MATCH(DATE($AV$1,MONTH($B$14),AF$3),'Сводный годовой график'!$C$6:$AR$6))&lt;&gt;12,INDIRECT(ADDRESS(ROW()+1,COLUMN()))="СП"),8,INDEX('Сводный годовой график'!$C$1:$AR$4,MATCH($C$14,'Сводный годовой график'!$B$1:$B$4),MATCH(DATE($AV$1,MONTH($B$14),AF$3),'Сводный годовой график'!$C$6:$AR$6)))</f>
        <v>4</v>
      </c>
      <c r="AG14" s="121"/>
      <c r="AH14" s="121"/>
      <c r="AI14" s="109"/>
      <c r="AJ14" s="205">
        <f>INDEX(Подключения!$D$3:$H$14,MONTH(B14),5)</f>
        <v>160</v>
      </c>
      <c r="AK14" s="223">
        <f>$AJ$14-SUM(AY14:CC15)</f>
        <v>160</v>
      </c>
      <c r="AL14" s="203">
        <f t="shared" ref="AL14" ca="1" si="21">SUM(E14:AI15)</f>
        <v>168</v>
      </c>
      <c r="AM14" s="203">
        <f ca="1">SUM(AA14)</f>
        <v>4</v>
      </c>
      <c r="AN14" s="208">
        <f t="shared" ref="AN14" ca="1" si="22">-AM14-AK14+AL14</f>
        <v>4</v>
      </c>
      <c r="AO14" s="208">
        <v>18</v>
      </c>
      <c r="AP14" s="208">
        <f ca="1">AN14+AP4-AO14</f>
        <v>-18</v>
      </c>
      <c r="AQ14" s="203">
        <v>0</v>
      </c>
      <c r="AR14" s="204">
        <v>1</v>
      </c>
      <c r="CK14" s="59"/>
      <c r="CL14" s="59"/>
      <c r="CM14" s="59"/>
      <c r="CN14" s="59"/>
      <c r="CO14" s="59"/>
      <c r="CP14" s="59"/>
      <c r="CQ14" s="59"/>
      <c r="CR14" s="59"/>
      <c r="CS14" s="59"/>
      <c r="CT14" s="59"/>
      <c r="CU14" s="59"/>
      <c r="CV14" s="59"/>
      <c r="CW14" s="59"/>
      <c r="CX14" s="59"/>
      <c r="CY14" s="59"/>
      <c r="CZ14" s="59"/>
      <c r="DA14" s="59"/>
      <c r="DB14" s="59"/>
      <c r="DC14" s="59"/>
      <c r="DD14" s="59"/>
      <c r="DE14" s="59"/>
      <c r="DF14" s="59"/>
      <c r="DG14" s="59"/>
      <c r="DH14" s="59"/>
      <c r="DI14" s="59"/>
      <c r="DJ14" s="59"/>
      <c r="DK14" s="59"/>
      <c r="DL14" s="59"/>
      <c r="DM14" s="59"/>
      <c r="DN14" s="59"/>
      <c r="DO14" s="59"/>
    </row>
    <row r="15" spans="2:123" ht="17.25" customHeight="1" thickBot="1" x14ac:dyDescent="0.3">
      <c r="B15" s="201"/>
      <c r="C15" s="197"/>
      <c r="D15" s="82">
        <v>2</v>
      </c>
      <c r="E15" s="96" t="str">
        <f t="shared" ref="E15:AF15" si="23">IF(INDEX($CK$4:$DO$123,ROW()-3,E$3)=0,"","СП")</f>
        <v/>
      </c>
      <c r="F15" s="92" t="str">
        <f t="shared" si="23"/>
        <v>СП</v>
      </c>
      <c r="G15" s="92" t="str">
        <f t="shared" si="23"/>
        <v/>
      </c>
      <c r="H15" s="92" t="str">
        <f t="shared" si="23"/>
        <v/>
      </c>
      <c r="I15" s="92" t="str">
        <f t="shared" si="23"/>
        <v/>
      </c>
      <c r="J15" s="92" t="str">
        <f t="shared" si="23"/>
        <v/>
      </c>
      <c r="K15" s="92" t="str">
        <f t="shared" si="23"/>
        <v/>
      </c>
      <c r="L15" s="92" t="str">
        <f t="shared" si="23"/>
        <v/>
      </c>
      <c r="M15" s="92" t="str">
        <f t="shared" si="23"/>
        <v/>
      </c>
      <c r="N15" s="92" t="str">
        <f t="shared" si="23"/>
        <v/>
      </c>
      <c r="O15" s="92" t="str">
        <f t="shared" si="23"/>
        <v/>
      </c>
      <c r="P15" s="92" t="str">
        <f t="shared" si="23"/>
        <v/>
      </c>
      <c r="Q15" s="92" t="str">
        <f t="shared" si="23"/>
        <v/>
      </c>
      <c r="R15" s="92" t="str">
        <f t="shared" si="23"/>
        <v/>
      </c>
      <c r="S15" s="92" t="str">
        <f t="shared" si="23"/>
        <v/>
      </c>
      <c r="T15" s="92" t="str">
        <f t="shared" si="23"/>
        <v/>
      </c>
      <c r="U15" s="92" t="str">
        <f t="shared" si="23"/>
        <v/>
      </c>
      <c r="V15" s="92" t="str">
        <f t="shared" si="23"/>
        <v/>
      </c>
      <c r="W15" s="92" t="str">
        <f t="shared" si="23"/>
        <v/>
      </c>
      <c r="X15" s="92" t="str">
        <f t="shared" si="23"/>
        <v/>
      </c>
      <c r="Y15" s="92" t="str">
        <f t="shared" si="23"/>
        <v/>
      </c>
      <c r="Z15" s="92" t="str">
        <f t="shared" si="23"/>
        <v/>
      </c>
      <c r="AA15" s="92" t="str">
        <f t="shared" si="23"/>
        <v/>
      </c>
      <c r="AB15" s="92" t="str">
        <f t="shared" si="23"/>
        <v/>
      </c>
      <c r="AC15" s="92" t="str">
        <f t="shared" si="23"/>
        <v/>
      </c>
      <c r="AD15" s="92" t="str">
        <f t="shared" si="23"/>
        <v/>
      </c>
      <c r="AE15" s="92" t="str">
        <f t="shared" si="23"/>
        <v/>
      </c>
      <c r="AF15" s="92" t="str">
        <f t="shared" si="23"/>
        <v/>
      </c>
      <c r="AG15" s="119"/>
      <c r="AH15" s="119"/>
      <c r="AI15" s="110"/>
      <c r="AJ15" s="206"/>
      <c r="AK15" s="226"/>
      <c r="AL15" s="177"/>
      <c r="AM15" s="177"/>
      <c r="AN15" s="198"/>
      <c r="AO15" s="198"/>
      <c r="AP15" s="198"/>
      <c r="AQ15" s="177"/>
      <c r="AR15" s="179"/>
      <c r="CK15" s="58">
        <f>IF(DAY(INDEX('Сводный годовой график'!$BA$4:$BL$14,$C14,MONTH($B$14)))=E$3,1,0)</f>
        <v>0</v>
      </c>
      <c r="CL15" s="58">
        <f>IF(DAY(INDEX('Сводный годовой график'!$BA$4:$BL$14,$C14,MONTH($B$14)))=F$3,1,0)</f>
        <v>1</v>
      </c>
      <c r="CM15" s="58">
        <f>IF(DAY(INDEX('Сводный годовой график'!$BA$4:$BL$14,$C14,MONTH($B$14)))=G$3,1,0)</f>
        <v>0</v>
      </c>
      <c r="CN15" s="58">
        <f>IF(DAY(INDEX('Сводный годовой график'!$BA$4:$BL$14,$C14,MONTH($B$14)))=H$3,1,0)</f>
        <v>0</v>
      </c>
      <c r="CO15" s="58">
        <f>IF(DAY(INDEX('Сводный годовой график'!$BA$4:$BL$14,$C14,MONTH($B$14)))=I$3,1,0)</f>
        <v>0</v>
      </c>
      <c r="CP15" s="58">
        <f>IF(DAY(INDEX('Сводный годовой график'!$BA$4:$BL$14,$C14,MONTH($B$14)))=J$3,1,0)</f>
        <v>0</v>
      </c>
      <c r="CQ15" s="58">
        <f>IF(DAY(INDEX('Сводный годовой график'!$BA$4:$BL$14,$C14,MONTH($B$14)))=K$3,1,0)</f>
        <v>0</v>
      </c>
      <c r="CR15" s="58">
        <f>IF(DAY(INDEX('Сводный годовой график'!$BA$4:$BL$14,$C14,MONTH($B$14)))=L$3,1,0)</f>
        <v>0</v>
      </c>
      <c r="CS15" s="58">
        <f>IF(DAY(INDEX('Сводный годовой график'!$BA$4:$BL$14,$C14,MONTH($B$14)))=M$3,1,0)</f>
        <v>0</v>
      </c>
      <c r="CT15" s="58">
        <f>IF(DAY(INDEX('Сводный годовой график'!$BA$4:$BL$14,$C14,MONTH($B$14)))=N$3,1,0)</f>
        <v>0</v>
      </c>
      <c r="CU15" s="58">
        <f>IF(DAY(INDEX('Сводный годовой график'!$BA$4:$BL$14,$C14,MONTH($B$14)))=O$3,1,0)</f>
        <v>0</v>
      </c>
      <c r="CV15" s="58">
        <f>IF(DAY(INDEX('Сводный годовой график'!$BA$4:$BL$14,$C14,MONTH($B$14)))=P$3,1,0)</f>
        <v>0</v>
      </c>
      <c r="CW15" s="58">
        <f>IF(DAY(INDEX('Сводный годовой график'!$BA$4:$BL$14,$C14,MONTH($B$14)))=Q$3,1,0)</f>
        <v>0</v>
      </c>
      <c r="CX15" s="58">
        <f>IF(DAY(INDEX('Сводный годовой график'!$BA$4:$BL$14,$C14,MONTH($B$14)))=R$3,1,0)</f>
        <v>0</v>
      </c>
      <c r="CY15" s="58">
        <f>IF(DAY(INDEX('Сводный годовой график'!$BA$4:$BL$14,$C14,MONTH($B$14)))=S$3,1,0)</f>
        <v>0</v>
      </c>
      <c r="CZ15" s="58">
        <f>IF(DAY(INDEX('Сводный годовой график'!$BA$4:$BL$14,$C14,MONTH($B$14)))=T$3,1,0)</f>
        <v>0</v>
      </c>
      <c r="DA15" s="58">
        <f>IF(DAY(INDEX('Сводный годовой график'!$BA$4:$BL$14,$C14,MONTH($B$14)))=U$3,1,0)</f>
        <v>0</v>
      </c>
      <c r="DB15" s="58">
        <f>IF(DAY(INDEX('Сводный годовой график'!$BA$4:$BL$14,$C14,MONTH($B$14)))=V$3,1,0)</f>
        <v>0</v>
      </c>
      <c r="DC15" s="58">
        <f>IF(DAY(INDEX('Сводный годовой график'!$BA$4:$BL$14,$C14,MONTH($B$14)))=W$3,1,0)</f>
        <v>0</v>
      </c>
      <c r="DD15" s="58">
        <f>IF(DAY(INDEX('Сводный годовой график'!$BA$4:$BL$14,$C14,MONTH($B$14)))=X$3,1,0)</f>
        <v>0</v>
      </c>
      <c r="DE15" s="58">
        <f>IF(DAY(INDEX('Сводный годовой график'!$BA$4:$BL$14,$C14,MONTH($B$14)))=Y$3,1,0)</f>
        <v>0</v>
      </c>
      <c r="DF15" s="58">
        <f>IF(DAY(INDEX('Сводный годовой график'!$BA$4:$BL$14,$C14,MONTH($B$14)))=Z$3,1,0)</f>
        <v>0</v>
      </c>
      <c r="DG15" s="58">
        <f>IF(DAY(INDEX('Сводный годовой график'!$BA$4:$BL$14,$C14,MONTH($B$14)))=AA$3,1,0)</f>
        <v>0</v>
      </c>
      <c r="DH15" s="58">
        <f>IF(DAY(INDEX('Сводный годовой график'!$BA$4:$BL$14,$C14,MONTH($B$14)))=AB$3,1,0)</f>
        <v>0</v>
      </c>
      <c r="DI15" s="58">
        <f>IF(DAY(INDEX('Сводный годовой график'!$BA$4:$BL$14,$C14,MONTH($B$14)))=AC$3,1,0)</f>
        <v>0</v>
      </c>
      <c r="DJ15" s="58">
        <f>IF(DAY(INDEX('Сводный годовой график'!$BA$4:$BL$14,$C14,MONTH($B$14)))=AD$3,1,0)</f>
        <v>0</v>
      </c>
      <c r="DK15" s="58">
        <f>IF(DAY(INDEX('Сводный годовой график'!$BA$4:$BL$14,$C14,MONTH($B$14)))=AE$3,1,0)</f>
        <v>0</v>
      </c>
      <c r="DL15" s="58">
        <f>IF(DAY(INDEX('Сводный годовой график'!$BA$4:$BL$14,$C14,MONTH($B$14)))=AF$3,1,0)</f>
        <v>0</v>
      </c>
      <c r="DM15" s="58">
        <f>IF(DAY(INDEX('Сводный годовой график'!$BA$4:$BL$14,$C14,MONTH($B$14)))=AG$3,1,0)</f>
        <v>0</v>
      </c>
      <c r="DN15" s="58">
        <f>IF(DAY(INDEX('Сводный годовой график'!$BA$4:$BL$14,$C14,MONTH($B$14)))=AH$3,1,0)</f>
        <v>0</v>
      </c>
      <c r="DO15" s="58">
        <f>IF(DAY(INDEX('Сводный годовой график'!$BA$4:$BL$14,$C14,MONTH($B$14)))=AI$3,1,0)</f>
        <v>0</v>
      </c>
    </row>
    <row r="16" spans="2:123" ht="17.25" thickTop="1" thickBot="1" x14ac:dyDescent="0.3">
      <c r="B16" s="201"/>
      <c r="C16" s="196">
        <v>2</v>
      </c>
      <c r="D16" s="81">
        <v>3</v>
      </c>
      <c r="E16" s="96">
        <f ca="1">IF(AND(INDEX('Сводный годовой график'!$C$1:$AR$4,MATCH($C$16,'Сводный годовой график'!$B$1:$B$4),MATCH(DATE($AV$1,MONTH($B$14),E$3),'Сводный годовой график'!$C$6:$AR$6))&lt;&gt;12,INDIRECT(ADDRESS(ROW()+1,COLUMN()))="СП"),8,INDEX('Сводный годовой график'!$C$1:$AR$4,MATCH($C$16,'Сводный годовой график'!$B$1:$B$4),MATCH(DATE($AV$1,MONTH($B$14),E$3),'Сводный годовой график'!$C$6:$AR$6)))</f>
        <v>0</v>
      </c>
      <c r="F16" s="92">
        <f ca="1">IF(AND(INDEX('Сводный годовой график'!$C$1:$AR$4,MATCH($C$16,'Сводный годовой график'!$B$1:$B$4),MATCH(DATE($AV$1,MONTH($B$14),F$3),'Сводный годовой график'!$C$6:$AR$6))&lt;&gt;12,INDIRECT(ADDRESS(ROW()+1,COLUMN()))="СП"),8,INDEX('Сводный годовой график'!$C$1:$AR$4,MATCH($C$16,'Сводный годовой график'!$B$1:$B$4),MATCH(DATE($AV$1,MONTH($B$14),F$3),'Сводный годовой график'!$C$6:$AR$6)))</f>
        <v>4</v>
      </c>
      <c r="G16" s="92">
        <f ca="1">IF(AND(INDEX('Сводный годовой график'!$C$1:$AR$4,MATCH($C$16,'Сводный годовой график'!$B$1:$B$4),MATCH(DATE($AV$1,MONTH($B$14),G$3),'Сводный годовой график'!$C$6:$AR$6))&lt;&gt;12,INDIRECT(ADDRESS(ROW()+1,COLUMN()))="СП"),8,INDEX('Сводный годовой график'!$C$1:$AR$4,MATCH($C$16,'Сводный годовой график'!$B$1:$B$4),MATCH(DATE($AV$1,MONTH($B$14),G$3),'Сводный годовой график'!$C$6:$AR$6)))</f>
        <v>8</v>
      </c>
      <c r="H16" s="92">
        <f ca="1">IF(AND(INDEX('Сводный годовой график'!$C$1:$AR$4,MATCH($C$16,'Сводный годовой график'!$B$1:$B$4),MATCH(DATE($AV$1,MONTH($B$14),H$3),'Сводный годовой график'!$C$6:$AR$6))&lt;&gt;12,INDIRECT(ADDRESS(ROW()+1,COLUMN()))="СП"),8,INDEX('Сводный годовой график'!$C$1:$AR$4,MATCH($C$16,'Сводный годовой график'!$B$1:$B$4),MATCH(DATE($AV$1,MONTH($B$14),H$3),'Сводный годовой график'!$C$6:$AR$6)))</f>
        <v>12</v>
      </c>
      <c r="I16" s="92">
        <f ca="1">IF(AND(INDEX('Сводный годовой график'!$C$1:$AR$4,MATCH($C$16,'Сводный годовой график'!$B$1:$B$4),MATCH(DATE($AV$1,MONTH($B$14),I$3),'Сводный годовой график'!$C$6:$AR$6))&lt;&gt;12,INDIRECT(ADDRESS(ROW()+1,COLUMN()))="СП"),8,INDEX('Сводный годовой график'!$C$1:$AR$4,MATCH($C$16,'Сводный годовой график'!$B$1:$B$4),MATCH(DATE($AV$1,MONTH($B$14),I$3),'Сводный годовой график'!$C$6:$AR$6)))</f>
        <v>4</v>
      </c>
      <c r="J16" s="92">
        <f ca="1">IF(AND(INDEX('Сводный годовой график'!$C$1:$AR$4,MATCH($C$16,'Сводный годовой график'!$B$1:$B$4),MATCH(DATE($AV$1,MONTH($B$14),J$3),'Сводный годовой график'!$C$6:$AR$6))&lt;&gt;12,INDIRECT(ADDRESS(ROW()+1,COLUMN()))="СП"),8,INDEX('Сводный годовой график'!$C$1:$AR$4,MATCH($C$16,'Сводный годовой график'!$B$1:$B$4),MATCH(DATE($AV$1,MONTH($B$14),J$3),'Сводный годовой график'!$C$6:$AR$6)))</f>
        <v>8</v>
      </c>
      <c r="K16" s="92">
        <f ca="1">IF(AND(INDEX('Сводный годовой график'!$C$1:$AR$4,MATCH($C$16,'Сводный годовой график'!$B$1:$B$4),MATCH(DATE($AV$1,MONTH($B$14),K$3),'Сводный годовой график'!$C$6:$AR$6))&lt;&gt;12,INDIRECT(ADDRESS(ROW()+1,COLUMN()))="СП"),8,INDEX('Сводный годовой график'!$C$1:$AR$4,MATCH($C$16,'Сводный годовой график'!$B$1:$B$4),MATCH(DATE($AV$1,MONTH($B$14),K$3),'Сводный годовой график'!$C$6:$AR$6)))</f>
        <v>12</v>
      </c>
      <c r="L16" s="92">
        <f ca="1">IF(AND(INDEX('Сводный годовой график'!$C$1:$AR$4,MATCH($C$16,'Сводный годовой график'!$B$1:$B$4),MATCH(DATE($AV$1,MONTH($B$14),L$3),'Сводный годовой график'!$C$6:$AR$6))&lt;&gt;12,INDIRECT(ADDRESS(ROW()+1,COLUMN()))="СП"),8,INDEX('Сводный годовой график'!$C$1:$AR$4,MATCH($C$16,'Сводный годовой график'!$B$1:$B$4),MATCH(DATE($AV$1,MONTH($B$14),L$3),'Сводный годовой график'!$C$6:$AR$6)))</f>
        <v>0</v>
      </c>
      <c r="M16" s="92">
        <f ca="1">IF(AND(INDEX('Сводный годовой график'!$C$1:$AR$4,MATCH($C$16,'Сводный годовой график'!$B$1:$B$4),MATCH(DATE($AV$1,MONTH($B$14),M$3),'Сводный годовой график'!$C$6:$AR$6))&lt;&gt;12,INDIRECT(ADDRESS(ROW()+1,COLUMN()))="СП"),8,INDEX('Сводный годовой график'!$C$1:$AR$4,MATCH($C$16,'Сводный годовой график'!$B$1:$B$4),MATCH(DATE($AV$1,MONTH($B$14),M$3),'Сводный годовой график'!$C$6:$AR$6)))</f>
        <v>0</v>
      </c>
      <c r="N16" s="92">
        <f ca="1">IF(AND(INDEX('Сводный годовой график'!$C$1:$AR$4,MATCH($C$16,'Сводный годовой график'!$B$1:$B$4),MATCH(DATE($AV$1,MONTH($B$14),N$3),'Сводный годовой график'!$C$6:$AR$6))&lt;&gt;12,INDIRECT(ADDRESS(ROW()+1,COLUMN()))="СП"),8,INDEX('Сводный годовой график'!$C$1:$AR$4,MATCH($C$16,'Сводный годовой график'!$B$1:$B$4),MATCH(DATE($AV$1,MONTH($B$14),N$3),'Сводный годовой график'!$C$6:$AR$6)))</f>
        <v>4</v>
      </c>
      <c r="O16" s="92">
        <f ca="1">IF(AND(INDEX('Сводный годовой график'!$C$1:$AR$4,MATCH($C$16,'Сводный годовой график'!$B$1:$B$4),MATCH(DATE($AV$1,MONTH($B$14),O$3),'Сводный годовой график'!$C$6:$AR$6))&lt;&gt;12,INDIRECT(ADDRESS(ROW()+1,COLUMN()))="СП"),8,INDEX('Сводный годовой график'!$C$1:$AR$4,MATCH($C$16,'Сводный годовой график'!$B$1:$B$4),MATCH(DATE($AV$1,MONTH($B$14),O$3),'Сводный годовой график'!$C$6:$AR$6)))</f>
        <v>8</v>
      </c>
      <c r="P16" s="92">
        <f ca="1">IF(AND(INDEX('Сводный годовой график'!$C$1:$AR$4,MATCH($C$16,'Сводный годовой график'!$B$1:$B$4),MATCH(DATE($AV$1,MONTH($B$14),P$3),'Сводный годовой график'!$C$6:$AR$6))&lt;&gt;12,INDIRECT(ADDRESS(ROW()+1,COLUMN()))="СП"),8,INDEX('Сводный годовой график'!$C$1:$AR$4,MATCH($C$16,'Сводный годовой график'!$B$1:$B$4),MATCH(DATE($AV$1,MONTH($B$14),P$3),'Сводный годовой график'!$C$6:$AR$6)))</f>
        <v>12</v>
      </c>
      <c r="Q16" s="92">
        <f ca="1">IF(AND(INDEX('Сводный годовой график'!$C$1:$AR$4,MATCH($C$16,'Сводный годовой график'!$B$1:$B$4),MATCH(DATE($AV$1,MONTH($B$14),Q$3),'Сводный годовой график'!$C$6:$AR$6))&lt;&gt;12,INDIRECT(ADDRESS(ROW()+1,COLUMN()))="СП"),8,INDEX('Сводный годовой график'!$C$1:$AR$4,MATCH($C$16,'Сводный годовой график'!$B$1:$B$4),MATCH(DATE($AV$1,MONTH($B$14),Q$3),'Сводный годовой график'!$C$6:$AR$6)))</f>
        <v>4</v>
      </c>
      <c r="R16" s="92">
        <f ca="1">IF(AND(INDEX('Сводный годовой график'!$C$1:$AR$4,MATCH($C$16,'Сводный годовой график'!$B$1:$B$4),MATCH(DATE($AV$1,MONTH($B$14),R$3),'Сводный годовой график'!$C$6:$AR$6))&lt;&gt;12,INDIRECT(ADDRESS(ROW()+1,COLUMN()))="СП"),8,INDEX('Сводный годовой график'!$C$1:$AR$4,MATCH($C$16,'Сводный годовой график'!$B$1:$B$4),MATCH(DATE($AV$1,MONTH($B$14),R$3),'Сводный годовой график'!$C$6:$AR$6)))</f>
        <v>8</v>
      </c>
      <c r="S16" s="92">
        <f ca="1">IF(AND(INDEX('Сводный годовой график'!$C$1:$AR$4,MATCH($C$16,'Сводный годовой график'!$B$1:$B$4),MATCH(DATE($AV$1,MONTH($B$14),S$3),'Сводный годовой график'!$C$6:$AR$6))&lt;&gt;12,INDIRECT(ADDRESS(ROW()+1,COLUMN()))="СП"),8,INDEX('Сводный годовой график'!$C$1:$AR$4,MATCH($C$16,'Сводный годовой график'!$B$1:$B$4),MATCH(DATE($AV$1,MONTH($B$14),S$3),'Сводный годовой график'!$C$6:$AR$6)))</f>
        <v>12</v>
      </c>
      <c r="T16" s="92">
        <f ca="1">IF(AND(INDEX('Сводный годовой график'!$C$1:$AR$4,MATCH($C$16,'Сводный годовой график'!$B$1:$B$4),MATCH(DATE($AV$1,MONTH($B$14),T$3),'Сводный годовой график'!$C$6:$AR$6))&lt;&gt;12,INDIRECT(ADDRESS(ROW()+1,COLUMN()))="СП"),8,INDEX('Сводный годовой график'!$C$1:$AR$4,MATCH($C$16,'Сводный годовой график'!$B$1:$B$4),MATCH(DATE($AV$1,MONTH($B$14),T$3),'Сводный годовой график'!$C$6:$AR$6)))</f>
        <v>0</v>
      </c>
      <c r="U16" s="92">
        <f ca="1">IF(AND(INDEX('Сводный годовой график'!$C$1:$AR$4,MATCH($C$16,'Сводный годовой график'!$B$1:$B$4),MATCH(DATE($AV$1,MONTH($B$14),U$3),'Сводный годовой график'!$C$6:$AR$6))&lt;&gt;12,INDIRECT(ADDRESS(ROW()+1,COLUMN()))="СП"),8,INDEX('Сводный годовой график'!$C$1:$AR$4,MATCH($C$16,'Сводный годовой график'!$B$1:$B$4),MATCH(DATE($AV$1,MONTH($B$14),U$3),'Сводный годовой график'!$C$6:$AR$6)))</f>
        <v>0</v>
      </c>
      <c r="V16" s="92">
        <f ca="1">IF(AND(INDEX('Сводный годовой график'!$C$1:$AR$4,MATCH($C$16,'Сводный годовой график'!$B$1:$B$4),MATCH(DATE($AV$1,MONTH($B$14),V$3),'Сводный годовой график'!$C$6:$AR$6))&lt;&gt;12,INDIRECT(ADDRESS(ROW()+1,COLUMN()))="СП"),8,INDEX('Сводный годовой график'!$C$1:$AR$4,MATCH($C$16,'Сводный годовой график'!$B$1:$B$4),MATCH(DATE($AV$1,MONTH($B$14),V$3),'Сводный годовой график'!$C$6:$AR$6)))</f>
        <v>4</v>
      </c>
      <c r="W16" s="92">
        <f ca="1">IF(AND(INDEX('Сводный годовой график'!$C$1:$AR$4,MATCH($C$16,'Сводный годовой график'!$B$1:$B$4),MATCH(DATE($AV$1,MONTH($B$14),W$3),'Сводный годовой график'!$C$6:$AR$6))&lt;&gt;12,INDIRECT(ADDRESS(ROW()+1,COLUMN()))="СП"),8,INDEX('Сводный годовой график'!$C$1:$AR$4,MATCH($C$16,'Сводный годовой график'!$B$1:$B$4),MATCH(DATE($AV$1,MONTH($B$14),W$3),'Сводный годовой график'!$C$6:$AR$6)))</f>
        <v>8</v>
      </c>
      <c r="X16" s="92">
        <f ca="1">IF(AND(INDEX('Сводный годовой график'!$C$1:$AR$4,MATCH($C$16,'Сводный годовой график'!$B$1:$B$4),MATCH(DATE($AV$1,MONTH($B$14),X$3),'Сводный годовой график'!$C$6:$AR$6))&lt;&gt;12,INDIRECT(ADDRESS(ROW()+1,COLUMN()))="СП"),8,INDEX('Сводный годовой график'!$C$1:$AR$4,MATCH($C$16,'Сводный годовой график'!$B$1:$B$4),MATCH(DATE($AV$1,MONTH($B$14),X$3),'Сводный годовой график'!$C$6:$AR$6)))</f>
        <v>12</v>
      </c>
      <c r="Y16" s="92">
        <f ca="1">IF(AND(INDEX('Сводный годовой график'!$C$1:$AR$4,MATCH($C$16,'Сводный годовой график'!$B$1:$B$4),MATCH(DATE($AV$1,MONTH($B$14),Y$3),'Сводный годовой график'!$C$6:$AR$6))&lt;&gt;12,INDIRECT(ADDRESS(ROW()+1,COLUMN()))="СП"),8,INDEX('Сводный годовой график'!$C$1:$AR$4,MATCH($C$16,'Сводный годовой график'!$B$1:$B$4),MATCH(DATE($AV$1,MONTH($B$14),Y$3),'Сводный годовой график'!$C$6:$AR$6)))</f>
        <v>4</v>
      </c>
      <c r="Z16" s="92">
        <f ca="1">IF(AND(INDEX('Сводный годовой график'!$C$1:$AR$4,MATCH($C$16,'Сводный годовой график'!$B$1:$B$4),MATCH(DATE($AV$1,MONTH($B$14),Z$3),'Сводный годовой график'!$C$6:$AR$6))&lt;&gt;12,INDIRECT(ADDRESS(ROW()+1,COLUMN()))="СП"),8,INDEX('Сводный годовой график'!$C$1:$AR$4,MATCH($C$16,'Сводный годовой график'!$B$1:$B$4),MATCH(DATE($AV$1,MONTH($B$14),Z$3),'Сводный годовой график'!$C$6:$AR$6)))</f>
        <v>8</v>
      </c>
      <c r="AA16" s="92">
        <f ca="1">IF(AND(INDEX('Сводный годовой график'!$C$1:$AR$4,MATCH($C$16,'Сводный годовой график'!$B$1:$B$4),MATCH(DATE($AV$1,MONTH($B$14),AA$3),'Сводный годовой график'!$C$6:$AR$6))&lt;&gt;12,INDIRECT(ADDRESS(ROW()+1,COLUMN()))="СП"),8,INDEX('Сводный годовой график'!$C$1:$AR$4,MATCH($C$16,'Сводный годовой график'!$B$1:$B$4),MATCH(DATE($AV$1,MONTH($B$14),AA$3),'Сводный годовой график'!$C$6:$AR$6)))</f>
        <v>12</v>
      </c>
      <c r="AB16" s="92">
        <f ca="1">IF(AND(INDEX('Сводный годовой график'!$C$1:$AR$4,MATCH($C$16,'Сводный годовой график'!$B$1:$B$4),MATCH(DATE($AV$1,MONTH($B$14),AB$3),'Сводный годовой график'!$C$6:$AR$6))&lt;&gt;12,INDIRECT(ADDRESS(ROW()+1,COLUMN()))="СП"),8,INDEX('Сводный годовой график'!$C$1:$AR$4,MATCH($C$16,'Сводный годовой график'!$B$1:$B$4),MATCH(DATE($AV$1,MONTH($B$14),AB$3),'Сводный годовой график'!$C$6:$AR$6)))</f>
        <v>0</v>
      </c>
      <c r="AC16" s="92">
        <f ca="1">IF(AND(INDEX('Сводный годовой график'!$C$1:$AR$4,MATCH($C$16,'Сводный годовой график'!$B$1:$B$4),MATCH(DATE($AV$1,MONTH($B$14),AC$3),'Сводный годовой график'!$C$6:$AR$6))&lt;&gt;12,INDIRECT(ADDRESS(ROW()+1,COLUMN()))="СП"),8,INDEX('Сводный годовой график'!$C$1:$AR$4,MATCH($C$16,'Сводный годовой график'!$B$1:$B$4),MATCH(DATE($AV$1,MONTH($B$14),AC$3),'Сводный годовой график'!$C$6:$AR$6)))</f>
        <v>0</v>
      </c>
      <c r="AD16" s="92">
        <f ca="1">IF(AND(INDEX('Сводный годовой график'!$C$1:$AR$4,MATCH($C$16,'Сводный годовой график'!$B$1:$B$4),MATCH(DATE($AV$1,MONTH($B$14),AD$3),'Сводный годовой график'!$C$6:$AR$6))&lt;&gt;12,INDIRECT(ADDRESS(ROW()+1,COLUMN()))="СП"),8,INDEX('Сводный годовой график'!$C$1:$AR$4,MATCH($C$16,'Сводный годовой график'!$B$1:$B$4),MATCH(DATE($AV$1,MONTH($B$14),AD$3),'Сводный годовой график'!$C$6:$AR$6)))</f>
        <v>4</v>
      </c>
      <c r="AE16" s="92">
        <f ca="1">IF(AND(INDEX('Сводный годовой график'!$C$1:$AR$4,MATCH($C$16,'Сводный годовой график'!$B$1:$B$4),MATCH(DATE($AV$1,MONTH($B$14),AE$3),'Сводный годовой график'!$C$6:$AR$6))&lt;&gt;12,INDIRECT(ADDRESS(ROW()+1,COLUMN()))="СП"),8,INDEX('Сводный годовой график'!$C$1:$AR$4,MATCH($C$16,'Сводный годовой график'!$B$1:$B$4),MATCH(DATE($AV$1,MONTH($B$14),AE$3),'Сводный годовой график'!$C$6:$AR$6)))</f>
        <v>8</v>
      </c>
      <c r="AF16" s="92">
        <f ca="1">IF(AND(INDEX('Сводный годовой график'!$C$1:$AR$4,MATCH($C$16,'Сводный годовой график'!$B$1:$B$4),MATCH(DATE($AV$1,MONTH($B$14),AF$3),'Сводный годовой график'!$C$6:$AR$6))&lt;&gt;12,INDIRECT(ADDRESS(ROW()+1,COLUMN()))="СП"),8,INDEX('Сводный годовой график'!$C$1:$AR$4,MATCH($C$16,'Сводный годовой график'!$B$1:$B$4),MATCH(DATE($AV$1,MONTH($B$14),AF$3),'Сводный годовой график'!$C$6:$AR$6)))</f>
        <v>12</v>
      </c>
      <c r="AG16" s="119"/>
      <c r="AH16" s="119"/>
      <c r="AI16" s="110"/>
      <c r="AJ16" s="206"/>
      <c r="AK16" s="177">
        <f>$AJ$14-SUM(AY16:CC17)</f>
        <v>160</v>
      </c>
      <c r="AL16" s="177">
        <f t="shared" ref="AL16" ca="1" si="24">SUM(E16:AI17)</f>
        <v>168</v>
      </c>
      <c r="AM16" s="177">
        <f ca="1">SUM(AA16)</f>
        <v>12</v>
      </c>
      <c r="AN16" s="198">
        <f t="shared" ref="AN16" ca="1" si="25">-AM16-AK16+AL16</f>
        <v>-4</v>
      </c>
      <c r="AO16" s="198">
        <v>12</v>
      </c>
      <c r="AP16" s="208">
        <f ca="1">AN16+AP6-AO16</f>
        <v>-8</v>
      </c>
      <c r="AQ16" s="177">
        <v>0</v>
      </c>
      <c r="AR16" s="179">
        <v>1</v>
      </c>
      <c r="CK16" s="59"/>
      <c r="CL16" s="59"/>
      <c r="CM16" s="59"/>
      <c r="CN16" s="59"/>
      <c r="CO16" s="59"/>
      <c r="CP16" s="59"/>
      <c r="CQ16" s="59"/>
      <c r="CR16" s="59"/>
      <c r="CS16" s="59"/>
      <c r="CT16" s="59"/>
      <c r="CU16" s="59"/>
      <c r="CV16" s="59"/>
      <c r="CW16" s="59"/>
      <c r="CX16" s="59"/>
      <c r="CY16" s="59"/>
      <c r="CZ16" s="59"/>
      <c r="DA16" s="59"/>
      <c r="DB16" s="59"/>
      <c r="DC16" s="59"/>
      <c r="DD16" s="59"/>
      <c r="DE16" s="59"/>
      <c r="DF16" s="59"/>
      <c r="DG16" s="59"/>
      <c r="DH16" s="59"/>
      <c r="DI16" s="59"/>
      <c r="DJ16" s="59"/>
      <c r="DK16" s="59"/>
      <c r="DL16" s="59"/>
      <c r="DM16" s="59"/>
      <c r="DN16" s="59"/>
      <c r="DO16" s="59"/>
    </row>
    <row r="17" spans="2:119" ht="16.5" thickBot="1" x14ac:dyDescent="0.3">
      <c r="B17" s="201"/>
      <c r="C17" s="197"/>
      <c r="D17" s="82">
        <v>4</v>
      </c>
      <c r="E17" s="96" t="str">
        <f t="shared" ref="E17:AF17" si="26">IF(INDEX($CK$4:$DO$123,ROW()-3,E$3)=0,"","СП")</f>
        <v/>
      </c>
      <c r="F17" s="92" t="str">
        <f t="shared" si="26"/>
        <v/>
      </c>
      <c r="G17" s="92" t="str">
        <f t="shared" si="26"/>
        <v>СП</v>
      </c>
      <c r="H17" s="92" t="str">
        <f t="shared" si="26"/>
        <v/>
      </c>
      <c r="I17" s="92" t="str">
        <f t="shared" si="26"/>
        <v/>
      </c>
      <c r="J17" s="92" t="str">
        <f t="shared" si="26"/>
        <v/>
      </c>
      <c r="K17" s="92" t="str">
        <f t="shared" si="26"/>
        <v/>
      </c>
      <c r="L17" s="92" t="str">
        <f t="shared" si="26"/>
        <v/>
      </c>
      <c r="M17" s="92" t="str">
        <f t="shared" si="26"/>
        <v/>
      </c>
      <c r="N17" s="92" t="str">
        <f t="shared" si="26"/>
        <v/>
      </c>
      <c r="O17" s="92" t="str">
        <f t="shared" si="26"/>
        <v/>
      </c>
      <c r="P17" s="92" t="str">
        <f t="shared" si="26"/>
        <v/>
      </c>
      <c r="Q17" s="92" t="str">
        <f t="shared" si="26"/>
        <v/>
      </c>
      <c r="R17" s="92" t="str">
        <f t="shared" si="26"/>
        <v/>
      </c>
      <c r="S17" s="92" t="str">
        <f t="shared" si="26"/>
        <v/>
      </c>
      <c r="T17" s="92" t="str">
        <f t="shared" si="26"/>
        <v/>
      </c>
      <c r="U17" s="92" t="str">
        <f t="shared" si="26"/>
        <v/>
      </c>
      <c r="V17" s="92" t="str">
        <f t="shared" si="26"/>
        <v/>
      </c>
      <c r="W17" s="92" t="str">
        <f t="shared" si="26"/>
        <v/>
      </c>
      <c r="X17" s="92" t="str">
        <f t="shared" si="26"/>
        <v/>
      </c>
      <c r="Y17" s="92" t="str">
        <f t="shared" si="26"/>
        <v/>
      </c>
      <c r="Z17" s="92" t="str">
        <f t="shared" si="26"/>
        <v/>
      </c>
      <c r="AA17" s="92" t="str">
        <f t="shared" si="26"/>
        <v/>
      </c>
      <c r="AB17" s="92" t="str">
        <f t="shared" si="26"/>
        <v/>
      </c>
      <c r="AC17" s="92" t="str">
        <f t="shared" si="26"/>
        <v/>
      </c>
      <c r="AD17" s="92" t="str">
        <f t="shared" si="26"/>
        <v/>
      </c>
      <c r="AE17" s="92" t="str">
        <f t="shared" si="26"/>
        <v/>
      </c>
      <c r="AF17" s="92" t="str">
        <f t="shared" si="26"/>
        <v/>
      </c>
      <c r="AG17" s="119"/>
      <c r="AH17" s="119"/>
      <c r="AI17" s="110"/>
      <c r="AJ17" s="206"/>
      <c r="AK17" s="177"/>
      <c r="AL17" s="177"/>
      <c r="AM17" s="177"/>
      <c r="AN17" s="198"/>
      <c r="AO17" s="198"/>
      <c r="AP17" s="198"/>
      <c r="AQ17" s="177"/>
      <c r="AR17" s="179"/>
      <c r="CK17" s="58">
        <f>IF(DAY(INDEX('Сводный годовой график'!$BA$4:$BL$14,$C16,MONTH($B$14)))=E$3,1,0)</f>
        <v>0</v>
      </c>
      <c r="CL17" s="58">
        <f>IF(DAY(INDEX('Сводный годовой график'!$BA$4:$BL$14,$C16,MONTH($B$14)))=F$3,1,0)</f>
        <v>0</v>
      </c>
      <c r="CM17" s="58">
        <f>IF(DAY(INDEX('Сводный годовой график'!$BA$4:$BL$14,$C16,MONTH($B$14)))=G$3,1,0)</f>
        <v>1</v>
      </c>
      <c r="CN17" s="58">
        <f>IF(DAY(INDEX('Сводный годовой график'!$BA$4:$BL$14,$C16,MONTH($B$14)))=H$3,1,0)</f>
        <v>0</v>
      </c>
      <c r="CO17" s="58">
        <f>IF(DAY(INDEX('Сводный годовой график'!$BA$4:$BL$14,$C16,MONTH($B$14)))=I$3,1,0)</f>
        <v>0</v>
      </c>
      <c r="CP17" s="58">
        <f>IF(DAY(INDEX('Сводный годовой график'!$BA$4:$BL$14,$C16,MONTH($B$14)))=J$3,1,0)</f>
        <v>0</v>
      </c>
      <c r="CQ17" s="58">
        <f>IF(DAY(INDEX('Сводный годовой график'!$BA$4:$BL$14,$C16,MONTH($B$14)))=K$3,1,0)</f>
        <v>0</v>
      </c>
      <c r="CR17" s="58">
        <f>IF(DAY(INDEX('Сводный годовой график'!$BA$4:$BL$14,$C16,MONTH($B$14)))=L$3,1,0)</f>
        <v>0</v>
      </c>
      <c r="CS17" s="58">
        <f>IF(DAY(INDEX('Сводный годовой график'!$BA$4:$BL$14,$C16,MONTH($B$14)))=M$3,1,0)</f>
        <v>0</v>
      </c>
      <c r="CT17" s="58">
        <f>IF(DAY(INDEX('Сводный годовой график'!$BA$4:$BL$14,$C16,MONTH($B$14)))=N$3,1,0)</f>
        <v>0</v>
      </c>
      <c r="CU17" s="58">
        <f>IF(DAY(INDEX('Сводный годовой график'!$BA$4:$BL$14,$C16,MONTH($B$14)))=O$3,1,0)</f>
        <v>0</v>
      </c>
      <c r="CV17" s="58">
        <f>IF(DAY(INDEX('Сводный годовой график'!$BA$4:$BL$14,$C16,MONTH($B$14)))=P$3,1,0)</f>
        <v>0</v>
      </c>
      <c r="CW17" s="58">
        <f>IF(DAY(INDEX('Сводный годовой график'!$BA$4:$BL$14,$C16,MONTH($B$14)))=Q$3,1,0)</f>
        <v>0</v>
      </c>
      <c r="CX17" s="58">
        <f>IF(DAY(INDEX('Сводный годовой график'!$BA$4:$BL$14,$C16,MONTH($B$14)))=R$3,1,0)</f>
        <v>0</v>
      </c>
      <c r="CY17" s="58">
        <f>IF(DAY(INDEX('Сводный годовой график'!$BA$4:$BL$14,$C16,MONTH($B$14)))=S$3,1,0)</f>
        <v>0</v>
      </c>
      <c r="CZ17" s="58">
        <f>IF(DAY(INDEX('Сводный годовой график'!$BA$4:$BL$14,$C16,MONTH($B$14)))=T$3,1,0)</f>
        <v>0</v>
      </c>
      <c r="DA17" s="58">
        <f>IF(DAY(INDEX('Сводный годовой график'!$BA$4:$BL$14,$C16,MONTH($B$14)))=U$3,1,0)</f>
        <v>0</v>
      </c>
      <c r="DB17" s="58">
        <f>IF(DAY(INDEX('Сводный годовой график'!$BA$4:$BL$14,$C16,MONTH($B$14)))=V$3,1,0)</f>
        <v>0</v>
      </c>
      <c r="DC17" s="58">
        <f>IF(DAY(INDEX('Сводный годовой график'!$BA$4:$BL$14,$C16,MONTH($B$14)))=W$3,1,0)</f>
        <v>0</v>
      </c>
      <c r="DD17" s="58">
        <f>IF(DAY(INDEX('Сводный годовой график'!$BA$4:$BL$14,$C16,MONTH($B$14)))=X$3,1,0)</f>
        <v>0</v>
      </c>
      <c r="DE17" s="58">
        <f>IF(DAY(INDEX('Сводный годовой график'!$BA$4:$BL$14,$C16,MONTH($B$14)))=Y$3,1,0)</f>
        <v>0</v>
      </c>
      <c r="DF17" s="58">
        <f>IF(DAY(INDEX('Сводный годовой график'!$BA$4:$BL$14,$C16,MONTH($B$14)))=Z$3,1,0)</f>
        <v>0</v>
      </c>
      <c r="DG17" s="58">
        <f>IF(DAY(INDEX('Сводный годовой график'!$BA$4:$BL$14,$C16,MONTH($B$14)))=AA$3,1,0)</f>
        <v>0</v>
      </c>
      <c r="DH17" s="58">
        <f>IF(DAY(INDEX('Сводный годовой график'!$BA$4:$BL$14,$C16,MONTH($B$14)))=AB$3,1,0)</f>
        <v>0</v>
      </c>
      <c r="DI17" s="58">
        <f>IF(DAY(INDEX('Сводный годовой график'!$BA$4:$BL$14,$C16,MONTH($B$14)))=AC$3,1,0)</f>
        <v>0</v>
      </c>
      <c r="DJ17" s="58">
        <f>IF(DAY(INDEX('Сводный годовой график'!$BA$4:$BL$14,$C16,MONTH($B$14)))=AD$3,1,0)</f>
        <v>0</v>
      </c>
      <c r="DK17" s="58">
        <f>IF(DAY(INDEX('Сводный годовой график'!$BA$4:$BL$14,$C16,MONTH($B$14)))=AE$3,1,0)</f>
        <v>0</v>
      </c>
      <c r="DL17" s="58">
        <f>IF(DAY(INDEX('Сводный годовой график'!$BA$4:$BL$14,$C16,MONTH($B$14)))=AF$3,1,0)</f>
        <v>0</v>
      </c>
      <c r="DM17" s="58">
        <f>IF(DAY(INDEX('Сводный годовой график'!$BA$4:$BL$14,$C16,MONTH($B$14)))=AG$3,1,0)</f>
        <v>0</v>
      </c>
      <c r="DN17" s="58">
        <f>IF(DAY(INDEX('Сводный годовой график'!$BA$4:$BL$14,$C16,MONTH($B$14)))=AH$3,1,0)</f>
        <v>0</v>
      </c>
      <c r="DO17" s="58">
        <f>IF(DAY(INDEX('Сводный годовой график'!$BA$4:$BL$14,$C16,MONTH($B$14)))=AI$3,1,0)</f>
        <v>0</v>
      </c>
    </row>
    <row r="18" spans="2:119" ht="17.25" thickTop="1" thickBot="1" x14ac:dyDescent="0.3">
      <c r="B18" s="201"/>
      <c r="C18" s="196">
        <v>3</v>
      </c>
      <c r="D18" s="81">
        <v>5</v>
      </c>
      <c r="E18" s="96">
        <f ca="1">IF(AND(INDEX('Сводный годовой график'!$C$1:$AR$4,MATCH($C$18,'Сводный годовой график'!$B$1:$B$4),MATCH(DATE($AV$1,MONTH($B$14),E$3),'Сводный годовой график'!$C$6:$AR$6))&lt;&gt;12,INDIRECT(ADDRESS(ROW()+1,COLUMN()))="СП"),8,INDEX('Сводный годовой график'!$C$1:$AR$4,MATCH($C$18,'Сводный годовой график'!$B$1:$B$4),MATCH(DATE($AV$1,MONTH($B$14),E$3),'Сводный годовой график'!$C$6:$AR$6)))</f>
        <v>4</v>
      </c>
      <c r="F18" s="92">
        <f ca="1">IF(AND(INDEX('Сводный годовой график'!$C$1:$AR$4,MATCH($C$18,'Сводный годовой график'!$B$1:$B$4),MATCH(DATE($AV$1,MONTH($B$14),F$3),'Сводный годовой график'!$C$6:$AR$6))&lt;&gt;12,INDIRECT(ADDRESS(ROW()+1,COLUMN()))="СП"),8,INDEX('Сводный годовой график'!$C$1:$AR$4,MATCH($C$18,'Сводный годовой график'!$B$1:$B$4),MATCH(DATE($AV$1,MONTH($B$14),F$3),'Сводный годовой график'!$C$6:$AR$6)))</f>
        <v>8</v>
      </c>
      <c r="G18" s="92">
        <f ca="1">IF(AND(INDEX('Сводный годовой график'!$C$1:$AR$4,MATCH($C$18,'Сводный годовой график'!$B$1:$B$4),MATCH(DATE($AV$1,MONTH($B$14),G$3),'Сводный годовой график'!$C$6:$AR$6))&lt;&gt;12,INDIRECT(ADDRESS(ROW()+1,COLUMN()))="СП"),8,INDEX('Сводный годовой график'!$C$1:$AR$4,MATCH($C$18,'Сводный годовой график'!$B$1:$B$4),MATCH(DATE($AV$1,MONTH($B$14),G$3),'Сводный годовой график'!$C$6:$AR$6)))</f>
        <v>12</v>
      </c>
      <c r="H18" s="92">
        <f ca="1">IF(AND(INDEX('Сводный годовой график'!$C$1:$AR$4,MATCH($C$18,'Сводный годовой график'!$B$1:$B$4),MATCH(DATE($AV$1,MONTH($B$14),H$3),'Сводный годовой график'!$C$6:$AR$6))&lt;&gt;12,INDIRECT(ADDRESS(ROW()+1,COLUMN()))="СП"),8,INDEX('Сводный годовой график'!$C$1:$AR$4,MATCH($C$18,'Сводный годовой график'!$B$1:$B$4),MATCH(DATE($AV$1,MONTH($B$14),H$3),'Сводный годовой график'!$C$6:$AR$6)))</f>
        <v>8</v>
      </c>
      <c r="I18" s="92">
        <f ca="1">IF(AND(INDEX('Сводный годовой график'!$C$1:$AR$4,MATCH($C$18,'Сводный годовой график'!$B$1:$B$4),MATCH(DATE($AV$1,MONTH($B$14),I$3),'Сводный годовой график'!$C$6:$AR$6))&lt;&gt;12,INDIRECT(ADDRESS(ROW()+1,COLUMN()))="СП"),8,INDEX('Сводный годовой график'!$C$1:$AR$4,MATCH($C$18,'Сводный годовой график'!$B$1:$B$4),MATCH(DATE($AV$1,MONTH($B$14),I$3),'Сводный годовой график'!$C$6:$AR$6)))</f>
        <v>0</v>
      </c>
      <c r="J18" s="92">
        <f ca="1">IF(AND(INDEX('Сводный годовой график'!$C$1:$AR$4,MATCH($C$18,'Сводный годовой график'!$B$1:$B$4),MATCH(DATE($AV$1,MONTH($B$14),J$3),'Сводный годовой график'!$C$6:$AR$6))&lt;&gt;12,INDIRECT(ADDRESS(ROW()+1,COLUMN()))="СП"),8,INDEX('Сводный годовой график'!$C$1:$AR$4,MATCH($C$18,'Сводный годовой график'!$B$1:$B$4),MATCH(DATE($AV$1,MONTH($B$14),J$3),'Сводный годовой график'!$C$6:$AR$6)))</f>
        <v>4</v>
      </c>
      <c r="K18" s="92">
        <f ca="1">IF(AND(INDEX('Сводный годовой график'!$C$1:$AR$4,MATCH($C$18,'Сводный годовой график'!$B$1:$B$4),MATCH(DATE($AV$1,MONTH($B$14),K$3),'Сводный годовой график'!$C$6:$AR$6))&lt;&gt;12,INDIRECT(ADDRESS(ROW()+1,COLUMN()))="СП"),8,INDEX('Сводный годовой график'!$C$1:$AR$4,MATCH($C$18,'Сводный годовой график'!$B$1:$B$4),MATCH(DATE($AV$1,MONTH($B$14),K$3),'Сводный годовой график'!$C$6:$AR$6)))</f>
        <v>8</v>
      </c>
      <c r="L18" s="92">
        <f ca="1">IF(AND(INDEX('Сводный годовой график'!$C$1:$AR$4,MATCH($C$18,'Сводный годовой график'!$B$1:$B$4),MATCH(DATE($AV$1,MONTH($B$14),L$3),'Сводный годовой график'!$C$6:$AR$6))&lt;&gt;12,INDIRECT(ADDRESS(ROW()+1,COLUMN()))="СП"),8,INDEX('Сводный годовой график'!$C$1:$AR$4,MATCH($C$18,'Сводный годовой график'!$B$1:$B$4),MATCH(DATE($AV$1,MONTH($B$14),L$3),'Сводный годовой график'!$C$6:$AR$6)))</f>
        <v>12</v>
      </c>
      <c r="M18" s="92">
        <f ca="1">IF(AND(INDEX('Сводный годовой график'!$C$1:$AR$4,MATCH($C$18,'Сводный годовой график'!$B$1:$B$4),MATCH(DATE($AV$1,MONTH($B$14),M$3),'Сводный годовой график'!$C$6:$AR$6))&lt;&gt;12,INDIRECT(ADDRESS(ROW()+1,COLUMN()))="СП"),8,INDEX('Сводный годовой график'!$C$1:$AR$4,MATCH($C$18,'Сводный годовой график'!$B$1:$B$4),MATCH(DATE($AV$1,MONTH($B$14),M$3),'Сводный годовой график'!$C$6:$AR$6)))</f>
        <v>4</v>
      </c>
      <c r="N18" s="92">
        <f ca="1">IF(AND(INDEX('Сводный годовой график'!$C$1:$AR$4,MATCH($C$18,'Сводный годовой график'!$B$1:$B$4),MATCH(DATE($AV$1,MONTH($B$14),N$3),'Сводный годовой график'!$C$6:$AR$6))&lt;&gt;12,INDIRECT(ADDRESS(ROW()+1,COLUMN()))="СП"),8,INDEX('Сводный годовой график'!$C$1:$AR$4,MATCH($C$18,'Сводный годовой график'!$B$1:$B$4),MATCH(DATE($AV$1,MONTH($B$14),N$3),'Сводный годовой график'!$C$6:$AR$6)))</f>
        <v>8</v>
      </c>
      <c r="O18" s="92">
        <f ca="1">IF(AND(INDEX('Сводный годовой график'!$C$1:$AR$4,MATCH($C$18,'Сводный годовой график'!$B$1:$B$4),MATCH(DATE($AV$1,MONTH($B$14),O$3),'Сводный годовой график'!$C$6:$AR$6))&lt;&gt;12,INDIRECT(ADDRESS(ROW()+1,COLUMN()))="СП"),8,INDEX('Сводный годовой график'!$C$1:$AR$4,MATCH($C$18,'Сводный годовой график'!$B$1:$B$4),MATCH(DATE($AV$1,MONTH($B$14),O$3),'Сводный годовой график'!$C$6:$AR$6)))</f>
        <v>12</v>
      </c>
      <c r="P18" s="92">
        <f ca="1">IF(AND(INDEX('Сводный годовой график'!$C$1:$AR$4,MATCH($C$18,'Сводный годовой график'!$B$1:$B$4),MATCH(DATE($AV$1,MONTH($B$14),P$3),'Сводный годовой график'!$C$6:$AR$6))&lt;&gt;12,INDIRECT(ADDRESS(ROW()+1,COLUMN()))="СП"),8,INDEX('Сводный годовой график'!$C$1:$AR$4,MATCH($C$18,'Сводный годовой график'!$B$1:$B$4),MATCH(DATE($AV$1,MONTH($B$14),P$3),'Сводный годовой график'!$C$6:$AR$6)))</f>
        <v>0</v>
      </c>
      <c r="Q18" s="92">
        <f ca="1">IF(AND(INDEX('Сводный годовой график'!$C$1:$AR$4,MATCH($C$18,'Сводный годовой график'!$B$1:$B$4),MATCH(DATE($AV$1,MONTH($B$14),Q$3),'Сводный годовой график'!$C$6:$AR$6))&lt;&gt;12,INDIRECT(ADDRESS(ROW()+1,COLUMN()))="СП"),8,INDEX('Сводный годовой график'!$C$1:$AR$4,MATCH($C$18,'Сводный годовой график'!$B$1:$B$4),MATCH(DATE($AV$1,MONTH($B$14),Q$3),'Сводный годовой график'!$C$6:$AR$6)))</f>
        <v>0</v>
      </c>
      <c r="R18" s="92">
        <f ca="1">IF(AND(INDEX('Сводный годовой график'!$C$1:$AR$4,MATCH($C$18,'Сводный годовой график'!$B$1:$B$4),MATCH(DATE($AV$1,MONTH($B$14),R$3),'Сводный годовой график'!$C$6:$AR$6))&lt;&gt;12,INDIRECT(ADDRESS(ROW()+1,COLUMN()))="СП"),8,INDEX('Сводный годовой график'!$C$1:$AR$4,MATCH($C$18,'Сводный годовой график'!$B$1:$B$4),MATCH(DATE($AV$1,MONTH($B$14),R$3),'Сводный годовой график'!$C$6:$AR$6)))</f>
        <v>4</v>
      </c>
      <c r="S18" s="92">
        <f ca="1">IF(AND(INDEX('Сводный годовой график'!$C$1:$AR$4,MATCH($C$18,'Сводный годовой график'!$B$1:$B$4),MATCH(DATE($AV$1,MONTH($B$14),S$3),'Сводный годовой график'!$C$6:$AR$6))&lt;&gt;12,INDIRECT(ADDRESS(ROW()+1,COLUMN()))="СП"),8,INDEX('Сводный годовой график'!$C$1:$AR$4,MATCH($C$18,'Сводный годовой график'!$B$1:$B$4),MATCH(DATE($AV$1,MONTH($B$14),S$3),'Сводный годовой график'!$C$6:$AR$6)))</f>
        <v>8</v>
      </c>
      <c r="T18" s="92">
        <f ca="1">IF(AND(INDEX('Сводный годовой график'!$C$1:$AR$4,MATCH($C$18,'Сводный годовой график'!$B$1:$B$4),MATCH(DATE($AV$1,MONTH($B$14),T$3),'Сводный годовой график'!$C$6:$AR$6))&lt;&gt;12,INDIRECT(ADDRESS(ROW()+1,COLUMN()))="СП"),8,INDEX('Сводный годовой график'!$C$1:$AR$4,MATCH($C$18,'Сводный годовой график'!$B$1:$B$4),MATCH(DATE($AV$1,MONTH($B$14),T$3),'Сводный годовой график'!$C$6:$AR$6)))</f>
        <v>12</v>
      </c>
      <c r="U18" s="92">
        <f ca="1">IF(AND(INDEX('Сводный годовой график'!$C$1:$AR$4,MATCH($C$18,'Сводный годовой график'!$B$1:$B$4),MATCH(DATE($AV$1,MONTH($B$14),U$3),'Сводный годовой график'!$C$6:$AR$6))&lt;&gt;12,INDIRECT(ADDRESS(ROW()+1,COLUMN()))="СП"),8,INDEX('Сводный годовой график'!$C$1:$AR$4,MATCH($C$18,'Сводный годовой график'!$B$1:$B$4),MATCH(DATE($AV$1,MONTH($B$14),U$3),'Сводный годовой график'!$C$6:$AR$6)))</f>
        <v>4</v>
      </c>
      <c r="V18" s="92">
        <f ca="1">IF(AND(INDEX('Сводный годовой график'!$C$1:$AR$4,MATCH($C$18,'Сводный годовой график'!$B$1:$B$4),MATCH(DATE($AV$1,MONTH($B$14),V$3),'Сводный годовой график'!$C$6:$AR$6))&lt;&gt;12,INDIRECT(ADDRESS(ROW()+1,COLUMN()))="СП"),8,INDEX('Сводный годовой график'!$C$1:$AR$4,MATCH($C$18,'Сводный годовой график'!$B$1:$B$4),MATCH(DATE($AV$1,MONTH($B$14),V$3),'Сводный годовой график'!$C$6:$AR$6)))</f>
        <v>8</v>
      </c>
      <c r="W18" s="92">
        <f ca="1">IF(AND(INDEX('Сводный годовой график'!$C$1:$AR$4,MATCH($C$18,'Сводный годовой график'!$B$1:$B$4),MATCH(DATE($AV$1,MONTH($B$14),W$3),'Сводный годовой график'!$C$6:$AR$6))&lt;&gt;12,INDIRECT(ADDRESS(ROW()+1,COLUMN()))="СП"),8,INDEX('Сводный годовой график'!$C$1:$AR$4,MATCH($C$18,'Сводный годовой график'!$B$1:$B$4),MATCH(DATE($AV$1,MONTH($B$14),W$3),'Сводный годовой график'!$C$6:$AR$6)))</f>
        <v>12</v>
      </c>
      <c r="X18" s="92">
        <f ca="1">IF(AND(INDEX('Сводный годовой график'!$C$1:$AR$4,MATCH($C$18,'Сводный годовой график'!$B$1:$B$4),MATCH(DATE($AV$1,MONTH($B$14),X$3),'Сводный годовой график'!$C$6:$AR$6))&lt;&gt;12,INDIRECT(ADDRESS(ROW()+1,COLUMN()))="СП"),8,INDEX('Сводный годовой график'!$C$1:$AR$4,MATCH($C$18,'Сводный годовой график'!$B$1:$B$4),MATCH(DATE($AV$1,MONTH($B$14),X$3),'Сводный годовой график'!$C$6:$AR$6)))</f>
        <v>0</v>
      </c>
      <c r="Y18" s="92">
        <f ca="1">IF(AND(INDEX('Сводный годовой график'!$C$1:$AR$4,MATCH($C$18,'Сводный годовой график'!$B$1:$B$4),MATCH(DATE($AV$1,MONTH($B$14),Y$3),'Сводный годовой график'!$C$6:$AR$6))&lt;&gt;12,INDIRECT(ADDRESS(ROW()+1,COLUMN()))="СП"),8,INDEX('Сводный годовой график'!$C$1:$AR$4,MATCH($C$18,'Сводный годовой график'!$B$1:$B$4),MATCH(DATE($AV$1,MONTH($B$14),Y$3),'Сводный годовой график'!$C$6:$AR$6)))</f>
        <v>0</v>
      </c>
      <c r="Z18" s="92">
        <f ca="1">IF(AND(INDEX('Сводный годовой график'!$C$1:$AR$4,MATCH($C$18,'Сводный годовой график'!$B$1:$B$4),MATCH(DATE($AV$1,MONTH($B$14),Z$3),'Сводный годовой график'!$C$6:$AR$6))&lt;&gt;12,INDIRECT(ADDRESS(ROW()+1,COLUMN()))="СП"),8,INDEX('Сводный годовой график'!$C$1:$AR$4,MATCH($C$18,'Сводный годовой график'!$B$1:$B$4),MATCH(DATE($AV$1,MONTH($B$14),Z$3),'Сводный годовой график'!$C$6:$AR$6)))</f>
        <v>4</v>
      </c>
      <c r="AA18" s="92">
        <f ca="1">IF(AND(INDEX('Сводный годовой график'!$C$1:$AR$4,MATCH($C$18,'Сводный годовой график'!$B$1:$B$4),MATCH(DATE($AV$1,MONTH($B$14),AA$3),'Сводный годовой график'!$C$6:$AR$6))&lt;&gt;12,INDIRECT(ADDRESS(ROW()+1,COLUMN()))="СП"),8,INDEX('Сводный годовой график'!$C$1:$AR$4,MATCH($C$18,'Сводный годовой график'!$B$1:$B$4),MATCH(DATE($AV$1,MONTH($B$14),AA$3),'Сводный годовой график'!$C$6:$AR$6)))</f>
        <v>8</v>
      </c>
      <c r="AB18" s="92">
        <f ca="1">IF(AND(INDEX('Сводный годовой график'!$C$1:$AR$4,MATCH($C$18,'Сводный годовой график'!$B$1:$B$4),MATCH(DATE($AV$1,MONTH($B$14),AB$3),'Сводный годовой график'!$C$6:$AR$6))&lt;&gt;12,INDIRECT(ADDRESS(ROW()+1,COLUMN()))="СП"),8,INDEX('Сводный годовой график'!$C$1:$AR$4,MATCH($C$18,'Сводный годовой график'!$B$1:$B$4),MATCH(DATE($AV$1,MONTH($B$14),AB$3),'Сводный годовой график'!$C$6:$AR$6)))</f>
        <v>12</v>
      </c>
      <c r="AC18" s="92">
        <f ca="1">IF(AND(INDEX('Сводный годовой график'!$C$1:$AR$4,MATCH($C$18,'Сводный годовой график'!$B$1:$B$4),MATCH(DATE($AV$1,MONTH($B$14),AC$3),'Сводный годовой график'!$C$6:$AR$6))&lt;&gt;12,INDIRECT(ADDRESS(ROW()+1,COLUMN()))="СП"),8,INDEX('Сводный годовой график'!$C$1:$AR$4,MATCH($C$18,'Сводный годовой график'!$B$1:$B$4),MATCH(DATE($AV$1,MONTH($B$14),AC$3),'Сводный годовой график'!$C$6:$AR$6)))</f>
        <v>4</v>
      </c>
      <c r="AD18" s="92">
        <f ca="1">IF(AND(INDEX('Сводный годовой график'!$C$1:$AR$4,MATCH($C$18,'Сводный годовой график'!$B$1:$B$4),MATCH(DATE($AV$1,MONTH($B$14),AD$3),'Сводный годовой график'!$C$6:$AR$6))&lt;&gt;12,INDIRECT(ADDRESS(ROW()+1,COLUMN()))="СП"),8,INDEX('Сводный годовой график'!$C$1:$AR$4,MATCH($C$18,'Сводный годовой график'!$B$1:$B$4),MATCH(DATE($AV$1,MONTH($B$14),AD$3),'Сводный годовой график'!$C$6:$AR$6)))</f>
        <v>8</v>
      </c>
      <c r="AE18" s="92">
        <f ca="1">IF(AND(INDEX('Сводный годовой график'!$C$1:$AR$4,MATCH($C$18,'Сводный годовой график'!$B$1:$B$4),MATCH(DATE($AV$1,MONTH($B$14),AE$3),'Сводный годовой график'!$C$6:$AR$6))&lt;&gt;12,INDIRECT(ADDRESS(ROW()+1,COLUMN()))="СП"),8,INDEX('Сводный годовой график'!$C$1:$AR$4,MATCH($C$18,'Сводный годовой график'!$B$1:$B$4),MATCH(DATE($AV$1,MONTH($B$14),AE$3),'Сводный годовой график'!$C$6:$AR$6)))</f>
        <v>12</v>
      </c>
      <c r="AF18" s="92">
        <f ca="1">IF(AND(INDEX('Сводный годовой график'!$C$1:$AR$4,MATCH($C$18,'Сводный годовой график'!$B$1:$B$4),MATCH(DATE($AV$1,MONTH($B$14),AF$3),'Сводный годовой график'!$C$6:$AR$6))&lt;&gt;12,INDIRECT(ADDRESS(ROW()+1,COLUMN()))="СП"),8,INDEX('Сводный годовой график'!$C$1:$AR$4,MATCH($C$18,'Сводный годовой график'!$B$1:$B$4),MATCH(DATE($AV$1,MONTH($B$14),AF$3),'Сводный годовой график'!$C$6:$AR$6)))</f>
        <v>0</v>
      </c>
      <c r="AG18" s="119"/>
      <c r="AH18" s="119"/>
      <c r="AI18" s="110"/>
      <c r="AJ18" s="206"/>
      <c r="AK18" s="177">
        <f>$AJ$14-SUM(AY18:CC19)</f>
        <v>160</v>
      </c>
      <c r="AL18" s="177">
        <f t="shared" ref="AL18" ca="1" si="27">SUM(E18:AI19)</f>
        <v>176</v>
      </c>
      <c r="AM18" s="177">
        <f ca="1">SUM(AA18)</f>
        <v>8</v>
      </c>
      <c r="AN18" s="198">
        <f t="shared" ref="AN18" ca="1" si="28">-AM18-AK18+AL18</f>
        <v>8</v>
      </c>
      <c r="AO18" s="198">
        <v>24</v>
      </c>
      <c r="AP18" s="208">
        <f t="shared" ref="AP18" ca="1" si="29">AN18+AP8-AO18</f>
        <v>-12</v>
      </c>
      <c r="AQ18" s="177">
        <v>0</v>
      </c>
      <c r="AR18" s="179">
        <v>1</v>
      </c>
      <c r="CK18" s="59"/>
      <c r="CL18" s="59"/>
      <c r="CM18" s="59"/>
      <c r="CN18" s="59"/>
      <c r="CO18" s="59"/>
      <c r="CP18" s="59"/>
      <c r="CQ18" s="59"/>
      <c r="CR18" s="59"/>
      <c r="CS18" s="59"/>
      <c r="CT18" s="59"/>
      <c r="CU18" s="59"/>
      <c r="CV18" s="59"/>
      <c r="CW18" s="59"/>
      <c r="CX18" s="59"/>
      <c r="CY18" s="59"/>
      <c r="CZ18" s="59"/>
      <c r="DA18" s="59"/>
      <c r="DB18" s="59"/>
      <c r="DC18" s="59"/>
      <c r="DD18" s="59"/>
      <c r="DE18" s="59"/>
      <c r="DF18" s="59"/>
      <c r="DG18" s="59"/>
      <c r="DH18" s="59"/>
      <c r="DI18" s="59"/>
      <c r="DJ18" s="59"/>
      <c r="DK18" s="59"/>
      <c r="DL18" s="59"/>
      <c r="DM18" s="59"/>
      <c r="DN18" s="59"/>
      <c r="DO18" s="59"/>
    </row>
    <row r="19" spans="2:119" ht="16.5" thickBot="1" x14ac:dyDescent="0.3">
      <c r="B19" s="201"/>
      <c r="C19" s="197"/>
      <c r="D19" s="82">
        <v>6</v>
      </c>
      <c r="E19" s="96" t="str">
        <f t="shared" ref="E19:AF19" si="30">IF(INDEX($CK$4:$DO$123,ROW()-3,E$3)=0,"","СП")</f>
        <v/>
      </c>
      <c r="F19" s="92" t="str">
        <f t="shared" si="30"/>
        <v/>
      </c>
      <c r="G19" s="92" t="str">
        <f t="shared" si="30"/>
        <v/>
      </c>
      <c r="H19" s="92" t="str">
        <f t="shared" si="30"/>
        <v>СП</v>
      </c>
      <c r="I19" s="92" t="str">
        <f t="shared" si="30"/>
        <v/>
      </c>
      <c r="J19" s="92" t="str">
        <f t="shared" si="30"/>
        <v/>
      </c>
      <c r="K19" s="92" t="str">
        <f t="shared" si="30"/>
        <v/>
      </c>
      <c r="L19" s="92" t="str">
        <f t="shared" si="30"/>
        <v/>
      </c>
      <c r="M19" s="92" t="str">
        <f t="shared" si="30"/>
        <v/>
      </c>
      <c r="N19" s="92" t="str">
        <f t="shared" si="30"/>
        <v/>
      </c>
      <c r="O19" s="92" t="str">
        <f t="shared" si="30"/>
        <v/>
      </c>
      <c r="P19" s="92" t="str">
        <f t="shared" si="30"/>
        <v/>
      </c>
      <c r="Q19" s="92" t="str">
        <f t="shared" si="30"/>
        <v/>
      </c>
      <c r="R19" s="92" t="str">
        <f t="shared" si="30"/>
        <v/>
      </c>
      <c r="S19" s="92" t="str">
        <f t="shared" si="30"/>
        <v/>
      </c>
      <c r="T19" s="92" t="str">
        <f t="shared" si="30"/>
        <v/>
      </c>
      <c r="U19" s="92" t="str">
        <f t="shared" si="30"/>
        <v/>
      </c>
      <c r="V19" s="92" t="str">
        <f t="shared" si="30"/>
        <v/>
      </c>
      <c r="W19" s="92" t="str">
        <f t="shared" si="30"/>
        <v/>
      </c>
      <c r="X19" s="92" t="str">
        <f t="shared" si="30"/>
        <v/>
      </c>
      <c r="Y19" s="92" t="str">
        <f t="shared" si="30"/>
        <v/>
      </c>
      <c r="Z19" s="92" t="str">
        <f t="shared" si="30"/>
        <v/>
      </c>
      <c r="AA19" s="92" t="str">
        <f t="shared" si="30"/>
        <v/>
      </c>
      <c r="AB19" s="92" t="str">
        <f t="shared" si="30"/>
        <v/>
      </c>
      <c r="AC19" s="92" t="str">
        <f t="shared" si="30"/>
        <v/>
      </c>
      <c r="AD19" s="92" t="str">
        <f t="shared" si="30"/>
        <v/>
      </c>
      <c r="AE19" s="92" t="str">
        <f t="shared" si="30"/>
        <v/>
      </c>
      <c r="AF19" s="92" t="str">
        <f t="shared" si="30"/>
        <v/>
      </c>
      <c r="AG19" s="119"/>
      <c r="AH19" s="119"/>
      <c r="AI19" s="110"/>
      <c r="AJ19" s="206"/>
      <c r="AK19" s="177"/>
      <c r="AL19" s="177"/>
      <c r="AM19" s="177"/>
      <c r="AN19" s="198"/>
      <c r="AO19" s="198"/>
      <c r="AP19" s="198"/>
      <c r="AQ19" s="177"/>
      <c r="AR19" s="179"/>
      <c r="CK19" s="58">
        <f>IF(DAY(INDEX('Сводный годовой график'!$BA$4:$BL$14,$C18,MONTH($B$14)))=E$3,1,0)</f>
        <v>0</v>
      </c>
      <c r="CL19" s="58">
        <f>IF(DAY(INDEX('Сводный годовой график'!$BA$4:$BL$14,$C18,MONTH($B$14)))=F$3,1,0)</f>
        <v>0</v>
      </c>
      <c r="CM19" s="58">
        <f>IF(DAY(INDEX('Сводный годовой график'!$BA$4:$BL$14,$C18,MONTH($B$14)))=G$3,1,0)</f>
        <v>0</v>
      </c>
      <c r="CN19" s="58">
        <f>IF(DAY(INDEX('Сводный годовой график'!$BA$4:$BL$14,$C18,MONTH($B$14)))=H$3,1,0)</f>
        <v>1</v>
      </c>
      <c r="CO19" s="58">
        <f>IF(DAY(INDEX('Сводный годовой график'!$BA$4:$BL$14,$C18,MONTH($B$14)))=I$3,1,0)</f>
        <v>0</v>
      </c>
      <c r="CP19" s="58">
        <f>IF(DAY(INDEX('Сводный годовой график'!$BA$4:$BL$14,$C18,MONTH($B$14)))=J$3,1,0)</f>
        <v>0</v>
      </c>
      <c r="CQ19" s="58">
        <f>IF(DAY(INDEX('Сводный годовой график'!$BA$4:$BL$14,$C18,MONTH($B$14)))=K$3,1,0)</f>
        <v>0</v>
      </c>
      <c r="CR19" s="58">
        <f>IF(DAY(INDEX('Сводный годовой график'!$BA$4:$BL$14,$C18,MONTH($B$14)))=L$3,1,0)</f>
        <v>0</v>
      </c>
      <c r="CS19" s="58">
        <f>IF(DAY(INDEX('Сводный годовой график'!$BA$4:$BL$14,$C18,MONTH($B$14)))=M$3,1,0)</f>
        <v>0</v>
      </c>
      <c r="CT19" s="58">
        <f>IF(DAY(INDEX('Сводный годовой график'!$BA$4:$BL$14,$C18,MONTH($B$14)))=N$3,1,0)</f>
        <v>0</v>
      </c>
      <c r="CU19" s="58">
        <f>IF(DAY(INDEX('Сводный годовой график'!$BA$4:$BL$14,$C18,MONTH($B$14)))=O$3,1,0)</f>
        <v>0</v>
      </c>
      <c r="CV19" s="58">
        <f>IF(DAY(INDEX('Сводный годовой график'!$BA$4:$BL$14,$C18,MONTH($B$14)))=P$3,1,0)</f>
        <v>0</v>
      </c>
      <c r="CW19" s="58">
        <f>IF(DAY(INDEX('Сводный годовой график'!$BA$4:$BL$14,$C18,MONTH($B$14)))=Q$3,1,0)</f>
        <v>0</v>
      </c>
      <c r="CX19" s="58">
        <f>IF(DAY(INDEX('Сводный годовой график'!$BA$4:$BL$14,$C18,MONTH($B$14)))=R$3,1,0)</f>
        <v>0</v>
      </c>
      <c r="CY19" s="58">
        <f>IF(DAY(INDEX('Сводный годовой график'!$BA$4:$BL$14,$C18,MONTH($B$14)))=S$3,1,0)</f>
        <v>0</v>
      </c>
      <c r="CZ19" s="58">
        <f>IF(DAY(INDEX('Сводный годовой график'!$BA$4:$BL$14,$C18,MONTH($B$14)))=T$3,1,0)</f>
        <v>0</v>
      </c>
      <c r="DA19" s="58">
        <f>IF(DAY(INDEX('Сводный годовой график'!$BA$4:$BL$14,$C18,MONTH($B$14)))=U$3,1,0)</f>
        <v>0</v>
      </c>
      <c r="DB19" s="58">
        <f>IF(DAY(INDEX('Сводный годовой график'!$BA$4:$BL$14,$C18,MONTH($B$14)))=V$3,1,0)</f>
        <v>0</v>
      </c>
      <c r="DC19" s="58">
        <f>IF(DAY(INDEX('Сводный годовой график'!$BA$4:$BL$14,$C18,MONTH($B$14)))=W$3,1,0)</f>
        <v>0</v>
      </c>
      <c r="DD19" s="58">
        <f>IF(DAY(INDEX('Сводный годовой график'!$BA$4:$BL$14,$C18,MONTH($B$14)))=X$3,1,0)</f>
        <v>0</v>
      </c>
      <c r="DE19" s="58">
        <f>IF(DAY(INDEX('Сводный годовой график'!$BA$4:$BL$14,$C18,MONTH($B$14)))=Y$3,1,0)</f>
        <v>0</v>
      </c>
      <c r="DF19" s="58">
        <f>IF(DAY(INDEX('Сводный годовой график'!$BA$4:$BL$14,$C18,MONTH($B$14)))=Z$3,1,0)</f>
        <v>0</v>
      </c>
      <c r="DG19" s="58">
        <f>IF(DAY(INDEX('Сводный годовой график'!$BA$4:$BL$14,$C18,MONTH($B$14)))=AA$3,1,0)</f>
        <v>0</v>
      </c>
      <c r="DH19" s="58">
        <f>IF(DAY(INDEX('Сводный годовой график'!$BA$4:$BL$14,$C18,MONTH($B$14)))=AB$3,1,0)</f>
        <v>0</v>
      </c>
      <c r="DI19" s="58">
        <f>IF(DAY(INDEX('Сводный годовой график'!$BA$4:$BL$14,$C18,MONTH($B$14)))=AC$3,1,0)</f>
        <v>0</v>
      </c>
      <c r="DJ19" s="58">
        <f>IF(DAY(INDEX('Сводный годовой график'!$BA$4:$BL$14,$C18,MONTH($B$14)))=AD$3,1,0)</f>
        <v>0</v>
      </c>
      <c r="DK19" s="58">
        <f>IF(DAY(INDEX('Сводный годовой график'!$BA$4:$BL$14,$C18,MONTH($B$14)))=AE$3,1,0)</f>
        <v>0</v>
      </c>
      <c r="DL19" s="58">
        <f>IF(DAY(INDEX('Сводный годовой график'!$BA$4:$BL$14,$C18,MONTH($B$14)))=AF$3,1,0)</f>
        <v>0</v>
      </c>
      <c r="DM19" s="58">
        <f>IF(DAY(INDEX('Сводный годовой график'!$BA$4:$BL$14,$C18,MONTH($B$14)))=AG$3,1,0)</f>
        <v>0</v>
      </c>
      <c r="DN19" s="58">
        <f>IF(DAY(INDEX('Сводный годовой график'!$BA$4:$BL$14,$C18,MONTH($B$14)))=AH$3,1,0)</f>
        <v>0</v>
      </c>
      <c r="DO19" s="58">
        <f>IF(DAY(INDEX('Сводный годовой график'!$BA$4:$BL$14,$C18,MONTH($B$14)))=AI$3,1,0)</f>
        <v>0</v>
      </c>
    </row>
    <row r="20" spans="2:119" ht="17.25" thickTop="1" thickBot="1" x14ac:dyDescent="0.3">
      <c r="B20" s="201"/>
      <c r="C20" s="196">
        <v>4</v>
      </c>
      <c r="D20" s="81">
        <v>7</v>
      </c>
      <c r="E20" s="96">
        <f ca="1">IF(AND(INDEX('Сводный годовой график'!$C$1:$AR$4,MATCH($C$20,'Сводный годовой график'!$B$1:$B$4),MATCH(DATE($AV$1,MONTH($B$14),E$3),'Сводный годовой график'!$C$6:$AR$6))&lt;&gt;12,INDIRECT(ADDRESS(ROW()+1,COLUMN()))="СП"),8,INDEX('Сводный годовой график'!$C$1:$AR$4,MATCH($C$20,'Сводный годовой график'!$B$1:$B$4),MATCH(DATE($AV$1,MONTH($B$14),E$3),'Сводный годовой график'!$C$6:$AR$6)))</f>
        <v>8</v>
      </c>
      <c r="F20" s="92">
        <f ca="1">IF(AND(INDEX('Сводный годовой график'!$C$1:$AR$4,MATCH($C$20,'Сводный годовой график'!$B$1:$B$4),MATCH(DATE($AV$1,MONTH($B$14),F$3),'Сводный годовой график'!$C$6:$AR$6))&lt;&gt;12,INDIRECT(ADDRESS(ROW()+1,COLUMN()))="СП"),8,INDEX('Сводный годовой график'!$C$1:$AR$4,MATCH($C$20,'Сводный годовой график'!$B$1:$B$4),MATCH(DATE($AV$1,MONTH($B$14),F$3),'Сводный годовой график'!$C$6:$AR$6)))</f>
        <v>12</v>
      </c>
      <c r="G20" s="92">
        <f ca="1">IF(AND(INDEX('Сводный годовой график'!$C$1:$AR$4,MATCH($C$20,'Сводный годовой график'!$B$1:$B$4),MATCH(DATE($AV$1,MONTH($B$14),G$3),'Сводный годовой график'!$C$6:$AR$6))&lt;&gt;12,INDIRECT(ADDRESS(ROW()+1,COLUMN()))="СП"),8,INDEX('Сводный годовой график'!$C$1:$AR$4,MATCH($C$20,'Сводный годовой график'!$B$1:$B$4),MATCH(DATE($AV$1,MONTH($B$14),G$3),'Сводный годовой график'!$C$6:$AR$6)))</f>
        <v>4</v>
      </c>
      <c r="H20" s="92">
        <f ca="1">IF(AND(INDEX('Сводный годовой график'!$C$1:$AR$4,MATCH($C$20,'Сводный годовой график'!$B$1:$B$4),MATCH(DATE($AV$1,MONTH($B$14),H$3),'Сводный годовой график'!$C$6:$AR$6))&lt;&gt;12,INDIRECT(ADDRESS(ROW()+1,COLUMN()))="СП"),8,INDEX('Сводный годовой график'!$C$1:$AR$4,MATCH($C$20,'Сводный годовой график'!$B$1:$B$4),MATCH(DATE($AV$1,MONTH($B$14),H$3),'Сводный годовой график'!$C$6:$AR$6)))</f>
        <v>8</v>
      </c>
      <c r="I20" s="92">
        <f ca="1">IF(AND(INDEX('Сводный годовой график'!$C$1:$AR$4,MATCH($C$20,'Сводный годовой график'!$B$1:$B$4),MATCH(DATE($AV$1,MONTH($B$14),I$3),'Сводный годовой график'!$C$6:$AR$6))&lt;&gt;12,INDIRECT(ADDRESS(ROW()+1,COLUMN()))="СП"),8,INDEX('Сводный годовой график'!$C$1:$AR$4,MATCH($C$20,'Сводный годовой график'!$B$1:$B$4),MATCH(DATE($AV$1,MONTH($B$14),I$3),'Сводный годовой график'!$C$6:$AR$6)))</f>
        <v>12</v>
      </c>
      <c r="J20" s="92">
        <f ca="1">IF(AND(INDEX('Сводный годовой график'!$C$1:$AR$4,MATCH($C$20,'Сводный годовой график'!$B$1:$B$4),MATCH(DATE($AV$1,MONTH($B$14),J$3),'Сводный годовой график'!$C$6:$AR$6))&lt;&gt;12,INDIRECT(ADDRESS(ROW()+1,COLUMN()))="СП"),8,INDEX('Сводный годовой график'!$C$1:$AR$4,MATCH($C$20,'Сводный годовой график'!$B$1:$B$4),MATCH(DATE($AV$1,MONTH($B$14),J$3),'Сводный годовой график'!$C$6:$AR$6)))</f>
        <v>0</v>
      </c>
      <c r="K20" s="92">
        <f ca="1">IF(AND(INDEX('Сводный годовой график'!$C$1:$AR$4,MATCH($C$20,'Сводный годовой график'!$B$1:$B$4),MATCH(DATE($AV$1,MONTH($B$14),K$3),'Сводный годовой график'!$C$6:$AR$6))&lt;&gt;12,INDIRECT(ADDRESS(ROW()+1,COLUMN()))="СП"),8,INDEX('Сводный годовой график'!$C$1:$AR$4,MATCH($C$20,'Сводный годовой график'!$B$1:$B$4),MATCH(DATE($AV$1,MONTH($B$14),K$3),'Сводный годовой график'!$C$6:$AR$6)))</f>
        <v>0</v>
      </c>
      <c r="L20" s="92">
        <f ca="1">IF(AND(INDEX('Сводный годовой график'!$C$1:$AR$4,MATCH($C$20,'Сводный годовой график'!$B$1:$B$4),MATCH(DATE($AV$1,MONTH($B$14),L$3),'Сводный годовой график'!$C$6:$AR$6))&lt;&gt;12,INDIRECT(ADDRESS(ROW()+1,COLUMN()))="СП"),8,INDEX('Сводный годовой график'!$C$1:$AR$4,MATCH($C$20,'Сводный годовой график'!$B$1:$B$4),MATCH(DATE($AV$1,MONTH($B$14),L$3),'Сводный годовой график'!$C$6:$AR$6)))</f>
        <v>4</v>
      </c>
      <c r="M20" s="92">
        <f ca="1">IF(AND(INDEX('Сводный годовой график'!$C$1:$AR$4,MATCH($C$20,'Сводный годовой график'!$B$1:$B$4),MATCH(DATE($AV$1,MONTH($B$14),M$3),'Сводный годовой график'!$C$6:$AR$6))&lt;&gt;12,INDIRECT(ADDRESS(ROW()+1,COLUMN()))="СП"),8,INDEX('Сводный годовой график'!$C$1:$AR$4,MATCH($C$20,'Сводный годовой график'!$B$1:$B$4),MATCH(DATE($AV$1,MONTH($B$14),M$3),'Сводный годовой график'!$C$6:$AR$6)))</f>
        <v>8</v>
      </c>
      <c r="N20" s="92">
        <f ca="1">IF(AND(INDEX('Сводный годовой график'!$C$1:$AR$4,MATCH($C$20,'Сводный годовой график'!$B$1:$B$4),MATCH(DATE($AV$1,MONTH($B$14),N$3),'Сводный годовой график'!$C$6:$AR$6))&lt;&gt;12,INDIRECT(ADDRESS(ROW()+1,COLUMN()))="СП"),8,INDEX('Сводный годовой график'!$C$1:$AR$4,MATCH($C$20,'Сводный годовой график'!$B$1:$B$4),MATCH(DATE($AV$1,MONTH($B$14),N$3),'Сводный годовой график'!$C$6:$AR$6)))</f>
        <v>12</v>
      </c>
      <c r="O20" s="92">
        <f ca="1">IF(AND(INDEX('Сводный годовой график'!$C$1:$AR$4,MATCH($C$20,'Сводный годовой график'!$B$1:$B$4),MATCH(DATE($AV$1,MONTH($B$14),O$3),'Сводный годовой график'!$C$6:$AR$6))&lt;&gt;12,INDIRECT(ADDRESS(ROW()+1,COLUMN()))="СП"),8,INDEX('Сводный годовой график'!$C$1:$AR$4,MATCH($C$20,'Сводный годовой график'!$B$1:$B$4),MATCH(DATE($AV$1,MONTH($B$14),O$3),'Сводный годовой график'!$C$6:$AR$6)))</f>
        <v>4</v>
      </c>
      <c r="P20" s="92">
        <f ca="1">IF(AND(INDEX('Сводный годовой график'!$C$1:$AR$4,MATCH($C$20,'Сводный годовой график'!$B$1:$B$4),MATCH(DATE($AV$1,MONTH($B$14),P$3),'Сводный годовой график'!$C$6:$AR$6))&lt;&gt;12,INDIRECT(ADDRESS(ROW()+1,COLUMN()))="СП"),8,INDEX('Сводный годовой график'!$C$1:$AR$4,MATCH($C$20,'Сводный годовой график'!$B$1:$B$4),MATCH(DATE($AV$1,MONTH($B$14),P$3),'Сводный годовой график'!$C$6:$AR$6)))</f>
        <v>8</v>
      </c>
      <c r="Q20" s="92">
        <f ca="1">IF(AND(INDEX('Сводный годовой график'!$C$1:$AR$4,MATCH($C$20,'Сводный годовой график'!$B$1:$B$4),MATCH(DATE($AV$1,MONTH($B$14),Q$3),'Сводный годовой график'!$C$6:$AR$6))&lt;&gt;12,INDIRECT(ADDRESS(ROW()+1,COLUMN()))="СП"),8,INDEX('Сводный годовой график'!$C$1:$AR$4,MATCH($C$20,'Сводный годовой график'!$B$1:$B$4),MATCH(DATE($AV$1,MONTH($B$14),Q$3),'Сводный годовой график'!$C$6:$AR$6)))</f>
        <v>12</v>
      </c>
      <c r="R20" s="92">
        <f ca="1">IF(AND(INDEX('Сводный годовой график'!$C$1:$AR$4,MATCH($C$20,'Сводный годовой график'!$B$1:$B$4),MATCH(DATE($AV$1,MONTH($B$14),R$3),'Сводный годовой график'!$C$6:$AR$6))&lt;&gt;12,INDIRECT(ADDRESS(ROW()+1,COLUMN()))="СП"),8,INDEX('Сводный годовой график'!$C$1:$AR$4,MATCH($C$20,'Сводный годовой график'!$B$1:$B$4),MATCH(DATE($AV$1,MONTH($B$14),R$3),'Сводный годовой график'!$C$6:$AR$6)))</f>
        <v>0</v>
      </c>
      <c r="S20" s="92">
        <f ca="1">IF(AND(INDEX('Сводный годовой график'!$C$1:$AR$4,MATCH($C$20,'Сводный годовой график'!$B$1:$B$4),MATCH(DATE($AV$1,MONTH($B$14),S$3),'Сводный годовой график'!$C$6:$AR$6))&lt;&gt;12,INDIRECT(ADDRESS(ROW()+1,COLUMN()))="СП"),8,INDEX('Сводный годовой график'!$C$1:$AR$4,MATCH($C$20,'Сводный годовой график'!$B$1:$B$4),MATCH(DATE($AV$1,MONTH($B$14),S$3),'Сводный годовой график'!$C$6:$AR$6)))</f>
        <v>0</v>
      </c>
      <c r="T20" s="92">
        <f ca="1">IF(AND(INDEX('Сводный годовой график'!$C$1:$AR$4,MATCH($C$20,'Сводный годовой график'!$B$1:$B$4),MATCH(DATE($AV$1,MONTH($B$14),T$3),'Сводный годовой график'!$C$6:$AR$6))&lt;&gt;12,INDIRECT(ADDRESS(ROW()+1,COLUMN()))="СП"),8,INDEX('Сводный годовой график'!$C$1:$AR$4,MATCH($C$20,'Сводный годовой график'!$B$1:$B$4),MATCH(DATE($AV$1,MONTH($B$14),T$3),'Сводный годовой график'!$C$6:$AR$6)))</f>
        <v>4</v>
      </c>
      <c r="U20" s="92">
        <f ca="1">IF(AND(INDEX('Сводный годовой график'!$C$1:$AR$4,MATCH($C$20,'Сводный годовой график'!$B$1:$B$4),MATCH(DATE($AV$1,MONTH($B$14),U$3),'Сводный годовой график'!$C$6:$AR$6))&lt;&gt;12,INDIRECT(ADDRESS(ROW()+1,COLUMN()))="СП"),8,INDEX('Сводный годовой график'!$C$1:$AR$4,MATCH($C$20,'Сводный годовой график'!$B$1:$B$4),MATCH(DATE($AV$1,MONTH($B$14),U$3),'Сводный годовой график'!$C$6:$AR$6)))</f>
        <v>8</v>
      </c>
      <c r="V20" s="92">
        <f ca="1">IF(AND(INDEX('Сводный годовой график'!$C$1:$AR$4,MATCH($C$20,'Сводный годовой график'!$B$1:$B$4),MATCH(DATE($AV$1,MONTH($B$14),V$3),'Сводный годовой график'!$C$6:$AR$6))&lt;&gt;12,INDIRECT(ADDRESS(ROW()+1,COLUMN()))="СП"),8,INDEX('Сводный годовой график'!$C$1:$AR$4,MATCH($C$20,'Сводный годовой график'!$B$1:$B$4),MATCH(DATE($AV$1,MONTH($B$14),V$3),'Сводный годовой график'!$C$6:$AR$6)))</f>
        <v>12</v>
      </c>
      <c r="W20" s="92">
        <f ca="1">IF(AND(INDEX('Сводный годовой график'!$C$1:$AR$4,MATCH($C$20,'Сводный годовой график'!$B$1:$B$4),MATCH(DATE($AV$1,MONTH($B$14),W$3),'Сводный годовой график'!$C$6:$AR$6))&lt;&gt;12,INDIRECT(ADDRESS(ROW()+1,COLUMN()))="СП"),8,INDEX('Сводный годовой график'!$C$1:$AR$4,MATCH($C$20,'Сводный годовой график'!$B$1:$B$4),MATCH(DATE($AV$1,MONTH($B$14),W$3),'Сводный годовой график'!$C$6:$AR$6)))</f>
        <v>4</v>
      </c>
      <c r="X20" s="92">
        <f ca="1">IF(AND(INDEX('Сводный годовой график'!$C$1:$AR$4,MATCH($C$20,'Сводный годовой график'!$B$1:$B$4),MATCH(DATE($AV$1,MONTH($B$14),X$3),'Сводный годовой график'!$C$6:$AR$6))&lt;&gt;12,INDIRECT(ADDRESS(ROW()+1,COLUMN()))="СП"),8,INDEX('Сводный годовой график'!$C$1:$AR$4,MATCH($C$20,'Сводный годовой график'!$B$1:$B$4),MATCH(DATE($AV$1,MONTH($B$14),X$3),'Сводный годовой график'!$C$6:$AR$6)))</f>
        <v>8</v>
      </c>
      <c r="Y20" s="92">
        <f ca="1">IF(AND(INDEX('Сводный годовой график'!$C$1:$AR$4,MATCH($C$20,'Сводный годовой график'!$B$1:$B$4),MATCH(DATE($AV$1,MONTH($B$14),Y$3),'Сводный годовой график'!$C$6:$AR$6))&lt;&gt;12,INDIRECT(ADDRESS(ROW()+1,COLUMN()))="СП"),8,INDEX('Сводный годовой график'!$C$1:$AR$4,MATCH($C$20,'Сводный годовой график'!$B$1:$B$4),MATCH(DATE($AV$1,MONTH($B$14),Y$3),'Сводный годовой график'!$C$6:$AR$6)))</f>
        <v>12</v>
      </c>
      <c r="Z20" s="92">
        <f ca="1">IF(AND(INDEX('Сводный годовой график'!$C$1:$AR$4,MATCH($C$20,'Сводный годовой график'!$B$1:$B$4),MATCH(DATE($AV$1,MONTH($B$14),Z$3),'Сводный годовой график'!$C$6:$AR$6))&lt;&gt;12,INDIRECT(ADDRESS(ROW()+1,COLUMN()))="СП"),8,INDEX('Сводный годовой график'!$C$1:$AR$4,MATCH($C$20,'Сводный годовой график'!$B$1:$B$4),MATCH(DATE($AV$1,MONTH($B$14),Z$3),'Сводный годовой график'!$C$6:$AR$6)))</f>
        <v>0</v>
      </c>
      <c r="AA20" s="92">
        <f ca="1">IF(AND(INDEX('Сводный годовой график'!$C$1:$AR$4,MATCH($C$20,'Сводный годовой график'!$B$1:$B$4),MATCH(DATE($AV$1,MONTH($B$14),AA$3),'Сводный годовой график'!$C$6:$AR$6))&lt;&gt;12,INDIRECT(ADDRESS(ROW()+1,COLUMN()))="СП"),8,INDEX('Сводный годовой график'!$C$1:$AR$4,MATCH($C$20,'Сводный годовой график'!$B$1:$B$4),MATCH(DATE($AV$1,MONTH($B$14),AA$3),'Сводный годовой график'!$C$6:$AR$6)))</f>
        <v>0</v>
      </c>
      <c r="AB20" s="92">
        <f ca="1">IF(AND(INDEX('Сводный годовой график'!$C$1:$AR$4,MATCH($C$20,'Сводный годовой график'!$B$1:$B$4),MATCH(DATE($AV$1,MONTH($B$14),AB$3),'Сводный годовой график'!$C$6:$AR$6))&lt;&gt;12,INDIRECT(ADDRESS(ROW()+1,COLUMN()))="СП"),8,INDEX('Сводный годовой график'!$C$1:$AR$4,MATCH($C$20,'Сводный годовой график'!$B$1:$B$4),MATCH(DATE($AV$1,MONTH($B$14),AB$3),'Сводный годовой график'!$C$6:$AR$6)))</f>
        <v>4</v>
      </c>
      <c r="AC20" s="92">
        <f ca="1">IF(AND(INDEX('Сводный годовой график'!$C$1:$AR$4,MATCH($C$20,'Сводный годовой график'!$B$1:$B$4),MATCH(DATE($AV$1,MONTH($B$14),AC$3),'Сводный годовой график'!$C$6:$AR$6))&lt;&gt;12,INDIRECT(ADDRESS(ROW()+1,COLUMN()))="СП"),8,INDEX('Сводный годовой график'!$C$1:$AR$4,MATCH($C$20,'Сводный годовой график'!$B$1:$B$4),MATCH(DATE($AV$1,MONTH($B$14),AC$3),'Сводный годовой график'!$C$6:$AR$6)))</f>
        <v>8</v>
      </c>
      <c r="AD20" s="92">
        <f ca="1">IF(AND(INDEX('Сводный годовой график'!$C$1:$AR$4,MATCH($C$20,'Сводный годовой график'!$B$1:$B$4),MATCH(DATE($AV$1,MONTH($B$14),AD$3),'Сводный годовой график'!$C$6:$AR$6))&lt;&gt;12,INDIRECT(ADDRESS(ROW()+1,COLUMN()))="СП"),8,INDEX('Сводный годовой график'!$C$1:$AR$4,MATCH($C$20,'Сводный годовой график'!$B$1:$B$4),MATCH(DATE($AV$1,MONTH($B$14),AD$3),'Сводный годовой график'!$C$6:$AR$6)))</f>
        <v>12</v>
      </c>
      <c r="AE20" s="92">
        <f ca="1">IF(AND(INDEX('Сводный годовой график'!$C$1:$AR$4,MATCH($C$20,'Сводный годовой график'!$B$1:$B$4),MATCH(DATE($AV$1,MONTH($B$14),AE$3),'Сводный годовой график'!$C$6:$AR$6))&lt;&gt;12,INDIRECT(ADDRESS(ROW()+1,COLUMN()))="СП"),8,INDEX('Сводный годовой график'!$C$1:$AR$4,MATCH($C$20,'Сводный годовой график'!$B$1:$B$4),MATCH(DATE($AV$1,MONTH($B$14),AE$3),'Сводный годовой график'!$C$6:$AR$6)))</f>
        <v>4</v>
      </c>
      <c r="AF20" s="92">
        <f ca="1">IF(AND(INDEX('Сводный годовой график'!$C$1:$AR$4,MATCH($C$20,'Сводный годовой график'!$B$1:$B$4),MATCH(DATE($AV$1,MONTH($B$14),AF$3),'Сводный годовой график'!$C$6:$AR$6))&lt;&gt;12,INDIRECT(ADDRESS(ROW()+1,COLUMN()))="СП"),8,INDEX('Сводный годовой график'!$C$1:$AR$4,MATCH($C$20,'Сводный годовой график'!$B$1:$B$4),MATCH(DATE($AV$1,MONTH($B$14),AF$3),'Сводный годовой график'!$C$6:$AR$6)))</f>
        <v>8</v>
      </c>
      <c r="AG20" s="119"/>
      <c r="AH20" s="119"/>
      <c r="AI20" s="110"/>
      <c r="AJ20" s="206"/>
      <c r="AK20" s="177">
        <f>$AJ$14-SUM(AY20:CC21)</f>
        <v>160</v>
      </c>
      <c r="AL20" s="177">
        <f t="shared" ref="AL20" ca="1" si="31">SUM(E20:AI21)</f>
        <v>176</v>
      </c>
      <c r="AM20" s="177">
        <f ca="1">SUM(AA20)</f>
        <v>0</v>
      </c>
      <c r="AN20" s="198">
        <f t="shared" ref="AN20" ca="1" si="32">-AM20-AK20+AL20</f>
        <v>16</v>
      </c>
      <c r="AO20" s="198">
        <v>0</v>
      </c>
      <c r="AP20" s="208">
        <f t="shared" ref="AP20" ca="1" si="33">AN20+AP10-AO20</f>
        <v>16</v>
      </c>
      <c r="AQ20" s="177">
        <v>0</v>
      </c>
      <c r="AR20" s="179">
        <v>1</v>
      </c>
      <c r="CK20" s="59"/>
      <c r="CL20" s="59"/>
      <c r="CM20" s="59"/>
      <c r="CN20" s="59"/>
      <c r="CO20" s="59"/>
      <c r="CP20" s="59"/>
      <c r="CQ20" s="59"/>
      <c r="CR20" s="59"/>
      <c r="CS20" s="59"/>
      <c r="CT20" s="59"/>
      <c r="CU20" s="59"/>
      <c r="CV20" s="59"/>
      <c r="CW20" s="59"/>
      <c r="CX20" s="59"/>
      <c r="CY20" s="59"/>
      <c r="CZ20" s="59"/>
      <c r="DA20" s="59"/>
      <c r="DB20" s="59"/>
      <c r="DC20" s="59"/>
      <c r="DD20" s="59"/>
      <c r="DE20" s="59"/>
      <c r="DF20" s="59"/>
      <c r="DG20" s="59"/>
      <c r="DH20" s="59"/>
      <c r="DI20" s="59"/>
      <c r="DJ20" s="59"/>
      <c r="DK20" s="59"/>
      <c r="DL20" s="59"/>
      <c r="DM20" s="59"/>
      <c r="DN20" s="59"/>
      <c r="DO20" s="59"/>
    </row>
    <row r="21" spans="2:119" ht="16.5" thickBot="1" x14ac:dyDescent="0.3">
      <c r="B21" s="201"/>
      <c r="C21" s="197"/>
      <c r="D21" s="82">
        <v>8</v>
      </c>
      <c r="E21" s="96" t="str">
        <f t="shared" ref="E21:AF21" si="34">IF(INDEX($CK$4:$DO$123,ROW()-3,E$3)=0,"","СП")</f>
        <v/>
      </c>
      <c r="F21" s="92" t="str">
        <f t="shared" si="34"/>
        <v/>
      </c>
      <c r="G21" s="92" t="str">
        <f t="shared" si="34"/>
        <v/>
      </c>
      <c r="H21" s="92" t="str">
        <f t="shared" si="34"/>
        <v/>
      </c>
      <c r="I21" s="92" t="str">
        <f t="shared" si="34"/>
        <v>СП</v>
      </c>
      <c r="J21" s="92" t="str">
        <f t="shared" si="34"/>
        <v/>
      </c>
      <c r="K21" s="92" t="str">
        <f t="shared" si="34"/>
        <v/>
      </c>
      <c r="L21" s="92" t="str">
        <f t="shared" si="34"/>
        <v/>
      </c>
      <c r="M21" s="92" t="str">
        <f t="shared" si="34"/>
        <v/>
      </c>
      <c r="N21" s="92" t="str">
        <f t="shared" si="34"/>
        <v/>
      </c>
      <c r="O21" s="92" t="str">
        <f t="shared" si="34"/>
        <v/>
      </c>
      <c r="P21" s="92" t="str">
        <f t="shared" si="34"/>
        <v/>
      </c>
      <c r="Q21" s="92" t="str">
        <f t="shared" si="34"/>
        <v/>
      </c>
      <c r="R21" s="92" t="str">
        <f t="shared" si="34"/>
        <v/>
      </c>
      <c r="S21" s="92" t="str">
        <f t="shared" si="34"/>
        <v/>
      </c>
      <c r="T21" s="92" t="str">
        <f t="shared" si="34"/>
        <v/>
      </c>
      <c r="U21" s="92" t="str">
        <f t="shared" si="34"/>
        <v/>
      </c>
      <c r="V21" s="92" t="str">
        <f t="shared" si="34"/>
        <v/>
      </c>
      <c r="W21" s="92" t="str">
        <f t="shared" si="34"/>
        <v/>
      </c>
      <c r="X21" s="92" t="str">
        <f t="shared" si="34"/>
        <v/>
      </c>
      <c r="Y21" s="92" t="str">
        <f t="shared" si="34"/>
        <v/>
      </c>
      <c r="Z21" s="92" t="str">
        <f t="shared" si="34"/>
        <v/>
      </c>
      <c r="AA21" s="92" t="str">
        <f t="shared" si="34"/>
        <v/>
      </c>
      <c r="AB21" s="92" t="str">
        <f t="shared" si="34"/>
        <v/>
      </c>
      <c r="AC21" s="92" t="str">
        <f t="shared" si="34"/>
        <v/>
      </c>
      <c r="AD21" s="92" t="str">
        <f t="shared" si="34"/>
        <v/>
      </c>
      <c r="AE21" s="92" t="str">
        <f t="shared" si="34"/>
        <v/>
      </c>
      <c r="AF21" s="92" t="str">
        <f t="shared" si="34"/>
        <v/>
      </c>
      <c r="AG21" s="119"/>
      <c r="AH21" s="119"/>
      <c r="AI21" s="110"/>
      <c r="AJ21" s="206"/>
      <c r="AK21" s="177"/>
      <c r="AL21" s="177"/>
      <c r="AM21" s="177"/>
      <c r="AN21" s="198"/>
      <c r="AO21" s="198"/>
      <c r="AP21" s="198"/>
      <c r="AQ21" s="177"/>
      <c r="AR21" s="179"/>
      <c r="CK21" s="58">
        <f>IF(DAY(INDEX('Сводный годовой график'!$BA$4:$BL$14,$C20,MONTH($B$14)))=E$3,1,0)</f>
        <v>0</v>
      </c>
      <c r="CL21" s="58">
        <f>IF(DAY(INDEX('Сводный годовой график'!$BA$4:$BL$14,$C20,MONTH($B$14)))=F$3,1,0)</f>
        <v>0</v>
      </c>
      <c r="CM21" s="58">
        <f>IF(DAY(INDEX('Сводный годовой график'!$BA$4:$BL$14,$C20,MONTH($B$14)))=G$3,1,0)</f>
        <v>0</v>
      </c>
      <c r="CN21" s="58">
        <f>IF(DAY(INDEX('Сводный годовой график'!$BA$4:$BL$14,$C20,MONTH($B$14)))=H$3,1,0)</f>
        <v>0</v>
      </c>
      <c r="CO21" s="58">
        <f>IF(DAY(INDEX('Сводный годовой график'!$BA$4:$BL$14,$C20,MONTH($B$14)))=I$3,1,0)</f>
        <v>1</v>
      </c>
      <c r="CP21" s="58">
        <f>IF(DAY(INDEX('Сводный годовой график'!$BA$4:$BL$14,$C20,MONTH($B$14)))=J$3,1,0)</f>
        <v>0</v>
      </c>
      <c r="CQ21" s="58">
        <f>IF(DAY(INDEX('Сводный годовой график'!$BA$4:$BL$14,$C20,MONTH($B$14)))=K$3,1,0)</f>
        <v>0</v>
      </c>
      <c r="CR21" s="58">
        <f>IF(DAY(INDEX('Сводный годовой график'!$BA$4:$BL$14,$C20,MONTH($B$14)))=L$3,1,0)</f>
        <v>0</v>
      </c>
      <c r="CS21" s="58">
        <f>IF(DAY(INDEX('Сводный годовой график'!$BA$4:$BL$14,$C20,MONTH($B$14)))=M$3,1,0)</f>
        <v>0</v>
      </c>
      <c r="CT21" s="58">
        <f>IF(DAY(INDEX('Сводный годовой график'!$BA$4:$BL$14,$C20,MONTH($B$14)))=N$3,1,0)</f>
        <v>0</v>
      </c>
      <c r="CU21" s="58">
        <f>IF(DAY(INDEX('Сводный годовой график'!$BA$4:$BL$14,$C20,MONTH($B$14)))=O$3,1,0)</f>
        <v>0</v>
      </c>
      <c r="CV21" s="58">
        <f>IF(DAY(INDEX('Сводный годовой график'!$BA$4:$BL$14,$C20,MONTH($B$14)))=P$3,1,0)</f>
        <v>0</v>
      </c>
      <c r="CW21" s="58">
        <f>IF(DAY(INDEX('Сводный годовой график'!$BA$4:$BL$14,$C20,MONTH($B$14)))=Q$3,1,0)</f>
        <v>0</v>
      </c>
      <c r="CX21" s="58">
        <f>IF(DAY(INDEX('Сводный годовой график'!$BA$4:$BL$14,$C20,MONTH($B$14)))=R$3,1,0)</f>
        <v>0</v>
      </c>
      <c r="CY21" s="58">
        <f>IF(DAY(INDEX('Сводный годовой график'!$BA$4:$BL$14,$C20,MONTH($B$14)))=S$3,1,0)</f>
        <v>0</v>
      </c>
      <c r="CZ21" s="58">
        <f>IF(DAY(INDEX('Сводный годовой график'!$BA$4:$BL$14,$C20,MONTH($B$14)))=T$3,1,0)</f>
        <v>0</v>
      </c>
      <c r="DA21" s="58">
        <f>IF(DAY(INDEX('Сводный годовой график'!$BA$4:$BL$14,$C20,MONTH($B$14)))=U$3,1,0)</f>
        <v>0</v>
      </c>
      <c r="DB21" s="58">
        <f>IF(DAY(INDEX('Сводный годовой график'!$BA$4:$BL$14,$C20,MONTH($B$14)))=V$3,1,0)</f>
        <v>0</v>
      </c>
      <c r="DC21" s="58">
        <f>IF(DAY(INDEX('Сводный годовой график'!$BA$4:$BL$14,$C20,MONTH($B$14)))=W$3,1,0)</f>
        <v>0</v>
      </c>
      <c r="DD21" s="58">
        <f>IF(DAY(INDEX('Сводный годовой график'!$BA$4:$BL$14,$C20,MONTH($B$14)))=X$3,1,0)</f>
        <v>0</v>
      </c>
      <c r="DE21" s="58">
        <f>IF(DAY(INDEX('Сводный годовой график'!$BA$4:$BL$14,$C20,MONTH($B$14)))=Y$3,1,0)</f>
        <v>0</v>
      </c>
      <c r="DF21" s="58">
        <f>IF(DAY(INDEX('Сводный годовой график'!$BA$4:$BL$14,$C20,MONTH($B$14)))=Z$3,1,0)</f>
        <v>0</v>
      </c>
      <c r="DG21" s="58">
        <f>IF(DAY(INDEX('Сводный годовой график'!$BA$4:$BL$14,$C20,MONTH($B$14)))=AA$3,1,0)</f>
        <v>0</v>
      </c>
      <c r="DH21" s="58">
        <f>IF(DAY(INDEX('Сводный годовой график'!$BA$4:$BL$14,$C20,MONTH($B$14)))=AB$3,1,0)</f>
        <v>0</v>
      </c>
      <c r="DI21" s="58">
        <f>IF(DAY(INDEX('Сводный годовой график'!$BA$4:$BL$14,$C20,MONTH($B$14)))=AC$3,1,0)</f>
        <v>0</v>
      </c>
      <c r="DJ21" s="58">
        <f>IF(DAY(INDEX('Сводный годовой график'!$BA$4:$BL$14,$C20,MONTH($B$14)))=AD$3,1,0)</f>
        <v>0</v>
      </c>
      <c r="DK21" s="58">
        <f>IF(DAY(INDEX('Сводный годовой график'!$BA$4:$BL$14,$C20,MONTH($B$14)))=AE$3,1,0)</f>
        <v>0</v>
      </c>
      <c r="DL21" s="58">
        <f>IF(DAY(INDEX('Сводный годовой график'!$BA$4:$BL$14,$C20,MONTH($B$14)))=AF$3,1,0)</f>
        <v>0</v>
      </c>
      <c r="DM21" s="58">
        <f>IF(DAY(INDEX('Сводный годовой график'!$BA$4:$BL$14,$C20,MONTH($B$14)))=AG$3,1,0)</f>
        <v>0</v>
      </c>
      <c r="DN21" s="58">
        <f>IF(DAY(INDEX('Сводный годовой график'!$BA$4:$BL$14,$C20,MONTH($B$14)))=AH$3,1,0)</f>
        <v>0</v>
      </c>
      <c r="DO21" s="58">
        <f>IF(DAY(INDEX('Сводный годовой график'!$BA$4:$BL$14,$C20,MONTH($B$14)))=AI$3,1,0)</f>
        <v>0</v>
      </c>
    </row>
    <row r="22" spans="2:119" ht="17.25" thickTop="1" thickBot="1" x14ac:dyDescent="0.3">
      <c r="B22" s="201"/>
      <c r="C22" s="196">
        <v>5</v>
      </c>
      <c r="D22" s="81">
        <v>9</v>
      </c>
      <c r="E22" s="96" t="s">
        <v>36</v>
      </c>
      <c r="F22" s="92" t="s">
        <v>36</v>
      </c>
      <c r="G22" s="92" t="s">
        <v>36</v>
      </c>
      <c r="H22" s="92" t="s">
        <v>36</v>
      </c>
      <c r="I22" s="92" t="s">
        <v>36</v>
      </c>
      <c r="J22" s="92" t="s">
        <v>36</v>
      </c>
      <c r="K22" s="92" t="s">
        <v>36</v>
      </c>
      <c r="L22" s="92" t="s">
        <v>36</v>
      </c>
      <c r="M22" s="92" t="s">
        <v>36</v>
      </c>
      <c r="N22" s="92" t="s">
        <v>36</v>
      </c>
      <c r="O22" s="92" t="s">
        <v>36</v>
      </c>
      <c r="P22" s="92" t="s">
        <v>36</v>
      </c>
      <c r="Q22" s="92" t="s">
        <v>36</v>
      </c>
      <c r="R22" s="92" t="s">
        <v>36</v>
      </c>
      <c r="S22" s="92" t="s">
        <v>36</v>
      </c>
      <c r="T22" s="92" t="s">
        <v>36</v>
      </c>
      <c r="U22" s="92" t="s">
        <v>36</v>
      </c>
      <c r="V22" s="92" t="s">
        <v>36</v>
      </c>
      <c r="W22" s="92" t="s">
        <v>36</v>
      </c>
      <c r="X22" s="92" t="s">
        <v>36</v>
      </c>
      <c r="Y22" s="92" t="s">
        <v>36</v>
      </c>
      <c r="Z22" s="92" t="s">
        <v>36</v>
      </c>
      <c r="AA22" s="92" t="s">
        <v>36</v>
      </c>
      <c r="AB22" s="92" t="s">
        <v>36</v>
      </c>
      <c r="AC22" s="92" t="s">
        <v>36</v>
      </c>
      <c r="AD22" s="92" t="s">
        <v>36</v>
      </c>
      <c r="AE22" s="92" t="s">
        <v>36</v>
      </c>
      <c r="AF22" s="92" t="s">
        <v>36</v>
      </c>
      <c r="AG22" s="119"/>
      <c r="AH22" s="119"/>
      <c r="AI22" s="110"/>
      <c r="AJ22" s="206"/>
      <c r="AK22" s="177">
        <f>$AJ$14-SUM(AY22:CC23)</f>
        <v>160</v>
      </c>
      <c r="AL22" s="177">
        <f t="shared" ref="AL22" si="35">SUM(E22:AI23)</f>
        <v>0</v>
      </c>
      <c r="AM22" s="177">
        <f>SUM(AA22)</f>
        <v>0</v>
      </c>
      <c r="AN22" s="198">
        <f t="shared" ref="AN22" si="36">-AM22-AK22+AL22</f>
        <v>-160</v>
      </c>
      <c r="AO22" s="198">
        <v>0</v>
      </c>
      <c r="AP22" s="208">
        <f t="shared" ref="AP22" si="37">AN22+AP12-AO22</f>
        <v>-296</v>
      </c>
      <c r="AQ22" s="177">
        <v>0</v>
      </c>
      <c r="AR22" s="179">
        <v>1</v>
      </c>
      <c r="CK22" s="59"/>
      <c r="CL22" s="59"/>
      <c r="CM22" s="59"/>
      <c r="CN22" s="59"/>
      <c r="CO22" s="59"/>
      <c r="CP22" s="59"/>
      <c r="CQ22" s="59"/>
      <c r="CR22" s="59"/>
      <c r="CS22" s="59"/>
      <c r="CT22" s="59"/>
      <c r="CU22" s="59"/>
      <c r="CV22" s="59"/>
      <c r="CW22" s="59"/>
      <c r="CX22" s="59"/>
      <c r="CY22" s="59"/>
      <c r="CZ22" s="59"/>
      <c r="DA22" s="59"/>
      <c r="DB22" s="59"/>
      <c r="DC22" s="59"/>
      <c r="DD22" s="59"/>
      <c r="DE22" s="59"/>
      <c r="DF22" s="59"/>
      <c r="DG22" s="59"/>
      <c r="DH22" s="59"/>
      <c r="DI22" s="59"/>
      <c r="DJ22" s="59"/>
      <c r="DK22" s="59"/>
      <c r="DL22" s="59"/>
      <c r="DM22" s="59"/>
      <c r="DN22" s="59"/>
      <c r="DO22" s="59"/>
    </row>
    <row r="23" spans="2:119" ht="16.5" thickBot="1" x14ac:dyDescent="0.3">
      <c r="B23" s="202"/>
      <c r="C23" s="197"/>
      <c r="D23" s="82">
        <v>10</v>
      </c>
      <c r="E23" s="84" t="str">
        <f t="shared" ref="E23:AF23" si="38">IF(INDEX($CK$4:$DO$123,ROW()-3,E$3)=0,"","СП")</f>
        <v/>
      </c>
      <c r="F23" s="29" t="str">
        <f t="shared" si="38"/>
        <v/>
      </c>
      <c r="G23" s="29" t="str">
        <f t="shared" si="38"/>
        <v/>
      </c>
      <c r="H23" s="29" t="str">
        <f t="shared" si="38"/>
        <v/>
      </c>
      <c r="I23" s="29" t="str">
        <f t="shared" si="38"/>
        <v/>
      </c>
      <c r="J23" s="29" t="str">
        <f t="shared" si="38"/>
        <v>СП</v>
      </c>
      <c r="K23" s="29" t="str">
        <f t="shared" si="38"/>
        <v/>
      </c>
      <c r="L23" s="29" t="str">
        <f t="shared" si="38"/>
        <v/>
      </c>
      <c r="M23" s="29" t="str">
        <f t="shared" si="38"/>
        <v/>
      </c>
      <c r="N23" s="29" t="str">
        <f t="shared" si="38"/>
        <v/>
      </c>
      <c r="O23" s="29" t="str">
        <f t="shared" si="38"/>
        <v/>
      </c>
      <c r="P23" s="29" t="str">
        <f t="shared" si="38"/>
        <v/>
      </c>
      <c r="Q23" s="29" t="str">
        <f t="shared" si="38"/>
        <v/>
      </c>
      <c r="R23" s="29" t="str">
        <f t="shared" si="38"/>
        <v/>
      </c>
      <c r="S23" s="29" t="str">
        <f t="shared" si="38"/>
        <v/>
      </c>
      <c r="T23" s="29" t="str">
        <f t="shared" si="38"/>
        <v/>
      </c>
      <c r="U23" s="29" t="str">
        <f t="shared" si="38"/>
        <v/>
      </c>
      <c r="V23" s="29" t="str">
        <f t="shared" si="38"/>
        <v/>
      </c>
      <c r="W23" s="29" t="str">
        <f t="shared" si="38"/>
        <v/>
      </c>
      <c r="X23" s="29" t="str">
        <f t="shared" si="38"/>
        <v/>
      </c>
      <c r="Y23" s="29" t="str">
        <f t="shared" si="38"/>
        <v/>
      </c>
      <c r="Z23" s="29" t="str">
        <f t="shared" si="38"/>
        <v/>
      </c>
      <c r="AA23" s="29" t="str">
        <f t="shared" si="38"/>
        <v/>
      </c>
      <c r="AB23" s="29" t="str">
        <f t="shared" si="38"/>
        <v/>
      </c>
      <c r="AC23" s="29" t="str">
        <f t="shared" si="38"/>
        <v/>
      </c>
      <c r="AD23" s="29" t="str">
        <f t="shared" si="38"/>
        <v/>
      </c>
      <c r="AE23" s="29" t="str">
        <f t="shared" si="38"/>
        <v/>
      </c>
      <c r="AF23" s="29" t="str">
        <f t="shared" si="38"/>
        <v/>
      </c>
      <c r="AG23" s="124"/>
      <c r="AH23" s="124"/>
      <c r="AI23" s="111"/>
      <c r="AJ23" s="207"/>
      <c r="AK23" s="178"/>
      <c r="AL23" s="178"/>
      <c r="AM23" s="178"/>
      <c r="AN23" s="199"/>
      <c r="AO23" s="199"/>
      <c r="AP23" s="198"/>
      <c r="AQ23" s="178"/>
      <c r="AR23" s="180"/>
      <c r="CK23" s="58">
        <f>IF(DAY(INDEX('Сводный годовой график'!$BA$4:$BL$14,$C22,MONTH($B$14)))=E$3,1,0)</f>
        <v>0</v>
      </c>
      <c r="CL23" s="58">
        <f>IF(DAY(INDEX('Сводный годовой график'!$BA$4:$BL$14,$C22,MONTH($B$14)))=F$3,1,0)</f>
        <v>0</v>
      </c>
      <c r="CM23" s="58">
        <f>IF(DAY(INDEX('Сводный годовой график'!$BA$4:$BL$14,$C22,MONTH($B$14)))=G$3,1,0)</f>
        <v>0</v>
      </c>
      <c r="CN23" s="58">
        <f>IF(DAY(INDEX('Сводный годовой график'!$BA$4:$BL$14,$C22,MONTH($B$14)))=H$3,1,0)</f>
        <v>0</v>
      </c>
      <c r="CO23" s="58">
        <f>IF(DAY(INDEX('Сводный годовой график'!$BA$4:$BL$14,$C22,MONTH($B$14)))=I$3,1,0)</f>
        <v>0</v>
      </c>
      <c r="CP23" s="58">
        <f>IF(DAY(INDEX('Сводный годовой график'!$BA$4:$BL$14,$C22,MONTH($B$14)))=J$3,1,0)</f>
        <v>1</v>
      </c>
      <c r="CQ23" s="58">
        <f>IF(DAY(INDEX('Сводный годовой график'!$BA$4:$BL$14,$C22,MONTH($B$14)))=K$3,1,0)</f>
        <v>0</v>
      </c>
      <c r="CR23" s="58">
        <f>IF(DAY(INDEX('Сводный годовой график'!$BA$4:$BL$14,$C22,MONTH($B$14)))=L$3,1,0)</f>
        <v>0</v>
      </c>
      <c r="CS23" s="58">
        <f>IF(DAY(INDEX('Сводный годовой график'!$BA$4:$BL$14,$C22,MONTH($B$14)))=M$3,1,0)</f>
        <v>0</v>
      </c>
      <c r="CT23" s="58">
        <f>IF(DAY(INDEX('Сводный годовой график'!$BA$4:$BL$14,$C22,MONTH($B$14)))=N$3,1,0)</f>
        <v>0</v>
      </c>
      <c r="CU23" s="58">
        <f>IF(DAY(INDEX('Сводный годовой график'!$BA$4:$BL$14,$C22,MONTH($B$14)))=O$3,1,0)</f>
        <v>0</v>
      </c>
      <c r="CV23" s="58">
        <f>IF(DAY(INDEX('Сводный годовой график'!$BA$4:$BL$14,$C22,MONTH($B$14)))=P$3,1,0)</f>
        <v>0</v>
      </c>
      <c r="CW23" s="58">
        <f>IF(DAY(INDEX('Сводный годовой график'!$BA$4:$BL$14,$C22,MONTH($B$14)))=Q$3,1,0)</f>
        <v>0</v>
      </c>
      <c r="CX23" s="58">
        <f>IF(DAY(INDEX('Сводный годовой график'!$BA$4:$BL$14,$C22,MONTH($B$14)))=R$3,1,0)</f>
        <v>0</v>
      </c>
      <c r="CY23" s="58">
        <f>IF(DAY(INDEX('Сводный годовой график'!$BA$4:$BL$14,$C22,MONTH($B$14)))=S$3,1,0)</f>
        <v>0</v>
      </c>
      <c r="CZ23" s="58">
        <f>IF(DAY(INDEX('Сводный годовой график'!$BA$4:$BL$14,$C22,MONTH($B$14)))=T$3,1,0)</f>
        <v>0</v>
      </c>
      <c r="DA23" s="58">
        <f>IF(DAY(INDEX('Сводный годовой график'!$BA$4:$BL$14,$C22,MONTH($B$14)))=U$3,1,0)</f>
        <v>0</v>
      </c>
      <c r="DB23" s="58">
        <f>IF(DAY(INDEX('Сводный годовой график'!$BA$4:$BL$14,$C22,MONTH($B$14)))=V$3,1,0)</f>
        <v>0</v>
      </c>
      <c r="DC23" s="58">
        <f>IF(DAY(INDEX('Сводный годовой график'!$BA$4:$BL$14,$C22,MONTH($B$14)))=W$3,1,0)</f>
        <v>0</v>
      </c>
      <c r="DD23" s="58">
        <f>IF(DAY(INDEX('Сводный годовой график'!$BA$4:$BL$14,$C22,MONTH($B$14)))=X$3,1,0)</f>
        <v>0</v>
      </c>
      <c r="DE23" s="58">
        <f>IF(DAY(INDEX('Сводный годовой график'!$BA$4:$BL$14,$C22,MONTH($B$14)))=Y$3,1,0)</f>
        <v>0</v>
      </c>
      <c r="DF23" s="58">
        <f>IF(DAY(INDEX('Сводный годовой график'!$BA$4:$BL$14,$C22,MONTH($B$14)))=Z$3,1,0)</f>
        <v>0</v>
      </c>
      <c r="DG23" s="58">
        <f>IF(DAY(INDEX('Сводный годовой график'!$BA$4:$BL$14,$C22,MONTH($B$14)))=AA$3,1,0)</f>
        <v>0</v>
      </c>
      <c r="DH23" s="58">
        <f>IF(DAY(INDEX('Сводный годовой график'!$BA$4:$BL$14,$C22,MONTH($B$14)))=AB$3,1,0)</f>
        <v>0</v>
      </c>
      <c r="DI23" s="58">
        <f>IF(DAY(INDEX('Сводный годовой график'!$BA$4:$BL$14,$C22,MONTH($B$14)))=AC$3,1,0)</f>
        <v>0</v>
      </c>
      <c r="DJ23" s="58">
        <f>IF(DAY(INDEX('Сводный годовой график'!$BA$4:$BL$14,$C22,MONTH($B$14)))=AD$3,1,0)</f>
        <v>0</v>
      </c>
      <c r="DK23" s="58">
        <f>IF(DAY(INDEX('Сводный годовой график'!$BA$4:$BL$14,$C22,MONTH($B$14)))=AE$3,1,0)</f>
        <v>0</v>
      </c>
      <c r="DL23" s="58">
        <f>IF(DAY(INDEX('Сводный годовой график'!$BA$4:$BL$14,$C22,MONTH($B$14)))=AF$3,1,0)</f>
        <v>0</v>
      </c>
      <c r="DM23" s="58">
        <f>IF(DAY(INDEX('Сводный годовой график'!$BA$4:$BL$14,$C22,MONTH($B$14)))=AG$3,1,0)</f>
        <v>0</v>
      </c>
      <c r="DN23" s="58">
        <f>IF(DAY(INDEX('Сводный годовой график'!$BA$4:$BL$14,$C22,MONTH($B$14)))=AH$3,1,0)</f>
        <v>0</v>
      </c>
      <c r="DO23" s="58">
        <f>IF(DAY(INDEX('Сводный годовой график'!$BA$4:$BL$14,$C22,MONTH($B$14)))=AI$3,1,0)</f>
        <v>0</v>
      </c>
    </row>
    <row r="24" spans="2:119" ht="17.25" customHeight="1" thickTop="1" thickBot="1" x14ac:dyDescent="0.3">
      <c r="B24" s="200">
        <f>DATE($AV$1,3,1)</f>
        <v>45717</v>
      </c>
      <c r="C24" s="212">
        <v>1</v>
      </c>
      <c r="D24" s="99">
        <v>1</v>
      </c>
      <c r="E24" s="86">
        <f ca="1">IF(AND(INDEX('Сводный годовой график'!$C$1:$AR$4,MATCH($C$24,'Сводный годовой график'!$B$1:$B$4),MATCH(DATE($AV$1,MONTH($B$24),E$3),'Сводный годовой график'!$C$7:$AR$7))&lt;&gt;12,INDIRECT(ADDRESS(ROW()+1,COLUMN()))="СП"),8,INDEX('Сводный годовой график'!$C$1:$AR$4,MATCH($C$24,'Сводный годовой график'!$B$1:$B$4),MATCH(DATE($AV$1,MONTH($B$24),E$3),'Сводный годовой график'!$C$7:$AR$7)))</f>
        <v>8</v>
      </c>
      <c r="F24" s="27">
        <f ca="1">IF(AND(INDEX('Сводный годовой график'!$C$1:$AR$4,MATCH($C$24,'Сводный годовой график'!$B$1:$B$4),MATCH(DATE($AV$1,MONTH($B$24),F$3),'Сводный годовой график'!$C$7:$AR$7))&lt;&gt;12,INDIRECT(ADDRESS(ROW()+1,COLUMN()))="СП"),8,INDEX('Сводный годовой график'!$C$1:$AR$4,MATCH($C$24,'Сводный годовой график'!$B$1:$B$4),MATCH(DATE($AV$1,MONTH($B$24),F$3),'Сводный годовой график'!$C$7:$AR$7)))</f>
        <v>12</v>
      </c>
      <c r="G24" s="27">
        <f ca="1">IF(AND(INDEX('Сводный годовой график'!$C$1:$AR$4,MATCH($C$24,'Сводный годовой график'!$B$1:$B$4),MATCH(DATE($AV$1,MONTH($B$24),G$3),'Сводный годовой график'!$C$7:$AR$7))&lt;&gt;12,INDIRECT(ADDRESS(ROW()+1,COLUMN()))="СП"),8,INDEX('Сводный годовой график'!$C$1:$AR$4,MATCH($C$24,'Сводный годовой график'!$B$1:$B$4),MATCH(DATE($AV$1,MONTH($B$24),G$3),'Сводный годовой график'!$C$7:$AR$7)))</f>
        <v>8</v>
      </c>
      <c r="H24" s="27">
        <f ca="1">IF(AND(INDEX('Сводный годовой график'!$C$1:$AR$4,MATCH($C$24,'Сводный годовой график'!$B$1:$B$4),MATCH(DATE($AV$1,MONTH($B$24),H$3),'Сводный годовой график'!$C$7:$AR$7))&lt;&gt;12,INDIRECT(ADDRESS(ROW()+1,COLUMN()))="СП"),8,INDEX('Сводный годовой график'!$C$1:$AR$4,MATCH($C$24,'Сводный годовой график'!$B$1:$B$4),MATCH(DATE($AV$1,MONTH($B$24),H$3),'Сводный годовой график'!$C$7:$AR$7)))</f>
        <v>8</v>
      </c>
      <c r="I24" s="27">
        <f ca="1">IF(AND(INDEX('Сводный годовой график'!$C$1:$AR$4,MATCH($C$24,'Сводный годовой график'!$B$1:$B$4),MATCH(DATE($AV$1,MONTH($B$24),I$3),'Сводный годовой график'!$C$7:$AR$7))&lt;&gt;12,INDIRECT(ADDRESS(ROW()+1,COLUMN()))="СП"),8,INDEX('Сводный годовой график'!$C$1:$AR$4,MATCH($C$24,'Сводный годовой график'!$B$1:$B$4),MATCH(DATE($AV$1,MONTH($B$24),I$3),'Сводный годовой график'!$C$7:$AR$7)))</f>
        <v>12</v>
      </c>
      <c r="J24" s="27">
        <f ca="1">IF(AND(INDEX('Сводный годовой график'!$C$1:$AR$4,MATCH($C$24,'Сводный годовой график'!$B$1:$B$4),MATCH(DATE($AV$1,MONTH($B$24),J$3),'Сводный годовой график'!$C$7:$AR$7))&lt;&gt;12,INDIRECT(ADDRESS(ROW()+1,COLUMN()))="СП"),8,INDEX('Сводный годовой график'!$C$1:$AR$4,MATCH($C$24,'Сводный годовой график'!$B$1:$B$4),MATCH(DATE($AV$1,MONTH($B$24),J$3),'Сводный годовой график'!$C$7:$AR$7)))</f>
        <v>0</v>
      </c>
      <c r="K24" s="27">
        <f ca="1">IF(AND(INDEX('Сводный годовой график'!$C$1:$AR$4,MATCH($C$24,'Сводный годовой график'!$B$1:$B$4),MATCH(DATE($AV$1,MONTH($B$24),K$3),'Сводный годовой график'!$C$7:$AR$7))&lt;&gt;12,INDIRECT(ADDRESS(ROW()+1,COLUMN()))="СП"),8,INDEX('Сводный годовой график'!$C$1:$AR$4,MATCH($C$24,'Сводный годовой график'!$B$1:$B$4),MATCH(DATE($AV$1,MONTH($B$24),K$3),'Сводный годовой график'!$C$7:$AR$7)))</f>
        <v>0</v>
      </c>
      <c r="L24" s="27">
        <f ca="1">IF(AND(INDEX('Сводный годовой график'!$C$1:$AR$4,MATCH($C$24,'Сводный годовой график'!$B$1:$B$4),MATCH(DATE($AV$1,MONTH($B$24),L$3),'Сводный годовой график'!$C$7:$AR$7))&lt;&gt;12,INDIRECT(ADDRESS(ROW()+1,COLUMN()))="СП"),8,INDEX('Сводный годовой график'!$C$1:$AR$4,MATCH($C$24,'Сводный годовой график'!$B$1:$B$4),MATCH(DATE($AV$1,MONTH($B$24),L$3),'Сводный годовой график'!$C$7:$AR$7)))</f>
        <v>4</v>
      </c>
      <c r="M24" s="27">
        <f ca="1">IF(AND(INDEX('Сводный годовой график'!$C$1:$AR$4,MATCH($C$24,'Сводный годовой график'!$B$1:$B$4),MATCH(DATE($AV$1,MONTH($B$24),M$3),'Сводный годовой график'!$C$7:$AR$7))&lt;&gt;12,INDIRECT(ADDRESS(ROW()+1,COLUMN()))="СП"),8,INDEX('Сводный годовой график'!$C$1:$AR$4,MATCH($C$24,'Сводный годовой график'!$B$1:$B$4),MATCH(DATE($AV$1,MONTH($B$24),M$3),'Сводный годовой график'!$C$7:$AR$7)))</f>
        <v>8</v>
      </c>
      <c r="N24" s="27">
        <f ca="1">IF(AND(INDEX('Сводный годовой график'!$C$1:$AR$4,MATCH($C$24,'Сводный годовой график'!$B$1:$B$4),MATCH(DATE($AV$1,MONTH($B$24),N$3),'Сводный годовой график'!$C$7:$AR$7))&lt;&gt;12,INDIRECT(ADDRESS(ROW()+1,COLUMN()))="СП"),8,INDEX('Сводный годовой график'!$C$1:$AR$4,MATCH($C$24,'Сводный годовой график'!$B$1:$B$4),MATCH(DATE($AV$1,MONTH($B$24),N$3),'Сводный годовой график'!$C$7:$AR$7)))</f>
        <v>12</v>
      </c>
      <c r="O24" s="27">
        <f ca="1">IF(AND(INDEX('Сводный годовой график'!$C$1:$AR$4,MATCH($C$24,'Сводный годовой график'!$B$1:$B$4),MATCH(DATE($AV$1,MONTH($B$24),O$3),'Сводный годовой график'!$C$7:$AR$7))&lt;&gt;12,INDIRECT(ADDRESS(ROW()+1,COLUMN()))="СП"),8,INDEX('Сводный годовой график'!$C$1:$AR$4,MATCH($C$24,'Сводный годовой график'!$B$1:$B$4),MATCH(DATE($AV$1,MONTH($B$24),O$3),'Сводный годовой график'!$C$7:$AR$7)))</f>
        <v>4</v>
      </c>
      <c r="P24" s="27">
        <f ca="1">IF(AND(INDEX('Сводный годовой график'!$C$1:$AR$4,MATCH($C$24,'Сводный годовой график'!$B$1:$B$4),MATCH(DATE($AV$1,MONTH($B$24),P$3),'Сводный годовой график'!$C$7:$AR$7))&lt;&gt;12,INDIRECT(ADDRESS(ROW()+1,COLUMN()))="СП"),8,INDEX('Сводный годовой график'!$C$1:$AR$4,MATCH($C$24,'Сводный годовой график'!$B$1:$B$4),MATCH(DATE($AV$1,MONTH($B$24),P$3),'Сводный годовой график'!$C$7:$AR$7)))</f>
        <v>8</v>
      </c>
      <c r="Q24" s="27">
        <f ca="1">IF(AND(INDEX('Сводный годовой график'!$C$1:$AR$4,MATCH($C$24,'Сводный годовой график'!$B$1:$B$4),MATCH(DATE($AV$1,MONTH($B$24),Q$3),'Сводный годовой график'!$C$7:$AR$7))&lt;&gt;12,INDIRECT(ADDRESS(ROW()+1,COLUMN()))="СП"),8,INDEX('Сводный годовой график'!$C$1:$AR$4,MATCH($C$24,'Сводный годовой график'!$B$1:$B$4),MATCH(DATE($AV$1,MONTH($B$24),Q$3),'Сводный годовой график'!$C$7:$AR$7)))</f>
        <v>12</v>
      </c>
      <c r="R24" s="27">
        <f ca="1">IF(AND(INDEX('Сводный годовой график'!$C$1:$AR$4,MATCH($C$24,'Сводный годовой график'!$B$1:$B$4),MATCH(DATE($AV$1,MONTH($B$24),R$3),'Сводный годовой график'!$C$7:$AR$7))&lt;&gt;12,INDIRECT(ADDRESS(ROW()+1,COLUMN()))="СП"),8,INDEX('Сводный годовой график'!$C$1:$AR$4,MATCH($C$24,'Сводный годовой график'!$B$1:$B$4),MATCH(DATE($AV$1,MONTH($B$24),R$3),'Сводный годовой график'!$C$7:$AR$7)))</f>
        <v>0</v>
      </c>
      <c r="S24" s="27">
        <f ca="1">IF(AND(INDEX('Сводный годовой график'!$C$1:$AR$4,MATCH($C$24,'Сводный годовой график'!$B$1:$B$4),MATCH(DATE($AV$1,MONTH($B$24),S$3),'Сводный годовой график'!$C$7:$AR$7))&lt;&gt;12,INDIRECT(ADDRESS(ROW()+1,COLUMN()))="СП"),8,INDEX('Сводный годовой график'!$C$1:$AR$4,MATCH($C$24,'Сводный годовой график'!$B$1:$B$4),MATCH(DATE($AV$1,MONTH($B$24),S$3),'Сводный годовой график'!$C$7:$AR$7)))</f>
        <v>0</v>
      </c>
      <c r="T24" s="27">
        <f ca="1">IF(AND(INDEX('Сводный годовой график'!$C$1:$AR$4,MATCH($C$24,'Сводный годовой график'!$B$1:$B$4),MATCH(DATE($AV$1,MONTH($B$24),T$3),'Сводный годовой график'!$C$7:$AR$7))&lt;&gt;12,INDIRECT(ADDRESS(ROW()+1,COLUMN()))="СП"),8,INDEX('Сводный годовой график'!$C$1:$AR$4,MATCH($C$24,'Сводный годовой график'!$B$1:$B$4),MATCH(DATE($AV$1,MONTH($B$24),T$3),'Сводный годовой график'!$C$7:$AR$7)))</f>
        <v>4</v>
      </c>
      <c r="U24" s="27">
        <f ca="1">IF(AND(INDEX('Сводный годовой график'!$C$1:$AR$4,MATCH($C$24,'Сводный годовой график'!$B$1:$B$4),MATCH(DATE($AV$1,MONTH($B$24),U$3),'Сводный годовой график'!$C$7:$AR$7))&lt;&gt;12,INDIRECT(ADDRESS(ROW()+1,COLUMN()))="СП"),8,INDEX('Сводный годовой график'!$C$1:$AR$4,MATCH($C$24,'Сводный годовой график'!$B$1:$B$4),MATCH(DATE($AV$1,MONTH($B$24),U$3),'Сводный годовой график'!$C$7:$AR$7)))</f>
        <v>8</v>
      </c>
      <c r="V24" s="27">
        <f ca="1">IF(AND(INDEX('Сводный годовой график'!$C$1:$AR$4,MATCH($C$24,'Сводный годовой график'!$B$1:$B$4),MATCH(DATE($AV$1,MONTH($B$24),V$3),'Сводный годовой график'!$C$7:$AR$7))&lt;&gt;12,INDIRECT(ADDRESS(ROW()+1,COLUMN()))="СП"),8,INDEX('Сводный годовой график'!$C$1:$AR$4,MATCH($C$24,'Сводный годовой график'!$B$1:$B$4),MATCH(DATE($AV$1,MONTH($B$24),V$3),'Сводный годовой график'!$C$7:$AR$7)))</f>
        <v>12</v>
      </c>
      <c r="W24" s="27">
        <f ca="1">IF(AND(INDEX('Сводный годовой график'!$C$1:$AR$4,MATCH($C$24,'Сводный годовой график'!$B$1:$B$4),MATCH(DATE($AV$1,MONTH($B$24),W$3),'Сводный годовой график'!$C$7:$AR$7))&lt;&gt;12,INDIRECT(ADDRESS(ROW()+1,COLUMN()))="СП"),8,INDEX('Сводный годовой график'!$C$1:$AR$4,MATCH($C$24,'Сводный годовой график'!$B$1:$B$4),MATCH(DATE($AV$1,MONTH($B$24),W$3),'Сводный годовой график'!$C$7:$AR$7)))</f>
        <v>4</v>
      </c>
      <c r="X24" s="27">
        <f ca="1">IF(AND(INDEX('Сводный годовой график'!$C$1:$AR$4,MATCH($C$24,'Сводный годовой график'!$B$1:$B$4),MATCH(DATE($AV$1,MONTH($B$24),X$3),'Сводный годовой график'!$C$7:$AR$7))&lt;&gt;12,INDIRECT(ADDRESS(ROW()+1,COLUMN()))="СП"),8,INDEX('Сводный годовой график'!$C$1:$AR$4,MATCH($C$24,'Сводный годовой график'!$B$1:$B$4),MATCH(DATE($AV$1,MONTH($B$24),X$3),'Сводный годовой график'!$C$7:$AR$7)))</f>
        <v>8</v>
      </c>
      <c r="Y24" s="27">
        <f ca="1">IF(AND(INDEX('Сводный годовой график'!$C$1:$AR$4,MATCH($C$24,'Сводный годовой график'!$B$1:$B$4),MATCH(DATE($AV$1,MONTH($B$24),Y$3),'Сводный годовой график'!$C$7:$AR$7))&lt;&gt;12,INDIRECT(ADDRESS(ROW()+1,COLUMN()))="СП"),8,INDEX('Сводный годовой график'!$C$1:$AR$4,MATCH($C$24,'Сводный годовой график'!$B$1:$B$4),MATCH(DATE($AV$1,MONTH($B$24),Y$3),'Сводный годовой график'!$C$7:$AR$7)))</f>
        <v>12</v>
      </c>
      <c r="Z24" s="27">
        <f ca="1">IF(AND(INDEX('Сводный годовой график'!$C$1:$AR$4,MATCH($C$24,'Сводный годовой график'!$B$1:$B$4),MATCH(DATE($AV$1,MONTH($B$24),Z$3),'Сводный годовой график'!$C$7:$AR$7))&lt;&gt;12,INDIRECT(ADDRESS(ROW()+1,COLUMN()))="СП"),8,INDEX('Сводный годовой график'!$C$1:$AR$4,MATCH($C$24,'Сводный годовой график'!$B$1:$B$4),MATCH(DATE($AV$1,MONTH($B$24),Z$3),'Сводный годовой график'!$C$7:$AR$7)))</f>
        <v>0</v>
      </c>
      <c r="AA24" s="27">
        <f ca="1">IF(AND(INDEX('Сводный годовой график'!$C$1:$AR$4,MATCH($C$24,'Сводный годовой график'!$B$1:$B$4),MATCH(DATE($AV$1,MONTH($B$24),AA$3),'Сводный годовой график'!$C$7:$AR$7))&lt;&gt;12,INDIRECT(ADDRESS(ROW()+1,COLUMN()))="СП"),8,INDEX('Сводный годовой график'!$C$1:$AR$4,MATCH($C$24,'Сводный годовой график'!$B$1:$B$4),MATCH(DATE($AV$1,MONTH($B$24),AA$3),'Сводный годовой график'!$C$7:$AR$7)))</f>
        <v>0</v>
      </c>
      <c r="AB24" s="27">
        <f ca="1">IF(AND(INDEX('Сводный годовой график'!$C$1:$AR$4,MATCH($C$24,'Сводный годовой график'!$B$1:$B$4),MATCH(DATE($AV$1,MONTH($B$24),AB$3),'Сводный годовой график'!$C$7:$AR$7))&lt;&gt;12,INDIRECT(ADDRESS(ROW()+1,COLUMN()))="СП"),8,INDEX('Сводный годовой график'!$C$1:$AR$4,MATCH($C$24,'Сводный годовой график'!$B$1:$B$4),MATCH(DATE($AV$1,MONTH($B$24),AB$3),'Сводный годовой график'!$C$7:$AR$7)))</f>
        <v>4</v>
      </c>
      <c r="AC24" s="27">
        <f ca="1">IF(AND(INDEX('Сводный годовой график'!$C$1:$AR$4,MATCH($C$24,'Сводный годовой график'!$B$1:$B$4),MATCH(DATE($AV$1,MONTH($B$24),AC$3),'Сводный годовой график'!$C$7:$AR$7))&lt;&gt;12,INDIRECT(ADDRESS(ROW()+1,COLUMN()))="СП"),8,INDEX('Сводный годовой график'!$C$1:$AR$4,MATCH($C$24,'Сводный годовой график'!$B$1:$B$4),MATCH(DATE($AV$1,MONTH($B$24),AC$3),'Сводный годовой график'!$C$7:$AR$7)))</f>
        <v>8</v>
      </c>
      <c r="AD24" s="27">
        <f ca="1">IF(AND(INDEX('Сводный годовой график'!$C$1:$AR$4,MATCH($C$24,'Сводный годовой график'!$B$1:$B$4),MATCH(DATE($AV$1,MONTH($B$24),AD$3),'Сводный годовой график'!$C$7:$AR$7))&lt;&gt;12,INDIRECT(ADDRESS(ROW()+1,COLUMN()))="СП"),8,INDEX('Сводный годовой график'!$C$1:$AR$4,MATCH($C$24,'Сводный годовой график'!$B$1:$B$4),MATCH(DATE($AV$1,MONTH($B$24),AD$3),'Сводный годовой график'!$C$7:$AR$7)))</f>
        <v>12</v>
      </c>
      <c r="AE24" s="27">
        <f ca="1">IF(AND(INDEX('Сводный годовой график'!$C$1:$AR$4,MATCH($C$24,'Сводный годовой график'!$B$1:$B$4),MATCH(DATE($AV$1,MONTH($B$24),AE$3),'Сводный годовой график'!$C$7:$AR$7))&lt;&gt;12,INDIRECT(ADDRESS(ROW()+1,COLUMN()))="СП"),8,INDEX('Сводный годовой график'!$C$1:$AR$4,MATCH($C$24,'Сводный годовой график'!$B$1:$B$4),MATCH(DATE($AV$1,MONTH($B$24),AE$3),'Сводный годовой график'!$C$7:$AR$7)))</f>
        <v>4</v>
      </c>
      <c r="AF24" s="27">
        <f ca="1">IF(AND(INDEX('Сводный годовой график'!$C$1:$AR$4,MATCH($C$24,'Сводный годовой график'!$B$1:$B$4),MATCH(DATE($AV$1,MONTH($B$24),AF$3),'Сводный годовой график'!$C$7:$AR$7))&lt;&gt;12,INDIRECT(ADDRESS(ROW()+1,COLUMN()))="СП"),8,INDEX('Сводный годовой график'!$C$1:$AR$4,MATCH($C$24,'Сводный годовой график'!$B$1:$B$4),MATCH(DATE($AV$1,MONTH($B$24),AF$3),'Сводный годовой график'!$C$7:$AR$7)))</f>
        <v>8</v>
      </c>
      <c r="AG24" s="27">
        <f ca="1">IF(AND(INDEX('Сводный годовой график'!$C$1:$AR$4,MATCH($C$24,'Сводный годовой график'!$B$1:$B$4),MATCH(DATE($AV$1,MONTH($B$24),AG$3),'Сводный годовой график'!$C$7:$AR$7))&lt;&gt;12,INDIRECT(ADDRESS(ROW()+1,COLUMN()))="СП"),8,INDEX('Сводный годовой график'!$C$1:$AR$4,MATCH($C$24,'Сводный годовой график'!$B$1:$B$4),MATCH(DATE($AV$1,MONTH($B$24),AG$3),'Сводный годовой график'!$C$7:$AR$7)))</f>
        <v>12</v>
      </c>
      <c r="AH24" s="27">
        <f ca="1">IF(AND(INDEX('Сводный годовой график'!$C$1:$AR$4,MATCH($C$24,'Сводный годовой график'!$B$1:$B$4),MATCH(DATE($AV$1,MONTH($B$24),AH$3),'Сводный годовой график'!$C$7:$AR$7))&lt;&gt;12,INDIRECT(ADDRESS(ROW()+1,COLUMN()))="СП"),8,INDEX('Сводный годовой график'!$C$1:$AR$4,MATCH($C$24,'Сводный годовой график'!$B$1:$B$4),MATCH(DATE($AV$1,MONTH($B$24),AH$3),'Сводный годовой график'!$C$7:$AR$7)))</f>
        <v>0</v>
      </c>
      <c r="AI24" s="98">
        <f ca="1">IF(AND(INDEX('Сводный годовой график'!$C$1:$AR$4,MATCH($C$24,'Сводный годовой график'!$B$1:$B$4),MATCH(DATE($AV$1,MONTH($B$24),AI$3),'Сводный годовой график'!$C$7:$AR$7))&lt;&gt;12,INDIRECT(ADDRESS(ROW()+1,COLUMN()))="СП"),8,INDEX('Сводный годовой график'!$C$1:$AR$4,MATCH($C$24,'Сводный годовой график'!$B$1:$B$4),MATCH(DATE($AV$1,MONTH($B$24),AI$3),'Сводный годовой график'!$C$7:$AR$7)))</f>
        <v>0</v>
      </c>
      <c r="AJ24" s="205">
        <f>INDEX(Подключения!$D$3:$H$14,MONTH(B24),5)</f>
        <v>167</v>
      </c>
      <c r="AK24" s="177">
        <f>$AJ$24-SUM(AY24:CC25)</f>
        <v>167</v>
      </c>
      <c r="AL24" s="216">
        <f t="shared" ref="AL24" ca="1" si="39">SUM(E24:AI25)</f>
        <v>192</v>
      </c>
      <c r="AM24" s="216">
        <f ca="1">SUM(L24)</f>
        <v>4</v>
      </c>
      <c r="AN24" s="218">
        <f t="shared" ref="AN24" ca="1" si="40">-AM24-AK24+AL24</f>
        <v>21</v>
      </c>
      <c r="AO24" s="218">
        <v>12</v>
      </c>
      <c r="AP24" s="218">
        <f ca="1">AN24+AP14-AO24</f>
        <v>-9</v>
      </c>
      <c r="AQ24" s="216">
        <v>0</v>
      </c>
      <c r="AR24" s="217">
        <v>1</v>
      </c>
      <c r="CK24" s="59"/>
      <c r="CL24" s="59"/>
      <c r="CM24" s="59"/>
      <c r="CN24" s="59"/>
      <c r="CO24" s="59"/>
      <c r="CP24" s="59"/>
      <c r="CQ24" s="59"/>
      <c r="CR24" s="59"/>
      <c r="CS24" s="59"/>
      <c r="CT24" s="59"/>
      <c r="CU24" s="59"/>
      <c r="CV24" s="59"/>
      <c r="CW24" s="59"/>
      <c r="CX24" s="59"/>
      <c r="CY24" s="59"/>
      <c r="CZ24" s="59"/>
      <c r="DA24" s="59"/>
      <c r="DB24" s="59"/>
      <c r="DC24" s="59"/>
      <c r="DD24" s="59"/>
      <c r="DE24" s="59"/>
      <c r="DF24" s="59"/>
      <c r="DG24" s="59"/>
      <c r="DH24" s="59"/>
      <c r="DI24" s="59"/>
      <c r="DJ24" s="59"/>
      <c r="DK24" s="59"/>
      <c r="DL24" s="59"/>
      <c r="DM24" s="59"/>
      <c r="DN24" s="59"/>
      <c r="DO24" s="59"/>
    </row>
    <row r="25" spans="2:119" ht="16.5" thickBot="1" x14ac:dyDescent="0.3">
      <c r="B25" s="201"/>
      <c r="C25" s="197"/>
      <c r="D25" s="82">
        <v>2</v>
      </c>
      <c r="E25" s="96" t="str">
        <f t="shared" ref="E25:AI25" si="41">IF(INDEX($CK$4:$DO$123,ROW()-3,E$3)=0,"","СП")</f>
        <v/>
      </c>
      <c r="F25" s="92" t="str">
        <f t="shared" si="41"/>
        <v/>
      </c>
      <c r="G25" s="92" t="str">
        <f t="shared" si="41"/>
        <v>СП</v>
      </c>
      <c r="H25" s="92" t="str">
        <f t="shared" si="41"/>
        <v/>
      </c>
      <c r="I25" s="92" t="str">
        <f t="shared" si="41"/>
        <v/>
      </c>
      <c r="J25" s="92" t="str">
        <f t="shared" si="41"/>
        <v/>
      </c>
      <c r="K25" s="92" t="str">
        <f t="shared" si="41"/>
        <v/>
      </c>
      <c r="L25" s="92" t="str">
        <f t="shared" si="41"/>
        <v/>
      </c>
      <c r="M25" s="92" t="str">
        <f t="shared" si="41"/>
        <v/>
      </c>
      <c r="N25" s="92" t="str">
        <f t="shared" si="41"/>
        <v/>
      </c>
      <c r="O25" s="92" t="str">
        <f t="shared" si="41"/>
        <v/>
      </c>
      <c r="P25" s="92" t="str">
        <f t="shared" si="41"/>
        <v/>
      </c>
      <c r="Q25" s="92" t="str">
        <f t="shared" si="41"/>
        <v/>
      </c>
      <c r="R25" s="92" t="str">
        <f t="shared" si="41"/>
        <v/>
      </c>
      <c r="S25" s="92" t="str">
        <f t="shared" si="41"/>
        <v/>
      </c>
      <c r="T25" s="92" t="str">
        <f t="shared" si="41"/>
        <v/>
      </c>
      <c r="U25" s="92" t="str">
        <f t="shared" si="41"/>
        <v/>
      </c>
      <c r="V25" s="92" t="str">
        <f t="shared" si="41"/>
        <v/>
      </c>
      <c r="W25" s="92" t="str">
        <f t="shared" si="41"/>
        <v/>
      </c>
      <c r="X25" s="92" t="str">
        <f t="shared" si="41"/>
        <v/>
      </c>
      <c r="Y25" s="92" t="str">
        <f t="shared" si="41"/>
        <v/>
      </c>
      <c r="Z25" s="92" t="str">
        <f t="shared" si="41"/>
        <v/>
      </c>
      <c r="AA25" s="92" t="str">
        <f t="shared" si="41"/>
        <v/>
      </c>
      <c r="AB25" s="92" t="str">
        <f t="shared" si="41"/>
        <v/>
      </c>
      <c r="AC25" s="92" t="str">
        <f t="shared" si="41"/>
        <v/>
      </c>
      <c r="AD25" s="92" t="str">
        <f t="shared" si="41"/>
        <v/>
      </c>
      <c r="AE25" s="92" t="str">
        <f t="shared" si="41"/>
        <v/>
      </c>
      <c r="AF25" s="92" t="str">
        <f t="shared" si="41"/>
        <v/>
      </c>
      <c r="AG25" s="92" t="str">
        <f t="shared" si="41"/>
        <v/>
      </c>
      <c r="AH25" s="92" t="str">
        <f t="shared" si="41"/>
        <v/>
      </c>
      <c r="AI25" s="97" t="str">
        <f t="shared" si="41"/>
        <v/>
      </c>
      <c r="AJ25" s="206"/>
      <c r="AK25" s="178"/>
      <c r="AL25" s="209"/>
      <c r="AM25" s="209"/>
      <c r="AN25" s="211"/>
      <c r="AO25" s="211"/>
      <c r="AP25" s="211"/>
      <c r="AQ25" s="209"/>
      <c r="AR25" s="210"/>
      <c r="CK25" s="58">
        <f>IF(DAY(INDEX('Сводный годовой график'!$BA$4:$BL$14,$C24,MONTH($B$24)))=E$3,1,0)</f>
        <v>0</v>
      </c>
      <c r="CL25" s="58">
        <f>IF(DAY(INDEX('Сводный годовой график'!$BA$4:$BL$14,$C24,MONTH($B$24)))=F$3,1,0)</f>
        <v>0</v>
      </c>
      <c r="CM25" s="58">
        <f>IF(DAY(INDEX('Сводный годовой график'!$BA$4:$BL$14,$C24,MONTH($B$24)))=G$3,1,0)</f>
        <v>1</v>
      </c>
      <c r="CN25" s="58">
        <f>IF(DAY(INDEX('Сводный годовой график'!$BA$4:$BL$14,$C24,MONTH($B$24)))=H$3,1,0)</f>
        <v>0</v>
      </c>
      <c r="CO25" s="58">
        <f>IF(DAY(INDEX('Сводный годовой график'!$BA$4:$BL$14,$C24,MONTH($B$24)))=I$3,1,0)</f>
        <v>0</v>
      </c>
      <c r="CP25" s="58">
        <f>IF(DAY(INDEX('Сводный годовой график'!$BA$4:$BL$14,$C24,MONTH($B$24)))=J$3,1,0)</f>
        <v>0</v>
      </c>
      <c r="CQ25" s="58">
        <f>IF(DAY(INDEX('Сводный годовой график'!$BA$4:$BL$14,$C24,MONTH($B$24)))=K$3,1,0)</f>
        <v>0</v>
      </c>
      <c r="CR25" s="58">
        <f>IF(DAY(INDEX('Сводный годовой график'!$BA$4:$BL$14,$C24,MONTH($B$24)))=L$3,1,0)</f>
        <v>0</v>
      </c>
      <c r="CS25" s="58">
        <f>IF(DAY(INDEX('Сводный годовой график'!$BA$4:$BL$14,$C24,MONTH($B$24)))=M$3,1,0)</f>
        <v>0</v>
      </c>
      <c r="CT25" s="58">
        <f>IF(DAY(INDEX('Сводный годовой график'!$BA$4:$BL$14,$C24,MONTH($B$24)))=N$3,1,0)</f>
        <v>0</v>
      </c>
      <c r="CU25" s="58">
        <f>IF(DAY(INDEX('Сводный годовой график'!$BA$4:$BL$14,$C24,MONTH($B$24)))=O$3,1,0)</f>
        <v>0</v>
      </c>
      <c r="CV25" s="58">
        <f>IF(DAY(INDEX('Сводный годовой график'!$BA$4:$BL$14,$C24,MONTH($B$24)))=P$3,1,0)</f>
        <v>0</v>
      </c>
      <c r="CW25" s="58">
        <f>IF(DAY(INDEX('Сводный годовой график'!$BA$4:$BL$14,$C24,MONTH($B$24)))=Q$3,1,0)</f>
        <v>0</v>
      </c>
      <c r="CX25" s="58">
        <f>IF(DAY(INDEX('Сводный годовой график'!$BA$4:$BL$14,$C24,MONTH($B$24)))=R$3,1,0)</f>
        <v>0</v>
      </c>
      <c r="CY25" s="58">
        <f>IF(DAY(INDEX('Сводный годовой график'!$BA$4:$BL$14,$C24,MONTH($B$24)))=S$3,1,0)</f>
        <v>0</v>
      </c>
      <c r="CZ25" s="58">
        <f>IF(DAY(INDEX('Сводный годовой график'!$BA$4:$BL$14,$C24,MONTH($B$24)))=T$3,1,0)</f>
        <v>0</v>
      </c>
      <c r="DA25" s="58">
        <f>IF(DAY(INDEX('Сводный годовой график'!$BA$4:$BL$14,$C24,MONTH($B$24)))=U$3,1,0)</f>
        <v>0</v>
      </c>
      <c r="DB25" s="58">
        <f>IF(DAY(INDEX('Сводный годовой график'!$BA$4:$BL$14,$C24,MONTH($B$24)))=V$3,1,0)</f>
        <v>0</v>
      </c>
      <c r="DC25" s="58">
        <f>IF(DAY(INDEX('Сводный годовой график'!$BA$4:$BL$14,$C24,MONTH($B$24)))=W$3,1,0)</f>
        <v>0</v>
      </c>
      <c r="DD25" s="58">
        <f>IF(DAY(INDEX('Сводный годовой график'!$BA$4:$BL$14,$C24,MONTH($B$24)))=X$3,1,0)</f>
        <v>0</v>
      </c>
      <c r="DE25" s="58">
        <f>IF(DAY(INDEX('Сводный годовой график'!$BA$4:$BL$14,$C24,MONTH($B$24)))=Y$3,1,0)</f>
        <v>0</v>
      </c>
      <c r="DF25" s="58">
        <f>IF(DAY(INDEX('Сводный годовой график'!$BA$4:$BL$14,$C24,MONTH($B$24)))=Z$3,1,0)</f>
        <v>0</v>
      </c>
      <c r="DG25" s="58">
        <f>IF(DAY(INDEX('Сводный годовой график'!$BA$4:$BL$14,$C24,MONTH($B$24)))=AA$3,1,0)</f>
        <v>0</v>
      </c>
      <c r="DH25" s="58">
        <f>IF(DAY(INDEX('Сводный годовой график'!$BA$4:$BL$14,$C24,MONTH($B$24)))=AB$3,1,0)</f>
        <v>0</v>
      </c>
      <c r="DI25" s="58">
        <f>IF(DAY(INDEX('Сводный годовой график'!$BA$4:$BL$14,$C24,MONTH($B$24)))=AC$3,1,0)</f>
        <v>0</v>
      </c>
      <c r="DJ25" s="58">
        <f>IF(DAY(INDEX('Сводный годовой график'!$BA$4:$BL$14,$C24,MONTH($B$24)))=AD$3,1,0)</f>
        <v>0</v>
      </c>
      <c r="DK25" s="58">
        <f>IF(DAY(INDEX('Сводный годовой график'!$BA$4:$BL$14,$C24,MONTH($B$24)))=AE$3,1,0)</f>
        <v>0</v>
      </c>
      <c r="DL25" s="58">
        <f>IF(DAY(INDEX('Сводный годовой график'!$BA$4:$BL$14,$C24,MONTH($B$24)))=AF$3,1,0)</f>
        <v>0</v>
      </c>
      <c r="DM25" s="58">
        <f>IF(DAY(INDEX('Сводный годовой график'!$BA$4:$BL$14,$C24,MONTH($B$24)))=AG$3,1,0)</f>
        <v>0</v>
      </c>
      <c r="DN25" s="58">
        <f>IF(DAY(INDEX('Сводный годовой график'!$BA$4:$BL$14,$C24,MONTH($B$24)))=AH$3,1,0)</f>
        <v>0</v>
      </c>
      <c r="DO25" s="58">
        <f>IF(DAY(INDEX('Сводный годовой график'!$BA$4:$BL$14,$C24,MONTH($B$24)))=AI$3,1,0)</f>
        <v>0</v>
      </c>
    </row>
    <row r="26" spans="2:119" ht="16.5" thickBot="1" x14ac:dyDescent="0.3">
      <c r="B26" s="201"/>
      <c r="C26" s="196">
        <v>2</v>
      </c>
      <c r="D26" s="81">
        <v>3</v>
      </c>
      <c r="E26" s="96">
        <f ca="1">IF(AND(INDEX('Сводный годовой график'!$C$1:$AR$4,MATCH($C$26,'Сводный годовой график'!$B$1:$B$4),MATCH(DATE($AV$1,MONTH($B$24),E$3),'Сводный годовой график'!$C$7:$AR$7))&lt;&gt;12,INDIRECT(ADDRESS(ROW()+1,COLUMN()))="СП"),8,INDEX('Сводный годовой график'!$C$1:$AR$4,MATCH($C$26,'Сводный годовой график'!$B$1:$B$4),MATCH(DATE($AV$1,MONTH($B$24),E$3),'Сводный годовой график'!$C$7:$AR$7)))</f>
        <v>4</v>
      </c>
      <c r="F26" s="92">
        <f ca="1">IF(AND(INDEX('Сводный годовой график'!$C$1:$AR$4,MATCH($C$26,'Сводный годовой график'!$B$1:$B$4),MATCH(DATE($AV$1,MONTH($B$24),F$3),'Сводный годовой график'!$C$7:$AR$7))&lt;&gt;12,INDIRECT(ADDRESS(ROW()+1,COLUMN()))="СП"),8,INDEX('Сводный годовой график'!$C$1:$AR$4,MATCH($C$26,'Сводный годовой график'!$B$1:$B$4),MATCH(DATE($AV$1,MONTH($B$24),F$3),'Сводный годовой график'!$C$7:$AR$7)))</f>
        <v>8</v>
      </c>
      <c r="G26" s="92">
        <f ca="1">IF(AND(INDEX('Сводный годовой график'!$C$1:$AR$4,MATCH($C$26,'Сводный годовой график'!$B$1:$B$4),MATCH(DATE($AV$1,MONTH($B$24),G$3),'Сводный годовой график'!$C$7:$AR$7))&lt;&gt;12,INDIRECT(ADDRESS(ROW()+1,COLUMN()))="СП"),8,INDEX('Сводный годовой график'!$C$1:$AR$4,MATCH($C$26,'Сводный годовой график'!$B$1:$B$4),MATCH(DATE($AV$1,MONTH($B$24),G$3),'Сводный годовой график'!$C$7:$AR$7)))</f>
        <v>12</v>
      </c>
      <c r="H26" s="92">
        <f ca="1">IF(AND(INDEX('Сводный годовой график'!$C$1:$AR$4,MATCH($C$26,'Сводный годовой график'!$B$1:$B$4),MATCH(DATE($AV$1,MONTH($B$24),H$3),'Сводный годовой график'!$C$7:$AR$7))&lt;&gt;12,INDIRECT(ADDRESS(ROW()+1,COLUMN()))="СП"),8,INDEX('Сводный годовой график'!$C$1:$AR$4,MATCH($C$26,'Сводный годовой график'!$B$1:$B$4),MATCH(DATE($AV$1,MONTH($B$24),H$3),'Сводный годовой график'!$C$7:$AR$7)))</f>
        <v>8</v>
      </c>
      <c r="I26" s="92">
        <f ca="1">IF(AND(INDEX('Сводный годовой график'!$C$1:$AR$4,MATCH($C$26,'Сводный годовой график'!$B$1:$B$4),MATCH(DATE($AV$1,MONTH($B$24),I$3),'Сводный годовой график'!$C$7:$AR$7))&lt;&gt;12,INDIRECT(ADDRESS(ROW()+1,COLUMN()))="СП"),8,INDEX('Сводный годовой график'!$C$1:$AR$4,MATCH($C$26,'Сводный годовой график'!$B$1:$B$4),MATCH(DATE($AV$1,MONTH($B$24),I$3),'Сводный годовой график'!$C$7:$AR$7)))</f>
        <v>0</v>
      </c>
      <c r="J26" s="92">
        <f ca="1">IF(AND(INDEX('Сводный годовой график'!$C$1:$AR$4,MATCH($C$26,'Сводный годовой график'!$B$1:$B$4),MATCH(DATE($AV$1,MONTH($B$24),J$3),'Сводный годовой график'!$C$7:$AR$7))&lt;&gt;12,INDIRECT(ADDRESS(ROW()+1,COLUMN()))="СП"),8,INDEX('Сводный годовой график'!$C$1:$AR$4,MATCH($C$26,'Сводный годовой график'!$B$1:$B$4),MATCH(DATE($AV$1,MONTH($B$24),J$3),'Сводный годовой график'!$C$7:$AR$7)))</f>
        <v>4</v>
      </c>
      <c r="K26" s="92">
        <f ca="1">IF(AND(INDEX('Сводный годовой график'!$C$1:$AR$4,MATCH($C$26,'Сводный годовой график'!$B$1:$B$4),MATCH(DATE($AV$1,MONTH($B$24),K$3),'Сводный годовой график'!$C$7:$AR$7))&lt;&gt;12,INDIRECT(ADDRESS(ROW()+1,COLUMN()))="СП"),8,INDEX('Сводный годовой график'!$C$1:$AR$4,MATCH($C$26,'Сводный годовой график'!$B$1:$B$4),MATCH(DATE($AV$1,MONTH($B$24),K$3),'Сводный годовой график'!$C$7:$AR$7)))</f>
        <v>8</v>
      </c>
      <c r="L26" s="92">
        <f ca="1">IF(AND(INDEX('Сводный годовой график'!$C$1:$AR$4,MATCH($C$26,'Сводный годовой график'!$B$1:$B$4),MATCH(DATE($AV$1,MONTH($B$24),L$3),'Сводный годовой график'!$C$7:$AR$7))&lt;&gt;12,INDIRECT(ADDRESS(ROW()+1,COLUMN()))="СП"),8,INDEX('Сводный годовой график'!$C$1:$AR$4,MATCH($C$26,'Сводный годовой график'!$B$1:$B$4),MATCH(DATE($AV$1,MONTH($B$24),L$3),'Сводный годовой график'!$C$7:$AR$7)))</f>
        <v>12</v>
      </c>
      <c r="M26" s="92">
        <f ca="1">IF(AND(INDEX('Сводный годовой график'!$C$1:$AR$4,MATCH($C$26,'Сводный годовой график'!$B$1:$B$4),MATCH(DATE($AV$1,MONTH($B$24),M$3),'Сводный годовой график'!$C$7:$AR$7))&lt;&gt;12,INDIRECT(ADDRESS(ROW()+1,COLUMN()))="СП"),8,INDEX('Сводный годовой график'!$C$1:$AR$4,MATCH($C$26,'Сводный годовой график'!$B$1:$B$4),MATCH(DATE($AV$1,MONTH($B$24),M$3),'Сводный годовой график'!$C$7:$AR$7)))</f>
        <v>4</v>
      </c>
      <c r="N26" s="92">
        <f ca="1">IF(AND(INDEX('Сводный годовой график'!$C$1:$AR$4,MATCH($C$26,'Сводный годовой график'!$B$1:$B$4),MATCH(DATE($AV$1,MONTH($B$24),N$3),'Сводный годовой график'!$C$7:$AR$7))&lt;&gt;12,INDIRECT(ADDRESS(ROW()+1,COLUMN()))="СП"),8,INDEX('Сводный годовой график'!$C$1:$AR$4,MATCH($C$26,'Сводный годовой график'!$B$1:$B$4),MATCH(DATE($AV$1,MONTH($B$24),N$3),'Сводный годовой график'!$C$7:$AR$7)))</f>
        <v>8</v>
      </c>
      <c r="O26" s="92">
        <f ca="1">IF(AND(INDEX('Сводный годовой график'!$C$1:$AR$4,MATCH($C$26,'Сводный годовой график'!$B$1:$B$4),MATCH(DATE($AV$1,MONTH($B$24),O$3),'Сводный годовой график'!$C$7:$AR$7))&lt;&gt;12,INDIRECT(ADDRESS(ROW()+1,COLUMN()))="СП"),8,INDEX('Сводный годовой график'!$C$1:$AR$4,MATCH($C$26,'Сводный годовой график'!$B$1:$B$4),MATCH(DATE($AV$1,MONTH($B$24),O$3),'Сводный годовой график'!$C$7:$AR$7)))</f>
        <v>12</v>
      </c>
      <c r="P26" s="92">
        <f ca="1">IF(AND(INDEX('Сводный годовой график'!$C$1:$AR$4,MATCH($C$26,'Сводный годовой график'!$B$1:$B$4),MATCH(DATE($AV$1,MONTH($B$24),P$3),'Сводный годовой график'!$C$7:$AR$7))&lt;&gt;12,INDIRECT(ADDRESS(ROW()+1,COLUMN()))="СП"),8,INDEX('Сводный годовой график'!$C$1:$AR$4,MATCH($C$26,'Сводный годовой график'!$B$1:$B$4),MATCH(DATE($AV$1,MONTH($B$24),P$3),'Сводный годовой график'!$C$7:$AR$7)))</f>
        <v>0</v>
      </c>
      <c r="Q26" s="92">
        <f ca="1">IF(AND(INDEX('Сводный годовой график'!$C$1:$AR$4,MATCH($C$26,'Сводный годовой график'!$B$1:$B$4),MATCH(DATE($AV$1,MONTH($B$24),Q$3),'Сводный годовой график'!$C$7:$AR$7))&lt;&gt;12,INDIRECT(ADDRESS(ROW()+1,COLUMN()))="СП"),8,INDEX('Сводный годовой график'!$C$1:$AR$4,MATCH($C$26,'Сводный годовой график'!$B$1:$B$4),MATCH(DATE($AV$1,MONTH($B$24),Q$3),'Сводный годовой график'!$C$7:$AR$7)))</f>
        <v>0</v>
      </c>
      <c r="R26" s="92">
        <f ca="1">IF(AND(INDEX('Сводный годовой график'!$C$1:$AR$4,MATCH($C$26,'Сводный годовой график'!$B$1:$B$4),MATCH(DATE($AV$1,MONTH($B$24),R$3),'Сводный годовой график'!$C$7:$AR$7))&lt;&gt;12,INDIRECT(ADDRESS(ROW()+1,COLUMN()))="СП"),8,INDEX('Сводный годовой график'!$C$1:$AR$4,MATCH($C$26,'Сводный годовой график'!$B$1:$B$4),MATCH(DATE($AV$1,MONTH($B$24),R$3),'Сводный годовой график'!$C$7:$AR$7)))</f>
        <v>4</v>
      </c>
      <c r="S26" s="92">
        <f ca="1">IF(AND(INDEX('Сводный годовой график'!$C$1:$AR$4,MATCH($C$26,'Сводный годовой график'!$B$1:$B$4),MATCH(DATE($AV$1,MONTH($B$24),S$3),'Сводный годовой график'!$C$7:$AR$7))&lt;&gt;12,INDIRECT(ADDRESS(ROW()+1,COLUMN()))="СП"),8,INDEX('Сводный годовой график'!$C$1:$AR$4,MATCH($C$26,'Сводный годовой график'!$B$1:$B$4),MATCH(DATE($AV$1,MONTH($B$24),S$3),'Сводный годовой график'!$C$7:$AR$7)))</f>
        <v>8</v>
      </c>
      <c r="T26" s="92">
        <f ca="1">IF(AND(INDEX('Сводный годовой график'!$C$1:$AR$4,MATCH($C$26,'Сводный годовой график'!$B$1:$B$4),MATCH(DATE($AV$1,MONTH($B$24),T$3),'Сводный годовой график'!$C$7:$AR$7))&lt;&gt;12,INDIRECT(ADDRESS(ROW()+1,COLUMN()))="СП"),8,INDEX('Сводный годовой график'!$C$1:$AR$4,MATCH($C$26,'Сводный годовой график'!$B$1:$B$4),MATCH(DATE($AV$1,MONTH($B$24),T$3),'Сводный годовой график'!$C$7:$AR$7)))</f>
        <v>12</v>
      </c>
      <c r="U26" s="92">
        <f ca="1">IF(AND(INDEX('Сводный годовой график'!$C$1:$AR$4,MATCH($C$26,'Сводный годовой график'!$B$1:$B$4),MATCH(DATE($AV$1,MONTH($B$24),U$3),'Сводный годовой график'!$C$7:$AR$7))&lt;&gt;12,INDIRECT(ADDRESS(ROW()+1,COLUMN()))="СП"),8,INDEX('Сводный годовой график'!$C$1:$AR$4,MATCH($C$26,'Сводный годовой график'!$B$1:$B$4),MATCH(DATE($AV$1,MONTH($B$24),U$3),'Сводный годовой график'!$C$7:$AR$7)))</f>
        <v>4</v>
      </c>
      <c r="V26" s="92">
        <f ca="1">IF(AND(INDEX('Сводный годовой график'!$C$1:$AR$4,MATCH($C$26,'Сводный годовой график'!$B$1:$B$4),MATCH(DATE($AV$1,MONTH($B$24),V$3),'Сводный годовой график'!$C$7:$AR$7))&lt;&gt;12,INDIRECT(ADDRESS(ROW()+1,COLUMN()))="СП"),8,INDEX('Сводный годовой график'!$C$1:$AR$4,MATCH($C$26,'Сводный годовой график'!$B$1:$B$4),MATCH(DATE($AV$1,MONTH($B$24),V$3),'Сводный годовой график'!$C$7:$AR$7)))</f>
        <v>8</v>
      </c>
      <c r="W26" s="92">
        <f ca="1">IF(AND(INDEX('Сводный годовой график'!$C$1:$AR$4,MATCH($C$26,'Сводный годовой график'!$B$1:$B$4),MATCH(DATE($AV$1,MONTH($B$24),W$3),'Сводный годовой график'!$C$7:$AR$7))&lt;&gt;12,INDIRECT(ADDRESS(ROW()+1,COLUMN()))="СП"),8,INDEX('Сводный годовой график'!$C$1:$AR$4,MATCH($C$26,'Сводный годовой график'!$B$1:$B$4),MATCH(DATE($AV$1,MONTH($B$24),W$3),'Сводный годовой график'!$C$7:$AR$7)))</f>
        <v>12</v>
      </c>
      <c r="X26" s="92">
        <f ca="1">IF(AND(INDEX('Сводный годовой график'!$C$1:$AR$4,MATCH($C$26,'Сводный годовой график'!$B$1:$B$4),MATCH(DATE($AV$1,MONTH($B$24),X$3),'Сводный годовой график'!$C$7:$AR$7))&lt;&gt;12,INDIRECT(ADDRESS(ROW()+1,COLUMN()))="СП"),8,INDEX('Сводный годовой график'!$C$1:$AR$4,MATCH($C$26,'Сводный годовой график'!$B$1:$B$4),MATCH(DATE($AV$1,MONTH($B$24),X$3),'Сводный годовой график'!$C$7:$AR$7)))</f>
        <v>0</v>
      </c>
      <c r="Y26" s="92">
        <f ca="1">IF(AND(INDEX('Сводный годовой график'!$C$1:$AR$4,MATCH($C$26,'Сводный годовой график'!$B$1:$B$4),MATCH(DATE($AV$1,MONTH($B$24),Y$3),'Сводный годовой график'!$C$7:$AR$7))&lt;&gt;12,INDIRECT(ADDRESS(ROW()+1,COLUMN()))="СП"),8,INDEX('Сводный годовой график'!$C$1:$AR$4,MATCH($C$26,'Сводный годовой график'!$B$1:$B$4),MATCH(DATE($AV$1,MONTH($B$24),Y$3),'Сводный годовой график'!$C$7:$AR$7)))</f>
        <v>0</v>
      </c>
      <c r="Z26" s="92">
        <f ca="1">IF(AND(INDEX('Сводный годовой график'!$C$1:$AR$4,MATCH($C$26,'Сводный годовой график'!$B$1:$B$4),MATCH(DATE($AV$1,MONTH($B$24),Z$3),'Сводный годовой график'!$C$7:$AR$7))&lt;&gt;12,INDIRECT(ADDRESS(ROW()+1,COLUMN()))="СП"),8,INDEX('Сводный годовой график'!$C$1:$AR$4,MATCH($C$26,'Сводный годовой график'!$B$1:$B$4),MATCH(DATE($AV$1,MONTH($B$24),Z$3),'Сводный годовой график'!$C$7:$AR$7)))</f>
        <v>4</v>
      </c>
      <c r="AA26" s="92">
        <f ca="1">IF(AND(INDEX('Сводный годовой график'!$C$1:$AR$4,MATCH($C$26,'Сводный годовой график'!$B$1:$B$4),MATCH(DATE($AV$1,MONTH($B$24),AA$3),'Сводный годовой график'!$C$7:$AR$7))&lt;&gt;12,INDIRECT(ADDRESS(ROW()+1,COLUMN()))="СП"),8,INDEX('Сводный годовой график'!$C$1:$AR$4,MATCH($C$26,'Сводный годовой график'!$B$1:$B$4),MATCH(DATE($AV$1,MONTH($B$24),AA$3),'Сводный годовой график'!$C$7:$AR$7)))</f>
        <v>8</v>
      </c>
      <c r="AB26" s="92">
        <f ca="1">IF(AND(INDEX('Сводный годовой график'!$C$1:$AR$4,MATCH($C$26,'Сводный годовой график'!$B$1:$B$4),MATCH(DATE($AV$1,MONTH($B$24),AB$3),'Сводный годовой график'!$C$7:$AR$7))&lt;&gt;12,INDIRECT(ADDRESS(ROW()+1,COLUMN()))="СП"),8,INDEX('Сводный годовой график'!$C$1:$AR$4,MATCH($C$26,'Сводный годовой график'!$B$1:$B$4),MATCH(DATE($AV$1,MONTH($B$24),AB$3),'Сводный годовой график'!$C$7:$AR$7)))</f>
        <v>12</v>
      </c>
      <c r="AC26" s="92">
        <f ca="1">IF(AND(INDEX('Сводный годовой график'!$C$1:$AR$4,MATCH($C$26,'Сводный годовой график'!$B$1:$B$4),MATCH(DATE($AV$1,MONTH($B$24),AC$3),'Сводный годовой график'!$C$7:$AR$7))&lt;&gt;12,INDIRECT(ADDRESS(ROW()+1,COLUMN()))="СП"),8,INDEX('Сводный годовой график'!$C$1:$AR$4,MATCH($C$26,'Сводный годовой график'!$B$1:$B$4),MATCH(DATE($AV$1,MONTH($B$24),AC$3),'Сводный годовой график'!$C$7:$AR$7)))</f>
        <v>4</v>
      </c>
      <c r="AD26" s="92">
        <f ca="1">IF(AND(INDEX('Сводный годовой график'!$C$1:$AR$4,MATCH($C$26,'Сводный годовой график'!$B$1:$B$4),MATCH(DATE($AV$1,MONTH($B$24),AD$3),'Сводный годовой график'!$C$7:$AR$7))&lt;&gt;12,INDIRECT(ADDRESS(ROW()+1,COLUMN()))="СП"),8,INDEX('Сводный годовой график'!$C$1:$AR$4,MATCH($C$26,'Сводный годовой график'!$B$1:$B$4),MATCH(DATE($AV$1,MONTH($B$24),AD$3),'Сводный годовой график'!$C$7:$AR$7)))</f>
        <v>8</v>
      </c>
      <c r="AE26" s="92">
        <f ca="1">IF(AND(INDEX('Сводный годовой график'!$C$1:$AR$4,MATCH($C$26,'Сводный годовой график'!$B$1:$B$4),MATCH(DATE($AV$1,MONTH($B$24),AE$3),'Сводный годовой график'!$C$7:$AR$7))&lt;&gt;12,INDIRECT(ADDRESS(ROW()+1,COLUMN()))="СП"),8,INDEX('Сводный годовой график'!$C$1:$AR$4,MATCH($C$26,'Сводный годовой график'!$B$1:$B$4),MATCH(DATE($AV$1,MONTH($B$24),AE$3),'Сводный годовой график'!$C$7:$AR$7)))</f>
        <v>12</v>
      </c>
      <c r="AF26" s="92">
        <f ca="1">IF(AND(INDEX('Сводный годовой график'!$C$1:$AR$4,MATCH($C$26,'Сводный годовой график'!$B$1:$B$4),MATCH(DATE($AV$1,MONTH($B$24),AF$3),'Сводный годовой график'!$C$7:$AR$7))&lt;&gt;12,INDIRECT(ADDRESS(ROW()+1,COLUMN()))="СП"),8,INDEX('Сводный годовой график'!$C$1:$AR$4,MATCH($C$26,'Сводный годовой график'!$B$1:$B$4),MATCH(DATE($AV$1,MONTH($B$24),AF$3),'Сводный годовой график'!$C$7:$AR$7)))</f>
        <v>0</v>
      </c>
      <c r="AG26" s="92">
        <f ca="1">IF(AND(INDEX('Сводный годовой график'!$C$1:$AR$4,MATCH($C$26,'Сводный годовой график'!$B$1:$B$4),MATCH(DATE($AV$1,MONTH($B$24),AG$3),'Сводный годовой график'!$C$7:$AR$7))&lt;&gt;12,INDIRECT(ADDRESS(ROW()+1,COLUMN()))="СП"),8,INDEX('Сводный годовой график'!$C$1:$AR$4,MATCH($C$26,'Сводный годовой график'!$B$1:$B$4),MATCH(DATE($AV$1,MONTH($B$24),AG$3),'Сводный годовой график'!$C$7:$AR$7)))</f>
        <v>0</v>
      </c>
      <c r="AH26" s="92">
        <f ca="1">IF(AND(INDEX('Сводный годовой график'!$C$1:$AR$4,MATCH($C$26,'Сводный годовой график'!$B$1:$B$4),MATCH(DATE($AV$1,MONTH($B$24),AH$3),'Сводный годовой график'!$C$7:$AR$7))&lt;&gt;12,INDIRECT(ADDRESS(ROW()+1,COLUMN()))="СП"),8,INDEX('Сводный годовой график'!$C$1:$AR$4,MATCH($C$26,'Сводный годовой график'!$B$1:$B$4),MATCH(DATE($AV$1,MONTH($B$24),AH$3),'Сводный годовой график'!$C$7:$AR$7)))</f>
        <v>4</v>
      </c>
      <c r="AI26" s="97">
        <f ca="1">IF(AND(INDEX('Сводный годовой график'!$C$1:$AR$4,MATCH($C$26,'Сводный годовой график'!$B$1:$B$4),MATCH(DATE($AV$1,MONTH($B$24),AI$3),'Сводный годовой график'!$C$7:$AR$7))&lt;&gt;12,INDIRECT(ADDRESS(ROW()+1,COLUMN()))="СП"),8,INDEX('Сводный годовой график'!$C$1:$AR$4,MATCH($C$26,'Сводный годовой график'!$B$1:$B$4),MATCH(DATE($AV$1,MONTH($B$24),AI$3),'Сводный годовой график'!$C$7:$AR$7)))</f>
        <v>8</v>
      </c>
      <c r="AJ26" s="206"/>
      <c r="AK26" s="209">
        <f>$AJ$24-SUM(AY26:CC27)</f>
        <v>167</v>
      </c>
      <c r="AL26" s="209">
        <f t="shared" ref="AL26" ca="1" si="42">SUM(E26:AI27)</f>
        <v>188</v>
      </c>
      <c r="AM26" s="209">
        <f ca="1">SUM(L26)</f>
        <v>12</v>
      </c>
      <c r="AN26" s="211">
        <f t="shared" ref="AN26" ca="1" si="43">-AM26-AK26+AL26</f>
        <v>9</v>
      </c>
      <c r="AO26" s="211">
        <v>18</v>
      </c>
      <c r="AP26" s="211">
        <f ca="1">AN26+AP16-AO26</f>
        <v>-17</v>
      </c>
      <c r="AQ26" s="209">
        <v>0</v>
      </c>
      <c r="AR26" s="210">
        <v>1</v>
      </c>
      <c r="CK26" s="59"/>
      <c r="CL26" s="59"/>
      <c r="CM26" s="59"/>
      <c r="CN26" s="59"/>
      <c r="CO26" s="59"/>
      <c r="CP26" s="59"/>
      <c r="CQ26" s="59"/>
      <c r="CR26" s="59"/>
      <c r="CS26" s="59"/>
      <c r="CT26" s="59"/>
      <c r="CU26" s="59"/>
      <c r="CV26" s="59"/>
      <c r="CW26" s="59"/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59"/>
      <c r="DI26" s="59"/>
      <c r="DJ26" s="59"/>
      <c r="DK26" s="59"/>
      <c r="DL26" s="59"/>
      <c r="DM26" s="59"/>
      <c r="DN26" s="59"/>
      <c r="DO26" s="59"/>
    </row>
    <row r="27" spans="2:119" ht="16.5" thickBot="1" x14ac:dyDescent="0.3">
      <c r="B27" s="201"/>
      <c r="C27" s="197"/>
      <c r="D27" s="82">
        <v>4</v>
      </c>
      <c r="E27" s="96" t="str">
        <f t="shared" ref="E27:AI27" si="44">IF(INDEX($CK$4:$DO$123,ROW()-3,E$3)=0,"","СП")</f>
        <v/>
      </c>
      <c r="F27" s="92" t="str">
        <f t="shared" si="44"/>
        <v/>
      </c>
      <c r="G27" s="92" t="str">
        <f t="shared" si="44"/>
        <v/>
      </c>
      <c r="H27" s="92" t="str">
        <f t="shared" si="44"/>
        <v>СП</v>
      </c>
      <c r="I27" s="92" t="str">
        <f t="shared" si="44"/>
        <v/>
      </c>
      <c r="J27" s="92" t="str">
        <f t="shared" si="44"/>
        <v/>
      </c>
      <c r="K27" s="92" t="str">
        <f t="shared" si="44"/>
        <v/>
      </c>
      <c r="L27" s="92" t="str">
        <f t="shared" si="44"/>
        <v/>
      </c>
      <c r="M27" s="92" t="str">
        <f t="shared" si="44"/>
        <v/>
      </c>
      <c r="N27" s="92" t="str">
        <f t="shared" si="44"/>
        <v/>
      </c>
      <c r="O27" s="92" t="str">
        <f t="shared" si="44"/>
        <v/>
      </c>
      <c r="P27" s="92" t="str">
        <f t="shared" si="44"/>
        <v/>
      </c>
      <c r="Q27" s="92" t="str">
        <f t="shared" si="44"/>
        <v/>
      </c>
      <c r="R27" s="92" t="str">
        <f t="shared" si="44"/>
        <v/>
      </c>
      <c r="S27" s="92" t="str">
        <f t="shared" si="44"/>
        <v/>
      </c>
      <c r="T27" s="92" t="str">
        <f t="shared" si="44"/>
        <v/>
      </c>
      <c r="U27" s="92" t="str">
        <f t="shared" si="44"/>
        <v/>
      </c>
      <c r="V27" s="92" t="str">
        <f t="shared" si="44"/>
        <v/>
      </c>
      <c r="W27" s="92" t="str">
        <f t="shared" si="44"/>
        <v/>
      </c>
      <c r="X27" s="92" t="str">
        <f t="shared" si="44"/>
        <v/>
      </c>
      <c r="Y27" s="92" t="str">
        <f t="shared" si="44"/>
        <v/>
      </c>
      <c r="Z27" s="92" t="str">
        <f t="shared" si="44"/>
        <v/>
      </c>
      <c r="AA27" s="92" t="str">
        <f t="shared" si="44"/>
        <v/>
      </c>
      <c r="AB27" s="92" t="str">
        <f t="shared" si="44"/>
        <v/>
      </c>
      <c r="AC27" s="92" t="str">
        <f t="shared" si="44"/>
        <v/>
      </c>
      <c r="AD27" s="92" t="str">
        <f t="shared" si="44"/>
        <v/>
      </c>
      <c r="AE27" s="92" t="str">
        <f t="shared" si="44"/>
        <v/>
      </c>
      <c r="AF27" s="92" t="str">
        <f t="shared" si="44"/>
        <v/>
      </c>
      <c r="AG27" s="92" t="str">
        <f t="shared" si="44"/>
        <v/>
      </c>
      <c r="AH27" s="92" t="str">
        <f t="shared" si="44"/>
        <v/>
      </c>
      <c r="AI27" s="97" t="str">
        <f t="shared" si="44"/>
        <v/>
      </c>
      <c r="AJ27" s="206"/>
      <c r="AK27" s="209"/>
      <c r="AL27" s="209"/>
      <c r="AM27" s="209"/>
      <c r="AN27" s="211"/>
      <c r="AO27" s="211"/>
      <c r="AP27" s="211"/>
      <c r="AQ27" s="209"/>
      <c r="AR27" s="210"/>
      <c r="CK27" s="58">
        <f>IF(DAY(INDEX('Сводный годовой график'!$BA$4:$BL$14,$C26,MONTH($B$24)))=E$3,1,0)</f>
        <v>0</v>
      </c>
      <c r="CL27" s="58">
        <f>IF(DAY(INDEX('Сводный годовой график'!$BA$4:$BL$14,$C26,MONTH($B$24)))=F$3,1,0)</f>
        <v>0</v>
      </c>
      <c r="CM27" s="58">
        <f>IF(DAY(INDEX('Сводный годовой график'!$BA$4:$BL$14,$C26,MONTH($B$24)))=G$3,1,0)</f>
        <v>0</v>
      </c>
      <c r="CN27" s="58">
        <f>IF(DAY(INDEX('Сводный годовой график'!$BA$4:$BL$14,$C26,MONTH($B$24)))=H$3,1,0)</f>
        <v>1</v>
      </c>
      <c r="CO27" s="58">
        <f>IF(DAY(INDEX('Сводный годовой график'!$BA$4:$BL$14,$C26,MONTH($B$24)))=I$3,1,0)</f>
        <v>0</v>
      </c>
      <c r="CP27" s="58">
        <f>IF(DAY(INDEX('Сводный годовой график'!$BA$4:$BL$14,$C26,MONTH($B$24)))=J$3,1,0)</f>
        <v>0</v>
      </c>
      <c r="CQ27" s="58">
        <f>IF(DAY(INDEX('Сводный годовой график'!$BA$4:$BL$14,$C26,MONTH($B$24)))=K$3,1,0)</f>
        <v>0</v>
      </c>
      <c r="CR27" s="58">
        <f>IF(DAY(INDEX('Сводный годовой график'!$BA$4:$BL$14,$C26,MONTH($B$24)))=L$3,1,0)</f>
        <v>0</v>
      </c>
      <c r="CS27" s="58">
        <f>IF(DAY(INDEX('Сводный годовой график'!$BA$4:$BL$14,$C26,MONTH($B$24)))=M$3,1,0)</f>
        <v>0</v>
      </c>
      <c r="CT27" s="58">
        <f>IF(DAY(INDEX('Сводный годовой график'!$BA$4:$BL$14,$C26,MONTH($B$24)))=N$3,1,0)</f>
        <v>0</v>
      </c>
      <c r="CU27" s="58">
        <f>IF(DAY(INDEX('Сводный годовой график'!$BA$4:$BL$14,$C26,MONTH($B$24)))=O$3,1,0)</f>
        <v>0</v>
      </c>
      <c r="CV27" s="58">
        <f>IF(DAY(INDEX('Сводный годовой график'!$BA$4:$BL$14,$C26,MONTH($B$24)))=P$3,1,0)</f>
        <v>0</v>
      </c>
      <c r="CW27" s="58">
        <f>IF(DAY(INDEX('Сводный годовой график'!$BA$4:$BL$14,$C26,MONTH($B$24)))=Q$3,1,0)</f>
        <v>0</v>
      </c>
      <c r="CX27" s="58">
        <f>IF(DAY(INDEX('Сводный годовой график'!$BA$4:$BL$14,$C26,MONTH($B$24)))=R$3,1,0)</f>
        <v>0</v>
      </c>
      <c r="CY27" s="58">
        <f>IF(DAY(INDEX('Сводный годовой график'!$BA$4:$BL$14,$C26,MONTH($B$24)))=S$3,1,0)</f>
        <v>0</v>
      </c>
      <c r="CZ27" s="58">
        <f>IF(DAY(INDEX('Сводный годовой график'!$BA$4:$BL$14,$C26,MONTH($B$24)))=T$3,1,0)</f>
        <v>0</v>
      </c>
      <c r="DA27" s="58">
        <f>IF(DAY(INDEX('Сводный годовой график'!$BA$4:$BL$14,$C26,MONTH($B$24)))=U$3,1,0)</f>
        <v>0</v>
      </c>
      <c r="DB27" s="58">
        <f>IF(DAY(INDEX('Сводный годовой график'!$BA$4:$BL$14,$C26,MONTH($B$24)))=V$3,1,0)</f>
        <v>0</v>
      </c>
      <c r="DC27" s="58">
        <f>IF(DAY(INDEX('Сводный годовой график'!$BA$4:$BL$14,$C26,MONTH($B$24)))=W$3,1,0)</f>
        <v>0</v>
      </c>
      <c r="DD27" s="58">
        <f>IF(DAY(INDEX('Сводный годовой график'!$BA$4:$BL$14,$C26,MONTH($B$24)))=X$3,1,0)</f>
        <v>0</v>
      </c>
      <c r="DE27" s="58">
        <f>IF(DAY(INDEX('Сводный годовой график'!$BA$4:$BL$14,$C26,MONTH($B$24)))=Y$3,1,0)</f>
        <v>0</v>
      </c>
      <c r="DF27" s="58">
        <f>IF(DAY(INDEX('Сводный годовой график'!$BA$4:$BL$14,$C26,MONTH($B$24)))=Z$3,1,0)</f>
        <v>0</v>
      </c>
      <c r="DG27" s="58">
        <f>IF(DAY(INDEX('Сводный годовой график'!$BA$4:$BL$14,$C26,MONTH($B$24)))=AA$3,1,0)</f>
        <v>0</v>
      </c>
      <c r="DH27" s="58">
        <f>IF(DAY(INDEX('Сводный годовой график'!$BA$4:$BL$14,$C26,MONTH($B$24)))=AB$3,1,0)</f>
        <v>0</v>
      </c>
      <c r="DI27" s="58">
        <f>IF(DAY(INDEX('Сводный годовой график'!$BA$4:$BL$14,$C26,MONTH($B$24)))=AC$3,1,0)</f>
        <v>0</v>
      </c>
      <c r="DJ27" s="58">
        <f>IF(DAY(INDEX('Сводный годовой график'!$BA$4:$BL$14,$C26,MONTH($B$24)))=AD$3,1,0)</f>
        <v>0</v>
      </c>
      <c r="DK27" s="58">
        <f>IF(DAY(INDEX('Сводный годовой график'!$BA$4:$BL$14,$C26,MONTH($B$24)))=AE$3,1,0)</f>
        <v>0</v>
      </c>
      <c r="DL27" s="58">
        <f>IF(DAY(INDEX('Сводный годовой график'!$BA$4:$BL$14,$C26,MONTH($B$24)))=AF$3,1,0)</f>
        <v>0</v>
      </c>
      <c r="DM27" s="58">
        <f>IF(DAY(INDEX('Сводный годовой график'!$BA$4:$BL$14,$C26,MONTH($B$24)))=AG$3,1,0)</f>
        <v>0</v>
      </c>
      <c r="DN27" s="58">
        <f>IF(DAY(INDEX('Сводный годовой график'!$BA$4:$BL$14,$C26,MONTH($B$24)))=AH$3,1,0)</f>
        <v>0</v>
      </c>
      <c r="DO27" s="58">
        <f>IF(DAY(INDEX('Сводный годовой график'!$BA$4:$BL$14,$C26,MONTH($B$24)))=AI$3,1,0)</f>
        <v>0</v>
      </c>
    </row>
    <row r="28" spans="2:119" ht="16.5" thickBot="1" x14ac:dyDescent="0.3">
      <c r="B28" s="201"/>
      <c r="C28" s="196">
        <v>3</v>
      </c>
      <c r="D28" s="81">
        <v>5</v>
      </c>
      <c r="E28" s="96">
        <f ca="1">IF(AND(INDEX('Сводный годовой график'!$C$1:$AR$4,MATCH($C$28,'Сводный годовой график'!$B$1:$B$4),MATCH(DATE($AV$1,MONTH($B$24),E$3),'Сводный годовой график'!$C$7:$AR$7))&lt;&gt;12,INDIRECT(ADDRESS(ROW()+1,COLUMN()))="СП"),8,INDEX('Сводный годовой график'!$C$1:$AR$4,MATCH($C$28,'Сводный годовой график'!$B$1:$B$4),MATCH(DATE($AV$1,MONTH($B$24),E$3),'Сводный годовой график'!$C$7:$AR$7)))</f>
        <v>0</v>
      </c>
      <c r="F28" s="92">
        <f ca="1">IF(AND(INDEX('Сводный годовой график'!$C$1:$AR$4,MATCH($C$28,'Сводный годовой график'!$B$1:$B$4),MATCH(DATE($AV$1,MONTH($B$24),F$3),'Сводный годовой график'!$C$7:$AR$7))&lt;&gt;12,INDIRECT(ADDRESS(ROW()+1,COLUMN()))="СП"),8,INDEX('Сводный годовой график'!$C$1:$AR$4,MATCH($C$28,'Сводный годовой график'!$B$1:$B$4),MATCH(DATE($AV$1,MONTH($B$24),F$3),'Сводный годовой график'!$C$7:$AR$7)))</f>
        <v>4</v>
      </c>
      <c r="G28" s="92">
        <f ca="1">IF(AND(INDEX('Сводный годовой график'!$C$1:$AR$4,MATCH($C$28,'Сводный годовой график'!$B$1:$B$4),MATCH(DATE($AV$1,MONTH($B$24),G$3),'Сводный годовой график'!$C$7:$AR$7))&lt;&gt;12,INDIRECT(ADDRESS(ROW()+1,COLUMN()))="СП"),8,INDEX('Сводный годовой график'!$C$1:$AR$4,MATCH($C$28,'Сводный годовой график'!$B$1:$B$4),MATCH(DATE($AV$1,MONTH($B$24),G$3),'Сводный годовой график'!$C$7:$AR$7)))</f>
        <v>8</v>
      </c>
      <c r="H28" s="92">
        <f ca="1">IF(AND(INDEX('Сводный годовой график'!$C$1:$AR$4,MATCH($C$28,'Сводный годовой график'!$B$1:$B$4),MATCH(DATE($AV$1,MONTH($B$24),H$3),'Сводный годовой график'!$C$7:$AR$7))&lt;&gt;12,INDIRECT(ADDRESS(ROW()+1,COLUMN()))="СП"),8,INDEX('Сводный годовой график'!$C$1:$AR$4,MATCH($C$28,'Сводный годовой график'!$B$1:$B$4),MATCH(DATE($AV$1,MONTH($B$24),H$3),'Сводный годовой график'!$C$7:$AR$7)))</f>
        <v>12</v>
      </c>
      <c r="I28" s="92">
        <f ca="1">IF(AND(INDEX('Сводный годовой график'!$C$1:$AR$4,MATCH($C$28,'Сводный годовой график'!$B$1:$B$4),MATCH(DATE($AV$1,MONTH($B$24),I$3),'Сводный годовой график'!$C$7:$AR$7))&lt;&gt;12,INDIRECT(ADDRESS(ROW()+1,COLUMN()))="СП"),8,INDEX('Сводный годовой график'!$C$1:$AR$4,MATCH($C$28,'Сводный годовой график'!$B$1:$B$4),MATCH(DATE($AV$1,MONTH($B$24),I$3),'Сводный годовой график'!$C$7:$AR$7)))</f>
        <v>8</v>
      </c>
      <c r="J28" s="92">
        <f ca="1">IF(AND(INDEX('Сводный годовой график'!$C$1:$AR$4,MATCH($C$28,'Сводный годовой график'!$B$1:$B$4),MATCH(DATE($AV$1,MONTH($B$24),J$3),'Сводный годовой график'!$C$7:$AR$7))&lt;&gt;12,INDIRECT(ADDRESS(ROW()+1,COLUMN()))="СП"),8,INDEX('Сводный годовой график'!$C$1:$AR$4,MATCH($C$28,'Сводный годовой график'!$B$1:$B$4),MATCH(DATE($AV$1,MONTH($B$24),J$3),'Сводный годовой график'!$C$7:$AR$7)))</f>
        <v>8</v>
      </c>
      <c r="K28" s="92">
        <f ca="1">IF(AND(INDEX('Сводный годовой график'!$C$1:$AR$4,MATCH($C$28,'Сводный годовой график'!$B$1:$B$4),MATCH(DATE($AV$1,MONTH($B$24),K$3),'Сводный годовой график'!$C$7:$AR$7))&lt;&gt;12,INDIRECT(ADDRESS(ROW()+1,COLUMN()))="СП"),8,INDEX('Сводный годовой график'!$C$1:$AR$4,MATCH($C$28,'Сводный годовой график'!$B$1:$B$4),MATCH(DATE($AV$1,MONTH($B$24),K$3),'Сводный годовой график'!$C$7:$AR$7)))</f>
        <v>12</v>
      </c>
      <c r="L28" s="92">
        <f ca="1">IF(AND(INDEX('Сводный годовой график'!$C$1:$AR$4,MATCH($C$28,'Сводный годовой график'!$B$1:$B$4),MATCH(DATE($AV$1,MONTH($B$24),L$3),'Сводный годовой график'!$C$7:$AR$7))&lt;&gt;12,INDIRECT(ADDRESS(ROW()+1,COLUMN()))="СП"),8,INDEX('Сводный годовой график'!$C$1:$AR$4,MATCH($C$28,'Сводный годовой график'!$B$1:$B$4),MATCH(DATE($AV$1,MONTH($B$24),L$3),'Сводный годовой график'!$C$7:$AR$7)))</f>
        <v>0</v>
      </c>
      <c r="M28" s="92">
        <f ca="1">IF(AND(INDEX('Сводный годовой график'!$C$1:$AR$4,MATCH($C$28,'Сводный годовой график'!$B$1:$B$4),MATCH(DATE($AV$1,MONTH($B$24),M$3),'Сводный годовой график'!$C$7:$AR$7))&lt;&gt;12,INDIRECT(ADDRESS(ROW()+1,COLUMN()))="СП"),8,INDEX('Сводный годовой график'!$C$1:$AR$4,MATCH($C$28,'Сводный годовой график'!$B$1:$B$4),MATCH(DATE($AV$1,MONTH($B$24),M$3),'Сводный годовой график'!$C$7:$AR$7)))</f>
        <v>0</v>
      </c>
      <c r="N28" s="92">
        <f ca="1">IF(AND(INDEX('Сводный годовой график'!$C$1:$AR$4,MATCH($C$28,'Сводный годовой график'!$B$1:$B$4),MATCH(DATE($AV$1,MONTH($B$24),N$3),'Сводный годовой график'!$C$7:$AR$7))&lt;&gt;12,INDIRECT(ADDRESS(ROW()+1,COLUMN()))="СП"),8,INDEX('Сводный годовой график'!$C$1:$AR$4,MATCH($C$28,'Сводный годовой график'!$B$1:$B$4),MATCH(DATE($AV$1,MONTH($B$24),N$3),'Сводный годовой график'!$C$7:$AR$7)))</f>
        <v>4</v>
      </c>
      <c r="O28" s="92">
        <f ca="1">IF(AND(INDEX('Сводный годовой график'!$C$1:$AR$4,MATCH($C$28,'Сводный годовой график'!$B$1:$B$4),MATCH(DATE($AV$1,MONTH($B$24),O$3),'Сводный годовой график'!$C$7:$AR$7))&lt;&gt;12,INDIRECT(ADDRESS(ROW()+1,COLUMN()))="СП"),8,INDEX('Сводный годовой график'!$C$1:$AR$4,MATCH($C$28,'Сводный годовой график'!$B$1:$B$4),MATCH(DATE($AV$1,MONTH($B$24),O$3),'Сводный годовой график'!$C$7:$AR$7)))</f>
        <v>8</v>
      </c>
      <c r="P28" s="92">
        <f ca="1">IF(AND(INDEX('Сводный годовой график'!$C$1:$AR$4,MATCH($C$28,'Сводный годовой график'!$B$1:$B$4),MATCH(DATE($AV$1,MONTH($B$24),P$3),'Сводный годовой график'!$C$7:$AR$7))&lt;&gt;12,INDIRECT(ADDRESS(ROW()+1,COLUMN()))="СП"),8,INDEX('Сводный годовой график'!$C$1:$AR$4,MATCH($C$28,'Сводный годовой график'!$B$1:$B$4),MATCH(DATE($AV$1,MONTH($B$24),P$3),'Сводный годовой график'!$C$7:$AR$7)))</f>
        <v>12</v>
      </c>
      <c r="Q28" s="92">
        <f ca="1">IF(AND(INDEX('Сводный годовой график'!$C$1:$AR$4,MATCH($C$28,'Сводный годовой график'!$B$1:$B$4),MATCH(DATE($AV$1,MONTH($B$24),Q$3),'Сводный годовой график'!$C$7:$AR$7))&lt;&gt;12,INDIRECT(ADDRESS(ROW()+1,COLUMN()))="СП"),8,INDEX('Сводный годовой график'!$C$1:$AR$4,MATCH($C$28,'Сводный годовой график'!$B$1:$B$4),MATCH(DATE($AV$1,MONTH($B$24),Q$3),'Сводный годовой график'!$C$7:$AR$7)))</f>
        <v>4</v>
      </c>
      <c r="R28" s="92">
        <f ca="1">IF(AND(INDEX('Сводный годовой график'!$C$1:$AR$4,MATCH($C$28,'Сводный годовой график'!$B$1:$B$4),MATCH(DATE($AV$1,MONTH($B$24),R$3),'Сводный годовой график'!$C$7:$AR$7))&lt;&gt;12,INDIRECT(ADDRESS(ROW()+1,COLUMN()))="СП"),8,INDEX('Сводный годовой график'!$C$1:$AR$4,MATCH($C$28,'Сводный годовой график'!$B$1:$B$4),MATCH(DATE($AV$1,MONTH($B$24),R$3),'Сводный годовой график'!$C$7:$AR$7)))</f>
        <v>8</v>
      </c>
      <c r="S28" s="92">
        <f ca="1">IF(AND(INDEX('Сводный годовой график'!$C$1:$AR$4,MATCH($C$28,'Сводный годовой график'!$B$1:$B$4),MATCH(DATE($AV$1,MONTH($B$24),S$3),'Сводный годовой график'!$C$7:$AR$7))&lt;&gt;12,INDIRECT(ADDRESS(ROW()+1,COLUMN()))="СП"),8,INDEX('Сводный годовой график'!$C$1:$AR$4,MATCH($C$28,'Сводный годовой график'!$B$1:$B$4),MATCH(DATE($AV$1,MONTH($B$24),S$3),'Сводный годовой график'!$C$7:$AR$7)))</f>
        <v>12</v>
      </c>
      <c r="T28" s="92">
        <f ca="1">IF(AND(INDEX('Сводный годовой график'!$C$1:$AR$4,MATCH($C$28,'Сводный годовой график'!$B$1:$B$4),MATCH(DATE($AV$1,MONTH($B$24),T$3),'Сводный годовой график'!$C$7:$AR$7))&lt;&gt;12,INDIRECT(ADDRESS(ROW()+1,COLUMN()))="СП"),8,INDEX('Сводный годовой график'!$C$1:$AR$4,MATCH($C$28,'Сводный годовой график'!$B$1:$B$4),MATCH(DATE($AV$1,MONTH($B$24),T$3),'Сводный годовой график'!$C$7:$AR$7)))</f>
        <v>0</v>
      </c>
      <c r="U28" s="92">
        <f ca="1">IF(AND(INDEX('Сводный годовой график'!$C$1:$AR$4,MATCH($C$28,'Сводный годовой график'!$B$1:$B$4),MATCH(DATE($AV$1,MONTH($B$24),U$3),'Сводный годовой график'!$C$7:$AR$7))&lt;&gt;12,INDIRECT(ADDRESS(ROW()+1,COLUMN()))="СП"),8,INDEX('Сводный годовой график'!$C$1:$AR$4,MATCH($C$28,'Сводный годовой график'!$B$1:$B$4),MATCH(DATE($AV$1,MONTH($B$24),U$3),'Сводный годовой график'!$C$7:$AR$7)))</f>
        <v>0</v>
      </c>
      <c r="V28" s="92">
        <f ca="1">IF(AND(INDEX('Сводный годовой график'!$C$1:$AR$4,MATCH($C$28,'Сводный годовой график'!$B$1:$B$4),MATCH(DATE($AV$1,MONTH($B$24),V$3),'Сводный годовой график'!$C$7:$AR$7))&lt;&gt;12,INDIRECT(ADDRESS(ROW()+1,COLUMN()))="СП"),8,INDEX('Сводный годовой график'!$C$1:$AR$4,MATCH($C$28,'Сводный годовой график'!$B$1:$B$4),MATCH(DATE($AV$1,MONTH($B$24),V$3),'Сводный годовой график'!$C$7:$AR$7)))</f>
        <v>4</v>
      </c>
      <c r="W28" s="92">
        <f ca="1">IF(AND(INDEX('Сводный годовой график'!$C$1:$AR$4,MATCH($C$28,'Сводный годовой график'!$B$1:$B$4),MATCH(DATE($AV$1,MONTH($B$24),W$3),'Сводный годовой график'!$C$7:$AR$7))&lt;&gt;12,INDIRECT(ADDRESS(ROW()+1,COLUMN()))="СП"),8,INDEX('Сводный годовой график'!$C$1:$AR$4,MATCH($C$28,'Сводный годовой график'!$B$1:$B$4),MATCH(DATE($AV$1,MONTH($B$24),W$3),'Сводный годовой график'!$C$7:$AR$7)))</f>
        <v>8</v>
      </c>
      <c r="X28" s="92">
        <f ca="1">IF(AND(INDEX('Сводный годовой график'!$C$1:$AR$4,MATCH($C$28,'Сводный годовой график'!$B$1:$B$4),MATCH(DATE($AV$1,MONTH($B$24),X$3),'Сводный годовой график'!$C$7:$AR$7))&lt;&gt;12,INDIRECT(ADDRESS(ROW()+1,COLUMN()))="СП"),8,INDEX('Сводный годовой график'!$C$1:$AR$4,MATCH($C$28,'Сводный годовой график'!$B$1:$B$4),MATCH(DATE($AV$1,MONTH($B$24),X$3),'Сводный годовой график'!$C$7:$AR$7)))</f>
        <v>12</v>
      </c>
      <c r="Y28" s="92">
        <f ca="1">IF(AND(INDEX('Сводный годовой график'!$C$1:$AR$4,MATCH($C$28,'Сводный годовой график'!$B$1:$B$4),MATCH(DATE($AV$1,MONTH($B$24),Y$3),'Сводный годовой график'!$C$7:$AR$7))&lt;&gt;12,INDIRECT(ADDRESS(ROW()+1,COLUMN()))="СП"),8,INDEX('Сводный годовой график'!$C$1:$AR$4,MATCH($C$28,'Сводный годовой график'!$B$1:$B$4),MATCH(DATE($AV$1,MONTH($B$24),Y$3),'Сводный годовой график'!$C$7:$AR$7)))</f>
        <v>4</v>
      </c>
      <c r="Z28" s="92">
        <f ca="1">IF(AND(INDEX('Сводный годовой график'!$C$1:$AR$4,MATCH($C$28,'Сводный годовой график'!$B$1:$B$4),MATCH(DATE($AV$1,MONTH($B$24),Z$3),'Сводный годовой график'!$C$7:$AR$7))&lt;&gt;12,INDIRECT(ADDRESS(ROW()+1,COLUMN()))="СП"),8,INDEX('Сводный годовой график'!$C$1:$AR$4,MATCH($C$28,'Сводный годовой график'!$B$1:$B$4),MATCH(DATE($AV$1,MONTH($B$24),Z$3),'Сводный годовой график'!$C$7:$AR$7)))</f>
        <v>8</v>
      </c>
      <c r="AA28" s="92">
        <f ca="1">IF(AND(INDEX('Сводный годовой график'!$C$1:$AR$4,MATCH($C$28,'Сводный годовой график'!$B$1:$B$4),MATCH(DATE($AV$1,MONTH($B$24),AA$3),'Сводный годовой график'!$C$7:$AR$7))&lt;&gt;12,INDIRECT(ADDRESS(ROW()+1,COLUMN()))="СП"),8,INDEX('Сводный годовой график'!$C$1:$AR$4,MATCH($C$28,'Сводный годовой график'!$B$1:$B$4),MATCH(DATE($AV$1,MONTH($B$24),AA$3),'Сводный годовой график'!$C$7:$AR$7)))</f>
        <v>12</v>
      </c>
      <c r="AB28" s="92">
        <f ca="1">IF(AND(INDEX('Сводный годовой график'!$C$1:$AR$4,MATCH($C$28,'Сводный годовой график'!$B$1:$B$4),MATCH(DATE($AV$1,MONTH($B$24),AB$3),'Сводный годовой график'!$C$7:$AR$7))&lt;&gt;12,INDIRECT(ADDRESS(ROW()+1,COLUMN()))="СП"),8,INDEX('Сводный годовой график'!$C$1:$AR$4,MATCH($C$28,'Сводный годовой график'!$B$1:$B$4),MATCH(DATE($AV$1,MONTH($B$24),AB$3),'Сводный годовой график'!$C$7:$AR$7)))</f>
        <v>0</v>
      </c>
      <c r="AC28" s="92">
        <f ca="1">IF(AND(INDEX('Сводный годовой график'!$C$1:$AR$4,MATCH($C$28,'Сводный годовой график'!$B$1:$B$4),MATCH(DATE($AV$1,MONTH($B$24),AC$3),'Сводный годовой график'!$C$7:$AR$7))&lt;&gt;12,INDIRECT(ADDRESS(ROW()+1,COLUMN()))="СП"),8,INDEX('Сводный годовой график'!$C$1:$AR$4,MATCH($C$28,'Сводный годовой график'!$B$1:$B$4),MATCH(DATE($AV$1,MONTH($B$24),AC$3),'Сводный годовой график'!$C$7:$AR$7)))</f>
        <v>0</v>
      </c>
      <c r="AD28" s="92">
        <f ca="1">IF(AND(INDEX('Сводный годовой график'!$C$1:$AR$4,MATCH($C$28,'Сводный годовой график'!$B$1:$B$4),MATCH(DATE($AV$1,MONTH($B$24),AD$3),'Сводный годовой график'!$C$7:$AR$7))&lt;&gt;12,INDIRECT(ADDRESS(ROW()+1,COLUMN()))="СП"),8,INDEX('Сводный годовой график'!$C$1:$AR$4,MATCH($C$28,'Сводный годовой график'!$B$1:$B$4),MATCH(DATE($AV$1,MONTH($B$24),AD$3),'Сводный годовой график'!$C$7:$AR$7)))</f>
        <v>4</v>
      </c>
      <c r="AE28" s="92">
        <f ca="1">IF(AND(INDEX('Сводный годовой график'!$C$1:$AR$4,MATCH($C$28,'Сводный годовой график'!$B$1:$B$4),MATCH(DATE($AV$1,MONTH($B$24),AE$3),'Сводный годовой график'!$C$7:$AR$7))&lt;&gt;12,INDIRECT(ADDRESS(ROW()+1,COLUMN()))="СП"),8,INDEX('Сводный годовой график'!$C$1:$AR$4,MATCH($C$28,'Сводный годовой график'!$B$1:$B$4),MATCH(DATE($AV$1,MONTH($B$24),AE$3),'Сводный годовой график'!$C$7:$AR$7)))</f>
        <v>8</v>
      </c>
      <c r="AF28" s="92">
        <f ca="1">IF(AND(INDEX('Сводный годовой график'!$C$1:$AR$4,MATCH($C$28,'Сводный годовой график'!$B$1:$B$4),MATCH(DATE($AV$1,MONTH($B$24),AF$3),'Сводный годовой график'!$C$7:$AR$7))&lt;&gt;12,INDIRECT(ADDRESS(ROW()+1,COLUMN()))="СП"),8,INDEX('Сводный годовой график'!$C$1:$AR$4,MATCH($C$28,'Сводный годовой график'!$B$1:$B$4),MATCH(DATE($AV$1,MONTH($B$24),AF$3),'Сводный годовой график'!$C$7:$AR$7)))</f>
        <v>12</v>
      </c>
      <c r="AG28" s="92">
        <f ca="1">IF(AND(INDEX('Сводный годовой график'!$C$1:$AR$4,MATCH($C$28,'Сводный годовой график'!$B$1:$B$4),MATCH(DATE($AV$1,MONTH($B$24),AG$3),'Сводный годовой график'!$C$7:$AR$7))&lt;&gt;12,INDIRECT(ADDRESS(ROW()+1,COLUMN()))="СП"),8,INDEX('Сводный годовой график'!$C$1:$AR$4,MATCH($C$28,'Сводный годовой график'!$B$1:$B$4),MATCH(DATE($AV$1,MONTH($B$24),AG$3),'Сводный годовой график'!$C$7:$AR$7)))</f>
        <v>4</v>
      </c>
      <c r="AH28" s="92">
        <f ca="1">IF(AND(INDEX('Сводный годовой график'!$C$1:$AR$4,MATCH($C$28,'Сводный годовой график'!$B$1:$B$4),MATCH(DATE($AV$1,MONTH($B$24),AH$3),'Сводный годовой график'!$C$7:$AR$7))&lt;&gt;12,INDIRECT(ADDRESS(ROW()+1,COLUMN()))="СП"),8,INDEX('Сводный годовой график'!$C$1:$AR$4,MATCH($C$28,'Сводный годовой график'!$B$1:$B$4),MATCH(DATE($AV$1,MONTH($B$24),AH$3),'Сводный годовой график'!$C$7:$AR$7)))</f>
        <v>8</v>
      </c>
      <c r="AI28" s="97">
        <f ca="1">IF(AND(INDEX('Сводный годовой график'!$C$1:$AR$4,MATCH($C$28,'Сводный годовой график'!$B$1:$B$4),MATCH(DATE($AV$1,MONTH($B$24),AI$3),'Сводный годовой график'!$C$7:$AR$7))&lt;&gt;12,INDIRECT(ADDRESS(ROW()+1,COLUMN()))="СП"),8,INDEX('Сводный годовой график'!$C$1:$AR$4,MATCH($C$28,'Сводный годовой график'!$B$1:$B$4),MATCH(DATE($AV$1,MONTH($B$24),AI$3),'Сводный годовой график'!$C$7:$AR$7)))</f>
        <v>12</v>
      </c>
      <c r="AJ28" s="206"/>
      <c r="AK28" s="209">
        <f>$AJ$24-SUM(AY28:CC29)</f>
        <v>167</v>
      </c>
      <c r="AL28" s="209">
        <f t="shared" ref="AL28" ca="1" si="45">SUM(E28:AI29)</f>
        <v>196</v>
      </c>
      <c r="AM28" s="209">
        <f ca="1">SUM(L28)</f>
        <v>0</v>
      </c>
      <c r="AN28" s="211">
        <f t="shared" ref="AN28" ca="1" si="46">-AM28-AK28+AL28</f>
        <v>29</v>
      </c>
      <c r="AO28" s="211">
        <v>0</v>
      </c>
      <c r="AP28" s="211">
        <f ca="1">AN28+AP18-AO28</f>
        <v>17</v>
      </c>
      <c r="AQ28" s="209">
        <v>0</v>
      </c>
      <c r="AR28" s="210">
        <v>1</v>
      </c>
      <c r="CK28" s="59"/>
      <c r="CL28" s="59"/>
      <c r="CM28" s="59"/>
      <c r="CN28" s="59"/>
      <c r="CO28" s="59"/>
      <c r="CP28" s="59"/>
      <c r="CQ28" s="59"/>
      <c r="CR28" s="59"/>
      <c r="CS28" s="59"/>
      <c r="CT28" s="59"/>
      <c r="CU28" s="59"/>
      <c r="CV28" s="59"/>
      <c r="CW28" s="59"/>
      <c r="CX28" s="59"/>
      <c r="CY28" s="59"/>
      <c r="CZ28" s="59"/>
      <c r="DA28" s="59"/>
      <c r="DB28" s="59"/>
      <c r="DC28" s="59"/>
      <c r="DD28" s="59"/>
      <c r="DE28" s="59"/>
      <c r="DF28" s="59"/>
      <c r="DG28" s="59"/>
      <c r="DH28" s="59"/>
      <c r="DI28" s="59"/>
      <c r="DJ28" s="59"/>
      <c r="DK28" s="59"/>
      <c r="DL28" s="59"/>
      <c r="DM28" s="59"/>
      <c r="DN28" s="59"/>
      <c r="DO28" s="59"/>
    </row>
    <row r="29" spans="2:119" ht="16.5" thickBot="1" x14ac:dyDescent="0.3">
      <c r="B29" s="201"/>
      <c r="C29" s="197"/>
      <c r="D29" s="82">
        <v>6</v>
      </c>
      <c r="E29" s="96" t="str">
        <f t="shared" ref="E29:AI29" si="47">IF(INDEX($CK$4:$DO$123,ROW()-3,E$3)=0,"","СП")</f>
        <v/>
      </c>
      <c r="F29" s="92" t="str">
        <f t="shared" si="47"/>
        <v/>
      </c>
      <c r="G29" s="92" t="str">
        <f t="shared" si="47"/>
        <v/>
      </c>
      <c r="H29" s="92" t="str">
        <f t="shared" si="47"/>
        <v/>
      </c>
      <c r="I29" s="92" t="str">
        <f t="shared" si="47"/>
        <v>СП</v>
      </c>
      <c r="J29" s="92" t="str">
        <f t="shared" si="47"/>
        <v/>
      </c>
      <c r="K29" s="92" t="str">
        <f t="shared" si="47"/>
        <v/>
      </c>
      <c r="L29" s="92" t="str">
        <f t="shared" si="47"/>
        <v/>
      </c>
      <c r="M29" s="92" t="str">
        <f t="shared" si="47"/>
        <v/>
      </c>
      <c r="N29" s="92" t="str">
        <f t="shared" si="47"/>
        <v/>
      </c>
      <c r="O29" s="92" t="str">
        <f t="shared" si="47"/>
        <v/>
      </c>
      <c r="P29" s="92" t="str">
        <f t="shared" si="47"/>
        <v/>
      </c>
      <c r="Q29" s="92" t="str">
        <f t="shared" si="47"/>
        <v/>
      </c>
      <c r="R29" s="92" t="str">
        <f t="shared" si="47"/>
        <v/>
      </c>
      <c r="S29" s="92" t="str">
        <f t="shared" si="47"/>
        <v/>
      </c>
      <c r="T29" s="92" t="str">
        <f t="shared" si="47"/>
        <v/>
      </c>
      <c r="U29" s="92" t="str">
        <f t="shared" si="47"/>
        <v/>
      </c>
      <c r="V29" s="92" t="str">
        <f t="shared" si="47"/>
        <v/>
      </c>
      <c r="W29" s="92" t="str">
        <f t="shared" si="47"/>
        <v/>
      </c>
      <c r="X29" s="92" t="str">
        <f t="shared" si="47"/>
        <v/>
      </c>
      <c r="Y29" s="92" t="str">
        <f t="shared" si="47"/>
        <v/>
      </c>
      <c r="Z29" s="92" t="str">
        <f t="shared" si="47"/>
        <v/>
      </c>
      <c r="AA29" s="92" t="str">
        <f t="shared" si="47"/>
        <v/>
      </c>
      <c r="AB29" s="92" t="str">
        <f t="shared" si="47"/>
        <v/>
      </c>
      <c r="AC29" s="92" t="str">
        <f t="shared" si="47"/>
        <v/>
      </c>
      <c r="AD29" s="92" t="str">
        <f t="shared" si="47"/>
        <v/>
      </c>
      <c r="AE29" s="92" t="str">
        <f t="shared" si="47"/>
        <v/>
      </c>
      <c r="AF29" s="92" t="str">
        <f t="shared" si="47"/>
        <v/>
      </c>
      <c r="AG29" s="92" t="str">
        <f t="shared" si="47"/>
        <v/>
      </c>
      <c r="AH29" s="92" t="str">
        <f t="shared" si="47"/>
        <v/>
      </c>
      <c r="AI29" s="97" t="str">
        <f t="shared" si="47"/>
        <v/>
      </c>
      <c r="AJ29" s="206"/>
      <c r="AK29" s="209"/>
      <c r="AL29" s="209"/>
      <c r="AM29" s="209"/>
      <c r="AN29" s="211"/>
      <c r="AO29" s="211"/>
      <c r="AP29" s="211"/>
      <c r="AQ29" s="209"/>
      <c r="AR29" s="210"/>
      <c r="CK29" s="58">
        <f>IF(DAY(INDEX('Сводный годовой график'!$BA$4:$BL$14,$C28,MONTH($B$24)))=E$3,1,0)</f>
        <v>0</v>
      </c>
      <c r="CL29" s="58">
        <f>IF(DAY(INDEX('Сводный годовой график'!$BA$4:$BL$14,$C28,MONTH($B$24)))=F$3,1,0)</f>
        <v>0</v>
      </c>
      <c r="CM29" s="58">
        <f>IF(DAY(INDEX('Сводный годовой график'!$BA$4:$BL$14,$C28,MONTH($B$24)))=G$3,1,0)</f>
        <v>0</v>
      </c>
      <c r="CN29" s="58">
        <f>IF(DAY(INDEX('Сводный годовой график'!$BA$4:$BL$14,$C28,MONTH($B$24)))=H$3,1,0)</f>
        <v>0</v>
      </c>
      <c r="CO29" s="58">
        <f>IF(DAY(INDEX('Сводный годовой график'!$BA$4:$BL$14,$C28,MONTH($B$24)))=I$3,1,0)</f>
        <v>1</v>
      </c>
      <c r="CP29" s="58">
        <f>IF(DAY(INDEX('Сводный годовой график'!$BA$4:$BL$14,$C28,MONTH($B$24)))=J$3,1,0)</f>
        <v>0</v>
      </c>
      <c r="CQ29" s="58">
        <f>IF(DAY(INDEX('Сводный годовой график'!$BA$4:$BL$14,$C28,MONTH($B$24)))=K$3,1,0)</f>
        <v>0</v>
      </c>
      <c r="CR29" s="58">
        <f>IF(DAY(INDEX('Сводный годовой график'!$BA$4:$BL$14,$C28,MONTH($B$24)))=L$3,1,0)</f>
        <v>0</v>
      </c>
      <c r="CS29" s="58">
        <f>IF(DAY(INDEX('Сводный годовой график'!$BA$4:$BL$14,$C28,MONTH($B$24)))=M$3,1,0)</f>
        <v>0</v>
      </c>
      <c r="CT29" s="58">
        <f>IF(DAY(INDEX('Сводный годовой график'!$BA$4:$BL$14,$C28,MONTH($B$24)))=N$3,1,0)</f>
        <v>0</v>
      </c>
      <c r="CU29" s="58">
        <f>IF(DAY(INDEX('Сводный годовой график'!$BA$4:$BL$14,$C28,MONTH($B$24)))=O$3,1,0)</f>
        <v>0</v>
      </c>
      <c r="CV29" s="58">
        <f>IF(DAY(INDEX('Сводный годовой график'!$BA$4:$BL$14,$C28,MONTH($B$24)))=P$3,1,0)</f>
        <v>0</v>
      </c>
      <c r="CW29" s="58">
        <f>IF(DAY(INDEX('Сводный годовой график'!$BA$4:$BL$14,$C28,MONTH($B$24)))=Q$3,1,0)</f>
        <v>0</v>
      </c>
      <c r="CX29" s="58">
        <f>IF(DAY(INDEX('Сводный годовой график'!$BA$4:$BL$14,$C28,MONTH($B$24)))=R$3,1,0)</f>
        <v>0</v>
      </c>
      <c r="CY29" s="58">
        <f>IF(DAY(INDEX('Сводный годовой график'!$BA$4:$BL$14,$C28,MONTH($B$24)))=S$3,1,0)</f>
        <v>0</v>
      </c>
      <c r="CZ29" s="58">
        <f>IF(DAY(INDEX('Сводный годовой график'!$BA$4:$BL$14,$C28,MONTH($B$24)))=T$3,1,0)</f>
        <v>0</v>
      </c>
      <c r="DA29" s="58">
        <f>IF(DAY(INDEX('Сводный годовой график'!$BA$4:$BL$14,$C28,MONTH($B$24)))=U$3,1,0)</f>
        <v>0</v>
      </c>
      <c r="DB29" s="58">
        <f>IF(DAY(INDEX('Сводный годовой график'!$BA$4:$BL$14,$C28,MONTH($B$24)))=V$3,1,0)</f>
        <v>0</v>
      </c>
      <c r="DC29" s="58">
        <f>IF(DAY(INDEX('Сводный годовой график'!$BA$4:$BL$14,$C28,MONTH($B$24)))=W$3,1,0)</f>
        <v>0</v>
      </c>
      <c r="DD29" s="58">
        <f>IF(DAY(INDEX('Сводный годовой график'!$BA$4:$BL$14,$C28,MONTH($B$24)))=X$3,1,0)</f>
        <v>0</v>
      </c>
      <c r="DE29" s="58">
        <f>IF(DAY(INDEX('Сводный годовой график'!$BA$4:$BL$14,$C28,MONTH($B$24)))=Y$3,1,0)</f>
        <v>0</v>
      </c>
      <c r="DF29" s="58">
        <f>IF(DAY(INDEX('Сводный годовой график'!$BA$4:$BL$14,$C28,MONTH($B$24)))=Z$3,1,0)</f>
        <v>0</v>
      </c>
      <c r="DG29" s="58">
        <f>IF(DAY(INDEX('Сводный годовой график'!$BA$4:$BL$14,$C28,MONTH($B$24)))=AA$3,1,0)</f>
        <v>0</v>
      </c>
      <c r="DH29" s="58">
        <f>IF(DAY(INDEX('Сводный годовой график'!$BA$4:$BL$14,$C28,MONTH($B$24)))=AB$3,1,0)</f>
        <v>0</v>
      </c>
      <c r="DI29" s="58">
        <f>IF(DAY(INDEX('Сводный годовой график'!$BA$4:$BL$14,$C28,MONTH($B$24)))=AC$3,1,0)</f>
        <v>0</v>
      </c>
      <c r="DJ29" s="58">
        <f>IF(DAY(INDEX('Сводный годовой график'!$BA$4:$BL$14,$C28,MONTH($B$24)))=AD$3,1,0)</f>
        <v>0</v>
      </c>
      <c r="DK29" s="58">
        <f>IF(DAY(INDEX('Сводный годовой график'!$BA$4:$BL$14,$C28,MONTH($B$24)))=AE$3,1,0)</f>
        <v>0</v>
      </c>
      <c r="DL29" s="58">
        <f>IF(DAY(INDEX('Сводный годовой график'!$BA$4:$BL$14,$C28,MONTH($B$24)))=AF$3,1,0)</f>
        <v>0</v>
      </c>
      <c r="DM29" s="58">
        <f>IF(DAY(INDEX('Сводный годовой график'!$BA$4:$BL$14,$C28,MONTH($B$24)))=AG$3,1,0)</f>
        <v>0</v>
      </c>
      <c r="DN29" s="58">
        <f>IF(DAY(INDEX('Сводный годовой график'!$BA$4:$BL$14,$C28,MONTH($B$24)))=AH$3,1,0)</f>
        <v>0</v>
      </c>
      <c r="DO29" s="58">
        <f>IF(DAY(INDEX('Сводный годовой график'!$BA$4:$BL$14,$C28,MONTH($B$24)))=AI$3,1,0)</f>
        <v>0</v>
      </c>
    </row>
    <row r="30" spans="2:119" ht="16.5" thickBot="1" x14ac:dyDescent="0.3">
      <c r="B30" s="201"/>
      <c r="C30" s="196">
        <v>4</v>
      </c>
      <c r="D30" s="81">
        <v>7</v>
      </c>
      <c r="E30" s="96">
        <f ca="1">IF(AND(INDEX('Сводный годовой график'!$C$1:$AR$4,MATCH($C$30,'Сводный годовой график'!$B$1:$B$4),MATCH(DATE($AV$1,MONTH($B$24),E$3),'Сводный годовой график'!$C$7:$AR$7))&lt;&gt;12,INDIRECT(ADDRESS(ROW()+1,COLUMN()))="СП"),8,INDEX('Сводный годовой график'!$C$1:$AR$4,MATCH($C$30,'Сводный годовой график'!$B$1:$B$4),MATCH(DATE($AV$1,MONTH($B$24),E$3),'Сводный годовой график'!$C$7:$AR$7)))</f>
        <v>12</v>
      </c>
      <c r="F30" s="92">
        <f ca="1">IF(AND(INDEX('Сводный годовой график'!$C$1:$AR$4,MATCH($C$30,'Сводный годовой график'!$B$1:$B$4),MATCH(DATE($AV$1,MONTH($B$24),F$3),'Сводный годовой график'!$C$7:$AR$7))&lt;&gt;12,INDIRECT(ADDRESS(ROW()+1,COLUMN()))="СП"),8,INDEX('Сводный годовой график'!$C$1:$AR$4,MATCH($C$30,'Сводный годовой график'!$B$1:$B$4),MATCH(DATE($AV$1,MONTH($B$24),F$3),'Сводный годовой график'!$C$7:$AR$7)))</f>
        <v>0</v>
      </c>
      <c r="G30" s="92">
        <f ca="1">IF(AND(INDEX('Сводный годовой график'!$C$1:$AR$4,MATCH($C$30,'Сводный годовой график'!$B$1:$B$4),MATCH(DATE($AV$1,MONTH($B$24),G$3),'Сводный годовой график'!$C$7:$AR$7))&lt;&gt;12,INDIRECT(ADDRESS(ROW()+1,COLUMN()))="СП"),8,INDEX('Сводный годовой график'!$C$1:$AR$4,MATCH($C$30,'Сводный годовой график'!$B$1:$B$4),MATCH(DATE($AV$1,MONTH($B$24),G$3),'Сводный годовой график'!$C$7:$AR$7)))</f>
        <v>0</v>
      </c>
      <c r="H30" s="92">
        <f ca="1">IF(AND(INDEX('Сводный годовой график'!$C$1:$AR$4,MATCH($C$30,'Сводный годовой график'!$B$1:$B$4),MATCH(DATE($AV$1,MONTH($B$24),H$3),'Сводный годовой график'!$C$7:$AR$7))&lt;&gt;12,INDIRECT(ADDRESS(ROW()+1,COLUMN()))="СП"),8,INDEX('Сводный годовой график'!$C$1:$AR$4,MATCH($C$30,'Сводный годовой график'!$B$1:$B$4),MATCH(DATE($AV$1,MONTH($B$24),H$3),'Сводный годовой график'!$C$7:$AR$7)))</f>
        <v>4</v>
      </c>
      <c r="I30" s="92">
        <f ca="1">IF(AND(INDEX('Сводный годовой график'!$C$1:$AR$4,MATCH($C$30,'Сводный годовой график'!$B$1:$B$4),MATCH(DATE($AV$1,MONTH($B$24),I$3),'Сводный годовой график'!$C$7:$AR$7))&lt;&gt;12,INDIRECT(ADDRESS(ROW()+1,COLUMN()))="СП"),8,INDEX('Сводный годовой график'!$C$1:$AR$4,MATCH($C$30,'Сводный годовой график'!$B$1:$B$4),MATCH(DATE($AV$1,MONTH($B$24),I$3),'Сводный годовой график'!$C$7:$AR$7)))</f>
        <v>8</v>
      </c>
      <c r="J30" s="92">
        <f ca="1">IF(AND(INDEX('Сводный годовой график'!$C$1:$AR$4,MATCH($C$30,'Сводный годовой график'!$B$1:$B$4),MATCH(DATE($AV$1,MONTH($B$24),J$3),'Сводный годовой график'!$C$7:$AR$7))&lt;&gt;12,INDIRECT(ADDRESS(ROW()+1,COLUMN()))="СП"),8,INDEX('Сводный годовой график'!$C$1:$AR$4,MATCH($C$30,'Сводный годовой график'!$B$1:$B$4),MATCH(DATE($AV$1,MONTH($B$24),J$3),'Сводный годовой график'!$C$7:$AR$7)))</f>
        <v>12</v>
      </c>
      <c r="K30" s="92">
        <f ca="1">IF(AND(INDEX('Сводный годовой график'!$C$1:$AR$4,MATCH($C$30,'Сводный годовой график'!$B$1:$B$4),MATCH(DATE($AV$1,MONTH($B$24),K$3),'Сводный годовой график'!$C$7:$AR$7))&lt;&gt;12,INDIRECT(ADDRESS(ROW()+1,COLUMN()))="СП"),8,INDEX('Сводный годовой график'!$C$1:$AR$4,MATCH($C$30,'Сводный годовой график'!$B$1:$B$4),MATCH(DATE($AV$1,MONTH($B$24),K$3),'Сводный годовой график'!$C$7:$AR$7)))</f>
        <v>4</v>
      </c>
      <c r="L30" s="92">
        <f ca="1">IF(AND(INDEX('Сводный годовой график'!$C$1:$AR$4,MATCH($C$30,'Сводный годовой график'!$B$1:$B$4),MATCH(DATE($AV$1,MONTH($B$24),L$3),'Сводный годовой график'!$C$7:$AR$7))&lt;&gt;12,INDIRECT(ADDRESS(ROW()+1,COLUMN()))="СП"),8,INDEX('Сводный годовой график'!$C$1:$AR$4,MATCH($C$30,'Сводный годовой график'!$B$1:$B$4),MATCH(DATE($AV$1,MONTH($B$24),L$3),'Сводный годовой график'!$C$7:$AR$7)))</f>
        <v>8</v>
      </c>
      <c r="M30" s="92">
        <f ca="1">IF(AND(INDEX('Сводный годовой график'!$C$1:$AR$4,MATCH($C$30,'Сводный годовой график'!$B$1:$B$4),MATCH(DATE($AV$1,MONTH($B$24),M$3),'Сводный годовой график'!$C$7:$AR$7))&lt;&gt;12,INDIRECT(ADDRESS(ROW()+1,COLUMN()))="СП"),8,INDEX('Сводный годовой график'!$C$1:$AR$4,MATCH($C$30,'Сводный годовой график'!$B$1:$B$4),MATCH(DATE($AV$1,MONTH($B$24),M$3),'Сводный годовой график'!$C$7:$AR$7)))</f>
        <v>12</v>
      </c>
      <c r="N30" s="92">
        <f ca="1">IF(AND(INDEX('Сводный годовой график'!$C$1:$AR$4,MATCH($C$30,'Сводный годовой график'!$B$1:$B$4),MATCH(DATE($AV$1,MONTH($B$24),N$3),'Сводный годовой график'!$C$7:$AR$7))&lt;&gt;12,INDIRECT(ADDRESS(ROW()+1,COLUMN()))="СП"),8,INDEX('Сводный годовой график'!$C$1:$AR$4,MATCH($C$30,'Сводный годовой график'!$B$1:$B$4),MATCH(DATE($AV$1,MONTH($B$24),N$3),'Сводный годовой график'!$C$7:$AR$7)))</f>
        <v>0</v>
      </c>
      <c r="O30" s="92">
        <f ca="1">IF(AND(INDEX('Сводный годовой график'!$C$1:$AR$4,MATCH($C$30,'Сводный годовой график'!$B$1:$B$4),MATCH(DATE($AV$1,MONTH($B$24),O$3),'Сводный годовой график'!$C$7:$AR$7))&lt;&gt;12,INDIRECT(ADDRESS(ROW()+1,COLUMN()))="СП"),8,INDEX('Сводный годовой график'!$C$1:$AR$4,MATCH($C$30,'Сводный годовой график'!$B$1:$B$4),MATCH(DATE($AV$1,MONTH($B$24),O$3),'Сводный годовой график'!$C$7:$AR$7)))</f>
        <v>0</v>
      </c>
      <c r="P30" s="92">
        <f ca="1">IF(AND(INDEX('Сводный годовой график'!$C$1:$AR$4,MATCH($C$30,'Сводный годовой график'!$B$1:$B$4),MATCH(DATE($AV$1,MONTH($B$24),P$3),'Сводный годовой график'!$C$7:$AR$7))&lt;&gt;12,INDIRECT(ADDRESS(ROW()+1,COLUMN()))="СП"),8,INDEX('Сводный годовой график'!$C$1:$AR$4,MATCH($C$30,'Сводный годовой график'!$B$1:$B$4),MATCH(DATE($AV$1,MONTH($B$24),P$3),'Сводный годовой график'!$C$7:$AR$7)))</f>
        <v>4</v>
      </c>
      <c r="Q30" s="92">
        <f ca="1">IF(AND(INDEX('Сводный годовой график'!$C$1:$AR$4,MATCH($C$30,'Сводный годовой график'!$B$1:$B$4),MATCH(DATE($AV$1,MONTH($B$24),Q$3),'Сводный годовой график'!$C$7:$AR$7))&lt;&gt;12,INDIRECT(ADDRESS(ROW()+1,COLUMN()))="СП"),8,INDEX('Сводный годовой график'!$C$1:$AR$4,MATCH($C$30,'Сводный годовой график'!$B$1:$B$4),MATCH(DATE($AV$1,MONTH($B$24),Q$3),'Сводный годовой график'!$C$7:$AR$7)))</f>
        <v>8</v>
      </c>
      <c r="R30" s="92">
        <f ca="1">IF(AND(INDEX('Сводный годовой график'!$C$1:$AR$4,MATCH($C$30,'Сводный годовой график'!$B$1:$B$4),MATCH(DATE($AV$1,MONTH($B$24),R$3),'Сводный годовой график'!$C$7:$AR$7))&lt;&gt;12,INDIRECT(ADDRESS(ROW()+1,COLUMN()))="СП"),8,INDEX('Сводный годовой график'!$C$1:$AR$4,MATCH($C$30,'Сводный годовой график'!$B$1:$B$4),MATCH(DATE($AV$1,MONTH($B$24),R$3),'Сводный годовой график'!$C$7:$AR$7)))</f>
        <v>12</v>
      </c>
      <c r="S30" s="92">
        <f ca="1">IF(AND(INDEX('Сводный годовой график'!$C$1:$AR$4,MATCH($C$30,'Сводный годовой график'!$B$1:$B$4),MATCH(DATE($AV$1,MONTH($B$24),S$3),'Сводный годовой график'!$C$7:$AR$7))&lt;&gt;12,INDIRECT(ADDRESS(ROW()+1,COLUMN()))="СП"),8,INDEX('Сводный годовой график'!$C$1:$AR$4,MATCH($C$30,'Сводный годовой график'!$B$1:$B$4),MATCH(DATE($AV$1,MONTH($B$24),S$3),'Сводный годовой график'!$C$7:$AR$7)))</f>
        <v>4</v>
      </c>
      <c r="T30" s="92">
        <f ca="1">IF(AND(INDEX('Сводный годовой график'!$C$1:$AR$4,MATCH($C$30,'Сводный годовой график'!$B$1:$B$4),MATCH(DATE($AV$1,MONTH($B$24),T$3),'Сводный годовой график'!$C$7:$AR$7))&lt;&gt;12,INDIRECT(ADDRESS(ROW()+1,COLUMN()))="СП"),8,INDEX('Сводный годовой график'!$C$1:$AR$4,MATCH($C$30,'Сводный годовой график'!$B$1:$B$4),MATCH(DATE($AV$1,MONTH($B$24),T$3),'Сводный годовой график'!$C$7:$AR$7)))</f>
        <v>8</v>
      </c>
      <c r="U30" s="92">
        <f ca="1">IF(AND(INDEX('Сводный годовой график'!$C$1:$AR$4,MATCH($C$30,'Сводный годовой график'!$B$1:$B$4),MATCH(DATE($AV$1,MONTH($B$24),U$3),'Сводный годовой график'!$C$7:$AR$7))&lt;&gt;12,INDIRECT(ADDRESS(ROW()+1,COLUMN()))="СП"),8,INDEX('Сводный годовой график'!$C$1:$AR$4,MATCH($C$30,'Сводный годовой график'!$B$1:$B$4),MATCH(DATE($AV$1,MONTH($B$24),U$3),'Сводный годовой график'!$C$7:$AR$7)))</f>
        <v>12</v>
      </c>
      <c r="V30" s="92">
        <f ca="1">IF(AND(INDEX('Сводный годовой график'!$C$1:$AR$4,MATCH($C$30,'Сводный годовой график'!$B$1:$B$4),MATCH(DATE($AV$1,MONTH($B$24),V$3),'Сводный годовой график'!$C$7:$AR$7))&lt;&gt;12,INDIRECT(ADDRESS(ROW()+1,COLUMN()))="СП"),8,INDEX('Сводный годовой график'!$C$1:$AR$4,MATCH($C$30,'Сводный годовой график'!$B$1:$B$4),MATCH(DATE($AV$1,MONTH($B$24),V$3),'Сводный годовой график'!$C$7:$AR$7)))</f>
        <v>0</v>
      </c>
      <c r="W30" s="92">
        <f ca="1">IF(AND(INDEX('Сводный годовой график'!$C$1:$AR$4,MATCH($C$30,'Сводный годовой график'!$B$1:$B$4),MATCH(DATE($AV$1,MONTH($B$24),W$3),'Сводный годовой график'!$C$7:$AR$7))&lt;&gt;12,INDIRECT(ADDRESS(ROW()+1,COLUMN()))="СП"),8,INDEX('Сводный годовой график'!$C$1:$AR$4,MATCH($C$30,'Сводный годовой график'!$B$1:$B$4),MATCH(DATE($AV$1,MONTH($B$24),W$3),'Сводный годовой график'!$C$7:$AR$7)))</f>
        <v>0</v>
      </c>
      <c r="X30" s="92">
        <f ca="1">IF(AND(INDEX('Сводный годовой график'!$C$1:$AR$4,MATCH($C$30,'Сводный годовой график'!$B$1:$B$4),MATCH(DATE($AV$1,MONTH($B$24),X$3),'Сводный годовой график'!$C$7:$AR$7))&lt;&gt;12,INDIRECT(ADDRESS(ROW()+1,COLUMN()))="СП"),8,INDEX('Сводный годовой график'!$C$1:$AR$4,MATCH($C$30,'Сводный годовой график'!$B$1:$B$4),MATCH(DATE($AV$1,MONTH($B$24),X$3),'Сводный годовой график'!$C$7:$AR$7)))</f>
        <v>4</v>
      </c>
      <c r="Y30" s="92">
        <f ca="1">IF(AND(INDEX('Сводный годовой график'!$C$1:$AR$4,MATCH($C$30,'Сводный годовой график'!$B$1:$B$4),MATCH(DATE($AV$1,MONTH($B$24),Y$3),'Сводный годовой график'!$C$7:$AR$7))&lt;&gt;12,INDIRECT(ADDRESS(ROW()+1,COLUMN()))="СП"),8,INDEX('Сводный годовой график'!$C$1:$AR$4,MATCH($C$30,'Сводный годовой график'!$B$1:$B$4),MATCH(DATE($AV$1,MONTH($B$24),Y$3),'Сводный годовой график'!$C$7:$AR$7)))</f>
        <v>8</v>
      </c>
      <c r="Z30" s="92">
        <f ca="1">IF(AND(INDEX('Сводный годовой график'!$C$1:$AR$4,MATCH($C$30,'Сводный годовой график'!$B$1:$B$4),MATCH(DATE($AV$1,MONTH($B$24),Z$3),'Сводный годовой график'!$C$7:$AR$7))&lt;&gt;12,INDIRECT(ADDRESS(ROW()+1,COLUMN()))="СП"),8,INDEX('Сводный годовой график'!$C$1:$AR$4,MATCH($C$30,'Сводный годовой график'!$B$1:$B$4),MATCH(DATE($AV$1,MONTH($B$24),Z$3),'Сводный годовой график'!$C$7:$AR$7)))</f>
        <v>12</v>
      </c>
      <c r="AA30" s="92">
        <f ca="1">IF(AND(INDEX('Сводный годовой график'!$C$1:$AR$4,MATCH($C$30,'Сводный годовой график'!$B$1:$B$4),MATCH(DATE($AV$1,MONTH($B$24),AA$3),'Сводный годовой график'!$C$7:$AR$7))&lt;&gt;12,INDIRECT(ADDRESS(ROW()+1,COLUMN()))="СП"),8,INDEX('Сводный годовой график'!$C$1:$AR$4,MATCH($C$30,'Сводный годовой график'!$B$1:$B$4),MATCH(DATE($AV$1,MONTH($B$24),AA$3),'Сводный годовой график'!$C$7:$AR$7)))</f>
        <v>4</v>
      </c>
      <c r="AB30" s="92">
        <f ca="1">IF(AND(INDEX('Сводный годовой график'!$C$1:$AR$4,MATCH($C$30,'Сводный годовой график'!$B$1:$B$4),MATCH(DATE($AV$1,MONTH($B$24),AB$3),'Сводный годовой график'!$C$7:$AR$7))&lt;&gt;12,INDIRECT(ADDRESS(ROW()+1,COLUMN()))="СП"),8,INDEX('Сводный годовой график'!$C$1:$AR$4,MATCH($C$30,'Сводный годовой график'!$B$1:$B$4),MATCH(DATE($AV$1,MONTH($B$24),AB$3),'Сводный годовой график'!$C$7:$AR$7)))</f>
        <v>8</v>
      </c>
      <c r="AC30" s="92">
        <f ca="1">IF(AND(INDEX('Сводный годовой график'!$C$1:$AR$4,MATCH($C$30,'Сводный годовой график'!$B$1:$B$4),MATCH(DATE($AV$1,MONTH($B$24),AC$3),'Сводный годовой график'!$C$7:$AR$7))&lt;&gt;12,INDIRECT(ADDRESS(ROW()+1,COLUMN()))="СП"),8,INDEX('Сводный годовой график'!$C$1:$AR$4,MATCH($C$30,'Сводный годовой график'!$B$1:$B$4),MATCH(DATE($AV$1,MONTH($B$24),AC$3),'Сводный годовой график'!$C$7:$AR$7)))</f>
        <v>12</v>
      </c>
      <c r="AD30" s="92">
        <f ca="1">IF(AND(INDEX('Сводный годовой график'!$C$1:$AR$4,MATCH($C$30,'Сводный годовой график'!$B$1:$B$4),MATCH(DATE($AV$1,MONTH($B$24),AD$3),'Сводный годовой график'!$C$7:$AR$7))&lt;&gt;12,INDIRECT(ADDRESS(ROW()+1,COLUMN()))="СП"),8,INDEX('Сводный годовой график'!$C$1:$AR$4,MATCH($C$30,'Сводный годовой график'!$B$1:$B$4),MATCH(DATE($AV$1,MONTH($B$24),AD$3),'Сводный годовой график'!$C$7:$AR$7)))</f>
        <v>0</v>
      </c>
      <c r="AE30" s="92">
        <f ca="1">IF(AND(INDEX('Сводный годовой график'!$C$1:$AR$4,MATCH($C$30,'Сводный годовой график'!$B$1:$B$4),MATCH(DATE($AV$1,MONTH($B$24),AE$3),'Сводный годовой график'!$C$7:$AR$7))&lt;&gt;12,INDIRECT(ADDRESS(ROW()+1,COLUMN()))="СП"),8,INDEX('Сводный годовой график'!$C$1:$AR$4,MATCH($C$30,'Сводный годовой график'!$B$1:$B$4),MATCH(DATE($AV$1,MONTH($B$24),AE$3),'Сводный годовой график'!$C$7:$AR$7)))</f>
        <v>0</v>
      </c>
      <c r="AF30" s="92">
        <f ca="1">IF(AND(INDEX('Сводный годовой график'!$C$1:$AR$4,MATCH($C$30,'Сводный годовой график'!$B$1:$B$4),MATCH(DATE($AV$1,MONTH($B$24),AF$3),'Сводный годовой график'!$C$7:$AR$7))&lt;&gt;12,INDIRECT(ADDRESS(ROW()+1,COLUMN()))="СП"),8,INDEX('Сводный годовой график'!$C$1:$AR$4,MATCH($C$30,'Сводный годовой график'!$B$1:$B$4),MATCH(DATE($AV$1,MONTH($B$24),AF$3),'Сводный годовой график'!$C$7:$AR$7)))</f>
        <v>4</v>
      </c>
      <c r="AG30" s="92">
        <f ca="1">IF(AND(INDEX('Сводный годовой график'!$C$1:$AR$4,MATCH($C$30,'Сводный годовой график'!$B$1:$B$4),MATCH(DATE($AV$1,MONTH($B$24),AG$3),'Сводный годовой график'!$C$7:$AR$7))&lt;&gt;12,INDIRECT(ADDRESS(ROW()+1,COLUMN()))="СП"),8,INDEX('Сводный годовой график'!$C$1:$AR$4,MATCH($C$30,'Сводный годовой график'!$B$1:$B$4),MATCH(DATE($AV$1,MONTH($B$24),AG$3),'Сводный годовой график'!$C$7:$AR$7)))</f>
        <v>8</v>
      </c>
      <c r="AH30" s="92">
        <f ca="1">IF(AND(INDEX('Сводный годовой график'!$C$1:$AR$4,MATCH($C$30,'Сводный годовой график'!$B$1:$B$4),MATCH(DATE($AV$1,MONTH($B$24),AH$3),'Сводный годовой график'!$C$7:$AR$7))&lt;&gt;12,INDIRECT(ADDRESS(ROW()+1,COLUMN()))="СП"),8,INDEX('Сводный годовой график'!$C$1:$AR$4,MATCH($C$30,'Сводный годовой график'!$B$1:$B$4),MATCH(DATE($AV$1,MONTH($B$24),AH$3),'Сводный годовой график'!$C$7:$AR$7)))</f>
        <v>12</v>
      </c>
      <c r="AI30" s="97">
        <f ca="1">IF(AND(INDEX('Сводный годовой график'!$C$1:$AR$4,MATCH($C$30,'Сводный годовой график'!$B$1:$B$4),MATCH(DATE($AV$1,MONTH($B$24),AI$3),'Сводный годовой график'!$C$7:$AR$7))&lt;&gt;12,INDIRECT(ADDRESS(ROW()+1,COLUMN()))="СП"),8,INDEX('Сводный годовой график'!$C$1:$AR$4,MATCH($C$30,'Сводный годовой график'!$B$1:$B$4),MATCH(DATE($AV$1,MONTH($B$24),AI$3),'Сводный годовой график'!$C$7:$AR$7)))</f>
        <v>4</v>
      </c>
      <c r="AJ30" s="206"/>
      <c r="AK30" s="209">
        <f>$AJ$24-SUM(AY30:CC31)</f>
        <v>167</v>
      </c>
      <c r="AL30" s="209">
        <f t="shared" ref="AL30" ca="1" si="48">SUM(E30:AI31)</f>
        <v>184</v>
      </c>
      <c r="AM30" s="209">
        <f ca="1">SUM(L30)</f>
        <v>8</v>
      </c>
      <c r="AN30" s="211">
        <f t="shared" ref="AN30" ca="1" si="49">-AM30-AK30+AL30</f>
        <v>9</v>
      </c>
      <c r="AO30" s="211">
        <v>0</v>
      </c>
      <c r="AP30" s="211">
        <f ca="1">AN30+AP20-AO30</f>
        <v>25</v>
      </c>
      <c r="AQ30" s="209">
        <v>0</v>
      </c>
      <c r="AR30" s="210">
        <v>1</v>
      </c>
      <c r="CK30" s="59"/>
      <c r="CL30" s="59"/>
      <c r="CM30" s="59"/>
      <c r="CN30" s="59"/>
      <c r="CO30" s="59"/>
      <c r="CP30" s="59"/>
      <c r="CQ30" s="59"/>
      <c r="CR30" s="59"/>
      <c r="CS30" s="59"/>
      <c r="CT30" s="59"/>
      <c r="CU30" s="59"/>
      <c r="CV30" s="59"/>
      <c r="CW30" s="59"/>
      <c r="CX30" s="59"/>
      <c r="CY30" s="59"/>
      <c r="CZ30" s="59"/>
      <c r="DA30" s="59"/>
      <c r="DB30" s="59"/>
      <c r="DC30" s="59"/>
      <c r="DD30" s="59"/>
      <c r="DE30" s="59"/>
      <c r="DF30" s="59"/>
      <c r="DG30" s="59"/>
      <c r="DH30" s="59"/>
      <c r="DI30" s="59"/>
      <c r="DJ30" s="59"/>
      <c r="DK30" s="59"/>
      <c r="DL30" s="59"/>
      <c r="DM30" s="59"/>
      <c r="DN30" s="59"/>
      <c r="DO30" s="59"/>
    </row>
    <row r="31" spans="2:119" ht="16.5" thickBot="1" x14ac:dyDescent="0.3">
      <c r="B31" s="201"/>
      <c r="C31" s="197"/>
      <c r="D31" s="82">
        <v>8</v>
      </c>
      <c r="E31" s="96" t="str">
        <f t="shared" ref="E31:AI31" si="50">IF(INDEX($CK$4:$DO$123,ROW()-3,E$3)=0,"","СП")</f>
        <v/>
      </c>
      <c r="F31" s="92" t="str">
        <f t="shared" si="50"/>
        <v/>
      </c>
      <c r="G31" s="92" t="str">
        <f t="shared" si="50"/>
        <v/>
      </c>
      <c r="H31" s="92" t="str">
        <f t="shared" si="50"/>
        <v/>
      </c>
      <c r="I31" s="92" t="str">
        <f t="shared" si="50"/>
        <v/>
      </c>
      <c r="J31" s="92" t="str">
        <f t="shared" si="50"/>
        <v>СП</v>
      </c>
      <c r="K31" s="92" t="str">
        <f t="shared" si="50"/>
        <v/>
      </c>
      <c r="L31" s="92" t="str">
        <f t="shared" si="50"/>
        <v/>
      </c>
      <c r="M31" s="92" t="str">
        <f t="shared" si="50"/>
        <v/>
      </c>
      <c r="N31" s="92" t="str">
        <f t="shared" si="50"/>
        <v/>
      </c>
      <c r="O31" s="92" t="str">
        <f t="shared" si="50"/>
        <v/>
      </c>
      <c r="P31" s="92" t="str">
        <f t="shared" si="50"/>
        <v/>
      </c>
      <c r="Q31" s="92" t="str">
        <f t="shared" si="50"/>
        <v/>
      </c>
      <c r="R31" s="92" t="str">
        <f t="shared" si="50"/>
        <v/>
      </c>
      <c r="S31" s="92" t="str">
        <f t="shared" si="50"/>
        <v/>
      </c>
      <c r="T31" s="92" t="str">
        <f t="shared" si="50"/>
        <v/>
      </c>
      <c r="U31" s="92" t="str">
        <f t="shared" si="50"/>
        <v/>
      </c>
      <c r="V31" s="92" t="str">
        <f t="shared" si="50"/>
        <v/>
      </c>
      <c r="W31" s="92" t="str">
        <f t="shared" si="50"/>
        <v/>
      </c>
      <c r="X31" s="92" t="str">
        <f t="shared" si="50"/>
        <v/>
      </c>
      <c r="Y31" s="92" t="str">
        <f t="shared" si="50"/>
        <v/>
      </c>
      <c r="Z31" s="92" t="str">
        <f t="shared" si="50"/>
        <v/>
      </c>
      <c r="AA31" s="92" t="str">
        <f t="shared" si="50"/>
        <v/>
      </c>
      <c r="AB31" s="92" t="str">
        <f t="shared" si="50"/>
        <v/>
      </c>
      <c r="AC31" s="92" t="str">
        <f t="shared" si="50"/>
        <v/>
      </c>
      <c r="AD31" s="92" t="str">
        <f t="shared" si="50"/>
        <v/>
      </c>
      <c r="AE31" s="92" t="str">
        <f t="shared" si="50"/>
        <v/>
      </c>
      <c r="AF31" s="92" t="str">
        <f t="shared" si="50"/>
        <v/>
      </c>
      <c r="AG31" s="92" t="str">
        <f t="shared" si="50"/>
        <v/>
      </c>
      <c r="AH31" s="92" t="str">
        <f t="shared" si="50"/>
        <v/>
      </c>
      <c r="AI31" s="97" t="str">
        <f t="shared" si="50"/>
        <v/>
      </c>
      <c r="AJ31" s="206"/>
      <c r="AK31" s="209"/>
      <c r="AL31" s="209"/>
      <c r="AM31" s="209"/>
      <c r="AN31" s="211"/>
      <c r="AO31" s="211"/>
      <c r="AP31" s="211"/>
      <c r="AQ31" s="209"/>
      <c r="AR31" s="210"/>
      <c r="CK31" s="58">
        <f>IF(DAY(INDEX('Сводный годовой график'!$BA$4:$BL$14,$C30,MONTH($B$24)))=E$3,1,0)</f>
        <v>0</v>
      </c>
      <c r="CL31" s="58">
        <f>IF(DAY(INDEX('Сводный годовой график'!$BA$4:$BL$14,$C30,MONTH($B$24)))=F$3,1,0)</f>
        <v>0</v>
      </c>
      <c r="CM31" s="58">
        <f>IF(DAY(INDEX('Сводный годовой график'!$BA$4:$BL$14,$C30,MONTH($B$24)))=G$3,1,0)</f>
        <v>0</v>
      </c>
      <c r="CN31" s="58">
        <f>IF(DAY(INDEX('Сводный годовой график'!$BA$4:$BL$14,$C30,MONTH($B$24)))=H$3,1,0)</f>
        <v>0</v>
      </c>
      <c r="CO31" s="58">
        <f>IF(DAY(INDEX('Сводный годовой график'!$BA$4:$BL$14,$C30,MONTH($B$24)))=I$3,1,0)</f>
        <v>0</v>
      </c>
      <c r="CP31" s="58">
        <f>IF(DAY(INDEX('Сводный годовой график'!$BA$4:$BL$14,$C30,MONTH($B$24)))=J$3,1,0)</f>
        <v>1</v>
      </c>
      <c r="CQ31" s="58">
        <f>IF(DAY(INDEX('Сводный годовой график'!$BA$4:$BL$14,$C30,MONTH($B$24)))=K$3,1,0)</f>
        <v>0</v>
      </c>
      <c r="CR31" s="58">
        <f>IF(DAY(INDEX('Сводный годовой график'!$BA$4:$BL$14,$C30,MONTH($B$24)))=L$3,1,0)</f>
        <v>0</v>
      </c>
      <c r="CS31" s="58">
        <f>IF(DAY(INDEX('Сводный годовой график'!$BA$4:$BL$14,$C30,MONTH($B$24)))=M$3,1,0)</f>
        <v>0</v>
      </c>
      <c r="CT31" s="58">
        <f>IF(DAY(INDEX('Сводный годовой график'!$BA$4:$BL$14,$C30,MONTH($B$24)))=N$3,1,0)</f>
        <v>0</v>
      </c>
      <c r="CU31" s="58">
        <f>IF(DAY(INDEX('Сводный годовой график'!$BA$4:$BL$14,$C30,MONTH($B$24)))=O$3,1,0)</f>
        <v>0</v>
      </c>
      <c r="CV31" s="58">
        <f>IF(DAY(INDEX('Сводный годовой график'!$BA$4:$BL$14,$C30,MONTH($B$24)))=P$3,1,0)</f>
        <v>0</v>
      </c>
      <c r="CW31" s="58">
        <f>IF(DAY(INDEX('Сводный годовой график'!$BA$4:$BL$14,$C30,MONTH($B$24)))=Q$3,1,0)</f>
        <v>0</v>
      </c>
      <c r="CX31" s="58">
        <f>IF(DAY(INDEX('Сводный годовой график'!$BA$4:$BL$14,$C30,MONTH($B$24)))=R$3,1,0)</f>
        <v>0</v>
      </c>
      <c r="CY31" s="58">
        <f>IF(DAY(INDEX('Сводный годовой график'!$BA$4:$BL$14,$C30,MONTH($B$24)))=S$3,1,0)</f>
        <v>0</v>
      </c>
      <c r="CZ31" s="58">
        <f>IF(DAY(INDEX('Сводный годовой график'!$BA$4:$BL$14,$C30,MONTH($B$24)))=T$3,1,0)</f>
        <v>0</v>
      </c>
      <c r="DA31" s="58">
        <f>IF(DAY(INDEX('Сводный годовой график'!$BA$4:$BL$14,$C30,MONTH($B$24)))=U$3,1,0)</f>
        <v>0</v>
      </c>
      <c r="DB31" s="58">
        <f>IF(DAY(INDEX('Сводный годовой график'!$BA$4:$BL$14,$C30,MONTH($B$24)))=V$3,1,0)</f>
        <v>0</v>
      </c>
      <c r="DC31" s="58">
        <f>IF(DAY(INDEX('Сводный годовой график'!$BA$4:$BL$14,$C30,MONTH($B$24)))=W$3,1,0)</f>
        <v>0</v>
      </c>
      <c r="DD31" s="58">
        <f>IF(DAY(INDEX('Сводный годовой график'!$BA$4:$BL$14,$C30,MONTH($B$24)))=X$3,1,0)</f>
        <v>0</v>
      </c>
      <c r="DE31" s="58">
        <f>IF(DAY(INDEX('Сводный годовой график'!$BA$4:$BL$14,$C30,MONTH($B$24)))=Y$3,1,0)</f>
        <v>0</v>
      </c>
      <c r="DF31" s="58">
        <f>IF(DAY(INDEX('Сводный годовой график'!$BA$4:$BL$14,$C30,MONTH($B$24)))=Z$3,1,0)</f>
        <v>0</v>
      </c>
      <c r="DG31" s="58">
        <f>IF(DAY(INDEX('Сводный годовой график'!$BA$4:$BL$14,$C30,MONTH($B$24)))=AA$3,1,0)</f>
        <v>0</v>
      </c>
      <c r="DH31" s="58">
        <f>IF(DAY(INDEX('Сводный годовой график'!$BA$4:$BL$14,$C30,MONTH($B$24)))=AB$3,1,0)</f>
        <v>0</v>
      </c>
      <c r="DI31" s="58">
        <f>IF(DAY(INDEX('Сводный годовой график'!$BA$4:$BL$14,$C30,MONTH($B$24)))=AC$3,1,0)</f>
        <v>0</v>
      </c>
      <c r="DJ31" s="58">
        <f>IF(DAY(INDEX('Сводный годовой график'!$BA$4:$BL$14,$C30,MONTH($B$24)))=AD$3,1,0)</f>
        <v>0</v>
      </c>
      <c r="DK31" s="58">
        <f>IF(DAY(INDEX('Сводный годовой график'!$BA$4:$BL$14,$C30,MONTH($B$24)))=AE$3,1,0)</f>
        <v>0</v>
      </c>
      <c r="DL31" s="58">
        <f>IF(DAY(INDEX('Сводный годовой график'!$BA$4:$BL$14,$C30,MONTH($B$24)))=AF$3,1,0)</f>
        <v>0</v>
      </c>
      <c r="DM31" s="58">
        <f>IF(DAY(INDEX('Сводный годовой график'!$BA$4:$BL$14,$C30,MONTH($B$24)))=AG$3,1,0)</f>
        <v>0</v>
      </c>
      <c r="DN31" s="58">
        <f>IF(DAY(INDEX('Сводный годовой график'!$BA$4:$BL$14,$C30,MONTH($B$24)))=AH$3,1,0)</f>
        <v>0</v>
      </c>
      <c r="DO31" s="58">
        <f>IF(DAY(INDEX('Сводный годовой график'!$BA$4:$BL$14,$C30,MONTH($B$24)))=AI$3,1,0)</f>
        <v>0</v>
      </c>
    </row>
    <row r="32" spans="2:119" ht="16.5" thickBot="1" x14ac:dyDescent="0.3">
      <c r="B32" s="201"/>
      <c r="C32" s="196">
        <v>5</v>
      </c>
      <c r="D32" s="81">
        <v>9</v>
      </c>
      <c r="E32" s="96" t="s">
        <v>36</v>
      </c>
      <c r="F32" s="92" t="s">
        <v>36</v>
      </c>
      <c r="G32" s="92" t="s">
        <v>36</v>
      </c>
      <c r="H32" s="92" t="s">
        <v>36</v>
      </c>
      <c r="I32" s="92" t="s">
        <v>36</v>
      </c>
      <c r="J32" s="92" t="s">
        <v>36</v>
      </c>
      <c r="K32" s="92" t="s">
        <v>36</v>
      </c>
      <c r="L32" s="92" t="s">
        <v>36</v>
      </c>
      <c r="M32" s="92" t="s">
        <v>36</v>
      </c>
      <c r="N32" s="92" t="s">
        <v>36</v>
      </c>
      <c r="O32" s="92" t="s">
        <v>36</v>
      </c>
      <c r="P32" s="92" t="s">
        <v>36</v>
      </c>
      <c r="Q32" s="92" t="s">
        <v>36</v>
      </c>
      <c r="R32" s="92" t="s">
        <v>36</v>
      </c>
      <c r="S32" s="92" t="s">
        <v>36</v>
      </c>
      <c r="T32" s="92" t="s">
        <v>36</v>
      </c>
      <c r="U32" s="92" t="s">
        <v>36</v>
      </c>
      <c r="V32" s="92" t="s">
        <v>36</v>
      </c>
      <c r="W32" s="92" t="s">
        <v>36</v>
      </c>
      <c r="X32" s="92" t="s">
        <v>36</v>
      </c>
      <c r="Y32" s="92" t="s">
        <v>36</v>
      </c>
      <c r="Z32" s="92" t="s">
        <v>36</v>
      </c>
      <c r="AA32" s="92" t="s">
        <v>36</v>
      </c>
      <c r="AB32" s="92" t="s">
        <v>36</v>
      </c>
      <c r="AC32" s="92" t="s">
        <v>36</v>
      </c>
      <c r="AD32" s="92" t="s">
        <v>36</v>
      </c>
      <c r="AE32" s="92" t="s">
        <v>36</v>
      </c>
      <c r="AF32" s="92" t="s">
        <v>36</v>
      </c>
      <c r="AG32" s="92" t="s">
        <v>36</v>
      </c>
      <c r="AH32" s="92" t="s">
        <v>36</v>
      </c>
      <c r="AI32" s="97" t="s">
        <v>36</v>
      </c>
      <c r="AJ32" s="206"/>
      <c r="AK32" s="209">
        <f>$AJ$24-SUM(AY32:CC33)</f>
        <v>167</v>
      </c>
      <c r="AL32" s="209">
        <f t="shared" ref="AL32" si="51">SUM(E32:AI33)</f>
        <v>0</v>
      </c>
      <c r="AM32" s="209">
        <f>SUM(L32)</f>
        <v>0</v>
      </c>
      <c r="AN32" s="211">
        <f t="shared" ref="AN32" si="52">-AM32-AK32+AL32</f>
        <v>-167</v>
      </c>
      <c r="AO32" s="211">
        <v>12</v>
      </c>
      <c r="AP32" s="211">
        <f>AN32+AP22-AO32</f>
        <v>-475</v>
      </c>
      <c r="AQ32" s="209">
        <v>0</v>
      </c>
      <c r="AR32" s="210">
        <v>1</v>
      </c>
      <c r="CK32" s="59"/>
      <c r="CL32" s="59"/>
      <c r="CM32" s="59"/>
      <c r="CN32" s="59"/>
      <c r="CO32" s="59"/>
      <c r="CP32" s="59"/>
      <c r="CQ32" s="59"/>
      <c r="CR32" s="59"/>
      <c r="CS32" s="59"/>
      <c r="CT32" s="59"/>
      <c r="CU32" s="59"/>
      <c r="CV32" s="59"/>
      <c r="CW32" s="59"/>
      <c r="CX32" s="59"/>
      <c r="CY32" s="59"/>
      <c r="CZ32" s="59"/>
      <c r="DA32" s="59"/>
      <c r="DB32" s="59"/>
      <c r="DC32" s="59"/>
      <c r="DD32" s="59"/>
      <c r="DE32" s="59"/>
      <c r="DF32" s="59"/>
      <c r="DG32" s="59"/>
      <c r="DH32" s="59"/>
      <c r="DI32" s="59"/>
      <c r="DJ32" s="59"/>
      <c r="DK32" s="59"/>
      <c r="DL32" s="59"/>
      <c r="DM32" s="59"/>
      <c r="DN32" s="59"/>
      <c r="DO32" s="59"/>
    </row>
    <row r="33" spans="2:119" ht="16.5" thickBot="1" x14ac:dyDescent="0.3">
      <c r="B33" s="202"/>
      <c r="C33" s="212"/>
      <c r="D33" s="99">
        <v>10</v>
      </c>
      <c r="E33" s="87" t="str">
        <f t="shared" ref="E33:AI33" si="53">IF(INDEX($CK$4:$DO$123,ROW()-3,E$3)=0,"","СП")</f>
        <v/>
      </c>
      <c r="F33" s="30" t="str">
        <f t="shared" si="53"/>
        <v/>
      </c>
      <c r="G33" s="30" t="str">
        <f t="shared" si="53"/>
        <v/>
      </c>
      <c r="H33" s="30" t="str">
        <f t="shared" si="53"/>
        <v/>
      </c>
      <c r="I33" s="30" t="str">
        <f t="shared" si="53"/>
        <v/>
      </c>
      <c r="J33" s="30" t="str">
        <f t="shared" si="53"/>
        <v/>
      </c>
      <c r="K33" s="30" t="str">
        <f t="shared" si="53"/>
        <v>СП</v>
      </c>
      <c r="L33" s="30" t="str">
        <f t="shared" si="53"/>
        <v/>
      </c>
      <c r="M33" s="30" t="str">
        <f t="shared" si="53"/>
        <v/>
      </c>
      <c r="N33" s="30" t="str">
        <f t="shared" si="53"/>
        <v/>
      </c>
      <c r="O33" s="30" t="str">
        <f t="shared" si="53"/>
        <v/>
      </c>
      <c r="P33" s="30" t="str">
        <f t="shared" si="53"/>
        <v/>
      </c>
      <c r="Q33" s="30" t="str">
        <f t="shared" si="53"/>
        <v/>
      </c>
      <c r="R33" s="30" t="str">
        <f t="shared" si="53"/>
        <v/>
      </c>
      <c r="S33" s="30" t="str">
        <f t="shared" si="53"/>
        <v/>
      </c>
      <c r="T33" s="30" t="str">
        <f t="shared" si="53"/>
        <v/>
      </c>
      <c r="U33" s="30" t="str">
        <f t="shared" si="53"/>
        <v/>
      </c>
      <c r="V33" s="30" t="str">
        <f t="shared" si="53"/>
        <v/>
      </c>
      <c r="W33" s="30" t="str">
        <f t="shared" si="53"/>
        <v/>
      </c>
      <c r="X33" s="30" t="str">
        <f t="shared" si="53"/>
        <v/>
      </c>
      <c r="Y33" s="30" t="str">
        <f t="shared" si="53"/>
        <v/>
      </c>
      <c r="Z33" s="30" t="str">
        <f t="shared" si="53"/>
        <v/>
      </c>
      <c r="AA33" s="30" t="str">
        <f t="shared" si="53"/>
        <v/>
      </c>
      <c r="AB33" s="30" t="str">
        <f t="shared" si="53"/>
        <v/>
      </c>
      <c r="AC33" s="30" t="str">
        <f t="shared" si="53"/>
        <v/>
      </c>
      <c r="AD33" s="30" t="str">
        <f t="shared" si="53"/>
        <v/>
      </c>
      <c r="AE33" s="30" t="str">
        <f t="shared" si="53"/>
        <v/>
      </c>
      <c r="AF33" s="30" t="str">
        <f t="shared" si="53"/>
        <v/>
      </c>
      <c r="AG33" s="30" t="str">
        <f t="shared" si="53"/>
        <v/>
      </c>
      <c r="AH33" s="30" t="str">
        <f t="shared" si="53"/>
        <v/>
      </c>
      <c r="AI33" s="91" t="str">
        <f t="shared" si="53"/>
        <v/>
      </c>
      <c r="AJ33" s="207"/>
      <c r="AK33" s="213"/>
      <c r="AL33" s="213"/>
      <c r="AM33" s="213"/>
      <c r="AN33" s="214"/>
      <c r="AO33" s="214"/>
      <c r="AP33" s="214"/>
      <c r="AQ33" s="213"/>
      <c r="AR33" s="215"/>
      <c r="CK33" s="58">
        <f>IF(DAY(INDEX('Сводный годовой график'!$BA$4:$BL$14,$C32,MONTH($B$24)))=E$3,1,0)</f>
        <v>0</v>
      </c>
      <c r="CL33" s="58">
        <f>IF(DAY(INDEX('Сводный годовой график'!$BA$4:$BL$14,$C32,MONTH($B$24)))=F$3,1,0)</f>
        <v>0</v>
      </c>
      <c r="CM33" s="58">
        <f>IF(DAY(INDEX('Сводный годовой график'!$BA$4:$BL$14,$C32,MONTH($B$24)))=G$3,1,0)</f>
        <v>0</v>
      </c>
      <c r="CN33" s="58">
        <f>IF(DAY(INDEX('Сводный годовой график'!$BA$4:$BL$14,$C32,MONTH($B$24)))=H$3,1,0)</f>
        <v>0</v>
      </c>
      <c r="CO33" s="58">
        <f>IF(DAY(INDEX('Сводный годовой график'!$BA$4:$BL$14,$C32,MONTH($B$24)))=I$3,1,0)</f>
        <v>0</v>
      </c>
      <c r="CP33" s="58">
        <f>IF(DAY(INDEX('Сводный годовой график'!$BA$4:$BL$14,$C32,MONTH($B$24)))=J$3,1,0)</f>
        <v>0</v>
      </c>
      <c r="CQ33" s="58">
        <f>IF(DAY(INDEX('Сводный годовой график'!$BA$4:$BL$14,$C32,MONTH($B$24)))=K$3,1,0)</f>
        <v>1</v>
      </c>
      <c r="CR33" s="58">
        <f>IF(DAY(INDEX('Сводный годовой график'!$BA$4:$BL$14,$C32,MONTH($B$24)))=L$3,1,0)</f>
        <v>0</v>
      </c>
      <c r="CS33" s="58">
        <f>IF(DAY(INDEX('Сводный годовой график'!$BA$4:$BL$14,$C32,MONTH($B$24)))=M$3,1,0)</f>
        <v>0</v>
      </c>
      <c r="CT33" s="58">
        <f>IF(DAY(INDEX('Сводный годовой график'!$BA$4:$BL$14,$C32,MONTH($B$24)))=N$3,1,0)</f>
        <v>0</v>
      </c>
      <c r="CU33" s="58">
        <f>IF(DAY(INDEX('Сводный годовой график'!$BA$4:$BL$14,$C32,MONTH($B$24)))=O$3,1,0)</f>
        <v>0</v>
      </c>
      <c r="CV33" s="58">
        <f>IF(DAY(INDEX('Сводный годовой график'!$BA$4:$BL$14,$C32,MONTH($B$24)))=P$3,1,0)</f>
        <v>0</v>
      </c>
      <c r="CW33" s="58">
        <f>IF(DAY(INDEX('Сводный годовой график'!$BA$4:$BL$14,$C32,MONTH($B$24)))=Q$3,1,0)</f>
        <v>0</v>
      </c>
      <c r="CX33" s="58">
        <f>IF(DAY(INDEX('Сводный годовой график'!$BA$4:$BL$14,$C32,MONTH($B$24)))=R$3,1,0)</f>
        <v>0</v>
      </c>
      <c r="CY33" s="58">
        <f>IF(DAY(INDEX('Сводный годовой график'!$BA$4:$BL$14,$C32,MONTH($B$24)))=S$3,1,0)</f>
        <v>0</v>
      </c>
      <c r="CZ33" s="58">
        <f>IF(DAY(INDEX('Сводный годовой график'!$BA$4:$BL$14,$C32,MONTH($B$24)))=T$3,1,0)</f>
        <v>0</v>
      </c>
      <c r="DA33" s="58">
        <f>IF(DAY(INDEX('Сводный годовой график'!$BA$4:$BL$14,$C32,MONTH($B$24)))=U$3,1,0)</f>
        <v>0</v>
      </c>
      <c r="DB33" s="58">
        <f>IF(DAY(INDEX('Сводный годовой график'!$BA$4:$BL$14,$C32,MONTH($B$24)))=V$3,1,0)</f>
        <v>0</v>
      </c>
      <c r="DC33" s="58">
        <f>IF(DAY(INDEX('Сводный годовой график'!$BA$4:$BL$14,$C32,MONTH($B$24)))=W$3,1,0)</f>
        <v>0</v>
      </c>
      <c r="DD33" s="58">
        <f>IF(DAY(INDEX('Сводный годовой график'!$BA$4:$BL$14,$C32,MONTH($B$24)))=X$3,1,0)</f>
        <v>0</v>
      </c>
      <c r="DE33" s="58">
        <f>IF(DAY(INDEX('Сводный годовой график'!$BA$4:$BL$14,$C32,MONTH($B$24)))=Y$3,1,0)</f>
        <v>0</v>
      </c>
      <c r="DF33" s="58">
        <f>IF(DAY(INDEX('Сводный годовой график'!$BA$4:$BL$14,$C32,MONTH($B$24)))=Z$3,1,0)</f>
        <v>0</v>
      </c>
      <c r="DG33" s="58">
        <f>IF(DAY(INDEX('Сводный годовой график'!$BA$4:$BL$14,$C32,MONTH($B$24)))=AA$3,1,0)</f>
        <v>0</v>
      </c>
      <c r="DH33" s="58">
        <f>IF(DAY(INDEX('Сводный годовой график'!$BA$4:$BL$14,$C32,MONTH($B$24)))=AB$3,1,0)</f>
        <v>0</v>
      </c>
      <c r="DI33" s="58">
        <f>IF(DAY(INDEX('Сводный годовой график'!$BA$4:$BL$14,$C32,MONTH($B$24)))=AC$3,1,0)</f>
        <v>0</v>
      </c>
      <c r="DJ33" s="58">
        <f>IF(DAY(INDEX('Сводный годовой график'!$BA$4:$BL$14,$C32,MONTH($B$24)))=AD$3,1,0)</f>
        <v>0</v>
      </c>
      <c r="DK33" s="58">
        <f>IF(DAY(INDEX('Сводный годовой график'!$BA$4:$BL$14,$C32,MONTH($B$24)))=AE$3,1,0)</f>
        <v>0</v>
      </c>
      <c r="DL33" s="58">
        <f>IF(DAY(INDEX('Сводный годовой график'!$BA$4:$BL$14,$C32,MONTH($B$24)))=AF$3,1,0)</f>
        <v>0</v>
      </c>
      <c r="DM33" s="58">
        <f>IF(DAY(INDEX('Сводный годовой график'!$BA$4:$BL$14,$C32,MONTH($B$24)))=AG$3,1,0)</f>
        <v>0</v>
      </c>
      <c r="DN33" s="58">
        <f>IF(DAY(INDEX('Сводный годовой график'!$BA$4:$BL$14,$C32,MONTH($B$24)))=AH$3,1,0)</f>
        <v>0</v>
      </c>
      <c r="DO33" s="58">
        <f>IF(DAY(INDEX('Сводный годовой график'!$BA$4:$BL$14,$C32,MONTH($B$24)))=AI$3,1,0)</f>
        <v>0</v>
      </c>
    </row>
    <row r="34" spans="2:119" ht="17.25" customHeight="1" thickTop="1" thickBot="1" x14ac:dyDescent="0.3">
      <c r="B34" s="200">
        <f>DATE($AV$1,4,1)</f>
        <v>45748</v>
      </c>
      <c r="C34" s="196">
        <v>1</v>
      </c>
      <c r="D34" s="81">
        <v>1</v>
      </c>
      <c r="E34" s="83">
        <f ca="1">IF(AND(INDEX('Сводный годовой график'!$C$1:$AR$4,MATCH($C$34,'Сводный годовой график'!$B$1:$B$4),MATCH(DATE($AV$1,MONTH($B$34),E$3),'Сводный годовой график'!$C$8:$AR$8))&lt;&gt;12,INDIRECT(ADDRESS(ROW()+1,COLUMN()))="СП"),8,INDEX('Сводный годовой график'!$C$1:$AR$4,MATCH($C$34,'Сводный годовой график'!$B$1:$B$4),MATCH(DATE($AV$1,MONTH($B$34),E$3),'Сводный годовой график'!$C$8:$AR$8)))</f>
        <v>4</v>
      </c>
      <c r="F34" s="28">
        <f ca="1">IF(AND(INDEX('Сводный годовой график'!$C$1:$AR$4,MATCH($C$34,'Сводный годовой график'!$B$1:$B$4),MATCH(DATE($AV$1,MONTH($B$34),F$3),'Сводный годовой график'!$C$8:$AR$8))&lt;&gt;12,INDIRECT(ADDRESS(ROW()+1,COLUMN()))="СП"),8,INDEX('Сводный годовой график'!$C$1:$AR$4,MATCH($C$34,'Сводный годовой график'!$B$1:$B$4),MATCH(DATE($AV$1,MONTH($B$34),F$3),'Сводный годовой график'!$C$8:$AR$8)))</f>
        <v>8</v>
      </c>
      <c r="G34" s="28">
        <f ca="1">IF(AND(INDEX('Сводный годовой график'!$C$1:$AR$4,MATCH($C$34,'Сводный годовой график'!$B$1:$B$4),MATCH(DATE($AV$1,MONTH($B$34),G$3),'Сводный годовой график'!$C$8:$AR$8))&lt;&gt;12,INDIRECT(ADDRESS(ROW()+1,COLUMN()))="СП"),8,INDEX('Сводный годовой график'!$C$1:$AR$4,MATCH($C$34,'Сводный годовой график'!$B$1:$B$4),MATCH(DATE($AV$1,MONTH($B$34),G$3),'Сводный годовой график'!$C$8:$AR$8)))</f>
        <v>12</v>
      </c>
      <c r="H34" s="28">
        <f ca="1">IF(AND(INDEX('Сводный годовой график'!$C$1:$AR$4,MATCH($C$34,'Сводный годовой график'!$B$1:$B$4),MATCH(DATE($AV$1,MONTH($B$34),H$3),'Сводный годовой график'!$C$8:$AR$8))&lt;&gt;12,INDIRECT(ADDRESS(ROW()+1,COLUMN()))="СП"),8,INDEX('Сводный годовой график'!$C$1:$AR$4,MATCH($C$34,'Сводный годовой график'!$B$1:$B$4),MATCH(DATE($AV$1,MONTH($B$34),H$3),'Сводный годовой график'!$C$8:$AR$8)))</f>
        <v>8</v>
      </c>
      <c r="I34" s="28">
        <f ca="1">IF(AND(INDEX('Сводный годовой график'!$C$1:$AR$4,MATCH($C$34,'Сводный годовой график'!$B$1:$B$4),MATCH(DATE($AV$1,MONTH($B$34),I$3),'Сводный годовой график'!$C$8:$AR$8))&lt;&gt;12,INDIRECT(ADDRESS(ROW()+1,COLUMN()))="СП"),8,INDEX('Сводный годовой график'!$C$1:$AR$4,MATCH($C$34,'Сводный годовой график'!$B$1:$B$4),MATCH(DATE($AV$1,MONTH($B$34),I$3),'Сводный годовой график'!$C$8:$AR$8)))</f>
        <v>8</v>
      </c>
      <c r="J34" s="28">
        <f ca="1">IF(AND(INDEX('Сводный годовой график'!$C$1:$AR$4,MATCH($C$34,'Сводный годовой график'!$B$1:$B$4),MATCH(DATE($AV$1,MONTH($B$34),J$3),'Сводный годовой график'!$C$8:$AR$8))&lt;&gt;12,INDIRECT(ADDRESS(ROW()+1,COLUMN()))="СП"),8,INDEX('Сводный годовой график'!$C$1:$AR$4,MATCH($C$34,'Сводный годовой график'!$B$1:$B$4),MATCH(DATE($AV$1,MONTH($B$34),J$3),'Сводный годовой график'!$C$8:$AR$8)))</f>
        <v>12</v>
      </c>
      <c r="K34" s="28">
        <f ca="1">IF(AND(INDEX('Сводный годовой график'!$C$1:$AR$4,MATCH($C$34,'Сводный годовой график'!$B$1:$B$4),MATCH(DATE($AV$1,MONTH($B$34),K$3),'Сводный годовой график'!$C$8:$AR$8))&lt;&gt;12,INDIRECT(ADDRESS(ROW()+1,COLUMN()))="СП"),8,INDEX('Сводный годовой график'!$C$1:$AR$4,MATCH($C$34,'Сводный годовой график'!$B$1:$B$4),MATCH(DATE($AV$1,MONTH($B$34),K$3),'Сводный годовой график'!$C$8:$AR$8)))</f>
        <v>0</v>
      </c>
      <c r="L34" s="28">
        <f ca="1">IF(AND(INDEX('Сводный годовой график'!$C$1:$AR$4,MATCH($C$34,'Сводный годовой график'!$B$1:$B$4),MATCH(DATE($AV$1,MONTH($B$34),L$3),'Сводный годовой график'!$C$8:$AR$8))&lt;&gt;12,INDIRECT(ADDRESS(ROW()+1,COLUMN()))="СП"),8,INDEX('Сводный годовой график'!$C$1:$AR$4,MATCH($C$34,'Сводный годовой график'!$B$1:$B$4),MATCH(DATE($AV$1,MONTH($B$34),L$3),'Сводный годовой график'!$C$8:$AR$8)))</f>
        <v>0</v>
      </c>
      <c r="M34" s="28">
        <f ca="1">IF(AND(INDEX('Сводный годовой график'!$C$1:$AR$4,MATCH($C$34,'Сводный годовой график'!$B$1:$B$4),MATCH(DATE($AV$1,MONTH($B$34),M$3),'Сводный годовой график'!$C$8:$AR$8))&lt;&gt;12,INDIRECT(ADDRESS(ROW()+1,COLUMN()))="СП"),8,INDEX('Сводный годовой график'!$C$1:$AR$4,MATCH($C$34,'Сводный годовой график'!$B$1:$B$4),MATCH(DATE($AV$1,MONTH($B$34),M$3),'Сводный годовой график'!$C$8:$AR$8)))</f>
        <v>4</v>
      </c>
      <c r="N34" s="28">
        <f ca="1">IF(AND(INDEX('Сводный годовой график'!$C$1:$AR$4,MATCH($C$34,'Сводный годовой график'!$B$1:$B$4),MATCH(DATE($AV$1,MONTH($B$34),N$3),'Сводный годовой график'!$C$8:$AR$8))&lt;&gt;12,INDIRECT(ADDRESS(ROW()+1,COLUMN()))="СП"),8,INDEX('Сводный годовой график'!$C$1:$AR$4,MATCH($C$34,'Сводный годовой график'!$B$1:$B$4),MATCH(DATE($AV$1,MONTH($B$34),N$3),'Сводный годовой график'!$C$8:$AR$8)))</f>
        <v>8</v>
      </c>
      <c r="O34" s="28">
        <f ca="1">IF(AND(INDEX('Сводный годовой график'!$C$1:$AR$4,MATCH($C$34,'Сводный годовой график'!$B$1:$B$4),MATCH(DATE($AV$1,MONTH($B$34),O$3),'Сводный годовой график'!$C$8:$AR$8))&lt;&gt;12,INDIRECT(ADDRESS(ROW()+1,COLUMN()))="СП"),8,INDEX('Сводный годовой график'!$C$1:$AR$4,MATCH($C$34,'Сводный годовой график'!$B$1:$B$4),MATCH(DATE($AV$1,MONTH($B$34),O$3),'Сводный годовой график'!$C$8:$AR$8)))</f>
        <v>12</v>
      </c>
      <c r="P34" s="28">
        <f ca="1">IF(AND(INDEX('Сводный годовой график'!$C$1:$AR$4,MATCH($C$34,'Сводный годовой график'!$B$1:$B$4),MATCH(DATE($AV$1,MONTH($B$34),P$3),'Сводный годовой график'!$C$8:$AR$8))&lt;&gt;12,INDIRECT(ADDRESS(ROW()+1,COLUMN()))="СП"),8,INDEX('Сводный годовой график'!$C$1:$AR$4,MATCH($C$34,'Сводный годовой график'!$B$1:$B$4),MATCH(DATE($AV$1,MONTH($B$34),P$3),'Сводный годовой график'!$C$8:$AR$8)))</f>
        <v>4</v>
      </c>
      <c r="Q34" s="28">
        <f ca="1">IF(AND(INDEX('Сводный годовой график'!$C$1:$AR$4,MATCH($C$34,'Сводный годовой график'!$B$1:$B$4),MATCH(DATE($AV$1,MONTH($B$34),Q$3),'Сводный годовой график'!$C$8:$AR$8))&lt;&gt;12,INDIRECT(ADDRESS(ROW()+1,COLUMN()))="СП"),8,INDEX('Сводный годовой график'!$C$1:$AR$4,MATCH($C$34,'Сводный годовой график'!$B$1:$B$4),MATCH(DATE($AV$1,MONTH($B$34),Q$3),'Сводный годовой график'!$C$8:$AR$8)))</f>
        <v>8</v>
      </c>
      <c r="R34" s="28">
        <f ca="1">IF(AND(INDEX('Сводный годовой график'!$C$1:$AR$4,MATCH($C$34,'Сводный годовой график'!$B$1:$B$4),MATCH(DATE($AV$1,MONTH($B$34),R$3),'Сводный годовой график'!$C$8:$AR$8))&lt;&gt;12,INDIRECT(ADDRESS(ROW()+1,COLUMN()))="СП"),8,INDEX('Сводный годовой график'!$C$1:$AR$4,MATCH($C$34,'Сводный годовой график'!$B$1:$B$4),MATCH(DATE($AV$1,MONTH($B$34),R$3),'Сводный годовой график'!$C$8:$AR$8)))</f>
        <v>12</v>
      </c>
      <c r="S34" s="28">
        <f ca="1">IF(AND(INDEX('Сводный годовой график'!$C$1:$AR$4,MATCH($C$34,'Сводный годовой график'!$B$1:$B$4),MATCH(DATE($AV$1,MONTH($B$34),S$3),'Сводный годовой график'!$C$8:$AR$8))&lt;&gt;12,INDIRECT(ADDRESS(ROW()+1,COLUMN()))="СП"),8,INDEX('Сводный годовой график'!$C$1:$AR$4,MATCH($C$34,'Сводный годовой график'!$B$1:$B$4),MATCH(DATE($AV$1,MONTH($B$34),S$3),'Сводный годовой график'!$C$8:$AR$8)))</f>
        <v>0</v>
      </c>
      <c r="T34" s="28">
        <f ca="1">IF(AND(INDEX('Сводный годовой график'!$C$1:$AR$4,MATCH($C$34,'Сводный годовой график'!$B$1:$B$4),MATCH(DATE($AV$1,MONTH($B$34),T$3),'Сводный годовой график'!$C$8:$AR$8))&lt;&gt;12,INDIRECT(ADDRESS(ROW()+1,COLUMN()))="СП"),8,INDEX('Сводный годовой график'!$C$1:$AR$4,MATCH($C$34,'Сводный годовой график'!$B$1:$B$4),MATCH(DATE($AV$1,MONTH($B$34),T$3),'Сводный годовой график'!$C$8:$AR$8)))</f>
        <v>0</v>
      </c>
      <c r="U34" s="28">
        <f ca="1">IF(AND(INDEX('Сводный годовой график'!$C$1:$AR$4,MATCH($C$34,'Сводный годовой график'!$B$1:$B$4),MATCH(DATE($AV$1,MONTH($B$34),U$3),'Сводный годовой график'!$C$8:$AR$8))&lt;&gt;12,INDIRECT(ADDRESS(ROW()+1,COLUMN()))="СП"),8,INDEX('Сводный годовой график'!$C$1:$AR$4,MATCH($C$34,'Сводный годовой график'!$B$1:$B$4),MATCH(DATE($AV$1,MONTH($B$34),U$3),'Сводный годовой график'!$C$8:$AR$8)))</f>
        <v>4</v>
      </c>
      <c r="V34" s="28">
        <f ca="1">IF(AND(INDEX('Сводный годовой график'!$C$1:$AR$4,MATCH($C$34,'Сводный годовой график'!$B$1:$B$4),MATCH(DATE($AV$1,MONTH($B$34),V$3),'Сводный годовой график'!$C$8:$AR$8))&lt;&gt;12,INDIRECT(ADDRESS(ROW()+1,COLUMN()))="СП"),8,INDEX('Сводный годовой график'!$C$1:$AR$4,MATCH($C$34,'Сводный годовой график'!$B$1:$B$4),MATCH(DATE($AV$1,MONTH($B$34),V$3),'Сводный годовой график'!$C$8:$AR$8)))</f>
        <v>8</v>
      </c>
      <c r="W34" s="28">
        <f ca="1">IF(AND(INDEX('Сводный годовой график'!$C$1:$AR$4,MATCH($C$34,'Сводный годовой график'!$B$1:$B$4),MATCH(DATE($AV$1,MONTH($B$34),W$3),'Сводный годовой график'!$C$8:$AR$8))&lt;&gt;12,INDIRECT(ADDRESS(ROW()+1,COLUMN()))="СП"),8,INDEX('Сводный годовой график'!$C$1:$AR$4,MATCH($C$34,'Сводный годовой график'!$B$1:$B$4),MATCH(DATE($AV$1,MONTH($B$34),W$3),'Сводный годовой график'!$C$8:$AR$8)))</f>
        <v>12</v>
      </c>
      <c r="X34" s="28">
        <f ca="1">IF(AND(INDEX('Сводный годовой график'!$C$1:$AR$4,MATCH($C$34,'Сводный годовой график'!$B$1:$B$4),MATCH(DATE($AV$1,MONTH($B$34),X$3),'Сводный годовой график'!$C$8:$AR$8))&lt;&gt;12,INDIRECT(ADDRESS(ROW()+1,COLUMN()))="СП"),8,INDEX('Сводный годовой график'!$C$1:$AR$4,MATCH($C$34,'Сводный годовой график'!$B$1:$B$4),MATCH(DATE($AV$1,MONTH($B$34),X$3),'Сводный годовой график'!$C$8:$AR$8)))</f>
        <v>4</v>
      </c>
      <c r="Y34" s="28">
        <f ca="1">IF(AND(INDEX('Сводный годовой график'!$C$1:$AR$4,MATCH($C$34,'Сводный годовой график'!$B$1:$B$4),MATCH(DATE($AV$1,MONTH($B$34),Y$3),'Сводный годовой график'!$C$8:$AR$8))&lt;&gt;12,INDIRECT(ADDRESS(ROW()+1,COLUMN()))="СП"),8,INDEX('Сводный годовой график'!$C$1:$AR$4,MATCH($C$34,'Сводный годовой график'!$B$1:$B$4),MATCH(DATE($AV$1,MONTH($B$34),Y$3),'Сводный годовой график'!$C$8:$AR$8)))</f>
        <v>8</v>
      </c>
      <c r="Z34" s="28">
        <f ca="1">IF(AND(INDEX('Сводный годовой график'!$C$1:$AR$4,MATCH($C$34,'Сводный годовой график'!$B$1:$B$4),MATCH(DATE($AV$1,MONTH($B$34),Z$3),'Сводный годовой график'!$C$8:$AR$8))&lt;&gt;12,INDIRECT(ADDRESS(ROW()+1,COLUMN()))="СП"),8,INDEX('Сводный годовой график'!$C$1:$AR$4,MATCH($C$34,'Сводный годовой график'!$B$1:$B$4),MATCH(DATE($AV$1,MONTH($B$34),Z$3),'Сводный годовой график'!$C$8:$AR$8)))</f>
        <v>12</v>
      </c>
      <c r="AA34" s="28">
        <f ca="1">IF(AND(INDEX('Сводный годовой график'!$C$1:$AR$4,MATCH($C$34,'Сводный годовой график'!$B$1:$B$4),MATCH(DATE($AV$1,MONTH($B$34),AA$3),'Сводный годовой график'!$C$8:$AR$8))&lt;&gt;12,INDIRECT(ADDRESS(ROW()+1,COLUMN()))="СП"),8,INDEX('Сводный годовой график'!$C$1:$AR$4,MATCH($C$34,'Сводный годовой график'!$B$1:$B$4),MATCH(DATE($AV$1,MONTH($B$34),AA$3),'Сводный годовой график'!$C$8:$AR$8)))</f>
        <v>0</v>
      </c>
      <c r="AB34" s="28">
        <f ca="1">IF(AND(INDEX('Сводный годовой график'!$C$1:$AR$4,MATCH($C$34,'Сводный годовой график'!$B$1:$B$4),MATCH(DATE($AV$1,MONTH($B$34),AB$3),'Сводный годовой график'!$C$8:$AR$8))&lt;&gt;12,INDIRECT(ADDRESS(ROW()+1,COLUMN()))="СП"),8,INDEX('Сводный годовой график'!$C$1:$AR$4,MATCH($C$34,'Сводный годовой график'!$B$1:$B$4),MATCH(DATE($AV$1,MONTH($B$34),AB$3),'Сводный годовой график'!$C$8:$AR$8)))</f>
        <v>0</v>
      </c>
      <c r="AC34" s="28">
        <f ca="1">IF(AND(INDEX('Сводный годовой график'!$C$1:$AR$4,MATCH($C$34,'Сводный годовой график'!$B$1:$B$4),MATCH(DATE($AV$1,MONTH($B$34),AC$3),'Сводный годовой график'!$C$8:$AR$8))&lt;&gt;12,INDIRECT(ADDRESS(ROW()+1,COLUMN()))="СП"),8,INDEX('Сводный годовой график'!$C$1:$AR$4,MATCH($C$34,'Сводный годовой график'!$B$1:$B$4),MATCH(DATE($AV$1,MONTH($B$34),AC$3),'Сводный годовой график'!$C$8:$AR$8)))</f>
        <v>4</v>
      </c>
      <c r="AD34" s="28">
        <f ca="1">IF(AND(INDEX('Сводный годовой график'!$C$1:$AR$4,MATCH($C$34,'Сводный годовой график'!$B$1:$B$4),MATCH(DATE($AV$1,MONTH($B$34),AD$3),'Сводный годовой график'!$C$8:$AR$8))&lt;&gt;12,INDIRECT(ADDRESS(ROW()+1,COLUMN()))="СП"),8,INDEX('Сводный годовой график'!$C$1:$AR$4,MATCH($C$34,'Сводный годовой график'!$B$1:$B$4),MATCH(DATE($AV$1,MONTH($B$34),AD$3),'Сводный годовой график'!$C$8:$AR$8)))</f>
        <v>8</v>
      </c>
      <c r="AE34" s="28">
        <f ca="1">IF(AND(INDEX('Сводный годовой график'!$C$1:$AR$4,MATCH($C$34,'Сводный годовой график'!$B$1:$B$4),MATCH(DATE($AV$1,MONTH($B$34),AE$3),'Сводный годовой график'!$C$8:$AR$8))&lt;&gt;12,INDIRECT(ADDRESS(ROW()+1,COLUMN()))="СП"),8,INDEX('Сводный годовой график'!$C$1:$AR$4,MATCH($C$34,'Сводный годовой график'!$B$1:$B$4),MATCH(DATE($AV$1,MONTH($B$34),AE$3),'Сводный годовой график'!$C$8:$AR$8)))</f>
        <v>12</v>
      </c>
      <c r="AF34" s="28">
        <f ca="1">IF(AND(INDEX('Сводный годовой график'!$C$1:$AR$4,MATCH($C$34,'Сводный годовой график'!$B$1:$B$4),MATCH(DATE($AV$1,MONTH($B$34),AF$3),'Сводный годовой график'!$C$8:$AR$8))&lt;&gt;12,INDIRECT(ADDRESS(ROW()+1,COLUMN()))="СП"),8,INDEX('Сводный годовой график'!$C$1:$AR$4,MATCH($C$34,'Сводный годовой график'!$B$1:$B$4),MATCH(DATE($AV$1,MONTH($B$34),AF$3),'Сводный годовой график'!$C$8:$AR$8)))</f>
        <v>4</v>
      </c>
      <c r="AG34" s="28">
        <f ca="1">IF(AND(INDEX('Сводный годовой график'!$C$1:$AR$4,MATCH($C$34,'Сводный годовой график'!$B$1:$B$4),MATCH(DATE($AV$1,MONTH($B$34),AG$3),'Сводный годовой график'!$C$8:$AR$8))&lt;&gt;12,INDIRECT(ADDRESS(ROW()+1,COLUMN()))="СП"),8,INDEX('Сводный годовой график'!$C$1:$AR$4,MATCH($C$34,'Сводный годовой график'!$B$1:$B$4),MATCH(DATE($AV$1,MONTH($B$34),AG$3),'Сводный годовой график'!$C$8:$AR$8)))</f>
        <v>8</v>
      </c>
      <c r="AH34" s="28">
        <f ca="1">IF(AND(INDEX('Сводный годовой график'!$C$1:$AR$4,MATCH($C$34,'Сводный годовой график'!$B$1:$B$4),MATCH(DATE($AV$1,MONTH($B$34),AH$3),'Сводный годовой график'!$C$8:$AR$8))&lt;&gt;12,INDIRECT(ADDRESS(ROW()+1,COLUMN()))="СП"),8,INDEX('Сводный годовой график'!$C$1:$AR$4,MATCH($C$34,'Сводный годовой график'!$B$1:$B$4),MATCH(DATE($AV$1,MONTH($B$34),AH$3),'Сводный годовой график'!$C$8:$AR$8)))</f>
        <v>12</v>
      </c>
      <c r="AI34" s="109"/>
      <c r="AJ34" s="205">
        <f>INDEX(Подключения!$D$3:$H$14,MONTH(B34),5)</f>
        <v>175</v>
      </c>
      <c r="AK34" s="203">
        <f>$AJ$34-SUM(AY34:CC35)</f>
        <v>175</v>
      </c>
      <c r="AL34" s="203">
        <f t="shared" ref="AL34" ca="1" si="54">SUM(E34:AI35)</f>
        <v>196</v>
      </c>
      <c r="AM34" s="203">
        <v>0</v>
      </c>
      <c r="AN34" s="208">
        <f t="shared" ref="AN34" ca="1" si="55">-AM34-AK34+AL34</f>
        <v>21</v>
      </c>
      <c r="AO34" s="208">
        <v>12</v>
      </c>
      <c r="AP34" s="208">
        <f ca="1">AN34+AP24-AO34</f>
        <v>0</v>
      </c>
      <c r="AQ34" s="203">
        <v>0</v>
      </c>
      <c r="AR34" s="204">
        <v>1</v>
      </c>
      <c r="CK34" s="59"/>
      <c r="CL34" s="59"/>
      <c r="CM34" s="59"/>
      <c r="CN34" s="59"/>
      <c r="CO34" s="59"/>
      <c r="CP34" s="59"/>
      <c r="CQ34" s="59"/>
      <c r="CR34" s="59"/>
      <c r="CS34" s="59"/>
      <c r="CT34" s="59"/>
      <c r="CU34" s="59"/>
      <c r="CV34" s="59"/>
      <c r="CW34" s="59"/>
      <c r="CX34" s="59"/>
      <c r="CY34" s="59"/>
      <c r="CZ34" s="59"/>
      <c r="DA34" s="59"/>
      <c r="DB34" s="59"/>
      <c r="DC34" s="59"/>
      <c r="DD34" s="59"/>
      <c r="DE34" s="59"/>
      <c r="DF34" s="59"/>
      <c r="DG34" s="59"/>
      <c r="DH34" s="59"/>
      <c r="DI34" s="59"/>
      <c r="DJ34" s="59"/>
      <c r="DK34" s="59"/>
      <c r="DL34" s="59"/>
      <c r="DM34" s="59"/>
      <c r="DN34" s="59"/>
      <c r="DO34" s="59"/>
    </row>
    <row r="35" spans="2:119" ht="16.5" thickBot="1" x14ac:dyDescent="0.3">
      <c r="B35" s="201"/>
      <c r="C35" s="197"/>
      <c r="D35" s="82">
        <v>2</v>
      </c>
      <c r="E35" s="96" t="str">
        <f t="shared" ref="E35:AH35" si="56">IF(INDEX($CK$4:$DO$123,ROW()-3,E$3)=0,"","СП")</f>
        <v/>
      </c>
      <c r="F35" s="92" t="str">
        <f t="shared" si="56"/>
        <v/>
      </c>
      <c r="G35" s="92" t="str">
        <f t="shared" si="56"/>
        <v/>
      </c>
      <c r="H35" s="92" t="str">
        <f t="shared" si="56"/>
        <v>СП</v>
      </c>
      <c r="I35" s="92" t="str">
        <f t="shared" si="56"/>
        <v/>
      </c>
      <c r="J35" s="92" t="str">
        <f t="shared" si="56"/>
        <v/>
      </c>
      <c r="K35" s="92" t="str">
        <f t="shared" si="56"/>
        <v/>
      </c>
      <c r="L35" s="92" t="str">
        <f t="shared" si="56"/>
        <v/>
      </c>
      <c r="M35" s="92" t="str">
        <f t="shared" si="56"/>
        <v/>
      </c>
      <c r="N35" s="92" t="str">
        <f t="shared" si="56"/>
        <v/>
      </c>
      <c r="O35" s="92" t="str">
        <f t="shared" si="56"/>
        <v/>
      </c>
      <c r="P35" s="92" t="str">
        <f t="shared" si="56"/>
        <v/>
      </c>
      <c r="Q35" s="92" t="str">
        <f t="shared" si="56"/>
        <v/>
      </c>
      <c r="R35" s="92" t="str">
        <f t="shared" si="56"/>
        <v/>
      </c>
      <c r="S35" s="92" t="str">
        <f t="shared" si="56"/>
        <v/>
      </c>
      <c r="T35" s="92" t="str">
        <f t="shared" si="56"/>
        <v/>
      </c>
      <c r="U35" s="92" t="str">
        <f t="shared" si="56"/>
        <v/>
      </c>
      <c r="V35" s="92" t="str">
        <f t="shared" si="56"/>
        <v/>
      </c>
      <c r="W35" s="92" t="str">
        <f t="shared" si="56"/>
        <v/>
      </c>
      <c r="X35" s="92" t="str">
        <f t="shared" si="56"/>
        <v/>
      </c>
      <c r="Y35" s="92" t="str">
        <f t="shared" si="56"/>
        <v/>
      </c>
      <c r="Z35" s="92" t="str">
        <f t="shared" si="56"/>
        <v/>
      </c>
      <c r="AA35" s="92" t="str">
        <f t="shared" si="56"/>
        <v/>
      </c>
      <c r="AB35" s="92" t="str">
        <f t="shared" si="56"/>
        <v/>
      </c>
      <c r="AC35" s="92" t="str">
        <f t="shared" si="56"/>
        <v/>
      </c>
      <c r="AD35" s="92" t="str">
        <f t="shared" si="56"/>
        <v/>
      </c>
      <c r="AE35" s="92" t="str">
        <f t="shared" si="56"/>
        <v/>
      </c>
      <c r="AF35" s="92" t="str">
        <f t="shared" si="56"/>
        <v/>
      </c>
      <c r="AG35" s="92" t="str">
        <f t="shared" si="56"/>
        <v/>
      </c>
      <c r="AH35" s="92" t="str">
        <f t="shared" si="56"/>
        <v/>
      </c>
      <c r="AI35" s="110"/>
      <c r="AJ35" s="206"/>
      <c r="AK35" s="177"/>
      <c r="AL35" s="177"/>
      <c r="AM35" s="177"/>
      <c r="AN35" s="198"/>
      <c r="AO35" s="198"/>
      <c r="AP35" s="198"/>
      <c r="AQ35" s="177"/>
      <c r="AR35" s="179"/>
      <c r="CK35" s="58">
        <f>IF(DAY(INDEX('Сводный годовой график'!$BA$4:$BL$14,$C34,MONTH($B$34)))=E$3,1,0)</f>
        <v>0</v>
      </c>
      <c r="CL35" s="58">
        <f>IF(DAY(INDEX('Сводный годовой график'!$BA$4:$BL$14,$C34,MONTH($B$34)))=F$3,1,0)</f>
        <v>0</v>
      </c>
      <c r="CM35" s="58">
        <f>IF(DAY(INDEX('Сводный годовой график'!$BA$4:$BL$14,$C34,MONTH($B$34)))=G$3,1,0)</f>
        <v>0</v>
      </c>
      <c r="CN35" s="58">
        <f>IF(DAY(INDEX('Сводный годовой график'!$BA$4:$BL$14,$C34,MONTH($B$34)))=H$3,1,0)</f>
        <v>1</v>
      </c>
      <c r="CO35" s="58">
        <f>IF(DAY(INDEX('Сводный годовой график'!$BA$4:$BL$14,$C34,MONTH($B$34)))=I$3,1,0)</f>
        <v>0</v>
      </c>
      <c r="CP35" s="58">
        <f>IF(DAY(INDEX('Сводный годовой график'!$BA$4:$BL$14,$C34,MONTH($B$34)))=J$3,1,0)</f>
        <v>0</v>
      </c>
      <c r="CQ35" s="58">
        <f>IF(DAY(INDEX('Сводный годовой график'!$BA$4:$BL$14,$C34,MONTH($B$34)))=K$3,1,0)</f>
        <v>0</v>
      </c>
      <c r="CR35" s="58">
        <f>IF(DAY(INDEX('Сводный годовой график'!$BA$4:$BL$14,$C34,MONTH($B$34)))=L$3,1,0)</f>
        <v>0</v>
      </c>
      <c r="CS35" s="58">
        <f>IF(DAY(INDEX('Сводный годовой график'!$BA$4:$BL$14,$C34,MONTH($B$34)))=M$3,1,0)</f>
        <v>0</v>
      </c>
      <c r="CT35" s="58">
        <f>IF(DAY(INDEX('Сводный годовой график'!$BA$4:$BL$14,$C34,MONTH($B$34)))=N$3,1,0)</f>
        <v>0</v>
      </c>
      <c r="CU35" s="58">
        <f>IF(DAY(INDEX('Сводный годовой график'!$BA$4:$BL$14,$C34,MONTH($B$34)))=O$3,1,0)</f>
        <v>0</v>
      </c>
      <c r="CV35" s="58">
        <f>IF(DAY(INDEX('Сводный годовой график'!$BA$4:$BL$14,$C34,MONTH($B$34)))=P$3,1,0)</f>
        <v>0</v>
      </c>
      <c r="CW35" s="58">
        <f>IF(DAY(INDEX('Сводный годовой график'!$BA$4:$BL$14,$C34,MONTH($B$34)))=Q$3,1,0)</f>
        <v>0</v>
      </c>
      <c r="CX35" s="58">
        <f>IF(DAY(INDEX('Сводный годовой график'!$BA$4:$BL$14,$C34,MONTH($B$34)))=R$3,1,0)</f>
        <v>0</v>
      </c>
      <c r="CY35" s="58">
        <f>IF(DAY(INDEX('Сводный годовой график'!$BA$4:$BL$14,$C34,MONTH($B$34)))=S$3,1,0)</f>
        <v>0</v>
      </c>
      <c r="CZ35" s="58">
        <f>IF(DAY(INDEX('Сводный годовой график'!$BA$4:$BL$14,$C34,MONTH($B$34)))=T$3,1,0)</f>
        <v>0</v>
      </c>
      <c r="DA35" s="58">
        <f>IF(DAY(INDEX('Сводный годовой график'!$BA$4:$BL$14,$C34,MONTH($B$34)))=U$3,1,0)</f>
        <v>0</v>
      </c>
      <c r="DB35" s="58">
        <f>IF(DAY(INDEX('Сводный годовой график'!$BA$4:$BL$14,$C34,MONTH($B$34)))=V$3,1,0)</f>
        <v>0</v>
      </c>
      <c r="DC35" s="58">
        <f>IF(DAY(INDEX('Сводный годовой график'!$BA$4:$BL$14,$C34,MONTH($B$34)))=W$3,1,0)</f>
        <v>0</v>
      </c>
      <c r="DD35" s="58">
        <f>IF(DAY(INDEX('Сводный годовой график'!$BA$4:$BL$14,$C34,MONTH($B$34)))=X$3,1,0)</f>
        <v>0</v>
      </c>
      <c r="DE35" s="58">
        <f>IF(DAY(INDEX('Сводный годовой график'!$BA$4:$BL$14,$C34,MONTH($B$34)))=Y$3,1,0)</f>
        <v>0</v>
      </c>
      <c r="DF35" s="58">
        <f>IF(DAY(INDEX('Сводный годовой график'!$BA$4:$BL$14,$C34,MONTH($B$34)))=Z$3,1,0)</f>
        <v>0</v>
      </c>
      <c r="DG35" s="58">
        <f>IF(DAY(INDEX('Сводный годовой график'!$BA$4:$BL$14,$C34,MONTH($B$34)))=AA$3,1,0)</f>
        <v>0</v>
      </c>
      <c r="DH35" s="58">
        <f>IF(DAY(INDEX('Сводный годовой график'!$BA$4:$BL$14,$C34,MONTH($B$34)))=AB$3,1,0)</f>
        <v>0</v>
      </c>
      <c r="DI35" s="58">
        <f>IF(DAY(INDEX('Сводный годовой график'!$BA$4:$BL$14,$C34,MONTH($B$34)))=AC$3,1,0)</f>
        <v>0</v>
      </c>
      <c r="DJ35" s="58">
        <f>IF(DAY(INDEX('Сводный годовой график'!$BA$4:$BL$14,$C34,MONTH($B$34)))=AD$3,1,0)</f>
        <v>0</v>
      </c>
      <c r="DK35" s="58">
        <f>IF(DAY(INDEX('Сводный годовой график'!$BA$4:$BL$14,$C34,MONTH($B$34)))=AE$3,1,0)</f>
        <v>0</v>
      </c>
      <c r="DL35" s="58">
        <f>IF(DAY(INDEX('Сводный годовой график'!$BA$4:$BL$14,$C34,MONTH($B$34)))=AF$3,1,0)</f>
        <v>0</v>
      </c>
      <c r="DM35" s="58">
        <f>IF(DAY(INDEX('Сводный годовой график'!$BA$4:$BL$14,$C34,MONTH($B$34)))=AG$3,1,0)</f>
        <v>0</v>
      </c>
      <c r="DN35" s="58">
        <f>IF(DAY(INDEX('Сводный годовой график'!$BA$4:$BL$14,$C34,MONTH($B$34)))=AH$3,1,0)</f>
        <v>0</v>
      </c>
      <c r="DO35" s="58">
        <f>IF(DAY(INDEX('Сводный годовой график'!$BA$4:$BL$14,$C34,MONTH($B$34)))=AI$3,1,0)</f>
        <v>0</v>
      </c>
    </row>
    <row r="36" spans="2:119" ht="16.5" thickBot="1" x14ac:dyDescent="0.3">
      <c r="B36" s="201"/>
      <c r="C36" s="196">
        <v>2</v>
      </c>
      <c r="D36" s="81">
        <v>3</v>
      </c>
      <c r="E36" s="96">
        <f ca="1">IF(AND(INDEX('Сводный годовой график'!$C$1:$AR$4,MATCH($C$36,'Сводный годовой график'!$B$1:$B$4),MATCH(DATE($AV$1,MONTH($B$34),E$3),'Сводный годовой график'!$C$8:$AR$8))&lt;&gt;12,INDIRECT(ADDRESS(ROW()+1,COLUMN()))="СП"),8,INDEX('Сводный годовой график'!$C$1:$AR$4,MATCH($C$36,'Сводный годовой график'!$B$1:$B$4),MATCH(DATE($AV$1,MONTH($B$34),E$3),'Сводный годовой график'!$C$8:$AR$8)))</f>
        <v>12</v>
      </c>
      <c r="F36" s="92">
        <f ca="1">IF(AND(INDEX('Сводный годовой график'!$C$1:$AR$4,MATCH($C$36,'Сводный годовой график'!$B$1:$B$4),MATCH(DATE($AV$1,MONTH($B$34),F$3),'Сводный годовой график'!$C$8:$AR$8))&lt;&gt;12,INDIRECT(ADDRESS(ROW()+1,COLUMN()))="СП"),8,INDEX('Сводный годовой график'!$C$1:$AR$4,MATCH($C$36,'Сводный годовой график'!$B$1:$B$4),MATCH(DATE($AV$1,MONTH($B$34),F$3),'Сводный годовой график'!$C$8:$AR$8)))</f>
        <v>4</v>
      </c>
      <c r="G36" s="92">
        <f ca="1">IF(AND(INDEX('Сводный годовой график'!$C$1:$AR$4,MATCH($C$36,'Сводный годовой график'!$B$1:$B$4),MATCH(DATE($AV$1,MONTH($B$34),G$3),'Сводный годовой график'!$C$8:$AR$8))&lt;&gt;12,INDIRECT(ADDRESS(ROW()+1,COLUMN()))="СП"),8,INDEX('Сводный годовой график'!$C$1:$AR$4,MATCH($C$36,'Сводный годовой график'!$B$1:$B$4),MATCH(DATE($AV$1,MONTH($B$34),G$3),'Сводный годовой график'!$C$8:$AR$8)))</f>
        <v>8</v>
      </c>
      <c r="H36" s="92">
        <f ca="1">IF(AND(INDEX('Сводный годовой график'!$C$1:$AR$4,MATCH($C$36,'Сводный годовой график'!$B$1:$B$4),MATCH(DATE($AV$1,MONTH($B$34),H$3),'Сводный годовой график'!$C$8:$AR$8))&lt;&gt;12,INDIRECT(ADDRESS(ROW()+1,COLUMN()))="СП"),8,INDEX('Сводный годовой график'!$C$1:$AR$4,MATCH($C$36,'Сводный годовой график'!$B$1:$B$4),MATCH(DATE($AV$1,MONTH($B$34),H$3),'Сводный годовой график'!$C$8:$AR$8)))</f>
        <v>12</v>
      </c>
      <c r="I36" s="92">
        <f ca="1">IF(AND(INDEX('Сводный годовой график'!$C$1:$AR$4,MATCH($C$36,'Сводный годовой график'!$B$1:$B$4),MATCH(DATE($AV$1,MONTH($B$34),I$3),'Сводный годовой график'!$C$8:$AR$8))&lt;&gt;12,INDIRECT(ADDRESS(ROW()+1,COLUMN()))="СП"),8,INDEX('Сводный годовой график'!$C$1:$AR$4,MATCH($C$36,'Сводный годовой график'!$B$1:$B$4),MATCH(DATE($AV$1,MONTH($B$34),I$3),'Сводный годовой график'!$C$8:$AR$8)))</f>
        <v>8</v>
      </c>
      <c r="J36" s="92">
        <f ca="1">IF(AND(INDEX('Сводный годовой график'!$C$1:$AR$4,MATCH($C$36,'Сводный годовой график'!$B$1:$B$4),MATCH(DATE($AV$1,MONTH($B$34),J$3),'Сводный годовой график'!$C$8:$AR$8))&lt;&gt;12,INDIRECT(ADDRESS(ROW()+1,COLUMN()))="СП"),8,INDEX('Сводный годовой график'!$C$1:$AR$4,MATCH($C$36,'Сводный годовой график'!$B$1:$B$4),MATCH(DATE($AV$1,MONTH($B$34),J$3),'Сводный годовой график'!$C$8:$AR$8)))</f>
        <v>0</v>
      </c>
      <c r="K36" s="92">
        <f ca="1">IF(AND(INDEX('Сводный годовой график'!$C$1:$AR$4,MATCH($C$36,'Сводный годовой график'!$B$1:$B$4),MATCH(DATE($AV$1,MONTH($B$34),K$3),'Сводный годовой график'!$C$8:$AR$8))&lt;&gt;12,INDIRECT(ADDRESS(ROW()+1,COLUMN()))="СП"),8,INDEX('Сводный годовой график'!$C$1:$AR$4,MATCH($C$36,'Сводный годовой график'!$B$1:$B$4),MATCH(DATE($AV$1,MONTH($B$34),K$3),'Сводный годовой график'!$C$8:$AR$8)))</f>
        <v>4</v>
      </c>
      <c r="L36" s="92">
        <f ca="1">IF(AND(INDEX('Сводный годовой график'!$C$1:$AR$4,MATCH($C$36,'Сводный годовой график'!$B$1:$B$4),MATCH(DATE($AV$1,MONTH($B$34),L$3),'Сводный годовой график'!$C$8:$AR$8))&lt;&gt;12,INDIRECT(ADDRESS(ROW()+1,COLUMN()))="СП"),8,INDEX('Сводный годовой график'!$C$1:$AR$4,MATCH($C$36,'Сводный годовой график'!$B$1:$B$4),MATCH(DATE($AV$1,MONTH($B$34),L$3),'Сводный годовой график'!$C$8:$AR$8)))</f>
        <v>8</v>
      </c>
      <c r="M36" s="92">
        <f ca="1">IF(AND(INDEX('Сводный годовой график'!$C$1:$AR$4,MATCH($C$36,'Сводный годовой график'!$B$1:$B$4),MATCH(DATE($AV$1,MONTH($B$34),M$3),'Сводный годовой график'!$C$8:$AR$8))&lt;&gt;12,INDIRECT(ADDRESS(ROW()+1,COLUMN()))="СП"),8,INDEX('Сводный годовой график'!$C$1:$AR$4,MATCH($C$36,'Сводный годовой график'!$B$1:$B$4),MATCH(DATE($AV$1,MONTH($B$34),M$3),'Сводный годовой график'!$C$8:$AR$8)))</f>
        <v>12</v>
      </c>
      <c r="N36" s="92">
        <f ca="1">IF(AND(INDEX('Сводный годовой график'!$C$1:$AR$4,MATCH($C$36,'Сводный годовой график'!$B$1:$B$4),MATCH(DATE($AV$1,MONTH($B$34),N$3),'Сводный годовой график'!$C$8:$AR$8))&lt;&gt;12,INDIRECT(ADDRESS(ROW()+1,COLUMN()))="СП"),8,INDEX('Сводный годовой график'!$C$1:$AR$4,MATCH($C$36,'Сводный годовой график'!$B$1:$B$4),MATCH(DATE($AV$1,MONTH($B$34),N$3),'Сводный годовой график'!$C$8:$AR$8)))</f>
        <v>4</v>
      </c>
      <c r="O36" s="92">
        <f ca="1">IF(AND(INDEX('Сводный годовой график'!$C$1:$AR$4,MATCH($C$36,'Сводный годовой график'!$B$1:$B$4),MATCH(DATE($AV$1,MONTH($B$34),O$3),'Сводный годовой график'!$C$8:$AR$8))&lt;&gt;12,INDIRECT(ADDRESS(ROW()+1,COLUMN()))="СП"),8,INDEX('Сводный годовой график'!$C$1:$AR$4,MATCH($C$36,'Сводный годовой график'!$B$1:$B$4),MATCH(DATE($AV$1,MONTH($B$34),O$3),'Сводный годовой график'!$C$8:$AR$8)))</f>
        <v>8</v>
      </c>
      <c r="P36" s="92">
        <f ca="1">IF(AND(INDEX('Сводный годовой график'!$C$1:$AR$4,MATCH($C$36,'Сводный годовой график'!$B$1:$B$4),MATCH(DATE($AV$1,MONTH($B$34),P$3),'Сводный годовой график'!$C$8:$AR$8))&lt;&gt;12,INDIRECT(ADDRESS(ROW()+1,COLUMN()))="СП"),8,INDEX('Сводный годовой график'!$C$1:$AR$4,MATCH($C$36,'Сводный годовой график'!$B$1:$B$4),MATCH(DATE($AV$1,MONTH($B$34),P$3),'Сводный годовой график'!$C$8:$AR$8)))</f>
        <v>12</v>
      </c>
      <c r="Q36" s="92">
        <f ca="1">IF(AND(INDEX('Сводный годовой график'!$C$1:$AR$4,MATCH($C$36,'Сводный годовой график'!$B$1:$B$4),MATCH(DATE($AV$1,MONTH($B$34),Q$3),'Сводный годовой график'!$C$8:$AR$8))&lt;&gt;12,INDIRECT(ADDRESS(ROW()+1,COLUMN()))="СП"),8,INDEX('Сводный годовой график'!$C$1:$AR$4,MATCH($C$36,'Сводный годовой график'!$B$1:$B$4),MATCH(DATE($AV$1,MONTH($B$34),Q$3),'Сводный годовой график'!$C$8:$AR$8)))</f>
        <v>0</v>
      </c>
      <c r="R36" s="92">
        <f ca="1">IF(AND(INDEX('Сводный годовой график'!$C$1:$AR$4,MATCH($C$36,'Сводный годовой график'!$B$1:$B$4),MATCH(DATE($AV$1,MONTH($B$34),R$3),'Сводный годовой график'!$C$8:$AR$8))&lt;&gt;12,INDIRECT(ADDRESS(ROW()+1,COLUMN()))="СП"),8,INDEX('Сводный годовой график'!$C$1:$AR$4,MATCH($C$36,'Сводный годовой график'!$B$1:$B$4),MATCH(DATE($AV$1,MONTH($B$34),R$3),'Сводный годовой график'!$C$8:$AR$8)))</f>
        <v>0</v>
      </c>
      <c r="S36" s="92">
        <f ca="1">IF(AND(INDEX('Сводный годовой график'!$C$1:$AR$4,MATCH($C$36,'Сводный годовой график'!$B$1:$B$4),MATCH(DATE($AV$1,MONTH($B$34),S$3),'Сводный годовой график'!$C$8:$AR$8))&lt;&gt;12,INDIRECT(ADDRESS(ROW()+1,COLUMN()))="СП"),8,INDEX('Сводный годовой график'!$C$1:$AR$4,MATCH($C$36,'Сводный годовой график'!$B$1:$B$4),MATCH(DATE($AV$1,MONTH($B$34),S$3),'Сводный годовой график'!$C$8:$AR$8)))</f>
        <v>4</v>
      </c>
      <c r="T36" s="92">
        <f ca="1">IF(AND(INDEX('Сводный годовой график'!$C$1:$AR$4,MATCH($C$36,'Сводный годовой график'!$B$1:$B$4),MATCH(DATE($AV$1,MONTH($B$34),T$3),'Сводный годовой график'!$C$8:$AR$8))&lt;&gt;12,INDIRECT(ADDRESS(ROW()+1,COLUMN()))="СП"),8,INDEX('Сводный годовой график'!$C$1:$AR$4,MATCH($C$36,'Сводный годовой график'!$B$1:$B$4),MATCH(DATE($AV$1,MONTH($B$34),T$3),'Сводный годовой график'!$C$8:$AR$8)))</f>
        <v>8</v>
      </c>
      <c r="U36" s="92">
        <f ca="1">IF(AND(INDEX('Сводный годовой график'!$C$1:$AR$4,MATCH($C$36,'Сводный годовой график'!$B$1:$B$4),MATCH(DATE($AV$1,MONTH($B$34),U$3),'Сводный годовой график'!$C$8:$AR$8))&lt;&gt;12,INDIRECT(ADDRESS(ROW()+1,COLUMN()))="СП"),8,INDEX('Сводный годовой график'!$C$1:$AR$4,MATCH($C$36,'Сводный годовой график'!$B$1:$B$4),MATCH(DATE($AV$1,MONTH($B$34),U$3),'Сводный годовой график'!$C$8:$AR$8)))</f>
        <v>12</v>
      </c>
      <c r="V36" s="92">
        <f ca="1">IF(AND(INDEX('Сводный годовой график'!$C$1:$AR$4,MATCH($C$36,'Сводный годовой график'!$B$1:$B$4),MATCH(DATE($AV$1,MONTH($B$34),V$3),'Сводный годовой график'!$C$8:$AR$8))&lt;&gt;12,INDIRECT(ADDRESS(ROW()+1,COLUMN()))="СП"),8,INDEX('Сводный годовой график'!$C$1:$AR$4,MATCH($C$36,'Сводный годовой график'!$B$1:$B$4),MATCH(DATE($AV$1,MONTH($B$34),V$3),'Сводный годовой график'!$C$8:$AR$8)))</f>
        <v>4</v>
      </c>
      <c r="W36" s="92">
        <f ca="1">IF(AND(INDEX('Сводный годовой график'!$C$1:$AR$4,MATCH($C$36,'Сводный годовой график'!$B$1:$B$4),MATCH(DATE($AV$1,MONTH($B$34),W$3),'Сводный годовой график'!$C$8:$AR$8))&lt;&gt;12,INDIRECT(ADDRESS(ROW()+1,COLUMN()))="СП"),8,INDEX('Сводный годовой график'!$C$1:$AR$4,MATCH($C$36,'Сводный годовой график'!$B$1:$B$4),MATCH(DATE($AV$1,MONTH($B$34),W$3),'Сводный годовой график'!$C$8:$AR$8)))</f>
        <v>8</v>
      </c>
      <c r="X36" s="92">
        <f ca="1">IF(AND(INDEX('Сводный годовой график'!$C$1:$AR$4,MATCH($C$36,'Сводный годовой график'!$B$1:$B$4),MATCH(DATE($AV$1,MONTH($B$34),X$3),'Сводный годовой график'!$C$8:$AR$8))&lt;&gt;12,INDIRECT(ADDRESS(ROW()+1,COLUMN()))="СП"),8,INDEX('Сводный годовой график'!$C$1:$AR$4,MATCH($C$36,'Сводный годовой график'!$B$1:$B$4),MATCH(DATE($AV$1,MONTH($B$34),X$3),'Сводный годовой график'!$C$8:$AR$8)))</f>
        <v>12</v>
      </c>
      <c r="Y36" s="92">
        <f ca="1">IF(AND(INDEX('Сводный годовой график'!$C$1:$AR$4,MATCH($C$36,'Сводный годовой график'!$B$1:$B$4),MATCH(DATE($AV$1,MONTH($B$34),Y$3),'Сводный годовой график'!$C$8:$AR$8))&lt;&gt;12,INDIRECT(ADDRESS(ROW()+1,COLUMN()))="СП"),8,INDEX('Сводный годовой график'!$C$1:$AR$4,MATCH($C$36,'Сводный годовой график'!$B$1:$B$4),MATCH(DATE($AV$1,MONTH($B$34),Y$3),'Сводный годовой график'!$C$8:$AR$8)))</f>
        <v>0</v>
      </c>
      <c r="Z36" s="92">
        <f ca="1">IF(AND(INDEX('Сводный годовой график'!$C$1:$AR$4,MATCH($C$36,'Сводный годовой график'!$B$1:$B$4),MATCH(DATE($AV$1,MONTH($B$34),Z$3),'Сводный годовой график'!$C$8:$AR$8))&lt;&gt;12,INDIRECT(ADDRESS(ROW()+1,COLUMN()))="СП"),8,INDEX('Сводный годовой график'!$C$1:$AR$4,MATCH($C$36,'Сводный годовой график'!$B$1:$B$4),MATCH(DATE($AV$1,MONTH($B$34),Z$3),'Сводный годовой график'!$C$8:$AR$8)))</f>
        <v>0</v>
      </c>
      <c r="AA36" s="92">
        <f ca="1">IF(AND(INDEX('Сводный годовой график'!$C$1:$AR$4,MATCH($C$36,'Сводный годовой график'!$B$1:$B$4),MATCH(DATE($AV$1,MONTH($B$34),AA$3),'Сводный годовой график'!$C$8:$AR$8))&lt;&gt;12,INDIRECT(ADDRESS(ROW()+1,COLUMN()))="СП"),8,INDEX('Сводный годовой график'!$C$1:$AR$4,MATCH($C$36,'Сводный годовой график'!$B$1:$B$4),MATCH(DATE($AV$1,MONTH($B$34),AA$3),'Сводный годовой график'!$C$8:$AR$8)))</f>
        <v>4</v>
      </c>
      <c r="AB36" s="92">
        <f ca="1">IF(AND(INDEX('Сводный годовой график'!$C$1:$AR$4,MATCH($C$36,'Сводный годовой график'!$B$1:$B$4),MATCH(DATE($AV$1,MONTH($B$34),AB$3),'Сводный годовой график'!$C$8:$AR$8))&lt;&gt;12,INDIRECT(ADDRESS(ROW()+1,COLUMN()))="СП"),8,INDEX('Сводный годовой график'!$C$1:$AR$4,MATCH($C$36,'Сводный годовой график'!$B$1:$B$4),MATCH(DATE($AV$1,MONTH($B$34),AB$3),'Сводный годовой график'!$C$8:$AR$8)))</f>
        <v>8</v>
      </c>
      <c r="AC36" s="92">
        <f ca="1">IF(AND(INDEX('Сводный годовой график'!$C$1:$AR$4,MATCH($C$36,'Сводный годовой график'!$B$1:$B$4),MATCH(DATE($AV$1,MONTH($B$34),AC$3),'Сводный годовой график'!$C$8:$AR$8))&lt;&gt;12,INDIRECT(ADDRESS(ROW()+1,COLUMN()))="СП"),8,INDEX('Сводный годовой график'!$C$1:$AR$4,MATCH($C$36,'Сводный годовой график'!$B$1:$B$4),MATCH(DATE($AV$1,MONTH($B$34),AC$3),'Сводный годовой график'!$C$8:$AR$8)))</f>
        <v>12</v>
      </c>
      <c r="AD36" s="92">
        <f ca="1">IF(AND(INDEX('Сводный годовой график'!$C$1:$AR$4,MATCH($C$36,'Сводный годовой график'!$B$1:$B$4),MATCH(DATE($AV$1,MONTH($B$34),AD$3),'Сводный годовой график'!$C$8:$AR$8))&lt;&gt;12,INDIRECT(ADDRESS(ROW()+1,COLUMN()))="СП"),8,INDEX('Сводный годовой график'!$C$1:$AR$4,MATCH($C$36,'Сводный годовой график'!$B$1:$B$4),MATCH(DATE($AV$1,MONTH($B$34),AD$3),'Сводный годовой график'!$C$8:$AR$8)))</f>
        <v>4</v>
      </c>
      <c r="AE36" s="92">
        <f ca="1">IF(AND(INDEX('Сводный годовой график'!$C$1:$AR$4,MATCH($C$36,'Сводный годовой график'!$B$1:$B$4),MATCH(DATE($AV$1,MONTH($B$34),AE$3),'Сводный годовой график'!$C$8:$AR$8))&lt;&gt;12,INDIRECT(ADDRESS(ROW()+1,COLUMN()))="СП"),8,INDEX('Сводный годовой график'!$C$1:$AR$4,MATCH($C$36,'Сводный годовой график'!$B$1:$B$4),MATCH(DATE($AV$1,MONTH($B$34),AE$3),'Сводный годовой график'!$C$8:$AR$8)))</f>
        <v>8</v>
      </c>
      <c r="AF36" s="92">
        <f ca="1">IF(AND(INDEX('Сводный годовой график'!$C$1:$AR$4,MATCH($C$36,'Сводный годовой график'!$B$1:$B$4),MATCH(DATE($AV$1,MONTH($B$34),AF$3),'Сводный годовой график'!$C$8:$AR$8))&lt;&gt;12,INDIRECT(ADDRESS(ROW()+1,COLUMN()))="СП"),8,INDEX('Сводный годовой график'!$C$1:$AR$4,MATCH($C$36,'Сводный годовой график'!$B$1:$B$4),MATCH(DATE($AV$1,MONTH($B$34),AF$3),'Сводный годовой график'!$C$8:$AR$8)))</f>
        <v>12</v>
      </c>
      <c r="AG36" s="92">
        <f ca="1">IF(AND(INDEX('Сводный годовой график'!$C$1:$AR$4,MATCH($C$36,'Сводный годовой график'!$B$1:$B$4),MATCH(DATE($AV$1,MONTH($B$34),AG$3),'Сводный годовой график'!$C$8:$AR$8))&lt;&gt;12,INDIRECT(ADDRESS(ROW()+1,COLUMN()))="СП"),8,INDEX('Сводный годовой график'!$C$1:$AR$4,MATCH($C$36,'Сводный годовой график'!$B$1:$B$4),MATCH(DATE($AV$1,MONTH($B$34),AG$3),'Сводный годовой график'!$C$8:$AR$8)))</f>
        <v>0</v>
      </c>
      <c r="AH36" s="92">
        <f ca="1">IF(AND(INDEX('Сводный годовой график'!$C$1:$AR$4,MATCH($C$36,'Сводный годовой график'!$B$1:$B$4),MATCH(DATE($AV$1,MONTH($B$34),AH$3),'Сводный годовой график'!$C$8:$AR$8))&lt;&gt;12,INDIRECT(ADDRESS(ROW()+1,COLUMN()))="СП"),8,INDEX('Сводный годовой график'!$C$1:$AR$4,MATCH($C$36,'Сводный годовой график'!$B$1:$B$4),MATCH(DATE($AV$1,MONTH($B$34),AH$3),'Сводный годовой график'!$C$8:$AR$8)))</f>
        <v>0</v>
      </c>
      <c r="AI36" s="110"/>
      <c r="AJ36" s="206"/>
      <c r="AK36" s="177">
        <f>$AJ$34-SUM(AY36:CC37)</f>
        <v>175</v>
      </c>
      <c r="AL36" s="177">
        <f t="shared" ref="AL36" ca="1" si="57">SUM(E36:AI37)</f>
        <v>188</v>
      </c>
      <c r="AM36" s="177">
        <v>0</v>
      </c>
      <c r="AN36" s="198">
        <f t="shared" ref="AN36" ca="1" si="58">-AM36-AK36+AL36</f>
        <v>13</v>
      </c>
      <c r="AO36" s="198">
        <v>12</v>
      </c>
      <c r="AP36" s="198">
        <f t="shared" ref="AP36" ca="1" si="59">AN36+AP26-AO36</f>
        <v>-16</v>
      </c>
      <c r="AQ36" s="177">
        <v>0</v>
      </c>
      <c r="AR36" s="179">
        <v>1</v>
      </c>
      <c r="CK36" s="59"/>
      <c r="CL36" s="59"/>
      <c r="CM36" s="59"/>
      <c r="CN36" s="59"/>
      <c r="CO36" s="59"/>
      <c r="CP36" s="59"/>
      <c r="CQ36" s="59"/>
      <c r="CR36" s="59"/>
      <c r="CS36" s="59"/>
      <c r="CT36" s="59"/>
      <c r="CU36" s="59"/>
      <c r="CV36" s="59"/>
      <c r="CW36" s="59"/>
      <c r="CX36" s="59"/>
      <c r="CY36" s="59"/>
      <c r="CZ36" s="59"/>
      <c r="DA36" s="59"/>
      <c r="DB36" s="59"/>
      <c r="DC36" s="59"/>
      <c r="DD36" s="59"/>
      <c r="DE36" s="59"/>
      <c r="DF36" s="59"/>
      <c r="DG36" s="59"/>
      <c r="DH36" s="59"/>
      <c r="DI36" s="59"/>
      <c r="DJ36" s="59"/>
      <c r="DK36" s="59"/>
      <c r="DL36" s="59"/>
      <c r="DM36" s="59"/>
      <c r="DN36" s="59"/>
      <c r="DO36" s="59"/>
    </row>
    <row r="37" spans="2:119" ht="16.5" thickBot="1" x14ac:dyDescent="0.3">
      <c r="B37" s="201"/>
      <c r="C37" s="197"/>
      <c r="D37" s="82">
        <v>4</v>
      </c>
      <c r="E37" s="96" t="str">
        <f t="shared" ref="E37:AH37" si="60">IF(INDEX($CK$4:$DO$123,ROW()-3,E$3)=0,"","СП")</f>
        <v/>
      </c>
      <c r="F37" s="92" t="str">
        <f t="shared" si="60"/>
        <v/>
      </c>
      <c r="G37" s="92" t="str">
        <f t="shared" si="60"/>
        <v/>
      </c>
      <c r="H37" s="92" t="str">
        <f t="shared" si="60"/>
        <v/>
      </c>
      <c r="I37" s="92" t="str">
        <f t="shared" si="60"/>
        <v>СП</v>
      </c>
      <c r="J37" s="92" t="str">
        <f t="shared" si="60"/>
        <v/>
      </c>
      <c r="K37" s="92" t="str">
        <f t="shared" si="60"/>
        <v/>
      </c>
      <c r="L37" s="92" t="str">
        <f t="shared" si="60"/>
        <v/>
      </c>
      <c r="M37" s="92" t="str">
        <f t="shared" si="60"/>
        <v/>
      </c>
      <c r="N37" s="92" t="str">
        <f t="shared" si="60"/>
        <v/>
      </c>
      <c r="O37" s="92" t="str">
        <f t="shared" si="60"/>
        <v/>
      </c>
      <c r="P37" s="92" t="str">
        <f t="shared" si="60"/>
        <v/>
      </c>
      <c r="Q37" s="92" t="str">
        <f t="shared" si="60"/>
        <v/>
      </c>
      <c r="R37" s="92" t="str">
        <f t="shared" si="60"/>
        <v/>
      </c>
      <c r="S37" s="92" t="str">
        <f t="shared" si="60"/>
        <v/>
      </c>
      <c r="T37" s="92" t="str">
        <f t="shared" si="60"/>
        <v/>
      </c>
      <c r="U37" s="92" t="str">
        <f t="shared" si="60"/>
        <v/>
      </c>
      <c r="V37" s="92" t="str">
        <f t="shared" si="60"/>
        <v/>
      </c>
      <c r="W37" s="92" t="str">
        <f t="shared" si="60"/>
        <v/>
      </c>
      <c r="X37" s="92" t="str">
        <f t="shared" si="60"/>
        <v/>
      </c>
      <c r="Y37" s="92" t="str">
        <f t="shared" si="60"/>
        <v/>
      </c>
      <c r="Z37" s="92" t="str">
        <f t="shared" si="60"/>
        <v/>
      </c>
      <c r="AA37" s="92" t="str">
        <f t="shared" si="60"/>
        <v/>
      </c>
      <c r="AB37" s="92" t="str">
        <f t="shared" si="60"/>
        <v/>
      </c>
      <c r="AC37" s="92" t="str">
        <f t="shared" si="60"/>
        <v/>
      </c>
      <c r="AD37" s="92" t="str">
        <f t="shared" si="60"/>
        <v/>
      </c>
      <c r="AE37" s="92" t="str">
        <f t="shared" si="60"/>
        <v/>
      </c>
      <c r="AF37" s="92" t="str">
        <f t="shared" si="60"/>
        <v/>
      </c>
      <c r="AG37" s="92" t="str">
        <f t="shared" si="60"/>
        <v/>
      </c>
      <c r="AH37" s="92" t="str">
        <f t="shared" si="60"/>
        <v/>
      </c>
      <c r="AI37" s="110"/>
      <c r="AJ37" s="206"/>
      <c r="AK37" s="177"/>
      <c r="AL37" s="177"/>
      <c r="AM37" s="177"/>
      <c r="AN37" s="198"/>
      <c r="AO37" s="198"/>
      <c r="AP37" s="198"/>
      <c r="AQ37" s="177"/>
      <c r="AR37" s="179"/>
      <c r="CK37" s="58">
        <f>IF(DAY(INDEX('Сводный годовой график'!$BA$4:$BL$14,$C36,MONTH($B$34)))=E$3,1,0)</f>
        <v>0</v>
      </c>
      <c r="CL37" s="58">
        <f>IF(DAY(INDEX('Сводный годовой график'!$BA$4:$BL$14,$C36,MONTH($B$34)))=F$3,1,0)</f>
        <v>0</v>
      </c>
      <c r="CM37" s="58">
        <f>IF(DAY(INDEX('Сводный годовой график'!$BA$4:$BL$14,$C36,MONTH($B$34)))=G$3,1,0)</f>
        <v>0</v>
      </c>
      <c r="CN37" s="58">
        <f>IF(DAY(INDEX('Сводный годовой график'!$BA$4:$BL$14,$C36,MONTH($B$34)))=H$3,1,0)</f>
        <v>0</v>
      </c>
      <c r="CO37" s="58">
        <f>IF(DAY(INDEX('Сводный годовой график'!$BA$4:$BL$14,$C36,MONTH($B$34)))=I$3,1,0)</f>
        <v>1</v>
      </c>
      <c r="CP37" s="58">
        <f>IF(DAY(INDEX('Сводный годовой график'!$BA$4:$BL$14,$C36,MONTH($B$34)))=J$3,1,0)</f>
        <v>0</v>
      </c>
      <c r="CQ37" s="58">
        <f>IF(DAY(INDEX('Сводный годовой график'!$BA$4:$BL$14,$C36,MONTH($B$34)))=K$3,1,0)</f>
        <v>0</v>
      </c>
      <c r="CR37" s="58">
        <f>IF(DAY(INDEX('Сводный годовой график'!$BA$4:$BL$14,$C36,MONTH($B$34)))=L$3,1,0)</f>
        <v>0</v>
      </c>
      <c r="CS37" s="58">
        <f>IF(DAY(INDEX('Сводный годовой график'!$BA$4:$BL$14,$C36,MONTH($B$34)))=M$3,1,0)</f>
        <v>0</v>
      </c>
      <c r="CT37" s="58">
        <f>IF(DAY(INDEX('Сводный годовой график'!$BA$4:$BL$14,$C36,MONTH($B$34)))=N$3,1,0)</f>
        <v>0</v>
      </c>
      <c r="CU37" s="58">
        <f>IF(DAY(INDEX('Сводный годовой график'!$BA$4:$BL$14,$C36,MONTH($B$34)))=O$3,1,0)</f>
        <v>0</v>
      </c>
      <c r="CV37" s="58">
        <f>IF(DAY(INDEX('Сводный годовой график'!$BA$4:$BL$14,$C36,MONTH($B$34)))=P$3,1,0)</f>
        <v>0</v>
      </c>
      <c r="CW37" s="58">
        <f>IF(DAY(INDEX('Сводный годовой график'!$BA$4:$BL$14,$C36,MONTH($B$34)))=Q$3,1,0)</f>
        <v>0</v>
      </c>
      <c r="CX37" s="58">
        <f>IF(DAY(INDEX('Сводный годовой график'!$BA$4:$BL$14,$C36,MONTH($B$34)))=R$3,1,0)</f>
        <v>0</v>
      </c>
      <c r="CY37" s="58">
        <f>IF(DAY(INDEX('Сводный годовой график'!$BA$4:$BL$14,$C36,MONTH($B$34)))=S$3,1,0)</f>
        <v>0</v>
      </c>
      <c r="CZ37" s="58">
        <f>IF(DAY(INDEX('Сводный годовой график'!$BA$4:$BL$14,$C36,MONTH($B$34)))=T$3,1,0)</f>
        <v>0</v>
      </c>
      <c r="DA37" s="58">
        <f>IF(DAY(INDEX('Сводный годовой график'!$BA$4:$BL$14,$C36,MONTH($B$34)))=U$3,1,0)</f>
        <v>0</v>
      </c>
      <c r="DB37" s="58">
        <f>IF(DAY(INDEX('Сводный годовой график'!$BA$4:$BL$14,$C36,MONTH($B$34)))=V$3,1,0)</f>
        <v>0</v>
      </c>
      <c r="DC37" s="58">
        <f>IF(DAY(INDEX('Сводный годовой график'!$BA$4:$BL$14,$C36,MONTH($B$34)))=W$3,1,0)</f>
        <v>0</v>
      </c>
      <c r="DD37" s="58">
        <f>IF(DAY(INDEX('Сводный годовой график'!$BA$4:$BL$14,$C36,MONTH($B$34)))=X$3,1,0)</f>
        <v>0</v>
      </c>
      <c r="DE37" s="58">
        <f>IF(DAY(INDEX('Сводный годовой график'!$BA$4:$BL$14,$C36,MONTH($B$34)))=Y$3,1,0)</f>
        <v>0</v>
      </c>
      <c r="DF37" s="58">
        <f>IF(DAY(INDEX('Сводный годовой график'!$BA$4:$BL$14,$C36,MONTH($B$34)))=Z$3,1,0)</f>
        <v>0</v>
      </c>
      <c r="DG37" s="58">
        <f>IF(DAY(INDEX('Сводный годовой график'!$BA$4:$BL$14,$C36,MONTH($B$34)))=AA$3,1,0)</f>
        <v>0</v>
      </c>
      <c r="DH37" s="58">
        <f>IF(DAY(INDEX('Сводный годовой график'!$BA$4:$BL$14,$C36,MONTH($B$34)))=AB$3,1,0)</f>
        <v>0</v>
      </c>
      <c r="DI37" s="58">
        <f>IF(DAY(INDEX('Сводный годовой график'!$BA$4:$BL$14,$C36,MONTH($B$34)))=AC$3,1,0)</f>
        <v>0</v>
      </c>
      <c r="DJ37" s="58">
        <f>IF(DAY(INDEX('Сводный годовой график'!$BA$4:$BL$14,$C36,MONTH($B$34)))=AD$3,1,0)</f>
        <v>0</v>
      </c>
      <c r="DK37" s="58">
        <f>IF(DAY(INDEX('Сводный годовой график'!$BA$4:$BL$14,$C36,MONTH($B$34)))=AE$3,1,0)</f>
        <v>0</v>
      </c>
      <c r="DL37" s="58">
        <f>IF(DAY(INDEX('Сводный годовой график'!$BA$4:$BL$14,$C36,MONTH($B$34)))=AF$3,1,0)</f>
        <v>0</v>
      </c>
      <c r="DM37" s="58">
        <f>IF(DAY(INDEX('Сводный годовой график'!$BA$4:$BL$14,$C36,MONTH($B$34)))=AG$3,1,0)</f>
        <v>0</v>
      </c>
      <c r="DN37" s="58">
        <f>IF(DAY(INDEX('Сводный годовой график'!$BA$4:$BL$14,$C36,MONTH($B$34)))=AH$3,1,0)</f>
        <v>0</v>
      </c>
      <c r="DO37" s="58">
        <f>IF(DAY(INDEX('Сводный годовой график'!$BA$4:$BL$14,$C36,MONTH($B$34)))=AI$3,1,0)</f>
        <v>0</v>
      </c>
    </row>
    <row r="38" spans="2:119" ht="16.5" thickBot="1" x14ac:dyDescent="0.3">
      <c r="B38" s="201"/>
      <c r="C38" s="196">
        <v>3</v>
      </c>
      <c r="D38" s="81">
        <v>5</v>
      </c>
      <c r="E38" s="96">
        <f ca="1">IF(AND(INDEX('Сводный годовой график'!$C$1:$AR$4,MATCH($C$38,'Сводный годовой график'!$B$1:$B$4),MATCH(DATE($AV$1,MONTH($B$34),E$3),'Сводный годовой график'!$C$8:$AR$8))&lt;&gt;12,INDIRECT(ADDRESS(ROW()+1,COLUMN()))="СП"),8,INDEX('Сводный годовой график'!$C$1:$AR$4,MATCH($C$38,'Сводный годовой график'!$B$1:$B$4),MATCH(DATE($AV$1,MONTH($B$34),E$3),'Сводный годовой график'!$C$8:$AR$8)))</f>
        <v>0</v>
      </c>
      <c r="F38" s="92">
        <f ca="1">IF(AND(INDEX('Сводный годовой график'!$C$1:$AR$4,MATCH($C$38,'Сводный годовой график'!$B$1:$B$4),MATCH(DATE($AV$1,MONTH($B$34),F$3),'Сводный годовой график'!$C$8:$AR$8))&lt;&gt;12,INDIRECT(ADDRESS(ROW()+1,COLUMN()))="СП"),8,INDEX('Сводный годовой график'!$C$1:$AR$4,MATCH($C$38,'Сводный годовой график'!$B$1:$B$4),MATCH(DATE($AV$1,MONTH($B$34),F$3),'Сводный годовой график'!$C$8:$AR$8)))</f>
        <v>0</v>
      </c>
      <c r="G38" s="92">
        <f ca="1">IF(AND(INDEX('Сводный годовой график'!$C$1:$AR$4,MATCH($C$38,'Сводный годовой график'!$B$1:$B$4),MATCH(DATE($AV$1,MONTH($B$34),G$3),'Сводный годовой график'!$C$8:$AR$8))&lt;&gt;12,INDIRECT(ADDRESS(ROW()+1,COLUMN()))="СП"),8,INDEX('Сводный годовой график'!$C$1:$AR$4,MATCH($C$38,'Сводный годовой график'!$B$1:$B$4),MATCH(DATE($AV$1,MONTH($B$34),G$3),'Сводный годовой график'!$C$8:$AR$8)))</f>
        <v>4</v>
      </c>
      <c r="H38" s="92">
        <f ca="1">IF(AND(INDEX('Сводный годовой график'!$C$1:$AR$4,MATCH($C$38,'Сводный годовой график'!$B$1:$B$4),MATCH(DATE($AV$1,MONTH($B$34),H$3),'Сводный годовой график'!$C$8:$AR$8))&lt;&gt;12,INDIRECT(ADDRESS(ROW()+1,COLUMN()))="СП"),8,INDEX('Сводный годовой график'!$C$1:$AR$4,MATCH($C$38,'Сводный годовой график'!$B$1:$B$4),MATCH(DATE($AV$1,MONTH($B$34),H$3),'Сводный годовой график'!$C$8:$AR$8)))</f>
        <v>8</v>
      </c>
      <c r="I38" s="92">
        <f ca="1">IF(AND(INDEX('Сводный годовой график'!$C$1:$AR$4,MATCH($C$38,'Сводный годовой график'!$B$1:$B$4),MATCH(DATE($AV$1,MONTH($B$34),I$3),'Сводный годовой график'!$C$8:$AR$8))&lt;&gt;12,INDIRECT(ADDRESS(ROW()+1,COLUMN()))="СП"),8,INDEX('Сводный годовой график'!$C$1:$AR$4,MATCH($C$38,'Сводный годовой график'!$B$1:$B$4),MATCH(DATE($AV$1,MONTH($B$34),I$3),'Сводный годовой график'!$C$8:$AR$8)))</f>
        <v>12</v>
      </c>
      <c r="J38" s="92">
        <f ca="1">IF(AND(INDEX('Сводный годовой график'!$C$1:$AR$4,MATCH($C$38,'Сводный годовой график'!$B$1:$B$4),MATCH(DATE($AV$1,MONTH($B$34),J$3),'Сводный годовой график'!$C$8:$AR$8))&lt;&gt;12,INDIRECT(ADDRESS(ROW()+1,COLUMN()))="СП"),8,INDEX('Сводный годовой график'!$C$1:$AR$4,MATCH($C$38,'Сводный годовой график'!$B$1:$B$4),MATCH(DATE($AV$1,MONTH($B$34),J$3),'Сводный годовой график'!$C$8:$AR$8)))</f>
        <v>8</v>
      </c>
      <c r="K38" s="92">
        <f ca="1">IF(AND(INDEX('Сводный годовой график'!$C$1:$AR$4,MATCH($C$38,'Сводный годовой график'!$B$1:$B$4),MATCH(DATE($AV$1,MONTH($B$34),K$3),'Сводный годовой график'!$C$8:$AR$8))&lt;&gt;12,INDIRECT(ADDRESS(ROW()+1,COLUMN()))="СП"),8,INDEX('Сводный годовой график'!$C$1:$AR$4,MATCH($C$38,'Сводный годовой график'!$B$1:$B$4),MATCH(DATE($AV$1,MONTH($B$34),K$3),'Сводный годовой график'!$C$8:$AR$8)))</f>
        <v>8</v>
      </c>
      <c r="L38" s="92">
        <f ca="1">IF(AND(INDEX('Сводный годовой график'!$C$1:$AR$4,MATCH($C$38,'Сводный годовой график'!$B$1:$B$4),MATCH(DATE($AV$1,MONTH($B$34),L$3),'Сводный годовой график'!$C$8:$AR$8))&lt;&gt;12,INDIRECT(ADDRESS(ROW()+1,COLUMN()))="СП"),8,INDEX('Сводный годовой график'!$C$1:$AR$4,MATCH($C$38,'Сводный годовой график'!$B$1:$B$4),MATCH(DATE($AV$1,MONTH($B$34),L$3),'Сводный годовой график'!$C$8:$AR$8)))</f>
        <v>12</v>
      </c>
      <c r="M38" s="92">
        <f ca="1">IF(AND(INDEX('Сводный годовой график'!$C$1:$AR$4,MATCH($C$38,'Сводный годовой график'!$B$1:$B$4),MATCH(DATE($AV$1,MONTH($B$34),M$3),'Сводный годовой график'!$C$8:$AR$8))&lt;&gt;12,INDIRECT(ADDRESS(ROW()+1,COLUMN()))="СП"),8,INDEX('Сводный годовой график'!$C$1:$AR$4,MATCH($C$38,'Сводный годовой график'!$B$1:$B$4),MATCH(DATE($AV$1,MONTH($B$34),M$3),'Сводный годовой график'!$C$8:$AR$8)))</f>
        <v>0</v>
      </c>
      <c r="N38" s="92">
        <f ca="1">IF(AND(INDEX('Сводный годовой график'!$C$1:$AR$4,MATCH($C$38,'Сводный годовой график'!$B$1:$B$4),MATCH(DATE($AV$1,MONTH($B$34),N$3),'Сводный годовой график'!$C$8:$AR$8))&lt;&gt;12,INDIRECT(ADDRESS(ROW()+1,COLUMN()))="СП"),8,INDEX('Сводный годовой график'!$C$1:$AR$4,MATCH($C$38,'Сводный годовой график'!$B$1:$B$4),MATCH(DATE($AV$1,MONTH($B$34),N$3),'Сводный годовой график'!$C$8:$AR$8)))</f>
        <v>0</v>
      </c>
      <c r="O38" s="92">
        <f ca="1">IF(AND(INDEX('Сводный годовой график'!$C$1:$AR$4,MATCH($C$38,'Сводный годовой график'!$B$1:$B$4),MATCH(DATE($AV$1,MONTH($B$34),O$3),'Сводный годовой график'!$C$8:$AR$8))&lt;&gt;12,INDIRECT(ADDRESS(ROW()+1,COLUMN()))="СП"),8,INDEX('Сводный годовой график'!$C$1:$AR$4,MATCH($C$38,'Сводный годовой график'!$B$1:$B$4),MATCH(DATE($AV$1,MONTH($B$34),O$3),'Сводный годовой график'!$C$8:$AR$8)))</f>
        <v>4</v>
      </c>
      <c r="P38" s="92">
        <f ca="1">IF(AND(INDEX('Сводный годовой график'!$C$1:$AR$4,MATCH($C$38,'Сводный годовой график'!$B$1:$B$4),MATCH(DATE($AV$1,MONTH($B$34),P$3),'Сводный годовой график'!$C$8:$AR$8))&lt;&gt;12,INDIRECT(ADDRESS(ROW()+1,COLUMN()))="СП"),8,INDEX('Сводный годовой график'!$C$1:$AR$4,MATCH($C$38,'Сводный годовой график'!$B$1:$B$4),MATCH(DATE($AV$1,MONTH($B$34),P$3),'Сводный годовой график'!$C$8:$AR$8)))</f>
        <v>8</v>
      </c>
      <c r="Q38" s="92">
        <f ca="1">IF(AND(INDEX('Сводный годовой график'!$C$1:$AR$4,MATCH($C$38,'Сводный годовой график'!$B$1:$B$4),MATCH(DATE($AV$1,MONTH($B$34),Q$3),'Сводный годовой график'!$C$8:$AR$8))&lt;&gt;12,INDIRECT(ADDRESS(ROW()+1,COLUMN()))="СП"),8,INDEX('Сводный годовой график'!$C$1:$AR$4,MATCH($C$38,'Сводный годовой график'!$B$1:$B$4),MATCH(DATE($AV$1,MONTH($B$34),Q$3),'Сводный годовой график'!$C$8:$AR$8)))</f>
        <v>12</v>
      </c>
      <c r="R38" s="92">
        <f ca="1">IF(AND(INDEX('Сводный годовой график'!$C$1:$AR$4,MATCH($C$38,'Сводный годовой график'!$B$1:$B$4),MATCH(DATE($AV$1,MONTH($B$34),R$3),'Сводный годовой график'!$C$8:$AR$8))&lt;&gt;12,INDIRECT(ADDRESS(ROW()+1,COLUMN()))="СП"),8,INDEX('Сводный годовой график'!$C$1:$AR$4,MATCH($C$38,'Сводный годовой график'!$B$1:$B$4),MATCH(DATE($AV$1,MONTH($B$34),R$3),'Сводный годовой график'!$C$8:$AR$8)))</f>
        <v>4</v>
      </c>
      <c r="S38" s="92">
        <f ca="1">IF(AND(INDEX('Сводный годовой график'!$C$1:$AR$4,MATCH($C$38,'Сводный годовой график'!$B$1:$B$4),MATCH(DATE($AV$1,MONTH($B$34),S$3),'Сводный годовой график'!$C$8:$AR$8))&lt;&gt;12,INDIRECT(ADDRESS(ROW()+1,COLUMN()))="СП"),8,INDEX('Сводный годовой график'!$C$1:$AR$4,MATCH($C$38,'Сводный годовой график'!$B$1:$B$4),MATCH(DATE($AV$1,MONTH($B$34),S$3),'Сводный годовой график'!$C$8:$AR$8)))</f>
        <v>8</v>
      </c>
      <c r="T38" s="92">
        <f ca="1">IF(AND(INDEX('Сводный годовой график'!$C$1:$AR$4,MATCH($C$38,'Сводный годовой график'!$B$1:$B$4),MATCH(DATE($AV$1,MONTH($B$34),T$3),'Сводный годовой график'!$C$8:$AR$8))&lt;&gt;12,INDIRECT(ADDRESS(ROW()+1,COLUMN()))="СП"),8,INDEX('Сводный годовой график'!$C$1:$AR$4,MATCH($C$38,'Сводный годовой график'!$B$1:$B$4),MATCH(DATE($AV$1,MONTH($B$34),T$3),'Сводный годовой график'!$C$8:$AR$8)))</f>
        <v>12</v>
      </c>
      <c r="U38" s="92">
        <f ca="1">IF(AND(INDEX('Сводный годовой график'!$C$1:$AR$4,MATCH($C$38,'Сводный годовой график'!$B$1:$B$4),MATCH(DATE($AV$1,MONTH($B$34),U$3),'Сводный годовой график'!$C$8:$AR$8))&lt;&gt;12,INDIRECT(ADDRESS(ROW()+1,COLUMN()))="СП"),8,INDEX('Сводный годовой график'!$C$1:$AR$4,MATCH($C$38,'Сводный годовой график'!$B$1:$B$4),MATCH(DATE($AV$1,MONTH($B$34),U$3),'Сводный годовой график'!$C$8:$AR$8)))</f>
        <v>0</v>
      </c>
      <c r="V38" s="92">
        <f ca="1">IF(AND(INDEX('Сводный годовой график'!$C$1:$AR$4,MATCH($C$38,'Сводный годовой график'!$B$1:$B$4),MATCH(DATE($AV$1,MONTH($B$34),V$3),'Сводный годовой график'!$C$8:$AR$8))&lt;&gt;12,INDIRECT(ADDRESS(ROW()+1,COLUMN()))="СП"),8,INDEX('Сводный годовой график'!$C$1:$AR$4,MATCH($C$38,'Сводный годовой график'!$B$1:$B$4),MATCH(DATE($AV$1,MONTH($B$34),V$3),'Сводный годовой график'!$C$8:$AR$8)))</f>
        <v>0</v>
      </c>
      <c r="W38" s="92">
        <f ca="1">IF(AND(INDEX('Сводный годовой график'!$C$1:$AR$4,MATCH($C$38,'Сводный годовой график'!$B$1:$B$4),MATCH(DATE($AV$1,MONTH($B$34),W$3),'Сводный годовой график'!$C$8:$AR$8))&lt;&gt;12,INDIRECT(ADDRESS(ROW()+1,COLUMN()))="СП"),8,INDEX('Сводный годовой график'!$C$1:$AR$4,MATCH($C$38,'Сводный годовой график'!$B$1:$B$4),MATCH(DATE($AV$1,MONTH($B$34),W$3),'Сводный годовой график'!$C$8:$AR$8)))</f>
        <v>4</v>
      </c>
      <c r="X38" s="92">
        <f ca="1">IF(AND(INDEX('Сводный годовой график'!$C$1:$AR$4,MATCH($C$38,'Сводный годовой график'!$B$1:$B$4),MATCH(DATE($AV$1,MONTH($B$34),X$3),'Сводный годовой график'!$C$8:$AR$8))&lt;&gt;12,INDIRECT(ADDRESS(ROW()+1,COLUMN()))="СП"),8,INDEX('Сводный годовой график'!$C$1:$AR$4,MATCH($C$38,'Сводный годовой график'!$B$1:$B$4),MATCH(DATE($AV$1,MONTH($B$34),X$3),'Сводный годовой график'!$C$8:$AR$8)))</f>
        <v>8</v>
      </c>
      <c r="Y38" s="92">
        <f ca="1">IF(AND(INDEX('Сводный годовой график'!$C$1:$AR$4,MATCH($C$38,'Сводный годовой график'!$B$1:$B$4),MATCH(DATE($AV$1,MONTH($B$34),Y$3),'Сводный годовой график'!$C$8:$AR$8))&lt;&gt;12,INDIRECT(ADDRESS(ROW()+1,COLUMN()))="СП"),8,INDEX('Сводный годовой график'!$C$1:$AR$4,MATCH($C$38,'Сводный годовой график'!$B$1:$B$4),MATCH(DATE($AV$1,MONTH($B$34),Y$3),'Сводный годовой график'!$C$8:$AR$8)))</f>
        <v>12</v>
      </c>
      <c r="Z38" s="92">
        <f ca="1">IF(AND(INDEX('Сводный годовой график'!$C$1:$AR$4,MATCH($C$38,'Сводный годовой график'!$B$1:$B$4),MATCH(DATE($AV$1,MONTH($B$34),Z$3),'Сводный годовой график'!$C$8:$AR$8))&lt;&gt;12,INDIRECT(ADDRESS(ROW()+1,COLUMN()))="СП"),8,INDEX('Сводный годовой график'!$C$1:$AR$4,MATCH($C$38,'Сводный годовой график'!$B$1:$B$4),MATCH(DATE($AV$1,MONTH($B$34),Z$3),'Сводный годовой график'!$C$8:$AR$8)))</f>
        <v>4</v>
      </c>
      <c r="AA38" s="92">
        <f ca="1">IF(AND(INDEX('Сводный годовой график'!$C$1:$AR$4,MATCH($C$38,'Сводный годовой график'!$B$1:$B$4),MATCH(DATE($AV$1,MONTH($B$34),AA$3),'Сводный годовой график'!$C$8:$AR$8))&lt;&gt;12,INDIRECT(ADDRESS(ROW()+1,COLUMN()))="СП"),8,INDEX('Сводный годовой график'!$C$1:$AR$4,MATCH($C$38,'Сводный годовой график'!$B$1:$B$4),MATCH(DATE($AV$1,MONTH($B$34),AA$3),'Сводный годовой график'!$C$8:$AR$8)))</f>
        <v>8</v>
      </c>
      <c r="AB38" s="92">
        <f ca="1">IF(AND(INDEX('Сводный годовой график'!$C$1:$AR$4,MATCH($C$38,'Сводный годовой график'!$B$1:$B$4),MATCH(DATE($AV$1,MONTH($B$34),AB$3),'Сводный годовой график'!$C$8:$AR$8))&lt;&gt;12,INDIRECT(ADDRESS(ROW()+1,COLUMN()))="СП"),8,INDEX('Сводный годовой график'!$C$1:$AR$4,MATCH($C$38,'Сводный годовой график'!$B$1:$B$4),MATCH(DATE($AV$1,MONTH($B$34),AB$3),'Сводный годовой график'!$C$8:$AR$8)))</f>
        <v>12</v>
      </c>
      <c r="AC38" s="92">
        <f ca="1">IF(AND(INDEX('Сводный годовой график'!$C$1:$AR$4,MATCH($C$38,'Сводный годовой график'!$B$1:$B$4),MATCH(DATE($AV$1,MONTH($B$34),AC$3),'Сводный годовой график'!$C$8:$AR$8))&lt;&gt;12,INDIRECT(ADDRESS(ROW()+1,COLUMN()))="СП"),8,INDEX('Сводный годовой график'!$C$1:$AR$4,MATCH($C$38,'Сводный годовой график'!$B$1:$B$4),MATCH(DATE($AV$1,MONTH($B$34),AC$3),'Сводный годовой график'!$C$8:$AR$8)))</f>
        <v>0</v>
      </c>
      <c r="AD38" s="92">
        <f ca="1">IF(AND(INDEX('Сводный годовой график'!$C$1:$AR$4,MATCH($C$38,'Сводный годовой график'!$B$1:$B$4),MATCH(DATE($AV$1,MONTH($B$34),AD$3),'Сводный годовой график'!$C$8:$AR$8))&lt;&gt;12,INDIRECT(ADDRESS(ROW()+1,COLUMN()))="СП"),8,INDEX('Сводный годовой график'!$C$1:$AR$4,MATCH($C$38,'Сводный годовой график'!$B$1:$B$4),MATCH(DATE($AV$1,MONTH($B$34),AD$3),'Сводный годовой график'!$C$8:$AR$8)))</f>
        <v>0</v>
      </c>
      <c r="AE38" s="92">
        <f ca="1">IF(AND(INDEX('Сводный годовой график'!$C$1:$AR$4,MATCH($C$38,'Сводный годовой график'!$B$1:$B$4),MATCH(DATE($AV$1,MONTH($B$34),AE$3),'Сводный годовой график'!$C$8:$AR$8))&lt;&gt;12,INDIRECT(ADDRESS(ROW()+1,COLUMN()))="СП"),8,INDEX('Сводный годовой график'!$C$1:$AR$4,MATCH($C$38,'Сводный годовой график'!$B$1:$B$4),MATCH(DATE($AV$1,MONTH($B$34),AE$3),'Сводный годовой график'!$C$8:$AR$8)))</f>
        <v>4</v>
      </c>
      <c r="AF38" s="92">
        <f ca="1">IF(AND(INDEX('Сводный годовой график'!$C$1:$AR$4,MATCH($C$38,'Сводный годовой график'!$B$1:$B$4),MATCH(DATE($AV$1,MONTH($B$34),AF$3),'Сводный годовой график'!$C$8:$AR$8))&lt;&gt;12,INDIRECT(ADDRESS(ROW()+1,COLUMN()))="СП"),8,INDEX('Сводный годовой график'!$C$1:$AR$4,MATCH($C$38,'Сводный годовой график'!$B$1:$B$4),MATCH(DATE($AV$1,MONTH($B$34),AF$3),'Сводный годовой график'!$C$8:$AR$8)))</f>
        <v>8</v>
      </c>
      <c r="AG38" s="92">
        <f ca="1">IF(AND(INDEX('Сводный годовой график'!$C$1:$AR$4,MATCH($C$38,'Сводный годовой график'!$B$1:$B$4),MATCH(DATE($AV$1,MONTH($B$34),AG$3),'Сводный годовой график'!$C$8:$AR$8))&lt;&gt;12,INDIRECT(ADDRESS(ROW()+1,COLUMN()))="СП"),8,INDEX('Сводный годовой график'!$C$1:$AR$4,MATCH($C$38,'Сводный годовой график'!$B$1:$B$4),MATCH(DATE($AV$1,MONTH($B$34),AG$3),'Сводный годовой график'!$C$8:$AR$8)))</f>
        <v>12</v>
      </c>
      <c r="AH38" s="92">
        <f ca="1">IF(AND(INDEX('Сводный годовой график'!$C$1:$AR$4,MATCH($C$38,'Сводный годовой график'!$B$1:$B$4),MATCH(DATE($AV$1,MONTH($B$34),AH$3),'Сводный годовой график'!$C$8:$AR$8))&lt;&gt;12,INDIRECT(ADDRESS(ROW()+1,COLUMN()))="СП"),8,INDEX('Сводный годовой график'!$C$1:$AR$4,MATCH($C$38,'Сводный годовой график'!$B$1:$B$4),MATCH(DATE($AV$1,MONTH($B$34),AH$3),'Сводный годовой график'!$C$8:$AR$8)))</f>
        <v>4</v>
      </c>
      <c r="AI38" s="110"/>
      <c r="AJ38" s="206"/>
      <c r="AK38" s="177">
        <f>$AJ$34-SUM(AY38:CC39)</f>
        <v>175</v>
      </c>
      <c r="AL38" s="177">
        <f t="shared" ref="AL38" ca="1" si="61">SUM(E38:AI39)</f>
        <v>176</v>
      </c>
      <c r="AM38" s="177">
        <v>0</v>
      </c>
      <c r="AN38" s="198">
        <f t="shared" ref="AN38" ca="1" si="62">-AM38-AK38+AL38</f>
        <v>1</v>
      </c>
      <c r="AO38" s="198">
        <v>0</v>
      </c>
      <c r="AP38" s="198">
        <f t="shared" ref="AP38" ca="1" si="63">AN38+AP28-AO38</f>
        <v>18</v>
      </c>
      <c r="AQ38" s="177">
        <v>0</v>
      </c>
      <c r="AR38" s="179">
        <v>1</v>
      </c>
      <c r="CK38" s="59"/>
      <c r="CL38" s="59"/>
      <c r="CM38" s="59"/>
      <c r="CN38" s="59"/>
      <c r="CO38" s="59"/>
      <c r="CP38" s="59"/>
      <c r="CQ38" s="59"/>
      <c r="CR38" s="59"/>
      <c r="CS38" s="59"/>
      <c r="CT38" s="59"/>
      <c r="CU38" s="59"/>
      <c r="CV38" s="59"/>
      <c r="CW38" s="59"/>
      <c r="CX38" s="59"/>
      <c r="CY38" s="59"/>
      <c r="CZ38" s="59"/>
      <c r="DA38" s="59"/>
      <c r="DB38" s="59"/>
      <c r="DC38" s="59"/>
      <c r="DD38" s="59"/>
      <c r="DE38" s="59"/>
      <c r="DF38" s="59"/>
      <c r="DG38" s="59"/>
      <c r="DH38" s="59"/>
      <c r="DI38" s="59"/>
      <c r="DJ38" s="59"/>
      <c r="DK38" s="59"/>
      <c r="DL38" s="59"/>
      <c r="DM38" s="59"/>
      <c r="DN38" s="59"/>
      <c r="DO38" s="59"/>
    </row>
    <row r="39" spans="2:119" ht="16.5" thickBot="1" x14ac:dyDescent="0.3">
      <c r="B39" s="201"/>
      <c r="C39" s="197"/>
      <c r="D39" s="82">
        <v>6</v>
      </c>
      <c r="E39" s="96" t="str">
        <f t="shared" ref="E39:AH39" si="64">IF(INDEX($CK$4:$DO$123,ROW()-3,E$3)=0,"","СП")</f>
        <v/>
      </c>
      <c r="F39" s="92" t="str">
        <f t="shared" si="64"/>
        <v/>
      </c>
      <c r="G39" s="92" t="str">
        <f t="shared" si="64"/>
        <v/>
      </c>
      <c r="H39" s="92" t="str">
        <f t="shared" si="64"/>
        <v/>
      </c>
      <c r="I39" s="92" t="str">
        <f t="shared" si="64"/>
        <v/>
      </c>
      <c r="J39" s="92" t="str">
        <f t="shared" si="64"/>
        <v>СП</v>
      </c>
      <c r="K39" s="92" t="str">
        <f t="shared" si="64"/>
        <v/>
      </c>
      <c r="L39" s="92" t="str">
        <f t="shared" si="64"/>
        <v/>
      </c>
      <c r="M39" s="92" t="str">
        <f t="shared" si="64"/>
        <v/>
      </c>
      <c r="N39" s="92" t="str">
        <f t="shared" si="64"/>
        <v/>
      </c>
      <c r="O39" s="92" t="str">
        <f t="shared" si="64"/>
        <v/>
      </c>
      <c r="P39" s="92" t="str">
        <f t="shared" si="64"/>
        <v/>
      </c>
      <c r="Q39" s="92" t="str">
        <f t="shared" si="64"/>
        <v/>
      </c>
      <c r="R39" s="92" t="str">
        <f t="shared" si="64"/>
        <v/>
      </c>
      <c r="S39" s="92" t="str">
        <f t="shared" si="64"/>
        <v/>
      </c>
      <c r="T39" s="92" t="str">
        <f t="shared" si="64"/>
        <v/>
      </c>
      <c r="U39" s="92" t="str">
        <f t="shared" si="64"/>
        <v/>
      </c>
      <c r="V39" s="92" t="str">
        <f t="shared" si="64"/>
        <v/>
      </c>
      <c r="W39" s="92" t="str">
        <f t="shared" si="64"/>
        <v/>
      </c>
      <c r="X39" s="92" t="str">
        <f t="shared" si="64"/>
        <v/>
      </c>
      <c r="Y39" s="92" t="str">
        <f t="shared" si="64"/>
        <v/>
      </c>
      <c r="Z39" s="92" t="str">
        <f t="shared" si="64"/>
        <v/>
      </c>
      <c r="AA39" s="92" t="str">
        <f t="shared" si="64"/>
        <v/>
      </c>
      <c r="AB39" s="92" t="str">
        <f t="shared" si="64"/>
        <v/>
      </c>
      <c r="AC39" s="92" t="str">
        <f t="shared" si="64"/>
        <v/>
      </c>
      <c r="AD39" s="92" t="str">
        <f t="shared" si="64"/>
        <v/>
      </c>
      <c r="AE39" s="92" t="str">
        <f t="shared" si="64"/>
        <v/>
      </c>
      <c r="AF39" s="92" t="str">
        <f t="shared" si="64"/>
        <v/>
      </c>
      <c r="AG39" s="92" t="str">
        <f t="shared" si="64"/>
        <v/>
      </c>
      <c r="AH39" s="92" t="str">
        <f t="shared" si="64"/>
        <v/>
      </c>
      <c r="AI39" s="110"/>
      <c r="AJ39" s="206"/>
      <c r="AK39" s="177"/>
      <c r="AL39" s="177"/>
      <c r="AM39" s="177"/>
      <c r="AN39" s="198"/>
      <c r="AO39" s="198"/>
      <c r="AP39" s="198"/>
      <c r="AQ39" s="177"/>
      <c r="AR39" s="179"/>
      <c r="CK39" s="58">
        <f>IF(DAY(INDEX('Сводный годовой график'!$BA$4:$BL$14,$C38,MONTH($B$34)))=E$3,1,0)</f>
        <v>0</v>
      </c>
      <c r="CL39" s="58">
        <f>IF(DAY(INDEX('Сводный годовой график'!$BA$4:$BL$14,$C38,MONTH($B$34)))=F$3,1,0)</f>
        <v>0</v>
      </c>
      <c r="CM39" s="58">
        <f>IF(DAY(INDEX('Сводный годовой график'!$BA$4:$BL$14,$C38,MONTH($B$34)))=G$3,1,0)</f>
        <v>0</v>
      </c>
      <c r="CN39" s="58">
        <f>IF(DAY(INDEX('Сводный годовой график'!$BA$4:$BL$14,$C38,MONTH($B$34)))=H$3,1,0)</f>
        <v>0</v>
      </c>
      <c r="CO39" s="58">
        <f>IF(DAY(INDEX('Сводный годовой график'!$BA$4:$BL$14,$C38,MONTH($B$34)))=I$3,1,0)</f>
        <v>0</v>
      </c>
      <c r="CP39" s="58">
        <f>IF(DAY(INDEX('Сводный годовой график'!$BA$4:$BL$14,$C38,MONTH($B$34)))=J$3,1,0)</f>
        <v>1</v>
      </c>
      <c r="CQ39" s="58">
        <f>IF(DAY(INDEX('Сводный годовой график'!$BA$4:$BL$14,$C38,MONTH($B$34)))=K$3,1,0)</f>
        <v>0</v>
      </c>
      <c r="CR39" s="58">
        <f>IF(DAY(INDEX('Сводный годовой график'!$BA$4:$BL$14,$C38,MONTH($B$34)))=L$3,1,0)</f>
        <v>0</v>
      </c>
      <c r="CS39" s="58">
        <f>IF(DAY(INDEX('Сводный годовой график'!$BA$4:$BL$14,$C38,MONTH($B$34)))=M$3,1,0)</f>
        <v>0</v>
      </c>
      <c r="CT39" s="58">
        <f>IF(DAY(INDEX('Сводный годовой график'!$BA$4:$BL$14,$C38,MONTH($B$34)))=N$3,1,0)</f>
        <v>0</v>
      </c>
      <c r="CU39" s="58">
        <f>IF(DAY(INDEX('Сводный годовой график'!$BA$4:$BL$14,$C38,MONTH($B$34)))=O$3,1,0)</f>
        <v>0</v>
      </c>
      <c r="CV39" s="58">
        <f>IF(DAY(INDEX('Сводный годовой график'!$BA$4:$BL$14,$C38,MONTH($B$34)))=P$3,1,0)</f>
        <v>0</v>
      </c>
      <c r="CW39" s="58">
        <f>IF(DAY(INDEX('Сводный годовой график'!$BA$4:$BL$14,$C38,MONTH($B$34)))=Q$3,1,0)</f>
        <v>0</v>
      </c>
      <c r="CX39" s="58">
        <f>IF(DAY(INDEX('Сводный годовой график'!$BA$4:$BL$14,$C38,MONTH($B$34)))=R$3,1,0)</f>
        <v>0</v>
      </c>
      <c r="CY39" s="58">
        <f>IF(DAY(INDEX('Сводный годовой график'!$BA$4:$BL$14,$C38,MONTH($B$34)))=S$3,1,0)</f>
        <v>0</v>
      </c>
      <c r="CZ39" s="58">
        <f>IF(DAY(INDEX('Сводный годовой график'!$BA$4:$BL$14,$C38,MONTH($B$34)))=T$3,1,0)</f>
        <v>0</v>
      </c>
      <c r="DA39" s="58">
        <f>IF(DAY(INDEX('Сводный годовой график'!$BA$4:$BL$14,$C38,MONTH($B$34)))=U$3,1,0)</f>
        <v>0</v>
      </c>
      <c r="DB39" s="58">
        <f>IF(DAY(INDEX('Сводный годовой график'!$BA$4:$BL$14,$C38,MONTH($B$34)))=V$3,1,0)</f>
        <v>0</v>
      </c>
      <c r="DC39" s="58">
        <f>IF(DAY(INDEX('Сводный годовой график'!$BA$4:$BL$14,$C38,MONTH($B$34)))=W$3,1,0)</f>
        <v>0</v>
      </c>
      <c r="DD39" s="58">
        <f>IF(DAY(INDEX('Сводный годовой график'!$BA$4:$BL$14,$C38,MONTH($B$34)))=X$3,1,0)</f>
        <v>0</v>
      </c>
      <c r="DE39" s="58">
        <f>IF(DAY(INDEX('Сводный годовой график'!$BA$4:$BL$14,$C38,MONTH($B$34)))=Y$3,1,0)</f>
        <v>0</v>
      </c>
      <c r="DF39" s="58">
        <f>IF(DAY(INDEX('Сводный годовой график'!$BA$4:$BL$14,$C38,MONTH($B$34)))=Z$3,1,0)</f>
        <v>0</v>
      </c>
      <c r="DG39" s="58">
        <f>IF(DAY(INDEX('Сводный годовой график'!$BA$4:$BL$14,$C38,MONTH($B$34)))=AA$3,1,0)</f>
        <v>0</v>
      </c>
      <c r="DH39" s="58">
        <f>IF(DAY(INDEX('Сводный годовой график'!$BA$4:$BL$14,$C38,MONTH($B$34)))=AB$3,1,0)</f>
        <v>0</v>
      </c>
      <c r="DI39" s="58">
        <f>IF(DAY(INDEX('Сводный годовой график'!$BA$4:$BL$14,$C38,MONTH($B$34)))=AC$3,1,0)</f>
        <v>0</v>
      </c>
      <c r="DJ39" s="58">
        <f>IF(DAY(INDEX('Сводный годовой график'!$BA$4:$BL$14,$C38,MONTH($B$34)))=AD$3,1,0)</f>
        <v>0</v>
      </c>
      <c r="DK39" s="58">
        <f>IF(DAY(INDEX('Сводный годовой график'!$BA$4:$BL$14,$C38,MONTH($B$34)))=AE$3,1,0)</f>
        <v>0</v>
      </c>
      <c r="DL39" s="58">
        <f>IF(DAY(INDEX('Сводный годовой график'!$BA$4:$BL$14,$C38,MONTH($B$34)))=AF$3,1,0)</f>
        <v>0</v>
      </c>
      <c r="DM39" s="58">
        <f>IF(DAY(INDEX('Сводный годовой график'!$BA$4:$BL$14,$C38,MONTH($B$34)))=AG$3,1,0)</f>
        <v>0</v>
      </c>
      <c r="DN39" s="58">
        <f>IF(DAY(INDEX('Сводный годовой график'!$BA$4:$BL$14,$C38,MONTH($B$34)))=AH$3,1,0)</f>
        <v>0</v>
      </c>
      <c r="DO39" s="58">
        <f>IF(DAY(INDEX('Сводный годовой график'!$BA$4:$BL$14,$C38,MONTH($B$34)))=AI$3,1,0)</f>
        <v>0</v>
      </c>
    </row>
    <row r="40" spans="2:119" ht="16.5" thickBot="1" x14ac:dyDescent="0.3">
      <c r="B40" s="201"/>
      <c r="C40" s="196">
        <v>4</v>
      </c>
      <c r="D40" s="81">
        <v>7</v>
      </c>
      <c r="E40" s="96">
        <f ca="1">IF(AND(INDEX('Сводный годовой график'!$C$1:$AR$4,MATCH($C$40,'Сводный годовой график'!$B$1:$B$4),MATCH(DATE($AV$1,MONTH($B$34),E$3),'Сводный годовой график'!$C$8:$AR$8))&lt;&gt;12,INDIRECT(ADDRESS(ROW()+1,COLUMN()))="СП"),8,INDEX('Сводный годовой график'!$C$1:$AR$4,MATCH($C$40,'Сводный годовой график'!$B$1:$B$4),MATCH(DATE($AV$1,MONTH($B$34),E$3),'Сводный годовой график'!$C$8:$AR$8)))</f>
        <v>8</v>
      </c>
      <c r="F40" s="92">
        <f ca="1">IF(AND(INDEX('Сводный годовой график'!$C$1:$AR$4,MATCH($C$40,'Сводный годовой график'!$B$1:$B$4),MATCH(DATE($AV$1,MONTH($B$34),F$3),'Сводный годовой график'!$C$8:$AR$8))&lt;&gt;12,INDIRECT(ADDRESS(ROW()+1,COLUMN()))="СП"),8,INDEX('Сводный годовой график'!$C$1:$AR$4,MATCH($C$40,'Сводный годовой график'!$B$1:$B$4),MATCH(DATE($AV$1,MONTH($B$34),F$3),'Сводный годовой график'!$C$8:$AR$8)))</f>
        <v>12</v>
      </c>
      <c r="G40" s="92">
        <f ca="1">IF(AND(INDEX('Сводный годовой график'!$C$1:$AR$4,MATCH($C$40,'Сводный годовой график'!$B$1:$B$4),MATCH(DATE($AV$1,MONTH($B$34),G$3),'Сводный годовой график'!$C$8:$AR$8))&lt;&gt;12,INDIRECT(ADDRESS(ROW()+1,COLUMN()))="СП"),8,INDEX('Сводный годовой график'!$C$1:$AR$4,MATCH($C$40,'Сводный годовой график'!$B$1:$B$4),MATCH(DATE($AV$1,MONTH($B$34),G$3),'Сводный годовой график'!$C$8:$AR$8)))</f>
        <v>0</v>
      </c>
      <c r="H40" s="92">
        <f ca="1">IF(AND(INDEX('Сводный годовой график'!$C$1:$AR$4,MATCH($C$40,'Сводный годовой график'!$B$1:$B$4),MATCH(DATE($AV$1,MONTH($B$34),H$3),'Сводный годовой график'!$C$8:$AR$8))&lt;&gt;12,INDIRECT(ADDRESS(ROW()+1,COLUMN()))="СП"),8,INDEX('Сводный годовой график'!$C$1:$AR$4,MATCH($C$40,'Сводный годовой график'!$B$1:$B$4),MATCH(DATE($AV$1,MONTH($B$34),H$3),'Сводный годовой график'!$C$8:$AR$8)))</f>
        <v>0</v>
      </c>
      <c r="I40" s="92">
        <f ca="1">IF(AND(INDEX('Сводный годовой график'!$C$1:$AR$4,MATCH($C$40,'Сводный годовой график'!$B$1:$B$4),MATCH(DATE($AV$1,MONTH($B$34),I$3),'Сводный годовой график'!$C$8:$AR$8))&lt;&gt;12,INDIRECT(ADDRESS(ROW()+1,COLUMN()))="СП"),8,INDEX('Сводный годовой график'!$C$1:$AR$4,MATCH($C$40,'Сводный годовой график'!$B$1:$B$4),MATCH(DATE($AV$1,MONTH($B$34),I$3),'Сводный годовой график'!$C$8:$AR$8)))</f>
        <v>4</v>
      </c>
      <c r="J40" s="92">
        <f ca="1">IF(AND(INDEX('Сводный годовой график'!$C$1:$AR$4,MATCH($C$40,'Сводный годовой график'!$B$1:$B$4),MATCH(DATE($AV$1,MONTH($B$34),J$3),'Сводный годовой график'!$C$8:$AR$8))&lt;&gt;12,INDIRECT(ADDRESS(ROW()+1,COLUMN()))="СП"),8,INDEX('Сводный годовой график'!$C$1:$AR$4,MATCH($C$40,'Сводный годовой график'!$B$1:$B$4),MATCH(DATE($AV$1,MONTH($B$34),J$3),'Сводный годовой график'!$C$8:$AR$8)))</f>
        <v>8</v>
      </c>
      <c r="K40" s="92">
        <f ca="1">IF(AND(INDEX('Сводный годовой график'!$C$1:$AR$4,MATCH($C$40,'Сводный годовой график'!$B$1:$B$4),MATCH(DATE($AV$1,MONTH($B$34),K$3),'Сводный годовой график'!$C$8:$AR$8))&lt;&gt;12,INDIRECT(ADDRESS(ROW()+1,COLUMN()))="СП"),8,INDEX('Сводный годовой график'!$C$1:$AR$4,MATCH($C$40,'Сводный годовой график'!$B$1:$B$4),MATCH(DATE($AV$1,MONTH($B$34),K$3),'Сводный годовой график'!$C$8:$AR$8)))</f>
        <v>12</v>
      </c>
      <c r="L40" s="92">
        <f ca="1">IF(AND(INDEX('Сводный годовой график'!$C$1:$AR$4,MATCH($C$40,'Сводный годовой график'!$B$1:$B$4),MATCH(DATE($AV$1,MONTH($B$34),L$3),'Сводный годовой график'!$C$8:$AR$8))&lt;&gt;12,INDIRECT(ADDRESS(ROW()+1,COLUMN()))="СП"),8,INDEX('Сводный годовой график'!$C$1:$AR$4,MATCH($C$40,'Сводный годовой график'!$B$1:$B$4),MATCH(DATE($AV$1,MONTH($B$34),L$3),'Сводный годовой график'!$C$8:$AR$8)))</f>
        <v>4</v>
      </c>
      <c r="M40" s="92">
        <f ca="1">IF(AND(INDEX('Сводный годовой график'!$C$1:$AR$4,MATCH($C$40,'Сводный годовой график'!$B$1:$B$4),MATCH(DATE($AV$1,MONTH($B$34),M$3),'Сводный годовой график'!$C$8:$AR$8))&lt;&gt;12,INDIRECT(ADDRESS(ROW()+1,COLUMN()))="СП"),8,INDEX('Сводный годовой график'!$C$1:$AR$4,MATCH($C$40,'Сводный годовой график'!$B$1:$B$4),MATCH(DATE($AV$1,MONTH($B$34),M$3),'Сводный годовой график'!$C$8:$AR$8)))</f>
        <v>8</v>
      </c>
      <c r="N40" s="92">
        <f ca="1">IF(AND(INDEX('Сводный годовой график'!$C$1:$AR$4,MATCH($C$40,'Сводный годовой график'!$B$1:$B$4),MATCH(DATE($AV$1,MONTH($B$34),N$3),'Сводный годовой график'!$C$8:$AR$8))&lt;&gt;12,INDIRECT(ADDRESS(ROW()+1,COLUMN()))="СП"),8,INDEX('Сводный годовой график'!$C$1:$AR$4,MATCH($C$40,'Сводный годовой график'!$B$1:$B$4),MATCH(DATE($AV$1,MONTH($B$34),N$3),'Сводный годовой график'!$C$8:$AR$8)))</f>
        <v>12</v>
      </c>
      <c r="O40" s="92">
        <f ca="1">IF(AND(INDEX('Сводный годовой график'!$C$1:$AR$4,MATCH($C$40,'Сводный годовой график'!$B$1:$B$4),MATCH(DATE($AV$1,MONTH($B$34),O$3),'Сводный годовой график'!$C$8:$AR$8))&lt;&gt;12,INDIRECT(ADDRESS(ROW()+1,COLUMN()))="СП"),8,INDEX('Сводный годовой график'!$C$1:$AR$4,MATCH($C$40,'Сводный годовой график'!$B$1:$B$4),MATCH(DATE($AV$1,MONTH($B$34),O$3),'Сводный годовой график'!$C$8:$AR$8)))</f>
        <v>0</v>
      </c>
      <c r="P40" s="92">
        <f ca="1">IF(AND(INDEX('Сводный годовой график'!$C$1:$AR$4,MATCH($C$40,'Сводный годовой график'!$B$1:$B$4),MATCH(DATE($AV$1,MONTH($B$34),P$3),'Сводный годовой график'!$C$8:$AR$8))&lt;&gt;12,INDIRECT(ADDRESS(ROW()+1,COLUMN()))="СП"),8,INDEX('Сводный годовой график'!$C$1:$AR$4,MATCH($C$40,'Сводный годовой график'!$B$1:$B$4),MATCH(DATE($AV$1,MONTH($B$34),P$3),'Сводный годовой график'!$C$8:$AR$8)))</f>
        <v>0</v>
      </c>
      <c r="Q40" s="92">
        <f ca="1">IF(AND(INDEX('Сводный годовой график'!$C$1:$AR$4,MATCH($C$40,'Сводный годовой график'!$B$1:$B$4),MATCH(DATE($AV$1,MONTH($B$34),Q$3),'Сводный годовой график'!$C$8:$AR$8))&lt;&gt;12,INDIRECT(ADDRESS(ROW()+1,COLUMN()))="СП"),8,INDEX('Сводный годовой график'!$C$1:$AR$4,MATCH($C$40,'Сводный годовой график'!$B$1:$B$4),MATCH(DATE($AV$1,MONTH($B$34),Q$3),'Сводный годовой график'!$C$8:$AR$8)))</f>
        <v>4</v>
      </c>
      <c r="R40" s="92">
        <f ca="1">IF(AND(INDEX('Сводный годовой график'!$C$1:$AR$4,MATCH($C$40,'Сводный годовой график'!$B$1:$B$4),MATCH(DATE($AV$1,MONTH($B$34),R$3),'Сводный годовой график'!$C$8:$AR$8))&lt;&gt;12,INDIRECT(ADDRESS(ROW()+1,COLUMN()))="СП"),8,INDEX('Сводный годовой график'!$C$1:$AR$4,MATCH($C$40,'Сводный годовой график'!$B$1:$B$4),MATCH(DATE($AV$1,MONTH($B$34),R$3),'Сводный годовой график'!$C$8:$AR$8)))</f>
        <v>8</v>
      </c>
      <c r="S40" s="92">
        <f ca="1">IF(AND(INDEX('Сводный годовой график'!$C$1:$AR$4,MATCH($C$40,'Сводный годовой график'!$B$1:$B$4),MATCH(DATE($AV$1,MONTH($B$34),S$3),'Сводный годовой график'!$C$8:$AR$8))&lt;&gt;12,INDIRECT(ADDRESS(ROW()+1,COLUMN()))="СП"),8,INDEX('Сводный годовой график'!$C$1:$AR$4,MATCH($C$40,'Сводный годовой график'!$B$1:$B$4),MATCH(DATE($AV$1,MONTH($B$34),S$3),'Сводный годовой график'!$C$8:$AR$8)))</f>
        <v>12</v>
      </c>
      <c r="T40" s="92">
        <f ca="1">IF(AND(INDEX('Сводный годовой график'!$C$1:$AR$4,MATCH($C$40,'Сводный годовой график'!$B$1:$B$4),MATCH(DATE($AV$1,MONTH($B$34),T$3),'Сводный годовой график'!$C$8:$AR$8))&lt;&gt;12,INDIRECT(ADDRESS(ROW()+1,COLUMN()))="СП"),8,INDEX('Сводный годовой график'!$C$1:$AR$4,MATCH($C$40,'Сводный годовой график'!$B$1:$B$4),MATCH(DATE($AV$1,MONTH($B$34),T$3),'Сводный годовой график'!$C$8:$AR$8)))</f>
        <v>4</v>
      </c>
      <c r="U40" s="92">
        <f ca="1">IF(AND(INDEX('Сводный годовой график'!$C$1:$AR$4,MATCH($C$40,'Сводный годовой график'!$B$1:$B$4),MATCH(DATE($AV$1,MONTH($B$34),U$3),'Сводный годовой график'!$C$8:$AR$8))&lt;&gt;12,INDIRECT(ADDRESS(ROW()+1,COLUMN()))="СП"),8,INDEX('Сводный годовой график'!$C$1:$AR$4,MATCH($C$40,'Сводный годовой график'!$B$1:$B$4),MATCH(DATE($AV$1,MONTH($B$34),U$3),'Сводный годовой график'!$C$8:$AR$8)))</f>
        <v>8</v>
      </c>
      <c r="V40" s="92">
        <f ca="1">IF(AND(INDEX('Сводный годовой график'!$C$1:$AR$4,MATCH($C$40,'Сводный годовой график'!$B$1:$B$4),MATCH(DATE($AV$1,MONTH($B$34),V$3),'Сводный годовой график'!$C$8:$AR$8))&lt;&gt;12,INDIRECT(ADDRESS(ROW()+1,COLUMN()))="СП"),8,INDEX('Сводный годовой график'!$C$1:$AR$4,MATCH($C$40,'Сводный годовой график'!$B$1:$B$4),MATCH(DATE($AV$1,MONTH($B$34),V$3),'Сводный годовой график'!$C$8:$AR$8)))</f>
        <v>12</v>
      </c>
      <c r="W40" s="92">
        <f ca="1">IF(AND(INDEX('Сводный годовой график'!$C$1:$AR$4,MATCH($C$40,'Сводный годовой график'!$B$1:$B$4),MATCH(DATE($AV$1,MONTH($B$34),W$3),'Сводный годовой график'!$C$8:$AR$8))&lt;&gt;12,INDIRECT(ADDRESS(ROW()+1,COLUMN()))="СП"),8,INDEX('Сводный годовой график'!$C$1:$AR$4,MATCH($C$40,'Сводный годовой график'!$B$1:$B$4),MATCH(DATE($AV$1,MONTH($B$34),W$3),'Сводный годовой график'!$C$8:$AR$8)))</f>
        <v>0</v>
      </c>
      <c r="X40" s="92">
        <f ca="1">IF(AND(INDEX('Сводный годовой график'!$C$1:$AR$4,MATCH($C$40,'Сводный годовой график'!$B$1:$B$4),MATCH(DATE($AV$1,MONTH($B$34),X$3),'Сводный годовой график'!$C$8:$AR$8))&lt;&gt;12,INDIRECT(ADDRESS(ROW()+1,COLUMN()))="СП"),8,INDEX('Сводный годовой график'!$C$1:$AR$4,MATCH($C$40,'Сводный годовой график'!$B$1:$B$4),MATCH(DATE($AV$1,MONTH($B$34),X$3),'Сводный годовой график'!$C$8:$AR$8)))</f>
        <v>0</v>
      </c>
      <c r="Y40" s="92">
        <f ca="1">IF(AND(INDEX('Сводный годовой график'!$C$1:$AR$4,MATCH($C$40,'Сводный годовой график'!$B$1:$B$4),MATCH(DATE($AV$1,MONTH($B$34),Y$3),'Сводный годовой график'!$C$8:$AR$8))&lt;&gt;12,INDIRECT(ADDRESS(ROW()+1,COLUMN()))="СП"),8,INDEX('Сводный годовой график'!$C$1:$AR$4,MATCH($C$40,'Сводный годовой график'!$B$1:$B$4),MATCH(DATE($AV$1,MONTH($B$34),Y$3),'Сводный годовой график'!$C$8:$AR$8)))</f>
        <v>4</v>
      </c>
      <c r="Z40" s="92">
        <f ca="1">IF(AND(INDEX('Сводный годовой график'!$C$1:$AR$4,MATCH($C$40,'Сводный годовой график'!$B$1:$B$4),MATCH(DATE($AV$1,MONTH($B$34),Z$3),'Сводный годовой график'!$C$8:$AR$8))&lt;&gt;12,INDIRECT(ADDRESS(ROW()+1,COLUMN()))="СП"),8,INDEX('Сводный годовой график'!$C$1:$AR$4,MATCH($C$40,'Сводный годовой график'!$B$1:$B$4),MATCH(DATE($AV$1,MONTH($B$34),Z$3),'Сводный годовой график'!$C$8:$AR$8)))</f>
        <v>8</v>
      </c>
      <c r="AA40" s="92">
        <f ca="1">IF(AND(INDEX('Сводный годовой график'!$C$1:$AR$4,MATCH($C$40,'Сводный годовой график'!$B$1:$B$4),MATCH(DATE($AV$1,MONTH($B$34),AA$3),'Сводный годовой график'!$C$8:$AR$8))&lt;&gt;12,INDIRECT(ADDRESS(ROW()+1,COLUMN()))="СП"),8,INDEX('Сводный годовой график'!$C$1:$AR$4,MATCH($C$40,'Сводный годовой график'!$B$1:$B$4),MATCH(DATE($AV$1,MONTH($B$34),AA$3),'Сводный годовой график'!$C$8:$AR$8)))</f>
        <v>12</v>
      </c>
      <c r="AB40" s="92">
        <f ca="1">IF(AND(INDEX('Сводный годовой график'!$C$1:$AR$4,MATCH($C$40,'Сводный годовой график'!$B$1:$B$4),MATCH(DATE($AV$1,MONTH($B$34),AB$3),'Сводный годовой график'!$C$8:$AR$8))&lt;&gt;12,INDIRECT(ADDRESS(ROW()+1,COLUMN()))="СП"),8,INDEX('Сводный годовой график'!$C$1:$AR$4,MATCH($C$40,'Сводный годовой график'!$B$1:$B$4),MATCH(DATE($AV$1,MONTH($B$34),AB$3),'Сводный годовой график'!$C$8:$AR$8)))</f>
        <v>4</v>
      </c>
      <c r="AC40" s="92">
        <f ca="1">IF(AND(INDEX('Сводный годовой график'!$C$1:$AR$4,MATCH($C$40,'Сводный годовой график'!$B$1:$B$4),MATCH(DATE($AV$1,MONTH($B$34),AC$3),'Сводный годовой график'!$C$8:$AR$8))&lt;&gt;12,INDIRECT(ADDRESS(ROW()+1,COLUMN()))="СП"),8,INDEX('Сводный годовой график'!$C$1:$AR$4,MATCH($C$40,'Сводный годовой график'!$B$1:$B$4),MATCH(DATE($AV$1,MONTH($B$34),AC$3),'Сводный годовой график'!$C$8:$AR$8)))</f>
        <v>8</v>
      </c>
      <c r="AD40" s="92">
        <f ca="1">IF(AND(INDEX('Сводный годовой график'!$C$1:$AR$4,MATCH($C$40,'Сводный годовой график'!$B$1:$B$4),MATCH(DATE($AV$1,MONTH($B$34),AD$3),'Сводный годовой график'!$C$8:$AR$8))&lt;&gt;12,INDIRECT(ADDRESS(ROW()+1,COLUMN()))="СП"),8,INDEX('Сводный годовой график'!$C$1:$AR$4,MATCH($C$40,'Сводный годовой график'!$B$1:$B$4),MATCH(DATE($AV$1,MONTH($B$34),AD$3),'Сводный годовой график'!$C$8:$AR$8)))</f>
        <v>12</v>
      </c>
      <c r="AE40" s="92">
        <f ca="1">IF(AND(INDEX('Сводный годовой график'!$C$1:$AR$4,MATCH($C$40,'Сводный годовой график'!$B$1:$B$4),MATCH(DATE($AV$1,MONTH($B$34),AE$3),'Сводный годовой график'!$C$8:$AR$8))&lt;&gt;12,INDIRECT(ADDRESS(ROW()+1,COLUMN()))="СП"),8,INDEX('Сводный годовой график'!$C$1:$AR$4,MATCH($C$40,'Сводный годовой график'!$B$1:$B$4),MATCH(DATE($AV$1,MONTH($B$34),AE$3),'Сводный годовой график'!$C$8:$AR$8)))</f>
        <v>0</v>
      </c>
      <c r="AF40" s="92">
        <f ca="1">IF(AND(INDEX('Сводный годовой график'!$C$1:$AR$4,MATCH($C$40,'Сводный годовой график'!$B$1:$B$4),MATCH(DATE($AV$1,MONTH($B$34),AF$3),'Сводный годовой график'!$C$8:$AR$8))&lt;&gt;12,INDIRECT(ADDRESS(ROW()+1,COLUMN()))="СП"),8,INDEX('Сводный годовой график'!$C$1:$AR$4,MATCH($C$40,'Сводный годовой график'!$B$1:$B$4),MATCH(DATE($AV$1,MONTH($B$34),AF$3),'Сводный годовой график'!$C$8:$AR$8)))</f>
        <v>0</v>
      </c>
      <c r="AG40" s="92">
        <f ca="1">IF(AND(INDEX('Сводный годовой график'!$C$1:$AR$4,MATCH($C$40,'Сводный годовой график'!$B$1:$B$4),MATCH(DATE($AV$1,MONTH($B$34),AG$3),'Сводный годовой график'!$C$8:$AR$8))&lt;&gt;12,INDIRECT(ADDRESS(ROW()+1,COLUMN()))="СП"),8,INDEX('Сводный годовой график'!$C$1:$AR$4,MATCH($C$40,'Сводный годовой график'!$B$1:$B$4),MATCH(DATE($AV$1,MONTH($B$34),AG$3),'Сводный годовой график'!$C$8:$AR$8)))</f>
        <v>4</v>
      </c>
      <c r="AH40" s="92">
        <f ca="1">IF(AND(INDEX('Сводный годовой график'!$C$1:$AR$4,MATCH($C$40,'Сводный годовой график'!$B$1:$B$4),MATCH(DATE($AV$1,MONTH($B$34),AH$3),'Сводный годовой график'!$C$8:$AR$8))&lt;&gt;12,INDIRECT(ADDRESS(ROW()+1,COLUMN()))="СП"),8,INDEX('Сводный годовой график'!$C$1:$AR$4,MATCH($C$40,'Сводный годовой график'!$B$1:$B$4),MATCH(DATE($AV$1,MONTH($B$34),AH$3),'Сводный годовой график'!$C$8:$AR$8)))</f>
        <v>8</v>
      </c>
      <c r="AI40" s="110"/>
      <c r="AJ40" s="206"/>
      <c r="AK40" s="177">
        <f>$AJ$34-SUM(AY40:CC41)</f>
        <v>175</v>
      </c>
      <c r="AL40" s="177">
        <f t="shared" ref="AL40" ca="1" si="65">SUM(E40:AI41)</f>
        <v>176</v>
      </c>
      <c r="AM40" s="177">
        <v>0</v>
      </c>
      <c r="AN40" s="198">
        <f t="shared" ref="AN40" ca="1" si="66">-AM40-AK40+AL40</f>
        <v>1</v>
      </c>
      <c r="AO40" s="198">
        <v>0</v>
      </c>
      <c r="AP40" s="198">
        <f t="shared" ref="AP40" ca="1" si="67">AN40+AP30-AO40</f>
        <v>26</v>
      </c>
      <c r="AQ40" s="177">
        <v>0</v>
      </c>
      <c r="AR40" s="179">
        <v>1</v>
      </c>
      <c r="CK40" s="59"/>
      <c r="CL40" s="59"/>
      <c r="CM40" s="59"/>
      <c r="CN40" s="59"/>
      <c r="CO40" s="59"/>
      <c r="CP40" s="59"/>
      <c r="CQ40" s="59"/>
      <c r="CR40" s="59"/>
      <c r="CS40" s="59"/>
      <c r="CT40" s="59"/>
      <c r="CU40" s="59"/>
      <c r="CV40" s="59"/>
      <c r="CW40" s="59"/>
      <c r="CX40" s="59"/>
      <c r="CY40" s="59"/>
      <c r="CZ40" s="59"/>
      <c r="DA40" s="59"/>
      <c r="DB40" s="59"/>
      <c r="DC40" s="59"/>
      <c r="DD40" s="59"/>
      <c r="DE40" s="59"/>
      <c r="DF40" s="59"/>
      <c r="DG40" s="59"/>
      <c r="DH40" s="59"/>
      <c r="DI40" s="59"/>
      <c r="DJ40" s="59"/>
      <c r="DK40" s="59"/>
      <c r="DL40" s="59"/>
      <c r="DM40" s="59"/>
      <c r="DN40" s="59"/>
      <c r="DO40" s="59"/>
    </row>
    <row r="41" spans="2:119" ht="16.5" thickBot="1" x14ac:dyDescent="0.3">
      <c r="B41" s="201"/>
      <c r="C41" s="197"/>
      <c r="D41" s="82">
        <v>8</v>
      </c>
      <c r="E41" s="96" t="str">
        <f t="shared" ref="E41:AH41" si="68">IF(INDEX($CK$4:$DO$123,ROW()-3,E$3)=0,"","СП")</f>
        <v/>
      </c>
      <c r="F41" s="92" t="str">
        <f t="shared" si="68"/>
        <v/>
      </c>
      <c r="G41" s="92" t="str">
        <f t="shared" si="68"/>
        <v/>
      </c>
      <c r="H41" s="92" t="str">
        <f t="shared" si="68"/>
        <v/>
      </c>
      <c r="I41" s="92" t="str">
        <f t="shared" si="68"/>
        <v/>
      </c>
      <c r="J41" s="92" t="str">
        <f t="shared" si="68"/>
        <v/>
      </c>
      <c r="K41" s="92" t="str">
        <f t="shared" si="68"/>
        <v>СП</v>
      </c>
      <c r="L41" s="92" t="str">
        <f t="shared" si="68"/>
        <v/>
      </c>
      <c r="M41" s="92" t="str">
        <f t="shared" si="68"/>
        <v/>
      </c>
      <c r="N41" s="92" t="str">
        <f t="shared" si="68"/>
        <v/>
      </c>
      <c r="O41" s="92" t="str">
        <f t="shared" si="68"/>
        <v/>
      </c>
      <c r="P41" s="92" t="str">
        <f t="shared" si="68"/>
        <v/>
      </c>
      <c r="Q41" s="92" t="str">
        <f t="shared" si="68"/>
        <v/>
      </c>
      <c r="R41" s="92" t="str">
        <f t="shared" si="68"/>
        <v/>
      </c>
      <c r="S41" s="92" t="str">
        <f t="shared" si="68"/>
        <v/>
      </c>
      <c r="T41" s="92" t="str">
        <f t="shared" si="68"/>
        <v/>
      </c>
      <c r="U41" s="92" t="str">
        <f t="shared" si="68"/>
        <v/>
      </c>
      <c r="V41" s="92" t="str">
        <f t="shared" si="68"/>
        <v/>
      </c>
      <c r="W41" s="92" t="str">
        <f t="shared" si="68"/>
        <v/>
      </c>
      <c r="X41" s="92" t="str">
        <f t="shared" si="68"/>
        <v/>
      </c>
      <c r="Y41" s="92" t="str">
        <f t="shared" si="68"/>
        <v/>
      </c>
      <c r="Z41" s="92" t="str">
        <f t="shared" si="68"/>
        <v/>
      </c>
      <c r="AA41" s="92" t="str">
        <f t="shared" si="68"/>
        <v/>
      </c>
      <c r="AB41" s="92" t="str">
        <f t="shared" si="68"/>
        <v/>
      </c>
      <c r="AC41" s="92" t="str">
        <f t="shared" si="68"/>
        <v/>
      </c>
      <c r="AD41" s="92" t="str">
        <f t="shared" si="68"/>
        <v/>
      </c>
      <c r="AE41" s="92" t="str">
        <f t="shared" si="68"/>
        <v/>
      </c>
      <c r="AF41" s="92" t="str">
        <f t="shared" si="68"/>
        <v/>
      </c>
      <c r="AG41" s="92" t="str">
        <f t="shared" si="68"/>
        <v/>
      </c>
      <c r="AH41" s="92" t="str">
        <f t="shared" si="68"/>
        <v/>
      </c>
      <c r="AI41" s="110"/>
      <c r="AJ41" s="206"/>
      <c r="AK41" s="177"/>
      <c r="AL41" s="177"/>
      <c r="AM41" s="177"/>
      <c r="AN41" s="198"/>
      <c r="AO41" s="198"/>
      <c r="AP41" s="198"/>
      <c r="AQ41" s="177"/>
      <c r="AR41" s="179"/>
      <c r="CK41" s="58">
        <f>IF(DAY(INDEX('Сводный годовой график'!$BA$4:$BL$14,$C40,MONTH($B$34)))=E$3,1,0)</f>
        <v>0</v>
      </c>
      <c r="CL41" s="58">
        <f>IF(DAY(INDEX('Сводный годовой график'!$BA$4:$BL$14,$C40,MONTH($B$34)))=F$3,1,0)</f>
        <v>0</v>
      </c>
      <c r="CM41" s="58">
        <f>IF(DAY(INDEX('Сводный годовой график'!$BA$4:$BL$14,$C40,MONTH($B$34)))=G$3,1,0)</f>
        <v>0</v>
      </c>
      <c r="CN41" s="58">
        <f>IF(DAY(INDEX('Сводный годовой график'!$BA$4:$BL$14,$C40,MONTH($B$34)))=H$3,1,0)</f>
        <v>0</v>
      </c>
      <c r="CO41" s="58">
        <f>IF(DAY(INDEX('Сводный годовой график'!$BA$4:$BL$14,$C40,MONTH($B$34)))=I$3,1,0)</f>
        <v>0</v>
      </c>
      <c r="CP41" s="58">
        <f>IF(DAY(INDEX('Сводный годовой график'!$BA$4:$BL$14,$C40,MONTH($B$34)))=J$3,1,0)</f>
        <v>0</v>
      </c>
      <c r="CQ41" s="58">
        <f>IF(DAY(INDEX('Сводный годовой график'!$BA$4:$BL$14,$C40,MONTH($B$34)))=K$3,1,0)</f>
        <v>1</v>
      </c>
      <c r="CR41" s="58">
        <f>IF(DAY(INDEX('Сводный годовой график'!$BA$4:$BL$14,$C40,MONTH($B$34)))=L$3,1,0)</f>
        <v>0</v>
      </c>
      <c r="CS41" s="58">
        <f>IF(DAY(INDEX('Сводный годовой график'!$BA$4:$BL$14,$C40,MONTH($B$34)))=M$3,1,0)</f>
        <v>0</v>
      </c>
      <c r="CT41" s="58">
        <f>IF(DAY(INDEX('Сводный годовой график'!$BA$4:$BL$14,$C40,MONTH($B$34)))=N$3,1,0)</f>
        <v>0</v>
      </c>
      <c r="CU41" s="58">
        <f>IF(DAY(INDEX('Сводный годовой график'!$BA$4:$BL$14,$C40,MONTH($B$34)))=O$3,1,0)</f>
        <v>0</v>
      </c>
      <c r="CV41" s="58">
        <f>IF(DAY(INDEX('Сводный годовой график'!$BA$4:$BL$14,$C40,MONTH($B$34)))=P$3,1,0)</f>
        <v>0</v>
      </c>
      <c r="CW41" s="58">
        <f>IF(DAY(INDEX('Сводный годовой график'!$BA$4:$BL$14,$C40,MONTH($B$34)))=Q$3,1,0)</f>
        <v>0</v>
      </c>
      <c r="CX41" s="58">
        <f>IF(DAY(INDEX('Сводный годовой график'!$BA$4:$BL$14,$C40,MONTH($B$34)))=R$3,1,0)</f>
        <v>0</v>
      </c>
      <c r="CY41" s="58">
        <f>IF(DAY(INDEX('Сводный годовой график'!$BA$4:$BL$14,$C40,MONTH($B$34)))=S$3,1,0)</f>
        <v>0</v>
      </c>
      <c r="CZ41" s="58">
        <f>IF(DAY(INDEX('Сводный годовой график'!$BA$4:$BL$14,$C40,MONTH($B$34)))=T$3,1,0)</f>
        <v>0</v>
      </c>
      <c r="DA41" s="58">
        <f>IF(DAY(INDEX('Сводный годовой график'!$BA$4:$BL$14,$C40,MONTH($B$34)))=U$3,1,0)</f>
        <v>0</v>
      </c>
      <c r="DB41" s="58">
        <f>IF(DAY(INDEX('Сводный годовой график'!$BA$4:$BL$14,$C40,MONTH($B$34)))=V$3,1,0)</f>
        <v>0</v>
      </c>
      <c r="DC41" s="58">
        <f>IF(DAY(INDEX('Сводный годовой график'!$BA$4:$BL$14,$C40,MONTH($B$34)))=W$3,1,0)</f>
        <v>0</v>
      </c>
      <c r="DD41" s="58">
        <f>IF(DAY(INDEX('Сводный годовой график'!$BA$4:$BL$14,$C40,MONTH($B$34)))=X$3,1,0)</f>
        <v>0</v>
      </c>
      <c r="DE41" s="58">
        <f>IF(DAY(INDEX('Сводный годовой график'!$BA$4:$BL$14,$C40,MONTH($B$34)))=Y$3,1,0)</f>
        <v>0</v>
      </c>
      <c r="DF41" s="58">
        <f>IF(DAY(INDEX('Сводный годовой график'!$BA$4:$BL$14,$C40,MONTH($B$34)))=Z$3,1,0)</f>
        <v>0</v>
      </c>
      <c r="DG41" s="58">
        <f>IF(DAY(INDEX('Сводный годовой график'!$BA$4:$BL$14,$C40,MONTH($B$34)))=AA$3,1,0)</f>
        <v>0</v>
      </c>
      <c r="DH41" s="58">
        <f>IF(DAY(INDEX('Сводный годовой график'!$BA$4:$BL$14,$C40,MONTH($B$34)))=AB$3,1,0)</f>
        <v>0</v>
      </c>
      <c r="DI41" s="58">
        <f>IF(DAY(INDEX('Сводный годовой график'!$BA$4:$BL$14,$C40,MONTH($B$34)))=AC$3,1,0)</f>
        <v>0</v>
      </c>
      <c r="DJ41" s="58">
        <f>IF(DAY(INDEX('Сводный годовой график'!$BA$4:$BL$14,$C40,MONTH($B$34)))=AD$3,1,0)</f>
        <v>0</v>
      </c>
      <c r="DK41" s="58">
        <f>IF(DAY(INDEX('Сводный годовой график'!$BA$4:$BL$14,$C40,MONTH($B$34)))=AE$3,1,0)</f>
        <v>0</v>
      </c>
      <c r="DL41" s="58">
        <f>IF(DAY(INDEX('Сводный годовой график'!$BA$4:$BL$14,$C40,MONTH($B$34)))=AF$3,1,0)</f>
        <v>0</v>
      </c>
      <c r="DM41" s="58">
        <f>IF(DAY(INDEX('Сводный годовой график'!$BA$4:$BL$14,$C40,MONTH($B$34)))=AG$3,1,0)</f>
        <v>0</v>
      </c>
      <c r="DN41" s="58">
        <f>IF(DAY(INDEX('Сводный годовой график'!$BA$4:$BL$14,$C40,MONTH($B$34)))=AH$3,1,0)</f>
        <v>0</v>
      </c>
      <c r="DO41" s="58">
        <f>IF(DAY(INDEX('Сводный годовой график'!$BA$4:$BL$14,$C40,MONTH($B$34)))=AI$3,1,0)</f>
        <v>0</v>
      </c>
    </row>
    <row r="42" spans="2:119" ht="16.5" thickBot="1" x14ac:dyDescent="0.3">
      <c r="B42" s="201"/>
      <c r="C42" s="196">
        <v>5</v>
      </c>
      <c r="D42" s="81">
        <v>9</v>
      </c>
      <c r="E42" s="96" t="s">
        <v>36</v>
      </c>
      <c r="F42" s="92" t="s">
        <v>36</v>
      </c>
      <c r="G42" s="92" t="s">
        <v>36</v>
      </c>
      <c r="H42" s="92" t="s">
        <v>36</v>
      </c>
      <c r="I42" s="92" t="s">
        <v>36</v>
      </c>
      <c r="J42" s="92" t="s">
        <v>36</v>
      </c>
      <c r="K42" s="92" t="s">
        <v>36</v>
      </c>
      <c r="L42" s="92" t="s">
        <v>36</v>
      </c>
      <c r="M42" s="92" t="s">
        <v>36</v>
      </c>
      <c r="N42" s="92" t="s">
        <v>36</v>
      </c>
      <c r="O42" s="92" t="s">
        <v>36</v>
      </c>
      <c r="P42" s="92" t="s">
        <v>36</v>
      </c>
      <c r="Q42" s="92" t="s">
        <v>36</v>
      </c>
      <c r="R42" s="92" t="s">
        <v>36</v>
      </c>
      <c r="S42" s="92" t="s">
        <v>36</v>
      </c>
      <c r="T42" s="92" t="s">
        <v>36</v>
      </c>
      <c r="U42" s="92" t="s">
        <v>36</v>
      </c>
      <c r="V42" s="92" t="s">
        <v>36</v>
      </c>
      <c r="W42" s="92" t="s">
        <v>36</v>
      </c>
      <c r="X42" s="92" t="s">
        <v>36</v>
      </c>
      <c r="Y42" s="92" t="s">
        <v>36</v>
      </c>
      <c r="Z42" s="92" t="s">
        <v>36</v>
      </c>
      <c r="AA42" s="92" t="s">
        <v>36</v>
      </c>
      <c r="AB42" s="92" t="s">
        <v>36</v>
      </c>
      <c r="AC42" s="92" t="s">
        <v>36</v>
      </c>
      <c r="AD42" s="92" t="s">
        <v>36</v>
      </c>
      <c r="AE42" s="92" t="s">
        <v>36</v>
      </c>
      <c r="AF42" s="92" t="s">
        <v>36</v>
      </c>
      <c r="AG42" s="92" t="s">
        <v>36</v>
      </c>
      <c r="AH42" s="92" t="s">
        <v>36</v>
      </c>
      <c r="AI42" s="110"/>
      <c r="AJ42" s="206"/>
      <c r="AK42" s="177">
        <f>$AJ$34-SUM(AY42:CC43)</f>
        <v>175</v>
      </c>
      <c r="AL42" s="177">
        <f t="shared" ref="AL42" si="69">SUM(E42:AI43)</f>
        <v>0</v>
      </c>
      <c r="AM42" s="177">
        <v>0</v>
      </c>
      <c r="AN42" s="198">
        <f t="shared" ref="AN42" si="70">-AM42-AK42+AL42</f>
        <v>-175</v>
      </c>
      <c r="AO42" s="198">
        <v>12</v>
      </c>
      <c r="AP42" s="198">
        <f t="shared" ref="AP42" si="71">AN42+AP32-AO42</f>
        <v>-662</v>
      </c>
      <c r="AQ42" s="177">
        <v>0</v>
      </c>
      <c r="AR42" s="179">
        <v>1</v>
      </c>
      <c r="CK42" s="59"/>
      <c r="CL42" s="59"/>
      <c r="CM42" s="59"/>
      <c r="CN42" s="59"/>
      <c r="CO42" s="59"/>
      <c r="CP42" s="59"/>
      <c r="CQ42" s="59"/>
      <c r="CR42" s="59"/>
      <c r="CS42" s="59"/>
      <c r="CT42" s="59"/>
      <c r="CU42" s="59"/>
      <c r="CV42" s="59"/>
      <c r="CW42" s="59"/>
      <c r="CX42" s="59"/>
      <c r="CY42" s="59"/>
      <c r="CZ42" s="59"/>
      <c r="DA42" s="59"/>
      <c r="DB42" s="59"/>
      <c r="DC42" s="59"/>
      <c r="DD42" s="59"/>
      <c r="DE42" s="59"/>
      <c r="DF42" s="59"/>
      <c r="DG42" s="59"/>
      <c r="DH42" s="59"/>
      <c r="DI42" s="59"/>
      <c r="DJ42" s="59"/>
      <c r="DK42" s="59"/>
      <c r="DL42" s="59"/>
      <c r="DM42" s="59"/>
      <c r="DN42" s="59"/>
      <c r="DO42" s="59"/>
    </row>
    <row r="43" spans="2:119" ht="16.5" thickBot="1" x14ac:dyDescent="0.3">
      <c r="B43" s="202"/>
      <c r="C43" s="197"/>
      <c r="D43" s="82">
        <v>10</v>
      </c>
      <c r="E43" s="84" t="str">
        <f t="shared" ref="E43:AH43" si="72">IF(INDEX($CK$4:$DO$123,ROW()-3,E$3)=0,"","СП")</f>
        <v/>
      </c>
      <c r="F43" s="29" t="str">
        <f t="shared" si="72"/>
        <v/>
      </c>
      <c r="G43" s="29" t="str">
        <f t="shared" si="72"/>
        <v/>
      </c>
      <c r="H43" s="29" t="str">
        <f t="shared" si="72"/>
        <v/>
      </c>
      <c r="I43" s="29" t="str">
        <f t="shared" si="72"/>
        <v/>
      </c>
      <c r="J43" s="29" t="str">
        <f t="shared" si="72"/>
        <v/>
      </c>
      <c r="K43" s="29" t="str">
        <f t="shared" si="72"/>
        <v/>
      </c>
      <c r="L43" s="29" t="str">
        <f t="shared" si="72"/>
        <v>СП</v>
      </c>
      <c r="M43" s="29" t="str">
        <f t="shared" si="72"/>
        <v/>
      </c>
      <c r="N43" s="29" t="str">
        <f t="shared" si="72"/>
        <v/>
      </c>
      <c r="O43" s="29" t="str">
        <f t="shared" si="72"/>
        <v/>
      </c>
      <c r="P43" s="29" t="str">
        <f t="shared" si="72"/>
        <v/>
      </c>
      <c r="Q43" s="29" t="str">
        <f t="shared" si="72"/>
        <v/>
      </c>
      <c r="R43" s="29" t="str">
        <f t="shared" si="72"/>
        <v/>
      </c>
      <c r="S43" s="29" t="str">
        <f t="shared" si="72"/>
        <v/>
      </c>
      <c r="T43" s="29" t="str">
        <f t="shared" si="72"/>
        <v/>
      </c>
      <c r="U43" s="29" t="str">
        <f t="shared" si="72"/>
        <v/>
      </c>
      <c r="V43" s="29" t="str">
        <f t="shared" si="72"/>
        <v/>
      </c>
      <c r="W43" s="29" t="str">
        <f t="shared" si="72"/>
        <v/>
      </c>
      <c r="X43" s="29" t="str">
        <f t="shared" si="72"/>
        <v/>
      </c>
      <c r="Y43" s="29" t="str">
        <f t="shared" si="72"/>
        <v/>
      </c>
      <c r="Z43" s="29" t="str">
        <f t="shared" si="72"/>
        <v/>
      </c>
      <c r="AA43" s="29" t="str">
        <f t="shared" si="72"/>
        <v/>
      </c>
      <c r="AB43" s="29" t="str">
        <f t="shared" si="72"/>
        <v/>
      </c>
      <c r="AC43" s="29" t="str">
        <f t="shared" si="72"/>
        <v/>
      </c>
      <c r="AD43" s="29" t="str">
        <f t="shared" si="72"/>
        <v/>
      </c>
      <c r="AE43" s="29" t="str">
        <f t="shared" si="72"/>
        <v/>
      </c>
      <c r="AF43" s="29" t="str">
        <f t="shared" si="72"/>
        <v/>
      </c>
      <c r="AG43" s="29" t="str">
        <f t="shared" si="72"/>
        <v/>
      </c>
      <c r="AH43" s="29" t="str">
        <f t="shared" si="72"/>
        <v/>
      </c>
      <c r="AI43" s="111"/>
      <c r="AJ43" s="207"/>
      <c r="AK43" s="178"/>
      <c r="AL43" s="178"/>
      <c r="AM43" s="178"/>
      <c r="AN43" s="199"/>
      <c r="AO43" s="199"/>
      <c r="AP43" s="199"/>
      <c r="AQ43" s="178"/>
      <c r="AR43" s="180"/>
      <c r="CK43" s="58">
        <f>IF(DAY(INDEX('Сводный годовой график'!$BA$4:$BL$14,$C42,MONTH($B$34)))=E$3,1,0)</f>
        <v>0</v>
      </c>
      <c r="CL43" s="58">
        <f>IF(DAY(INDEX('Сводный годовой график'!$BA$4:$BL$14,$C42,MONTH($B$34)))=F$3,1,0)</f>
        <v>0</v>
      </c>
      <c r="CM43" s="58">
        <f>IF(DAY(INDEX('Сводный годовой график'!$BA$4:$BL$14,$C42,MONTH($B$34)))=G$3,1,0)</f>
        <v>0</v>
      </c>
      <c r="CN43" s="58">
        <f>IF(DAY(INDEX('Сводный годовой график'!$BA$4:$BL$14,$C42,MONTH($B$34)))=H$3,1,0)</f>
        <v>0</v>
      </c>
      <c r="CO43" s="58">
        <f>IF(DAY(INDEX('Сводный годовой график'!$BA$4:$BL$14,$C42,MONTH($B$34)))=I$3,1,0)</f>
        <v>0</v>
      </c>
      <c r="CP43" s="58">
        <f>IF(DAY(INDEX('Сводный годовой график'!$BA$4:$BL$14,$C42,MONTH($B$34)))=J$3,1,0)</f>
        <v>0</v>
      </c>
      <c r="CQ43" s="58">
        <f>IF(DAY(INDEX('Сводный годовой график'!$BA$4:$BL$14,$C42,MONTH($B$34)))=K$3,1,0)</f>
        <v>0</v>
      </c>
      <c r="CR43" s="58">
        <f>IF(DAY(INDEX('Сводный годовой график'!$BA$4:$BL$14,$C42,MONTH($B$34)))=L$3,1,0)</f>
        <v>1</v>
      </c>
      <c r="CS43" s="58">
        <f>IF(DAY(INDEX('Сводный годовой график'!$BA$4:$BL$14,$C42,MONTH($B$34)))=M$3,1,0)</f>
        <v>0</v>
      </c>
      <c r="CT43" s="58">
        <f>IF(DAY(INDEX('Сводный годовой график'!$BA$4:$BL$14,$C42,MONTH($B$34)))=N$3,1,0)</f>
        <v>0</v>
      </c>
      <c r="CU43" s="58">
        <f>IF(DAY(INDEX('Сводный годовой график'!$BA$4:$BL$14,$C42,MONTH($B$34)))=O$3,1,0)</f>
        <v>0</v>
      </c>
      <c r="CV43" s="58">
        <f>IF(DAY(INDEX('Сводный годовой график'!$BA$4:$BL$14,$C42,MONTH($B$34)))=P$3,1,0)</f>
        <v>0</v>
      </c>
      <c r="CW43" s="58">
        <f>IF(DAY(INDEX('Сводный годовой график'!$BA$4:$BL$14,$C42,MONTH($B$34)))=Q$3,1,0)</f>
        <v>0</v>
      </c>
      <c r="CX43" s="58">
        <f>IF(DAY(INDEX('Сводный годовой график'!$BA$4:$BL$14,$C42,MONTH($B$34)))=R$3,1,0)</f>
        <v>0</v>
      </c>
      <c r="CY43" s="58">
        <f>IF(DAY(INDEX('Сводный годовой график'!$BA$4:$BL$14,$C42,MONTH($B$34)))=S$3,1,0)</f>
        <v>0</v>
      </c>
      <c r="CZ43" s="58">
        <f>IF(DAY(INDEX('Сводный годовой график'!$BA$4:$BL$14,$C42,MONTH($B$34)))=T$3,1,0)</f>
        <v>0</v>
      </c>
      <c r="DA43" s="58">
        <f>IF(DAY(INDEX('Сводный годовой график'!$BA$4:$BL$14,$C42,MONTH($B$34)))=U$3,1,0)</f>
        <v>0</v>
      </c>
      <c r="DB43" s="58">
        <f>IF(DAY(INDEX('Сводный годовой график'!$BA$4:$BL$14,$C42,MONTH($B$34)))=V$3,1,0)</f>
        <v>0</v>
      </c>
      <c r="DC43" s="58">
        <f>IF(DAY(INDEX('Сводный годовой график'!$BA$4:$BL$14,$C42,MONTH($B$34)))=W$3,1,0)</f>
        <v>0</v>
      </c>
      <c r="DD43" s="58">
        <f>IF(DAY(INDEX('Сводный годовой график'!$BA$4:$BL$14,$C42,MONTH($B$34)))=X$3,1,0)</f>
        <v>0</v>
      </c>
      <c r="DE43" s="58">
        <f>IF(DAY(INDEX('Сводный годовой график'!$BA$4:$BL$14,$C42,MONTH($B$34)))=Y$3,1,0)</f>
        <v>0</v>
      </c>
      <c r="DF43" s="58">
        <f>IF(DAY(INDEX('Сводный годовой график'!$BA$4:$BL$14,$C42,MONTH($B$34)))=Z$3,1,0)</f>
        <v>0</v>
      </c>
      <c r="DG43" s="58">
        <f>IF(DAY(INDEX('Сводный годовой график'!$BA$4:$BL$14,$C42,MONTH($B$34)))=AA$3,1,0)</f>
        <v>0</v>
      </c>
      <c r="DH43" s="58">
        <f>IF(DAY(INDEX('Сводный годовой график'!$BA$4:$BL$14,$C42,MONTH($B$34)))=AB$3,1,0)</f>
        <v>0</v>
      </c>
      <c r="DI43" s="58">
        <f>IF(DAY(INDEX('Сводный годовой график'!$BA$4:$BL$14,$C42,MONTH($B$34)))=AC$3,1,0)</f>
        <v>0</v>
      </c>
      <c r="DJ43" s="58">
        <f>IF(DAY(INDEX('Сводный годовой график'!$BA$4:$BL$14,$C42,MONTH($B$34)))=AD$3,1,0)</f>
        <v>0</v>
      </c>
      <c r="DK43" s="58">
        <f>IF(DAY(INDEX('Сводный годовой график'!$BA$4:$BL$14,$C42,MONTH($B$34)))=AE$3,1,0)</f>
        <v>0</v>
      </c>
      <c r="DL43" s="58">
        <f>IF(DAY(INDEX('Сводный годовой график'!$BA$4:$BL$14,$C42,MONTH($B$34)))=AF$3,1,0)</f>
        <v>0</v>
      </c>
      <c r="DM43" s="58">
        <f>IF(DAY(INDEX('Сводный годовой график'!$BA$4:$BL$14,$C42,MONTH($B$34)))=AG$3,1,0)</f>
        <v>0</v>
      </c>
      <c r="DN43" s="58">
        <f>IF(DAY(INDEX('Сводный годовой график'!$BA$4:$BL$14,$C42,MONTH($B$34)))=AH$3,1,0)</f>
        <v>0</v>
      </c>
      <c r="DO43" s="58">
        <f>IF(DAY(INDEX('Сводный годовой график'!$BA$4:$BL$14,$C42,MONTH($B$34)))=AI$3,1,0)</f>
        <v>0</v>
      </c>
    </row>
    <row r="44" spans="2:119" ht="17.25" customHeight="1" thickTop="1" thickBot="1" x14ac:dyDescent="0.3">
      <c r="B44" s="200">
        <f>DATE($AV$1,5,1)</f>
        <v>45778</v>
      </c>
      <c r="C44" s="212">
        <v>1</v>
      </c>
      <c r="D44" s="99">
        <v>1</v>
      </c>
      <c r="E44" s="86">
        <f ca="1">IF(AND(INDEX('Сводный годовой график'!$C$1:$AR$4,MATCH($C$44,'Сводный годовой график'!$B$1:$B$4),MATCH(DATE($AV$1,MONTH($B$44),E$3),'Сводный годовой график'!$C$9:$AR$9))&lt;&gt;12,INDIRECT(ADDRESS(ROW()+1,COLUMN()))="СП"),8,INDEX('Сводный годовой график'!$C$1:$AR$4,MATCH($C$44,'Сводный годовой график'!$B$1:$B$4),MATCH(DATE($AV$1,MONTH($B$44),E$3),'Сводный годовой график'!$C$9:$AR$9)))</f>
        <v>0</v>
      </c>
      <c r="F44" s="27">
        <f ca="1">IF(AND(INDEX('Сводный годовой график'!$C$1:$AR$4,MATCH($C$44,'Сводный годовой график'!$B$1:$B$4),MATCH(DATE($AV$1,MONTH($B$44),F$3),'Сводный годовой график'!$C$9:$AR$9))&lt;&gt;12,INDIRECT(ADDRESS(ROW()+1,COLUMN()))="СП"),8,INDEX('Сводный годовой график'!$C$1:$AR$4,MATCH($C$44,'Сводный годовой график'!$B$1:$B$4),MATCH(DATE($AV$1,MONTH($B$44),F$3),'Сводный годовой график'!$C$9:$AR$9)))</f>
        <v>0</v>
      </c>
      <c r="G44" s="27">
        <f ca="1">IF(AND(INDEX('Сводный годовой график'!$C$1:$AR$4,MATCH($C$44,'Сводный годовой график'!$B$1:$B$4),MATCH(DATE($AV$1,MONTH($B$44),G$3),'Сводный годовой график'!$C$9:$AR$9))&lt;&gt;12,INDIRECT(ADDRESS(ROW()+1,COLUMN()))="СП"),8,INDEX('Сводный годовой график'!$C$1:$AR$4,MATCH($C$44,'Сводный годовой график'!$B$1:$B$4),MATCH(DATE($AV$1,MONTH($B$44),G$3),'Сводный годовой график'!$C$9:$AR$9)))</f>
        <v>4</v>
      </c>
      <c r="H44" s="27">
        <f ca="1">IF(AND(INDEX('Сводный годовой график'!$C$1:$AR$4,MATCH($C$44,'Сводный годовой график'!$B$1:$B$4),MATCH(DATE($AV$1,MONTH($B$44),H$3),'Сводный годовой график'!$C$9:$AR$9))&lt;&gt;12,INDIRECT(ADDRESS(ROW()+1,COLUMN()))="СП"),8,INDEX('Сводный годовой график'!$C$1:$AR$4,MATCH($C$44,'Сводный годовой график'!$B$1:$B$4),MATCH(DATE($AV$1,MONTH($B$44),H$3),'Сводный годовой график'!$C$9:$AR$9)))</f>
        <v>8</v>
      </c>
      <c r="I44" s="27">
        <f ca="1">IF(AND(INDEX('Сводный годовой график'!$C$1:$AR$4,MATCH($C$44,'Сводный годовой график'!$B$1:$B$4),MATCH(DATE($AV$1,MONTH($B$44),I$3),'Сводный годовой график'!$C$9:$AR$9))&lt;&gt;12,INDIRECT(ADDRESS(ROW()+1,COLUMN()))="СП"),8,INDEX('Сводный годовой график'!$C$1:$AR$4,MATCH($C$44,'Сводный годовой график'!$B$1:$B$4),MATCH(DATE($AV$1,MONTH($B$44),I$3),'Сводный годовой график'!$C$9:$AR$9)))</f>
        <v>12</v>
      </c>
      <c r="J44" s="27">
        <f ca="1">IF(AND(INDEX('Сводный годовой график'!$C$1:$AR$4,MATCH($C$44,'Сводный годовой график'!$B$1:$B$4),MATCH(DATE($AV$1,MONTH($B$44),J$3),'Сводный годовой график'!$C$9:$AR$9))&lt;&gt;12,INDIRECT(ADDRESS(ROW()+1,COLUMN()))="СП"),8,INDEX('Сводный годовой график'!$C$1:$AR$4,MATCH($C$44,'Сводный годовой график'!$B$1:$B$4),MATCH(DATE($AV$1,MONTH($B$44),J$3),'Сводный годовой график'!$C$9:$AR$9)))</f>
        <v>4</v>
      </c>
      <c r="K44" s="27">
        <f ca="1">IF(AND(INDEX('Сводный годовой график'!$C$1:$AR$4,MATCH($C$44,'Сводный годовой график'!$B$1:$B$4),MATCH(DATE($AV$1,MONTH($B$44),K$3),'Сводный годовой график'!$C$9:$AR$9))&lt;&gt;12,INDIRECT(ADDRESS(ROW()+1,COLUMN()))="СП"),8,INDEX('Сводный годовой график'!$C$1:$AR$4,MATCH($C$44,'Сводный годовой график'!$B$1:$B$4),MATCH(DATE($AV$1,MONTH($B$44),K$3),'Сводный годовой график'!$C$9:$AR$9)))</f>
        <v>8</v>
      </c>
      <c r="L44" s="27">
        <f ca="1">IF(AND(INDEX('Сводный годовой график'!$C$1:$AR$4,MATCH($C$44,'Сводный годовой график'!$B$1:$B$4),MATCH(DATE($AV$1,MONTH($B$44),L$3),'Сводный годовой график'!$C$9:$AR$9))&lt;&gt;12,INDIRECT(ADDRESS(ROW()+1,COLUMN()))="СП"),8,INDEX('Сводный годовой график'!$C$1:$AR$4,MATCH($C$44,'Сводный годовой график'!$B$1:$B$4),MATCH(DATE($AV$1,MONTH($B$44),L$3),'Сводный годовой график'!$C$9:$AR$9)))</f>
        <v>12</v>
      </c>
      <c r="M44" s="27">
        <f ca="1">IF(AND(INDEX('Сводный годовой график'!$C$1:$AR$4,MATCH($C$44,'Сводный годовой график'!$B$1:$B$4),MATCH(DATE($AV$1,MONTH($B$44),M$3),'Сводный годовой график'!$C$9:$AR$9))&lt;&gt;12,INDIRECT(ADDRESS(ROW()+1,COLUMN()))="СП"),8,INDEX('Сводный годовой график'!$C$1:$AR$4,MATCH($C$44,'Сводный годовой график'!$B$1:$B$4),MATCH(DATE($AV$1,MONTH($B$44),M$3),'Сводный годовой график'!$C$9:$AR$9)))</f>
        <v>0</v>
      </c>
      <c r="N44" s="27">
        <f ca="1">IF(AND(INDEX('Сводный годовой график'!$C$1:$AR$4,MATCH($C$44,'Сводный годовой график'!$B$1:$B$4),MATCH(DATE($AV$1,MONTH($B$44),N$3),'Сводный годовой график'!$C$9:$AR$9))&lt;&gt;12,INDIRECT(ADDRESS(ROW()+1,COLUMN()))="СП"),8,INDEX('Сводный годовой график'!$C$1:$AR$4,MATCH($C$44,'Сводный годовой график'!$B$1:$B$4),MATCH(DATE($AV$1,MONTH($B$44),N$3),'Сводный годовой график'!$C$9:$AR$9)))</f>
        <v>0</v>
      </c>
      <c r="O44" s="27">
        <f ca="1">IF(AND(INDEX('Сводный годовой график'!$C$1:$AR$4,MATCH($C$44,'Сводный годовой график'!$B$1:$B$4),MATCH(DATE($AV$1,MONTH($B$44),O$3),'Сводный годовой график'!$C$9:$AR$9))&lt;&gt;12,INDIRECT(ADDRESS(ROW()+1,COLUMN()))="СП"),8,INDEX('Сводный годовой график'!$C$1:$AR$4,MATCH($C$44,'Сводный годовой график'!$B$1:$B$4),MATCH(DATE($AV$1,MONTH($B$44),O$3),'Сводный годовой график'!$C$9:$AR$9)))</f>
        <v>4</v>
      </c>
      <c r="P44" s="27">
        <f ca="1">IF(AND(INDEX('Сводный годовой график'!$C$1:$AR$4,MATCH($C$44,'Сводный годовой график'!$B$1:$B$4),MATCH(DATE($AV$1,MONTH($B$44),P$3),'Сводный годовой график'!$C$9:$AR$9))&lt;&gt;12,INDIRECT(ADDRESS(ROW()+1,COLUMN()))="СП"),8,INDEX('Сводный годовой график'!$C$1:$AR$4,MATCH($C$44,'Сводный годовой график'!$B$1:$B$4),MATCH(DATE($AV$1,MONTH($B$44),P$3),'Сводный годовой график'!$C$9:$AR$9)))</f>
        <v>8</v>
      </c>
      <c r="Q44" s="27">
        <f ca="1">IF(AND(INDEX('Сводный годовой график'!$C$1:$AR$4,MATCH($C$44,'Сводный годовой график'!$B$1:$B$4),MATCH(DATE($AV$1,MONTH($B$44),Q$3),'Сводный годовой график'!$C$9:$AR$9))&lt;&gt;12,INDIRECT(ADDRESS(ROW()+1,COLUMN()))="СП"),8,INDEX('Сводный годовой график'!$C$1:$AR$4,MATCH($C$44,'Сводный годовой график'!$B$1:$B$4),MATCH(DATE($AV$1,MONTH($B$44),Q$3),'Сводный годовой график'!$C$9:$AR$9)))</f>
        <v>12</v>
      </c>
      <c r="R44" s="27">
        <f ca="1">IF(AND(INDEX('Сводный годовой график'!$C$1:$AR$4,MATCH($C$44,'Сводный годовой график'!$B$1:$B$4),MATCH(DATE($AV$1,MONTH($B$44),R$3),'Сводный годовой график'!$C$9:$AR$9))&lt;&gt;12,INDIRECT(ADDRESS(ROW()+1,COLUMN()))="СП"),8,INDEX('Сводный годовой график'!$C$1:$AR$4,MATCH($C$44,'Сводный годовой график'!$B$1:$B$4),MATCH(DATE($AV$1,MONTH($B$44),R$3),'Сводный годовой график'!$C$9:$AR$9)))</f>
        <v>4</v>
      </c>
      <c r="S44" s="27">
        <f ca="1">IF(AND(INDEX('Сводный годовой график'!$C$1:$AR$4,MATCH($C$44,'Сводный годовой график'!$B$1:$B$4),MATCH(DATE($AV$1,MONTH($B$44),S$3),'Сводный годовой график'!$C$9:$AR$9))&lt;&gt;12,INDIRECT(ADDRESS(ROW()+1,COLUMN()))="СП"),8,INDEX('Сводный годовой график'!$C$1:$AR$4,MATCH($C$44,'Сводный годовой график'!$B$1:$B$4),MATCH(DATE($AV$1,MONTH($B$44),S$3),'Сводный годовой график'!$C$9:$AR$9)))</f>
        <v>8</v>
      </c>
      <c r="T44" s="27">
        <f ca="1">IF(AND(INDEX('Сводный годовой график'!$C$1:$AR$4,MATCH($C$44,'Сводный годовой график'!$B$1:$B$4),MATCH(DATE($AV$1,MONTH($B$44),T$3),'Сводный годовой график'!$C$9:$AR$9))&lt;&gt;12,INDIRECT(ADDRESS(ROW()+1,COLUMN()))="СП"),8,INDEX('Сводный годовой график'!$C$1:$AR$4,MATCH($C$44,'Сводный годовой график'!$B$1:$B$4),MATCH(DATE($AV$1,MONTH($B$44),T$3),'Сводный годовой график'!$C$9:$AR$9)))</f>
        <v>12</v>
      </c>
      <c r="U44" s="27">
        <f ca="1">IF(AND(INDEX('Сводный годовой график'!$C$1:$AR$4,MATCH($C$44,'Сводный годовой график'!$B$1:$B$4),MATCH(DATE($AV$1,MONTH($B$44),U$3),'Сводный годовой график'!$C$9:$AR$9))&lt;&gt;12,INDIRECT(ADDRESS(ROW()+1,COLUMN()))="СП"),8,INDEX('Сводный годовой график'!$C$1:$AR$4,MATCH($C$44,'Сводный годовой график'!$B$1:$B$4),MATCH(DATE($AV$1,MONTH($B$44),U$3),'Сводный годовой график'!$C$9:$AR$9)))</f>
        <v>0</v>
      </c>
      <c r="V44" s="27">
        <f ca="1">IF(AND(INDEX('Сводный годовой график'!$C$1:$AR$4,MATCH($C$44,'Сводный годовой график'!$B$1:$B$4),MATCH(DATE($AV$1,MONTH($B$44),V$3),'Сводный годовой график'!$C$9:$AR$9))&lt;&gt;12,INDIRECT(ADDRESS(ROW()+1,COLUMN()))="СП"),8,INDEX('Сводный годовой график'!$C$1:$AR$4,MATCH($C$44,'Сводный годовой график'!$B$1:$B$4),MATCH(DATE($AV$1,MONTH($B$44),V$3),'Сводный годовой график'!$C$9:$AR$9)))</f>
        <v>0</v>
      </c>
      <c r="W44" s="27">
        <f ca="1">IF(AND(INDEX('Сводный годовой график'!$C$1:$AR$4,MATCH($C$44,'Сводный годовой график'!$B$1:$B$4),MATCH(DATE($AV$1,MONTH($B$44),W$3),'Сводный годовой график'!$C$9:$AR$9))&lt;&gt;12,INDIRECT(ADDRESS(ROW()+1,COLUMN()))="СП"),8,INDEX('Сводный годовой график'!$C$1:$AR$4,MATCH($C$44,'Сводный годовой график'!$B$1:$B$4),MATCH(DATE($AV$1,MONTH($B$44),W$3),'Сводный годовой график'!$C$9:$AR$9)))</f>
        <v>4</v>
      </c>
      <c r="X44" s="27">
        <f ca="1">IF(AND(INDEX('Сводный годовой график'!$C$1:$AR$4,MATCH($C$44,'Сводный годовой график'!$B$1:$B$4),MATCH(DATE($AV$1,MONTH($B$44),X$3),'Сводный годовой график'!$C$9:$AR$9))&lt;&gt;12,INDIRECT(ADDRESS(ROW()+1,COLUMN()))="СП"),8,INDEX('Сводный годовой график'!$C$1:$AR$4,MATCH($C$44,'Сводный годовой график'!$B$1:$B$4),MATCH(DATE($AV$1,MONTH($B$44),X$3),'Сводный годовой график'!$C$9:$AR$9)))</f>
        <v>8</v>
      </c>
      <c r="Y44" s="27">
        <f ca="1">IF(AND(INDEX('Сводный годовой график'!$C$1:$AR$4,MATCH($C$44,'Сводный годовой график'!$B$1:$B$4),MATCH(DATE($AV$1,MONTH($B$44),Y$3),'Сводный годовой график'!$C$9:$AR$9))&lt;&gt;12,INDIRECT(ADDRESS(ROW()+1,COLUMN()))="СП"),8,INDEX('Сводный годовой график'!$C$1:$AR$4,MATCH($C$44,'Сводный годовой график'!$B$1:$B$4),MATCH(DATE($AV$1,MONTH($B$44),Y$3),'Сводный годовой график'!$C$9:$AR$9)))</f>
        <v>12</v>
      </c>
      <c r="Z44" s="27">
        <f ca="1">IF(AND(INDEX('Сводный годовой график'!$C$1:$AR$4,MATCH($C$44,'Сводный годовой график'!$B$1:$B$4),MATCH(DATE($AV$1,MONTH($B$44),Z$3),'Сводный годовой график'!$C$9:$AR$9))&lt;&gt;12,INDIRECT(ADDRESS(ROW()+1,COLUMN()))="СП"),8,INDEX('Сводный годовой график'!$C$1:$AR$4,MATCH($C$44,'Сводный годовой график'!$B$1:$B$4),MATCH(DATE($AV$1,MONTH($B$44),Z$3),'Сводный годовой график'!$C$9:$AR$9)))</f>
        <v>4</v>
      </c>
      <c r="AA44" s="27">
        <f ca="1">IF(AND(INDEX('Сводный годовой график'!$C$1:$AR$4,MATCH($C$44,'Сводный годовой график'!$B$1:$B$4),MATCH(DATE($AV$1,MONTH($B$44),AA$3),'Сводный годовой график'!$C$9:$AR$9))&lt;&gt;12,INDIRECT(ADDRESS(ROW()+1,COLUMN()))="СП"),8,INDEX('Сводный годовой график'!$C$1:$AR$4,MATCH($C$44,'Сводный годовой график'!$B$1:$B$4),MATCH(DATE($AV$1,MONTH($B$44),AA$3),'Сводный годовой график'!$C$9:$AR$9)))</f>
        <v>8</v>
      </c>
      <c r="AB44" s="27">
        <f ca="1">IF(AND(INDEX('Сводный годовой график'!$C$1:$AR$4,MATCH($C$44,'Сводный годовой график'!$B$1:$B$4),MATCH(DATE($AV$1,MONTH($B$44),AB$3),'Сводный годовой график'!$C$9:$AR$9))&lt;&gt;12,INDIRECT(ADDRESS(ROW()+1,COLUMN()))="СП"),8,INDEX('Сводный годовой график'!$C$1:$AR$4,MATCH($C$44,'Сводный годовой график'!$B$1:$B$4),MATCH(DATE($AV$1,MONTH($B$44),AB$3),'Сводный годовой график'!$C$9:$AR$9)))</f>
        <v>12</v>
      </c>
      <c r="AC44" s="27">
        <f ca="1">IF(AND(INDEX('Сводный годовой график'!$C$1:$AR$4,MATCH($C$44,'Сводный годовой график'!$B$1:$B$4),MATCH(DATE($AV$1,MONTH($B$44),AC$3),'Сводный годовой график'!$C$9:$AR$9))&lt;&gt;12,INDIRECT(ADDRESS(ROW()+1,COLUMN()))="СП"),8,INDEX('Сводный годовой график'!$C$1:$AR$4,MATCH($C$44,'Сводный годовой график'!$B$1:$B$4),MATCH(DATE($AV$1,MONTH($B$44),AC$3),'Сводный годовой график'!$C$9:$AR$9)))</f>
        <v>0</v>
      </c>
      <c r="AD44" s="27">
        <f ca="1">IF(AND(INDEX('Сводный годовой график'!$C$1:$AR$4,MATCH($C$44,'Сводный годовой график'!$B$1:$B$4),MATCH(DATE($AV$1,MONTH($B$44),AD$3),'Сводный годовой график'!$C$9:$AR$9))&lt;&gt;12,INDIRECT(ADDRESS(ROW()+1,COLUMN()))="СП"),8,INDEX('Сводный годовой график'!$C$1:$AR$4,MATCH($C$44,'Сводный годовой график'!$B$1:$B$4),MATCH(DATE($AV$1,MONTH($B$44),AD$3),'Сводный годовой график'!$C$9:$AR$9)))</f>
        <v>0</v>
      </c>
      <c r="AE44" s="27">
        <f ca="1">IF(AND(INDEX('Сводный годовой график'!$C$1:$AR$4,MATCH($C$44,'Сводный годовой график'!$B$1:$B$4),MATCH(DATE($AV$1,MONTH($B$44),AE$3),'Сводный годовой график'!$C$9:$AR$9))&lt;&gt;12,INDIRECT(ADDRESS(ROW()+1,COLUMN()))="СП"),8,INDEX('Сводный годовой график'!$C$1:$AR$4,MATCH($C$44,'Сводный годовой график'!$B$1:$B$4),MATCH(DATE($AV$1,MONTH($B$44),AE$3),'Сводный годовой график'!$C$9:$AR$9)))</f>
        <v>4</v>
      </c>
      <c r="AF44" s="27">
        <f ca="1">IF(AND(INDEX('Сводный годовой график'!$C$1:$AR$4,MATCH($C$44,'Сводный годовой график'!$B$1:$B$4),MATCH(DATE($AV$1,MONTH($B$44),AF$3),'Сводный годовой график'!$C$9:$AR$9))&lt;&gt;12,INDIRECT(ADDRESS(ROW()+1,COLUMN()))="СП"),8,INDEX('Сводный годовой график'!$C$1:$AR$4,MATCH($C$44,'Сводный годовой график'!$B$1:$B$4),MATCH(DATE($AV$1,MONTH($B$44),AF$3),'Сводный годовой график'!$C$9:$AR$9)))</f>
        <v>8</v>
      </c>
      <c r="AG44" s="27">
        <f ca="1">IF(AND(INDEX('Сводный годовой график'!$C$1:$AR$4,MATCH($C$44,'Сводный годовой график'!$B$1:$B$4),MATCH(DATE($AV$1,MONTH($B$44),AG$3),'Сводный годовой график'!$C$9:$AR$9))&lt;&gt;12,INDIRECT(ADDRESS(ROW()+1,COLUMN()))="СП"),8,INDEX('Сводный годовой график'!$C$1:$AR$4,MATCH($C$44,'Сводный годовой график'!$B$1:$B$4),MATCH(DATE($AV$1,MONTH($B$44),AG$3),'Сводный годовой график'!$C$9:$AR$9)))</f>
        <v>12</v>
      </c>
      <c r="AH44" s="27">
        <f ca="1">IF(AND(INDEX('Сводный годовой график'!$C$1:$AR$4,MATCH($C$44,'Сводный годовой график'!$B$1:$B$4),MATCH(DATE($AV$1,MONTH($B$44),AH$3),'Сводный годовой график'!$C$9:$AR$9))&lt;&gt;12,INDIRECT(ADDRESS(ROW()+1,COLUMN()))="СП"),8,INDEX('Сводный годовой график'!$C$1:$AR$4,MATCH($C$44,'Сводный годовой график'!$B$1:$B$4),MATCH(DATE($AV$1,MONTH($B$44),AH$3),'Сводный годовой график'!$C$9:$AR$9)))</f>
        <v>4</v>
      </c>
      <c r="AI44" s="98">
        <f ca="1">IF(AND(INDEX('Сводный годовой график'!$C$1:$AR$4,MATCH($C$44,'Сводный годовой график'!$B$1:$B$4),MATCH(DATE($AV$1,MONTH($B$44),AI$3),'Сводный годовой график'!$C$9:$AR$9))&lt;&gt;12,INDIRECT(ADDRESS(ROW()+1,COLUMN()))="СП"),8,INDEX('Сводный годовой график'!$C$1:$AR$4,MATCH($C$44,'Сводный годовой график'!$B$1:$B$4),MATCH(DATE($AV$1,MONTH($B$44),AI$3),'Сводный годовой график'!$C$9:$AR$9)))</f>
        <v>8</v>
      </c>
      <c r="AJ44" s="205">
        <f>INDEX(Подключения!$D$3:$H$14,MONTH(B44),5)</f>
        <v>144</v>
      </c>
      <c r="AK44" s="219">
        <f>$AJ$44-SUM(AY44:CC45)</f>
        <v>144</v>
      </c>
      <c r="AL44" s="216">
        <f ca="1">SUM(E44:AI45)</f>
        <v>180</v>
      </c>
      <c r="AM44" s="216">
        <f ca="1">(SUM(E44)+SUM(M44))</f>
        <v>0</v>
      </c>
      <c r="AN44" s="218">
        <f t="shared" ref="AN44" ca="1" si="73">-AM44-AK44+AL44</f>
        <v>36</v>
      </c>
      <c r="AO44" s="228"/>
      <c r="AP44" s="218">
        <f ca="1">AN44+AP34-AO44-AO44</f>
        <v>36</v>
      </c>
      <c r="AQ44" s="216">
        <v>0</v>
      </c>
      <c r="AR44" s="217">
        <v>1</v>
      </c>
      <c r="CK44" s="59"/>
      <c r="CL44" s="59"/>
      <c r="CM44" s="59"/>
      <c r="CN44" s="59"/>
      <c r="CO44" s="59"/>
      <c r="CP44" s="59"/>
      <c r="CQ44" s="59"/>
      <c r="CR44" s="59"/>
      <c r="CS44" s="59"/>
      <c r="CT44" s="59"/>
      <c r="CU44" s="59"/>
      <c r="CV44" s="59"/>
      <c r="CW44" s="59"/>
      <c r="CX44" s="59"/>
      <c r="CY44" s="59"/>
      <c r="CZ44" s="59"/>
      <c r="DA44" s="59"/>
      <c r="DB44" s="59"/>
      <c r="DC44" s="59"/>
      <c r="DD44" s="59"/>
      <c r="DE44" s="59"/>
      <c r="DF44" s="59"/>
      <c r="DG44" s="59"/>
      <c r="DH44" s="59"/>
      <c r="DI44" s="59"/>
      <c r="DJ44" s="59"/>
      <c r="DK44" s="59"/>
      <c r="DL44" s="59"/>
      <c r="DM44" s="59"/>
      <c r="DN44" s="59"/>
      <c r="DO44" s="59"/>
    </row>
    <row r="45" spans="2:119" ht="16.5" thickBot="1" x14ac:dyDescent="0.3">
      <c r="B45" s="201"/>
      <c r="C45" s="197"/>
      <c r="D45" s="82">
        <v>2</v>
      </c>
      <c r="E45" s="96" t="str">
        <f t="shared" ref="E45:AI45" si="74">IF(INDEX($CK$4:$DO$123,ROW()-3,E$3)=0,"","СП")</f>
        <v/>
      </c>
      <c r="F45" s="92" t="str">
        <f t="shared" si="74"/>
        <v/>
      </c>
      <c r="G45" s="92" t="str">
        <f t="shared" si="74"/>
        <v/>
      </c>
      <c r="H45" s="92" t="str">
        <f t="shared" si="74"/>
        <v/>
      </c>
      <c r="I45" s="92" t="str">
        <f t="shared" si="74"/>
        <v>СП</v>
      </c>
      <c r="J45" s="92" t="str">
        <f t="shared" si="74"/>
        <v/>
      </c>
      <c r="K45" s="92" t="str">
        <f t="shared" si="74"/>
        <v/>
      </c>
      <c r="L45" s="92" t="str">
        <f t="shared" si="74"/>
        <v/>
      </c>
      <c r="M45" s="92" t="str">
        <f t="shared" si="74"/>
        <v/>
      </c>
      <c r="N45" s="92" t="str">
        <f t="shared" si="74"/>
        <v/>
      </c>
      <c r="O45" s="92" t="str">
        <f t="shared" si="74"/>
        <v/>
      </c>
      <c r="P45" s="92" t="str">
        <f t="shared" si="74"/>
        <v/>
      </c>
      <c r="Q45" s="92" t="str">
        <f t="shared" si="74"/>
        <v/>
      </c>
      <c r="R45" s="92" t="str">
        <f t="shared" si="74"/>
        <v/>
      </c>
      <c r="S45" s="92" t="str">
        <f t="shared" si="74"/>
        <v/>
      </c>
      <c r="T45" s="92" t="str">
        <f t="shared" si="74"/>
        <v/>
      </c>
      <c r="U45" s="92" t="str">
        <f t="shared" si="74"/>
        <v/>
      </c>
      <c r="V45" s="92" t="str">
        <f t="shared" si="74"/>
        <v/>
      </c>
      <c r="W45" s="92" t="str">
        <f t="shared" si="74"/>
        <v/>
      </c>
      <c r="X45" s="92" t="str">
        <f t="shared" si="74"/>
        <v/>
      </c>
      <c r="Y45" s="92" t="str">
        <f t="shared" si="74"/>
        <v/>
      </c>
      <c r="Z45" s="92" t="str">
        <f t="shared" si="74"/>
        <v/>
      </c>
      <c r="AA45" s="92" t="str">
        <f t="shared" si="74"/>
        <v/>
      </c>
      <c r="AB45" s="92" t="str">
        <f t="shared" si="74"/>
        <v/>
      </c>
      <c r="AC45" s="92" t="str">
        <f t="shared" si="74"/>
        <v/>
      </c>
      <c r="AD45" s="92" t="str">
        <f t="shared" si="74"/>
        <v/>
      </c>
      <c r="AE45" s="92" t="str">
        <f t="shared" si="74"/>
        <v/>
      </c>
      <c r="AF45" s="92" t="str">
        <f t="shared" si="74"/>
        <v/>
      </c>
      <c r="AG45" s="92" t="str">
        <f t="shared" si="74"/>
        <v/>
      </c>
      <c r="AH45" s="92" t="str">
        <f t="shared" si="74"/>
        <v/>
      </c>
      <c r="AI45" s="97" t="str">
        <f t="shared" si="74"/>
        <v/>
      </c>
      <c r="AJ45" s="206"/>
      <c r="AK45" s="220"/>
      <c r="AL45" s="209"/>
      <c r="AM45" s="209"/>
      <c r="AN45" s="211"/>
      <c r="AO45" s="225"/>
      <c r="AP45" s="211"/>
      <c r="AQ45" s="209"/>
      <c r="AR45" s="210"/>
      <c r="CK45" s="58">
        <f>IF(DAY(INDEX('Сводный годовой график'!$BA$4:$BL$14,$C44,MONTH($B$44)))=E$3,1,0)</f>
        <v>0</v>
      </c>
      <c r="CL45" s="58">
        <f>IF(DAY(INDEX('Сводный годовой график'!$BA$4:$BL$14,$C44,MONTH($B$44)))=F$3,1,0)</f>
        <v>0</v>
      </c>
      <c r="CM45" s="58">
        <f>IF(DAY(INDEX('Сводный годовой график'!$BA$4:$BL$14,$C44,MONTH($B$44)))=G$3,1,0)</f>
        <v>0</v>
      </c>
      <c r="CN45" s="58">
        <f>IF(DAY(INDEX('Сводный годовой график'!$BA$4:$BL$14,$C44,MONTH($B$44)))=H$3,1,0)</f>
        <v>0</v>
      </c>
      <c r="CO45" s="58">
        <f>IF(DAY(INDEX('Сводный годовой график'!$BA$4:$BL$14,$C44,MONTH($B$44)))=I$3,1,0)</f>
        <v>1</v>
      </c>
      <c r="CP45" s="58">
        <f>IF(DAY(INDEX('Сводный годовой график'!$BA$4:$BL$14,$C44,MONTH($B$44)))=J$3,1,0)</f>
        <v>0</v>
      </c>
      <c r="CQ45" s="58">
        <f>IF(DAY(INDEX('Сводный годовой график'!$BA$4:$BL$14,$C44,MONTH($B$44)))=K$3,1,0)</f>
        <v>0</v>
      </c>
      <c r="CR45" s="58">
        <f>IF(DAY(INDEX('Сводный годовой график'!$BA$4:$BL$14,$C44,MONTH($B$44)))=L$3,1,0)</f>
        <v>0</v>
      </c>
      <c r="CS45" s="58">
        <f>IF(DAY(INDEX('Сводный годовой график'!$BA$4:$BL$14,$C44,MONTH($B$44)))=M$3,1,0)</f>
        <v>0</v>
      </c>
      <c r="CT45" s="58">
        <f>IF(DAY(INDEX('Сводный годовой график'!$BA$4:$BL$14,$C44,MONTH($B$44)))=N$3,1,0)</f>
        <v>0</v>
      </c>
      <c r="CU45" s="58">
        <f>IF(DAY(INDEX('Сводный годовой график'!$BA$4:$BL$14,$C44,MONTH($B$44)))=O$3,1,0)</f>
        <v>0</v>
      </c>
      <c r="CV45" s="58">
        <f>IF(DAY(INDEX('Сводный годовой график'!$BA$4:$BL$14,$C44,MONTH($B$44)))=P$3,1,0)</f>
        <v>0</v>
      </c>
      <c r="CW45" s="58">
        <f>IF(DAY(INDEX('Сводный годовой график'!$BA$4:$BL$14,$C44,MONTH($B$44)))=Q$3,1,0)</f>
        <v>0</v>
      </c>
      <c r="CX45" s="58">
        <f>IF(DAY(INDEX('Сводный годовой график'!$BA$4:$BL$14,$C44,MONTH($B$44)))=R$3,1,0)</f>
        <v>0</v>
      </c>
      <c r="CY45" s="58">
        <f>IF(DAY(INDEX('Сводный годовой график'!$BA$4:$BL$14,$C44,MONTH($B$44)))=S$3,1,0)</f>
        <v>0</v>
      </c>
      <c r="CZ45" s="58">
        <f>IF(DAY(INDEX('Сводный годовой график'!$BA$4:$BL$14,$C44,MONTH($B$44)))=T$3,1,0)</f>
        <v>0</v>
      </c>
      <c r="DA45" s="58">
        <f>IF(DAY(INDEX('Сводный годовой график'!$BA$4:$BL$14,$C44,MONTH($B$44)))=U$3,1,0)</f>
        <v>0</v>
      </c>
      <c r="DB45" s="58">
        <f>IF(DAY(INDEX('Сводный годовой график'!$BA$4:$BL$14,$C44,MONTH($B$44)))=V$3,1,0)</f>
        <v>0</v>
      </c>
      <c r="DC45" s="58">
        <f>IF(DAY(INDEX('Сводный годовой график'!$BA$4:$BL$14,$C44,MONTH($B$44)))=W$3,1,0)</f>
        <v>0</v>
      </c>
      <c r="DD45" s="58">
        <f>IF(DAY(INDEX('Сводный годовой график'!$BA$4:$BL$14,$C44,MONTH($B$44)))=X$3,1,0)</f>
        <v>0</v>
      </c>
      <c r="DE45" s="58">
        <f>IF(DAY(INDEX('Сводный годовой график'!$BA$4:$BL$14,$C44,MONTH($B$44)))=Y$3,1,0)</f>
        <v>0</v>
      </c>
      <c r="DF45" s="58">
        <f>IF(DAY(INDEX('Сводный годовой график'!$BA$4:$BL$14,$C44,MONTH($B$44)))=Z$3,1,0)</f>
        <v>0</v>
      </c>
      <c r="DG45" s="58">
        <f>IF(DAY(INDEX('Сводный годовой график'!$BA$4:$BL$14,$C44,MONTH($B$44)))=AA$3,1,0)</f>
        <v>0</v>
      </c>
      <c r="DH45" s="58">
        <f>IF(DAY(INDEX('Сводный годовой график'!$BA$4:$BL$14,$C44,MONTH($B$44)))=AB$3,1,0)</f>
        <v>0</v>
      </c>
      <c r="DI45" s="58">
        <f>IF(DAY(INDEX('Сводный годовой график'!$BA$4:$BL$14,$C44,MONTH($B$44)))=AC$3,1,0)</f>
        <v>0</v>
      </c>
      <c r="DJ45" s="58">
        <f>IF(DAY(INDEX('Сводный годовой график'!$BA$4:$BL$14,$C44,MONTH($B$44)))=AD$3,1,0)</f>
        <v>0</v>
      </c>
      <c r="DK45" s="58">
        <f>IF(DAY(INDEX('Сводный годовой график'!$BA$4:$BL$14,$C44,MONTH($B$44)))=AE$3,1,0)</f>
        <v>0</v>
      </c>
      <c r="DL45" s="58">
        <f>IF(DAY(INDEX('Сводный годовой график'!$BA$4:$BL$14,$C44,MONTH($B$44)))=AF$3,1,0)</f>
        <v>0</v>
      </c>
      <c r="DM45" s="58">
        <f>IF(DAY(INDEX('Сводный годовой график'!$BA$4:$BL$14,$C44,MONTH($B$44)))=AG$3,1,0)</f>
        <v>0</v>
      </c>
      <c r="DN45" s="58">
        <f>IF(DAY(INDEX('Сводный годовой график'!$BA$4:$BL$14,$C44,MONTH($B$44)))=AH$3,1,0)</f>
        <v>0</v>
      </c>
      <c r="DO45" s="58">
        <f>IF(DAY(INDEX('Сводный годовой график'!$BA$4:$BL$14,$C44,MONTH($B$44)))=AI$3,1,0)</f>
        <v>0</v>
      </c>
    </row>
    <row r="46" spans="2:119" ht="16.5" thickBot="1" x14ac:dyDescent="0.3">
      <c r="B46" s="201"/>
      <c r="C46" s="196">
        <v>2</v>
      </c>
      <c r="D46" s="81">
        <v>3</v>
      </c>
      <c r="E46" s="96">
        <f ca="1">IF(AND(INDEX('Сводный годовой график'!$C$1:$AR$4,MATCH($C$46,'Сводный годовой график'!$B$1:$B$4),MATCH(DATE($AV$1,MONTH($B$44),E$3),'Сводный годовой график'!$C$9:$AR$9))&lt;&gt;12,INDIRECT(ADDRESS(ROW()+1,COLUMN()))="СП"),8,INDEX('Сводный годовой график'!$C$1:$AR$4,MATCH($C$46,'Сводный годовой график'!$B$1:$B$4),MATCH(DATE($AV$1,MONTH($B$44),E$3),'Сводный годовой график'!$C$9:$AR$9)))</f>
        <v>4</v>
      </c>
      <c r="F46" s="92">
        <f ca="1">IF(AND(INDEX('Сводный годовой график'!$C$1:$AR$4,MATCH($C$46,'Сводный годовой график'!$B$1:$B$4),MATCH(DATE($AV$1,MONTH($B$44),F$3),'Сводный годовой график'!$C$9:$AR$9))&lt;&gt;12,INDIRECT(ADDRESS(ROW()+1,COLUMN()))="СП"),8,INDEX('Сводный годовой график'!$C$1:$AR$4,MATCH($C$46,'Сводный годовой график'!$B$1:$B$4),MATCH(DATE($AV$1,MONTH($B$44),F$3),'Сводный годовой график'!$C$9:$AR$9)))</f>
        <v>8</v>
      </c>
      <c r="G46" s="92">
        <f ca="1">IF(AND(INDEX('Сводный годовой график'!$C$1:$AR$4,MATCH($C$46,'Сводный годовой график'!$B$1:$B$4),MATCH(DATE($AV$1,MONTH($B$44),G$3),'Сводный годовой график'!$C$9:$AR$9))&lt;&gt;12,INDIRECT(ADDRESS(ROW()+1,COLUMN()))="СП"),8,INDEX('Сводный годовой график'!$C$1:$AR$4,MATCH($C$46,'Сводный годовой график'!$B$1:$B$4),MATCH(DATE($AV$1,MONTH($B$44),G$3),'Сводный годовой график'!$C$9:$AR$9)))</f>
        <v>12</v>
      </c>
      <c r="H46" s="92">
        <f ca="1">IF(AND(INDEX('Сводный годовой график'!$C$1:$AR$4,MATCH($C$46,'Сводный годовой график'!$B$1:$B$4),MATCH(DATE($AV$1,MONTH($B$44),H$3),'Сводный годовой график'!$C$9:$AR$9))&lt;&gt;12,INDIRECT(ADDRESS(ROW()+1,COLUMN()))="СП"),8,INDEX('Сводный годовой график'!$C$1:$AR$4,MATCH($C$46,'Сводный годовой график'!$B$1:$B$4),MATCH(DATE($AV$1,MONTH($B$44),H$3),'Сводный годовой график'!$C$9:$AR$9)))</f>
        <v>4</v>
      </c>
      <c r="I46" s="92">
        <f ca="1">IF(AND(INDEX('Сводный годовой график'!$C$1:$AR$4,MATCH($C$46,'Сводный годовой график'!$B$1:$B$4),MATCH(DATE($AV$1,MONTH($B$44),I$3),'Сводный годовой график'!$C$9:$AR$9))&lt;&gt;12,INDIRECT(ADDRESS(ROW()+1,COLUMN()))="СП"),8,INDEX('Сводный годовой график'!$C$1:$AR$4,MATCH($C$46,'Сводный годовой график'!$B$1:$B$4),MATCH(DATE($AV$1,MONTH($B$44),I$3),'Сводный годовой график'!$C$9:$AR$9)))</f>
        <v>8</v>
      </c>
      <c r="J46" s="92">
        <f ca="1">IF(AND(INDEX('Сводный годовой график'!$C$1:$AR$4,MATCH($C$46,'Сводный годовой график'!$B$1:$B$4),MATCH(DATE($AV$1,MONTH($B$44),J$3),'Сводный годовой график'!$C$9:$AR$9))&lt;&gt;12,INDIRECT(ADDRESS(ROW()+1,COLUMN()))="СП"),8,INDEX('Сводный годовой график'!$C$1:$AR$4,MATCH($C$46,'Сводный годовой график'!$B$1:$B$4),MATCH(DATE($AV$1,MONTH($B$44),J$3),'Сводный годовой график'!$C$9:$AR$9)))</f>
        <v>12</v>
      </c>
      <c r="K46" s="92">
        <f ca="1">IF(AND(INDEX('Сводный годовой график'!$C$1:$AR$4,MATCH($C$46,'Сводный годовой график'!$B$1:$B$4),MATCH(DATE($AV$1,MONTH($B$44),K$3),'Сводный годовой график'!$C$9:$AR$9))&lt;&gt;12,INDIRECT(ADDRESS(ROW()+1,COLUMN()))="СП"),8,INDEX('Сводный годовой график'!$C$1:$AR$4,MATCH($C$46,'Сводный годовой график'!$B$1:$B$4),MATCH(DATE($AV$1,MONTH($B$44),K$3),'Сводный годовой график'!$C$9:$AR$9)))</f>
        <v>0</v>
      </c>
      <c r="L46" s="92">
        <f ca="1">IF(AND(INDEX('Сводный годовой график'!$C$1:$AR$4,MATCH($C$46,'Сводный годовой график'!$B$1:$B$4),MATCH(DATE($AV$1,MONTH($B$44),L$3),'Сводный годовой график'!$C$9:$AR$9))&lt;&gt;12,INDIRECT(ADDRESS(ROW()+1,COLUMN()))="СП"),8,INDEX('Сводный годовой график'!$C$1:$AR$4,MATCH($C$46,'Сводный годовой график'!$B$1:$B$4),MATCH(DATE($AV$1,MONTH($B$44),L$3),'Сводный годовой график'!$C$9:$AR$9)))</f>
        <v>0</v>
      </c>
      <c r="M46" s="92">
        <f ca="1">IF(AND(INDEX('Сводный годовой график'!$C$1:$AR$4,MATCH($C$46,'Сводный годовой график'!$B$1:$B$4),MATCH(DATE($AV$1,MONTH($B$44),M$3),'Сводный годовой график'!$C$9:$AR$9))&lt;&gt;12,INDIRECT(ADDRESS(ROW()+1,COLUMN()))="СП"),8,INDEX('Сводный годовой график'!$C$1:$AR$4,MATCH($C$46,'Сводный годовой график'!$B$1:$B$4),MATCH(DATE($AV$1,MONTH($B$44),M$3),'Сводный годовой график'!$C$9:$AR$9)))</f>
        <v>4</v>
      </c>
      <c r="N46" s="92">
        <f ca="1">IF(AND(INDEX('Сводный годовой график'!$C$1:$AR$4,MATCH($C$46,'Сводный годовой график'!$B$1:$B$4),MATCH(DATE($AV$1,MONTH($B$44),N$3),'Сводный годовой график'!$C$9:$AR$9))&lt;&gt;12,INDIRECT(ADDRESS(ROW()+1,COLUMN()))="СП"),8,INDEX('Сводный годовой график'!$C$1:$AR$4,MATCH($C$46,'Сводный годовой график'!$B$1:$B$4),MATCH(DATE($AV$1,MONTH($B$44),N$3),'Сводный годовой график'!$C$9:$AR$9)))</f>
        <v>8</v>
      </c>
      <c r="O46" s="92">
        <f ca="1">IF(AND(INDEX('Сводный годовой график'!$C$1:$AR$4,MATCH($C$46,'Сводный годовой график'!$B$1:$B$4),MATCH(DATE($AV$1,MONTH($B$44),O$3),'Сводный годовой график'!$C$9:$AR$9))&lt;&gt;12,INDIRECT(ADDRESS(ROW()+1,COLUMN()))="СП"),8,INDEX('Сводный годовой график'!$C$1:$AR$4,MATCH($C$46,'Сводный годовой график'!$B$1:$B$4),MATCH(DATE($AV$1,MONTH($B$44),O$3),'Сводный годовой график'!$C$9:$AR$9)))</f>
        <v>12</v>
      </c>
      <c r="P46" s="92">
        <f ca="1">IF(AND(INDEX('Сводный годовой график'!$C$1:$AR$4,MATCH($C$46,'Сводный годовой график'!$B$1:$B$4),MATCH(DATE($AV$1,MONTH($B$44),P$3),'Сводный годовой график'!$C$9:$AR$9))&lt;&gt;12,INDIRECT(ADDRESS(ROW()+1,COLUMN()))="СП"),8,INDEX('Сводный годовой график'!$C$1:$AR$4,MATCH($C$46,'Сводный годовой график'!$B$1:$B$4),MATCH(DATE($AV$1,MONTH($B$44),P$3),'Сводный годовой график'!$C$9:$AR$9)))</f>
        <v>4</v>
      </c>
      <c r="Q46" s="92">
        <f ca="1">IF(AND(INDEX('Сводный годовой график'!$C$1:$AR$4,MATCH($C$46,'Сводный годовой график'!$B$1:$B$4),MATCH(DATE($AV$1,MONTH($B$44),Q$3),'Сводный годовой график'!$C$9:$AR$9))&lt;&gt;12,INDIRECT(ADDRESS(ROW()+1,COLUMN()))="СП"),8,INDEX('Сводный годовой график'!$C$1:$AR$4,MATCH($C$46,'Сводный годовой график'!$B$1:$B$4),MATCH(DATE($AV$1,MONTH($B$44),Q$3),'Сводный годовой график'!$C$9:$AR$9)))</f>
        <v>8</v>
      </c>
      <c r="R46" s="92">
        <f ca="1">IF(AND(INDEX('Сводный годовой график'!$C$1:$AR$4,MATCH($C$46,'Сводный годовой график'!$B$1:$B$4),MATCH(DATE($AV$1,MONTH($B$44),R$3),'Сводный годовой график'!$C$9:$AR$9))&lt;&gt;12,INDIRECT(ADDRESS(ROW()+1,COLUMN()))="СП"),8,INDEX('Сводный годовой график'!$C$1:$AR$4,MATCH($C$46,'Сводный годовой график'!$B$1:$B$4),MATCH(DATE($AV$1,MONTH($B$44),R$3),'Сводный годовой график'!$C$9:$AR$9)))</f>
        <v>12</v>
      </c>
      <c r="S46" s="92">
        <f ca="1">IF(AND(INDEX('Сводный годовой график'!$C$1:$AR$4,MATCH($C$46,'Сводный годовой график'!$B$1:$B$4),MATCH(DATE($AV$1,MONTH($B$44),S$3),'Сводный годовой график'!$C$9:$AR$9))&lt;&gt;12,INDIRECT(ADDRESS(ROW()+1,COLUMN()))="СП"),8,INDEX('Сводный годовой график'!$C$1:$AR$4,MATCH($C$46,'Сводный годовой график'!$B$1:$B$4),MATCH(DATE($AV$1,MONTH($B$44),S$3),'Сводный годовой график'!$C$9:$AR$9)))</f>
        <v>0</v>
      </c>
      <c r="T46" s="92">
        <f ca="1">IF(AND(INDEX('Сводный годовой график'!$C$1:$AR$4,MATCH($C$46,'Сводный годовой график'!$B$1:$B$4),MATCH(DATE($AV$1,MONTH($B$44),T$3),'Сводный годовой график'!$C$9:$AR$9))&lt;&gt;12,INDIRECT(ADDRESS(ROW()+1,COLUMN()))="СП"),8,INDEX('Сводный годовой график'!$C$1:$AR$4,MATCH($C$46,'Сводный годовой график'!$B$1:$B$4),MATCH(DATE($AV$1,MONTH($B$44),T$3),'Сводный годовой график'!$C$9:$AR$9)))</f>
        <v>0</v>
      </c>
      <c r="U46" s="92">
        <f ca="1">IF(AND(INDEX('Сводный годовой график'!$C$1:$AR$4,MATCH($C$46,'Сводный годовой график'!$B$1:$B$4),MATCH(DATE($AV$1,MONTH($B$44),U$3),'Сводный годовой график'!$C$9:$AR$9))&lt;&gt;12,INDIRECT(ADDRESS(ROW()+1,COLUMN()))="СП"),8,INDEX('Сводный годовой график'!$C$1:$AR$4,MATCH($C$46,'Сводный годовой график'!$B$1:$B$4),MATCH(DATE($AV$1,MONTH($B$44),U$3),'Сводный годовой график'!$C$9:$AR$9)))</f>
        <v>4</v>
      </c>
      <c r="V46" s="92">
        <f ca="1">IF(AND(INDEX('Сводный годовой график'!$C$1:$AR$4,MATCH($C$46,'Сводный годовой график'!$B$1:$B$4),MATCH(DATE($AV$1,MONTH($B$44),V$3),'Сводный годовой график'!$C$9:$AR$9))&lt;&gt;12,INDIRECT(ADDRESS(ROW()+1,COLUMN()))="СП"),8,INDEX('Сводный годовой график'!$C$1:$AR$4,MATCH($C$46,'Сводный годовой график'!$B$1:$B$4),MATCH(DATE($AV$1,MONTH($B$44),V$3),'Сводный годовой график'!$C$9:$AR$9)))</f>
        <v>8</v>
      </c>
      <c r="W46" s="92">
        <f ca="1">IF(AND(INDEX('Сводный годовой график'!$C$1:$AR$4,MATCH($C$46,'Сводный годовой график'!$B$1:$B$4),MATCH(DATE($AV$1,MONTH($B$44),W$3),'Сводный годовой график'!$C$9:$AR$9))&lt;&gt;12,INDIRECT(ADDRESS(ROW()+1,COLUMN()))="СП"),8,INDEX('Сводный годовой график'!$C$1:$AR$4,MATCH($C$46,'Сводный годовой график'!$B$1:$B$4),MATCH(DATE($AV$1,MONTH($B$44),W$3),'Сводный годовой график'!$C$9:$AR$9)))</f>
        <v>12</v>
      </c>
      <c r="X46" s="92">
        <f ca="1">IF(AND(INDEX('Сводный годовой график'!$C$1:$AR$4,MATCH($C$46,'Сводный годовой график'!$B$1:$B$4),MATCH(DATE($AV$1,MONTH($B$44),X$3),'Сводный годовой график'!$C$9:$AR$9))&lt;&gt;12,INDIRECT(ADDRESS(ROW()+1,COLUMN()))="СП"),8,INDEX('Сводный годовой график'!$C$1:$AR$4,MATCH($C$46,'Сводный годовой график'!$B$1:$B$4),MATCH(DATE($AV$1,MONTH($B$44),X$3),'Сводный годовой график'!$C$9:$AR$9)))</f>
        <v>4</v>
      </c>
      <c r="Y46" s="92">
        <f ca="1">IF(AND(INDEX('Сводный годовой график'!$C$1:$AR$4,MATCH($C$46,'Сводный годовой график'!$B$1:$B$4),MATCH(DATE($AV$1,MONTH($B$44),Y$3),'Сводный годовой график'!$C$9:$AR$9))&lt;&gt;12,INDIRECT(ADDRESS(ROW()+1,COLUMN()))="СП"),8,INDEX('Сводный годовой график'!$C$1:$AR$4,MATCH($C$46,'Сводный годовой график'!$B$1:$B$4),MATCH(DATE($AV$1,MONTH($B$44),Y$3),'Сводный годовой график'!$C$9:$AR$9)))</f>
        <v>8</v>
      </c>
      <c r="Z46" s="92">
        <f ca="1">IF(AND(INDEX('Сводный годовой график'!$C$1:$AR$4,MATCH($C$46,'Сводный годовой график'!$B$1:$B$4),MATCH(DATE($AV$1,MONTH($B$44),Z$3),'Сводный годовой график'!$C$9:$AR$9))&lt;&gt;12,INDIRECT(ADDRESS(ROW()+1,COLUMN()))="СП"),8,INDEX('Сводный годовой график'!$C$1:$AR$4,MATCH($C$46,'Сводный годовой график'!$B$1:$B$4),MATCH(DATE($AV$1,MONTH($B$44),Z$3),'Сводный годовой график'!$C$9:$AR$9)))</f>
        <v>12</v>
      </c>
      <c r="AA46" s="92">
        <f ca="1">IF(AND(INDEX('Сводный годовой график'!$C$1:$AR$4,MATCH($C$46,'Сводный годовой график'!$B$1:$B$4),MATCH(DATE($AV$1,MONTH($B$44),AA$3),'Сводный годовой график'!$C$9:$AR$9))&lt;&gt;12,INDIRECT(ADDRESS(ROW()+1,COLUMN()))="СП"),8,INDEX('Сводный годовой график'!$C$1:$AR$4,MATCH($C$46,'Сводный годовой график'!$B$1:$B$4),MATCH(DATE($AV$1,MONTH($B$44),AA$3),'Сводный годовой график'!$C$9:$AR$9)))</f>
        <v>0</v>
      </c>
      <c r="AB46" s="92">
        <f ca="1">IF(AND(INDEX('Сводный годовой график'!$C$1:$AR$4,MATCH($C$46,'Сводный годовой график'!$B$1:$B$4),MATCH(DATE($AV$1,MONTH($B$44),AB$3),'Сводный годовой график'!$C$9:$AR$9))&lt;&gt;12,INDIRECT(ADDRESS(ROW()+1,COLUMN()))="СП"),8,INDEX('Сводный годовой график'!$C$1:$AR$4,MATCH($C$46,'Сводный годовой график'!$B$1:$B$4),MATCH(DATE($AV$1,MONTH($B$44),AB$3),'Сводный годовой график'!$C$9:$AR$9)))</f>
        <v>0</v>
      </c>
      <c r="AC46" s="92">
        <f ca="1">IF(AND(INDEX('Сводный годовой график'!$C$1:$AR$4,MATCH($C$46,'Сводный годовой график'!$B$1:$B$4),MATCH(DATE($AV$1,MONTH($B$44),AC$3),'Сводный годовой график'!$C$9:$AR$9))&lt;&gt;12,INDIRECT(ADDRESS(ROW()+1,COLUMN()))="СП"),8,INDEX('Сводный годовой график'!$C$1:$AR$4,MATCH($C$46,'Сводный годовой график'!$B$1:$B$4),MATCH(DATE($AV$1,MONTH($B$44),AC$3),'Сводный годовой график'!$C$9:$AR$9)))</f>
        <v>4</v>
      </c>
      <c r="AD46" s="92">
        <f ca="1">IF(AND(INDEX('Сводный годовой график'!$C$1:$AR$4,MATCH($C$46,'Сводный годовой график'!$B$1:$B$4),MATCH(DATE($AV$1,MONTH($B$44),AD$3),'Сводный годовой график'!$C$9:$AR$9))&lt;&gt;12,INDIRECT(ADDRESS(ROW()+1,COLUMN()))="СП"),8,INDEX('Сводный годовой график'!$C$1:$AR$4,MATCH($C$46,'Сводный годовой график'!$B$1:$B$4),MATCH(DATE($AV$1,MONTH($B$44),AD$3),'Сводный годовой график'!$C$9:$AR$9)))</f>
        <v>8</v>
      </c>
      <c r="AE46" s="92">
        <f ca="1">IF(AND(INDEX('Сводный годовой график'!$C$1:$AR$4,MATCH($C$46,'Сводный годовой график'!$B$1:$B$4),MATCH(DATE($AV$1,MONTH($B$44),AE$3),'Сводный годовой график'!$C$9:$AR$9))&lt;&gt;12,INDIRECT(ADDRESS(ROW()+1,COLUMN()))="СП"),8,INDEX('Сводный годовой график'!$C$1:$AR$4,MATCH($C$46,'Сводный годовой график'!$B$1:$B$4),MATCH(DATE($AV$1,MONTH($B$44),AE$3),'Сводный годовой график'!$C$9:$AR$9)))</f>
        <v>12</v>
      </c>
      <c r="AF46" s="92">
        <f ca="1">IF(AND(INDEX('Сводный годовой график'!$C$1:$AR$4,MATCH($C$46,'Сводный годовой график'!$B$1:$B$4),MATCH(DATE($AV$1,MONTH($B$44),AF$3),'Сводный годовой график'!$C$9:$AR$9))&lt;&gt;12,INDIRECT(ADDRESS(ROW()+1,COLUMN()))="СП"),8,INDEX('Сводный годовой график'!$C$1:$AR$4,MATCH($C$46,'Сводный годовой график'!$B$1:$B$4),MATCH(DATE($AV$1,MONTH($B$44),AF$3),'Сводный годовой график'!$C$9:$AR$9)))</f>
        <v>4</v>
      </c>
      <c r="AG46" s="92">
        <f ca="1">IF(AND(INDEX('Сводный годовой график'!$C$1:$AR$4,MATCH($C$46,'Сводный годовой график'!$B$1:$B$4),MATCH(DATE($AV$1,MONTH($B$44),AG$3),'Сводный годовой график'!$C$9:$AR$9))&lt;&gt;12,INDIRECT(ADDRESS(ROW()+1,COLUMN()))="СП"),8,INDEX('Сводный годовой график'!$C$1:$AR$4,MATCH($C$46,'Сводный годовой график'!$B$1:$B$4),MATCH(DATE($AV$1,MONTH($B$44),AG$3),'Сводный годовой график'!$C$9:$AR$9)))</f>
        <v>8</v>
      </c>
      <c r="AH46" s="92">
        <f ca="1">IF(AND(INDEX('Сводный годовой график'!$C$1:$AR$4,MATCH($C$46,'Сводный годовой график'!$B$1:$B$4),MATCH(DATE($AV$1,MONTH($B$44),AH$3),'Сводный годовой график'!$C$9:$AR$9))&lt;&gt;12,INDIRECT(ADDRESS(ROW()+1,COLUMN()))="СП"),8,INDEX('Сводный годовой график'!$C$1:$AR$4,MATCH($C$46,'Сводный годовой график'!$B$1:$B$4),MATCH(DATE($AV$1,MONTH($B$44),AH$3),'Сводный годовой график'!$C$9:$AR$9)))</f>
        <v>12</v>
      </c>
      <c r="AI46" s="97">
        <f ca="1">IF(AND(INDEX('Сводный годовой график'!$C$1:$AR$4,MATCH($C$46,'Сводный годовой график'!$B$1:$B$4),MATCH(DATE($AV$1,MONTH($B$44),AI$3),'Сводный годовой график'!$C$9:$AR$9))&lt;&gt;12,INDIRECT(ADDRESS(ROW()+1,COLUMN()))="СП"),8,INDEX('Сводный годовой график'!$C$1:$AR$4,MATCH($C$46,'Сводный годовой график'!$B$1:$B$4),MATCH(DATE($AV$1,MONTH($B$44),AI$3),'Сводный годовой график'!$C$9:$AR$9)))</f>
        <v>0</v>
      </c>
      <c r="AJ46" s="206"/>
      <c r="AK46" s="223">
        <f>$AJ$44-SUM(AY46:CC47)</f>
        <v>144</v>
      </c>
      <c r="AL46" s="223">
        <f t="shared" ref="AL46" ca="1" si="75">SUM(E46:AI47)</f>
        <v>192</v>
      </c>
      <c r="AM46" s="209">
        <f t="shared" ref="AM46" ca="1" si="76">(SUM(E46)+SUM(M46))</f>
        <v>8</v>
      </c>
      <c r="AN46" s="211">
        <f t="shared" ref="AN46" ca="1" si="77">-AM46-AK46+AL46</f>
        <v>40</v>
      </c>
      <c r="AO46" s="224">
        <v>0</v>
      </c>
      <c r="AP46" s="211">
        <f ca="1">AN46+AP36-AO46</f>
        <v>24</v>
      </c>
      <c r="AQ46" s="209">
        <v>0</v>
      </c>
      <c r="AR46" s="210">
        <v>1</v>
      </c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59"/>
      <c r="DI46" s="59"/>
      <c r="DJ46" s="59"/>
      <c r="DK46" s="59"/>
      <c r="DL46" s="59"/>
      <c r="DM46" s="59"/>
      <c r="DN46" s="59"/>
      <c r="DO46" s="59"/>
    </row>
    <row r="47" spans="2:119" ht="16.5" thickBot="1" x14ac:dyDescent="0.3">
      <c r="B47" s="201"/>
      <c r="C47" s="197"/>
      <c r="D47" s="82">
        <v>4</v>
      </c>
      <c r="E47" s="96" t="str">
        <f t="shared" ref="E47:AI47" si="78">IF(INDEX($CK$4:$DO$123,ROW()-3,E$3)=0,"","СП")</f>
        <v/>
      </c>
      <c r="F47" s="92" t="str">
        <f t="shared" si="78"/>
        <v/>
      </c>
      <c r="G47" s="92" t="str">
        <f t="shared" si="78"/>
        <v/>
      </c>
      <c r="H47" s="92" t="str">
        <f t="shared" si="78"/>
        <v/>
      </c>
      <c r="I47" s="92" t="str">
        <f t="shared" si="78"/>
        <v/>
      </c>
      <c r="J47" s="92" t="str">
        <f t="shared" si="78"/>
        <v>СП</v>
      </c>
      <c r="K47" s="92" t="str">
        <f t="shared" si="78"/>
        <v/>
      </c>
      <c r="L47" s="92" t="str">
        <f t="shared" si="78"/>
        <v/>
      </c>
      <c r="M47" s="92" t="str">
        <f t="shared" si="78"/>
        <v/>
      </c>
      <c r="N47" s="92" t="str">
        <f t="shared" si="78"/>
        <v/>
      </c>
      <c r="O47" s="92" t="str">
        <f t="shared" si="78"/>
        <v/>
      </c>
      <c r="P47" s="92" t="str">
        <f t="shared" si="78"/>
        <v/>
      </c>
      <c r="Q47" s="92" t="str">
        <f t="shared" si="78"/>
        <v/>
      </c>
      <c r="R47" s="92" t="str">
        <f t="shared" si="78"/>
        <v/>
      </c>
      <c r="S47" s="92" t="str">
        <f t="shared" si="78"/>
        <v/>
      </c>
      <c r="T47" s="92" t="str">
        <f t="shared" si="78"/>
        <v/>
      </c>
      <c r="U47" s="92" t="str">
        <f t="shared" si="78"/>
        <v/>
      </c>
      <c r="V47" s="92" t="str">
        <f t="shared" si="78"/>
        <v/>
      </c>
      <c r="W47" s="92" t="str">
        <f t="shared" si="78"/>
        <v/>
      </c>
      <c r="X47" s="92" t="str">
        <f t="shared" si="78"/>
        <v/>
      </c>
      <c r="Y47" s="92" t="str">
        <f t="shared" si="78"/>
        <v/>
      </c>
      <c r="Z47" s="92" t="str">
        <f t="shared" si="78"/>
        <v/>
      </c>
      <c r="AA47" s="92" t="str">
        <f t="shared" si="78"/>
        <v/>
      </c>
      <c r="AB47" s="92" t="str">
        <f t="shared" si="78"/>
        <v/>
      </c>
      <c r="AC47" s="92" t="str">
        <f t="shared" si="78"/>
        <v/>
      </c>
      <c r="AD47" s="92" t="str">
        <f t="shared" si="78"/>
        <v/>
      </c>
      <c r="AE47" s="92" t="str">
        <f t="shared" si="78"/>
        <v/>
      </c>
      <c r="AF47" s="92" t="str">
        <f t="shared" si="78"/>
        <v/>
      </c>
      <c r="AG47" s="92" t="str">
        <f t="shared" si="78"/>
        <v/>
      </c>
      <c r="AH47" s="92" t="str">
        <f t="shared" si="78"/>
        <v/>
      </c>
      <c r="AI47" s="97" t="str">
        <f t="shared" si="78"/>
        <v/>
      </c>
      <c r="AJ47" s="206"/>
      <c r="AK47" s="220"/>
      <c r="AL47" s="220"/>
      <c r="AM47" s="209"/>
      <c r="AN47" s="211"/>
      <c r="AO47" s="225"/>
      <c r="AP47" s="211"/>
      <c r="AQ47" s="209"/>
      <c r="AR47" s="210"/>
      <c r="CK47" s="58">
        <f>IF(DAY(INDEX('Сводный годовой график'!$BA$4:$BL$14,$C46,MONTH($B$44)))=E$3,1,0)</f>
        <v>0</v>
      </c>
      <c r="CL47" s="58">
        <f>IF(DAY(INDEX('Сводный годовой график'!$BA$4:$BL$14,$C46,MONTH($B$44)))=F$3,1,0)</f>
        <v>0</v>
      </c>
      <c r="CM47" s="58">
        <f>IF(DAY(INDEX('Сводный годовой график'!$BA$4:$BL$14,$C46,MONTH($B$44)))=G$3,1,0)</f>
        <v>0</v>
      </c>
      <c r="CN47" s="58">
        <f>IF(DAY(INDEX('Сводный годовой график'!$BA$4:$BL$14,$C46,MONTH($B$44)))=H$3,1,0)</f>
        <v>0</v>
      </c>
      <c r="CO47" s="58">
        <f>IF(DAY(INDEX('Сводный годовой график'!$BA$4:$BL$14,$C46,MONTH($B$44)))=I$3,1,0)</f>
        <v>0</v>
      </c>
      <c r="CP47" s="58">
        <f>IF(DAY(INDEX('Сводный годовой график'!$BA$4:$BL$14,$C46,MONTH($B$44)))=J$3,1,0)</f>
        <v>1</v>
      </c>
      <c r="CQ47" s="58">
        <f>IF(DAY(INDEX('Сводный годовой график'!$BA$4:$BL$14,$C46,MONTH($B$44)))=K$3,1,0)</f>
        <v>0</v>
      </c>
      <c r="CR47" s="58">
        <f>IF(DAY(INDEX('Сводный годовой график'!$BA$4:$BL$14,$C46,MONTH($B$44)))=L$3,1,0)</f>
        <v>0</v>
      </c>
      <c r="CS47" s="58">
        <f>IF(DAY(INDEX('Сводный годовой график'!$BA$4:$BL$14,$C46,MONTH($B$44)))=M$3,1,0)</f>
        <v>0</v>
      </c>
      <c r="CT47" s="58">
        <f>IF(DAY(INDEX('Сводный годовой график'!$BA$4:$BL$14,$C46,MONTH($B$44)))=N$3,1,0)</f>
        <v>0</v>
      </c>
      <c r="CU47" s="58">
        <f>IF(DAY(INDEX('Сводный годовой график'!$BA$4:$BL$14,$C46,MONTH($B$44)))=O$3,1,0)</f>
        <v>0</v>
      </c>
      <c r="CV47" s="58">
        <f>IF(DAY(INDEX('Сводный годовой график'!$BA$4:$BL$14,$C46,MONTH($B$44)))=P$3,1,0)</f>
        <v>0</v>
      </c>
      <c r="CW47" s="58">
        <f>IF(DAY(INDEX('Сводный годовой график'!$BA$4:$BL$14,$C46,MONTH($B$44)))=Q$3,1,0)</f>
        <v>0</v>
      </c>
      <c r="CX47" s="58">
        <f>IF(DAY(INDEX('Сводный годовой график'!$BA$4:$BL$14,$C46,MONTH($B$44)))=R$3,1,0)</f>
        <v>0</v>
      </c>
      <c r="CY47" s="58">
        <f>IF(DAY(INDEX('Сводный годовой график'!$BA$4:$BL$14,$C46,MONTH($B$44)))=S$3,1,0)</f>
        <v>0</v>
      </c>
      <c r="CZ47" s="58">
        <f>IF(DAY(INDEX('Сводный годовой график'!$BA$4:$BL$14,$C46,MONTH($B$44)))=T$3,1,0)</f>
        <v>0</v>
      </c>
      <c r="DA47" s="58">
        <f>IF(DAY(INDEX('Сводный годовой график'!$BA$4:$BL$14,$C46,MONTH($B$44)))=U$3,1,0)</f>
        <v>0</v>
      </c>
      <c r="DB47" s="58">
        <f>IF(DAY(INDEX('Сводный годовой график'!$BA$4:$BL$14,$C46,MONTH($B$44)))=V$3,1,0)</f>
        <v>0</v>
      </c>
      <c r="DC47" s="58">
        <f>IF(DAY(INDEX('Сводный годовой график'!$BA$4:$BL$14,$C46,MONTH($B$44)))=W$3,1,0)</f>
        <v>0</v>
      </c>
      <c r="DD47" s="58">
        <f>IF(DAY(INDEX('Сводный годовой график'!$BA$4:$BL$14,$C46,MONTH($B$44)))=X$3,1,0)</f>
        <v>0</v>
      </c>
      <c r="DE47" s="58">
        <f>IF(DAY(INDEX('Сводный годовой график'!$BA$4:$BL$14,$C46,MONTH($B$44)))=Y$3,1,0)</f>
        <v>0</v>
      </c>
      <c r="DF47" s="58">
        <f>IF(DAY(INDEX('Сводный годовой график'!$BA$4:$BL$14,$C46,MONTH($B$44)))=Z$3,1,0)</f>
        <v>0</v>
      </c>
      <c r="DG47" s="58">
        <f>IF(DAY(INDEX('Сводный годовой график'!$BA$4:$BL$14,$C46,MONTH($B$44)))=AA$3,1,0)</f>
        <v>0</v>
      </c>
      <c r="DH47" s="58">
        <f>IF(DAY(INDEX('Сводный годовой график'!$BA$4:$BL$14,$C46,MONTH($B$44)))=AB$3,1,0)</f>
        <v>0</v>
      </c>
      <c r="DI47" s="58">
        <f>IF(DAY(INDEX('Сводный годовой график'!$BA$4:$BL$14,$C46,MONTH($B$44)))=AC$3,1,0)</f>
        <v>0</v>
      </c>
      <c r="DJ47" s="58">
        <f>IF(DAY(INDEX('Сводный годовой график'!$BA$4:$BL$14,$C46,MONTH($B$44)))=AD$3,1,0)</f>
        <v>0</v>
      </c>
      <c r="DK47" s="58">
        <f>IF(DAY(INDEX('Сводный годовой график'!$BA$4:$BL$14,$C46,MONTH($B$44)))=AE$3,1,0)</f>
        <v>0</v>
      </c>
      <c r="DL47" s="58">
        <f>IF(DAY(INDEX('Сводный годовой график'!$BA$4:$BL$14,$C46,MONTH($B$44)))=AF$3,1,0)</f>
        <v>0</v>
      </c>
      <c r="DM47" s="58">
        <f>IF(DAY(INDEX('Сводный годовой график'!$BA$4:$BL$14,$C46,MONTH($B$44)))=AG$3,1,0)</f>
        <v>0</v>
      </c>
      <c r="DN47" s="58">
        <f>IF(DAY(INDEX('Сводный годовой график'!$BA$4:$BL$14,$C46,MONTH($B$44)))=AH$3,1,0)</f>
        <v>0</v>
      </c>
      <c r="DO47" s="58">
        <f>IF(DAY(INDEX('Сводный годовой график'!$BA$4:$BL$14,$C46,MONTH($B$44)))=AI$3,1,0)</f>
        <v>0</v>
      </c>
    </row>
    <row r="48" spans="2:119" ht="16.5" thickBot="1" x14ac:dyDescent="0.3">
      <c r="B48" s="201"/>
      <c r="C48" s="196">
        <v>3</v>
      </c>
      <c r="D48" s="81">
        <v>5</v>
      </c>
      <c r="E48" s="96">
        <f ca="1">IF(AND(INDEX('Сводный годовой график'!$C$1:$AR$4,MATCH($C$48,'Сводный годовой график'!$B$1:$B$4),MATCH(DATE($AV$1,MONTH($B$44),E$3),'Сводный годовой график'!$C$9:$AR$9))&lt;&gt;12,INDIRECT(ADDRESS(ROW()+1,COLUMN()))="СП"),8,INDEX('Сводный годовой график'!$C$1:$AR$4,MATCH($C$48,'Сводный годовой график'!$B$1:$B$4),MATCH(DATE($AV$1,MONTH($B$44),E$3),'Сводный годовой график'!$C$9:$AR$9)))</f>
        <v>8</v>
      </c>
      <c r="F48" s="92">
        <f ca="1">IF(AND(INDEX('Сводный годовой график'!$C$1:$AR$4,MATCH($C$48,'Сводный годовой график'!$B$1:$B$4),MATCH(DATE($AV$1,MONTH($B$44),F$3),'Сводный годовой график'!$C$9:$AR$9))&lt;&gt;12,INDIRECT(ADDRESS(ROW()+1,COLUMN()))="СП"),8,INDEX('Сводный годовой график'!$C$1:$AR$4,MATCH($C$48,'Сводный годовой график'!$B$1:$B$4),MATCH(DATE($AV$1,MONTH($B$44),F$3),'Сводный годовой график'!$C$9:$AR$9)))</f>
        <v>12</v>
      </c>
      <c r="G48" s="92">
        <f ca="1">IF(AND(INDEX('Сводный годовой график'!$C$1:$AR$4,MATCH($C$48,'Сводный годовой график'!$B$1:$B$4),MATCH(DATE($AV$1,MONTH($B$44),G$3),'Сводный годовой график'!$C$9:$AR$9))&lt;&gt;12,INDIRECT(ADDRESS(ROW()+1,COLUMN()))="СП"),8,INDEX('Сводный годовой график'!$C$1:$AR$4,MATCH($C$48,'Сводный годовой график'!$B$1:$B$4),MATCH(DATE($AV$1,MONTH($B$44),G$3),'Сводный годовой график'!$C$9:$AR$9)))</f>
        <v>0</v>
      </c>
      <c r="H48" s="92">
        <f ca="1">IF(AND(INDEX('Сводный годовой график'!$C$1:$AR$4,MATCH($C$48,'Сводный годовой график'!$B$1:$B$4),MATCH(DATE($AV$1,MONTH($B$44),H$3),'Сводный годовой график'!$C$9:$AR$9))&lt;&gt;12,INDIRECT(ADDRESS(ROW()+1,COLUMN()))="СП"),8,INDEX('Сводный годовой график'!$C$1:$AR$4,MATCH($C$48,'Сводный годовой график'!$B$1:$B$4),MATCH(DATE($AV$1,MONTH($B$44),H$3),'Сводный годовой график'!$C$9:$AR$9)))</f>
        <v>0</v>
      </c>
      <c r="I48" s="92">
        <f ca="1">IF(AND(INDEX('Сводный годовой график'!$C$1:$AR$4,MATCH($C$48,'Сводный годовой график'!$B$1:$B$4),MATCH(DATE($AV$1,MONTH($B$44),I$3),'Сводный годовой график'!$C$9:$AR$9))&lt;&gt;12,INDIRECT(ADDRESS(ROW()+1,COLUMN()))="СП"),8,INDEX('Сводный годовой график'!$C$1:$AR$4,MATCH($C$48,'Сводный годовой график'!$B$1:$B$4),MATCH(DATE($AV$1,MONTH($B$44),I$3),'Сводный годовой график'!$C$9:$AR$9)))</f>
        <v>4</v>
      </c>
      <c r="J48" s="92">
        <f ca="1">IF(AND(INDEX('Сводный годовой график'!$C$1:$AR$4,MATCH($C$48,'Сводный годовой график'!$B$1:$B$4),MATCH(DATE($AV$1,MONTH($B$44),J$3),'Сводный годовой график'!$C$9:$AR$9))&lt;&gt;12,INDIRECT(ADDRESS(ROW()+1,COLUMN()))="СП"),8,INDEX('Сводный годовой график'!$C$1:$AR$4,MATCH($C$48,'Сводный годовой график'!$B$1:$B$4),MATCH(DATE($AV$1,MONTH($B$44),J$3),'Сводный годовой график'!$C$9:$AR$9)))</f>
        <v>8</v>
      </c>
      <c r="K48" s="92">
        <f ca="1">IF(AND(INDEX('Сводный годовой график'!$C$1:$AR$4,MATCH($C$48,'Сводный годовой график'!$B$1:$B$4),MATCH(DATE($AV$1,MONTH($B$44),K$3),'Сводный годовой график'!$C$9:$AR$9))&lt;&gt;12,INDIRECT(ADDRESS(ROW()+1,COLUMN()))="СП"),8,INDEX('Сводный годовой график'!$C$1:$AR$4,MATCH($C$48,'Сводный годовой график'!$B$1:$B$4),MATCH(DATE($AV$1,MONTH($B$44),K$3),'Сводный годовой график'!$C$9:$AR$9)))</f>
        <v>12</v>
      </c>
      <c r="L48" s="92">
        <f ca="1">IF(AND(INDEX('Сводный годовой график'!$C$1:$AR$4,MATCH($C$48,'Сводный годовой график'!$B$1:$B$4),MATCH(DATE($AV$1,MONTH($B$44),L$3),'Сводный годовой график'!$C$9:$AR$9))&lt;&gt;12,INDIRECT(ADDRESS(ROW()+1,COLUMN()))="СП"),8,INDEX('Сводный годовой график'!$C$1:$AR$4,MATCH($C$48,'Сводный годовой график'!$B$1:$B$4),MATCH(DATE($AV$1,MONTH($B$44),L$3),'Сводный годовой график'!$C$9:$AR$9)))</f>
        <v>4</v>
      </c>
      <c r="M48" s="92">
        <f ca="1">IF(AND(INDEX('Сводный годовой график'!$C$1:$AR$4,MATCH($C$48,'Сводный годовой график'!$B$1:$B$4),MATCH(DATE($AV$1,MONTH($B$44),M$3),'Сводный годовой график'!$C$9:$AR$9))&lt;&gt;12,INDIRECT(ADDRESS(ROW()+1,COLUMN()))="СП"),8,INDEX('Сводный годовой график'!$C$1:$AR$4,MATCH($C$48,'Сводный годовой график'!$B$1:$B$4),MATCH(DATE($AV$1,MONTH($B$44),M$3),'Сводный годовой график'!$C$9:$AR$9)))</f>
        <v>8</v>
      </c>
      <c r="N48" s="92">
        <f ca="1">IF(AND(INDEX('Сводный годовой график'!$C$1:$AR$4,MATCH($C$48,'Сводный годовой график'!$B$1:$B$4),MATCH(DATE($AV$1,MONTH($B$44),N$3),'Сводный годовой график'!$C$9:$AR$9))&lt;&gt;12,INDIRECT(ADDRESS(ROW()+1,COLUMN()))="СП"),8,INDEX('Сводный годовой график'!$C$1:$AR$4,MATCH($C$48,'Сводный годовой график'!$B$1:$B$4),MATCH(DATE($AV$1,MONTH($B$44),N$3),'Сводный годовой график'!$C$9:$AR$9)))</f>
        <v>12</v>
      </c>
      <c r="O48" s="92">
        <f ca="1">IF(AND(INDEX('Сводный годовой график'!$C$1:$AR$4,MATCH($C$48,'Сводный годовой график'!$B$1:$B$4),MATCH(DATE($AV$1,MONTH($B$44),O$3),'Сводный годовой график'!$C$9:$AR$9))&lt;&gt;12,INDIRECT(ADDRESS(ROW()+1,COLUMN()))="СП"),8,INDEX('Сводный годовой график'!$C$1:$AR$4,MATCH($C$48,'Сводный годовой график'!$B$1:$B$4),MATCH(DATE($AV$1,MONTH($B$44),O$3),'Сводный годовой график'!$C$9:$AR$9)))</f>
        <v>0</v>
      </c>
      <c r="P48" s="92">
        <f ca="1">IF(AND(INDEX('Сводный годовой график'!$C$1:$AR$4,MATCH($C$48,'Сводный годовой график'!$B$1:$B$4),MATCH(DATE($AV$1,MONTH($B$44),P$3),'Сводный годовой график'!$C$9:$AR$9))&lt;&gt;12,INDIRECT(ADDRESS(ROW()+1,COLUMN()))="СП"),8,INDEX('Сводный годовой график'!$C$1:$AR$4,MATCH($C$48,'Сводный годовой график'!$B$1:$B$4),MATCH(DATE($AV$1,MONTH($B$44),P$3),'Сводный годовой график'!$C$9:$AR$9)))</f>
        <v>0</v>
      </c>
      <c r="Q48" s="92">
        <f ca="1">IF(AND(INDEX('Сводный годовой график'!$C$1:$AR$4,MATCH($C$48,'Сводный годовой график'!$B$1:$B$4),MATCH(DATE($AV$1,MONTH($B$44),Q$3),'Сводный годовой график'!$C$9:$AR$9))&lt;&gt;12,INDIRECT(ADDRESS(ROW()+1,COLUMN()))="СП"),8,INDEX('Сводный годовой график'!$C$1:$AR$4,MATCH($C$48,'Сводный годовой график'!$B$1:$B$4),MATCH(DATE($AV$1,MONTH($B$44),Q$3),'Сводный годовой график'!$C$9:$AR$9)))</f>
        <v>4</v>
      </c>
      <c r="R48" s="92">
        <f ca="1">IF(AND(INDEX('Сводный годовой график'!$C$1:$AR$4,MATCH($C$48,'Сводный годовой график'!$B$1:$B$4),MATCH(DATE($AV$1,MONTH($B$44),R$3),'Сводный годовой график'!$C$9:$AR$9))&lt;&gt;12,INDIRECT(ADDRESS(ROW()+1,COLUMN()))="СП"),8,INDEX('Сводный годовой график'!$C$1:$AR$4,MATCH($C$48,'Сводный годовой график'!$B$1:$B$4),MATCH(DATE($AV$1,MONTH($B$44),R$3),'Сводный годовой график'!$C$9:$AR$9)))</f>
        <v>8</v>
      </c>
      <c r="S48" s="92">
        <f ca="1">IF(AND(INDEX('Сводный годовой график'!$C$1:$AR$4,MATCH($C$48,'Сводный годовой график'!$B$1:$B$4),MATCH(DATE($AV$1,MONTH($B$44),S$3),'Сводный годовой график'!$C$9:$AR$9))&lt;&gt;12,INDIRECT(ADDRESS(ROW()+1,COLUMN()))="СП"),8,INDEX('Сводный годовой график'!$C$1:$AR$4,MATCH($C$48,'Сводный годовой график'!$B$1:$B$4),MATCH(DATE($AV$1,MONTH($B$44),S$3),'Сводный годовой график'!$C$9:$AR$9)))</f>
        <v>12</v>
      </c>
      <c r="T48" s="92">
        <f ca="1">IF(AND(INDEX('Сводный годовой график'!$C$1:$AR$4,MATCH($C$48,'Сводный годовой график'!$B$1:$B$4),MATCH(DATE($AV$1,MONTH($B$44),T$3),'Сводный годовой график'!$C$9:$AR$9))&lt;&gt;12,INDIRECT(ADDRESS(ROW()+1,COLUMN()))="СП"),8,INDEX('Сводный годовой график'!$C$1:$AR$4,MATCH($C$48,'Сводный годовой график'!$B$1:$B$4),MATCH(DATE($AV$1,MONTH($B$44),T$3),'Сводный годовой график'!$C$9:$AR$9)))</f>
        <v>4</v>
      </c>
      <c r="U48" s="92">
        <f ca="1">IF(AND(INDEX('Сводный годовой график'!$C$1:$AR$4,MATCH($C$48,'Сводный годовой график'!$B$1:$B$4),MATCH(DATE($AV$1,MONTH($B$44),U$3),'Сводный годовой график'!$C$9:$AR$9))&lt;&gt;12,INDIRECT(ADDRESS(ROW()+1,COLUMN()))="СП"),8,INDEX('Сводный годовой график'!$C$1:$AR$4,MATCH($C$48,'Сводный годовой график'!$B$1:$B$4),MATCH(DATE($AV$1,MONTH($B$44),U$3),'Сводный годовой график'!$C$9:$AR$9)))</f>
        <v>8</v>
      </c>
      <c r="V48" s="92">
        <f ca="1">IF(AND(INDEX('Сводный годовой график'!$C$1:$AR$4,MATCH($C$48,'Сводный годовой график'!$B$1:$B$4),MATCH(DATE($AV$1,MONTH($B$44),V$3),'Сводный годовой график'!$C$9:$AR$9))&lt;&gt;12,INDIRECT(ADDRESS(ROW()+1,COLUMN()))="СП"),8,INDEX('Сводный годовой график'!$C$1:$AR$4,MATCH($C$48,'Сводный годовой график'!$B$1:$B$4),MATCH(DATE($AV$1,MONTH($B$44),V$3),'Сводный годовой график'!$C$9:$AR$9)))</f>
        <v>12</v>
      </c>
      <c r="W48" s="92">
        <f ca="1">IF(AND(INDEX('Сводный годовой график'!$C$1:$AR$4,MATCH($C$48,'Сводный годовой график'!$B$1:$B$4),MATCH(DATE($AV$1,MONTH($B$44),W$3),'Сводный годовой график'!$C$9:$AR$9))&lt;&gt;12,INDIRECT(ADDRESS(ROW()+1,COLUMN()))="СП"),8,INDEX('Сводный годовой график'!$C$1:$AR$4,MATCH($C$48,'Сводный годовой график'!$B$1:$B$4),MATCH(DATE($AV$1,MONTH($B$44),W$3),'Сводный годовой график'!$C$9:$AR$9)))</f>
        <v>0</v>
      </c>
      <c r="X48" s="92">
        <f ca="1">IF(AND(INDEX('Сводный годовой график'!$C$1:$AR$4,MATCH($C$48,'Сводный годовой график'!$B$1:$B$4),MATCH(DATE($AV$1,MONTH($B$44),X$3),'Сводный годовой график'!$C$9:$AR$9))&lt;&gt;12,INDIRECT(ADDRESS(ROW()+1,COLUMN()))="СП"),8,INDEX('Сводный годовой график'!$C$1:$AR$4,MATCH($C$48,'Сводный годовой график'!$B$1:$B$4),MATCH(DATE($AV$1,MONTH($B$44),X$3),'Сводный годовой график'!$C$9:$AR$9)))</f>
        <v>0</v>
      </c>
      <c r="Y48" s="92">
        <f ca="1">IF(AND(INDEX('Сводный годовой график'!$C$1:$AR$4,MATCH($C$48,'Сводный годовой график'!$B$1:$B$4),MATCH(DATE($AV$1,MONTH($B$44),Y$3),'Сводный годовой график'!$C$9:$AR$9))&lt;&gt;12,INDIRECT(ADDRESS(ROW()+1,COLUMN()))="СП"),8,INDEX('Сводный годовой график'!$C$1:$AR$4,MATCH($C$48,'Сводный годовой график'!$B$1:$B$4),MATCH(DATE($AV$1,MONTH($B$44),Y$3),'Сводный годовой график'!$C$9:$AR$9)))</f>
        <v>4</v>
      </c>
      <c r="Z48" s="92">
        <f ca="1">IF(AND(INDEX('Сводный годовой график'!$C$1:$AR$4,MATCH($C$48,'Сводный годовой график'!$B$1:$B$4),MATCH(DATE($AV$1,MONTH($B$44),Z$3),'Сводный годовой график'!$C$9:$AR$9))&lt;&gt;12,INDIRECT(ADDRESS(ROW()+1,COLUMN()))="СП"),8,INDEX('Сводный годовой график'!$C$1:$AR$4,MATCH($C$48,'Сводный годовой график'!$B$1:$B$4),MATCH(DATE($AV$1,MONTH($B$44),Z$3),'Сводный годовой график'!$C$9:$AR$9)))</f>
        <v>8</v>
      </c>
      <c r="AA48" s="92">
        <f ca="1">IF(AND(INDEX('Сводный годовой график'!$C$1:$AR$4,MATCH($C$48,'Сводный годовой график'!$B$1:$B$4),MATCH(DATE($AV$1,MONTH($B$44),AA$3),'Сводный годовой график'!$C$9:$AR$9))&lt;&gt;12,INDIRECT(ADDRESS(ROW()+1,COLUMN()))="СП"),8,INDEX('Сводный годовой график'!$C$1:$AR$4,MATCH($C$48,'Сводный годовой график'!$B$1:$B$4),MATCH(DATE($AV$1,MONTH($B$44),AA$3),'Сводный годовой график'!$C$9:$AR$9)))</f>
        <v>12</v>
      </c>
      <c r="AB48" s="92">
        <f ca="1">IF(AND(INDEX('Сводный годовой график'!$C$1:$AR$4,MATCH($C$48,'Сводный годовой график'!$B$1:$B$4),MATCH(DATE($AV$1,MONTH($B$44),AB$3),'Сводный годовой график'!$C$9:$AR$9))&lt;&gt;12,INDIRECT(ADDRESS(ROW()+1,COLUMN()))="СП"),8,INDEX('Сводный годовой график'!$C$1:$AR$4,MATCH($C$48,'Сводный годовой график'!$B$1:$B$4),MATCH(DATE($AV$1,MONTH($B$44),AB$3),'Сводный годовой график'!$C$9:$AR$9)))</f>
        <v>4</v>
      </c>
      <c r="AC48" s="92">
        <f ca="1">IF(AND(INDEX('Сводный годовой график'!$C$1:$AR$4,MATCH($C$48,'Сводный годовой график'!$B$1:$B$4),MATCH(DATE($AV$1,MONTH($B$44),AC$3),'Сводный годовой график'!$C$9:$AR$9))&lt;&gt;12,INDIRECT(ADDRESS(ROW()+1,COLUMN()))="СП"),8,INDEX('Сводный годовой график'!$C$1:$AR$4,MATCH($C$48,'Сводный годовой график'!$B$1:$B$4),MATCH(DATE($AV$1,MONTH($B$44),AC$3),'Сводный годовой график'!$C$9:$AR$9)))</f>
        <v>8</v>
      </c>
      <c r="AD48" s="92">
        <f ca="1">IF(AND(INDEX('Сводный годовой график'!$C$1:$AR$4,MATCH($C$48,'Сводный годовой график'!$B$1:$B$4),MATCH(DATE($AV$1,MONTH($B$44),AD$3),'Сводный годовой график'!$C$9:$AR$9))&lt;&gt;12,INDIRECT(ADDRESS(ROW()+1,COLUMN()))="СП"),8,INDEX('Сводный годовой график'!$C$1:$AR$4,MATCH($C$48,'Сводный годовой график'!$B$1:$B$4),MATCH(DATE($AV$1,MONTH($B$44),AD$3),'Сводный годовой график'!$C$9:$AR$9)))</f>
        <v>12</v>
      </c>
      <c r="AE48" s="92">
        <f ca="1">IF(AND(INDEX('Сводный годовой график'!$C$1:$AR$4,MATCH($C$48,'Сводный годовой график'!$B$1:$B$4),MATCH(DATE($AV$1,MONTH($B$44),AE$3),'Сводный годовой график'!$C$9:$AR$9))&lt;&gt;12,INDIRECT(ADDRESS(ROW()+1,COLUMN()))="СП"),8,INDEX('Сводный годовой график'!$C$1:$AR$4,MATCH($C$48,'Сводный годовой график'!$B$1:$B$4),MATCH(DATE($AV$1,MONTH($B$44),AE$3),'Сводный годовой график'!$C$9:$AR$9)))</f>
        <v>0</v>
      </c>
      <c r="AF48" s="92">
        <f ca="1">IF(AND(INDEX('Сводный годовой график'!$C$1:$AR$4,MATCH($C$48,'Сводный годовой график'!$B$1:$B$4),MATCH(DATE($AV$1,MONTH($B$44),AF$3),'Сводный годовой график'!$C$9:$AR$9))&lt;&gt;12,INDIRECT(ADDRESS(ROW()+1,COLUMN()))="СП"),8,INDEX('Сводный годовой график'!$C$1:$AR$4,MATCH($C$48,'Сводный годовой график'!$B$1:$B$4),MATCH(DATE($AV$1,MONTH($B$44),AF$3),'Сводный годовой график'!$C$9:$AR$9)))</f>
        <v>0</v>
      </c>
      <c r="AG48" s="92">
        <f ca="1">IF(AND(INDEX('Сводный годовой график'!$C$1:$AR$4,MATCH($C$48,'Сводный годовой график'!$B$1:$B$4),MATCH(DATE($AV$1,MONTH($B$44),AG$3),'Сводный годовой график'!$C$9:$AR$9))&lt;&gt;12,INDIRECT(ADDRESS(ROW()+1,COLUMN()))="СП"),8,INDEX('Сводный годовой график'!$C$1:$AR$4,MATCH($C$48,'Сводный годовой график'!$B$1:$B$4),MATCH(DATE($AV$1,MONTH($B$44),AG$3),'Сводный годовой график'!$C$9:$AR$9)))</f>
        <v>4</v>
      </c>
      <c r="AH48" s="92">
        <f ca="1">IF(AND(INDEX('Сводный годовой график'!$C$1:$AR$4,MATCH($C$48,'Сводный годовой график'!$B$1:$B$4),MATCH(DATE($AV$1,MONTH($B$44),AH$3),'Сводный годовой график'!$C$9:$AR$9))&lt;&gt;12,INDIRECT(ADDRESS(ROW()+1,COLUMN()))="СП"),8,INDEX('Сводный годовой график'!$C$1:$AR$4,MATCH($C$48,'Сводный годовой график'!$B$1:$B$4),MATCH(DATE($AV$1,MONTH($B$44),AH$3),'Сводный годовой график'!$C$9:$AR$9)))</f>
        <v>8</v>
      </c>
      <c r="AI48" s="97">
        <f ca="1">IF(AND(INDEX('Сводный годовой график'!$C$1:$AR$4,MATCH($C$48,'Сводный годовой график'!$B$1:$B$4),MATCH(DATE($AV$1,MONTH($B$44),AI$3),'Сводный годовой график'!$C$9:$AR$9))&lt;&gt;12,INDIRECT(ADDRESS(ROW()+1,COLUMN()))="СП"),8,INDEX('Сводный годовой график'!$C$1:$AR$4,MATCH($C$48,'Сводный годовой график'!$B$1:$B$4),MATCH(DATE($AV$1,MONTH($B$44),AI$3),'Сводный годовой график'!$C$9:$AR$9)))</f>
        <v>12</v>
      </c>
      <c r="AJ48" s="206"/>
      <c r="AK48" s="223">
        <f>$AJ$44-SUM(AY48:CC49)</f>
        <v>144</v>
      </c>
      <c r="AL48" s="223">
        <f t="shared" ref="AL48" ca="1" si="79">SUM(E48:AI49)</f>
        <v>188</v>
      </c>
      <c r="AM48" s="209">
        <f t="shared" ref="AM48" ca="1" si="80">(SUM(E48)+SUM(M48))</f>
        <v>16</v>
      </c>
      <c r="AN48" s="211">
        <f t="shared" ref="AN48" ca="1" si="81">-AM48-AK48+AL48</f>
        <v>28</v>
      </c>
      <c r="AO48" s="224">
        <v>0</v>
      </c>
      <c r="AP48" s="211">
        <f t="shared" ref="AP48" ca="1" si="82">AN48+AP38</f>
        <v>46</v>
      </c>
      <c r="AQ48" s="209">
        <v>0</v>
      </c>
      <c r="AR48" s="210">
        <v>1</v>
      </c>
      <c r="CK48" s="59"/>
      <c r="CL48" s="59"/>
      <c r="CM48" s="59"/>
      <c r="CN48" s="59"/>
      <c r="CO48" s="59"/>
      <c r="CP48" s="59"/>
      <c r="CQ48" s="59"/>
      <c r="CR48" s="59"/>
      <c r="CS48" s="59"/>
      <c r="CT48" s="59"/>
      <c r="CU48" s="59"/>
      <c r="CV48" s="59"/>
      <c r="CW48" s="59"/>
      <c r="CX48" s="59"/>
      <c r="CY48" s="59"/>
      <c r="CZ48" s="59"/>
      <c r="DA48" s="59"/>
      <c r="DB48" s="59"/>
      <c r="DC48" s="59"/>
      <c r="DD48" s="59"/>
      <c r="DE48" s="59"/>
      <c r="DF48" s="59"/>
      <c r="DG48" s="59"/>
      <c r="DH48" s="59"/>
      <c r="DI48" s="59"/>
      <c r="DJ48" s="59"/>
      <c r="DK48" s="59"/>
      <c r="DL48" s="59"/>
      <c r="DM48" s="59"/>
      <c r="DN48" s="59"/>
      <c r="DO48" s="59"/>
    </row>
    <row r="49" spans="2:119" ht="16.5" thickBot="1" x14ac:dyDescent="0.3">
      <c r="B49" s="201"/>
      <c r="C49" s="197"/>
      <c r="D49" s="82">
        <v>6</v>
      </c>
      <c r="E49" s="96" t="str">
        <f t="shared" ref="E49:AI49" si="83">IF(INDEX($CK$4:$DO$123,ROW()-3,E$3)=0,"","СП")</f>
        <v/>
      </c>
      <c r="F49" s="92" t="str">
        <f t="shared" si="83"/>
        <v/>
      </c>
      <c r="G49" s="92" t="str">
        <f t="shared" si="83"/>
        <v/>
      </c>
      <c r="H49" s="92" t="str">
        <f t="shared" si="83"/>
        <v/>
      </c>
      <c r="I49" s="92" t="str">
        <f t="shared" si="83"/>
        <v/>
      </c>
      <c r="J49" s="92" t="str">
        <f t="shared" si="83"/>
        <v/>
      </c>
      <c r="K49" s="92" t="str">
        <f t="shared" si="83"/>
        <v>СП</v>
      </c>
      <c r="L49" s="92" t="str">
        <f t="shared" si="83"/>
        <v/>
      </c>
      <c r="M49" s="92" t="str">
        <f t="shared" si="83"/>
        <v/>
      </c>
      <c r="N49" s="92" t="str">
        <f t="shared" si="83"/>
        <v/>
      </c>
      <c r="O49" s="92" t="str">
        <f t="shared" si="83"/>
        <v/>
      </c>
      <c r="P49" s="92" t="str">
        <f t="shared" si="83"/>
        <v/>
      </c>
      <c r="Q49" s="92" t="str">
        <f t="shared" si="83"/>
        <v/>
      </c>
      <c r="R49" s="92" t="str">
        <f t="shared" si="83"/>
        <v/>
      </c>
      <c r="S49" s="92" t="str">
        <f t="shared" si="83"/>
        <v/>
      </c>
      <c r="T49" s="92" t="str">
        <f t="shared" si="83"/>
        <v/>
      </c>
      <c r="U49" s="92" t="str">
        <f t="shared" si="83"/>
        <v/>
      </c>
      <c r="V49" s="92" t="str">
        <f t="shared" si="83"/>
        <v/>
      </c>
      <c r="W49" s="92" t="str">
        <f t="shared" si="83"/>
        <v/>
      </c>
      <c r="X49" s="92" t="str">
        <f t="shared" si="83"/>
        <v/>
      </c>
      <c r="Y49" s="92" t="str">
        <f t="shared" si="83"/>
        <v/>
      </c>
      <c r="Z49" s="92" t="str">
        <f t="shared" si="83"/>
        <v/>
      </c>
      <c r="AA49" s="92" t="str">
        <f t="shared" si="83"/>
        <v/>
      </c>
      <c r="AB49" s="92" t="str">
        <f t="shared" si="83"/>
        <v/>
      </c>
      <c r="AC49" s="92" t="str">
        <f t="shared" si="83"/>
        <v/>
      </c>
      <c r="AD49" s="92" t="str">
        <f t="shared" si="83"/>
        <v/>
      </c>
      <c r="AE49" s="92" t="str">
        <f t="shared" si="83"/>
        <v/>
      </c>
      <c r="AF49" s="92" t="str">
        <f t="shared" si="83"/>
        <v/>
      </c>
      <c r="AG49" s="92" t="str">
        <f t="shared" si="83"/>
        <v/>
      </c>
      <c r="AH49" s="92" t="str">
        <f t="shared" si="83"/>
        <v/>
      </c>
      <c r="AI49" s="97" t="str">
        <f t="shared" si="83"/>
        <v/>
      </c>
      <c r="AJ49" s="206"/>
      <c r="AK49" s="220"/>
      <c r="AL49" s="220"/>
      <c r="AM49" s="209"/>
      <c r="AN49" s="211"/>
      <c r="AO49" s="225"/>
      <c r="AP49" s="211"/>
      <c r="AQ49" s="209"/>
      <c r="AR49" s="210"/>
      <c r="CK49" s="58">
        <f>IF(DAY(INDEX('Сводный годовой график'!$BA$4:$BL$14,$C48,MONTH($B$44)))=E$3,1,0)</f>
        <v>0</v>
      </c>
      <c r="CL49" s="58">
        <f>IF(DAY(INDEX('Сводный годовой график'!$BA$4:$BL$14,$C48,MONTH($B$44)))=F$3,1,0)</f>
        <v>0</v>
      </c>
      <c r="CM49" s="58">
        <f>IF(DAY(INDEX('Сводный годовой график'!$BA$4:$BL$14,$C48,MONTH($B$44)))=G$3,1,0)</f>
        <v>0</v>
      </c>
      <c r="CN49" s="58">
        <f>IF(DAY(INDEX('Сводный годовой график'!$BA$4:$BL$14,$C48,MONTH($B$44)))=H$3,1,0)</f>
        <v>0</v>
      </c>
      <c r="CO49" s="58">
        <f>IF(DAY(INDEX('Сводный годовой график'!$BA$4:$BL$14,$C48,MONTH($B$44)))=I$3,1,0)</f>
        <v>0</v>
      </c>
      <c r="CP49" s="58">
        <f>IF(DAY(INDEX('Сводный годовой график'!$BA$4:$BL$14,$C48,MONTH($B$44)))=J$3,1,0)</f>
        <v>0</v>
      </c>
      <c r="CQ49" s="58">
        <f>IF(DAY(INDEX('Сводный годовой график'!$BA$4:$BL$14,$C48,MONTH($B$44)))=K$3,1,0)</f>
        <v>1</v>
      </c>
      <c r="CR49" s="58">
        <f>IF(DAY(INDEX('Сводный годовой график'!$BA$4:$BL$14,$C48,MONTH($B$44)))=L$3,1,0)</f>
        <v>0</v>
      </c>
      <c r="CS49" s="58">
        <f>IF(DAY(INDEX('Сводный годовой график'!$BA$4:$BL$14,$C48,MONTH($B$44)))=M$3,1,0)</f>
        <v>0</v>
      </c>
      <c r="CT49" s="58">
        <f>IF(DAY(INDEX('Сводный годовой график'!$BA$4:$BL$14,$C48,MONTH($B$44)))=N$3,1,0)</f>
        <v>0</v>
      </c>
      <c r="CU49" s="58">
        <f>IF(DAY(INDEX('Сводный годовой график'!$BA$4:$BL$14,$C48,MONTH($B$44)))=O$3,1,0)</f>
        <v>0</v>
      </c>
      <c r="CV49" s="58">
        <f>IF(DAY(INDEX('Сводный годовой график'!$BA$4:$BL$14,$C48,MONTH($B$44)))=P$3,1,0)</f>
        <v>0</v>
      </c>
      <c r="CW49" s="58">
        <f>IF(DAY(INDEX('Сводный годовой график'!$BA$4:$BL$14,$C48,MONTH($B$44)))=Q$3,1,0)</f>
        <v>0</v>
      </c>
      <c r="CX49" s="58">
        <f>IF(DAY(INDEX('Сводный годовой график'!$BA$4:$BL$14,$C48,MONTH($B$44)))=R$3,1,0)</f>
        <v>0</v>
      </c>
      <c r="CY49" s="58">
        <f>IF(DAY(INDEX('Сводный годовой график'!$BA$4:$BL$14,$C48,MONTH($B$44)))=S$3,1,0)</f>
        <v>0</v>
      </c>
      <c r="CZ49" s="58">
        <f>IF(DAY(INDEX('Сводный годовой график'!$BA$4:$BL$14,$C48,MONTH($B$44)))=T$3,1,0)</f>
        <v>0</v>
      </c>
      <c r="DA49" s="58">
        <f>IF(DAY(INDEX('Сводный годовой график'!$BA$4:$BL$14,$C48,MONTH($B$44)))=U$3,1,0)</f>
        <v>0</v>
      </c>
      <c r="DB49" s="58">
        <f>IF(DAY(INDEX('Сводный годовой график'!$BA$4:$BL$14,$C48,MONTH($B$44)))=V$3,1,0)</f>
        <v>0</v>
      </c>
      <c r="DC49" s="58">
        <f>IF(DAY(INDEX('Сводный годовой график'!$BA$4:$BL$14,$C48,MONTH($B$44)))=W$3,1,0)</f>
        <v>0</v>
      </c>
      <c r="DD49" s="58">
        <f>IF(DAY(INDEX('Сводный годовой график'!$BA$4:$BL$14,$C48,MONTH($B$44)))=X$3,1,0)</f>
        <v>0</v>
      </c>
      <c r="DE49" s="58">
        <f>IF(DAY(INDEX('Сводный годовой график'!$BA$4:$BL$14,$C48,MONTH($B$44)))=Y$3,1,0)</f>
        <v>0</v>
      </c>
      <c r="DF49" s="58">
        <f>IF(DAY(INDEX('Сводный годовой график'!$BA$4:$BL$14,$C48,MONTH($B$44)))=Z$3,1,0)</f>
        <v>0</v>
      </c>
      <c r="DG49" s="58">
        <f>IF(DAY(INDEX('Сводный годовой график'!$BA$4:$BL$14,$C48,MONTH($B$44)))=AA$3,1,0)</f>
        <v>0</v>
      </c>
      <c r="DH49" s="58">
        <f>IF(DAY(INDEX('Сводный годовой график'!$BA$4:$BL$14,$C48,MONTH($B$44)))=AB$3,1,0)</f>
        <v>0</v>
      </c>
      <c r="DI49" s="58">
        <f>IF(DAY(INDEX('Сводный годовой график'!$BA$4:$BL$14,$C48,MONTH($B$44)))=AC$3,1,0)</f>
        <v>0</v>
      </c>
      <c r="DJ49" s="58">
        <f>IF(DAY(INDEX('Сводный годовой график'!$BA$4:$BL$14,$C48,MONTH($B$44)))=AD$3,1,0)</f>
        <v>0</v>
      </c>
      <c r="DK49" s="58">
        <f>IF(DAY(INDEX('Сводный годовой график'!$BA$4:$BL$14,$C48,MONTH($B$44)))=AE$3,1,0)</f>
        <v>0</v>
      </c>
      <c r="DL49" s="58">
        <f>IF(DAY(INDEX('Сводный годовой график'!$BA$4:$BL$14,$C48,MONTH($B$44)))=AF$3,1,0)</f>
        <v>0</v>
      </c>
      <c r="DM49" s="58">
        <f>IF(DAY(INDEX('Сводный годовой график'!$BA$4:$BL$14,$C48,MONTH($B$44)))=AG$3,1,0)</f>
        <v>0</v>
      </c>
      <c r="DN49" s="58">
        <f>IF(DAY(INDEX('Сводный годовой график'!$BA$4:$BL$14,$C48,MONTH($B$44)))=AH$3,1,0)</f>
        <v>0</v>
      </c>
      <c r="DO49" s="58">
        <f>IF(DAY(INDEX('Сводный годовой график'!$BA$4:$BL$14,$C48,MONTH($B$44)))=AI$3,1,0)</f>
        <v>0</v>
      </c>
    </row>
    <row r="50" spans="2:119" ht="16.5" thickBot="1" x14ac:dyDescent="0.3">
      <c r="B50" s="201"/>
      <c r="C50" s="196">
        <v>4</v>
      </c>
      <c r="D50" s="81">
        <v>7</v>
      </c>
      <c r="E50" s="96">
        <f ca="1">IF(AND(INDEX('Сводный годовой график'!$C$1:$AR$4,MATCH($C$50,'Сводный годовой график'!$B$1:$B$4),MATCH(DATE($AV$1,MONTH($B$44),E$3),'Сводный годовой график'!$C$9:$AR$9))&lt;&gt;12,INDIRECT(ADDRESS(ROW()+1,COLUMN()))="СП"),8,INDEX('Сводный годовой график'!$C$1:$AR$4,MATCH($C$50,'Сводный годовой график'!$B$1:$B$4),MATCH(DATE($AV$1,MONTH($B$44),E$3),'Сводный годовой график'!$C$9:$AR$9)))</f>
        <v>12</v>
      </c>
      <c r="F50" s="92">
        <f ca="1">IF(AND(INDEX('Сводный годовой график'!$C$1:$AR$4,MATCH($C$50,'Сводный годовой график'!$B$1:$B$4),MATCH(DATE($AV$1,MONTH($B$44),F$3),'Сводный годовой график'!$C$9:$AR$9))&lt;&gt;12,INDIRECT(ADDRESS(ROW()+1,COLUMN()))="СП"),8,INDEX('Сводный годовой график'!$C$1:$AR$4,MATCH($C$50,'Сводный годовой график'!$B$1:$B$4),MATCH(DATE($AV$1,MONTH($B$44),F$3),'Сводный годовой график'!$C$9:$AR$9)))</f>
        <v>4</v>
      </c>
      <c r="G50" s="92">
        <f ca="1">IF(AND(INDEX('Сводный годовой график'!$C$1:$AR$4,MATCH($C$50,'Сводный годовой график'!$B$1:$B$4),MATCH(DATE($AV$1,MONTH($B$44),G$3),'Сводный годовой график'!$C$9:$AR$9))&lt;&gt;12,INDIRECT(ADDRESS(ROW()+1,COLUMN()))="СП"),8,INDEX('Сводный годовой график'!$C$1:$AR$4,MATCH($C$50,'Сводный годовой график'!$B$1:$B$4),MATCH(DATE($AV$1,MONTH($B$44),G$3),'Сводный годовой график'!$C$9:$AR$9)))</f>
        <v>8</v>
      </c>
      <c r="H50" s="92">
        <f ca="1">IF(AND(INDEX('Сводный годовой график'!$C$1:$AR$4,MATCH($C$50,'Сводный годовой график'!$B$1:$B$4),MATCH(DATE($AV$1,MONTH($B$44),H$3),'Сводный годовой график'!$C$9:$AR$9))&lt;&gt;12,INDIRECT(ADDRESS(ROW()+1,COLUMN()))="СП"),8,INDEX('Сводный годовой график'!$C$1:$AR$4,MATCH($C$50,'Сводный годовой график'!$B$1:$B$4),MATCH(DATE($AV$1,MONTH($B$44),H$3),'Сводный годовой график'!$C$9:$AR$9)))</f>
        <v>12</v>
      </c>
      <c r="I50" s="92">
        <f ca="1">IF(AND(INDEX('Сводный годовой график'!$C$1:$AR$4,MATCH($C$50,'Сводный годовой график'!$B$1:$B$4),MATCH(DATE($AV$1,MONTH($B$44),I$3),'Сводный годовой график'!$C$9:$AR$9))&lt;&gt;12,INDIRECT(ADDRESS(ROW()+1,COLUMN()))="СП"),8,INDEX('Сводный годовой график'!$C$1:$AR$4,MATCH($C$50,'Сводный годовой график'!$B$1:$B$4),MATCH(DATE($AV$1,MONTH($B$44),I$3),'Сводный годовой график'!$C$9:$AR$9)))</f>
        <v>0</v>
      </c>
      <c r="J50" s="92">
        <f ca="1">IF(AND(INDEX('Сводный годовой график'!$C$1:$AR$4,MATCH($C$50,'Сводный годовой график'!$B$1:$B$4),MATCH(DATE($AV$1,MONTH($B$44),J$3),'Сводный годовой график'!$C$9:$AR$9))&lt;&gt;12,INDIRECT(ADDRESS(ROW()+1,COLUMN()))="СП"),8,INDEX('Сводный годовой график'!$C$1:$AR$4,MATCH($C$50,'Сводный годовой график'!$B$1:$B$4),MATCH(DATE($AV$1,MONTH($B$44),J$3),'Сводный годовой график'!$C$9:$AR$9)))</f>
        <v>0</v>
      </c>
      <c r="K50" s="92">
        <f ca="1">IF(AND(INDEX('Сводный годовой график'!$C$1:$AR$4,MATCH($C$50,'Сводный годовой график'!$B$1:$B$4),MATCH(DATE($AV$1,MONTH($B$44),K$3),'Сводный годовой график'!$C$9:$AR$9))&lt;&gt;12,INDIRECT(ADDRESS(ROW()+1,COLUMN()))="СП"),8,INDEX('Сводный годовой график'!$C$1:$AR$4,MATCH($C$50,'Сводный годовой график'!$B$1:$B$4),MATCH(DATE($AV$1,MONTH($B$44),K$3),'Сводный годовой график'!$C$9:$AR$9)))</f>
        <v>4</v>
      </c>
      <c r="L50" s="92">
        <f ca="1">IF(AND(INDEX('Сводный годовой график'!$C$1:$AR$4,MATCH($C$50,'Сводный годовой график'!$B$1:$B$4),MATCH(DATE($AV$1,MONTH($B$44),L$3),'Сводный годовой график'!$C$9:$AR$9))&lt;&gt;12,INDIRECT(ADDRESS(ROW()+1,COLUMN()))="СП"),8,INDEX('Сводный годовой график'!$C$1:$AR$4,MATCH($C$50,'Сводный годовой график'!$B$1:$B$4),MATCH(DATE($AV$1,MONTH($B$44),L$3),'Сводный годовой график'!$C$9:$AR$9)))</f>
        <v>8</v>
      </c>
      <c r="M50" s="92">
        <f ca="1">IF(AND(INDEX('Сводный годовой график'!$C$1:$AR$4,MATCH($C$50,'Сводный годовой график'!$B$1:$B$4),MATCH(DATE($AV$1,MONTH($B$44),M$3),'Сводный годовой график'!$C$9:$AR$9))&lt;&gt;12,INDIRECT(ADDRESS(ROW()+1,COLUMN()))="СП"),8,INDEX('Сводный годовой график'!$C$1:$AR$4,MATCH($C$50,'Сводный годовой график'!$B$1:$B$4),MATCH(DATE($AV$1,MONTH($B$44),M$3),'Сводный годовой график'!$C$9:$AR$9)))</f>
        <v>12</v>
      </c>
      <c r="N50" s="92">
        <f ca="1">IF(AND(INDEX('Сводный годовой график'!$C$1:$AR$4,MATCH($C$50,'Сводный годовой график'!$B$1:$B$4),MATCH(DATE($AV$1,MONTH($B$44),N$3),'Сводный годовой график'!$C$9:$AR$9))&lt;&gt;12,INDIRECT(ADDRESS(ROW()+1,COLUMN()))="СП"),8,INDEX('Сводный годовой график'!$C$1:$AR$4,MATCH($C$50,'Сводный годовой график'!$B$1:$B$4),MATCH(DATE($AV$1,MONTH($B$44),N$3),'Сводный годовой график'!$C$9:$AR$9)))</f>
        <v>4</v>
      </c>
      <c r="O50" s="92">
        <f ca="1">IF(AND(INDEX('Сводный годовой график'!$C$1:$AR$4,MATCH($C$50,'Сводный годовой график'!$B$1:$B$4),MATCH(DATE($AV$1,MONTH($B$44),O$3),'Сводный годовой график'!$C$9:$AR$9))&lt;&gt;12,INDIRECT(ADDRESS(ROW()+1,COLUMN()))="СП"),8,INDEX('Сводный годовой график'!$C$1:$AR$4,MATCH($C$50,'Сводный годовой график'!$B$1:$B$4),MATCH(DATE($AV$1,MONTH($B$44),O$3),'Сводный годовой график'!$C$9:$AR$9)))</f>
        <v>8</v>
      </c>
      <c r="P50" s="92">
        <f ca="1">IF(AND(INDEX('Сводный годовой график'!$C$1:$AR$4,MATCH($C$50,'Сводный годовой график'!$B$1:$B$4),MATCH(DATE($AV$1,MONTH($B$44),P$3),'Сводный годовой график'!$C$9:$AR$9))&lt;&gt;12,INDIRECT(ADDRESS(ROW()+1,COLUMN()))="СП"),8,INDEX('Сводный годовой график'!$C$1:$AR$4,MATCH($C$50,'Сводный годовой график'!$B$1:$B$4),MATCH(DATE($AV$1,MONTH($B$44),P$3),'Сводный годовой график'!$C$9:$AR$9)))</f>
        <v>12</v>
      </c>
      <c r="Q50" s="92">
        <f ca="1">IF(AND(INDEX('Сводный годовой график'!$C$1:$AR$4,MATCH($C$50,'Сводный годовой график'!$B$1:$B$4),MATCH(DATE($AV$1,MONTH($B$44),Q$3),'Сводный годовой график'!$C$9:$AR$9))&lt;&gt;12,INDIRECT(ADDRESS(ROW()+1,COLUMN()))="СП"),8,INDEX('Сводный годовой график'!$C$1:$AR$4,MATCH($C$50,'Сводный годовой график'!$B$1:$B$4),MATCH(DATE($AV$1,MONTH($B$44),Q$3),'Сводный годовой график'!$C$9:$AR$9)))</f>
        <v>0</v>
      </c>
      <c r="R50" s="92">
        <f ca="1">IF(AND(INDEX('Сводный годовой график'!$C$1:$AR$4,MATCH($C$50,'Сводный годовой график'!$B$1:$B$4),MATCH(DATE($AV$1,MONTH($B$44),R$3),'Сводный годовой график'!$C$9:$AR$9))&lt;&gt;12,INDIRECT(ADDRESS(ROW()+1,COLUMN()))="СП"),8,INDEX('Сводный годовой график'!$C$1:$AR$4,MATCH($C$50,'Сводный годовой график'!$B$1:$B$4),MATCH(DATE($AV$1,MONTH($B$44),R$3),'Сводный годовой график'!$C$9:$AR$9)))</f>
        <v>0</v>
      </c>
      <c r="S50" s="92">
        <f ca="1">IF(AND(INDEX('Сводный годовой график'!$C$1:$AR$4,MATCH($C$50,'Сводный годовой график'!$B$1:$B$4),MATCH(DATE($AV$1,MONTH($B$44),S$3),'Сводный годовой график'!$C$9:$AR$9))&lt;&gt;12,INDIRECT(ADDRESS(ROW()+1,COLUMN()))="СП"),8,INDEX('Сводный годовой график'!$C$1:$AR$4,MATCH($C$50,'Сводный годовой график'!$B$1:$B$4),MATCH(DATE($AV$1,MONTH($B$44),S$3),'Сводный годовой график'!$C$9:$AR$9)))</f>
        <v>4</v>
      </c>
      <c r="T50" s="92">
        <f ca="1">IF(AND(INDEX('Сводный годовой график'!$C$1:$AR$4,MATCH($C$50,'Сводный годовой график'!$B$1:$B$4),MATCH(DATE($AV$1,MONTH($B$44),T$3),'Сводный годовой график'!$C$9:$AR$9))&lt;&gt;12,INDIRECT(ADDRESS(ROW()+1,COLUMN()))="СП"),8,INDEX('Сводный годовой график'!$C$1:$AR$4,MATCH($C$50,'Сводный годовой график'!$B$1:$B$4),MATCH(DATE($AV$1,MONTH($B$44),T$3),'Сводный годовой график'!$C$9:$AR$9)))</f>
        <v>8</v>
      </c>
      <c r="U50" s="92">
        <f ca="1">IF(AND(INDEX('Сводный годовой график'!$C$1:$AR$4,MATCH($C$50,'Сводный годовой график'!$B$1:$B$4),MATCH(DATE($AV$1,MONTH($B$44),U$3),'Сводный годовой график'!$C$9:$AR$9))&lt;&gt;12,INDIRECT(ADDRESS(ROW()+1,COLUMN()))="СП"),8,INDEX('Сводный годовой график'!$C$1:$AR$4,MATCH($C$50,'Сводный годовой график'!$B$1:$B$4),MATCH(DATE($AV$1,MONTH($B$44),U$3),'Сводный годовой график'!$C$9:$AR$9)))</f>
        <v>12</v>
      </c>
      <c r="V50" s="92">
        <f ca="1">IF(AND(INDEX('Сводный годовой график'!$C$1:$AR$4,MATCH($C$50,'Сводный годовой график'!$B$1:$B$4),MATCH(DATE($AV$1,MONTH($B$44),V$3),'Сводный годовой график'!$C$9:$AR$9))&lt;&gt;12,INDIRECT(ADDRESS(ROW()+1,COLUMN()))="СП"),8,INDEX('Сводный годовой график'!$C$1:$AR$4,MATCH($C$50,'Сводный годовой график'!$B$1:$B$4),MATCH(DATE($AV$1,MONTH($B$44),V$3),'Сводный годовой график'!$C$9:$AR$9)))</f>
        <v>4</v>
      </c>
      <c r="W50" s="92">
        <f ca="1">IF(AND(INDEX('Сводный годовой график'!$C$1:$AR$4,MATCH($C$50,'Сводный годовой график'!$B$1:$B$4),MATCH(DATE($AV$1,MONTH($B$44),W$3),'Сводный годовой график'!$C$9:$AR$9))&lt;&gt;12,INDIRECT(ADDRESS(ROW()+1,COLUMN()))="СП"),8,INDEX('Сводный годовой график'!$C$1:$AR$4,MATCH($C$50,'Сводный годовой график'!$B$1:$B$4),MATCH(DATE($AV$1,MONTH($B$44),W$3),'Сводный годовой график'!$C$9:$AR$9)))</f>
        <v>8</v>
      </c>
      <c r="X50" s="92">
        <f ca="1">IF(AND(INDEX('Сводный годовой график'!$C$1:$AR$4,MATCH($C$50,'Сводный годовой график'!$B$1:$B$4),MATCH(DATE($AV$1,MONTH($B$44),X$3),'Сводный годовой график'!$C$9:$AR$9))&lt;&gt;12,INDIRECT(ADDRESS(ROW()+1,COLUMN()))="СП"),8,INDEX('Сводный годовой график'!$C$1:$AR$4,MATCH($C$50,'Сводный годовой график'!$B$1:$B$4),MATCH(DATE($AV$1,MONTH($B$44),X$3),'Сводный годовой график'!$C$9:$AR$9)))</f>
        <v>12</v>
      </c>
      <c r="Y50" s="92">
        <f ca="1">IF(AND(INDEX('Сводный годовой график'!$C$1:$AR$4,MATCH($C$50,'Сводный годовой график'!$B$1:$B$4),MATCH(DATE($AV$1,MONTH($B$44),Y$3),'Сводный годовой график'!$C$9:$AR$9))&lt;&gt;12,INDIRECT(ADDRESS(ROW()+1,COLUMN()))="СП"),8,INDEX('Сводный годовой график'!$C$1:$AR$4,MATCH($C$50,'Сводный годовой график'!$B$1:$B$4),MATCH(DATE($AV$1,MONTH($B$44),Y$3),'Сводный годовой график'!$C$9:$AR$9)))</f>
        <v>0</v>
      </c>
      <c r="Z50" s="92">
        <f ca="1">IF(AND(INDEX('Сводный годовой график'!$C$1:$AR$4,MATCH($C$50,'Сводный годовой график'!$B$1:$B$4),MATCH(DATE($AV$1,MONTH($B$44),Z$3),'Сводный годовой график'!$C$9:$AR$9))&lt;&gt;12,INDIRECT(ADDRESS(ROW()+1,COLUMN()))="СП"),8,INDEX('Сводный годовой график'!$C$1:$AR$4,MATCH($C$50,'Сводный годовой график'!$B$1:$B$4),MATCH(DATE($AV$1,MONTH($B$44),Z$3),'Сводный годовой график'!$C$9:$AR$9)))</f>
        <v>0</v>
      </c>
      <c r="AA50" s="92">
        <f ca="1">IF(AND(INDEX('Сводный годовой график'!$C$1:$AR$4,MATCH($C$50,'Сводный годовой график'!$B$1:$B$4),MATCH(DATE($AV$1,MONTH($B$44),AA$3),'Сводный годовой график'!$C$9:$AR$9))&lt;&gt;12,INDIRECT(ADDRESS(ROW()+1,COLUMN()))="СП"),8,INDEX('Сводный годовой график'!$C$1:$AR$4,MATCH($C$50,'Сводный годовой график'!$B$1:$B$4),MATCH(DATE($AV$1,MONTH($B$44),AA$3),'Сводный годовой график'!$C$9:$AR$9)))</f>
        <v>4</v>
      </c>
      <c r="AB50" s="92">
        <f ca="1">IF(AND(INDEX('Сводный годовой график'!$C$1:$AR$4,MATCH($C$50,'Сводный годовой график'!$B$1:$B$4),MATCH(DATE($AV$1,MONTH($B$44),AB$3),'Сводный годовой график'!$C$9:$AR$9))&lt;&gt;12,INDIRECT(ADDRESS(ROW()+1,COLUMN()))="СП"),8,INDEX('Сводный годовой график'!$C$1:$AR$4,MATCH($C$50,'Сводный годовой график'!$B$1:$B$4),MATCH(DATE($AV$1,MONTH($B$44),AB$3),'Сводный годовой график'!$C$9:$AR$9)))</f>
        <v>8</v>
      </c>
      <c r="AC50" s="92">
        <f ca="1">IF(AND(INDEX('Сводный годовой график'!$C$1:$AR$4,MATCH($C$50,'Сводный годовой график'!$B$1:$B$4),MATCH(DATE($AV$1,MONTH($B$44),AC$3),'Сводный годовой график'!$C$9:$AR$9))&lt;&gt;12,INDIRECT(ADDRESS(ROW()+1,COLUMN()))="СП"),8,INDEX('Сводный годовой график'!$C$1:$AR$4,MATCH($C$50,'Сводный годовой график'!$B$1:$B$4),MATCH(DATE($AV$1,MONTH($B$44),AC$3),'Сводный годовой график'!$C$9:$AR$9)))</f>
        <v>12</v>
      </c>
      <c r="AD50" s="92">
        <f ca="1">IF(AND(INDEX('Сводный годовой график'!$C$1:$AR$4,MATCH($C$50,'Сводный годовой график'!$B$1:$B$4),MATCH(DATE($AV$1,MONTH($B$44),AD$3),'Сводный годовой график'!$C$9:$AR$9))&lt;&gt;12,INDIRECT(ADDRESS(ROW()+1,COLUMN()))="СП"),8,INDEX('Сводный годовой график'!$C$1:$AR$4,MATCH($C$50,'Сводный годовой график'!$B$1:$B$4),MATCH(DATE($AV$1,MONTH($B$44),AD$3),'Сводный годовой график'!$C$9:$AR$9)))</f>
        <v>4</v>
      </c>
      <c r="AE50" s="92">
        <f ca="1">IF(AND(INDEX('Сводный годовой график'!$C$1:$AR$4,MATCH($C$50,'Сводный годовой график'!$B$1:$B$4),MATCH(DATE($AV$1,MONTH($B$44),AE$3),'Сводный годовой график'!$C$9:$AR$9))&lt;&gt;12,INDIRECT(ADDRESS(ROW()+1,COLUMN()))="СП"),8,INDEX('Сводный годовой график'!$C$1:$AR$4,MATCH($C$50,'Сводный годовой график'!$B$1:$B$4),MATCH(DATE($AV$1,MONTH($B$44),AE$3),'Сводный годовой график'!$C$9:$AR$9)))</f>
        <v>8</v>
      </c>
      <c r="AF50" s="92">
        <f ca="1">IF(AND(INDEX('Сводный годовой график'!$C$1:$AR$4,MATCH($C$50,'Сводный годовой график'!$B$1:$B$4),MATCH(DATE($AV$1,MONTH($B$44),AF$3),'Сводный годовой график'!$C$9:$AR$9))&lt;&gt;12,INDIRECT(ADDRESS(ROW()+1,COLUMN()))="СП"),8,INDEX('Сводный годовой график'!$C$1:$AR$4,MATCH($C$50,'Сводный годовой график'!$B$1:$B$4),MATCH(DATE($AV$1,MONTH($B$44),AF$3),'Сводный годовой график'!$C$9:$AR$9)))</f>
        <v>12</v>
      </c>
      <c r="AG50" s="92">
        <f ca="1">IF(AND(INDEX('Сводный годовой график'!$C$1:$AR$4,MATCH($C$50,'Сводный годовой график'!$B$1:$B$4),MATCH(DATE($AV$1,MONTH($B$44),AG$3),'Сводный годовой график'!$C$9:$AR$9))&lt;&gt;12,INDIRECT(ADDRESS(ROW()+1,COLUMN()))="СП"),8,INDEX('Сводный годовой график'!$C$1:$AR$4,MATCH($C$50,'Сводный годовой график'!$B$1:$B$4),MATCH(DATE($AV$1,MONTH($B$44),AG$3),'Сводный годовой график'!$C$9:$AR$9)))</f>
        <v>0</v>
      </c>
      <c r="AH50" s="92">
        <f ca="1">IF(AND(INDEX('Сводный годовой график'!$C$1:$AR$4,MATCH($C$50,'Сводный годовой график'!$B$1:$B$4),MATCH(DATE($AV$1,MONTH($B$44),AH$3),'Сводный годовой график'!$C$9:$AR$9))&lt;&gt;12,INDIRECT(ADDRESS(ROW()+1,COLUMN()))="СП"),8,INDEX('Сводный годовой график'!$C$1:$AR$4,MATCH($C$50,'Сводный годовой график'!$B$1:$B$4),MATCH(DATE($AV$1,MONTH($B$44),AH$3),'Сводный годовой график'!$C$9:$AR$9)))</f>
        <v>0</v>
      </c>
      <c r="AI50" s="97">
        <f ca="1">IF(AND(INDEX('Сводный годовой график'!$C$1:$AR$4,MATCH($C$50,'Сводный годовой график'!$B$1:$B$4),MATCH(DATE($AV$1,MONTH($B$44),AI$3),'Сводный годовой график'!$C$9:$AR$9))&lt;&gt;12,INDIRECT(ADDRESS(ROW()+1,COLUMN()))="СП"),8,INDEX('Сводный годовой график'!$C$1:$AR$4,MATCH($C$50,'Сводный годовой график'!$B$1:$B$4),MATCH(DATE($AV$1,MONTH($B$44),AI$3),'Сводный годовой график'!$C$9:$AR$9)))</f>
        <v>4</v>
      </c>
      <c r="AJ50" s="206"/>
      <c r="AK50" s="223">
        <f>$AJ$44-SUM(AY50:CC51)</f>
        <v>144</v>
      </c>
      <c r="AL50" s="223">
        <f t="shared" ref="AL50" ca="1" si="84">SUM(E50:AI51)</f>
        <v>184</v>
      </c>
      <c r="AM50" s="209">
        <f t="shared" ref="AM50" ca="1" si="85">(SUM(E50)+SUM(M50))</f>
        <v>24</v>
      </c>
      <c r="AN50" s="211">
        <f t="shared" ref="AN50" ca="1" si="86">-AM50-AK50+AL50</f>
        <v>16</v>
      </c>
      <c r="AO50" s="224"/>
      <c r="AP50" s="211">
        <f ca="1">AN50+AP40-AO50</f>
        <v>42</v>
      </c>
      <c r="AQ50" s="209">
        <v>0</v>
      </c>
      <c r="AR50" s="210">
        <v>1</v>
      </c>
      <c r="CK50" s="59"/>
      <c r="CL50" s="59"/>
      <c r="CM50" s="59"/>
      <c r="CN50" s="59"/>
      <c r="CO50" s="59"/>
      <c r="CP50" s="59"/>
      <c r="CQ50" s="59"/>
      <c r="CR50" s="59"/>
      <c r="CS50" s="59"/>
      <c r="CT50" s="59"/>
      <c r="CU50" s="59"/>
      <c r="CV50" s="59"/>
      <c r="CW50" s="59"/>
      <c r="CX50" s="59"/>
      <c r="CY50" s="59"/>
      <c r="CZ50" s="59"/>
      <c r="DA50" s="59"/>
      <c r="DB50" s="59"/>
      <c r="DC50" s="59"/>
      <c r="DD50" s="59"/>
      <c r="DE50" s="59"/>
      <c r="DF50" s="59"/>
      <c r="DG50" s="59"/>
      <c r="DH50" s="59"/>
      <c r="DI50" s="59"/>
      <c r="DJ50" s="59"/>
      <c r="DK50" s="59"/>
      <c r="DL50" s="59"/>
      <c r="DM50" s="59"/>
      <c r="DN50" s="59"/>
      <c r="DO50" s="59"/>
    </row>
    <row r="51" spans="2:119" ht="16.5" thickBot="1" x14ac:dyDescent="0.3">
      <c r="B51" s="201"/>
      <c r="C51" s="197"/>
      <c r="D51" s="82">
        <v>8</v>
      </c>
      <c r="E51" s="96" t="str">
        <f t="shared" ref="E51:AI51" si="87">IF(INDEX($CK$4:$DO$123,ROW()-3,E$3)=0,"","СП")</f>
        <v/>
      </c>
      <c r="F51" s="92" t="str">
        <f t="shared" si="87"/>
        <v/>
      </c>
      <c r="G51" s="92" t="str">
        <f t="shared" si="87"/>
        <v/>
      </c>
      <c r="H51" s="92" t="str">
        <f t="shared" si="87"/>
        <v/>
      </c>
      <c r="I51" s="92" t="str">
        <f t="shared" si="87"/>
        <v/>
      </c>
      <c r="J51" s="92" t="str">
        <f t="shared" si="87"/>
        <v/>
      </c>
      <c r="K51" s="92" t="str">
        <f t="shared" si="87"/>
        <v/>
      </c>
      <c r="L51" s="92" t="str">
        <f t="shared" si="87"/>
        <v>СП</v>
      </c>
      <c r="M51" s="92" t="str">
        <f t="shared" si="87"/>
        <v/>
      </c>
      <c r="N51" s="92" t="str">
        <f t="shared" si="87"/>
        <v/>
      </c>
      <c r="O51" s="92" t="str">
        <f t="shared" si="87"/>
        <v/>
      </c>
      <c r="P51" s="92" t="str">
        <f t="shared" si="87"/>
        <v/>
      </c>
      <c r="Q51" s="92" t="str">
        <f t="shared" si="87"/>
        <v/>
      </c>
      <c r="R51" s="92" t="str">
        <f t="shared" si="87"/>
        <v/>
      </c>
      <c r="S51" s="92" t="str">
        <f t="shared" si="87"/>
        <v/>
      </c>
      <c r="T51" s="92" t="str">
        <f t="shared" si="87"/>
        <v/>
      </c>
      <c r="U51" s="92" t="str">
        <f t="shared" si="87"/>
        <v/>
      </c>
      <c r="V51" s="92" t="str">
        <f t="shared" si="87"/>
        <v/>
      </c>
      <c r="W51" s="92" t="str">
        <f t="shared" si="87"/>
        <v/>
      </c>
      <c r="X51" s="92" t="str">
        <f t="shared" si="87"/>
        <v/>
      </c>
      <c r="Y51" s="92" t="str">
        <f t="shared" si="87"/>
        <v/>
      </c>
      <c r="Z51" s="92" t="str">
        <f t="shared" si="87"/>
        <v/>
      </c>
      <c r="AA51" s="92" t="str">
        <f t="shared" si="87"/>
        <v/>
      </c>
      <c r="AB51" s="92" t="str">
        <f t="shared" si="87"/>
        <v/>
      </c>
      <c r="AC51" s="92" t="str">
        <f t="shared" si="87"/>
        <v/>
      </c>
      <c r="AD51" s="92" t="str">
        <f t="shared" si="87"/>
        <v/>
      </c>
      <c r="AE51" s="92" t="str">
        <f t="shared" si="87"/>
        <v/>
      </c>
      <c r="AF51" s="92" t="str">
        <f t="shared" si="87"/>
        <v/>
      </c>
      <c r="AG51" s="92" t="str">
        <f t="shared" si="87"/>
        <v/>
      </c>
      <c r="AH51" s="92" t="str">
        <f t="shared" si="87"/>
        <v/>
      </c>
      <c r="AI51" s="97" t="str">
        <f t="shared" si="87"/>
        <v/>
      </c>
      <c r="AJ51" s="206"/>
      <c r="AK51" s="220"/>
      <c r="AL51" s="220"/>
      <c r="AM51" s="209"/>
      <c r="AN51" s="211"/>
      <c r="AO51" s="225"/>
      <c r="AP51" s="211"/>
      <c r="AQ51" s="209"/>
      <c r="AR51" s="210"/>
      <c r="CK51" s="58">
        <f>IF(DAY(INDEX('Сводный годовой график'!$BA$4:$BL$14,$C50,MONTH($B$44)))=E$3,1,0)</f>
        <v>0</v>
      </c>
      <c r="CL51" s="58">
        <f>IF(DAY(INDEX('Сводный годовой график'!$BA$4:$BL$14,$C50,MONTH($B$44)))=F$3,1,0)</f>
        <v>0</v>
      </c>
      <c r="CM51" s="58">
        <f>IF(DAY(INDEX('Сводный годовой график'!$BA$4:$BL$14,$C50,MONTH($B$44)))=G$3,1,0)</f>
        <v>0</v>
      </c>
      <c r="CN51" s="58">
        <f>IF(DAY(INDEX('Сводный годовой график'!$BA$4:$BL$14,$C50,MONTH($B$44)))=H$3,1,0)</f>
        <v>0</v>
      </c>
      <c r="CO51" s="58">
        <f>IF(DAY(INDEX('Сводный годовой график'!$BA$4:$BL$14,$C50,MONTH($B$44)))=I$3,1,0)</f>
        <v>0</v>
      </c>
      <c r="CP51" s="58">
        <f>IF(DAY(INDEX('Сводный годовой график'!$BA$4:$BL$14,$C50,MONTH($B$44)))=J$3,1,0)</f>
        <v>0</v>
      </c>
      <c r="CQ51" s="58">
        <f>IF(DAY(INDEX('Сводный годовой график'!$BA$4:$BL$14,$C50,MONTH($B$44)))=K$3,1,0)</f>
        <v>0</v>
      </c>
      <c r="CR51" s="58">
        <f>IF(DAY(INDEX('Сводный годовой график'!$BA$4:$BL$14,$C50,MONTH($B$44)))=L$3,1,0)</f>
        <v>1</v>
      </c>
      <c r="CS51" s="58">
        <f>IF(DAY(INDEX('Сводный годовой график'!$BA$4:$BL$14,$C50,MONTH($B$44)))=M$3,1,0)</f>
        <v>0</v>
      </c>
      <c r="CT51" s="58">
        <f>IF(DAY(INDEX('Сводный годовой график'!$BA$4:$BL$14,$C50,MONTH($B$44)))=N$3,1,0)</f>
        <v>0</v>
      </c>
      <c r="CU51" s="58">
        <f>IF(DAY(INDEX('Сводный годовой график'!$BA$4:$BL$14,$C50,MONTH($B$44)))=O$3,1,0)</f>
        <v>0</v>
      </c>
      <c r="CV51" s="58">
        <f>IF(DAY(INDEX('Сводный годовой график'!$BA$4:$BL$14,$C50,MONTH($B$44)))=P$3,1,0)</f>
        <v>0</v>
      </c>
      <c r="CW51" s="58">
        <f>IF(DAY(INDEX('Сводный годовой график'!$BA$4:$BL$14,$C50,MONTH($B$44)))=Q$3,1,0)</f>
        <v>0</v>
      </c>
      <c r="CX51" s="58">
        <f>IF(DAY(INDEX('Сводный годовой график'!$BA$4:$BL$14,$C50,MONTH($B$44)))=R$3,1,0)</f>
        <v>0</v>
      </c>
      <c r="CY51" s="58">
        <f>IF(DAY(INDEX('Сводный годовой график'!$BA$4:$BL$14,$C50,MONTH($B$44)))=S$3,1,0)</f>
        <v>0</v>
      </c>
      <c r="CZ51" s="58">
        <f>IF(DAY(INDEX('Сводный годовой график'!$BA$4:$BL$14,$C50,MONTH($B$44)))=T$3,1,0)</f>
        <v>0</v>
      </c>
      <c r="DA51" s="58">
        <f>IF(DAY(INDEX('Сводный годовой график'!$BA$4:$BL$14,$C50,MONTH($B$44)))=U$3,1,0)</f>
        <v>0</v>
      </c>
      <c r="DB51" s="58">
        <f>IF(DAY(INDEX('Сводный годовой график'!$BA$4:$BL$14,$C50,MONTH($B$44)))=V$3,1,0)</f>
        <v>0</v>
      </c>
      <c r="DC51" s="58">
        <f>IF(DAY(INDEX('Сводный годовой график'!$BA$4:$BL$14,$C50,MONTH($B$44)))=W$3,1,0)</f>
        <v>0</v>
      </c>
      <c r="DD51" s="58">
        <f>IF(DAY(INDEX('Сводный годовой график'!$BA$4:$BL$14,$C50,MONTH($B$44)))=X$3,1,0)</f>
        <v>0</v>
      </c>
      <c r="DE51" s="58">
        <f>IF(DAY(INDEX('Сводный годовой график'!$BA$4:$BL$14,$C50,MONTH($B$44)))=Y$3,1,0)</f>
        <v>0</v>
      </c>
      <c r="DF51" s="58">
        <f>IF(DAY(INDEX('Сводный годовой график'!$BA$4:$BL$14,$C50,MONTH($B$44)))=Z$3,1,0)</f>
        <v>0</v>
      </c>
      <c r="DG51" s="58">
        <f>IF(DAY(INDEX('Сводный годовой график'!$BA$4:$BL$14,$C50,MONTH($B$44)))=AA$3,1,0)</f>
        <v>0</v>
      </c>
      <c r="DH51" s="58">
        <f>IF(DAY(INDEX('Сводный годовой график'!$BA$4:$BL$14,$C50,MONTH($B$44)))=AB$3,1,0)</f>
        <v>0</v>
      </c>
      <c r="DI51" s="58">
        <f>IF(DAY(INDEX('Сводный годовой график'!$BA$4:$BL$14,$C50,MONTH($B$44)))=AC$3,1,0)</f>
        <v>0</v>
      </c>
      <c r="DJ51" s="58">
        <f>IF(DAY(INDEX('Сводный годовой график'!$BA$4:$BL$14,$C50,MONTH($B$44)))=AD$3,1,0)</f>
        <v>0</v>
      </c>
      <c r="DK51" s="58">
        <f>IF(DAY(INDEX('Сводный годовой график'!$BA$4:$BL$14,$C50,MONTH($B$44)))=AE$3,1,0)</f>
        <v>0</v>
      </c>
      <c r="DL51" s="58">
        <f>IF(DAY(INDEX('Сводный годовой график'!$BA$4:$BL$14,$C50,MONTH($B$44)))=AF$3,1,0)</f>
        <v>0</v>
      </c>
      <c r="DM51" s="58">
        <f>IF(DAY(INDEX('Сводный годовой график'!$BA$4:$BL$14,$C50,MONTH($B$44)))=AG$3,1,0)</f>
        <v>0</v>
      </c>
      <c r="DN51" s="58">
        <f>IF(DAY(INDEX('Сводный годовой график'!$BA$4:$BL$14,$C50,MONTH($B$44)))=AH$3,1,0)</f>
        <v>0</v>
      </c>
      <c r="DO51" s="58">
        <f>IF(DAY(INDEX('Сводный годовой график'!$BA$4:$BL$14,$C50,MONTH($B$44)))=AI$3,1,0)</f>
        <v>0</v>
      </c>
    </row>
    <row r="52" spans="2:119" ht="16.5" thickBot="1" x14ac:dyDescent="0.3">
      <c r="B52" s="201"/>
      <c r="C52" s="196">
        <v>5</v>
      </c>
      <c r="D52" s="81">
        <v>9</v>
      </c>
      <c r="E52" s="96" t="s">
        <v>36</v>
      </c>
      <c r="F52" s="92" t="s">
        <v>36</v>
      </c>
      <c r="G52" s="92" t="s">
        <v>36</v>
      </c>
      <c r="H52" s="92" t="s">
        <v>36</v>
      </c>
      <c r="I52" s="92" t="s">
        <v>36</v>
      </c>
      <c r="J52" s="92" t="s">
        <v>36</v>
      </c>
      <c r="K52" s="92" t="s">
        <v>36</v>
      </c>
      <c r="L52" s="92" t="s">
        <v>36</v>
      </c>
      <c r="M52" s="92" t="s">
        <v>36</v>
      </c>
      <c r="N52" s="92" t="s">
        <v>36</v>
      </c>
      <c r="O52" s="92" t="s">
        <v>36</v>
      </c>
      <c r="P52" s="92" t="s">
        <v>36</v>
      </c>
      <c r="Q52" s="92" t="s">
        <v>36</v>
      </c>
      <c r="R52" s="92" t="s">
        <v>36</v>
      </c>
      <c r="S52" s="92" t="s">
        <v>36</v>
      </c>
      <c r="T52" s="92" t="s">
        <v>36</v>
      </c>
      <c r="U52" s="92" t="s">
        <v>36</v>
      </c>
      <c r="V52" s="92" t="s">
        <v>36</v>
      </c>
      <c r="W52" s="92" t="s">
        <v>36</v>
      </c>
      <c r="X52" s="92" t="s">
        <v>36</v>
      </c>
      <c r="Y52" s="92" t="s">
        <v>36</v>
      </c>
      <c r="Z52" s="92" t="s">
        <v>36</v>
      </c>
      <c r="AA52" s="92" t="s">
        <v>36</v>
      </c>
      <c r="AB52" s="92" t="s">
        <v>36</v>
      </c>
      <c r="AC52" s="92" t="s">
        <v>36</v>
      </c>
      <c r="AD52" s="92" t="s">
        <v>36</v>
      </c>
      <c r="AE52" s="92" t="s">
        <v>36</v>
      </c>
      <c r="AF52" s="92" t="s">
        <v>36</v>
      </c>
      <c r="AG52" s="92" t="s">
        <v>36</v>
      </c>
      <c r="AH52" s="92" t="s">
        <v>36</v>
      </c>
      <c r="AI52" s="97" t="s">
        <v>36</v>
      </c>
      <c r="AJ52" s="206"/>
      <c r="AK52" s="223">
        <f>$AJ$44-SUM(AY52:CC53)</f>
        <v>144</v>
      </c>
      <c r="AL52" s="223">
        <f t="shared" ref="AL52" si="88">SUM(E52:AI53)</f>
        <v>0</v>
      </c>
      <c r="AM52" s="209">
        <f t="shared" ref="AM52" si="89">(SUM(E52)+SUM(M52))</f>
        <v>0</v>
      </c>
      <c r="AN52" s="211">
        <f t="shared" ref="AN52" si="90">-AM52-AK52+AL52</f>
        <v>-144</v>
      </c>
      <c r="AO52" s="224">
        <v>0</v>
      </c>
      <c r="AP52" s="211">
        <f t="shared" ref="AP52" si="91">AN52+AP42</f>
        <v>-806</v>
      </c>
      <c r="AQ52" s="209">
        <v>0</v>
      </c>
      <c r="AR52" s="210">
        <v>1</v>
      </c>
      <c r="CK52" s="59"/>
      <c r="CL52" s="59"/>
      <c r="CM52" s="59"/>
      <c r="CN52" s="59"/>
      <c r="CO52" s="59"/>
      <c r="CP52" s="59"/>
      <c r="CQ52" s="59"/>
      <c r="CR52" s="59"/>
      <c r="CS52" s="59"/>
      <c r="CT52" s="59"/>
      <c r="CU52" s="59"/>
      <c r="CV52" s="59"/>
      <c r="CW52" s="59"/>
      <c r="CX52" s="59"/>
      <c r="CY52" s="59"/>
      <c r="CZ52" s="59"/>
      <c r="DA52" s="59"/>
      <c r="DB52" s="59"/>
      <c r="DC52" s="59"/>
      <c r="DD52" s="59"/>
      <c r="DE52" s="59"/>
      <c r="DF52" s="59"/>
      <c r="DG52" s="59"/>
      <c r="DH52" s="59"/>
      <c r="DI52" s="59"/>
      <c r="DJ52" s="59"/>
      <c r="DK52" s="59"/>
      <c r="DL52" s="59"/>
      <c r="DM52" s="59"/>
      <c r="DN52" s="59"/>
      <c r="DO52" s="59"/>
    </row>
    <row r="53" spans="2:119" ht="16.5" thickBot="1" x14ac:dyDescent="0.3">
      <c r="B53" s="202"/>
      <c r="C53" s="197"/>
      <c r="D53" s="82">
        <v>10</v>
      </c>
      <c r="E53" s="87" t="str">
        <f t="shared" ref="E53:AI53" si="92">IF(INDEX($CK$4:$DO$123,ROW()-3,E$3)=0,"","СП")</f>
        <v/>
      </c>
      <c r="F53" s="30" t="str">
        <f t="shared" si="92"/>
        <v/>
      </c>
      <c r="G53" s="30" t="str">
        <f t="shared" si="92"/>
        <v/>
      </c>
      <c r="H53" s="30" t="str">
        <f t="shared" si="92"/>
        <v/>
      </c>
      <c r="I53" s="30" t="str">
        <f t="shared" si="92"/>
        <v/>
      </c>
      <c r="J53" s="30" t="str">
        <f t="shared" si="92"/>
        <v/>
      </c>
      <c r="K53" s="30" t="str">
        <f t="shared" si="92"/>
        <v/>
      </c>
      <c r="L53" s="30" t="str">
        <f t="shared" si="92"/>
        <v/>
      </c>
      <c r="M53" s="30" t="str">
        <f t="shared" si="92"/>
        <v>СП</v>
      </c>
      <c r="N53" s="30" t="str">
        <f t="shared" si="92"/>
        <v/>
      </c>
      <c r="O53" s="30" t="str">
        <f t="shared" si="92"/>
        <v/>
      </c>
      <c r="P53" s="30" t="str">
        <f t="shared" si="92"/>
        <v/>
      </c>
      <c r="Q53" s="30" t="str">
        <f t="shared" si="92"/>
        <v/>
      </c>
      <c r="R53" s="30" t="str">
        <f t="shared" si="92"/>
        <v/>
      </c>
      <c r="S53" s="30" t="str">
        <f t="shared" si="92"/>
        <v/>
      </c>
      <c r="T53" s="30" t="str">
        <f t="shared" si="92"/>
        <v/>
      </c>
      <c r="U53" s="30" t="str">
        <f t="shared" si="92"/>
        <v/>
      </c>
      <c r="V53" s="30" t="str">
        <f t="shared" si="92"/>
        <v/>
      </c>
      <c r="W53" s="30" t="str">
        <f t="shared" si="92"/>
        <v/>
      </c>
      <c r="X53" s="30" t="str">
        <f t="shared" si="92"/>
        <v/>
      </c>
      <c r="Y53" s="30" t="str">
        <f t="shared" si="92"/>
        <v/>
      </c>
      <c r="Z53" s="30" t="str">
        <f t="shared" si="92"/>
        <v/>
      </c>
      <c r="AA53" s="30" t="str">
        <f t="shared" si="92"/>
        <v/>
      </c>
      <c r="AB53" s="30" t="str">
        <f t="shared" si="92"/>
        <v/>
      </c>
      <c r="AC53" s="30" t="str">
        <f t="shared" si="92"/>
        <v/>
      </c>
      <c r="AD53" s="30" t="str">
        <f t="shared" si="92"/>
        <v/>
      </c>
      <c r="AE53" s="30" t="str">
        <f t="shared" si="92"/>
        <v/>
      </c>
      <c r="AF53" s="30" t="str">
        <f t="shared" si="92"/>
        <v/>
      </c>
      <c r="AG53" s="30" t="str">
        <f t="shared" si="92"/>
        <v/>
      </c>
      <c r="AH53" s="30" t="str">
        <f t="shared" si="92"/>
        <v/>
      </c>
      <c r="AI53" s="91" t="str">
        <f t="shared" si="92"/>
        <v/>
      </c>
      <c r="AJ53" s="207"/>
      <c r="AK53" s="226"/>
      <c r="AL53" s="226"/>
      <c r="AM53" s="213"/>
      <c r="AN53" s="214"/>
      <c r="AO53" s="227"/>
      <c r="AP53" s="214"/>
      <c r="AQ53" s="213"/>
      <c r="AR53" s="215"/>
      <c r="AU53" s="21"/>
      <c r="CK53" s="58">
        <f>IF(DAY(INDEX('Сводный годовой график'!$BA$4:$BL$14,$C52,MONTH($B$44)))=E$3,1,0)</f>
        <v>0</v>
      </c>
      <c r="CL53" s="58">
        <f>IF(DAY(INDEX('Сводный годовой график'!$BA$4:$BL$14,$C52,MONTH($B$44)))=F$3,1,0)</f>
        <v>0</v>
      </c>
      <c r="CM53" s="58">
        <f>IF(DAY(INDEX('Сводный годовой график'!$BA$4:$BL$14,$C52,MONTH($B$44)))=G$3,1,0)</f>
        <v>0</v>
      </c>
      <c r="CN53" s="58">
        <f>IF(DAY(INDEX('Сводный годовой график'!$BA$4:$BL$14,$C52,MONTH($B$44)))=H$3,1,0)</f>
        <v>0</v>
      </c>
      <c r="CO53" s="58">
        <f>IF(DAY(INDEX('Сводный годовой график'!$BA$4:$BL$14,$C52,MONTH($B$44)))=I$3,1,0)</f>
        <v>0</v>
      </c>
      <c r="CP53" s="58">
        <f>IF(DAY(INDEX('Сводный годовой график'!$BA$4:$BL$14,$C52,MONTH($B$44)))=J$3,1,0)</f>
        <v>0</v>
      </c>
      <c r="CQ53" s="58">
        <f>IF(DAY(INDEX('Сводный годовой график'!$BA$4:$BL$14,$C52,MONTH($B$44)))=K$3,1,0)</f>
        <v>0</v>
      </c>
      <c r="CR53" s="58">
        <f>IF(DAY(INDEX('Сводный годовой график'!$BA$4:$BL$14,$C52,MONTH($B$44)))=L$3,1,0)</f>
        <v>0</v>
      </c>
      <c r="CS53" s="58">
        <f>IF(DAY(INDEX('Сводный годовой график'!$BA$4:$BL$14,$C52,MONTH($B$44)))=M$3,1,0)</f>
        <v>1</v>
      </c>
      <c r="CT53" s="58">
        <f>IF(DAY(INDEX('Сводный годовой график'!$BA$4:$BL$14,$C52,MONTH($B$44)))=N$3,1,0)</f>
        <v>0</v>
      </c>
      <c r="CU53" s="58">
        <f>IF(DAY(INDEX('Сводный годовой график'!$BA$4:$BL$14,$C52,MONTH($B$44)))=O$3,1,0)</f>
        <v>0</v>
      </c>
      <c r="CV53" s="58">
        <f>IF(DAY(INDEX('Сводный годовой график'!$BA$4:$BL$14,$C52,MONTH($B$44)))=P$3,1,0)</f>
        <v>0</v>
      </c>
      <c r="CW53" s="58">
        <f>IF(DAY(INDEX('Сводный годовой график'!$BA$4:$BL$14,$C52,MONTH($B$44)))=Q$3,1,0)</f>
        <v>0</v>
      </c>
      <c r="CX53" s="58">
        <f>IF(DAY(INDEX('Сводный годовой график'!$BA$4:$BL$14,$C52,MONTH($B$44)))=R$3,1,0)</f>
        <v>0</v>
      </c>
      <c r="CY53" s="58">
        <f>IF(DAY(INDEX('Сводный годовой график'!$BA$4:$BL$14,$C52,MONTH($B$44)))=S$3,1,0)</f>
        <v>0</v>
      </c>
      <c r="CZ53" s="58">
        <f>IF(DAY(INDEX('Сводный годовой график'!$BA$4:$BL$14,$C52,MONTH($B$44)))=T$3,1,0)</f>
        <v>0</v>
      </c>
      <c r="DA53" s="58">
        <f>IF(DAY(INDEX('Сводный годовой график'!$BA$4:$BL$14,$C52,MONTH($B$44)))=U$3,1,0)</f>
        <v>0</v>
      </c>
      <c r="DB53" s="58">
        <f>IF(DAY(INDEX('Сводный годовой график'!$BA$4:$BL$14,$C52,MONTH($B$44)))=V$3,1,0)</f>
        <v>0</v>
      </c>
      <c r="DC53" s="58">
        <f>IF(DAY(INDEX('Сводный годовой график'!$BA$4:$BL$14,$C52,MONTH($B$44)))=W$3,1,0)</f>
        <v>0</v>
      </c>
      <c r="DD53" s="58">
        <f>IF(DAY(INDEX('Сводный годовой график'!$BA$4:$BL$14,$C52,MONTH($B$44)))=X$3,1,0)</f>
        <v>0</v>
      </c>
      <c r="DE53" s="58">
        <f>IF(DAY(INDEX('Сводный годовой график'!$BA$4:$BL$14,$C52,MONTH($B$44)))=Y$3,1,0)</f>
        <v>0</v>
      </c>
      <c r="DF53" s="58">
        <f>IF(DAY(INDEX('Сводный годовой график'!$BA$4:$BL$14,$C52,MONTH($B$44)))=Z$3,1,0)</f>
        <v>0</v>
      </c>
      <c r="DG53" s="58">
        <f>IF(DAY(INDEX('Сводный годовой график'!$BA$4:$BL$14,$C52,MONTH($B$44)))=AA$3,1,0)</f>
        <v>0</v>
      </c>
      <c r="DH53" s="58">
        <f>IF(DAY(INDEX('Сводный годовой график'!$BA$4:$BL$14,$C52,MONTH($B$44)))=AB$3,1,0)</f>
        <v>0</v>
      </c>
      <c r="DI53" s="58">
        <f>IF(DAY(INDEX('Сводный годовой график'!$BA$4:$BL$14,$C52,MONTH($B$44)))=AC$3,1,0)</f>
        <v>0</v>
      </c>
      <c r="DJ53" s="58">
        <f>IF(DAY(INDEX('Сводный годовой график'!$BA$4:$BL$14,$C52,MONTH($B$44)))=AD$3,1,0)</f>
        <v>0</v>
      </c>
      <c r="DK53" s="58">
        <f>IF(DAY(INDEX('Сводный годовой график'!$BA$4:$BL$14,$C52,MONTH($B$44)))=AE$3,1,0)</f>
        <v>0</v>
      </c>
      <c r="DL53" s="58">
        <f>IF(DAY(INDEX('Сводный годовой график'!$BA$4:$BL$14,$C52,MONTH($B$44)))=AF$3,1,0)</f>
        <v>0</v>
      </c>
      <c r="DM53" s="58">
        <f>IF(DAY(INDEX('Сводный годовой график'!$BA$4:$BL$14,$C52,MONTH($B$44)))=AG$3,1,0)</f>
        <v>0</v>
      </c>
      <c r="DN53" s="58">
        <f>IF(DAY(INDEX('Сводный годовой график'!$BA$4:$BL$14,$C52,MONTH($B$44)))=AH$3,1,0)</f>
        <v>0</v>
      </c>
      <c r="DO53" s="58">
        <f>IF(DAY(INDEX('Сводный годовой график'!$BA$4:$BL$14,$C52,MONTH($B$44)))=AI$3,1,0)</f>
        <v>0</v>
      </c>
    </row>
    <row r="54" spans="2:119" ht="17.25" customHeight="1" thickTop="1" thickBot="1" x14ac:dyDescent="0.3">
      <c r="B54" s="200">
        <f>DATE($AV$1,6,1)</f>
        <v>45809</v>
      </c>
      <c r="C54" s="196">
        <v>1</v>
      </c>
      <c r="D54" s="81">
        <v>1</v>
      </c>
      <c r="E54" s="83">
        <f ca="1">IF(AND(INDEX('Сводный годовой график'!$C$1:$AR$4,MATCH($C$54,'Сводный годовой график'!$B$1:$B$4),MATCH(DATE($AV$1,MONTH($B$54),E$3),'Сводный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график'!$B$1:$B$4),MATCH(DATE($AV$1,MONTH($B$54),E$3),'Сводный годовой график'!$C$10:$AR$10)))</f>
        <v>12</v>
      </c>
      <c r="F54" s="28">
        <f ca="1">IF(AND(INDEX('Сводный годовой график'!$C$1:$AR$4,MATCH($C$54,'Сводный годовой график'!$B$1:$B$4),MATCH(DATE($AV$1,MONTH($B$54),F$3),'Сводный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график'!$B$1:$B$4),MATCH(DATE($AV$1,MONTH($B$54),F$3),'Сводный годовой график'!$C$10:$AR$10)))</f>
        <v>0</v>
      </c>
      <c r="G54" s="28">
        <f ca="1">IF(AND(INDEX('Сводный годовой график'!$C$1:$AR$4,MATCH($C$54,'Сводный годовой график'!$B$1:$B$4),MATCH(DATE($AV$1,MONTH($B$54),G$3),'Сводный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график'!$B$1:$B$4),MATCH(DATE($AV$1,MONTH($B$54),G$3),'Сводный годовой график'!$C$10:$AR$10)))</f>
        <v>0</v>
      </c>
      <c r="H54" s="28">
        <f ca="1">IF(AND(INDEX('Сводный годовой график'!$C$1:$AR$4,MATCH($C$54,'Сводный годовой график'!$B$1:$B$4),MATCH(DATE($AV$1,MONTH($B$54),H$3),'Сводный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график'!$B$1:$B$4),MATCH(DATE($AV$1,MONTH($B$54),H$3),'Сводный годовой график'!$C$10:$AR$10)))</f>
        <v>4</v>
      </c>
      <c r="I54" s="28">
        <f ca="1">IF(AND(INDEX('Сводный годовой график'!$C$1:$AR$4,MATCH($C$54,'Сводный годовой график'!$B$1:$B$4),MATCH(DATE($AV$1,MONTH($B$54),I$3),'Сводный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график'!$B$1:$B$4),MATCH(DATE($AV$1,MONTH($B$54),I$3),'Сводный годовой график'!$C$10:$AR$10)))</f>
        <v>8</v>
      </c>
      <c r="J54" s="28">
        <f ca="1">IF(AND(INDEX('Сводный годовой график'!$C$1:$AR$4,MATCH($C$54,'Сводный годовой график'!$B$1:$B$4),MATCH(DATE($AV$1,MONTH($B$54),J$3),'Сводный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график'!$B$1:$B$4),MATCH(DATE($AV$1,MONTH($B$54),J$3),'Сводный годовой график'!$C$10:$AR$10)))</f>
        <v>12</v>
      </c>
      <c r="K54" s="28">
        <f ca="1">IF(AND(INDEX('Сводный годовой график'!$C$1:$AR$4,MATCH($C$54,'Сводный годовой график'!$B$1:$B$4),MATCH(DATE($AV$1,MONTH($B$54),K$3),'Сводный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график'!$B$1:$B$4),MATCH(DATE($AV$1,MONTH($B$54),K$3),'Сводный годовой график'!$C$10:$AR$10)))</f>
        <v>4</v>
      </c>
      <c r="L54" s="28">
        <f ca="1">IF(AND(INDEX('Сводный годовой график'!$C$1:$AR$4,MATCH($C$54,'Сводный годовой график'!$B$1:$B$4),MATCH(DATE($AV$1,MONTH($B$54),L$3),'Сводный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график'!$B$1:$B$4),MATCH(DATE($AV$1,MONTH($B$54),L$3),'Сводный годовой график'!$C$10:$AR$10)))</f>
        <v>8</v>
      </c>
      <c r="M54" s="28">
        <f ca="1">IF(AND(INDEX('Сводный годовой график'!$C$1:$AR$4,MATCH($C$54,'Сводный годовой график'!$B$1:$B$4),MATCH(DATE($AV$1,MONTH($B$54),M$3),'Сводный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график'!$B$1:$B$4),MATCH(DATE($AV$1,MONTH($B$54),M$3),'Сводный годовой график'!$C$10:$AR$10)))</f>
        <v>12</v>
      </c>
      <c r="N54" s="28">
        <f ca="1">IF(AND(INDEX('Сводный годовой график'!$C$1:$AR$4,MATCH($C$54,'Сводный годовой график'!$B$1:$B$4),MATCH(DATE($AV$1,MONTH($B$54),N$3),'Сводный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график'!$B$1:$B$4),MATCH(DATE($AV$1,MONTH($B$54),N$3),'Сводный годовой график'!$C$10:$AR$10)))</f>
        <v>0</v>
      </c>
      <c r="O54" s="28">
        <f ca="1">IF(AND(INDEX('Сводный годовой график'!$C$1:$AR$4,MATCH($C$54,'Сводный годовой график'!$B$1:$B$4),MATCH(DATE($AV$1,MONTH($B$54),O$3),'Сводный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график'!$B$1:$B$4),MATCH(DATE($AV$1,MONTH($B$54),O$3),'Сводный годовой график'!$C$10:$AR$10)))</f>
        <v>0</v>
      </c>
      <c r="P54" s="28">
        <f ca="1">IF(AND(INDEX('Сводный годовой график'!$C$1:$AR$4,MATCH($C$54,'Сводный годовой график'!$B$1:$B$4),MATCH(DATE($AV$1,MONTH($B$54),P$3),'Сводный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график'!$B$1:$B$4),MATCH(DATE($AV$1,MONTH($B$54),P$3),'Сводный годовой график'!$C$10:$AR$10)))</f>
        <v>4</v>
      </c>
      <c r="Q54" s="28">
        <f ca="1">IF(AND(INDEX('Сводный годовой график'!$C$1:$AR$4,MATCH($C$54,'Сводный годовой график'!$B$1:$B$4),MATCH(DATE($AV$1,MONTH($B$54),Q$3),'Сводный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график'!$B$1:$B$4),MATCH(DATE($AV$1,MONTH($B$54),Q$3),'Сводный годовой график'!$C$10:$AR$10)))</f>
        <v>8</v>
      </c>
      <c r="R54" s="28">
        <f ca="1">IF(AND(INDEX('Сводный годовой график'!$C$1:$AR$4,MATCH($C$54,'Сводный годовой график'!$B$1:$B$4),MATCH(DATE($AV$1,MONTH($B$54),R$3),'Сводный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график'!$B$1:$B$4),MATCH(DATE($AV$1,MONTH($B$54),R$3),'Сводный годовой график'!$C$10:$AR$10)))</f>
        <v>12</v>
      </c>
      <c r="S54" s="28">
        <f ca="1">IF(AND(INDEX('Сводный годовой график'!$C$1:$AR$4,MATCH($C$54,'Сводный годовой график'!$B$1:$B$4),MATCH(DATE($AV$1,MONTH($B$54),S$3),'Сводный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график'!$B$1:$B$4),MATCH(DATE($AV$1,MONTH($B$54),S$3),'Сводный годовой график'!$C$10:$AR$10)))</f>
        <v>4</v>
      </c>
      <c r="T54" s="28">
        <f ca="1">IF(AND(INDEX('Сводный годовой график'!$C$1:$AR$4,MATCH($C$54,'Сводный годовой график'!$B$1:$B$4),MATCH(DATE($AV$1,MONTH($B$54),T$3),'Сводный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график'!$B$1:$B$4),MATCH(DATE($AV$1,MONTH($B$54),T$3),'Сводный годовой график'!$C$10:$AR$10)))</f>
        <v>8</v>
      </c>
      <c r="U54" s="28">
        <f ca="1">IF(AND(INDEX('Сводный годовой график'!$C$1:$AR$4,MATCH($C$54,'Сводный годовой график'!$B$1:$B$4),MATCH(DATE($AV$1,MONTH($B$54),U$3),'Сводный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график'!$B$1:$B$4),MATCH(DATE($AV$1,MONTH($B$54),U$3),'Сводный годовой график'!$C$10:$AR$10)))</f>
        <v>12</v>
      </c>
      <c r="V54" s="28">
        <f ca="1">IF(AND(INDEX('Сводный годовой график'!$C$1:$AR$4,MATCH($C$54,'Сводный годовой график'!$B$1:$B$4),MATCH(DATE($AV$1,MONTH($B$54),V$3),'Сводный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график'!$B$1:$B$4),MATCH(DATE($AV$1,MONTH($B$54),V$3),'Сводный годовой график'!$C$10:$AR$10)))</f>
        <v>0</v>
      </c>
      <c r="W54" s="28">
        <f ca="1">IF(AND(INDEX('Сводный годовой график'!$C$1:$AR$4,MATCH($C$54,'Сводный годовой график'!$B$1:$B$4),MATCH(DATE($AV$1,MONTH($B$54),W$3),'Сводный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график'!$B$1:$B$4),MATCH(DATE($AV$1,MONTH($B$54),W$3),'Сводный годовой график'!$C$10:$AR$10)))</f>
        <v>0</v>
      </c>
      <c r="X54" s="28">
        <f ca="1">IF(AND(INDEX('Сводный годовой график'!$C$1:$AR$4,MATCH($C$54,'Сводный годовой график'!$B$1:$B$4),MATCH(DATE($AV$1,MONTH($B$54),X$3),'Сводный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график'!$B$1:$B$4),MATCH(DATE($AV$1,MONTH($B$54),X$3),'Сводный годовой график'!$C$10:$AR$10)))</f>
        <v>4</v>
      </c>
      <c r="Y54" s="28">
        <f ca="1">IF(AND(INDEX('Сводный годовой график'!$C$1:$AR$4,MATCH($C$54,'Сводный годовой график'!$B$1:$B$4),MATCH(DATE($AV$1,MONTH($B$54),Y$3),'Сводный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график'!$B$1:$B$4),MATCH(DATE($AV$1,MONTH($B$54),Y$3),'Сводный годовой график'!$C$10:$AR$10)))</f>
        <v>8</v>
      </c>
      <c r="Z54" s="28">
        <f ca="1">IF(AND(INDEX('Сводный годовой график'!$C$1:$AR$4,MATCH($C$54,'Сводный годовой график'!$B$1:$B$4),MATCH(DATE($AV$1,MONTH($B$54),Z$3),'Сводный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график'!$B$1:$B$4),MATCH(DATE($AV$1,MONTH($B$54),Z$3),'Сводный годовой график'!$C$10:$AR$10)))</f>
        <v>12</v>
      </c>
      <c r="AA54" s="28">
        <f ca="1">IF(AND(INDEX('Сводный годовой график'!$C$1:$AR$4,MATCH($C$54,'Сводный годовой график'!$B$1:$B$4),MATCH(DATE($AV$1,MONTH($B$54),AA$3),'Сводный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график'!$B$1:$B$4),MATCH(DATE($AV$1,MONTH($B$54),AA$3),'Сводный годовой график'!$C$10:$AR$10)))</f>
        <v>4</v>
      </c>
      <c r="AB54" s="28">
        <f ca="1">IF(AND(INDEX('Сводный годовой график'!$C$1:$AR$4,MATCH($C$54,'Сводный годовой график'!$B$1:$B$4),MATCH(DATE($AV$1,MONTH($B$54),AB$3),'Сводный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график'!$B$1:$B$4),MATCH(DATE($AV$1,MONTH($B$54),AB$3),'Сводный годовой график'!$C$10:$AR$10)))</f>
        <v>8</v>
      </c>
      <c r="AC54" s="28">
        <f ca="1">IF(AND(INDEX('Сводный годовой график'!$C$1:$AR$4,MATCH($C$54,'Сводный годовой график'!$B$1:$B$4),MATCH(DATE($AV$1,MONTH($B$54),AC$3),'Сводный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график'!$B$1:$B$4),MATCH(DATE($AV$1,MONTH($B$54),AC$3),'Сводный годовой график'!$C$10:$AR$10)))</f>
        <v>12</v>
      </c>
      <c r="AD54" s="28">
        <f ca="1">IF(AND(INDEX('Сводный годовой график'!$C$1:$AR$4,MATCH($C$54,'Сводный годовой график'!$B$1:$B$4),MATCH(DATE($AV$1,MONTH($B$54),AD$3),'Сводный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график'!$B$1:$B$4),MATCH(DATE($AV$1,MONTH($B$54),AD$3),'Сводный годовой график'!$C$10:$AR$10)))</f>
        <v>0</v>
      </c>
      <c r="AE54" s="28">
        <f ca="1">IF(AND(INDEX('Сводный годовой график'!$C$1:$AR$4,MATCH($C$54,'Сводный годовой график'!$B$1:$B$4),MATCH(DATE($AV$1,MONTH($B$54),AE$3),'Сводный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график'!$B$1:$B$4),MATCH(DATE($AV$1,MONTH($B$54),AE$3),'Сводный годовой график'!$C$10:$AR$10)))</f>
        <v>0</v>
      </c>
      <c r="AF54" s="28">
        <f ca="1">IF(AND(INDEX('Сводный годовой график'!$C$1:$AR$4,MATCH($C$54,'Сводный годовой график'!$B$1:$B$4),MATCH(DATE($AV$1,MONTH($B$54),AF$3),'Сводный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график'!$B$1:$B$4),MATCH(DATE($AV$1,MONTH($B$54),AF$3),'Сводный годовой график'!$C$10:$AR$10)))</f>
        <v>4</v>
      </c>
      <c r="AG54" s="28">
        <f ca="1">IF(AND(INDEX('Сводный годовой график'!$C$1:$AR$4,MATCH($C$54,'Сводный годовой график'!$B$1:$B$4),MATCH(DATE($AV$1,MONTH($B$54),AG$3),'Сводный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график'!$B$1:$B$4),MATCH(DATE($AV$1,MONTH($B$54),AG$3),'Сводный годовой график'!$C$10:$AR$10)))</f>
        <v>8</v>
      </c>
      <c r="AH54" s="28">
        <f ca="1">IF(AND(INDEX('Сводный годовой график'!$C$1:$AR$4,MATCH($C$54,'Сводный годовой график'!$B$1:$B$4),MATCH(DATE($AV$1,MONTH($B$54),AH$3),'Сводный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график'!$B$1:$B$4),MATCH(DATE($AV$1,MONTH($B$54),AH$3),'Сводный годовой график'!$C$10:$AR$10)))</f>
        <v>12</v>
      </c>
      <c r="AI54" s="109"/>
      <c r="AJ54" s="205">
        <f>INDEX(Подключения!$D$3:$H$14,MONTH(B54),5)</f>
        <v>151</v>
      </c>
      <c r="AK54" s="203">
        <f>$AJ$54-SUM(AY54:CC55)</f>
        <v>151</v>
      </c>
      <c r="AL54" s="203">
        <f t="shared" ref="AL54" ca="1" si="93">SUM(E54:AI55)</f>
        <v>180</v>
      </c>
      <c r="AM54" s="203">
        <f ca="1">SUM(P54)</f>
        <v>4</v>
      </c>
      <c r="AN54" s="208">
        <f t="shared" ref="AN54" ca="1" si="94">-AM54-AK54+AL54</f>
        <v>25</v>
      </c>
      <c r="AO54" s="208">
        <v>0</v>
      </c>
      <c r="AP54" s="208">
        <f ca="1">AN54+AP44-AO54</f>
        <v>61</v>
      </c>
      <c r="AQ54" s="203">
        <v>0</v>
      </c>
      <c r="AR54" s="204">
        <v>1</v>
      </c>
      <c r="CK54" s="59"/>
      <c r="CL54" s="59"/>
      <c r="CM54" s="59"/>
      <c r="CN54" s="59"/>
      <c r="CO54" s="59"/>
      <c r="CP54" s="59"/>
      <c r="CQ54" s="59"/>
      <c r="CR54" s="59"/>
      <c r="CS54" s="59"/>
      <c r="CT54" s="59"/>
      <c r="CU54" s="59"/>
      <c r="CV54" s="59"/>
      <c r="CW54" s="59"/>
      <c r="CX54" s="59"/>
      <c r="CY54" s="59"/>
      <c r="CZ54" s="59"/>
      <c r="DA54" s="59"/>
      <c r="DB54" s="59"/>
      <c r="DC54" s="59"/>
      <c r="DD54" s="59"/>
      <c r="DE54" s="59"/>
      <c r="DF54" s="59"/>
      <c r="DG54" s="59"/>
      <c r="DH54" s="59"/>
      <c r="DI54" s="59"/>
      <c r="DJ54" s="59"/>
      <c r="DK54" s="59"/>
      <c r="DL54" s="59"/>
      <c r="DM54" s="59"/>
      <c r="DN54" s="59"/>
      <c r="DO54" s="59"/>
    </row>
    <row r="55" spans="2:119" ht="16.5" thickBot="1" x14ac:dyDescent="0.3">
      <c r="B55" s="201"/>
      <c r="C55" s="197"/>
      <c r="D55" s="82">
        <v>2</v>
      </c>
      <c r="E55" s="96" t="str">
        <f t="shared" ref="E55:AH55" si="95">IF(INDEX($CK$4:$DO$123,ROW()-3,E$3)=0,"","СП")</f>
        <v/>
      </c>
      <c r="F55" s="92" t="str">
        <f t="shared" si="95"/>
        <v/>
      </c>
      <c r="G55" s="92" t="str">
        <f t="shared" si="95"/>
        <v/>
      </c>
      <c r="H55" s="92" t="str">
        <f t="shared" si="95"/>
        <v/>
      </c>
      <c r="I55" s="92" t="str">
        <f t="shared" si="95"/>
        <v/>
      </c>
      <c r="J55" s="92" t="str">
        <f t="shared" si="95"/>
        <v>СП</v>
      </c>
      <c r="K55" s="92" t="str">
        <f t="shared" si="95"/>
        <v/>
      </c>
      <c r="L55" s="92" t="str">
        <f t="shared" si="95"/>
        <v/>
      </c>
      <c r="M55" s="92" t="str">
        <f t="shared" si="95"/>
        <v/>
      </c>
      <c r="N55" s="92" t="str">
        <f t="shared" si="95"/>
        <v/>
      </c>
      <c r="O55" s="92" t="str">
        <f t="shared" si="95"/>
        <v/>
      </c>
      <c r="P55" s="92" t="str">
        <f t="shared" si="95"/>
        <v/>
      </c>
      <c r="Q55" s="92" t="str">
        <f t="shared" si="95"/>
        <v/>
      </c>
      <c r="R55" s="92" t="str">
        <f t="shared" si="95"/>
        <v/>
      </c>
      <c r="S55" s="92" t="str">
        <f t="shared" si="95"/>
        <v/>
      </c>
      <c r="T55" s="92" t="str">
        <f t="shared" si="95"/>
        <v/>
      </c>
      <c r="U55" s="92" t="str">
        <f t="shared" si="95"/>
        <v/>
      </c>
      <c r="V55" s="92" t="str">
        <f t="shared" si="95"/>
        <v/>
      </c>
      <c r="W55" s="92" t="str">
        <f t="shared" si="95"/>
        <v/>
      </c>
      <c r="X55" s="92" t="str">
        <f t="shared" si="95"/>
        <v/>
      </c>
      <c r="Y55" s="92" t="str">
        <f t="shared" si="95"/>
        <v/>
      </c>
      <c r="Z55" s="92" t="str">
        <f t="shared" si="95"/>
        <v/>
      </c>
      <c r="AA55" s="92" t="str">
        <f t="shared" si="95"/>
        <v/>
      </c>
      <c r="AB55" s="92" t="str">
        <f t="shared" si="95"/>
        <v/>
      </c>
      <c r="AC55" s="92" t="str">
        <f t="shared" si="95"/>
        <v/>
      </c>
      <c r="AD55" s="92" t="str">
        <f t="shared" si="95"/>
        <v/>
      </c>
      <c r="AE55" s="92" t="str">
        <f t="shared" si="95"/>
        <v/>
      </c>
      <c r="AF55" s="92" t="str">
        <f t="shared" si="95"/>
        <v/>
      </c>
      <c r="AG55" s="92" t="str">
        <f t="shared" si="95"/>
        <v/>
      </c>
      <c r="AH55" s="92" t="str">
        <f t="shared" si="95"/>
        <v/>
      </c>
      <c r="AI55" s="110"/>
      <c r="AJ55" s="206"/>
      <c r="AK55" s="177"/>
      <c r="AL55" s="177"/>
      <c r="AM55" s="177"/>
      <c r="AN55" s="198"/>
      <c r="AO55" s="198"/>
      <c r="AP55" s="198"/>
      <c r="AQ55" s="177"/>
      <c r="AR55" s="179"/>
      <c r="CK55" s="58">
        <f>IF(DAY(INDEX('Сводный годовой график'!$BA$4:$BL$14,$C54,MONTH($B$54)))=E$3,1,0)</f>
        <v>0</v>
      </c>
      <c r="CL55" s="58">
        <f>IF(DAY(INDEX('Сводный годовой график'!$BA$4:$BL$14,$C54,MONTH($B$54)))=F$3,1,0)</f>
        <v>0</v>
      </c>
      <c r="CM55" s="58">
        <f>IF(DAY(INDEX('Сводный годовой график'!$BA$4:$BL$14,$C54,MONTH($B$54)))=G$3,1,0)</f>
        <v>0</v>
      </c>
      <c r="CN55" s="58">
        <f>IF(DAY(INDEX('Сводный годовой график'!$BA$4:$BL$14,$C54,MONTH($B$54)))=H$3,1,0)</f>
        <v>0</v>
      </c>
      <c r="CO55" s="58">
        <f>IF(DAY(INDEX('Сводный годовой график'!$BA$4:$BL$14,$C54,MONTH($B$54)))=I$3,1,0)</f>
        <v>0</v>
      </c>
      <c r="CP55" s="58">
        <f>IF(DAY(INDEX('Сводный годовой график'!$BA$4:$BL$14,$C54,MONTH($B$54)))=J$3,1,0)</f>
        <v>1</v>
      </c>
      <c r="CQ55" s="58">
        <f>IF(DAY(INDEX('Сводный годовой график'!$BA$4:$BL$14,$C54,MONTH($B$54)))=K$3,1,0)</f>
        <v>0</v>
      </c>
      <c r="CR55" s="58">
        <f>IF(DAY(INDEX('Сводный годовой график'!$BA$4:$BL$14,$C54,MONTH($B$54)))=L$3,1,0)</f>
        <v>0</v>
      </c>
      <c r="CS55" s="58">
        <f>IF(DAY(INDEX('Сводный годовой график'!$BA$4:$BL$14,$C54,MONTH($B$54)))=M$3,1,0)</f>
        <v>0</v>
      </c>
      <c r="CT55" s="58">
        <f>IF(DAY(INDEX('Сводный годовой график'!$BA$4:$BL$14,$C54,MONTH($B$54)))=N$3,1,0)</f>
        <v>0</v>
      </c>
      <c r="CU55" s="58">
        <f>IF(DAY(INDEX('Сводный годовой график'!$BA$4:$BL$14,$C54,MONTH($B$54)))=O$3,1,0)</f>
        <v>0</v>
      </c>
      <c r="CV55" s="58">
        <f>IF(DAY(INDEX('Сводный годовой график'!$BA$4:$BL$14,$C54,MONTH($B$54)))=P$3,1,0)</f>
        <v>0</v>
      </c>
      <c r="CW55" s="58">
        <f>IF(DAY(INDEX('Сводный годовой график'!$BA$4:$BL$14,$C54,MONTH($B$54)))=Q$3,1,0)</f>
        <v>0</v>
      </c>
      <c r="CX55" s="58">
        <f>IF(DAY(INDEX('Сводный годовой график'!$BA$4:$BL$14,$C54,MONTH($B$54)))=R$3,1,0)</f>
        <v>0</v>
      </c>
      <c r="CY55" s="58">
        <f>IF(DAY(INDEX('Сводный годовой график'!$BA$4:$BL$14,$C54,MONTH($B$54)))=S$3,1,0)</f>
        <v>0</v>
      </c>
      <c r="CZ55" s="58">
        <f>IF(DAY(INDEX('Сводный годовой график'!$BA$4:$BL$14,$C54,MONTH($B$54)))=T$3,1,0)</f>
        <v>0</v>
      </c>
      <c r="DA55" s="58">
        <f>IF(DAY(INDEX('Сводный годовой график'!$BA$4:$BL$14,$C54,MONTH($B$54)))=U$3,1,0)</f>
        <v>0</v>
      </c>
      <c r="DB55" s="58">
        <f>IF(DAY(INDEX('Сводный годовой график'!$BA$4:$BL$14,$C54,MONTH($B$54)))=V$3,1,0)</f>
        <v>0</v>
      </c>
      <c r="DC55" s="58">
        <f>IF(DAY(INDEX('Сводный годовой график'!$BA$4:$BL$14,$C54,MONTH($B$54)))=W$3,1,0)</f>
        <v>0</v>
      </c>
      <c r="DD55" s="58">
        <f>IF(DAY(INDEX('Сводный годовой график'!$BA$4:$BL$14,$C54,MONTH($B$54)))=X$3,1,0)</f>
        <v>0</v>
      </c>
      <c r="DE55" s="58">
        <f>IF(DAY(INDEX('Сводный годовой график'!$BA$4:$BL$14,$C54,MONTH($B$54)))=Y$3,1,0)</f>
        <v>0</v>
      </c>
      <c r="DF55" s="58">
        <f>IF(DAY(INDEX('Сводный годовой график'!$BA$4:$BL$14,$C54,MONTH($B$54)))=Z$3,1,0)</f>
        <v>0</v>
      </c>
      <c r="DG55" s="58">
        <f>IF(DAY(INDEX('Сводный годовой график'!$BA$4:$BL$14,$C54,MONTH($B$54)))=AA$3,1,0)</f>
        <v>0</v>
      </c>
      <c r="DH55" s="58">
        <f>IF(DAY(INDEX('Сводный годовой график'!$BA$4:$BL$14,$C54,MONTH($B$54)))=AB$3,1,0)</f>
        <v>0</v>
      </c>
      <c r="DI55" s="58">
        <f>IF(DAY(INDEX('Сводный годовой график'!$BA$4:$BL$14,$C54,MONTH($B$54)))=AC$3,1,0)</f>
        <v>0</v>
      </c>
      <c r="DJ55" s="58">
        <f>IF(DAY(INDEX('Сводный годовой график'!$BA$4:$BL$14,$C54,MONTH($B$54)))=AD$3,1,0)</f>
        <v>0</v>
      </c>
      <c r="DK55" s="58">
        <f>IF(DAY(INDEX('Сводный годовой график'!$BA$4:$BL$14,$C54,MONTH($B$54)))=AE$3,1,0)</f>
        <v>0</v>
      </c>
      <c r="DL55" s="58">
        <f>IF(DAY(INDEX('Сводный годовой график'!$BA$4:$BL$14,$C54,MONTH($B$54)))=AF$3,1,0)</f>
        <v>0</v>
      </c>
      <c r="DM55" s="58">
        <f>IF(DAY(INDEX('Сводный годовой график'!$BA$4:$BL$14,$C54,MONTH($B$54)))=AG$3,1,0)</f>
        <v>0</v>
      </c>
      <c r="DN55" s="58">
        <f>IF(DAY(INDEX('Сводный годовой график'!$BA$4:$BL$14,$C54,MONTH($B$54)))=AH$3,1,0)</f>
        <v>0</v>
      </c>
      <c r="DO55" s="58">
        <f>IF(DAY(INDEX('Сводный годовой график'!$BA$4:$BL$14,$C54,MONTH($B$54)))=AI$3,1,0)</f>
        <v>0</v>
      </c>
    </row>
    <row r="56" spans="2:119" ht="16.5" thickBot="1" x14ac:dyDescent="0.3">
      <c r="B56" s="201"/>
      <c r="C56" s="196">
        <v>2</v>
      </c>
      <c r="D56" s="81">
        <v>3</v>
      </c>
      <c r="E56" s="96">
        <f ca="1">IF(AND(INDEX('Сводный годовой график'!$C$1:$AR$4,MATCH($C$56,'Сводный годовой график'!$B$1:$B$4),MATCH(DATE($AV$1,MONTH($B$54),E$3),'Сводный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график'!$B$1:$B$4),MATCH(DATE($AV$1,MONTH($B$54),E$3),'Сводный годовой график'!$C$10:$AR$10)))</f>
        <v>0</v>
      </c>
      <c r="F56" s="92">
        <f ca="1">IF(AND(INDEX('Сводный годовой график'!$C$1:$AR$4,MATCH($C$56,'Сводный годовой график'!$B$1:$B$4),MATCH(DATE($AV$1,MONTH($B$54),F$3),'Сводный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график'!$B$1:$B$4),MATCH(DATE($AV$1,MONTH($B$54),F$3),'Сводный годовой график'!$C$10:$AR$10)))</f>
        <v>4</v>
      </c>
      <c r="G56" s="92">
        <f ca="1">IF(AND(INDEX('Сводный годовой график'!$C$1:$AR$4,MATCH($C$56,'Сводный годовой график'!$B$1:$B$4),MATCH(DATE($AV$1,MONTH($B$54),G$3),'Сводный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график'!$B$1:$B$4),MATCH(DATE($AV$1,MONTH($B$54),G$3),'Сводный годовой график'!$C$10:$AR$10)))</f>
        <v>8</v>
      </c>
      <c r="H56" s="92">
        <f ca="1">IF(AND(INDEX('Сводный годовой график'!$C$1:$AR$4,MATCH($C$56,'Сводный годовой график'!$B$1:$B$4),MATCH(DATE($AV$1,MONTH($B$54),H$3),'Сводный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график'!$B$1:$B$4),MATCH(DATE($AV$1,MONTH($B$54),H$3),'Сводный годовой график'!$C$10:$AR$10)))</f>
        <v>12</v>
      </c>
      <c r="I56" s="92">
        <f ca="1">IF(AND(INDEX('Сводный годовой график'!$C$1:$AR$4,MATCH($C$56,'Сводный годовой график'!$B$1:$B$4),MATCH(DATE($AV$1,MONTH($B$54),I$3),'Сводный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график'!$B$1:$B$4),MATCH(DATE($AV$1,MONTH($B$54),I$3),'Сводный годовой график'!$C$10:$AR$10)))</f>
        <v>4</v>
      </c>
      <c r="J56" s="92">
        <f ca="1">IF(AND(INDEX('Сводный годовой график'!$C$1:$AR$4,MATCH($C$56,'Сводный годовой график'!$B$1:$B$4),MATCH(DATE($AV$1,MONTH($B$54),J$3),'Сводный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график'!$B$1:$B$4),MATCH(DATE($AV$1,MONTH($B$54),J$3),'Сводный годовой график'!$C$10:$AR$10)))</f>
        <v>8</v>
      </c>
      <c r="K56" s="92">
        <f ca="1">IF(AND(INDEX('Сводный годовой график'!$C$1:$AR$4,MATCH($C$56,'Сводный годовой график'!$B$1:$B$4),MATCH(DATE($AV$1,MONTH($B$54),K$3),'Сводный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график'!$B$1:$B$4),MATCH(DATE($AV$1,MONTH($B$54),K$3),'Сводный годовой график'!$C$10:$AR$10)))</f>
        <v>12</v>
      </c>
      <c r="L56" s="92">
        <f ca="1">IF(AND(INDEX('Сводный годовой график'!$C$1:$AR$4,MATCH($C$56,'Сводный годовой график'!$B$1:$B$4),MATCH(DATE($AV$1,MONTH($B$54),L$3),'Сводный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график'!$B$1:$B$4),MATCH(DATE($AV$1,MONTH($B$54),L$3),'Сводный годовой график'!$C$10:$AR$10)))</f>
        <v>0</v>
      </c>
      <c r="M56" s="92">
        <f ca="1">IF(AND(INDEX('Сводный годовой график'!$C$1:$AR$4,MATCH($C$56,'Сводный годовой график'!$B$1:$B$4),MATCH(DATE($AV$1,MONTH($B$54),M$3),'Сводный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график'!$B$1:$B$4),MATCH(DATE($AV$1,MONTH($B$54),M$3),'Сводный годовой график'!$C$10:$AR$10)))</f>
        <v>0</v>
      </c>
      <c r="N56" s="92">
        <f ca="1">IF(AND(INDEX('Сводный годовой график'!$C$1:$AR$4,MATCH($C$56,'Сводный годовой график'!$B$1:$B$4),MATCH(DATE($AV$1,MONTH($B$54),N$3),'Сводный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график'!$B$1:$B$4),MATCH(DATE($AV$1,MONTH($B$54),N$3),'Сводный годовой график'!$C$10:$AR$10)))</f>
        <v>4</v>
      </c>
      <c r="O56" s="92">
        <f ca="1">IF(AND(INDEX('Сводный годовой график'!$C$1:$AR$4,MATCH($C$56,'Сводный годовой график'!$B$1:$B$4),MATCH(DATE($AV$1,MONTH($B$54),O$3),'Сводный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график'!$B$1:$B$4),MATCH(DATE($AV$1,MONTH($B$54),O$3),'Сводный годовой график'!$C$10:$AR$10)))</f>
        <v>8</v>
      </c>
      <c r="P56" s="92">
        <f ca="1">IF(AND(INDEX('Сводный годовой график'!$C$1:$AR$4,MATCH($C$56,'Сводный годовой график'!$B$1:$B$4),MATCH(DATE($AV$1,MONTH($B$54),P$3),'Сводный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график'!$B$1:$B$4),MATCH(DATE($AV$1,MONTH($B$54),P$3),'Сводный годовой график'!$C$10:$AR$10)))</f>
        <v>12</v>
      </c>
      <c r="Q56" s="92">
        <f ca="1">IF(AND(INDEX('Сводный годовой график'!$C$1:$AR$4,MATCH($C$56,'Сводный годовой график'!$B$1:$B$4),MATCH(DATE($AV$1,MONTH($B$54),Q$3),'Сводный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график'!$B$1:$B$4),MATCH(DATE($AV$1,MONTH($B$54),Q$3),'Сводный годовой график'!$C$10:$AR$10)))</f>
        <v>4</v>
      </c>
      <c r="R56" s="92">
        <f ca="1">IF(AND(INDEX('Сводный годовой график'!$C$1:$AR$4,MATCH($C$56,'Сводный годовой график'!$B$1:$B$4),MATCH(DATE($AV$1,MONTH($B$54),R$3),'Сводный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график'!$B$1:$B$4),MATCH(DATE($AV$1,MONTH($B$54),R$3),'Сводный годовой график'!$C$10:$AR$10)))</f>
        <v>8</v>
      </c>
      <c r="S56" s="92">
        <f ca="1">IF(AND(INDEX('Сводный годовой график'!$C$1:$AR$4,MATCH($C$56,'Сводный годовой график'!$B$1:$B$4),MATCH(DATE($AV$1,MONTH($B$54),S$3),'Сводный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график'!$B$1:$B$4),MATCH(DATE($AV$1,MONTH($B$54),S$3),'Сводный годовой график'!$C$10:$AR$10)))</f>
        <v>12</v>
      </c>
      <c r="T56" s="92">
        <f ca="1">IF(AND(INDEX('Сводный годовой график'!$C$1:$AR$4,MATCH($C$56,'Сводный годовой график'!$B$1:$B$4),MATCH(DATE($AV$1,MONTH($B$54),T$3),'Сводный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график'!$B$1:$B$4),MATCH(DATE($AV$1,MONTH($B$54),T$3),'Сводный годовой график'!$C$10:$AR$10)))</f>
        <v>0</v>
      </c>
      <c r="U56" s="92">
        <f ca="1">IF(AND(INDEX('Сводный годовой график'!$C$1:$AR$4,MATCH($C$56,'Сводный годовой график'!$B$1:$B$4),MATCH(DATE($AV$1,MONTH($B$54),U$3),'Сводный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график'!$B$1:$B$4),MATCH(DATE($AV$1,MONTH($B$54),U$3),'Сводный годовой график'!$C$10:$AR$10)))</f>
        <v>0</v>
      </c>
      <c r="V56" s="92">
        <f ca="1">IF(AND(INDEX('Сводный годовой график'!$C$1:$AR$4,MATCH($C$56,'Сводный годовой график'!$B$1:$B$4),MATCH(DATE($AV$1,MONTH($B$54),V$3),'Сводный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график'!$B$1:$B$4),MATCH(DATE($AV$1,MONTH($B$54),V$3),'Сводный годовой график'!$C$10:$AR$10)))</f>
        <v>4</v>
      </c>
      <c r="W56" s="92">
        <f ca="1">IF(AND(INDEX('Сводный годовой график'!$C$1:$AR$4,MATCH($C$56,'Сводный годовой график'!$B$1:$B$4),MATCH(DATE($AV$1,MONTH($B$54),W$3),'Сводный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график'!$B$1:$B$4),MATCH(DATE($AV$1,MONTH($B$54),W$3),'Сводный годовой график'!$C$10:$AR$10)))</f>
        <v>8</v>
      </c>
      <c r="X56" s="92">
        <f ca="1">IF(AND(INDEX('Сводный годовой график'!$C$1:$AR$4,MATCH($C$56,'Сводный годовой график'!$B$1:$B$4),MATCH(DATE($AV$1,MONTH($B$54),X$3),'Сводный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график'!$B$1:$B$4),MATCH(DATE($AV$1,MONTH($B$54),X$3),'Сводный годовой график'!$C$10:$AR$10)))</f>
        <v>12</v>
      </c>
      <c r="Y56" s="92">
        <f ca="1">IF(AND(INDEX('Сводный годовой график'!$C$1:$AR$4,MATCH($C$56,'Сводный годовой график'!$B$1:$B$4),MATCH(DATE($AV$1,MONTH($B$54),Y$3),'Сводный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график'!$B$1:$B$4),MATCH(DATE($AV$1,MONTH($B$54),Y$3),'Сводный годовой график'!$C$10:$AR$10)))</f>
        <v>4</v>
      </c>
      <c r="Z56" s="92">
        <f ca="1">IF(AND(INDEX('Сводный годовой график'!$C$1:$AR$4,MATCH($C$56,'Сводный годовой график'!$B$1:$B$4),MATCH(DATE($AV$1,MONTH($B$54),Z$3),'Сводный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график'!$B$1:$B$4),MATCH(DATE($AV$1,MONTH($B$54),Z$3),'Сводный годовой график'!$C$10:$AR$10)))</f>
        <v>8</v>
      </c>
      <c r="AA56" s="92">
        <f ca="1">IF(AND(INDEX('Сводный годовой график'!$C$1:$AR$4,MATCH($C$56,'Сводный годовой график'!$B$1:$B$4),MATCH(DATE($AV$1,MONTH($B$54),AA$3),'Сводный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график'!$B$1:$B$4),MATCH(DATE($AV$1,MONTH($B$54),AA$3),'Сводный годовой график'!$C$10:$AR$10)))</f>
        <v>12</v>
      </c>
      <c r="AB56" s="92">
        <f ca="1">IF(AND(INDEX('Сводный годовой график'!$C$1:$AR$4,MATCH($C$56,'Сводный годовой график'!$B$1:$B$4),MATCH(DATE($AV$1,MONTH($B$54),AB$3),'Сводный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график'!$B$1:$B$4),MATCH(DATE($AV$1,MONTH($B$54),AB$3),'Сводный годовой график'!$C$10:$AR$10)))</f>
        <v>0</v>
      </c>
      <c r="AC56" s="92">
        <f ca="1">IF(AND(INDEX('Сводный годовой график'!$C$1:$AR$4,MATCH($C$56,'Сводный годовой график'!$B$1:$B$4),MATCH(DATE($AV$1,MONTH($B$54),AC$3),'Сводный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график'!$B$1:$B$4),MATCH(DATE($AV$1,MONTH($B$54),AC$3),'Сводный годовой график'!$C$10:$AR$10)))</f>
        <v>0</v>
      </c>
      <c r="AD56" s="92">
        <f ca="1">IF(AND(INDEX('Сводный годовой график'!$C$1:$AR$4,MATCH($C$56,'Сводный годовой график'!$B$1:$B$4),MATCH(DATE($AV$1,MONTH($B$54),AD$3),'Сводный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график'!$B$1:$B$4),MATCH(DATE($AV$1,MONTH($B$54),AD$3),'Сводный годовой график'!$C$10:$AR$10)))</f>
        <v>4</v>
      </c>
      <c r="AE56" s="92">
        <f ca="1">IF(AND(INDEX('Сводный годовой график'!$C$1:$AR$4,MATCH($C$56,'Сводный годовой график'!$B$1:$B$4),MATCH(DATE($AV$1,MONTH($B$54),AE$3),'Сводный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график'!$B$1:$B$4),MATCH(DATE($AV$1,MONTH($B$54),AE$3),'Сводный годовой график'!$C$10:$AR$10)))</f>
        <v>8</v>
      </c>
      <c r="AF56" s="92">
        <f ca="1">IF(AND(INDEX('Сводный годовой график'!$C$1:$AR$4,MATCH($C$56,'Сводный годовой график'!$B$1:$B$4),MATCH(DATE($AV$1,MONTH($B$54),AF$3),'Сводный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график'!$B$1:$B$4),MATCH(DATE($AV$1,MONTH($B$54),AF$3),'Сводный годовой график'!$C$10:$AR$10)))</f>
        <v>12</v>
      </c>
      <c r="AG56" s="92">
        <f ca="1">IF(AND(INDEX('Сводный годовой график'!$C$1:$AR$4,MATCH($C$56,'Сводный годовой график'!$B$1:$B$4),MATCH(DATE($AV$1,MONTH($B$54),AG$3),'Сводный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график'!$B$1:$B$4),MATCH(DATE($AV$1,MONTH($B$54),AG$3),'Сводный годовой график'!$C$10:$AR$10)))</f>
        <v>4</v>
      </c>
      <c r="AH56" s="92">
        <f ca="1">IF(AND(INDEX('Сводный годовой график'!$C$1:$AR$4,MATCH($C$56,'Сводный годовой график'!$B$1:$B$4),MATCH(DATE($AV$1,MONTH($B$54),AH$3),'Сводный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график'!$B$1:$B$4),MATCH(DATE($AV$1,MONTH($B$54),AH$3),'Сводный годовой график'!$C$10:$AR$10)))</f>
        <v>8</v>
      </c>
      <c r="AI56" s="110"/>
      <c r="AJ56" s="206"/>
      <c r="AK56" s="177">
        <f>$AJ$54-SUM(AY56:CC57)</f>
        <v>151</v>
      </c>
      <c r="AL56" s="177">
        <f t="shared" ref="AL56" ca="1" si="96">SUM(E56:AI57)</f>
        <v>180</v>
      </c>
      <c r="AM56" s="177">
        <f ca="1">SUM(P56)</f>
        <v>12</v>
      </c>
      <c r="AN56" s="198">
        <f t="shared" ref="AN56" ca="1" si="97">-AM56-AK56+AL56</f>
        <v>17</v>
      </c>
      <c r="AO56" s="198">
        <v>0</v>
      </c>
      <c r="AP56" s="198">
        <f ca="1">AN56+AP46-AO56</f>
        <v>41</v>
      </c>
      <c r="AQ56" s="177">
        <v>0</v>
      </c>
      <c r="AR56" s="179">
        <v>1</v>
      </c>
      <c r="CK56" s="59"/>
      <c r="CL56" s="59"/>
      <c r="CM56" s="59"/>
      <c r="CN56" s="59"/>
      <c r="CO56" s="59"/>
      <c r="CP56" s="59"/>
      <c r="CQ56" s="59"/>
      <c r="CR56" s="59"/>
      <c r="CS56" s="59"/>
      <c r="CT56" s="59"/>
      <c r="CU56" s="59"/>
      <c r="CV56" s="59"/>
      <c r="CW56" s="59"/>
      <c r="CX56" s="59"/>
      <c r="CY56" s="59"/>
      <c r="CZ56" s="59"/>
      <c r="DA56" s="59"/>
      <c r="DB56" s="59"/>
      <c r="DC56" s="59"/>
      <c r="DD56" s="59"/>
      <c r="DE56" s="59"/>
      <c r="DF56" s="59"/>
      <c r="DG56" s="59"/>
      <c r="DH56" s="59"/>
      <c r="DI56" s="59"/>
      <c r="DJ56" s="59"/>
      <c r="DK56" s="59"/>
      <c r="DL56" s="59"/>
      <c r="DM56" s="59"/>
      <c r="DN56" s="59"/>
      <c r="DO56" s="59"/>
    </row>
    <row r="57" spans="2:119" ht="16.5" thickBot="1" x14ac:dyDescent="0.3">
      <c r="B57" s="201"/>
      <c r="C57" s="197"/>
      <c r="D57" s="82">
        <v>4</v>
      </c>
      <c r="E57" s="96" t="str">
        <f t="shared" ref="E57:AH57" si="98">IF(INDEX($CK$4:$DO$123,ROW()-3,E$3)=0,"","СП")</f>
        <v/>
      </c>
      <c r="F57" s="92" t="str">
        <f t="shared" si="98"/>
        <v/>
      </c>
      <c r="G57" s="92" t="str">
        <f t="shared" si="98"/>
        <v/>
      </c>
      <c r="H57" s="92" t="str">
        <f t="shared" si="98"/>
        <v/>
      </c>
      <c r="I57" s="92" t="str">
        <f t="shared" si="98"/>
        <v/>
      </c>
      <c r="J57" s="92" t="str">
        <f t="shared" si="98"/>
        <v/>
      </c>
      <c r="K57" s="92" t="str">
        <f t="shared" si="98"/>
        <v>СП</v>
      </c>
      <c r="L57" s="92" t="str">
        <f t="shared" si="98"/>
        <v/>
      </c>
      <c r="M57" s="92" t="str">
        <f t="shared" si="98"/>
        <v/>
      </c>
      <c r="N57" s="92" t="str">
        <f t="shared" si="98"/>
        <v/>
      </c>
      <c r="O57" s="92" t="str">
        <f t="shared" si="98"/>
        <v/>
      </c>
      <c r="P57" s="92" t="str">
        <f t="shared" si="98"/>
        <v/>
      </c>
      <c r="Q57" s="92" t="str">
        <f t="shared" si="98"/>
        <v/>
      </c>
      <c r="R57" s="92" t="str">
        <f t="shared" si="98"/>
        <v/>
      </c>
      <c r="S57" s="92" t="str">
        <f t="shared" si="98"/>
        <v/>
      </c>
      <c r="T57" s="92" t="str">
        <f t="shared" si="98"/>
        <v/>
      </c>
      <c r="U57" s="92" t="str">
        <f t="shared" si="98"/>
        <v/>
      </c>
      <c r="V57" s="92" t="str">
        <f t="shared" si="98"/>
        <v/>
      </c>
      <c r="W57" s="92" t="str">
        <f t="shared" si="98"/>
        <v/>
      </c>
      <c r="X57" s="92" t="str">
        <f t="shared" si="98"/>
        <v/>
      </c>
      <c r="Y57" s="92" t="str">
        <f t="shared" si="98"/>
        <v/>
      </c>
      <c r="Z57" s="92" t="str">
        <f t="shared" si="98"/>
        <v/>
      </c>
      <c r="AA57" s="92" t="str">
        <f t="shared" si="98"/>
        <v/>
      </c>
      <c r="AB57" s="92" t="str">
        <f t="shared" si="98"/>
        <v/>
      </c>
      <c r="AC57" s="92" t="str">
        <f t="shared" si="98"/>
        <v/>
      </c>
      <c r="AD57" s="92" t="str">
        <f t="shared" si="98"/>
        <v/>
      </c>
      <c r="AE57" s="92" t="str">
        <f t="shared" si="98"/>
        <v/>
      </c>
      <c r="AF57" s="92" t="str">
        <f t="shared" si="98"/>
        <v/>
      </c>
      <c r="AG57" s="92" t="str">
        <f t="shared" si="98"/>
        <v/>
      </c>
      <c r="AH57" s="92" t="str">
        <f t="shared" si="98"/>
        <v/>
      </c>
      <c r="AI57" s="110"/>
      <c r="AJ57" s="206"/>
      <c r="AK57" s="177"/>
      <c r="AL57" s="177"/>
      <c r="AM57" s="177"/>
      <c r="AN57" s="198"/>
      <c r="AO57" s="198"/>
      <c r="AP57" s="198"/>
      <c r="AQ57" s="177"/>
      <c r="AR57" s="179"/>
      <c r="CK57" s="58">
        <f>IF(DAY(INDEX('Сводный годовой график'!$BA$4:$BL$14,$C56,MONTH($B$54)))=E$3,1,0)</f>
        <v>0</v>
      </c>
      <c r="CL57" s="58">
        <f>IF(DAY(INDEX('Сводный годовой график'!$BA$4:$BL$14,$C56,MONTH($B$54)))=F$3,1,0)</f>
        <v>0</v>
      </c>
      <c r="CM57" s="58">
        <f>IF(DAY(INDEX('Сводный годовой график'!$BA$4:$BL$14,$C56,MONTH($B$54)))=G$3,1,0)</f>
        <v>0</v>
      </c>
      <c r="CN57" s="58">
        <f>IF(DAY(INDEX('Сводный годовой график'!$BA$4:$BL$14,$C56,MONTH($B$54)))=H$3,1,0)</f>
        <v>0</v>
      </c>
      <c r="CO57" s="58">
        <f>IF(DAY(INDEX('Сводный годовой график'!$BA$4:$BL$14,$C56,MONTH($B$54)))=I$3,1,0)</f>
        <v>0</v>
      </c>
      <c r="CP57" s="58">
        <f>IF(DAY(INDEX('Сводный годовой график'!$BA$4:$BL$14,$C56,MONTH($B$54)))=J$3,1,0)</f>
        <v>0</v>
      </c>
      <c r="CQ57" s="58">
        <f>IF(DAY(INDEX('Сводный годовой график'!$BA$4:$BL$14,$C56,MONTH($B$54)))=K$3,1,0)</f>
        <v>1</v>
      </c>
      <c r="CR57" s="58">
        <f>IF(DAY(INDEX('Сводный годовой график'!$BA$4:$BL$14,$C56,MONTH($B$54)))=L$3,1,0)</f>
        <v>0</v>
      </c>
      <c r="CS57" s="58">
        <f>IF(DAY(INDEX('Сводный годовой график'!$BA$4:$BL$14,$C56,MONTH($B$54)))=M$3,1,0)</f>
        <v>0</v>
      </c>
      <c r="CT57" s="58">
        <f>IF(DAY(INDEX('Сводный годовой график'!$BA$4:$BL$14,$C56,MONTH($B$54)))=N$3,1,0)</f>
        <v>0</v>
      </c>
      <c r="CU57" s="58">
        <f>IF(DAY(INDEX('Сводный годовой график'!$BA$4:$BL$14,$C56,MONTH($B$54)))=O$3,1,0)</f>
        <v>0</v>
      </c>
      <c r="CV57" s="58">
        <f>IF(DAY(INDEX('Сводный годовой график'!$BA$4:$BL$14,$C56,MONTH($B$54)))=P$3,1,0)</f>
        <v>0</v>
      </c>
      <c r="CW57" s="58">
        <f>IF(DAY(INDEX('Сводный годовой график'!$BA$4:$BL$14,$C56,MONTH($B$54)))=Q$3,1,0)</f>
        <v>0</v>
      </c>
      <c r="CX57" s="58">
        <f>IF(DAY(INDEX('Сводный годовой график'!$BA$4:$BL$14,$C56,MONTH($B$54)))=R$3,1,0)</f>
        <v>0</v>
      </c>
      <c r="CY57" s="58">
        <f>IF(DAY(INDEX('Сводный годовой график'!$BA$4:$BL$14,$C56,MONTH($B$54)))=S$3,1,0)</f>
        <v>0</v>
      </c>
      <c r="CZ57" s="58">
        <f>IF(DAY(INDEX('Сводный годовой график'!$BA$4:$BL$14,$C56,MONTH($B$54)))=T$3,1,0)</f>
        <v>0</v>
      </c>
      <c r="DA57" s="58">
        <f>IF(DAY(INDEX('Сводный годовой график'!$BA$4:$BL$14,$C56,MONTH($B$54)))=U$3,1,0)</f>
        <v>0</v>
      </c>
      <c r="DB57" s="58">
        <f>IF(DAY(INDEX('Сводный годовой график'!$BA$4:$BL$14,$C56,MONTH($B$54)))=V$3,1,0)</f>
        <v>0</v>
      </c>
      <c r="DC57" s="58">
        <f>IF(DAY(INDEX('Сводный годовой график'!$BA$4:$BL$14,$C56,MONTH($B$54)))=W$3,1,0)</f>
        <v>0</v>
      </c>
      <c r="DD57" s="58">
        <f>IF(DAY(INDEX('Сводный годовой график'!$BA$4:$BL$14,$C56,MONTH($B$54)))=X$3,1,0)</f>
        <v>0</v>
      </c>
      <c r="DE57" s="58">
        <f>IF(DAY(INDEX('Сводный годовой график'!$BA$4:$BL$14,$C56,MONTH($B$54)))=Y$3,1,0)</f>
        <v>0</v>
      </c>
      <c r="DF57" s="58">
        <f>IF(DAY(INDEX('Сводный годовой график'!$BA$4:$BL$14,$C56,MONTH($B$54)))=Z$3,1,0)</f>
        <v>0</v>
      </c>
      <c r="DG57" s="58">
        <f>IF(DAY(INDEX('Сводный годовой график'!$BA$4:$BL$14,$C56,MONTH($B$54)))=AA$3,1,0)</f>
        <v>0</v>
      </c>
      <c r="DH57" s="58">
        <f>IF(DAY(INDEX('Сводный годовой график'!$BA$4:$BL$14,$C56,MONTH($B$54)))=AB$3,1,0)</f>
        <v>0</v>
      </c>
      <c r="DI57" s="58">
        <f>IF(DAY(INDEX('Сводный годовой график'!$BA$4:$BL$14,$C56,MONTH($B$54)))=AC$3,1,0)</f>
        <v>0</v>
      </c>
      <c r="DJ57" s="58">
        <f>IF(DAY(INDEX('Сводный годовой график'!$BA$4:$BL$14,$C56,MONTH($B$54)))=AD$3,1,0)</f>
        <v>0</v>
      </c>
      <c r="DK57" s="58">
        <f>IF(DAY(INDEX('Сводный годовой график'!$BA$4:$BL$14,$C56,MONTH($B$54)))=AE$3,1,0)</f>
        <v>0</v>
      </c>
      <c r="DL57" s="58">
        <f>IF(DAY(INDEX('Сводный годовой график'!$BA$4:$BL$14,$C56,MONTH($B$54)))=AF$3,1,0)</f>
        <v>0</v>
      </c>
      <c r="DM57" s="58">
        <f>IF(DAY(INDEX('Сводный годовой график'!$BA$4:$BL$14,$C56,MONTH($B$54)))=AG$3,1,0)</f>
        <v>0</v>
      </c>
      <c r="DN57" s="58">
        <f>IF(DAY(INDEX('Сводный годовой график'!$BA$4:$BL$14,$C56,MONTH($B$54)))=AH$3,1,0)</f>
        <v>0</v>
      </c>
      <c r="DO57" s="58">
        <f>IF(DAY(INDEX('Сводный годовой график'!$BA$4:$BL$14,$C56,MONTH($B$54)))=AI$3,1,0)</f>
        <v>0</v>
      </c>
    </row>
    <row r="58" spans="2:119" ht="16.5" thickBot="1" x14ac:dyDescent="0.3">
      <c r="B58" s="201"/>
      <c r="C58" s="196">
        <v>3</v>
      </c>
      <c r="D58" s="81">
        <v>5</v>
      </c>
      <c r="E58" s="96">
        <f ca="1">IF(AND(INDEX('Сводный годовой график'!$C$1:$AR$4,MATCH($C$58,'Сводный годовой график'!$B$1:$B$4),MATCH(DATE($AV$1,MONTH($B$54),E$3),'Сводный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график'!$B$1:$B$4),MATCH(DATE($AV$1,MONTH($B$54),E$3),'Сводный годовой график'!$C$10:$AR$10)))</f>
        <v>4</v>
      </c>
      <c r="F58" s="92">
        <f ca="1">IF(AND(INDEX('Сводный годовой график'!$C$1:$AR$4,MATCH($C$58,'Сводный годовой график'!$B$1:$B$4),MATCH(DATE($AV$1,MONTH($B$54),F$3),'Сводный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график'!$B$1:$B$4),MATCH(DATE($AV$1,MONTH($B$54),F$3),'Сводный годовой график'!$C$10:$AR$10)))</f>
        <v>8</v>
      </c>
      <c r="G58" s="92">
        <f ca="1">IF(AND(INDEX('Сводный годовой график'!$C$1:$AR$4,MATCH($C$58,'Сводный годовой график'!$B$1:$B$4),MATCH(DATE($AV$1,MONTH($B$54),G$3),'Сводный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график'!$B$1:$B$4),MATCH(DATE($AV$1,MONTH($B$54),G$3),'Сводный годовой график'!$C$10:$AR$10)))</f>
        <v>12</v>
      </c>
      <c r="H58" s="92">
        <f ca="1">IF(AND(INDEX('Сводный годовой график'!$C$1:$AR$4,MATCH($C$58,'Сводный годовой график'!$B$1:$B$4),MATCH(DATE($AV$1,MONTH($B$54),H$3),'Сводный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график'!$B$1:$B$4),MATCH(DATE($AV$1,MONTH($B$54),H$3),'Сводный годовой график'!$C$10:$AR$10)))</f>
        <v>0</v>
      </c>
      <c r="I58" s="92">
        <f ca="1">IF(AND(INDEX('Сводный годовой график'!$C$1:$AR$4,MATCH($C$58,'Сводный годовой график'!$B$1:$B$4),MATCH(DATE($AV$1,MONTH($B$54),I$3),'Сводный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график'!$B$1:$B$4),MATCH(DATE($AV$1,MONTH($B$54),I$3),'Сводный годовой график'!$C$10:$AR$10)))</f>
        <v>0</v>
      </c>
      <c r="J58" s="92">
        <f ca="1">IF(AND(INDEX('Сводный годовой график'!$C$1:$AR$4,MATCH($C$58,'Сводный годовой график'!$B$1:$B$4),MATCH(DATE($AV$1,MONTH($B$54),J$3),'Сводный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график'!$B$1:$B$4),MATCH(DATE($AV$1,MONTH($B$54),J$3),'Сводный годовой график'!$C$10:$AR$10)))</f>
        <v>4</v>
      </c>
      <c r="K58" s="92">
        <f ca="1">IF(AND(INDEX('Сводный годовой график'!$C$1:$AR$4,MATCH($C$58,'Сводный годовой график'!$B$1:$B$4),MATCH(DATE($AV$1,MONTH($B$54),K$3),'Сводный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график'!$B$1:$B$4),MATCH(DATE($AV$1,MONTH($B$54),K$3),'Сводный годовой график'!$C$10:$AR$10)))</f>
        <v>8</v>
      </c>
      <c r="L58" s="92">
        <f ca="1">IF(AND(INDEX('Сводный годовой график'!$C$1:$AR$4,MATCH($C$58,'Сводный годовой график'!$B$1:$B$4),MATCH(DATE($AV$1,MONTH($B$54),L$3),'Сводный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график'!$B$1:$B$4),MATCH(DATE($AV$1,MONTH($B$54),L$3),'Сводный годовой график'!$C$10:$AR$10)))</f>
        <v>12</v>
      </c>
      <c r="M58" s="92">
        <f ca="1">IF(AND(INDEX('Сводный годовой график'!$C$1:$AR$4,MATCH($C$58,'Сводный годовой график'!$B$1:$B$4),MATCH(DATE($AV$1,MONTH($B$54),M$3),'Сводный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график'!$B$1:$B$4),MATCH(DATE($AV$1,MONTH($B$54),M$3),'Сводный годовой график'!$C$10:$AR$10)))</f>
        <v>4</v>
      </c>
      <c r="N58" s="92">
        <f ca="1">IF(AND(INDEX('Сводный годовой график'!$C$1:$AR$4,MATCH($C$58,'Сводный годовой график'!$B$1:$B$4),MATCH(DATE($AV$1,MONTH($B$54),N$3),'Сводный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график'!$B$1:$B$4),MATCH(DATE($AV$1,MONTH($B$54),N$3),'Сводный годовой график'!$C$10:$AR$10)))</f>
        <v>8</v>
      </c>
      <c r="O58" s="92">
        <f ca="1">IF(AND(INDEX('Сводный годовой график'!$C$1:$AR$4,MATCH($C$58,'Сводный годовой график'!$B$1:$B$4),MATCH(DATE($AV$1,MONTH($B$54),O$3),'Сводный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график'!$B$1:$B$4),MATCH(DATE($AV$1,MONTH($B$54),O$3),'Сводный годовой график'!$C$10:$AR$10)))</f>
        <v>12</v>
      </c>
      <c r="P58" s="92">
        <f ca="1">IF(AND(INDEX('Сводный годовой график'!$C$1:$AR$4,MATCH($C$58,'Сводный годовой график'!$B$1:$B$4),MATCH(DATE($AV$1,MONTH($B$54),P$3),'Сводный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график'!$B$1:$B$4),MATCH(DATE($AV$1,MONTH($B$54),P$3),'Сводный годовой график'!$C$10:$AR$10)))</f>
        <v>0</v>
      </c>
      <c r="Q58" s="92">
        <f ca="1">IF(AND(INDEX('Сводный годовой график'!$C$1:$AR$4,MATCH($C$58,'Сводный годовой график'!$B$1:$B$4),MATCH(DATE($AV$1,MONTH($B$54),Q$3),'Сводный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график'!$B$1:$B$4),MATCH(DATE($AV$1,MONTH($B$54),Q$3),'Сводный годовой график'!$C$10:$AR$10)))</f>
        <v>0</v>
      </c>
      <c r="R58" s="92">
        <f ca="1">IF(AND(INDEX('Сводный годовой график'!$C$1:$AR$4,MATCH($C$58,'Сводный годовой график'!$B$1:$B$4),MATCH(DATE($AV$1,MONTH($B$54),R$3),'Сводный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график'!$B$1:$B$4),MATCH(DATE($AV$1,MONTH($B$54),R$3),'Сводный годовой график'!$C$10:$AR$10)))</f>
        <v>4</v>
      </c>
      <c r="S58" s="92">
        <f ca="1">IF(AND(INDEX('Сводный годовой график'!$C$1:$AR$4,MATCH($C$58,'Сводный годовой график'!$B$1:$B$4),MATCH(DATE($AV$1,MONTH($B$54),S$3),'Сводный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график'!$B$1:$B$4),MATCH(DATE($AV$1,MONTH($B$54),S$3),'Сводный годовой график'!$C$10:$AR$10)))</f>
        <v>8</v>
      </c>
      <c r="T58" s="92">
        <f ca="1">IF(AND(INDEX('Сводный годовой график'!$C$1:$AR$4,MATCH($C$58,'Сводный годовой график'!$B$1:$B$4),MATCH(DATE($AV$1,MONTH($B$54),T$3),'Сводный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график'!$B$1:$B$4),MATCH(DATE($AV$1,MONTH($B$54),T$3),'Сводный годовой график'!$C$10:$AR$10)))</f>
        <v>12</v>
      </c>
      <c r="U58" s="92">
        <f ca="1">IF(AND(INDEX('Сводный годовой график'!$C$1:$AR$4,MATCH($C$58,'Сводный годовой график'!$B$1:$B$4),MATCH(DATE($AV$1,MONTH($B$54),U$3),'Сводный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график'!$B$1:$B$4),MATCH(DATE($AV$1,MONTH($B$54),U$3),'Сводный годовой график'!$C$10:$AR$10)))</f>
        <v>4</v>
      </c>
      <c r="V58" s="92">
        <f ca="1">IF(AND(INDEX('Сводный годовой график'!$C$1:$AR$4,MATCH($C$58,'Сводный годовой график'!$B$1:$B$4),MATCH(DATE($AV$1,MONTH($B$54),V$3),'Сводный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график'!$B$1:$B$4),MATCH(DATE($AV$1,MONTH($B$54),V$3),'Сводный годовой график'!$C$10:$AR$10)))</f>
        <v>8</v>
      </c>
      <c r="W58" s="92">
        <f ca="1">IF(AND(INDEX('Сводный годовой график'!$C$1:$AR$4,MATCH($C$58,'Сводный годовой график'!$B$1:$B$4),MATCH(DATE($AV$1,MONTH($B$54),W$3),'Сводный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график'!$B$1:$B$4),MATCH(DATE($AV$1,MONTH($B$54),W$3),'Сводный годовой график'!$C$10:$AR$10)))</f>
        <v>12</v>
      </c>
      <c r="X58" s="92">
        <f ca="1">IF(AND(INDEX('Сводный годовой график'!$C$1:$AR$4,MATCH($C$58,'Сводный годовой график'!$B$1:$B$4),MATCH(DATE($AV$1,MONTH($B$54),X$3),'Сводный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график'!$B$1:$B$4),MATCH(DATE($AV$1,MONTH($B$54),X$3),'Сводный годовой график'!$C$10:$AR$10)))</f>
        <v>0</v>
      </c>
      <c r="Y58" s="92">
        <f ca="1">IF(AND(INDEX('Сводный годовой график'!$C$1:$AR$4,MATCH($C$58,'Сводный годовой график'!$B$1:$B$4),MATCH(DATE($AV$1,MONTH($B$54),Y$3),'Сводный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график'!$B$1:$B$4),MATCH(DATE($AV$1,MONTH($B$54),Y$3),'Сводный годовой график'!$C$10:$AR$10)))</f>
        <v>0</v>
      </c>
      <c r="Z58" s="92">
        <f ca="1">IF(AND(INDEX('Сводный годовой график'!$C$1:$AR$4,MATCH($C$58,'Сводный годовой график'!$B$1:$B$4),MATCH(DATE($AV$1,MONTH($B$54),Z$3),'Сводный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график'!$B$1:$B$4),MATCH(DATE($AV$1,MONTH($B$54),Z$3),'Сводный годовой график'!$C$10:$AR$10)))</f>
        <v>4</v>
      </c>
      <c r="AA58" s="92">
        <f ca="1">IF(AND(INDEX('Сводный годовой график'!$C$1:$AR$4,MATCH($C$58,'Сводный годовой график'!$B$1:$B$4),MATCH(DATE($AV$1,MONTH($B$54),AA$3),'Сводный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график'!$B$1:$B$4),MATCH(DATE($AV$1,MONTH($B$54),AA$3),'Сводный годовой график'!$C$10:$AR$10)))</f>
        <v>8</v>
      </c>
      <c r="AB58" s="92">
        <f ca="1">IF(AND(INDEX('Сводный годовой график'!$C$1:$AR$4,MATCH($C$58,'Сводный годовой график'!$B$1:$B$4),MATCH(DATE($AV$1,MONTH($B$54),AB$3),'Сводный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график'!$B$1:$B$4),MATCH(DATE($AV$1,MONTH($B$54),AB$3),'Сводный годовой график'!$C$10:$AR$10)))</f>
        <v>12</v>
      </c>
      <c r="AC58" s="92">
        <f ca="1">IF(AND(INDEX('Сводный годовой график'!$C$1:$AR$4,MATCH($C$58,'Сводный годовой график'!$B$1:$B$4),MATCH(DATE($AV$1,MONTH($B$54),AC$3),'Сводный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график'!$B$1:$B$4),MATCH(DATE($AV$1,MONTH($B$54),AC$3),'Сводный годовой график'!$C$10:$AR$10)))</f>
        <v>4</v>
      </c>
      <c r="AD58" s="92">
        <f ca="1">IF(AND(INDEX('Сводный годовой график'!$C$1:$AR$4,MATCH($C$58,'Сводный годовой график'!$B$1:$B$4),MATCH(DATE($AV$1,MONTH($B$54),AD$3),'Сводный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график'!$B$1:$B$4),MATCH(DATE($AV$1,MONTH($B$54),AD$3),'Сводный годовой график'!$C$10:$AR$10)))</f>
        <v>8</v>
      </c>
      <c r="AE58" s="92">
        <f ca="1">IF(AND(INDEX('Сводный годовой график'!$C$1:$AR$4,MATCH($C$58,'Сводный годовой график'!$B$1:$B$4),MATCH(DATE($AV$1,MONTH($B$54),AE$3),'Сводный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график'!$B$1:$B$4),MATCH(DATE($AV$1,MONTH($B$54),AE$3),'Сводный годовой график'!$C$10:$AR$10)))</f>
        <v>12</v>
      </c>
      <c r="AF58" s="92">
        <f ca="1">IF(AND(INDEX('Сводный годовой график'!$C$1:$AR$4,MATCH($C$58,'Сводный годовой график'!$B$1:$B$4),MATCH(DATE($AV$1,MONTH($B$54),AF$3),'Сводный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график'!$B$1:$B$4),MATCH(DATE($AV$1,MONTH($B$54),AF$3),'Сводный годовой график'!$C$10:$AR$10)))</f>
        <v>0</v>
      </c>
      <c r="AG58" s="92">
        <f ca="1">IF(AND(INDEX('Сводный годовой график'!$C$1:$AR$4,MATCH($C$58,'Сводный годовой график'!$B$1:$B$4),MATCH(DATE($AV$1,MONTH($B$54),AG$3),'Сводный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график'!$B$1:$B$4),MATCH(DATE($AV$1,MONTH($B$54),AG$3),'Сводный годовой график'!$C$10:$AR$10)))</f>
        <v>0</v>
      </c>
      <c r="AH58" s="92">
        <f ca="1">IF(AND(INDEX('Сводный годовой график'!$C$1:$AR$4,MATCH($C$58,'Сводный годовой график'!$B$1:$B$4),MATCH(DATE($AV$1,MONTH($B$54),AH$3),'Сводный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график'!$B$1:$B$4),MATCH(DATE($AV$1,MONTH($B$54),AH$3),'Сводный годовой график'!$C$10:$AR$10)))</f>
        <v>4</v>
      </c>
      <c r="AI58" s="110"/>
      <c r="AJ58" s="206"/>
      <c r="AK58" s="177">
        <f>$AJ$54-SUM(AY58:CC59)</f>
        <v>151</v>
      </c>
      <c r="AL58" s="177">
        <f t="shared" ref="AL58" ca="1" si="99">SUM(E58:AI59)</f>
        <v>172</v>
      </c>
      <c r="AM58" s="177">
        <f ca="1">SUM(P58)</f>
        <v>0</v>
      </c>
      <c r="AN58" s="198">
        <f t="shared" ref="AN58" ca="1" si="100">-AM58-AK58+AL58</f>
        <v>21</v>
      </c>
      <c r="AO58" s="198">
        <v>0</v>
      </c>
      <c r="AP58" s="198">
        <f ca="1">AN58+AP48-AO58</f>
        <v>67</v>
      </c>
      <c r="AQ58" s="177">
        <v>0</v>
      </c>
      <c r="AR58" s="179">
        <v>1</v>
      </c>
      <c r="CK58" s="59"/>
      <c r="CL58" s="59"/>
      <c r="CM58" s="59"/>
      <c r="CN58" s="59"/>
      <c r="CO58" s="59"/>
      <c r="CP58" s="59"/>
      <c r="CQ58" s="59"/>
      <c r="CR58" s="59"/>
      <c r="CS58" s="59"/>
      <c r="CT58" s="59"/>
      <c r="CU58" s="59"/>
      <c r="CV58" s="59"/>
      <c r="CW58" s="59"/>
      <c r="CX58" s="59"/>
      <c r="CY58" s="59"/>
      <c r="CZ58" s="59"/>
      <c r="DA58" s="59"/>
      <c r="DB58" s="59"/>
      <c r="DC58" s="59"/>
      <c r="DD58" s="59"/>
      <c r="DE58" s="59"/>
      <c r="DF58" s="59"/>
      <c r="DG58" s="59"/>
      <c r="DH58" s="59"/>
      <c r="DI58" s="59"/>
      <c r="DJ58" s="59"/>
      <c r="DK58" s="59"/>
      <c r="DL58" s="59"/>
      <c r="DM58" s="59"/>
      <c r="DN58" s="59"/>
      <c r="DO58" s="59"/>
    </row>
    <row r="59" spans="2:119" ht="16.5" thickBot="1" x14ac:dyDescent="0.3">
      <c r="B59" s="201"/>
      <c r="C59" s="197"/>
      <c r="D59" s="82">
        <v>6</v>
      </c>
      <c r="E59" s="96" t="str">
        <f t="shared" ref="E59:AH59" si="101">IF(INDEX($CK$4:$DO$123,ROW()-3,E$3)=0,"","СП")</f>
        <v/>
      </c>
      <c r="F59" s="92" t="str">
        <f t="shared" si="101"/>
        <v/>
      </c>
      <c r="G59" s="92" t="str">
        <f t="shared" si="101"/>
        <v/>
      </c>
      <c r="H59" s="92" t="str">
        <f t="shared" si="101"/>
        <v/>
      </c>
      <c r="I59" s="92" t="str">
        <f t="shared" si="101"/>
        <v/>
      </c>
      <c r="J59" s="92" t="str">
        <f t="shared" si="101"/>
        <v/>
      </c>
      <c r="K59" s="92" t="str">
        <f t="shared" si="101"/>
        <v/>
      </c>
      <c r="L59" s="92" t="str">
        <f t="shared" si="101"/>
        <v>СП</v>
      </c>
      <c r="M59" s="92" t="str">
        <f t="shared" si="101"/>
        <v/>
      </c>
      <c r="N59" s="92" t="str">
        <f t="shared" si="101"/>
        <v/>
      </c>
      <c r="O59" s="92" t="str">
        <f t="shared" si="101"/>
        <v/>
      </c>
      <c r="P59" s="92" t="str">
        <f t="shared" si="101"/>
        <v/>
      </c>
      <c r="Q59" s="92" t="str">
        <f t="shared" si="101"/>
        <v/>
      </c>
      <c r="R59" s="92" t="str">
        <f t="shared" si="101"/>
        <v/>
      </c>
      <c r="S59" s="92" t="str">
        <f t="shared" si="101"/>
        <v/>
      </c>
      <c r="T59" s="92" t="str">
        <f t="shared" si="101"/>
        <v/>
      </c>
      <c r="U59" s="92" t="str">
        <f t="shared" si="101"/>
        <v/>
      </c>
      <c r="V59" s="92" t="str">
        <f t="shared" si="101"/>
        <v/>
      </c>
      <c r="W59" s="92" t="str">
        <f t="shared" si="101"/>
        <v/>
      </c>
      <c r="X59" s="92" t="str">
        <f t="shared" si="101"/>
        <v/>
      </c>
      <c r="Y59" s="92" t="str">
        <f t="shared" si="101"/>
        <v/>
      </c>
      <c r="Z59" s="92" t="str">
        <f t="shared" si="101"/>
        <v/>
      </c>
      <c r="AA59" s="92" t="str">
        <f t="shared" si="101"/>
        <v/>
      </c>
      <c r="AB59" s="92" t="str">
        <f t="shared" si="101"/>
        <v/>
      </c>
      <c r="AC59" s="92" t="str">
        <f t="shared" si="101"/>
        <v/>
      </c>
      <c r="AD59" s="92" t="str">
        <f t="shared" si="101"/>
        <v/>
      </c>
      <c r="AE59" s="92" t="str">
        <f t="shared" si="101"/>
        <v/>
      </c>
      <c r="AF59" s="92" t="str">
        <f t="shared" si="101"/>
        <v/>
      </c>
      <c r="AG59" s="92" t="str">
        <f t="shared" si="101"/>
        <v/>
      </c>
      <c r="AH59" s="92" t="str">
        <f t="shared" si="101"/>
        <v/>
      </c>
      <c r="AI59" s="110"/>
      <c r="AJ59" s="206"/>
      <c r="AK59" s="177"/>
      <c r="AL59" s="177"/>
      <c r="AM59" s="177"/>
      <c r="AN59" s="198"/>
      <c r="AO59" s="198"/>
      <c r="AP59" s="198"/>
      <c r="AQ59" s="177"/>
      <c r="AR59" s="179"/>
      <c r="CK59" s="58">
        <f>IF(DAY(INDEX('Сводный годовой график'!$BA$4:$BL$14,$C58,MONTH($B$54)))=E$3,1,0)</f>
        <v>0</v>
      </c>
      <c r="CL59" s="58">
        <f>IF(DAY(INDEX('Сводный годовой график'!$BA$4:$BL$14,$C58,MONTH($B$54)))=F$3,1,0)</f>
        <v>0</v>
      </c>
      <c r="CM59" s="58">
        <f>IF(DAY(INDEX('Сводный годовой график'!$BA$4:$BL$14,$C58,MONTH($B$54)))=G$3,1,0)</f>
        <v>0</v>
      </c>
      <c r="CN59" s="58">
        <f>IF(DAY(INDEX('Сводный годовой график'!$BA$4:$BL$14,$C58,MONTH($B$54)))=H$3,1,0)</f>
        <v>0</v>
      </c>
      <c r="CO59" s="58">
        <f>IF(DAY(INDEX('Сводный годовой график'!$BA$4:$BL$14,$C58,MONTH($B$54)))=I$3,1,0)</f>
        <v>0</v>
      </c>
      <c r="CP59" s="58">
        <f>IF(DAY(INDEX('Сводный годовой график'!$BA$4:$BL$14,$C58,MONTH($B$54)))=J$3,1,0)</f>
        <v>0</v>
      </c>
      <c r="CQ59" s="58">
        <f>IF(DAY(INDEX('Сводный годовой график'!$BA$4:$BL$14,$C58,MONTH($B$54)))=K$3,1,0)</f>
        <v>0</v>
      </c>
      <c r="CR59" s="58">
        <f>IF(DAY(INDEX('Сводный годовой график'!$BA$4:$BL$14,$C58,MONTH($B$54)))=L$3,1,0)</f>
        <v>1</v>
      </c>
      <c r="CS59" s="58">
        <f>IF(DAY(INDEX('Сводный годовой график'!$BA$4:$BL$14,$C58,MONTH($B$54)))=M$3,1,0)</f>
        <v>0</v>
      </c>
      <c r="CT59" s="58">
        <f>IF(DAY(INDEX('Сводный годовой график'!$BA$4:$BL$14,$C58,MONTH($B$54)))=N$3,1,0)</f>
        <v>0</v>
      </c>
      <c r="CU59" s="58">
        <f>IF(DAY(INDEX('Сводный годовой график'!$BA$4:$BL$14,$C58,MONTH($B$54)))=O$3,1,0)</f>
        <v>0</v>
      </c>
      <c r="CV59" s="58">
        <f>IF(DAY(INDEX('Сводный годовой график'!$BA$4:$BL$14,$C58,MONTH($B$54)))=P$3,1,0)</f>
        <v>0</v>
      </c>
      <c r="CW59" s="58">
        <f>IF(DAY(INDEX('Сводный годовой график'!$BA$4:$BL$14,$C58,MONTH($B$54)))=Q$3,1,0)</f>
        <v>0</v>
      </c>
      <c r="CX59" s="58">
        <f>IF(DAY(INDEX('Сводный годовой график'!$BA$4:$BL$14,$C58,MONTH($B$54)))=R$3,1,0)</f>
        <v>0</v>
      </c>
      <c r="CY59" s="58">
        <f>IF(DAY(INDEX('Сводный годовой график'!$BA$4:$BL$14,$C58,MONTH($B$54)))=S$3,1,0)</f>
        <v>0</v>
      </c>
      <c r="CZ59" s="58">
        <f>IF(DAY(INDEX('Сводный годовой график'!$BA$4:$BL$14,$C58,MONTH($B$54)))=T$3,1,0)</f>
        <v>0</v>
      </c>
      <c r="DA59" s="58">
        <f>IF(DAY(INDEX('Сводный годовой график'!$BA$4:$BL$14,$C58,MONTH($B$54)))=U$3,1,0)</f>
        <v>0</v>
      </c>
      <c r="DB59" s="58">
        <f>IF(DAY(INDEX('Сводный годовой график'!$BA$4:$BL$14,$C58,MONTH($B$54)))=V$3,1,0)</f>
        <v>0</v>
      </c>
      <c r="DC59" s="58">
        <f>IF(DAY(INDEX('Сводный годовой график'!$BA$4:$BL$14,$C58,MONTH($B$54)))=W$3,1,0)</f>
        <v>0</v>
      </c>
      <c r="DD59" s="58">
        <f>IF(DAY(INDEX('Сводный годовой график'!$BA$4:$BL$14,$C58,MONTH($B$54)))=X$3,1,0)</f>
        <v>0</v>
      </c>
      <c r="DE59" s="58">
        <f>IF(DAY(INDEX('Сводный годовой график'!$BA$4:$BL$14,$C58,MONTH($B$54)))=Y$3,1,0)</f>
        <v>0</v>
      </c>
      <c r="DF59" s="58">
        <f>IF(DAY(INDEX('Сводный годовой график'!$BA$4:$BL$14,$C58,MONTH($B$54)))=Z$3,1,0)</f>
        <v>0</v>
      </c>
      <c r="DG59" s="58">
        <f>IF(DAY(INDEX('Сводный годовой график'!$BA$4:$BL$14,$C58,MONTH($B$54)))=AA$3,1,0)</f>
        <v>0</v>
      </c>
      <c r="DH59" s="58">
        <f>IF(DAY(INDEX('Сводный годовой график'!$BA$4:$BL$14,$C58,MONTH($B$54)))=AB$3,1,0)</f>
        <v>0</v>
      </c>
      <c r="DI59" s="58">
        <f>IF(DAY(INDEX('Сводный годовой график'!$BA$4:$BL$14,$C58,MONTH($B$54)))=AC$3,1,0)</f>
        <v>0</v>
      </c>
      <c r="DJ59" s="58">
        <f>IF(DAY(INDEX('Сводный годовой график'!$BA$4:$BL$14,$C58,MONTH($B$54)))=AD$3,1,0)</f>
        <v>0</v>
      </c>
      <c r="DK59" s="58">
        <f>IF(DAY(INDEX('Сводный годовой график'!$BA$4:$BL$14,$C58,MONTH($B$54)))=AE$3,1,0)</f>
        <v>0</v>
      </c>
      <c r="DL59" s="58">
        <f>IF(DAY(INDEX('Сводный годовой график'!$BA$4:$BL$14,$C58,MONTH($B$54)))=AF$3,1,0)</f>
        <v>0</v>
      </c>
      <c r="DM59" s="58">
        <f>IF(DAY(INDEX('Сводный годовой график'!$BA$4:$BL$14,$C58,MONTH($B$54)))=AG$3,1,0)</f>
        <v>0</v>
      </c>
      <c r="DN59" s="58">
        <f>IF(DAY(INDEX('Сводный годовой график'!$BA$4:$BL$14,$C58,MONTH($B$54)))=AH$3,1,0)</f>
        <v>0</v>
      </c>
      <c r="DO59" s="58">
        <f>IF(DAY(INDEX('Сводный годовой график'!$BA$4:$BL$14,$C58,MONTH($B$54)))=AI$3,1,0)</f>
        <v>0</v>
      </c>
    </row>
    <row r="60" spans="2:119" ht="16.5" thickBot="1" x14ac:dyDescent="0.3">
      <c r="B60" s="201"/>
      <c r="C60" s="196">
        <v>4</v>
      </c>
      <c r="D60" s="81">
        <v>7</v>
      </c>
      <c r="E60" s="96">
        <f ca="1">IF(AND(INDEX('Сводный годовой график'!$C$1:$AR$4,MATCH($C$60,'Сводный годовой график'!$B$1:$B$4),MATCH(DATE($AV$1,MONTH($B$54),E$3),'Сводный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график'!$B$1:$B$4),MATCH(DATE($AV$1,MONTH($B$54),E$3),'Сводный годовой график'!$C$10:$AR$10)))</f>
        <v>8</v>
      </c>
      <c r="F60" s="92">
        <f ca="1">IF(AND(INDEX('Сводный годовой график'!$C$1:$AR$4,MATCH($C$60,'Сводный годовой график'!$B$1:$B$4),MATCH(DATE($AV$1,MONTH($B$54),F$3),'Сводный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график'!$B$1:$B$4),MATCH(DATE($AV$1,MONTH($B$54),F$3),'Сводный годовой график'!$C$10:$AR$10)))</f>
        <v>12</v>
      </c>
      <c r="G60" s="92">
        <f ca="1">IF(AND(INDEX('Сводный годовой график'!$C$1:$AR$4,MATCH($C$60,'Сводный годовой график'!$B$1:$B$4),MATCH(DATE($AV$1,MONTH($B$54),G$3),'Сводный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график'!$B$1:$B$4),MATCH(DATE($AV$1,MONTH($B$54),G$3),'Сводный годовой график'!$C$10:$AR$10)))</f>
        <v>4</v>
      </c>
      <c r="H60" s="92">
        <f ca="1">IF(AND(INDEX('Сводный годовой график'!$C$1:$AR$4,MATCH($C$60,'Сводный годовой график'!$B$1:$B$4),MATCH(DATE($AV$1,MONTH($B$54),H$3),'Сводный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график'!$B$1:$B$4),MATCH(DATE($AV$1,MONTH($B$54),H$3),'Сводный годовой график'!$C$10:$AR$10)))</f>
        <v>8</v>
      </c>
      <c r="I60" s="92">
        <f ca="1">IF(AND(INDEX('Сводный годовой график'!$C$1:$AR$4,MATCH($C$60,'Сводный годовой график'!$B$1:$B$4),MATCH(DATE($AV$1,MONTH($B$54),I$3),'Сводный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график'!$B$1:$B$4),MATCH(DATE($AV$1,MONTH($B$54),I$3),'Сводный годовой график'!$C$10:$AR$10)))</f>
        <v>12</v>
      </c>
      <c r="J60" s="92">
        <f ca="1">IF(AND(INDEX('Сводный годовой график'!$C$1:$AR$4,MATCH($C$60,'Сводный годовой график'!$B$1:$B$4),MATCH(DATE($AV$1,MONTH($B$54),J$3),'Сводный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график'!$B$1:$B$4),MATCH(DATE($AV$1,MONTH($B$54),J$3),'Сводный годовой график'!$C$10:$AR$10)))</f>
        <v>0</v>
      </c>
      <c r="K60" s="92">
        <f ca="1">IF(AND(INDEX('Сводный годовой график'!$C$1:$AR$4,MATCH($C$60,'Сводный годовой график'!$B$1:$B$4),MATCH(DATE($AV$1,MONTH($B$54),K$3),'Сводный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график'!$B$1:$B$4),MATCH(DATE($AV$1,MONTH($B$54),K$3),'Сводный годовой график'!$C$10:$AR$10)))</f>
        <v>0</v>
      </c>
      <c r="L60" s="92">
        <f ca="1">IF(AND(INDEX('Сводный годовой график'!$C$1:$AR$4,MATCH($C$60,'Сводный годовой график'!$B$1:$B$4),MATCH(DATE($AV$1,MONTH($B$54),L$3),'Сводный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график'!$B$1:$B$4),MATCH(DATE($AV$1,MONTH($B$54),L$3),'Сводный годовой график'!$C$10:$AR$10)))</f>
        <v>4</v>
      </c>
      <c r="M60" s="92">
        <f ca="1">IF(AND(INDEX('Сводный годовой график'!$C$1:$AR$4,MATCH($C$60,'Сводный годовой график'!$B$1:$B$4),MATCH(DATE($AV$1,MONTH($B$54),M$3),'Сводный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график'!$B$1:$B$4),MATCH(DATE($AV$1,MONTH($B$54),M$3),'Сводный годовой график'!$C$10:$AR$10)))</f>
        <v>8</v>
      </c>
      <c r="N60" s="92">
        <f ca="1">IF(AND(INDEX('Сводный годовой график'!$C$1:$AR$4,MATCH($C$60,'Сводный годовой график'!$B$1:$B$4),MATCH(DATE($AV$1,MONTH($B$54),N$3),'Сводный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график'!$B$1:$B$4),MATCH(DATE($AV$1,MONTH($B$54),N$3),'Сводный годовой график'!$C$10:$AR$10)))</f>
        <v>12</v>
      </c>
      <c r="O60" s="92">
        <f ca="1">IF(AND(INDEX('Сводный годовой график'!$C$1:$AR$4,MATCH($C$60,'Сводный годовой график'!$B$1:$B$4),MATCH(DATE($AV$1,MONTH($B$54),O$3),'Сводный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график'!$B$1:$B$4),MATCH(DATE($AV$1,MONTH($B$54),O$3),'Сводный годовой график'!$C$10:$AR$10)))</f>
        <v>4</v>
      </c>
      <c r="P60" s="92">
        <f ca="1">IF(AND(INDEX('Сводный годовой график'!$C$1:$AR$4,MATCH($C$60,'Сводный годовой график'!$B$1:$B$4),MATCH(DATE($AV$1,MONTH($B$54),P$3),'Сводный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график'!$B$1:$B$4),MATCH(DATE($AV$1,MONTH($B$54),P$3),'Сводный годовой график'!$C$10:$AR$10)))</f>
        <v>8</v>
      </c>
      <c r="Q60" s="92">
        <f ca="1">IF(AND(INDEX('Сводный годовой график'!$C$1:$AR$4,MATCH($C$60,'Сводный годовой график'!$B$1:$B$4),MATCH(DATE($AV$1,MONTH($B$54),Q$3),'Сводный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график'!$B$1:$B$4),MATCH(DATE($AV$1,MONTH($B$54),Q$3),'Сводный годовой график'!$C$10:$AR$10)))</f>
        <v>12</v>
      </c>
      <c r="R60" s="92">
        <f ca="1">IF(AND(INDEX('Сводный годовой график'!$C$1:$AR$4,MATCH($C$60,'Сводный годовой график'!$B$1:$B$4),MATCH(DATE($AV$1,MONTH($B$54),R$3),'Сводный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график'!$B$1:$B$4),MATCH(DATE($AV$1,MONTH($B$54),R$3),'Сводный годовой график'!$C$10:$AR$10)))</f>
        <v>0</v>
      </c>
      <c r="S60" s="92">
        <f ca="1">IF(AND(INDEX('Сводный годовой график'!$C$1:$AR$4,MATCH($C$60,'Сводный годовой график'!$B$1:$B$4),MATCH(DATE($AV$1,MONTH($B$54),S$3),'Сводный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график'!$B$1:$B$4),MATCH(DATE($AV$1,MONTH($B$54),S$3),'Сводный годовой график'!$C$10:$AR$10)))</f>
        <v>0</v>
      </c>
      <c r="T60" s="92">
        <f ca="1">IF(AND(INDEX('Сводный годовой график'!$C$1:$AR$4,MATCH($C$60,'Сводный годовой график'!$B$1:$B$4),MATCH(DATE($AV$1,MONTH($B$54),T$3),'Сводный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график'!$B$1:$B$4),MATCH(DATE($AV$1,MONTH($B$54),T$3),'Сводный годовой график'!$C$10:$AR$10)))</f>
        <v>4</v>
      </c>
      <c r="U60" s="92">
        <f ca="1">IF(AND(INDEX('Сводный годовой график'!$C$1:$AR$4,MATCH($C$60,'Сводный годовой график'!$B$1:$B$4),MATCH(DATE($AV$1,MONTH($B$54),U$3),'Сводный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график'!$B$1:$B$4),MATCH(DATE($AV$1,MONTH($B$54),U$3),'Сводный годовой график'!$C$10:$AR$10)))</f>
        <v>8</v>
      </c>
      <c r="V60" s="92">
        <f ca="1">IF(AND(INDEX('Сводный годовой график'!$C$1:$AR$4,MATCH($C$60,'Сводный годовой график'!$B$1:$B$4),MATCH(DATE($AV$1,MONTH($B$54),V$3),'Сводный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график'!$B$1:$B$4),MATCH(DATE($AV$1,MONTH($B$54),V$3),'Сводный годовой график'!$C$10:$AR$10)))</f>
        <v>12</v>
      </c>
      <c r="W60" s="92">
        <f ca="1">IF(AND(INDEX('Сводный годовой график'!$C$1:$AR$4,MATCH($C$60,'Сводный годовой график'!$B$1:$B$4),MATCH(DATE($AV$1,MONTH($B$54),W$3),'Сводный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график'!$B$1:$B$4),MATCH(DATE($AV$1,MONTH($B$54),W$3),'Сводный годовой график'!$C$10:$AR$10)))</f>
        <v>4</v>
      </c>
      <c r="X60" s="92">
        <f ca="1">IF(AND(INDEX('Сводный годовой график'!$C$1:$AR$4,MATCH($C$60,'Сводный годовой график'!$B$1:$B$4),MATCH(DATE($AV$1,MONTH($B$54),X$3),'Сводный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график'!$B$1:$B$4),MATCH(DATE($AV$1,MONTH($B$54),X$3),'Сводный годовой график'!$C$10:$AR$10)))</f>
        <v>8</v>
      </c>
      <c r="Y60" s="92">
        <f ca="1">IF(AND(INDEX('Сводный годовой график'!$C$1:$AR$4,MATCH($C$60,'Сводный годовой график'!$B$1:$B$4),MATCH(DATE($AV$1,MONTH($B$54),Y$3),'Сводный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график'!$B$1:$B$4),MATCH(DATE($AV$1,MONTH($B$54),Y$3),'Сводный годовой график'!$C$10:$AR$10)))</f>
        <v>12</v>
      </c>
      <c r="Z60" s="92">
        <f ca="1">IF(AND(INDEX('Сводный годовой график'!$C$1:$AR$4,MATCH($C$60,'Сводный годовой график'!$B$1:$B$4),MATCH(DATE($AV$1,MONTH($B$54),Z$3),'Сводный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график'!$B$1:$B$4),MATCH(DATE($AV$1,MONTH($B$54),Z$3),'Сводный годовой график'!$C$10:$AR$10)))</f>
        <v>0</v>
      </c>
      <c r="AA60" s="92">
        <f ca="1">IF(AND(INDEX('Сводный годовой график'!$C$1:$AR$4,MATCH($C$60,'Сводный годовой график'!$B$1:$B$4),MATCH(DATE($AV$1,MONTH($B$54),AA$3),'Сводный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график'!$B$1:$B$4),MATCH(DATE($AV$1,MONTH($B$54),AA$3),'Сводный годовой график'!$C$10:$AR$10)))</f>
        <v>0</v>
      </c>
      <c r="AB60" s="92">
        <f ca="1">IF(AND(INDEX('Сводный годовой график'!$C$1:$AR$4,MATCH($C$60,'Сводный годовой график'!$B$1:$B$4),MATCH(DATE($AV$1,MONTH($B$54),AB$3),'Сводный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график'!$B$1:$B$4),MATCH(DATE($AV$1,MONTH($B$54),AB$3),'Сводный годовой график'!$C$10:$AR$10)))</f>
        <v>4</v>
      </c>
      <c r="AC60" s="92">
        <f ca="1">IF(AND(INDEX('Сводный годовой график'!$C$1:$AR$4,MATCH($C$60,'Сводный годовой график'!$B$1:$B$4),MATCH(DATE($AV$1,MONTH($B$54),AC$3),'Сводный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график'!$B$1:$B$4),MATCH(DATE($AV$1,MONTH($B$54),AC$3),'Сводный годовой график'!$C$10:$AR$10)))</f>
        <v>8</v>
      </c>
      <c r="AD60" s="92">
        <f ca="1">IF(AND(INDEX('Сводный годовой график'!$C$1:$AR$4,MATCH($C$60,'Сводный годовой график'!$B$1:$B$4),MATCH(DATE($AV$1,MONTH($B$54),AD$3),'Сводный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график'!$B$1:$B$4),MATCH(DATE($AV$1,MONTH($B$54),AD$3),'Сводный годовой график'!$C$10:$AR$10)))</f>
        <v>12</v>
      </c>
      <c r="AE60" s="92">
        <f ca="1">IF(AND(INDEX('Сводный годовой график'!$C$1:$AR$4,MATCH($C$60,'Сводный годовой график'!$B$1:$B$4),MATCH(DATE($AV$1,MONTH($B$54),AE$3),'Сводный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график'!$B$1:$B$4),MATCH(DATE($AV$1,MONTH($B$54),AE$3),'Сводный годовой график'!$C$10:$AR$10)))</f>
        <v>4</v>
      </c>
      <c r="AF60" s="92">
        <f ca="1">IF(AND(INDEX('Сводный годовой график'!$C$1:$AR$4,MATCH($C$60,'Сводный годовой график'!$B$1:$B$4),MATCH(DATE($AV$1,MONTH($B$54),AF$3),'Сводный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график'!$B$1:$B$4),MATCH(DATE($AV$1,MONTH($B$54),AF$3),'Сводный годовой график'!$C$10:$AR$10)))</f>
        <v>8</v>
      </c>
      <c r="AG60" s="92">
        <f ca="1">IF(AND(INDEX('Сводный годовой график'!$C$1:$AR$4,MATCH($C$60,'Сводный годовой график'!$B$1:$B$4),MATCH(DATE($AV$1,MONTH($B$54),AG$3),'Сводный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график'!$B$1:$B$4),MATCH(DATE($AV$1,MONTH($B$54),AG$3),'Сводный годовой график'!$C$10:$AR$10)))</f>
        <v>12</v>
      </c>
      <c r="AH60" s="92">
        <f ca="1">IF(AND(INDEX('Сводный годовой график'!$C$1:$AR$4,MATCH($C$60,'Сводный годовой график'!$B$1:$B$4),MATCH(DATE($AV$1,MONTH($B$54),AH$3),'Сводный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график'!$B$1:$B$4),MATCH(DATE($AV$1,MONTH($B$54),AH$3),'Сводный годовой график'!$C$10:$AR$10)))</f>
        <v>0</v>
      </c>
      <c r="AI60" s="110"/>
      <c r="AJ60" s="206"/>
      <c r="AK60" s="177">
        <f>$AJ$54-SUM(AY60:CC61)</f>
        <v>151</v>
      </c>
      <c r="AL60" s="177">
        <f t="shared" ref="AL60" ca="1" si="102">SUM(E60:AI61)</f>
        <v>188</v>
      </c>
      <c r="AM60" s="177">
        <f ca="1">SUM(P60)</f>
        <v>8</v>
      </c>
      <c r="AN60" s="198">
        <f t="shared" ref="AN60" ca="1" si="103">-AM60-AK60+AL60</f>
        <v>29</v>
      </c>
      <c r="AO60" s="198">
        <v>0</v>
      </c>
      <c r="AP60" s="198">
        <f t="shared" ref="AP60" ca="1" si="104">AN60+AP50</f>
        <v>71</v>
      </c>
      <c r="AQ60" s="177">
        <v>29</v>
      </c>
      <c r="AR60" s="179">
        <v>0</v>
      </c>
      <c r="CK60" s="59"/>
      <c r="CL60" s="59"/>
      <c r="CM60" s="59"/>
      <c r="CN60" s="59"/>
      <c r="CO60" s="59"/>
      <c r="CP60" s="59"/>
      <c r="CQ60" s="59"/>
      <c r="CR60" s="59"/>
      <c r="CS60" s="59"/>
      <c r="CT60" s="59"/>
      <c r="CU60" s="59"/>
      <c r="CV60" s="59"/>
      <c r="CW60" s="59"/>
      <c r="CX60" s="59"/>
      <c r="CY60" s="59"/>
      <c r="CZ60" s="59"/>
      <c r="DA60" s="59"/>
      <c r="DB60" s="59"/>
      <c r="DC60" s="59"/>
      <c r="DD60" s="59"/>
      <c r="DE60" s="59"/>
      <c r="DF60" s="59"/>
      <c r="DG60" s="59"/>
      <c r="DH60" s="59"/>
      <c r="DI60" s="59"/>
      <c r="DJ60" s="59"/>
      <c r="DK60" s="59"/>
      <c r="DL60" s="59"/>
      <c r="DM60" s="59"/>
      <c r="DN60" s="59"/>
      <c r="DO60" s="59"/>
    </row>
    <row r="61" spans="2:119" ht="16.5" thickBot="1" x14ac:dyDescent="0.3">
      <c r="B61" s="201"/>
      <c r="C61" s="197"/>
      <c r="D61" s="82">
        <v>8</v>
      </c>
      <c r="E61" s="96" t="str">
        <f t="shared" ref="E61:AH61" si="105">IF(INDEX($CK$4:$DO$123,ROW()-3,E$3)=0,"","СП")</f>
        <v/>
      </c>
      <c r="F61" s="92" t="str">
        <f t="shared" si="105"/>
        <v/>
      </c>
      <c r="G61" s="92" t="str">
        <f t="shared" si="105"/>
        <v/>
      </c>
      <c r="H61" s="92" t="str">
        <f t="shared" si="105"/>
        <v/>
      </c>
      <c r="I61" s="92" t="str">
        <f t="shared" si="105"/>
        <v/>
      </c>
      <c r="J61" s="92" t="str">
        <f t="shared" si="105"/>
        <v/>
      </c>
      <c r="K61" s="92" t="str">
        <f t="shared" si="105"/>
        <v/>
      </c>
      <c r="L61" s="92" t="str">
        <f t="shared" si="105"/>
        <v/>
      </c>
      <c r="M61" s="92" t="str">
        <f t="shared" si="105"/>
        <v>СП</v>
      </c>
      <c r="N61" s="92" t="str">
        <f t="shared" si="105"/>
        <v/>
      </c>
      <c r="O61" s="92" t="str">
        <f t="shared" si="105"/>
        <v/>
      </c>
      <c r="P61" s="92" t="str">
        <f t="shared" si="105"/>
        <v/>
      </c>
      <c r="Q61" s="92" t="str">
        <f t="shared" si="105"/>
        <v/>
      </c>
      <c r="R61" s="92" t="str">
        <f t="shared" si="105"/>
        <v/>
      </c>
      <c r="S61" s="92" t="str">
        <f t="shared" si="105"/>
        <v/>
      </c>
      <c r="T61" s="92" t="str">
        <f t="shared" si="105"/>
        <v/>
      </c>
      <c r="U61" s="92" t="str">
        <f t="shared" si="105"/>
        <v/>
      </c>
      <c r="V61" s="92" t="str">
        <f t="shared" si="105"/>
        <v/>
      </c>
      <c r="W61" s="92" t="str">
        <f t="shared" si="105"/>
        <v/>
      </c>
      <c r="X61" s="92" t="str">
        <f t="shared" si="105"/>
        <v/>
      </c>
      <c r="Y61" s="92" t="str">
        <f t="shared" si="105"/>
        <v/>
      </c>
      <c r="Z61" s="92" t="str">
        <f t="shared" si="105"/>
        <v/>
      </c>
      <c r="AA61" s="92" t="str">
        <f t="shared" si="105"/>
        <v/>
      </c>
      <c r="AB61" s="92" t="str">
        <f t="shared" si="105"/>
        <v/>
      </c>
      <c r="AC61" s="92" t="str">
        <f t="shared" si="105"/>
        <v/>
      </c>
      <c r="AD61" s="92" t="str">
        <f t="shared" si="105"/>
        <v/>
      </c>
      <c r="AE61" s="92" t="str">
        <f t="shared" si="105"/>
        <v/>
      </c>
      <c r="AF61" s="92" t="str">
        <f t="shared" si="105"/>
        <v/>
      </c>
      <c r="AG61" s="92" t="str">
        <f t="shared" si="105"/>
        <v/>
      </c>
      <c r="AH61" s="92" t="str">
        <f t="shared" si="105"/>
        <v/>
      </c>
      <c r="AI61" s="110"/>
      <c r="AJ61" s="206"/>
      <c r="AK61" s="177"/>
      <c r="AL61" s="177"/>
      <c r="AM61" s="177"/>
      <c r="AN61" s="198"/>
      <c r="AO61" s="198"/>
      <c r="AP61" s="198"/>
      <c r="AQ61" s="177"/>
      <c r="AR61" s="179"/>
      <c r="CK61" s="58">
        <f>IF(DAY(INDEX('Сводный годовой график'!$BA$4:$BL$14,$C60,MONTH($B$54)))=E$3,1,0)</f>
        <v>0</v>
      </c>
      <c r="CL61" s="58">
        <f>IF(DAY(INDEX('Сводный годовой график'!$BA$4:$BL$14,$C60,MONTH($B$54)))=F$3,1,0)</f>
        <v>0</v>
      </c>
      <c r="CM61" s="58">
        <f>IF(DAY(INDEX('Сводный годовой график'!$BA$4:$BL$14,$C60,MONTH($B$54)))=G$3,1,0)</f>
        <v>0</v>
      </c>
      <c r="CN61" s="58">
        <f>IF(DAY(INDEX('Сводный годовой график'!$BA$4:$BL$14,$C60,MONTH($B$54)))=H$3,1,0)</f>
        <v>0</v>
      </c>
      <c r="CO61" s="58">
        <f>IF(DAY(INDEX('Сводный годовой график'!$BA$4:$BL$14,$C60,MONTH($B$54)))=I$3,1,0)</f>
        <v>0</v>
      </c>
      <c r="CP61" s="58">
        <f>IF(DAY(INDEX('Сводный годовой график'!$BA$4:$BL$14,$C60,MONTH($B$54)))=J$3,1,0)</f>
        <v>0</v>
      </c>
      <c r="CQ61" s="58">
        <f>IF(DAY(INDEX('Сводный годовой график'!$BA$4:$BL$14,$C60,MONTH($B$54)))=K$3,1,0)</f>
        <v>0</v>
      </c>
      <c r="CR61" s="58">
        <f>IF(DAY(INDEX('Сводный годовой график'!$BA$4:$BL$14,$C60,MONTH($B$54)))=L$3,1,0)</f>
        <v>0</v>
      </c>
      <c r="CS61" s="58">
        <f>IF(DAY(INDEX('Сводный годовой график'!$BA$4:$BL$14,$C60,MONTH($B$54)))=M$3,1,0)</f>
        <v>1</v>
      </c>
      <c r="CT61" s="58">
        <f>IF(DAY(INDEX('Сводный годовой график'!$BA$4:$BL$14,$C60,MONTH($B$54)))=N$3,1,0)</f>
        <v>0</v>
      </c>
      <c r="CU61" s="58">
        <f>IF(DAY(INDEX('Сводный годовой график'!$BA$4:$BL$14,$C60,MONTH($B$54)))=O$3,1,0)</f>
        <v>0</v>
      </c>
      <c r="CV61" s="58">
        <f>IF(DAY(INDEX('Сводный годовой график'!$BA$4:$BL$14,$C60,MONTH($B$54)))=P$3,1,0)</f>
        <v>0</v>
      </c>
      <c r="CW61" s="58">
        <f>IF(DAY(INDEX('Сводный годовой график'!$BA$4:$BL$14,$C60,MONTH($B$54)))=Q$3,1,0)</f>
        <v>0</v>
      </c>
      <c r="CX61" s="58">
        <f>IF(DAY(INDEX('Сводный годовой график'!$BA$4:$BL$14,$C60,MONTH($B$54)))=R$3,1,0)</f>
        <v>0</v>
      </c>
      <c r="CY61" s="58">
        <f>IF(DAY(INDEX('Сводный годовой график'!$BA$4:$BL$14,$C60,MONTH($B$54)))=S$3,1,0)</f>
        <v>0</v>
      </c>
      <c r="CZ61" s="58">
        <f>IF(DAY(INDEX('Сводный годовой график'!$BA$4:$BL$14,$C60,MONTH($B$54)))=T$3,1,0)</f>
        <v>0</v>
      </c>
      <c r="DA61" s="58">
        <f>IF(DAY(INDEX('Сводный годовой график'!$BA$4:$BL$14,$C60,MONTH($B$54)))=U$3,1,0)</f>
        <v>0</v>
      </c>
      <c r="DB61" s="58">
        <f>IF(DAY(INDEX('Сводный годовой график'!$BA$4:$BL$14,$C60,MONTH($B$54)))=V$3,1,0)</f>
        <v>0</v>
      </c>
      <c r="DC61" s="58">
        <f>IF(DAY(INDEX('Сводный годовой график'!$BA$4:$BL$14,$C60,MONTH($B$54)))=W$3,1,0)</f>
        <v>0</v>
      </c>
      <c r="DD61" s="58">
        <f>IF(DAY(INDEX('Сводный годовой график'!$BA$4:$BL$14,$C60,MONTH($B$54)))=X$3,1,0)</f>
        <v>0</v>
      </c>
      <c r="DE61" s="58">
        <f>IF(DAY(INDEX('Сводный годовой график'!$BA$4:$BL$14,$C60,MONTH($B$54)))=Y$3,1,0)</f>
        <v>0</v>
      </c>
      <c r="DF61" s="58">
        <f>IF(DAY(INDEX('Сводный годовой график'!$BA$4:$BL$14,$C60,MONTH($B$54)))=Z$3,1,0)</f>
        <v>0</v>
      </c>
      <c r="DG61" s="58">
        <f>IF(DAY(INDEX('Сводный годовой график'!$BA$4:$BL$14,$C60,MONTH($B$54)))=AA$3,1,0)</f>
        <v>0</v>
      </c>
      <c r="DH61" s="58">
        <f>IF(DAY(INDEX('Сводный годовой график'!$BA$4:$BL$14,$C60,MONTH($B$54)))=AB$3,1,0)</f>
        <v>0</v>
      </c>
      <c r="DI61" s="58">
        <f>IF(DAY(INDEX('Сводный годовой график'!$BA$4:$BL$14,$C60,MONTH($B$54)))=AC$3,1,0)</f>
        <v>0</v>
      </c>
      <c r="DJ61" s="58">
        <f>IF(DAY(INDEX('Сводный годовой график'!$BA$4:$BL$14,$C60,MONTH($B$54)))=AD$3,1,0)</f>
        <v>0</v>
      </c>
      <c r="DK61" s="58">
        <f>IF(DAY(INDEX('Сводный годовой график'!$BA$4:$BL$14,$C60,MONTH($B$54)))=AE$3,1,0)</f>
        <v>0</v>
      </c>
      <c r="DL61" s="58">
        <f>IF(DAY(INDEX('Сводный годовой график'!$BA$4:$BL$14,$C60,MONTH($B$54)))=AF$3,1,0)</f>
        <v>0</v>
      </c>
      <c r="DM61" s="58">
        <f>IF(DAY(INDEX('Сводный годовой график'!$BA$4:$BL$14,$C60,MONTH($B$54)))=AG$3,1,0)</f>
        <v>0</v>
      </c>
      <c r="DN61" s="58">
        <f>IF(DAY(INDEX('Сводный годовой график'!$BA$4:$BL$14,$C60,MONTH($B$54)))=AH$3,1,0)</f>
        <v>0</v>
      </c>
      <c r="DO61" s="58">
        <f>IF(DAY(INDEX('Сводный годовой график'!$BA$4:$BL$14,$C60,MONTH($B$54)))=AI$3,1,0)</f>
        <v>0</v>
      </c>
    </row>
    <row r="62" spans="2:119" ht="16.5" thickBot="1" x14ac:dyDescent="0.3">
      <c r="B62" s="201"/>
      <c r="C62" s="196">
        <v>5</v>
      </c>
      <c r="D62" s="81">
        <v>9</v>
      </c>
      <c r="E62" s="96" t="s">
        <v>36</v>
      </c>
      <c r="F62" s="92" t="s">
        <v>36</v>
      </c>
      <c r="G62" s="92" t="s">
        <v>36</v>
      </c>
      <c r="H62" s="92" t="s">
        <v>36</v>
      </c>
      <c r="I62" s="92" t="s">
        <v>36</v>
      </c>
      <c r="J62" s="92" t="s">
        <v>36</v>
      </c>
      <c r="K62" s="92" t="s">
        <v>36</v>
      </c>
      <c r="L62" s="92" t="s">
        <v>36</v>
      </c>
      <c r="M62" s="92" t="s">
        <v>36</v>
      </c>
      <c r="N62" s="92" t="s">
        <v>36</v>
      </c>
      <c r="O62" s="92" t="s">
        <v>36</v>
      </c>
      <c r="P62" s="92" t="s">
        <v>36</v>
      </c>
      <c r="Q62" s="92" t="s">
        <v>36</v>
      </c>
      <c r="R62" s="92" t="s">
        <v>36</v>
      </c>
      <c r="S62" s="92" t="s">
        <v>36</v>
      </c>
      <c r="T62" s="92" t="s">
        <v>36</v>
      </c>
      <c r="U62" s="92" t="s">
        <v>36</v>
      </c>
      <c r="V62" s="92" t="s">
        <v>36</v>
      </c>
      <c r="W62" s="92" t="s">
        <v>36</v>
      </c>
      <c r="X62" s="92" t="s">
        <v>36</v>
      </c>
      <c r="Y62" s="92" t="s">
        <v>36</v>
      </c>
      <c r="Z62" s="92" t="s">
        <v>36</v>
      </c>
      <c r="AA62" s="92" t="s">
        <v>36</v>
      </c>
      <c r="AB62" s="92" t="s">
        <v>36</v>
      </c>
      <c r="AC62" s="92" t="s">
        <v>36</v>
      </c>
      <c r="AD62" s="92" t="s">
        <v>36</v>
      </c>
      <c r="AE62" s="92" t="s">
        <v>36</v>
      </c>
      <c r="AF62" s="92" t="s">
        <v>36</v>
      </c>
      <c r="AG62" s="92" t="s">
        <v>36</v>
      </c>
      <c r="AH62" s="92" t="s">
        <v>36</v>
      </c>
      <c r="AI62" s="110"/>
      <c r="AJ62" s="206"/>
      <c r="AK62" s="177">
        <f>$AJ$54-SUM(AY62:CC63)</f>
        <v>151</v>
      </c>
      <c r="AL62" s="177">
        <f t="shared" ref="AL62" si="106">SUM(E62:AI63)</f>
        <v>0</v>
      </c>
      <c r="AM62" s="177">
        <f>SUM(P62)</f>
        <v>0</v>
      </c>
      <c r="AN62" s="198">
        <f t="shared" ref="AN62" si="107">-AM62-AK62+AL62</f>
        <v>-151</v>
      </c>
      <c r="AO62" s="198">
        <v>0</v>
      </c>
      <c r="AP62" s="198">
        <f t="shared" ref="AP62" si="108">AN62+AP52</f>
        <v>-957</v>
      </c>
      <c r="AQ62" s="177">
        <v>0</v>
      </c>
      <c r="AR62" s="179">
        <v>1</v>
      </c>
      <c r="CK62" s="59"/>
      <c r="CL62" s="59"/>
      <c r="CM62" s="59"/>
      <c r="CN62" s="59"/>
      <c r="CO62" s="59"/>
      <c r="CP62" s="59"/>
      <c r="CQ62" s="59"/>
      <c r="CR62" s="59"/>
      <c r="CS62" s="59"/>
      <c r="CT62" s="59"/>
      <c r="CU62" s="59"/>
      <c r="CV62" s="59"/>
      <c r="CW62" s="59"/>
      <c r="CX62" s="59"/>
      <c r="CY62" s="59"/>
      <c r="CZ62" s="59"/>
      <c r="DA62" s="59"/>
      <c r="DB62" s="59"/>
      <c r="DC62" s="59"/>
      <c r="DD62" s="59"/>
      <c r="DE62" s="59"/>
      <c r="DF62" s="59"/>
      <c r="DG62" s="59"/>
      <c r="DH62" s="59"/>
      <c r="DI62" s="59"/>
      <c r="DJ62" s="59"/>
      <c r="DK62" s="59"/>
      <c r="DL62" s="59"/>
      <c r="DM62" s="59"/>
      <c r="DN62" s="59"/>
      <c r="DO62" s="59"/>
    </row>
    <row r="63" spans="2:119" ht="16.5" thickBot="1" x14ac:dyDescent="0.3">
      <c r="B63" s="202"/>
      <c r="C63" s="197"/>
      <c r="D63" s="82">
        <v>10</v>
      </c>
      <c r="E63" s="84" t="str">
        <f t="shared" ref="E63:AH63" si="109">IF(INDEX($CK$4:$DO$123,ROW()-3,E$3)=0,"","СП")</f>
        <v/>
      </c>
      <c r="F63" s="29" t="str">
        <f t="shared" si="109"/>
        <v/>
      </c>
      <c r="G63" s="29" t="str">
        <f t="shared" si="109"/>
        <v/>
      </c>
      <c r="H63" s="29" t="str">
        <f t="shared" si="109"/>
        <v/>
      </c>
      <c r="I63" s="29" t="str">
        <f t="shared" si="109"/>
        <v/>
      </c>
      <c r="J63" s="29" t="str">
        <f t="shared" si="109"/>
        <v/>
      </c>
      <c r="K63" s="29" t="str">
        <f t="shared" si="109"/>
        <v/>
      </c>
      <c r="L63" s="29" t="str">
        <f t="shared" si="109"/>
        <v/>
      </c>
      <c r="M63" s="29" t="str">
        <f t="shared" si="109"/>
        <v/>
      </c>
      <c r="N63" s="29" t="str">
        <f t="shared" si="109"/>
        <v>СП</v>
      </c>
      <c r="O63" s="29" t="str">
        <f t="shared" si="109"/>
        <v/>
      </c>
      <c r="P63" s="29" t="str">
        <f t="shared" si="109"/>
        <v/>
      </c>
      <c r="Q63" s="29" t="str">
        <f t="shared" si="109"/>
        <v/>
      </c>
      <c r="R63" s="29" t="str">
        <f t="shared" si="109"/>
        <v/>
      </c>
      <c r="S63" s="29" t="str">
        <f t="shared" si="109"/>
        <v/>
      </c>
      <c r="T63" s="29" t="str">
        <f t="shared" si="109"/>
        <v/>
      </c>
      <c r="U63" s="29" t="str">
        <f t="shared" si="109"/>
        <v/>
      </c>
      <c r="V63" s="29" t="str">
        <f t="shared" si="109"/>
        <v/>
      </c>
      <c r="W63" s="29" t="str">
        <f t="shared" si="109"/>
        <v/>
      </c>
      <c r="X63" s="29" t="str">
        <f t="shared" si="109"/>
        <v/>
      </c>
      <c r="Y63" s="29" t="str">
        <f t="shared" si="109"/>
        <v/>
      </c>
      <c r="Z63" s="29" t="str">
        <f t="shared" si="109"/>
        <v/>
      </c>
      <c r="AA63" s="29" t="str">
        <f t="shared" si="109"/>
        <v/>
      </c>
      <c r="AB63" s="29" t="str">
        <f t="shared" si="109"/>
        <v/>
      </c>
      <c r="AC63" s="29" t="str">
        <f t="shared" si="109"/>
        <v/>
      </c>
      <c r="AD63" s="29" t="str">
        <f t="shared" si="109"/>
        <v/>
      </c>
      <c r="AE63" s="29" t="str">
        <f t="shared" si="109"/>
        <v/>
      </c>
      <c r="AF63" s="29" t="str">
        <f t="shared" si="109"/>
        <v/>
      </c>
      <c r="AG63" s="29" t="str">
        <f t="shared" si="109"/>
        <v/>
      </c>
      <c r="AH63" s="29" t="str">
        <f t="shared" si="109"/>
        <v/>
      </c>
      <c r="AI63" s="111"/>
      <c r="AJ63" s="207"/>
      <c r="AK63" s="178"/>
      <c r="AL63" s="178"/>
      <c r="AM63" s="178"/>
      <c r="AN63" s="199"/>
      <c r="AO63" s="199"/>
      <c r="AP63" s="199"/>
      <c r="AQ63" s="178"/>
      <c r="AR63" s="180"/>
      <c r="CK63" s="58">
        <f>IF(DAY(INDEX('Сводный годовой график'!$BA$4:$BL$14,$C62,MONTH($B$54)))=E$3,1,0)</f>
        <v>0</v>
      </c>
      <c r="CL63" s="58">
        <f>IF(DAY(INDEX('Сводный годовой график'!$BA$4:$BL$14,$C62,MONTH($B$54)))=F$3,1,0)</f>
        <v>0</v>
      </c>
      <c r="CM63" s="58">
        <f>IF(DAY(INDEX('Сводный годовой график'!$BA$4:$BL$14,$C62,MONTH($B$54)))=G$3,1,0)</f>
        <v>0</v>
      </c>
      <c r="CN63" s="58">
        <f>IF(DAY(INDEX('Сводный годовой график'!$BA$4:$BL$14,$C62,MONTH($B$54)))=H$3,1,0)</f>
        <v>0</v>
      </c>
      <c r="CO63" s="58">
        <f>IF(DAY(INDEX('Сводный годовой график'!$BA$4:$BL$14,$C62,MONTH($B$54)))=I$3,1,0)</f>
        <v>0</v>
      </c>
      <c r="CP63" s="58">
        <f>IF(DAY(INDEX('Сводный годовой график'!$BA$4:$BL$14,$C62,MONTH($B$54)))=J$3,1,0)</f>
        <v>0</v>
      </c>
      <c r="CQ63" s="58">
        <f>IF(DAY(INDEX('Сводный годовой график'!$BA$4:$BL$14,$C62,MONTH($B$54)))=K$3,1,0)</f>
        <v>0</v>
      </c>
      <c r="CR63" s="58">
        <f>IF(DAY(INDEX('Сводный годовой график'!$BA$4:$BL$14,$C62,MONTH($B$54)))=L$3,1,0)</f>
        <v>0</v>
      </c>
      <c r="CS63" s="58">
        <f>IF(DAY(INDEX('Сводный годовой график'!$BA$4:$BL$14,$C62,MONTH($B$54)))=M$3,1,0)</f>
        <v>0</v>
      </c>
      <c r="CT63" s="58">
        <f>IF(DAY(INDEX('Сводный годовой график'!$BA$4:$BL$14,$C62,MONTH($B$54)))=N$3,1,0)</f>
        <v>1</v>
      </c>
      <c r="CU63" s="58">
        <f>IF(DAY(INDEX('Сводный годовой график'!$BA$4:$BL$14,$C62,MONTH($B$54)))=O$3,1,0)</f>
        <v>0</v>
      </c>
      <c r="CV63" s="58">
        <f>IF(DAY(INDEX('Сводный годовой график'!$BA$4:$BL$14,$C62,MONTH($B$54)))=P$3,1,0)</f>
        <v>0</v>
      </c>
      <c r="CW63" s="58">
        <f>IF(DAY(INDEX('Сводный годовой график'!$BA$4:$BL$14,$C62,MONTH($B$54)))=Q$3,1,0)</f>
        <v>0</v>
      </c>
      <c r="CX63" s="58">
        <f>IF(DAY(INDEX('Сводный годовой график'!$BA$4:$BL$14,$C62,MONTH($B$54)))=R$3,1,0)</f>
        <v>0</v>
      </c>
      <c r="CY63" s="58">
        <f>IF(DAY(INDEX('Сводный годовой график'!$BA$4:$BL$14,$C62,MONTH($B$54)))=S$3,1,0)</f>
        <v>0</v>
      </c>
      <c r="CZ63" s="58">
        <f>IF(DAY(INDEX('Сводный годовой график'!$BA$4:$BL$14,$C62,MONTH($B$54)))=T$3,1,0)</f>
        <v>0</v>
      </c>
      <c r="DA63" s="58">
        <f>IF(DAY(INDEX('Сводный годовой график'!$BA$4:$BL$14,$C62,MONTH($B$54)))=U$3,1,0)</f>
        <v>0</v>
      </c>
      <c r="DB63" s="58">
        <f>IF(DAY(INDEX('Сводный годовой график'!$BA$4:$BL$14,$C62,MONTH($B$54)))=V$3,1,0)</f>
        <v>0</v>
      </c>
      <c r="DC63" s="58">
        <f>IF(DAY(INDEX('Сводный годовой график'!$BA$4:$BL$14,$C62,MONTH($B$54)))=W$3,1,0)</f>
        <v>0</v>
      </c>
      <c r="DD63" s="58">
        <f>IF(DAY(INDEX('Сводный годовой график'!$BA$4:$BL$14,$C62,MONTH($B$54)))=X$3,1,0)</f>
        <v>0</v>
      </c>
      <c r="DE63" s="58">
        <f>IF(DAY(INDEX('Сводный годовой график'!$BA$4:$BL$14,$C62,MONTH($B$54)))=Y$3,1,0)</f>
        <v>0</v>
      </c>
      <c r="DF63" s="58">
        <f>IF(DAY(INDEX('Сводный годовой график'!$BA$4:$BL$14,$C62,MONTH($B$54)))=Z$3,1,0)</f>
        <v>0</v>
      </c>
      <c r="DG63" s="58">
        <f>IF(DAY(INDEX('Сводный годовой график'!$BA$4:$BL$14,$C62,MONTH($B$54)))=AA$3,1,0)</f>
        <v>0</v>
      </c>
      <c r="DH63" s="58">
        <f>IF(DAY(INDEX('Сводный годовой график'!$BA$4:$BL$14,$C62,MONTH($B$54)))=AB$3,1,0)</f>
        <v>0</v>
      </c>
      <c r="DI63" s="58">
        <f>IF(DAY(INDEX('Сводный годовой график'!$BA$4:$BL$14,$C62,MONTH($B$54)))=AC$3,1,0)</f>
        <v>0</v>
      </c>
      <c r="DJ63" s="58">
        <f>IF(DAY(INDEX('Сводный годовой график'!$BA$4:$BL$14,$C62,MONTH($B$54)))=AD$3,1,0)</f>
        <v>0</v>
      </c>
      <c r="DK63" s="58">
        <f>IF(DAY(INDEX('Сводный годовой график'!$BA$4:$BL$14,$C62,MONTH($B$54)))=AE$3,1,0)</f>
        <v>0</v>
      </c>
      <c r="DL63" s="58">
        <f>IF(DAY(INDEX('Сводный годовой график'!$BA$4:$BL$14,$C62,MONTH($B$54)))=AF$3,1,0)</f>
        <v>0</v>
      </c>
      <c r="DM63" s="58">
        <f>IF(DAY(INDEX('Сводный годовой график'!$BA$4:$BL$14,$C62,MONTH($B$54)))=AG$3,1,0)</f>
        <v>0</v>
      </c>
      <c r="DN63" s="58">
        <f>IF(DAY(INDEX('Сводный годовой график'!$BA$4:$BL$14,$C62,MONTH($B$54)))=AH$3,1,0)</f>
        <v>0</v>
      </c>
      <c r="DO63" s="58">
        <f>IF(DAY(INDEX('Сводный годовой график'!$BA$4:$BL$14,$C62,MONTH($B$54)))=AI$3,1,0)</f>
        <v>0</v>
      </c>
    </row>
    <row r="64" spans="2:119" ht="17.25" customHeight="1" thickTop="1" thickBot="1" x14ac:dyDescent="0.3">
      <c r="B64" s="200">
        <f>DATE($AV$1,7,1)</f>
        <v>45839</v>
      </c>
      <c r="C64" s="196">
        <v>1</v>
      </c>
      <c r="D64" s="81">
        <v>1</v>
      </c>
      <c r="E64" s="86" t="e">
        <f ca="1">IF(AND(INDEX('Сводный годовой график'!$C$1:$AR$4,MATCH($C$64,'Сводный годовой график'!$B$1:$B$4),MATCH(DATE($AV$1,MONTH($B$64),E$3),'Сводный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график'!$B$1:$B$4),MATCH(DATE($AV$1,MONTH($B$64),E$3),'Сводный годовой график'!$C$11:$AR$11)))</f>
        <v>#N/A</v>
      </c>
      <c r="F64" s="27" t="e">
        <f ca="1">IF(AND(INDEX('Сводный годовой график'!$C$1:$AR$4,MATCH($C$64,'Сводный годовой график'!$B$1:$B$4),MATCH(DATE($AV$1,MONTH($B$64),F$3),'Сводный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график'!$B$1:$B$4),MATCH(DATE($AV$1,MONTH($B$64),F$3),'Сводный годовой график'!$C$11:$AR$11)))</f>
        <v>#N/A</v>
      </c>
      <c r="G64" s="27" t="e">
        <f ca="1">IF(AND(INDEX('Сводный годовой график'!$C$1:$AR$4,MATCH($C$64,'Сводный годовой график'!$B$1:$B$4),MATCH(DATE($AV$1,MONTH($B$64),G$3),'Сводный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график'!$B$1:$B$4),MATCH(DATE($AV$1,MONTH($B$64),G$3),'Сводный годовой график'!$C$11:$AR$11)))</f>
        <v>#N/A</v>
      </c>
      <c r="H64" s="27" t="e">
        <f ca="1">IF(AND(INDEX('Сводный годовой график'!$C$1:$AR$4,MATCH($C$64,'Сводный годовой график'!$B$1:$B$4),MATCH(DATE($AV$1,MONTH($B$64),H$3),'Сводный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график'!$B$1:$B$4),MATCH(DATE($AV$1,MONTH($B$64),H$3),'Сводный годовой график'!$C$11:$AR$11)))</f>
        <v>#N/A</v>
      </c>
      <c r="I64" s="27" t="e">
        <f ca="1">IF(AND(INDEX('Сводный годовой график'!$C$1:$AR$4,MATCH($C$64,'Сводный годовой график'!$B$1:$B$4),MATCH(DATE($AV$1,MONTH($B$64),I$3),'Сводный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график'!$B$1:$B$4),MATCH(DATE($AV$1,MONTH($B$64),I$3),'Сводный годовой график'!$C$11:$AR$11)))</f>
        <v>#N/A</v>
      </c>
      <c r="J64" s="27" t="e">
        <f ca="1">IF(AND(INDEX('Сводный годовой график'!$C$1:$AR$4,MATCH($C$64,'Сводный годовой график'!$B$1:$B$4),MATCH(DATE($AV$1,MONTH($B$64),J$3),'Сводный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график'!$B$1:$B$4),MATCH(DATE($AV$1,MONTH($B$64),J$3),'Сводный годовой график'!$C$11:$AR$11)))</f>
        <v>#N/A</v>
      </c>
      <c r="K64" s="27" t="e">
        <f ca="1">IF(AND(INDEX('Сводный годовой график'!$C$1:$AR$4,MATCH($C$64,'Сводный годовой график'!$B$1:$B$4),MATCH(DATE($AV$1,MONTH($B$64),K$3),'Сводный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график'!$B$1:$B$4),MATCH(DATE($AV$1,MONTH($B$64),K$3),'Сводный годовой график'!$C$11:$AR$11)))</f>
        <v>#N/A</v>
      </c>
      <c r="L64" s="27" t="e">
        <f ca="1">IF(AND(INDEX('Сводный годовой график'!$C$1:$AR$4,MATCH($C$64,'Сводный годовой график'!$B$1:$B$4),MATCH(DATE($AV$1,MONTH($B$64),L$3),'Сводный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график'!$B$1:$B$4),MATCH(DATE($AV$1,MONTH($B$64),L$3),'Сводный годовой график'!$C$11:$AR$11)))</f>
        <v>#N/A</v>
      </c>
      <c r="M64" s="27" t="e">
        <f ca="1">IF(AND(INDEX('Сводный годовой график'!$C$1:$AR$4,MATCH($C$64,'Сводный годовой график'!$B$1:$B$4),MATCH(DATE($AV$1,MONTH($B$64),M$3),'Сводный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график'!$B$1:$B$4),MATCH(DATE($AV$1,MONTH($B$64),M$3),'Сводный годовой график'!$C$11:$AR$11)))</f>
        <v>#N/A</v>
      </c>
      <c r="N64" s="27" t="e">
        <f ca="1">IF(AND(INDEX('Сводный годовой график'!$C$1:$AR$4,MATCH($C$64,'Сводный годовой график'!$B$1:$B$4),MATCH(DATE($AV$1,MONTH($B$64),N$3),'Сводный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график'!$B$1:$B$4),MATCH(DATE($AV$1,MONTH($B$64),N$3),'Сводный годовой график'!$C$11:$AR$11)))</f>
        <v>#N/A</v>
      </c>
      <c r="O64" s="27" t="e">
        <f ca="1">IF(AND(INDEX('Сводный годовой график'!$C$1:$AR$4,MATCH($C$64,'Сводный годовой график'!$B$1:$B$4),MATCH(DATE($AV$1,MONTH($B$64),O$3),'Сводный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график'!$B$1:$B$4),MATCH(DATE($AV$1,MONTH($B$64),O$3),'Сводный годовой график'!$C$11:$AR$11)))</f>
        <v>#N/A</v>
      </c>
      <c r="P64" s="27" t="e">
        <f ca="1">IF(AND(INDEX('Сводный годовой график'!$C$1:$AR$4,MATCH($C$64,'Сводный годовой график'!$B$1:$B$4),MATCH(DATE($AV$1,MONTH($B$64),P$3),'Сводный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график'!$B$1:$B$4),MATCH(DATE($AV$1,MONTH($B$64),P$3),'Сводный годовой график'!$C$11:$AR$11)))</f>
        <v>#N/A</v>
      </c>
      <c r="Q64" s="27" t="e">
        <f ca="1">IF(AND(INDEX('Сводный годовой график'!$C$1:$AR$4,MATCH($C$64,'Сводный годовой график'!$B$1:$B$4),MATCH(DATE($AV$1,MONTH($B$64),Q$3),'Сводный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график'!$B$1:$B$4),MATCH(DATE($AV$1,MONTH($B$64),Q$3),'Сводный годовой график'!$C$11:$AR$11)))</f>
        <v>#N/A</v>
      </c>
      <c r="R64" s="27" t="e">
        <f ca="1">IF(AND(INDEX('Сводный годовой график'!$C$1:$AR$4,MATCH($C$64,'Сводный годовой график'!$B$1:$B$4),MATCH(DATE($AV$1,MONTH($B$64),R$3),'Сводный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график'!$B$1:$B$4),MATCH(DATE($AV$1,MONTH($B$64),R$3),'Сводный годовой график'!$C$11:$AR$11)))</f>
        <v>#N/A</v>
      </c>
      <c r="S64" s="27" t="e">
        <f ca="1">IF(AND(INDEX('Сводный годовой график'!$C$1:$AR$4,MATCH($C$64,'Сводный годовой график'!$B$1:$B$4),MATCH(DATE($AV$1,MONTH($B$64),S$3),'Сводный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график'!$B$1:$B$4),MATCH(DATE($AV$1,MONTH($B$64),S$3),'Сводный годовой график'!$C$11:$AR$11)))</f>
        <v>#N/A</v>
      </c>
      <c r="T64" s="27" t="e">
        <f ca="1">IF(AND(INDEX('Сводный годовой график'!$C$1:$AR$4,MATCH($C$64,'Сводный годовой график'!$B$1:$B$4),MATCH(DATE($AV$1,MONTH($B$64),T$3),'Сводный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график'!$B$1:$B$4),MATCH(DATE($AV$1,MONTH($B$64),T$3),'Сводный годовой график'!$C$11:$AR$11)))</f>
        <v>#N/A</v>
      </c>
      <c r="U64" s="27" t="e">
        <f ca="1">IF(AND(INDEX('Сводный годовой график'!$C$1:$AR$4,MATCH($C$64,'Сводный годовой график'!$B$1:$B$4),MATCH(DATE($AV$1,MONTH($B$64),U$3),'Сводный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график'!$B$1:$B$4),MATCH(DATE($AV$1,MONTH($B$64),U$3),'Сводный годовой график'!$C$11:$AR$11)))</f>
        <v>#N/A</v>
      </c>
      <c r="V64" s="27" t="e">
        <f ca="1">IF(AND(INDEX('Сводный годовой график'!$C$1:$AR$4,MATCH($C$64,'Сводный годовой график'!$B$1:$B$4),MATCH(DATE($AV$1,MONTH($B$64),V$3),'Сводный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график'!$B$1:$B$4),MATCH(DATE($AV$1,MONTH($B$64),V$3),'Сводный годовой график'!$C$11:$AR$11)))</f>
        <v>#N/A</v>
      </c>
      <c r="W64" s="27" t="e">
        <f ca="1">IF(AND(INDEX('Сводный годовой график'!$C$1:$AR$4,MATCH($C$64,'Сводный годовой график'!$B$1:$B$4),MATCH(DATE($AV$1,MONTH($B$64),W$3),'Сводный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график'!$B$1:$B$4),MATCH(DATE($AV$1,MONTH($B$64),W$3),'Сводный годовой график'!$C$11:$AR$11)))</f>
        <v>#N/A</v>
      </c>
      <c r="X64" s="27" t="e">
        <f ca="1">IF(AND(INDEX('Сводный годовой график'!$C$1:$AR$4,MATCH($C$64,'Сводный годовой график'!$B$1:$B$4),MATCH(DATE($AV$1,MONTH($B$64),X$3),'Сводный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график'!$B$1:$B$4),MATCH(DATE($AV$1,MONTH($B$64),X$3),'Сводный годовой график'!$C$11:$AR$11)))</f>
        <v>#N/A</v>
      </c>
      <c r="Y64" s="27" t="e">
        <f ca="1">IF(AND(INDEX('Сводный годовой график'!$C$1:$AR$4,MATCH($C$64,'Сводный годовой график'!$B$1:$B$4),MATCH(DATE($AV$1,MONTH($B$64),Y$3),'Сводный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график'!$B$1:$B$4),MATCH(DATE($AV$1,MONTH($B$64),Y$3),'Сводный годовой график'!$C$11:$AR$11)))</f>
        <v>#N/A</v>
      </c>
      <c r="Z64" s="27" t="e">
        <f ca="1">IF(AND(INDEX('Сводный годовой график'!$C$1:$AR$4,MATCH($C$64,'Сводный годовой график'!$B$1:$B$4),MATCH(DATE($AV$1,MONTH($B$64),Z$3),'Сводный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график'!$B$1:$B$4),MATCH(DATE($AV$1,MONTH($B$64),Z$3),'Сводный годовой график'!$C$11:$AR$11)))</f>
        <v>#N/A</v>
      </c>
      <c r="AA64" s="27" t="e">
        <f ca="1">IF(AND(INDEX('Сводный годовой график'!$C$1:$AR$4,MATCH($C$64,'Сводный годовой график'!$B$1:$B$4),MATCH(DATE($AV$1,MONTH($B$64),AA$3),'Сводный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график'!$B$1:$B$4),MATCH(DATE($AV$1,MONTH($B$64),AA$3),'Сводный годовой график'!$C$11:$AR$11)))</f>
        <v>#N/A</v>
      </c>
      <c r="AB64" s="27" t="e">
        <f ca="1">IF(AND(INDEX('Сводный годовой график'!$C$1:$AR$4,MATCH($C$64,'Сводный годовой график'!$B$1:$B$4),MATCH(DATE($AV$1,MONTH($B$64),AB$3),'Сводный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график'!$B$1:$B$4),MATCH(DATE($AV$1,MONTH($B$64),AB$3),'Сводный годовой график'!$C$11:$AR$11)))</f>
        <v>#N/A</v>
      </c>
      <c r="AC64" s="27" t="e">
        <f ca="1">IF(AND(INDEX('Сводный годовой график'!$C$1:$AR$4,MATCH($C$64,'Сводный годовой график'!$B$1:$B$4),MATCH(DATE($AV$1,MONTH($B$64),AC$3),'Сводный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график'!$B$1:$B$4),MATCH(DATE($AV$1,MONTH($B$64),AC$3),'Сводный годовой график'!$C$11:$AR$11)))</f>
        <v>#N/A</v>
      </c>
      <c r="AD64" s="27" t="e">
        <f ca="1">IF(AND(INDEX('Сводный годовой график'!$C$1:$AR$4,MATCH($C$64,'Сводный годовой график'!$B$1:$B$4),MATCH(DATE($AV$1,MONTH($B$64),AD$3),'Сводный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график'!$B$1:$B$4),MATCH(DATE($AV$1,MONTH($B$64),AD$3),'Сводный годовой график'!$C$11:$AR$11)))</f>
        <v>#N/A</v>
      </c>
      <c r="AE64" s="27" t="e">
        <f ca="1">IF(AND(INDEX('Сводный годовой график'!$C$1:$AR$4,MATCH($C$64,'Сводный годовой график'!$B$1:$B$4),MATCH(DATE($AV$1,MONTH($B$64),AE$3),'Сводный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график'!$B$1:$B$4),MATCH(DATE($AV$1,MONTH($B$64),AE$3),'Сводный годовой график'!$C$11:$AR$11)))</f>
        <v>#N/A</v>
      </c>
      <c r="AF64" s="27" t="e">
        <f ca="1">IF(AND(INDEX('Сводный годовой график'!$C$1:$AR$4,MATCH($C$64,'Сводный годовой график'!$B$1:$B$4),MATCH(DATE($AV$1,MONTH($B$64),AF$3),'Сводный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график'!$B$1:$B$4),MATCH(DATE($AV$1,MONTH($B$64),AF$3),'Сводный годовой график'!$C$11:$AR$11)))</f>
        <v>#N/A</v>
      </c>
      <c r="AG64" s="27" t="e">
        <f ca="1">IF(AND(INDEX('Сводный годовой график'!$C$1:$AR$4,MATCH($C$64,'Сводный годовой график'!$B$1:$B$4),MATCH(DATE($AV$1,MONTH($B$64),AG$3),'Сводный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график'!$B$1:$B$4),MATCH(DATE($AV$1,MONTH($B$64),AG$3),'Сводный годовой график'!$C$11:$AR$11)))</f>
        <v>#N/A</v>
      </c>
      <c r="AH64" s="27" t="e">
        <f ca="1">IF(AND(INDEX('Сводный годовой график'!$C$1:$AR$4,MATCH($C$64,'Сводный годовой график'!$B$1:$B$4),MATCH(DATE($AV$1,MONTH($B$64),AH$3),'Сводный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график'!$B$1:$B$4),MATCH(DATE($AV$1,MONTH($B$64),AH$3),'Сводный годовой график'!$C$11:$AR$11)))</f>
        <v>#N/A</v>
      </c>
      <c r="AI64" s="98" t="e">
        <f ca="1">IF(AND(INDEX('Сводный годовой график'!$C$1:$AR$4,MATCH($C$64,'Сводный годовой график'!$B$1:$B$4),MATCH(DATE($AV$1,MONTH($B$64),AI$3),'Сводный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график'!$B$1:$B$4),MATCH(DATE($AV$1,MONTH($B$64),AI$3),'Сводный годовой график'!$C$11:$AR$11)))</f>
        <v>#N/A</v>
      </c>
      <c r="AJ64" s="205">
        <f>INDEX(Подключения!$D$3:$H$14,MONTH(B64),5)</f>
        <v>184</v>
      </c>
      <c r="AK64" s="219">
        <f>$AJ$64-SUM(AY64:CC65)</f>
        <v>184</v>
      </c>
      <c r="AL64" s="216" t="e">
        <f t="shared" ref="AL64" ca="1" si="110">SUM(E64:AI65)</f>
        <v>#N/A</v>
      </c>
      <c r="AM64" s="216">
        <v>0</v>
      </c>
      <c r="AN64" s="218" t="e">
        <f t="shared" ref="AN64" ca="1" si="111">-AM64-AK64+AL64</f>
        <v>#N/A</v>
      </c>
      <c r="AO64" s="218">
        <v>0</v>
      </c>
      <c r="AP64" s="218" t="e">
        <f ca="1">AN64+AP54-AO64</f>
        <v>#N/A</v>
      </c>
      <c r="AQ64" s="216">
        <v>0</v>
      </c>
      <c r="AR64" s="217">
        <v>1</v>
      </c>
      <c r="AS64" s="21"/>
      <c r="AT64" s="21"/>
      <c r="AV64">
        <f ca="1">INDIRECT(ADDRESS(ROW()+1,COLUMN()))</f>
        <v>0</v>
      </c>
      <c r="CK64" s="59"/>
      <c r="CL64" s="59"/>
      <c r="CM64" s="59"/>
      <c r="CN64" s="59"/>
      <c r="CO64" s="59"/>
      <c r="CP64" s="59"/>
      <c r="CQ64" s="59"/>
      <c r="CR64" s="59"/>
      <c r="CS64" s="59"/>
      <c r="CT64" s="59"/>
      <c r="CU64" s="59"/>
      <c r="CV64" s="59"/>
      <c r="CW64" s="59"/>
      <c r="CX64" s="59"/>
      <c r="CY64" s="59"/>
      <c r="CZ64" s="59"/>
      <c r="DA64" s="59"/>
      <c r="DB64" s="59"/>
      <c r="DC64" s="59"/>
      <c r="DD64" s="59"/>
      <c r="DE64" s="59"/>
      <c r="DF64" s="59"/>
      <c r="DG64" s="59"/>
      <c r="DH64" s="59"/>
      <c r="DI64" s="59"/>
      <c r="DJ64" s="59"/>
      <c r="DK64" s="59"/>
      <c r="DL64" s="59"/>
      <c r="DM64" s="59"/>
      <c r="DN64" s="59"/>
      <c r="DO64" s="59"/>
    </row>
    <row r="65" spans="2:119" ht="16.5" thickBot="1" x14ac:dyDescent="0.3">
      <c r="B65" s="201"/>
      <c r="C65" s="197"/>
      <c r="D65" s="82">
        <v>2</v>
      </c>
      <c r="E65" s="96" t="str">
        <f t="shared" ref="E65:AI65" si="112">IF(INDEX($CK$4:$DO$123,ROW()-3,E$3)=0,"","СП")</f>
        <v/>
      </c>
      <c r="F65" s="92" t="str">
        <f t="shared" si="112"/>
        <v/>
      </c>
      <c r="G65" s="92" t="str">
        <f t="shared" si="112"/>
        <v/>
      </c>
      <c r="H65" s="92" t="str">
        <f t="shared" si="112"/>
        <v/>
      </c>
      <c r="I65" s="92" t="str">
        <f t="shared" si="112"/>
        <v/>
      </c>
      <c r="J65" s="92" t="str">
        <f t="shared" si="112"/>
        <v/>
      </c>
      <c r="K65" s="92" t="str">
        <f t="shared" si="112"/>
        <v>СП</v>
      </c>
      <c r="L65" s="92" t="str">
        <f t="shared" si="112"/>
        <v/>
      </c>
      <c r="M65" s="92" t="str">
        <f t="shared" si="112"/>
        <v/>
      </c>
      <c r="N65" s="92" t="str">
        <f t="shared" si="112"/>
        <v/>
      </c>
      <c r="O65" s="92" t="str">
        <f t="shared" si="112"/>
        <v/>
      </c>
      <c r="P65" s="92" t="str">
        <f t="shared" si="112"/>
        <v/>
      </c>
      <c r="Q65" s="92" t="str">
        <f t="shared" si="112"/>
        <v/>
      </c>
      <c r="R65" s="92" t="str">
        <f t="shared" si="112"/>
        <v/>
      </c>
      <c r="S65" s="92" t="str">
        <f t="shared" si="112"/>
        <v/>
      </c>
      <c r="T65" s="92" t="str">
        <f t="shared" si="112"/>
        <v/>
      </c>
      <c r="U65" s="92" t="str">
        <f t="shared" si="112"/>
        <v/>
      </c>
      <c r="V65" s="92" t="str">
        <f t="shared" si="112"/>
        <v/>
      </c>
      <c r="W65" s="92" t="str">
        <f t="shared" si="112"/>
        <v/>
      </c>
      <c r="X65" s="92" t="str">
        <f t="shared" si="112"/>
        <v/>
      </c>
      <c r="Y65" s="92" t="str">
        <f t="shared" si="112"/>
        <v/>
      </c>
      <c r="Z65" s="92" t="str">
        <f t="shared" si="112"/>
        <v/>
      </c>
      <c r="AA65" s="92" t="str">
        <f t="shared" si="112"/>
        <v/>
      </c>
      <c r="AB65" s="92" t="str">
        <f t="shared" si="112"/>
        <v/>
      </c>
      <c r="AC65" s="92" t="str">
        <f t="shared" si="112"/>
        <v/>
      </c>
      <c r="AD65" s="92" t="str">
        <f t="shared" si="112"/>
        <v/>
      </c>
      <c r="AE65" s="92" t="str">
        <f t="shared" si="112"/>
        <v/>
      </c>
      <c r="AF65" s="92" t="str">
        <f t="shared" si="112"/>
        <v/>
      </c>
      <c r="AG65" s="92" t="str">
        <f t="shared" si="112"/>
        <v/>
      </c>
      <c r="AH65" s="92" t="str">
        <f t="shared" si="112"/>
        <v/>
      </c>
      <c r="AI65" s="97" t="str">
        <f t="shared" si="112"/>
        <v/>
      </c>
      <c r="AJ65" s="206"/>
      <c r="AK65" s="220"/>
      <c r="AL65" s="209"/>
      <c r="AM65" s="209"/>
      <c r="AN65" s="211"/>
      <c r="AO65" s="211"/>
      <c r="AP65" s="211"/>
      <c r="AQ65" s="209"/>
      <c r="AR65" s="210"/>
      <c r="CK65" s="58">
        <f>IF(DAY(INDEX('Сводный годовой график'!$BA$4:$BL$14,$C64,MONTH($B$64)))=E$3,1,0)</f>
        <v>0</v>
      </c>
      <c r="CL65" s="58">
        <f>IF(DAY(INDEX('Сводный годовой график'!$BA$4:$BL$14,$C64,MONTH($B$64)))=F$3,1,0)</f>
        <v>0</v>
      </c>
      <c r="CM65" s="58">
        <f>IF(DAY(INDEX('Сводный годовой график'!$BA$4:$BL$14,$C64,MONTH($B$64)))=G$3,1,0)</f>
        <v>0</v>
      </c>
      <c r="CN65" s="58">
        <f>IF(DAY(INDEX('Сводный годовой график'!$BA$4:$BL$14,$C64,MONTH($B$64)))=H$3,1,0)</f>
        <v>0</v>
      </c>
      <c r="CO65" s="58">
        <f>IF(DAY(INDEX('Сводный годовой график'!$BA$4:$BL$14,$C64,MONTH($B$64)))=I$3,1,0)</f>
        <v>0</v>
      </c>
      <c r="CP65" s="58">
        <f>IF(DAY(INDEX('Сводный годовой график'!$BA$4:$BL$14,$C64,MONTH($B$64)))=J$3,1,0)</f>
        <v>0</v>
      </c>
      <c r="CQ65" s="58">
        <f>IF(DAY(INDEX('Сводный годовой график'!$BA$4:$BL$14,$C64,MONTH($B$64)))=K$3,1,0)</f>
        <v>1</v>
      </c>
      <c r="CR65" s="58">
        <f>IF(DAY(INDEX('Сводный годовой график'!$BA$4:$BL$14,$C64,MONTH($B$64)))=L$3,1,0)</f>
        <v>0</v>
      </c>
      <c r="CS65" s="58">
        <f>IF(DAY(INDEX('Сводный годовой график'!$BA$4:$BL$14,$C64,MONTH($B$64)))=M$3,1,0)</f>
        <v>0</v>
      </c>
      <c r="CT65" s="58">
        <f>IF(DAY(INDEX('Сводный годовой график'!$BA$4:$BL$14,$C64,MONTH($B$64)))=N$3,1,0)</f>
        <v>0</v>
      </c>
      <c r="CU65" s="58">
        <f>IF(DAY(INDEX('Сводный годовой график'!$BA$4:$BL$14,$C64,MONTH($B$64)))=O$3,1,0)</f>
        <v>0</v>
      </c>
      <c r="CV65" s="58">
        <f>IF(DAY(INDEX('Сводный годовой график'!$BA$4:$BL$14,$C64,MONTH($B$64)))=P$3,1,0)</f>
        <v>0</v>
      </c>
      <c r="CW65" s="58">
        <f>IF(DAY(INDEX('Сводный годовой график'!$BA$4:$BL$14,$C64,MONTH($B$64)))=Q$3,1,0)</f>
        <v>0</v>
      </c>
      <c r="CX65" s="58">
        <f>IF(DAY(INDEX('Сводный годовой график'!$BA$4:$BL$14,$C64,MONTH($B$64)))=R$3,1,0)</f>
        <v>0</v>
      </c>
      <c r="CY65" s="58">
        <f>IF(DAY(INDEX('Сводный годовой график'!$BA$4:$BL$14,$C64,MONTH($B$64)))=S$3,1,0)</f>
        <v>0</v>
      </c>
      <c r="CZ65" s="58">
        <f>IF(DAY(INDEX('Сводный годовой график'!$BA$4:$BL$14,$C64,MONTH($B$64)))=T$3,1,0)</f>
        <v>0</v>
      </c>
      <c r="DA65" s="58">
        <f>IF(DAY(INDEX('Сводный годовой график'!$BA$4:$BL$14,$C64,MONTH($B$64)))=U$3,1,0)</f>
        <v>0</v>
      </c>
      <c r="DB65" s="58">
        <f>IF(DAY(INDEX('Сводный годовой график'!$BA$4:$BL$14,$C64,MONTH($B$64)))=V$3,1,0)</f>
        <v>0</v>
      </c>
      <c r="DC65" s="58">
        <f>IF(DAY(INDEX('Сводный годовой график'!$BA$4:$BL$14,$C64,MONTH($B$64)))=W$3,1,0)</f>
        <v>0</v>
      </c>
      <c r="DD65" s="58">
        <f>IF(DAY(INDEX('Сводный годовой график'!$BA$4:$BL$14,$C64,MONTH($B$64)))=X$3,1,0)</f>
        <v>0</v>
      </c>
      <c r="DE65" s="58">
        <f>IF(DAY(INDEX('Сводный годовой график'!$BA$4:$BL$14,$C64,MONTH($B$64)))=Y$3,1,0)</f>
        <v>0</v>
      </c>
      <c r="DF65" s="58">
        <f>IF(DAY(INDEX('Сводный годовой график'!$BA$4:$BL$14,$C64,MONTH($B$64)))=Z$3,1,0)</f>
        <v>0</v>
      </c>
      <c r="DG65" s="58">
        <f>IF(DAY(INDEX('Сводный годовой график'!$BA$4:$BL$14,$C64,MONTH($B$64)))=AA$3,1,0)</f>
        <v>0</v>
      </c>
      <c r="DH65" s="58">
        <f>IF(DAY(INDEX('Сводный годовой график'!$BA$4:$BL$14,$C64,MONTH($B$64)))=AB$3,1,0)</f>
        <v>0</v>
      </c>
      <c r="DI65" s="58">
        <f>IF(DAY(INDEX('Сводный годовой график'!$BA$4:$BL$14,$C64,MONTH($B$64)))=AC$3,1,0)</f>
        <v>0</v>
      </c>
      <c r="DJ65" s="58">
        <f>IF(DAY(INDEX('Сводный годовой график'!$BA$4:$BL$14,$C64,MONTH($B$64)))=AD$3,1,0)</f>
        <v>0</v>
      </c>
      <c r="DK65" s="58">
        <f>IF(DAY(INDEX('Сводный годовой график'!$BA$4:$BL$14,$C64,MONTH($B$64)))=AE$3,1,0)</f>
        <v>0</v>
      </c>
      <c r="DL65" s="58">
        <f>IF(DAY(INDEX('Сводный годовой график'!$BA$4:$BL$14,$C64,MONTH($B$64)))=AF$3,1,0)</f>
        <v>0</v>
      </c>
      <c r="DM65" s="58">
        <f>IF(DAY(INDEX('Сводный годовой график'!$BA$4:$BL$14,$C64,MONTH($B$64)))=AG$3,1,0)</f>
        <v>0</v>
      </c>
      <c r="DN65" s="58">
        <f>IF(DAY(INDEX('Сводный годовой график'!$BA$4:$BL$14,$C64,MONTH($B$64)))=AH$3,1,0)</f>
        <v>0</v>
      </c>
      <c r="DO65" s="58">
        <f>IF(DAY(INDEX('Сводный годовой график'!$BA$4:$BL$14,$C64,MONTH($B$64)))=AI$3,1,0)</f>
        <v>0</v>
      </c>
    </row>
    <row r="66" spans="2:119" ht="16.5" thickBot="1" x14ac:dyDescent="0.3">
      <c r="B66" s="201"/>
      <c r="C66" s="196">
        <v>2</v>
      </c>
      <c r="D66" s="81">
        <v>3</v>
      </c>
      <c r="E66" s="96" t="e">
        <f ca="1">IF(AND(INDEX('Сводный годовой график'!$C$1:$AR$4,MATCH($C$66,'Сводный годовой график'!$B$1:$B$4),MATCH(DATE($AV$1,MONTH($B$64),E$3),'Сводный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график'!$B$1:$B$4),MATCH(DATE($AV$1,MONTH($B$64),E$3),'Сводный годовой график'!$C$11:$AR$11)))</f>
        <v>#N/A</v>
      </c>
      <c r="F66" s="92" t="e">
        <f ca="1">IF(AND(INDEX('Сводный годовой график'!$C$1:$AR$4,MATCH($C$66,'Сводный годовой график'!$B$1:$B$4),MATCH(DATE($AV$1,MONTH($B$64),F$3),'Сводный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график'!$B$1:$B$4),MATCH(DATE($AV$1,MONTH($B$64),F$3),'Сводный годовой график'!$C$11:$AR$11)))</f>
        <v>#N/A</v>
      </c>
      <c r="G66" s="92" t="e">
        <f ca="1">IF(AND(INDEX('Сводный годовой график'!$C$1:$AR$4,MATCH($C$66,'Сводный годовой график'!$B$1:$B$4),MATCH(DATE($AV$1,MONTH($B$64),G$3),'Сводный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график'!$B$1:$B$4),MATCH(DATE($AV$1,MONTH($B$64),G$3),'Сводный годовой график'!$C$11:$AR$11)))</f>
        <v>#N/A</v>
      </c>
      <c r="H66" s="92" t="e">
        <f ca="1">IF(AND(INDEX('Сводный годовой график'!$C$1:$AR$4,MATCH($C$66,'Сводный годовой график'!$B$1:$B$4),MATCH(DATE($AV$1,MONTH($B$64),H$3),'Сводный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график'!$B$1:$B$4),MATCH(DATE($AV$1,MONTH($B$64),H$3),'Сводный годовой график'!$C$11:$AR$11)))</f>
        <v>#N/A</v>
      </c>
      <c r="I66" s="92" t="e">
        <f ca="1">IF(AND(INDEX('Сводный годовой график'!$C$1:$AR$4,MATCH($C$66,'Сводный годовой график'!$B$1:$B$4),MATCH(DATE($AV$1,MONTH($B$64),I$3),'Сводный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график'!$B$1:$B$4),MATCH(DATE($AV$1,MONTH($B$64),I$3),'Сводный годовой график'!$C$11:$AR$11)))</f>
        <v>#N/A</v>
      </c>
      <c r="J66" s="92" t="e">
        <f ca="1">IF(AND(INDEX('Сводный годовой график'!$C$1:$AR$4,MATCH($C$66,'Сводный годовой график'!$B$1:$B$4),MATCH(DATE($AV$1,MONTH($B$64),J$3),'Сводный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график'!$B$1:$B$4),MATCH(DATE($AV$1,MONTH($B$64),J$3),'Сводный годовой график'!$C$11:$AR$11)))</f>
        <v>#N/A</v>
      </c>
      <c r="K66" s="92" t="e">
        <f ca="1">IF(AND(INDEX('Сводный годовой график'!$C$1:$AR$4,MATCH($C$66,'Сводный годовой график'!$B$1:$B$4),MATCH(DATE($AV$1,MONTH($B$64),K$3),'Сводный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график'!$B$1:$B$4),MATCH(DATE($AV$1,MONTH($B$64),K$3),'Сводный годовой график'!$C$11:$AR$11)))</f>
        <v>#N/A</v>
      </c>
      <c r="L66" s="92" t="e">
        <f ca="1">IF(AND(INDEX('Сводный годовой график'!$C$1:$AR$4,MATCH($C$66,'Сводный годовой график'!$B$1:$B$4),MATCH(DATE($AV$1,MONTH($B$64),L$3),'Сводный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график'!$B$1:$B$4),MATCH(DATE($AV$1,MONTH($B$64),L$3),'Сводный годовой график'!$C$11:$AR$11)))</f>
        <v>#N/A</v>
      </c>
      <c r="M66" s="92" t="e">
        <f ca="1">IF(AND(INDEX('Сводный годовой график'!$C$1:$AR$4,MATCH($C$66,'Сводный годовой график'!$B$1:$B$4),MATCH(DATE($AV$1,MONTH($B$64),M$3),'Сводный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график'!$B$1:$B$4),MATCH(DATE($AV$1,MONTH($B$64),M$3),'Сводный годовой график'!$C$11:$AR$11)))</f>
        <v>#N/A</v>
      </c>
      <c r="N66" s="92" t="e">
        <f ca="1">IF(AND(INDEX('Сводный годовой график'!$C$1:$AR$4,MATCH($C$66,'Сводный годовой график'!$B$1:$B$4),MATCH(DATE($AV$1,MONTH($B$64),N$3),'Сводный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график'!$B$1:$B$4),MATCH(DATE($AV$1,MONTH($B$64),N$3),'Сводный годовой график'!$C$11:$AR$11)))</f>
        <v>#N/A</v>
      </c>
      <c r="O66" s="92" t="e">
        <f ca="1">IF(AND(INDEX('Сводный годовой график'!$C$1:$AR$4,MATCH($C$66,'Сводный годовой график'!$B$1:$B$4),MATCH(DATE($AV$1,MONTH($B$64),O$3),'Сводный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график'!$B$1:$B$4),MATCH(DATE($AV$1,MONTH($B$64),O$3),'Сводный годовой график'!$C$11:$AR$11)))</f>
        <v>#N/A</v>
      </c>
      <c r="P66" s="92" t="e">
        <f ca="1">IF(AND(INDEX('Сводный годовой график'!$C$1:$AR$4,MATCH($C$66,'Сводный годовой график'!$B$1:$B$4),MATCH(DATE($AV$1,MONTH($B$64),P$3),'Сводный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график'!$B$1:$B$4),MATCH(DATE($AV$1,MONTH($B$64),P$3),'Сводный годовой график'!$C$11:$AR$11)))</f>
        <v>#N/A</v>
      </c>
      <c r="Q66" s="92" t="e">
        <f ca="1">IF(AND(INDEX('Сводный годовой график'!$C$1:$AR$4,MATCH($C$66,'Сводный годовой график'!$B$1:$B$4),MATCH(DATE($AV$1,MONTH($B$64),Q$3),'Сводный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график'!$B$1:$B$4),MATCH(DATE($AV$1,MONTH($B$64),Q$3),'Сводный годовой график'!$C$11:$AR$11)))</f>
        <v>#N/A</v>
      </c>
      <c r="R66" s="92" t="e">
        <f ca="1">IF(AND(INDEX('Сводный годовой график'!$C$1:$AR$4,MATCH($C$66,'Сводный годовой график'!$B$1:$B$4),MATCH(DATE($AV$1,MONTH($B$64),R$3),'Сводный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график'!$B$1:$B$4),MATCH(DATE($AV$1,MONTH($B$64),R$3),'Сводный годовой график'!$C$11:$AR$11)))</f>
        <v>#N/A</v>
      </c>
      <c r="S66" s="92" t="e">
        <f ca="1">IF(AND(INDEX('Сводный годовой график'!$C$1:$AR$4,MATCH($C$66,'Сводный годовой график'!$B$1:$B$4),MATCH(DATE($AV$1,MONTH($B$64),S$3),'Сводный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график'!$B$1:$B$4),MATCH(DATE($AV$1,MONTH($B$64),S$3),'Сводный годовой график'!$C$11:$AR$11)))</f>
        <v>#N/A</v>
      </c>
      <c r="T66" s="92" t="e">
        <f ca="1">IF(AND(INDEX('Сводный годовой график'!$C$1:$AR$4,MATCH($C$66,'Сводный годовой график'!$B$1:$B$4),MATCH(DATE($AV$1,MONTH($B$64),T$3),'Сводный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график'!$B$1:$B$4),MATCH(DATE($AV$1,MONTH($B$64),T$3),'Сводный годовой график'!$C$11:$AR$11)))</f>
        <v>#N/A</v>
      </c>
      <c r="U66" s="92" t="e">
        <f ca="1">IF(AND(INDEX('Сводный годовой график'!$C$1:$AR$4,MATCH($C$66,'Сводный годовой график'!$B$1:$B$4),MATCH(DATE($AV$1,MONTH($B$64),U$3),'Сводный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график'!$B$1:$B$4),MATCH(DATE($AV$1,MONTH($B$64),U$3),'Сводный годовой график'!$C$11:$AR$11)))</f>
        <v>#N/A</v>
      </c>
      <c r="V66" s="92" t="e">
        <f ca="1">IF(AND(INDEX('Сводный годовой график'!$C$1:$AR$4,MATCH($C$66,'Сводный годовой график'!$B$1:$B$4),MATCH(DATE($AV$1,MONTH($B$64),V$3),'Сводный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график'!$B$1:$B$4),MATCH(DATE($AV$1,MONTH($B$64),V$3),'Сводный годовой график'!$C$11:$AR$11)))</f>
        <v>#N/A</v>
      </c>
      <c r="W66" s="92" t="e">
        <f ca="1">IF(AND(INDEX('Сводный годовой график'!$C$1:$AR$4,MATCH($C$66,'Сводный годовой график'!$B$1:$B$4),MATCH(DATE($AV$1,MONTH($B$64),W$3),'Сводный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график'!$B$1:$B$4),MATCH(DATE($AV$1,MONTH($B$64),W$3),'Сводный годовой график'!$C$11:$AR$11)))</f>
        <v>#N/A</v>
      </c>
      <c r="X66" s="92" t="e">
        <f ca="1">IF(AND(INDEX('Сводный годовой график'!$C$1:$AR$4,MATCH($C$66,'Сводный годовой график'!$B$1:$B$4),MATCH(DATE($AV$1,MONTH($B$64),X$3),'Сводный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график'!$B$1:$B$4),MATCH(DATE($AV$1,MONTH($B$64),X$3),'Сводный годовой график'!$C$11:$AR$11)))</f>
        <v>#N/A</v>
      </c>
      <c r="Y66" s="92" t="e">
        <f ca="1">IF(AND(INDEX('Сводный годовой график'!$C$1:$AR$4,MATCH($C$66,'Сводный годовой график'!$B$1:$B$4),MATCH(DATE($AV$1,MONTH($B$64),Y$3),'Сводный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график'!$B$1:$B$4),MATCH(DATE($AV$1,MONTH($B$64),Y$3),'Сводный годовой график'!$C$11:$AR$11)))</f>
        <v>#N/A</v>
      </c>
      <c r="Z66" s="92" t="e">
        <f ca="1">IF(AND(INDEX('Сводный годовой график'!$C$1:$AR$4,MATCH($C$66,'Сводный годовой график'!$B$1:$B$4),MATCH(DATE($AV$1,MONTH($B$64),Z$3),'Сводный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график'!$B$1:$B$4),MATCH(DATE($AV$1,MONTH($B$64),Z$3),'Сводный годовой график'!$C$11:$AR$11)))</f>
        <v>#N/A</v>
      </c>
      <c r="AA66" s="92" t="e">
        <f ca="1">IF(AND(INDEX('Сводный годовой график'!$C$1:$AR$4,MATCH($C$66,'Сводный годовой график'!$B$1:$B$4),MATCH(DATE($AV$1,MONTH($B$64),AA$3),'Сводный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график'!$B$1:$B$4),MATCH(DATE($AV$1,MONTH($B$64),AA$3),'Сводный годовой график'!$C$11:$AR$11)))</f>
        <v>#N/A</v>
      </c>
      <c r="AB66" s="92" t="e">
        <f ca="1">IF(AND(INDEX('Сводный годовой график'!$C$1:$AR$4,MATCH($C$66,'Сводный годовой график'!$B$1:$B$4),MATCH(DATE($AV$1,MONTH($B$64),AB$3),'Сводный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график'!$B$1:$B$4),MATCH(DATE($AV$1,MONTH($B$64),AB$3),'Сводный годовой график'!$C$11:$AR$11)))</f>
        <v>#N/A</v>
      </c>
      <c r="AC66" s="92" t="e">
        <f ca="1">IF(AND(INDEX('Сводный годовой график'!$C$1:$AR$4,MATCH($C$66,'Сводный годовой график'!$B$1:$B$4),MATCH(DATE($AV$1,MONTH($B$64),AC$3),'Сводный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график'!$B$1:$B$4),MATCH(DATE($AV$1,MONTH($B$64),AC$3),'Сводный годовой график'!$C$11:$AR$11)))</f>
        <v>#N/A</v>
      </c>
      <c r="AD66" s="92" t="e">
        <f ca="1">IF(AND(INDEX('Сводный годовой график'!$C$1:$AR$4,MATCH($C$66,'Сводный годовой график'!$B$1:$B$4),MATCH(DATE($AV$1,MONTH($B$64),AD$3),'Сводный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график'!$B$1:$B$4),MATCH(DATE($AV$1,MONTH($B$64),AD$3),'Сводный годовой график'!$C$11:$AR$11)))</f>
        <v>#N/A</v>
      </c>
      <c r="AE66" s="92" t="e">
        <f ca="1">IF(AND(INDEX('Сводный годовой график'!$C$1:$AR$4,MATCH($C$66,'Сводный годовой график'!$B$1:$B$4),MATCH(DATE($AV$1,MONTH($B$64),AE$3),'Сводный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график'!$B$1:$B$4),MATCH(DATE($AV$1,MONTH($B$64),AE$3),'Сводный годовой график'!$C$11:$AR$11)))</f>
        <v>#N/A</v>
      </c>
      <c r="AF66" s="92" t="e">
        <f ca="1">IF(AND(INDEX('Сводный годовой график'!$C$1:$AR$4,MATCH($C$66,'Сводный годовой график'!$B$1:$B$4),MATCH(DATE($AV$1,MONTH($B$64),AF$3),'Сводный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график'!$B$1:$B$4),MATCH(DATE($AV$1,MONTH($B$64),AF$3),'Сводный годовой график'!$C$11:$AR$11)))</f>
        <v>#N/A</v>
      </c>
      <c r="AG66" s="92" t="e">
        <f ca="1">IF(AND(INDEX('Сводный годовой график'!$C$1:$AR$4,MATCH($C$66,'Сводный годовой график'!$B$1:$B$4),MATCH(DATE($AV$1,MONTH($B$64),AG$3),'Сводный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график'!$B$1:$B$4),MATCH(DATE($AV$1,MONTH($B$64),AG$3),'Сводный годовой график'!$C$11:$AR$11)))</f>
        <v>#N/A</v>
      </c>
      <c r="AH66" s="92" t="e">
        <f ca="1">IF(AND(INDEX('Сводный годовой график'!$C$1:$AR$4,MATCH($C$66,'Сводный годовой график'!$B$1:$B$4),MATCH(DATE($AV$1,MONTH($B$64),AH$3),'Сводный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график'!$B$1:$B$4),MATCH(DATE($AV$1,MONTH($B$64),AH$3),'Сводный годовой график'!$C$11:$AR$11)))</f>
        <v>#N/A</v>
      </c>
      <c r="AI66" s="97" t="e">
        <f ca="1">IF(AND(INDEX('Сводный годовой график'!$C$1:$AR$4,MATCH($C$66,'Сводный годовой график'!$B$1:$B$4),MATCH(DATE($AV$1,MONTH($B$64),AI$3),'Сводный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график'!$B$1:$B$4),MATCH(DATE($AV$1,MONTH($B$64),AI$3),'Сводный годовой график'!$C$11:$AR$11)))</f>
        <v>#N/A</v>
      </c>
      <c r="AJ66" s="206"/>
      <c r="AK66" s="223">
        <f>$AJ$64-SUM(AY66:CC67)</f>
        <v>184</v>
      </c>
      <c r="AL66" s="209" t="e">
        <f t="shared" ref="AL66" ca="1" si="113">SUM(E66:AI67)</f>
        <v>#N/A</v>
      </c>
      <c r="AM66" s="209">
        <v>0</v>
      </c>
      <c r="AN66" s="211" t="e">
        <f t="shared" ref="AN66" ca="1" si="114">-AM66-AK66+AL66</f>
        <v>#N/A</v>
      </c>
      <c r="AO66" s="211">
        <v>0</v>
      </c>
      <c r="AP66" s="211" t="e">
        <f t="shared" ref="AP66" ca="1" si="115">AN66+AP56</f>
        <v>#N/A</v>
      </c>
      <c r="AQ66" s="209">
        <v>15</v>
      </c>
      <c r="AR66" s="210">
        <v>1</v>
      </c>
      <c r="CK66" s="59"/>
      <c r="CL66" s="59"/>
      <c r="CM66" s="59"/>
      <c r="CN66" s="59"/>
      <c r="CO66" s="59"/>
      <c r="CP66" s="59"/>
      <c r="CQ66" s="59"/>
      <c r="CR66" s="59"/>
      <c r="CS66" s="59"/>
      <c r="CT66" s="59"/>
      <c r="CU66" s="59"/>
      <c r="CV66" s="59"/>
      <c r="CW66" s="59"/>
      <c r="CX66" s="59"/>
      <c r="CY66" s="59"/>
      <c r="CZ66" s="59"/>
      <c r="DA66" s="59"/>
      <c r="DB66" s="59"/>
      <c r="DC66" s="59"/>
      <c r="DD66" s="59"/>
      <c r="DE66" s="59"/>
      <c r="DF66" s="59"/>
      <c r="DG66" s="59"/>
      <c r="DH66" s="59"/>
      <c r="DI66" s="59"/>
      <c r="DJ66" s="59"/>
      <c r="DK66" s="59"/>
      <c r="DL66" s="59"/>
      <c r="DM66" s="59"/>
      <c r="DN66" s="59"/>
      <c r="DO66" s="59"/>
    </row>
    <row r="67" spans="2:119" ht="16.5" thickBot="1" x14ac:dyDescent="0.3">
      <c r="B67" s="201"/>
      <c r="C67" s="197"/>
      <c r="D67" s="82">
        <v>4</v>
      </c>
      <c r="E67" s="96" t="str">
        <f t="shared" ref="E67:AI67" si="116">IF(INDEX($CK$4:$DO$123,ROW()-3,E$3)=0,"","СП")</f>
        <v/>
      </c>
      <c r="F67" s="92" t="str">
        <f t="shared" si="116"/>
        <v/>
      </c>
      <c r="G67" s="92" t="str">
        <f t="shared" si="116"/>
        <v/>
      </c>
      <c r="H67" s="92" t="str">
        <f t="shared" si="116"/>
        <v/>
      </c>
      <c r="I67" s="92" t="str">
        <f t="shared" si="116"/>
        <v/>
      </c>
      <c r="J67" s="92" t="str">
        <f t="shared" si="116"/>
        <v/>
      </c>
      <c r="K67" s="92" t="str">
        <f t="shared" si="116"/>
        <v/>
      </c>
      <c r="L67" s="92" t="str">
        <f t="shared" si="116"/>
        <v>СП</v>
      </c>
      <c r="M67" s="92" t="str">
        <f t="shared" si="116"/>
        <v/>
      </c>
      <c r="N67" s="92" t="str">
        <f t="shared" si="116"/>
        <v/>
      </c>
      <c r="O67" s="92" t="str">
        <f t="shared" si="116"/>
        <v/>
      </c>
      <c r="P67" s="92" t="str">
        <f t="shared" si="116"/>
        <v/>
      </c>
      <c r="Q67" s="92" t="str">
        <f t="shared" si="116"/>
        <v/>
      </c>
      <c r="R67" s="92" t="str">
        <f t="shared" si="116"/>
        <v/>
      </c>
      <c r="S67" s="92" t="str">
        <f t="shared" si="116"/>
        <v/>
      </c>
      <c r="T67" s="92" t="str">
        <f t="shared" si="116"/>
        <v/>
      </c>
      <c r="U67" s="92" t="str">
        <f t="shared" si="116"/>
        <v/>
      </c>
      <c r="V67" s="92" t="str">
        <f t="shared" si="116"/>
        <v/>
      </c>
      <c r="W67" s="92" t="str">
        <f t="shared" si="116"/>
        <v/>
      </c>
      <c r="X67" s="92" t="str">
        <f t="shared" si="116"/>
        <v/>
      </c>
      <c r="Y67" s="92" t="str">
        <f t="shared" si="116"/>
        <v/>
      </c>
      <c r="Z67" s="92" t="str">
        <f t="shared" si="116"/>
        <v/>
      </c>
      <c r="AA67" s="92" t="str">
        <f t="shared" si="116"/>
        <v/>
      </c>
      <c r="AB67" s="92" t="str">
        <f t="shared" si="116"/>
        <v/>
      </c>
      <c r="AC67" s="92" t="str">
        <f t="shared" si="116"/>
        <v/>
      </c>
      <c r="AD67" s="92" t="str">
        <f t="shared" si="116"/>
        <v/>
      </c>
      <c r="AE67" s="92" t="str">
        <f t="shared" si="116"/>
        <v/>
      </c>
      <c r="AF67" s="92" t="str">
        <f t="shared" si="116"/>
        <v/>
      </c>
      <c r="AG67" s="92" t="str">
        <f t="shared" si="116"/>
        <v/>
      </c>
      <c r="AH67" s="92" t="str">
        <f t="shared" si="116"/>
        <v/>
      </c>
      <c r="AI67" s="97" t="str">
        <f t="shared" si="116"/>
        <v/>
      </c>
      <c r="AJ67" s="206"/>
      <c r="AK67" s="220"/>
      <c r="AL67" s="209"/>
      <c r="AM67" s="209"/>
      <c r="AN67" s="211"/>
      <c r="AO67" s="211"/>
      <c r="AP67" s="211"/>
      <c r="AQ67" s="209"/>
      <c r="AR67" s="210"/>
      <c r="CK67" s="58">
        <f>IF(DAY(INDEX('Сводный годовой график'!$BA$4:$BL$14,$C66,MONTH($B$64)))=E$3,1,0)</f>
        <v>0</v>
      </c>
      <c r="CL67" s="58">
        <f>IF(DAY(INDEX('Сводный годовой график'!$BA$4:$BL$14,$C66,MONTH($B$64)))=F$3,1,0)</f>
        <v>0</v>
      </c>
      <c r="CM67" s="58">
        <f>IF(DAY(INDEX('Сводный годовой график'!$BA$4:$BL$14,$C66,MONTH($B$64)))=G$3,1,0)</f>
        <v>0</v>
      </c>
      <c r="CN67" s="58">
        <f>IF(DAY(INDEX('Сводный годовой график'!$BA$4:$BL$14,$C66,MONTH($B$64)))=H$3,1,0)</f>
        <v>0</v>
      </c>
      <c r="CO67" s="58">
        <f>IF(DAY(INDEX('Сводный годовой график'!$BA$4:$BL$14,$C66,MONTH($B$64)))=I$3,1,0)</f>
        <v>0</v>
      </c>
      <c r="CP67" s="58">
        <f>IF(DAY(INDEX('Сводный годовой график'!$BA$4:$BL$14,$C66,MONTH($B$64)))=J$3,1,0)</f>
        <v>0</v>
      </c>
      <c r="CQ67" s="58">
        <f>IF(DAY(INDEX('Сводный годовой график'!$BA$4:$BL$14,$C66,MONTH($B$64)))=K$3,1,0)</f>
        <v>0</v>
      </c>
      <c r="CR67" s="58">
        <f>IF(DAY(INDEX('Сводный годовой график'!$BA$4:$BL$14,$C66,MONTH($B$64)))=L$3,1,0)</f>
        <v>1</v>
      </c>
      <c r="CS67" s="58">
        <f>IF(DAY(INDEX('Сводный годовой график'!$BA$4:$BL$14,$C66,MONTH($B$64)))=M$3,1,0)</f>
        <v>0</v>
      </c>
      <c r="CT67" s="58">
        <f>IF(DAY(INDEX('Сводный годовой график'!$BA$4:$BL$14,$C66,MONTH($B$64)))=N$3,1,0)</f>
        <v>0</v>
      </c>
      <c r="CU67" s="58">
        <f>IF(DAY(INDEX('Сводный годовой график'!$BA$4:$BL$14,$C66,MONTH($B$64)))=O$3,1,0)</f>
        <v>0</v>
      </c>
      <c r="CV67" s="58">
        <f>IF(DAY(INDEX('Сводный годовой график'!$BA$4:$BL$14,$C66,MONTH($B$64)))=P$3,1,0)</f>
        <v>0</v>
      </c>
      <c r="CW67" s="58">
        <f>IF(DAY(INDEX('Сводный годовой график'!$BA$4:$BL$14,$C66,MONTH($B$64)))=Q$3,1,0)</f>
        <v>0</v>
      </c>
      <c r="CX67" s="58">
        <f>IF(DAY(INDEX('Сводный годовой график'!$BA$4:$BL$14,$C66,MONTH($B$64)))=R$3,1,0)</f>
        <v>0</v>
      </c>
      <c r="CY67" s="58">
        <f>IF(DAY(INDEX('Сводный годовой график'!$BA$4:$BL$14,$C66,MONTH($B$64)))=S$3,1,0)</f>
        <v>0</v>
      </c>
      <c r="CZ67" s="58">
        <f>IF(DAY(INDEX('Сводный годовой график'!$BA$4:$BL$14,$C66,MONTH($B$64)))=T$3,1,0)</f>
        <v>0</v>
      </c>
      <c r="DA67" s="58">
        <f>IF(DAY(INDEX('Сводный годовой график'!$BA$4:$BL$14,$C66,MONTH($B$64)))=U$3,1,0)</f>
        <v>0</v>
      </c>
      <c r="DB67" s="58">
        <f>IF(DAY(INDEX('Сводный годовой график'!$BA$4:$BL$14,$C66,MONTH($B$64)))=V$3,1,0)</f>
        <v>0</v>
      </c>
      <c r="DC67" s="58">
        <f>IF(DAY(INDEX('Сводный годовой график'!$BA$4:$BL$14,$C66,MONTH($B$64)))=W$3,1,0)</f>
        <v>0</v>
      </c>
      <c r="DD67" s="58">
        <f>IF(DAY(INDEX('Сводный годовой график'!$BA$4:$BL$14,$C66,MONTH($B$64)))=X$3,1,0)</f>
        <v>0</v>
      </c>
      <c r="DE67" s="58">
        <f>IF(DAY(INDEX('Сводный годовой график'!$BA$4:$BL$14,$C66,MONTH($B$64)))=Y$3,1,0)</f>
        <v>0</v>
      </c>
      <c r="DF67" s="58">
        <f>IF(DAY(INDEX('Сводный годовой график'!$BA$4:$BL$14,$C66,MONTH($B$64)))=Z$3,1,0)</f>
        <v>0</v>
      </c>
      <c r="DG67" s="58">
        <f>IF(DAY(INDEX('Сводный годовой график'!$BA$4:$BL$14,$C66,MONTH($B$64)))=AA$3,1,0)</f>
        <v>0</v>
      </c>
      <c r="DH67" s="58">
        <f>IF(DAY(INDEX('Сводный годовой график'!$BA$4:$BL$14,$C66,MONTH($B$64)))=AB$3,1,0)</f>
        <v>0</v>
      </c>
      <c r="DI67" s="58">
        <f>IF(DAY(INDEX('Сводный годовой график'!$BA$4:$BL$14,$C66,MONTH($B$64)))=AC$3,1,0)</f>
        <v>0</v>
      </c>
      <c r="DJ67" s="58">
        <f>IF(DAY(INDEX('Сводный годовой график'!$BA$4:$BL$14,$C66,MONTH($B$64)))=AD$3,1,0)</f>
        <v>0</v>
      </c>
      <c r="DK67" s="58">
        <f>IF(DAY(INDEX('Сводный годовой график'!$BA$4:$BL$14,$C66,MONTH($B$64)))=AE$3,1,0)</f>
        <v>0</v>
      </c>
      <c r="DL67" s="58">
        <f>IF(DAY(INDEX('Сводный годовой график'!$BA$4:$BL$14,$C66,MONTH($B$64)))=AF$3,1,0)</f>
        <v>0</v>
      </c>
      <c r="DM67" s="58">
        <f>IF(DAY(INDEX('Сводный годовой график'!$BA$4:$BL$14,$C66,MONTH($B$64)))=AG$3,1,0)</f>
        <v>0</v>
      </c>
      <c r="DN67" s="58">
        <f>IF(DAY(INDEX('Сводный годовой график'!$BA$4:$BL$14,$C66,MONTH($B$64)))=AH$3,1,0)</f>
        <v>0</v>
      </c>
      <c r="DO67" s="58">
        <f>IF(DAY(INDEX('Сводный годовой график'!$BA$4:$BL$14,$C66,MONTH($B$64)))=AI$3,1,0)</f>
        <v>0</v>
      </c>
    </row>
    <row r="68" spans="2:119" ht="16.5" thickBot="1" x14ac:dyDescent="0.3">
      <c r="B68" s="201"/>
      <c r="C68" s="196">
        <v>3</v>
      </c>
      <c r="D68" s="81">
        <v>5</v>
      </c>
      <c r="E68" s="96" t="e">
        <f ca="1">IF(AND(INDEX('Сводный годовой график'!$C$1:$AR$4,MATCH($C$68,'Сводный годовой график'!$B$1:$B$4),MATCH(DATE($AV$1,MONTH($B$64),E$3),'Сводный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график'!$B$1:$B$4),MATCH(DATE($AV$1,MONTH($B$64),E$3),'Сводный годовой график'!$C$11:$AR$11)))</f>
        <v>#N/A</v>
      </c>
      <c r="F68" s="92" t="e">
        <f ca="1">IF(AND(INDEX('Сводный годовой график'!$C$1:$AR$4,MATCH($C$68,'Сводный годовой график'!$B$1:$B$4),MATCH(DATE($AV$1,MONTH($B$64),F$3),'Сводный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график'!$B$1:$B$4),MATCH(DATE($AV$1,MONTH($B$64),F$3),'Сводный годовой график'!$C$11:$AR$11)))</f>
        <v>#N/A</v>
      </c>
      <c r="G68" s="92" t="e">
        <f ca="1">IF(AND(INDEX('Сводный годовой график'!$C$1:$AR$4,MATCH($C$68,'Сводный годовой график'!$B$1:$B$4),MATCH(DATE($AV$1,MONTH($B$64),G$3),'Сводный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график'!$B$1:$B$4),MATCH(DATE($AV$1,MONTH($B$64),G$3),'Сводный годовой график'!$C$11:$AR$11)))</f>
        <v>#N/A</v>
      </c>
      <c r="H68" s="92" t="e">
        <f ca="1">IF(AND(INDEX('Сводный годовой график'!$C$1:$AR$4,MATCH($C$68,'Сводный годовой график'!$B$1:$B$4),MATCH(DATE($AV$1,MONTH($B$64),H$3),'Сводный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график'!$B$1:$B$4),MATCH(DATE($AV$1,MONTH($B$64),H$3),'Сводный годовой график'!$C$11:$AR$11)))</f>
        <v>#N/A</v>
      </c>
      <c r="I68" s="92" t="e">
        <f ca="1">IF(AND(INDEX('Сводный годовой график'!$C$1:$AR$4,MATCH($C$68,'Сводный годовой график'!$B$1:$B$4),MATCH(DATE($AV$1,MONTH($B$64),I$3),'Сводный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график'!$B$1:$B$4),MATCH(DATE($AV$1,MONTH($B$64),I$3),'Сводный годовой график'!$C$11:$AR$11)))</f>
        <v>#N/A</v>
      </c>
      <c r="J68" s="92" t="e">
        <f ca="1">IF(AND(INDEX('Сводный годовой график'!$C$1:$AR$4,MATCH($C$68,'Сводный годовой график'!$B$1:$B$4),MATCH(DATE($AV$1,MONTH($B$64),J$3),'Сводный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график'!$B$1:$B$4),MATCH(DATE($AV$1,MONTH($B$64),J$3),'Сводный годовой график'!$C$11:$AR$11)))</f>
        <v>#N/A</v>
      </c>
      <c r="K68" s="92" t="e">
        <f ca="1">IF(AND(INDEX('Сводный годовой график'!$C$1:$AR$4,MATCH($C$68,'Сводный годовой график'!$B$1:$B$4),MATCH(DATE($AV$1,MONTH($B$64),K$3),'Сводный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график'!$B$1:$B$4),MATCH(DATE($AV$1,MONTH($B$64),K$3),'Сводный годовой график'!$C$11:$AR$11)))</f>
        <v>#N/A</v>
      </c>
      <c r="L68" s="92" t="e">
        <f ca="1">IF(AND(INDEX('Сводный годовой график'!$C$1:$AR$4,MATCH($C$68,'Сводный годовой график'!$B$1:$B$4),MATCH(DATE($AV$1,MONTH($B$64),L$3),'Сводный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график'!$B$1:$B$4),MATCH(DATE($AV$1,MONTH($B$64),L$3),'Сводный годовой график'!$C$11:$AR$11)))</f>
        <v>#N/A</v>
      </c>
      <c r="M68" s="92" t="e">
        <f ca="1">IF(AND(INDEX('Сводный годовой график'!$C$1:$AR$4,MATCH($C$68,'Сводный годовой график'!$B$1:$B$4),MATCH(DATE($AV$1,MONTH($B$64),M$3),'Сводный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график'!$B$1:$B$4),MATCH(DATE($AV$1,MONTH($B$64),M$3),'Сводный годовой график'!$C$11:$AR$11)))</f>
        <v>#N/A</v>
      </c>
      <c r="N68" s="92" t="e">
        <f ca="1">IF(AND(INDEX('Сводный годовой график'!$C$1:$AR$4,MATCH($C$68,'Сводный годовой график'!$B$1:$B$4),MATCH(DATE($AV$1,MONTH($B$64),N$3),'Сводный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график'!$B$1:$B$4),MATCH(DATE($AV$1,MONTH($B$64),N$3),'Сводный годовой график'!$C$11:$AR$11)))</f>
        <v>#N/A</v>
      </c>
      <c r="O68" s="92" t="e">
        <f ca="1">IF(AND(INDEX('Сводный годовой график'!$C$1:$AR$4,MATCH($C$68,'Сводный годовой график'!$B$1:$B$4),MATCH(DATE($AV$1,MONTH($B$64),O$3),'Сводный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график'!$B$1:$B$4),MATCH(DATE($AV$1,MONTH($B$64),O$3),'Сводный годовой график'!$C$11:$AR$11)))</f>
        <v>#N/A</v>
      </c>
      <c r="P68" s="92" t="e">
        <f ca="1">IF(AND(INDEX('Сводный годовой график'!$C$1:$AR$4,MATCH($C$68,'Сводный годовой график'!$B$1:$B$4),MATCH(DATE($AV$1,MONTH($B$64),P$3),'Сводный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график'!$B$1:$B$4),MATCH(DATE($AV$1,MONTH($B$64),P$3),'Сводный годовой график'!$C$11:$AR$11)))</f>
        <v>#N/A</v>
      </c>
      <c r="Q68" s="92" t="e">
        <f ca="1">IF(AND(INDEX('Сводный годовой график'!$C$1:$AR$4,MATCH($C$68,'Сводный годовой график'!$B$1:$B$4),MATCH(DATE($AV$1,MONTH($B$64),Q$3),'Сводный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график'!$B$1:$B$4),MATCH(DATE($AV$1,MONTH($B$64),Q$3),'Сводный годовой график'!$C$11:$AR$11)))</f>
        <v>#N/A</v>
      </c>
      <c r="R68" s="92" t="e">
        <f ca="1">IF(AND(INDEX('Сводный годовой график'!$C$1:$AR$4,MATCH($C$68,'Сводный годовой график'!$B$1:$B$4),MATCH(DATE($AV$1,MONTH($B$64),R$3),'Сводный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график'!$B$1:$B$4),MATCH(DATE($AV$1,MONTH($B$64),R$3),'Сводный годовой график'!$C$11:$AR$11)))</f>
        <v>#N/A</v>
      </c>
      <c r="S68" s="92" t="e">
        <f ca="1">IF(AND(INDEX('Сводный годовой график'!$C$1:$AR$4,MATCH($C$68,'Сводный годовой график'!$B$1:$B$4),MATCH(DATE($AV$1,MONTH($B$64),S$3),'Сводный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график'!$B$1:$B$4),MATCH(DATE($AV$1,MONTH($B$64),S$3),'Сводный годовой график'!$C$11:$AR$11)))</f>
        <v>#N/A</v>
      </c>
      <c r="T68" s="92" t="e">
        <f ca="1">IF(AND(INDEX('Сводный годовой график'!$C$1:$AR$4,MATCH($C$68,'Сводный годовой график'!$B$1:$B$4),MATCH(DATE($AV$1,MONTH($B$64),T$3),'Сводный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график'!$B$1:$B$4),MATCH(DATE($AV$1,MONTH($B$64),T$3),'Сводный годовой график'!$C$11:$AR$11)))</f>
        <v>#N/A</v>
      </c>
      <c r="U68" s="92" t="e">
        <f ca="1">IF(AND(INDEX('Сводный годовой график'!$C$1:$AR$4,MATCH($C$68,'Сводный годовой график'!$B$1:$B$4),MATCH(DATE($AV$1,MONTH($B$64),U$3),'Сводный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график'!$B$1:$B$4),MATCH(DATE($AV$1,MONTH($B$64),U$3),'Сводный годовой график'!$C$11:$AR$11)))</f>
        <v>#N/A</v>
      </c>
      <c r="V68" s="92" t="e">
        <f ca="1">IF(AND(INDEX('Сводный годовой график'!$C$1:$AR$4,MATCH($C$68,'Сводный годовой график'!$B$1:$B$4),MATCH(DATE($AV$1,MONTH($B$64),V$3),'Сводный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график'!$B$1:$B$4),MATCH(DATE($AV$1,MONTH($B$64),V$3),'Сводный годовой график'!$C$11:$AR$11)))</f>
        <v>#N/A</v>
      </c>
      <c r="W68" s="92" t="e">
        <f ca="1">IF(AND(INDEX('Сводный годовой график'!$C$1:$AR$4,MATCH($C$68,'Сводный годовой график'!$B$1:$B$4),MATCH(DATE($AV$1,MONTH($B$64),W$3),'Сводный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график'!$B$1:$B$4),MATCH(DATE($AV$1,MONTH($B$64),W$3),'Сводный годовой график'!$C$11:$AR$11)))</f>
        <v>#N/A</v>
      </c>
      <c r="X68" s="92" t="e">
        <f ca="1">IF(AND(INDEX('Сводный годовой график'!$C$1:$AR$4,MATCH($C$68,'Сводный годовой график'!$B$1:$B$4),MATCH(DATE($AV$1,MONTH($B$64),X$3),'Сводный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график'!$B$1:$B$4),MATCH(DATE($AV$1,MONTH($B$64),X$3),'Сводный годовой график'!$C$11:$AR$11)))</f>
        <v>#N/A</v>
      </c>
      <c r="Y68" s="92" t="e">
        <f ca="1">IF(AND(INDEX('Сводный годовой график'!$C$1:$AR$4,MATCH($C$68,'Сводный годовой график'!$B$1:$B$4),MATCH(DATE($AV$1,MONTH($B$64),Y$3),'Сводный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график'!$B$1:$B$4),MATCH(DATE($AV$1,MONTH($B$64),Y$3),'Сводный годовой график'!$C$11:$AR$11)))</f>
        <v>#N/A</v>
      </c>
      <c r="Z68" s="92" t="e">
        <f ca="1">IF(AND(INDEX('Сводный годовой график'!$C$1:$AR$4,MATCH($C$68,'Сводный годовой график'!$B$1:$B$4),MATCH(DATE($AV$1,MONTH($B$64),Z$3),'Сводный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график'!$B$1:$B$4),MATCH(DATE($AV$1,MONTH($B$64),Z$3),'Сводный годовой график'!$C$11:$AR$11)))</f>
        <v>#N/A</v>
      </c>
      <c r="AA68" s="92" t="e">
        <f ca="1">IF(AND(INDEX('Сводный годовой график'!$C$1:$AR$4,MATCH($C$68,'Сводный годовой график'!$B$1:$B$4),MATCH(DATE($AV$1,MONTH($B$64),AA$3),'Сводный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график'!$B$1:$B$4),MATCH(DATE($AV$1,MONTH($B$64),AA$3),'Сводный годовой график'!$C$11:$AR$11)))</f>
        <v>#N/A</v>
      </c>
      <c r="AB68" s="92" t="e">
        <f ca="1">IF(AND(INDEX('Сводный годовой график'!$C$1:$AR$4,MATCH($C$68,'Сводный годовой график'!$B$1:$B$4),MATCH(DATE($AV$1,MONTH($B$64),AB$3),'Сводный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график'!$B$1:$B$4),MATCH(DATE($AV$1,MONTH($B$64),AB$3),'Сводный годовой график'!$C$11:$AR$11)))</f>
        <v>#N/A</v>
      </c>
      <c r="AC68" s="92" t="e">
        <f ca="1">IF(AND(INDEX('Сводный годовой график'!$C$1:$AR$4,MATCH($C$68,'Сводный годовой график'!$B$1:$B$4),MATCH(DATE($AV$1,MONTH($B$64),AC$3),'Сводный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график'!$B$1:$B$4),MATCH(DATE($AV$1,MONTH($B$64),AC$3),'Сводный годовой график'!$C$11:$AR$11)))</f>
        <v>#N/A</v>
      </c>
      <c r="AD68" s="92" t="e">
        <f ca="1">IF(AND(INDEX('Сводный годовой график'!$C$1:$AR$4,MATCH($C$68,'Сводный годовой график'!$B$1:$B$4),MATCH(DATE($AV$1,MONTH($B$64),AD$3),'Сводный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график'!$B$1:$B$4),MATCH(DATE($AV$1,MONTH($B$64),AD$3),'Сводный годовой график'!$C$11:$AR$11)))</f>
        <v>#N/A</v>
      </c>
      <c r="AE68" s="92" t="e">
        <f ca="1">IF(AND(INDEX('Сводный годовой график'!$C$1:$AR$4,MATCH($C$68,'Сводный годовой график'!$B$1:$B$4),MATCH(DATE($AV$1,MONTH($B$64),AE$3),'Сводный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график'!$B$1:$B$4),MATCH(DATE($AV$1,MONTH($B$64),AE$3),'Сводный годовой график'!$C$11:$AR$11)))</f>
        <v>#N/A</v>
      </c>
      <c r="AF68" s="92" t="e">
        <f ca="1">IF(AND(INDEX('Сводный годовой график'!$C$1:$AR$4,MATCH($C$68,'Сводный годовой график'!$B$1:$B$4),MATCH(DATE($AV$1,MONTH($B$64),AF$3),'Сводный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график'!$B$1:$B$4),MATCH(DATE($AV$1,MONTH($B$64),AF$3),'Сводный годовой график'!$C$11:$AR$11)))</f>
        <v>#N/A</v>
      </c>
      <c r="AG68" s="92" t="e">
        <f ca="1">IF(AND(INDEX('Сводный годовой график'!$C$1:$AR$4,MATCH($C$68,'Сводный годовой график'!$B$1:$B$4),MATCH(DATE($AV$1,MONTH($B$64),AG$3),'Сводный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график'!$B$1:$B$4),MATCH(DATE($AV$1,MONTH($B$64),AG$3),'Сводный годовой график'!$C$11:$AR$11)))</f>
        <v>#N/A</v>
      </c>
      <c r="AH68" s="92" t="e">
        <f ca="1">IF(AND(INDEX('Сводный годовой график'!$C$1:$AR$4,MATCH($C$68,'Сводный годовой график'!$B$1:$B$4),MATCH(DATE($AV$1,MONTH($B$64),AH$3),'Сводный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график'!$B$1:$B$4),MATCH(DATE($AV$1,MONTH($B$64),AH$3),'Сводный годовой график'!$C$11:$AR$11)))</f>
        <v>#N/A</v>
      </c>
      <c r="AI68" s="97" t="e">
        <f ca="1">IF(AND(INDEX('Сводный годовой график'!$C$1:$AR$4,MATCH($C$68,'Сводный годовой график'!$B$1:$B$4),MATCH(DATE($AV$1,MONTH($B$64),AI$3),'Сводный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график'!$B$1:$B$4),MATCH(DATE($AV$1,MONTH($B$64),AI$3),'Сводный годовой график'!$C$11:$AR$11)))</f>
        <v>#N/A</v>
      </c>
      <c r="AJ68" s="206"/>
      <c r="AK68" s="223">
        <f>$AJ$64-SUM(AY68:CC69)</f>
        <v>184</v>
      </c>
      <c r="AL68" s="209" t="e">
        <f t="shared" ref="AL68" ca="1" si="117">SUM(E68:AI69)</f>
        <v>#N/A</v>
      </c>
      <c r="AM68" s="209">
        <v>0</v>
      </c>
      <c r="AN68" s="211" t="e">
        <f t="shared" ref="AN68" ca="1" si="118">-AM68-AK68+AL68</f>
        <v>#N/A</v>
      </c>
      <c r="AO68" s="211">
        <v>0</v>
      </c>
      <c r="AP68" s="211" t="e">
        <f ca="1">AN68+AP58-AO68</f>
        <v>#N/A</v>
      </c>
      <c r="AQ68" s="209">
        <v>0</v>
      </c>
      <c r="AR68" s="210">
        <v>1</v>
      </c>
      <c r="CK68" s="59"/>
      <c r="CL68" s="59"/>
      <c r="CM68" s="59"/>
      <c r="CN68" s="59"/>
      <c r="CO68" s="59"/>
      <c r="CP68" s="59"/>
      <c r="CQ68" s="59"/>
      <c r="CR68" s="59"/>
      <c r="CS68" s="59"/>
      <c r="CT68" s="59"/>
      <c r="CU68" s="59"/>
      <c r="CV68" s="59"/>
      <c r="CW68" s="59"/>
      <c r="CX68" s="59"/>
      <c r="CY68" s="59"/>
      <c r="CZ68" s="59"/>
      <c r="DA68" s="59"/>
      <c r="DB68" s="59"/>
      <c r="DC68" s="59"/>
      <c r="DD68" s="59"/>
      <c r="DE68" s="59"/>
      <c r="DF68" s="59"/>
      <c r="DG68" s="59"/>
      <c r="DH68" s="59"/>
      <c r="DI68" s="59"/>
      <c r="DJ68" s="59"/>
      <c r="DK68" s="59"/>
      <c r="DL68" s="59"/>
      <c r="DM68" s="59"/>
      <c r="DN68" s="59"/>
      <c r="DO68" s="59"/>
    </row>
    <row r="69" spans="2:119" ht="20.25" customHeight="1" thickBot="1" x14ac:dyDescent="0.45">
      <c r="B69" s="201"/>
      <c r="C69" s="197"/>
      <c r="D69" s="82">
        <v>6</v>
      </c>
      <c r="E69" s="96" t="str">
        <f t="shared" ref="E69:AI69" si="119">IF(INDEX($CK$4:$DO$123,ROW()-3,E$3)=0,"","СП")</f>
        <v/>
      </c>
      <c r="F69" s="92" t="str">
        <f t="shared" si="119"/>
        <v/>
      </c>
      <c r="G69" s="92" t="str">
        <f t="shared" si="119"/>
        <v/>
      </c>
      <c r="H69" s="92" t="str">
        <f t="shared" si="119"/>
        <v/>
      </c>
      <c r="I69" s="92" t="str">
        <f t="shared" si="119"/>
        <v/>
      </c>
      <c r="J69" s="92" t="str">
        <f t="shared" si="119"/>
        <v/>
      </c>
      <c r="K69" s="92" t="str">
        <f t="shared" si="119"/>
        <v/>
      </c>
      <c r="L69" s="92" t="str">
        <f t="shared" si="119"/>
        <v/>
      </c>
      <c r="M69" s="92" t="str">
        <f t="shared" si="119"/>
        <v>СП</v>
      </c>
      <c r="N69" s="92" t="str">
        <f t="shared" si="119"/>
        <v/>
      </c>
      <c r="O69" s="92" t="str">
        <f t="shared" si="119"/>
        <v/>
      </c>
      <c r="P69" s="92" t="str">
        <f t="shared" si="119"/>
        <v/>
      </c>
      <c r="Q69" s="92" t="str">
        <f t="shared" si="119"/>
        <v/>
      </c>
      <c r="R69" s="92" t="str">
        <f t="shared" si="119"/>
        <v/>
      </c>
      <c r="S69" s="92" t="str">
        <f t="shared" si="119"/>
        <v/>
      </c>
      <c r="T69" s="92" t="str">
        <f t="shared" si="119"/>
        <v/>
      </c>
      <c r="U69" s="92" t="str">
        <f t="shared" si="119"/>
        <v/>
      </c>
      <c r="V69" s="92" t="str">
        <f t="shared" si="119"/>
        <v/>
      </c>
      <c r="W69" s="92" t="str">
        <f t="shared" si="119"/>
        <v/>
      </c>
      <c r="X69" s="92" t="str">
        <f t="shared" si="119"/>
        <v/>
      </c>
      <c r="Y69" s="92" t="str">
        <f t="shared" si="119"/>
        <v/>
      </c>
      <c r="Z69" s="92" t="str">
        <f t="shared" si="119"/>
        <v/>
      </c>
      <c r="AA69" s="92" t="str">
        <f t="shared" si="119"/>
        <v/>
      </c>
      <c r="AB69" s="92" t="str">
        <f t="shared" si="119"/>
        <v/>
      </c>
      <c r="AC69" s="92" t="str">
        <f t="shared" si="119"/>
        <v/>
      </c>
      <c r="AD69" s="92" t="str">
        <f t="shared" si="119"/>
        <v/>
      </c>
      <c r="AE69" s="92" t="str">
        <f t="shared" si="119"/>
        <v/>
      </c>
      <c r="AF69" s="92" t="str">
        <f t="shared" si="119"/>
        <v/>
      </c>
      <c r="AG69" s="92" t="str">
        <f t="shared" si="119"/>
        <v/>
      </c>
      <c r="AH69" s="92" t="str">
        <f t="shared" si="119"/>
        <v/>
      </c>
      <c r="AI69" s="97" t="str">
        <f t="shared" si="119"/>
        <v/>
      </c>
      <c r="AJ69" s="206"/>
      <c r="AK69" s="220"/>
      <c r="AL69" s="209"/>
      <c r="AM69" s="209"/>
      <c r="AN69" s="211"/>
      <c r="AO69" s="211"/>
      <c r="AP69" s="211"/>
      <c r="AQ69" s="209"/>
      <c r="AR69" s="210"/>
      <c r="AT69" s="57"/>
      <c r="AU69" s="57"/>
      <c r="AV69" s="57"/>
      <c r="AW69" s="57"/>
      <c r="CK69" s="58">
        <f>IF(DAY(INDEX('Сводный годовой график'!$BA$4:$BL$14,$C68,MONTH($B$64)))=E$3,1,0)</f>
        <v>0</v>
      </c>
      <c r="CL69" s="58">
        <f>IF(DAY(INDEX('Сводный годовой график'!$BA$4:$BL$14,$C68,MONTH($B$64)))=F$3,1,0)</f>
        <v>0</v>
      </c>
      <c r="CM69" s="58">
        <f>IF(DAY(INDEX('Сводный годовой график'!$BA$4:$BL$14,$C68,MONTH($B$64)))=G$3,1,0)</f>
        <v>0</v>
      </c>
      <c r="CN69" s="58">
        <f>IF(DAY(INDEX('Сводный годовой график'!$BA$4:$BL$14,$C68,MONTH($B$64)))=H$3,1,0)</f>
        <v>0</v>
      </c>
      <c r="CO69" s="58">
        <f>IF(DAY(INDEX('Сводный годовой график'!$BA$4:$BL$14,$C68,MONTH($B$64)))=I$3,1,0)</f>
        <v>0</v>
      </c>
      <c r="CP69" s="58">
        <f>IF(DAY(INDEX('Сводный годовой график'!$BA$4:$BL$14,$C68,MONTH($B$64)))=J$3,1,0)</f>
        <v>0</v>
      </c>
      <c r="CQ69" s="58">
        <f>IF(DAY(INDEX('Сводный годовой график'!$BA$4:$BL$14,$C68,MONTH($B$64)))=K$3,1,0)</f>
        <v>0</v>
      </c>
      <c r="CR69" s="58">
        <f>IF(DAY(INDEX('Сводный годовой график'!$BA$4:$BL$14,$C68,MONTH($B$64)))=L$3,1,0)</f>
        <v>0</v>
      </c>
      <c r="CS69" s="58">
        <f>IF(DAY(INDEX('Сводный годовой график'!$BA$4:$BL$14,$C68,MONTH($B$64)))=M$3,1,0)</f>
        <v>1</v>
      </c>
      <c r="CT69" s="58">
        <f>IF(DAY(INDEX('Сводный годовой график'!$BA$4:$BL$14,$C68,MONTH($B$64)))=N$3,1,0)</f>
        <v>0</v>
      </c>
      <c r="CU69" s="58">
        <f>IF(DAY(INDEX('Сводный годовой график'!$BA$4:$BL$14,$C68,MONTH($B$64)))=O$3,1,0)</f>
        <v>0</v>
      </c>
      <c r="CV69" s="58">
        <f>IF(DAY(INDEX('Сводный годовой график'!$BA$4:$BL$14,$C68,MONTH($B$64)))=P$3,1,0)</f>
        <v>0</v>
      </c>
      <c r="CW69" s="58">
        <f>IF(DAY(INDEX('Сводный годовой график'!$BA$4:$BL$14,$C68,MONTH($B$64)))=Q$3,1,0)</f>
        <v>0</v>
      </c>
      <c r="CX69" s="58">
        <f>IF(DAY(INDEX('Сводный годовой график'!$BA$4:$BL$14,$C68,MONTH($B$64)))=R$3,1,0)</f>
        <v>0</v>
      </c>
      <c r="CY69" s="58">
        <f>IF(DAY(INDEX('Сводный годовой график'!$BA$4:$BL$14,$C68,MONTH($B$64)))=S$3,1,0)</f>
        <v>0</v>
      </c>
      <c r="CZ69" s="58">
        <f>IF(DAY(INDEX('Сводный годовой график'!$BA$4:$BL$14,$C68,MONTH($B$64)))=T$3,1,0)</f>
        <v>0</v>
      </c>
      <c r="DA69" s="58">
        <f>IF(DAY(INDEX('Сводный годовой график'!$BA$4:$BL$14,$C68,MONTH($B$64)))=U$3,1,0)</f>
        <v>0</v>
      </c>
      <c r="DB69" s="58">
        <f>IF(DAY(INDEX('Сводный годовой график'!$BA$4:$BL$14,$C68,MONTH($B$64)))=V$3,1,0)</f>
        <v>0</v>
      </c>
      <c r="DC69" s="58">
        <f>IF(DAY(INDEX('Сводный годовой график'!$BA$4:$BL$14,$C68,MONTH($B$64)))=W$3,1,0)</f>
        <v>0</v>
      </c>
      <c r="DD69" s="58">
        <f>IF(DAY(INDEX('Сводный годовой график'!$BA$4:$BL$14,$C68,MONTH($B$64)))=X$3,1,0)</f>
        <v>0</v>
      </c>
      <c r="DE69" s="58">
        <f>IF(DAY(INDEX('Сводный годовой график'!$BA$4:$BL$14,$C68,MONTH($B$64)))=Y$3,1,0)</f>
        <v>0</v>
      </c>
      <c r="DF69" s="58">
        <f>IF(DAY(INDEX('Сводный годовой график'!$BA$4:$BL$14,$C68,MONTH($B$64)))=Z$3,1,0)</f>
        <v>0</v>
      </c>
      <c r="DG69" s="58">
        <f>IF(DAY(INDEX('Сводный годовой график'!$BA$4:$BL$14,$C68,MONTH($B$64)))=AA$3,1,0)</f>
        <v>0</v>
      </c>
      <c r="DH69" s="58">
        <f>IF(DAY(INDEX('Сводный годовой график'!$BA$4:$BL$14,$C68,MONTH($B$64)))=AB$3,1,0)</f>
        <v>0</v>
      </c>
      <c r="DI69" s="58">
        <f>IF(DAY(INDEX('Сводный годовой график'!$BA$4:$BL$14,$C68,MONTH($B$64)))=AC$3,1,0)</f>
        <v>0</v>
      </c>
      <c r="DJ69" s="58">
        <f>IF(DAY(INDEX('Сводный годовой график'!$BA$4:$BL$14,$C68,MONTH($B$64)))=AD$3,1,0)</f>
        <v>0</v>
      </c>
      <c r="DK69" s="58">
        <f>IF(DAY(INDEX('Сводный годовой график'!$BA$4:$BL$14,$C68,MONTH($B$64)))=AE$3,1,0)</f>
        <v>0</v>
      </c>
      <c r="DL69" s="58">
        <f>IF(DAY(INDEX('Сводный годовой график'!$BA$4:$BL$14,$C68,MONTH($B$64)))=AF$3,1,0)</f>
        <v>0</v>
      </c>
      <c r="DM69" s="58">
        <f>IF(DAY(INDEX('Сводный годовой график'!$BA$4:$BL$14,$C68,MONTH($B$64)))=AG$3,1,0)</f>
        <v>0</v>
      </c>
      <c r="DN69" s="58">
        <f>IF(DAY(INDEX('Сводный годовой график'!$BA$4:$BL$14,$C68,MONTH($B$64)))=AH$3,1,0)</f>
        <v>0</v>
      </c>
      <c r="DO69" s="58">
        <f>IF(DAY(INDEX('Сводный годовой график'!$BA$4:$BL$14,$C68,MONTH($B$64)))=AI$3,1,0)</f>
        <v>0</v>
      </c>
    </row>
    <row r="70" spans="2:119" ht="16.5" thickBot="1" x14ac:dyDescent="0.3">
      <c r="B70" s="201"/>
      <c r="C70" s="196">
        <v>4</v>
      </c>
      <c r="D70" s="81">
        <v>7</v>
      </c>
      <c r="E70" s="96" t="e">
        <f ca="1">IF(AND(INDEX('Сводный годовой график'!$C$1:$AR$4,MATCH($C$70,'Сводный годовой график'!$B$1:$B$4),MATCH(DATE($AV$1,MONTH($B$64),E$3),'Сводный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график'!$B$1:$B$4),MATCH(DATE($AV$1,MONTH($B$64),E$3),'Сводный годовой график'!$C$11:$AR$11)))</f>
        <v>#N/A</v>
      </c>
      <c r="F70" s="92" t="e">
        <f ca="1">IF(AND(INDEX('Сводный годовой график'!$C$1:$AR$4,MATCH($C$70,'Сводный годовой график'!$B$1:$B$4),MATCH(DATE($AV$1,MONTH($B$64),F$3),'Сводный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график'!$B$1:$B$4),MATCH(DATE($AV$1,MONTH($B$64),F$3),'Сводный годовой график'!$C$11:$AR$11)))</f>
        <v>#N/A</v>
      </c>
      <c r="G70" s="92" t="e">
        <f ca="1">IF(AND(INDEX('Сводный годовой график'!$C$1:$AR$4,MATCH($C$70,'Сводный годовой график'!$B$1:$B$4),MATCH(DATE($AV$1,MONTH($B$64),G$3),'Сводный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график'!$B$1:$B$4),MATCH(DATE($AV$1,MONTH($B$64),G$3),'Сводный годовой график'!$C$11:$AR$11)))</f>
        <v>#N/A</v>
      </c>
      <c r="H70" s="92" t="e">
        <f ca="1">IF(AND(INDEX('Сводный годовой график'!$C$1:$AR$4,MATCH($C$70,'Сводный годовой график'!$B$1:$B$4),MATCH(DATE($AV$1,MONTH($B$64),H$3),'Сводный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график'!$B$1:$B$4),MATCH(DATE($AV$1,MONTH($B$64),H$3),'Сводный годовой график'!$C$11:$AR$11)))</f>
        <v>#N/A</v>
      </c>
      <c r="I70" s="92" t="e">
        <f ca="1">IF(AND(INDEX('Сводный годовой график'!$C$1:$AR$4,MATCH($C$70,'Сводный годовой график'!$B$1:$B$4),MATCH(DATE($AV$1,MONTH($B$64),I$3),'Сводный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график'!$B$1:$B$4),MATCH(DATE($AV$1,MONTH($B$64),I$3),'Сводный годовой график'!$C$11:$AR$11)))</f>
        <v>#N/A</v>
      </c>
      <c r="J70" s="92" t="e">
        <f ca="1">IF(AND(INDEX('Сводный годовой график'!$C$1:$AR$4,MATCH($C$70,'Сводный годовой график'!$B$1:$B$4),MATCH(DATE($AV$1,MONTH($B$64),J$3),'Сводный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график'!$B$1:$B$4),MATCH(DATE($AV$1,MONTH($B$64),J$3),'Сводный годовой график'!$C$11:$AR$11)))</f>
        <v>#N/A</v>
      </c>
      <c r="K70" s="92" t="e">
        <f ca="1">IF(AND(INDEX('Сводный годовой график'!$C$1:$AR$4,MATCH($C$70,'Сводный годовой график'!$B$1:$B$4),MATCH(DATE($AV$1,MONTH($B$64),K$3),'Сводный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график'!$B$1:$B$4),MATCH(DATE($AV$1,MONTH($B$64),K$3),'Сводный годовой график'!$C$11:$AR$11)))</f>
        <v>#N/A</v>
      </c>
      <c r="L70" s="92" t="e">
        <f ca="1">IF(AND(INDEX('Сводный годовой график'!$C$1:$AR$4,MATCH($C$70,'Сводный годовой график'!$B$1:$B$4),MATCH(DATE($AV$1,MONTH($B$64),L$3),'Сводный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график'!$B$1:$B$4),MATCH(DATE($AV$1,MONTH($B$64),L$3),'Сводный годовой график'!$C$11:$AR$11)))</f>
        <v>#N/A</v>
      </c>
      <c r="M70" s="92" t="e">
        <f ca="1">IF(AND(INDEX('Сводный годовой график'!$C$1:$AR$4,MATCH($C$70,'Сводный годовой график'!$B$1:$B$4),MATCH(DATE($AV$1,MONTH($B$64),M$3),'Сводный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график'!$B$1:$B$4),MATCH(DATE($AV$1,MONTH($B$64),M$3),'Сводный годовой график'!$C$11:$AR$11)))</f>
        <v>#N/A</v>
      </c>
      <c r="N70" s="92" t="e">
        <f ca="1">IF(AND(INDEX('Сводный годовой график'!$C$1:$AR$4,MATCH($C$70,'Сводный годовой график'!$B$1:$B$4),MATCH(DATE($AV$1,MONTH($B$64),N$3),'Сводный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график'!$B$1:$B$4),MATCH(DATE($AV$1,MONTH($B$64),N$3),'Сводный годовой график'!$C$11:$AR$11)))</f>
        <v>#N/A</v>
      </c>
      <c r="O70" s="92" t="e">
        <f ca="1">IF(AND(INDEX('Сводный годовой график'!$C$1:$AR$4,MATCH($C$70,'Сводный годовой график'!$B$1:$B$4),MATCH(DATE($AV$1,MONTH($B$64),O$3),'Сводный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график'!$B$1:$B$4),MATCH(DATE($AV$1,MONTH($B$64),O$3),'Сводный годовой график'!$C$11:$AR$11)))</f>
        <v>#N/A</v>
      </c>
      <c r="P70" s="92" t="e">
        <f ca="1">IF(AND(INDEX('Сводный годовой график'!$C$1:$AR$4,MATCH($C$70,'Сводный годовой график'!$B$1:$B$4),MATCH(DATE($AV$1,MONTH($B$64),P$3),'Сводный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график'!$B$1:$B$4),MATCH(DATE($AV$1,MONTH($B$64),P$3),'Сводный годовой график'!$C$11:$AR$11)))</f>
        <v>#N/A</v>
      </c>
      <c r="Q70" s="92" t="e">
        <f ca="1">IF(AND(INDEX('Сводный годовой график'!$C$1:$AR$4,MATCH($C$70,'Сводный годовой график'!$B$1:$B$4),MATCH(DATE($AV$1,MONTH($B$64),Q$3),'Сводный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график'!$B$1:$B$4),MATCH(DATE($AV$1,MONTH($B$64),Q$3),'Сводный годовой график'!$C$11:$AR$11)))</f>
        <v>#N/A</v>
      </c>
      <c r="R70" s="92" t="e">
        <f ca="1">IF(AND(INDEX('Сводный годовой график'!$C$1:$AR$4,MATCH($C$70,'Сводный годовой график'!$B$1:$B$4),MATCH(DATE($AV$1,MONTH($B$64),R$3),'Сводный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график'!$B$1:$B$4),MATCH(DATE($AV$1,MONTH($B$64),R$3),'Сводный годовой график'!$C$11:$AR$11)))</f>
        <v>#N/A</v>
      </c>
      <c r="S70" s="92" t="e">
        <f ca="1">IF(AND(INDEX('Сводный годовой график'!$C$1:$AR$4,MATCH($C$70,'Сводный годовой график'!$B$1:$B$4),MATCH(DATE($AV$1,MONTH($B$64),S$3),'Сводный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график'!$B$1:$B$4),MATCH(DATE($AV$1,MONTH($B$64),S$3),'Сводный годовой график'!$C$11:$AR$11)))</f>
        <v>#N/A</v>
      </c>
      <c r="T70" s="92" t="e">
        <f ca="1">IF(AND(INDEX('Сводный годовой график'!$C$1:$AR$4,MATCH($C$70,'Сводный годовой график'!$B$1:$B$4),MATCH(DATE($AV$1,MONTH($B$64),T$3),'Сводный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график'!$B$1:$B$4),MATCH(DATE($AV$1,MONTH($B$64),T$3),'Сводный годовой график'!$C$11:$AR$11)))</f>
        <v>#N/A</v>
      </c>
      <c r="U70" s="92" t="e">
        <f ca="1">IF(AND(INDEX('Сводный годовой график'!$C$1:$AR$4,MATCH($C$70,'Сводный годовой график'!$B$1:$B$4),MATCH(DATE($AV$1,MONTH($B$64),U$3),'Сводный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график'!$B$1:$B$4),MATCH(DATE($AV$1,MONTH($B$64),U$3),'Сводный годовой график'!$C$11:$AR$11)))</f>
        <v>#N/A</v>
      </c>
      <c r="V70" s="92" t="e">
        <f ca="1">IF(AND(INDEX('Сводный годовой график'!$C$1:$AR$4,MATCH($C$70,'Сводный годовой график'!$B$1:$B$4),MATCH(DATE($AV$1,MONTH($B$64),V$3),'Сводный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график'!$B$1:$B$4),MATCH(DATE($AV$1,MONTH($B$64),V$3),'Сводный годовой график'!$C$11:$AR$11)))</f>
        <v>#N/A</v>
      </c>
      <c r="W70" s="92" t="e">
        <f ca="1">IF(AND(INDEX('Сводный годовой график'!$C$1:$AR$4,MATCH($C$70,'Сводный годовой график'!$B$1:$B$4),MATCH(DATE($AV$1,MONTH($B$64),W$3),'Сводный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график'!$B$1:$B$4),MATCH(DATE($AV$1,MONTH($B$64),W$3),'Сводный годовой график'!$C$11:$AR$11)))</f>
        <v>#N/A</v>
      </c>
      <c r="X70" s="92" t="e">
        <f ca="1">IF(AND(INDEX('Сводный годовой график'!$C$1:$AR$4,MATCH($C$70,'Сводный годовой график'!$B$1:$B$4),MATCH(DATE($AV$1,MONTH($B$64),X$3),'Сводный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график'!$B$1:$B$4),MATCH(DATE($AV$1,MONTH($B$64),X$3),'Сводный годовой график'!$C$11:$AR$11)))</f>
        <v>#N/A</v>
      </c>
      <c r="Y70" s="92" t="e">
        <f ca="1">IF(AND(INDEX('Сводный годовой график'!$C$1:$AR$4,MATCH($C$70,'Сводный годовой график'!$B$1:$B$4),MATCH(DATE($AV$1,MONTH($B$64),Y$3),'Сводный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график'!$B$1:$B$4),MATCH(DATE($AV$1,MONTH($B$64),Y$3),'Сводный годовой график'!$C$11:$AR$11)))</f>
        <v>#N/A</v>
      </c>
      <c r="Z70" s="92" t="e">
        <f ca="1">IF(AND(INDEX('Сводный годовой график'!$C$1:$AR$4,MATCH($C$70,'Сводный годовой график'!$B$1:$B$4),MATCH(DATE($AV$1,MONTH($B$64),Z$3),'Сводный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график'!$B$1:$B$4),MATCH(DATE($AV$1,MONTH($B$64),Z$3),'Сводный годовой график'!$C$11:$AR$11)))</f>
        <v>#N/A</v>
      </c>
      <c r="AA70" s="92" t="e">
        <f ca="1">IF(AND(INDEX('Сводный годовой график'!$C$1:$AR$4,MATCH($C$70,'Сводный годовой график'!$B$1:$B$4),MATCH(DATE($AV$1,MONTH($B$64),AA$3),'Сводный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график'!$B$1:$B$4),MATCH(DATE($AV$1,MONTH($B$64),AA$3),'Сводный годовой график'!$C$11:$AR$11)))</f>
        <v>#N/A</v>
      </c>
      <c r="AB70" s="92" t="e">
        <f ca="1">IF(AND(INDEX('Сводный годовой график'!$C$1:$AR$4,MATCH($C$70,'Сводный годовой график'!$B$1:$B$4),MATCH(DATE($AV$1,MONTH($B$64),AB$3),'Сводный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график'!$B$1:$B$4),MATCH(DATE($AV$1,MONTH($B$64),AB$3),'Сводный годовой график'!$C$11:$AR$11)))</f>
        <v>#N/A</v>
      </c>
      <c r="AC70" s="92" t="e">
        <f ca="1">IF(AND(INDEX('Сводный годовой график'!$C$1:$AR$4,MATCH($C$70,'Сводный годовой график'!$B$1:$B$4),MATCH(DATE($AV$1,MONTH($B$64),AC$3),'Сводный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график'!$B$1:$B$4),MATCH(DATE($AV$1,MONTH($B$64),AC$3),'Сводный годовой график'!$C$11:$AR$11)))</f>
        <v>#N/A</v>
      </c>
      <c r="AD70" s="92" t="e">
        <f ca="1">IF(AND(INDEX('Сводный годовой график'!$C$1:$AR$4,MATCH($C$70,'Сводный годовой график'!$B$1:$B$4),MATCH(DATE($AV$1,MONTH($B$64),AD$3),'Сводный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график'!$B$1:$B$4),MATCH(DATE($AV$1,MONTH($B$64),AD$3),'Сводный годовой график'!$C$11:$AR$11)))</f>
        <v>#N/A</v>
      </c>
      <c r="AE70" s="92" t="e">
        <f ca="1">IF(AND(INDEX('Сводный годовой график'!$C$1:$AR$4,MATCH($C$70,'Сводный годовой график'!$B$1:$B$4),MATCH(DATE($AV$1,MONTH($B$64),AE$3),'Сводный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график'!$B$1:$B$4),MATCH(DATE($AV$1,MONTH($B$64),AE$3),'Сводный годовой график'!$C$11:$AR$11)))</f>
        <v>#N/A</v>
      </c>
      <c r="AF70" s="92" t="e">
        <f ca="1">IF(AND(INDEX('Сводный годовой график'!$C$1:$AR$4,MATCH($C$70,'Сводный годовой график'!$B$1:$B$4),MATCH(DATE($AV$1,MONTH($B$64),AF$3),'Сводный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график'!$B$1:$B$4),MATCH(DATE($AV$1,MONTH($B$64),AF$3),'Сводный годовой график'!$C$11:$AR$11)))</f>
        <v>#N/A</v>
      </c>
      <c r="AG70" s="92" t="e">
        <f ca="1">IF(AND(INDEX('Сводный годовой график'!$C$1:$AR$4,MATCH($C$70,'Сводный годовой график'!$B$1:$B$4),MATCH(DATE($AV$1,MONTH($B$64),AG$3),'Сводный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график'!$B$1:$B$4),MATCH(DATE($AV$1,MONTH($B$64),AG$3),'Сводный годовой график'!$C$11:$AR$11)))</f>
        <v>#N/A</v>
      </c>
      <c r="AH70" s="92" t="e">
        <f ca="1">IF(AND(INDEX('Сводный годовой график'!$C$1:$AR$4,MATCH($C$70,'Сводный годовой график'!$B$1:$B$4),MATCH(DATE($AV$1,MONTH($B$64),AH$3),'Сводный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график'!$B$1:$B$4),MATCH(DATE($AV$1,MONTH($B$64),AH$3),'Сводный годовой график'!$C$11:$AR$11)))</f>
        <v>#N/A</v>
      </c>
      <c r="AI70" s="97" t="e">
        <f ca="1">IF(AND(INDEX('Сводный годовой график'!$C$1:$AR$4,MATCH($C$70,'Сводный годовой график'!$B$1:$B$4),MATCH(DATE($AV$1,MONTH($B$64),AI$3),'Сводный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график'!$B$1:$B$4),MATCH(DATE($AV$1,MONTH($B$64),AI$3),'Сводный годовой график'!$C$11:$AR$11)))</f>
        <v>#N/A</v>
      </c>
      <c r="AJ70" s="206"/>
      <c r="AK70" s="223">
        <f>$AJ$64-SUM(AY70:CC71)</f>
        <v>184</v>
      </c>
      <c r="AL70" s="209" t="e">
        <f t="shared" ref="AL70" ca="1" si="120">SUM(E70:AI71)</f>
        <v>#N/A</v>
      </c>
      <c r="AM70" s="209">
        <v>0</v>
      </c>
      <c r="AN70" s="211" t="e">
        <f t="shared" ref="AN70" ca="1" si="121">-AM70-AK70+AL70</f>
        <v>#N/A</v>
      </c>
      <c r="AO70" s="211">
        <v>0</v>
      </c>
      <c r="AP70" s="211" t="e">
        <f t="shared" ref="AP70" ca="1" si="122">AN70+AP60</f>
        <v>#N/A</v>
      </c>
      <c r="AQ70" s="209">
        <v>1</v>
      </c>
      <c r="AR70" s="210">
        <v>1</v>
      </c>
      <c r="AS70" s="21"/>
      <c r="CK70" s="59"/>
      <c r="CL70" s="59"/>
      <c r="CM70" s="59"/>
      <c r="CN70" s="59"/>
      <c r="CO70" s="59"/>
      <c r="CP70" s="59"/>
      <c r="CQ70" s="59"/>
      <c r="CR70" s="59"/>
      <c r="CS70" s="59"/>
      <c r="CT70" s="59"/>
      <c r="CU70" s="59"/>
      <c r="CV70" s="59"/>
      <c r="CW70" s="59"/>
      <c r="CX70" s="59"/>
      <c r="CY70" s="59"/>
      <c r="CZ70" s="59"/>
      <c r="DA70" s="59"/>
      <c r="DB70" s="59"/>
      <c r="DC70" s="59"/>
      <c r="DD70" s="59"/>
      <c r="DE70" s="59"/>
      <c r="DF70" s="59"/>
      <c r="DG70" s="59"/>
      <c r="DH70" s="59"/>
      <c r="DI70" s="59"/>
      <c r="DJ70" s="59"/>
      <c r="DK70" s="59"/>
      <c r="DL70" s="59"/>
      <c r="DM70" s="59"/>
      <c r="DN70" s="59"/>
      <c r="DO70" s="59"/>
    </row>
    <row r="71" spans="2:119" ht="16.5" thickBot="1" x14ac:dyDescent="0.3">
      <c r="B71" s="201"/>
      <c r="C71" s="197"/>
      <c r="D71" s="82">
        <v>8</v>
      </c>
      <c r="E71" s="96" t="str">
        <f t="shared" ref="E71:AI71" si="123">IF(INDEX($CK$4:$DO$123,ROW()-3,E$3)=0,"","СП")</f>
        <v/>
      </c>
      <c r="F71" s="92" t="str">
        <f t="shared" si="123"/>
        <v/>
      </c>
      <c r="G71" s="92" t="str">
        <f t="shared" si="123"/>
        <v/>
      </c>
      <c r="H71" s="92" t="str">
        <f t="shared" si="123"/>
        <v/>
      </c>
      <c r="I71" s="92" t="str">
        <f t="shared" si="123"/>
        <v/>
      </c>
      <c r="J71" s="92" t="str">
        <f t="shared" si="123"/>
        <v/>
      </c>
      <c r="K71" s="92" t="str">
        <f t="shared" si="123"/>
        <v/>
      </c>
      <c r="L71" s="92" t="str">
        <f t="shared" si="123"/>
        <v/>
      </c>
      <c r="M71" s="92" t="str">
        <f t="shared" si="123"/>
        <v/>
      </c>
      <c r="N71" s="92" t="str">
        <f t="shared" si="123"/>
        <v>СП</v>
      </c>
      <c r="O71" s="92" t="str">
        <f t="shared" si="123"/>
        <v/>
      </c>
      <c r="P71" s="92" t="str">
        <f t="shared" si="123"/>
        <v/>
      </c>
      <c r="Q71" s="92" t="str">
        <f t="shared" si="123"/>
        <v/>
      </c>
      <c r="R71" s="92" t="str">
        <f t="shared" si="123"/>
        <v/>
      </c>
      <c r="S71" s="92" t="str">
        <f t="shared" si="123"/>
        <v/>
      </c>
      <c r="T71" s="92" t="str">
        <f t="shared" si="123"/>
        <v/>
      </c>
      <c r="U71" s="92" t="str">
        <f t="shared" si="123"/>
        <v/>
      </c>
      <c r="V71" s="92" t="str">
        <f t="shared" si="123"/>
        <v/>
      </c>
      <c r="W71" s="92" t="str">
        <f t="shared" si="123"/>
        <v/>
      </c>
      <c r="X71" s="92" t="str">
        <f t="shared" si="123"/>
        <v/>
      </c>
      <c r="Y71" s="92" t="str">
        <f t="shared" si="123"/>
        <v/>
      </c>
      <c r="Z71" s="92" t="str">
        <f t="shared" si="123"/>
        <v/>
      </c>
      <c r="AA71" s="92" t="str">
        <f t="shared" si="123"/>
        <v/>
      </c>
      <c r="AB71" s="92" t="str">
        <f t="shared" si="123"/>
        <v/>
      </c>
      <c r="AC71" s="92" t="str">
        <f t="shared" si="123"/>
        <v/>
      </c>
      <c r="AD71" s="92" t="str">
        <f t="shared" si="123"/>
        <v/>
      </c>
      <c r="AE71" s="92" t="str">
        <f t="shared" si="123"/>
        <v/>
      </c>
      <c r="AF71" s="92" t="str">
        <f t="shared" si="123"/>
        <v/>
      </c>
      <c r="AG71" s="92" t="str">
        <f t="shared" si="123"/>
        <v/>
      </c>
      <c r="AH71" s="92" t="str">
        <f t="shared" si="123"/>
        <v/>
      </c>
      <c r="AI71" s="97" t="str">
        <f t="shared" si="123"/>
        <v/>
      </c>
      <c r="AJ71" s="206"/>
      <c r="AK71" s="220"/>
      <c r="AL71" s="209"/>
      <c r="AM71" s="209"/>
      <c r="AN71" s="211"/>
      <c r="AO71" s="211"/>
      <c r="AP71" s="211"/>
      <c r="AQ71" s="209"/>
      <c r="AR71" s="210"/>
      <c r="CK71" s="58">
        <f>IF(DAY(INDEX('Сводный годовой график'!$BA$4:$BL$14,$C70,MONTH($B$64)))=E$3,1,0)</f>
        <v>0</v>
      </c>
      <c r="CL71" s="58">
        <f>IF(DAY(INDEX('Сводный годовой график'!$BA$4:$BL$14,$C70,MONTH($B$64)))=F$3,1,0)</f>
        <v>0</v>
      </c>
      <c r="CM71" s="58">
        <f>IF(DAY(INDEX('Сводный годовой график'!$BA$4:$BL$14,$C70,MONTH($B$64)))=G$3,1,0)</f>
        <v>0</v>
      </c>
      <c r="CN71" s="58">
        <f>IF(DAY(INDEX('Сводный годовой график'!$BA$4:$BL$14,$C70,MONTH($B$64)))=H$3,1,0)</f>
        <v>0</v>
      </c>
      <c r="CO71" s="58">
        <f>IF(DAY(INDEX('Сводный годовой график'!$BA$4:$BL$14,$C70,MONTH($B$64)))=I$3,1,0)</f>
        <v>0</v>
      </c>
      <c r="CP71" s="58">
        <f>IF(DAY(INDEX('Сводный годовой график'!$BA$4:$BL$14,$C70,MONTH($B$64)))=J$3,1,0)</f>
        <v>0</v>
      </c>
      <c r="CQ71" s="58">
        <f>IF(DAY(INDEX('Сводный годовой график'!$BA$4:$BL$14,$C70,MONTH($B$64)))=K$3,1,0)</f>
        <v>0</v>
      </c>
      <c r="CR71" s="58">
        <f>IF(DAY(INDEX('Сводный годовой график'!$BA$4:$BL$14,$C70,MONTH($B$64)))=L$3,1,0)</f>
        <v>0</v>
      </c>
      <c r="CS71" s="58">
        <f>IF(DAY(INDEX('Сводный годовой график'!$BA$4:$BL$14,$C70,MONTH($B$64)))=M$3,1,0)</f>
        <v>0</v>
      </c>
      <c r="CT71" s="58">
        <f>IF(DAY(INDEX('Сводный годовой график'!$BA$4:$BL$14,$C70,MONTH($B$64)))=N$3,1,0)</f>
        <v>1</v>
      </c>
      <c r="CU71" s="58">
        <f>IF(DAY(INDEX('Сводный годовой график'!$BA$4:$BL$14,$C70,MONTH($B$64)))=O$3,1,0)</f>
        <v>0</v>
      </c>
      <c r="CV71" s="58">
        <f>IF(DAY(INDEX('Сводный годовой график'!$BA$4:$BL$14,$C70,MONTH($B$64)))=P$3,1,0)</f>
        <v>0</v>
      </c>
      <c r="CW71" s="58">
        <f>IF(DAY(INDEX('Сводный годовой график'!$BA$4:$BL$14,$C70,MONTH($B$64)))=Q$3,1,0)</f>
        <v>0</v>
      </c>
      <c r="CX71" s="58">
        <f>IF(DAY(INDEX('Сводный годовой график'!$BA$4:$BL$14,$C70,MONTH($B$64)))=R$3,1,0)</f>
        <v>0</v>
      </c>
      <c r="CY71" s="58">
        <f>IF(DAY(INDEX('Сводный годовой график'!$BA$4:$BL$14,$C70,MONTH($B$64)))=S$3,1,0)</f>
        <v>0</v>
      </c>
      <c r="CZ71" s="58">
        <f>IF(DAY(INDEX('Сводный годовой график'!$BA$4:$BL$14,$C70,MONTH($B$64)))=T$3,1,0)</f>
        <v>0</v>
      </c>
      <c r="DA71" s="58">
        <f>IF(DAY(INDEX('Сводный годовой график'!$BA$4:$BL$14,$C70,MONTH($B$64)))=U$3,1,0)</f>
        <v>0</v>
      </c>
      <c r="DB71" s="58">
        <f>IF(DAY(INDEX('Сводный годовой график'!$BA$4:$BL$14,$C70,MONTH($B$64)))=V$3,1,0)</f>
        <v>0</v>
      </c>
      <c r="DC71" s="58">
        <f>IF(DAY(INDEX('Сводный годовой график'!$BA$4:$BL$14,$C70,MONTH($B$64)))=W$3,1,0)</f>
        <v>0</v>
      </c>
      <c r="DD71" s="58">
        <f>IF(DAY(INDEX('Сводный годовой график'!$BA$4:$BL$14,$C70,MONTH($B$64)))=X$3,1,0)</f>
        <v>0</v>
      </c>
      <c r="DE71" s="58">
        <f>IF(DAY(INDEX('Сводный годовой график'!$BA$4:$BL$14,$C70,MONTH($B$64)))=Y$3,1,0)</f>
        <v>0</v>
      </c>
      <c r="DF71" s="58">
        <f>IF(DAY(INDEX('Сводный годовой график'!$BA$4:$BL$14,$C70,MONTH($B$64)))=Z$3,1,0)</f>
        <v>0</v>
      </c>
      <c r="DG71" s="58">
        <f>IF(DAY(INDEX('Сводный годовой график'!$BA$4:$BL$14,$C70,MONTH($B$64)))=AA$3,1,0)</f>
        <v>0</v>
      </c>
      <c r="DH71" s="58">
        <f>IF(DAY(INDEX('Сводный годовой график'!$BA$4:$BL$14,$C70,MONTH($B$64)))=AB$3,1,0)</f>
        <v>0</v>
      </c>
      <c r="DI71" s="58">
        <f>IF(DAY(INDEX('Сводный годовой график'!$BA$4:$BL$14,$C70,MONTH($B$64)))=AC$3,1,0)</f>
        <v>0</v>
      </c>
      <c r="DJ71" s="58">
        <f>IF(DAY(INDEX('Сводный годовой график'!$BA$4:$BL$14,$C70,MONTH($B$64)))=AD$3,1,0)</f>
        <v>0</v>
      </c>
      <c r="DK71" s="58">
        <f>IF(DAY(INDEX('Сводный годовой график'!$BA$4:$BL$14,$C70,MONTH($B$64)))=AE$3,1,0)</f>
        <v>0</v>
      </c>
      <c r="DL71" s="58">
        <f>IF(DAY(INDEX('Сводный годовой график'!$BA$4:$BL$14,$C70,MONTH($B$64)))=AF$3,1,0)</f>
        <v>0</v>
      </c>
      <c r="DM71" s="58">
        <f>IF(DAY(INDEX('Сводный годовой график'!$BA$4:$BL$14,$C70,MONTH($B$64)))=AG$3,1,0)</f>
        <v>0</v>
      </c>
      <c r="DN71" s="58">
        <f>IF(DAY(INDEX('Сводный годовой график'!$BA$4:$BL$14,$C70,MONTH($B$64)))=AH$3,1,0)</f>
        <v>0</v>
      </c>
      <c r="DO71" s="58">
        <f>IF(DAY(INDEX('Сводный годовой график'!$BA$4:$BL$14,$C70,MONTH($B$64)))=AI$3,1,0)</f>
        <v>0</v>
      </c>
    </row>
    <row r="72" spans="2:119" ht="16.5" thickBot="1" x14ac:dyDescent="0.3">
      <c r="B72" s="201"/>
      <c r="C72" s="196">
        <v>5</v>
      </c>
      <c r="D72" s="81">
        <v>9</v>
      </c>
      <c r="E72" s="96" t="s">
        <v>36</v>
      </c>
      <c r="F72" s="92" t="s">
        <v>36</v>
      </c>
      <c r="G72" s="92" t="s">
        <v>36</v>
      </c>
      <c r="H72" s="92" t="s">
        <v>36</v>
      </c>
      <c r="I72" s="92" t="s">
        <v>36</v>
      </c>
      <c r="J72" s="92" t="s">
        <v>36</v>
      </c>
      <c r="K72" s="92" t="s">
        <v>36</v>
      </c>
      <c r="L72" s="92" t="s">
        <v>36</v>
      </c>
      <c r="M72" s="92" t="s">
        <v>36</v>
      </c>
      <c r="N72" s="92" t="s">
        <v>36</v>
      </c>
      <c r="O72" s="92" t="s">
        <v>36</v>
      </c>
      <c r="P72" s="92" t="s">
        <v>36</v>
      </c>
      <c r="Q72" s="92" t="s">
        <v>36</v>
      </c>
      <c r="R72" s="92" t="s">
        <v>36</v>
      </c>
      <c r="S72" s="92" t="s">
        <v>36</v>
      </c>
      <c r="T72" s="92" t="s">
        <v>36</v>
      </c>
      <c r="U72" s="92" t="s">
        <v>36</v>
      </c>
      <c r="V72" s="92" t="s">
        <v>36</v>
      </c>
      <c r="W72" s="92" t="s">
        <v>36</v>
      </c>
      <c r="X72" s="92" t="s">
        <v>36</v>
      </c>
      <c r="Y72" s="92" t="s">
        <v>36</v>
      </c>
      <c r="Z72" s="92" t="s">
        <v>36</v>
      </c>
      <c r="AA72" s="92" t="s">
        <v>36</v>
      </c>
      <c r="AB72" s="92" t="s">
        <v>36</v>
      </c>
      <c r="AC72" s="92" t="s">
        <v>36</v>
      </c>
      <c r="AD72" s="92" t="s">
        <v>36</v>
      </c>
      <c r="AE72" s="92" t="s">
        <v>36</v>
      </c>
      <c r="AF72" s="92" t="s">
        <v>36</v>
      </c>
      <c r="AG72" s="92" t="s">
        <v>36</v>
      </c>
      <c r="AH72" s="92" t="s">
        <v>36</v>
      </c>
      <c r="AI72" s="97" t="s">
        <v>36</v>
      </c>
      <c r="AJ72" s="206"/>
      <c r="AK72" s="221">
        <f>$AJ$64-SUM(AY72:CC73)</f>
        <v>184</v>
      </c>
      <c r="AL72" s="209">
        <f t="shared" ref="AL72" si="124">SUM(E72:AI73)</f>
        <v>0</v>
      </c>
      <c r="AM72" s="209">
        <v>0</v>
      </c>
      <c r="AN72" s="211">
        <f t="shared" ref="AN72" si="125">-AM72-AK72+AL72</f>
        <v>-184</v>
      </c>
      <c r="AO72" s="211">
        <v>0</v>
      </c>
      <c r="AP72" s="211">
        <f t="shared" ref="AP72" si="126">AN72+AP62</f>
        <v>-1141</v>
      </c>
      <c r="AQ72" s="209">
        <v>9</v>
      </c>
      <c r="AR72" s="210">
        <v>0</v>
      </c>
      <c r="CK72" s="59"/>
      <c r="CL72" s="59"/>
      <c r="CM72" s="59"/>
      <c r="CN72" s="59"/>
      <c r="CO72" s="59"/>
      <c r="CP72" s="59"/>
      <c r="CQ72" s="59"/>
      <c r="CR72" s="59"/>
      <c r="CS72" s="59"/>
      <c r="CT72" s="59"/>
      <c r="CU72" s="59"/>
      <c r="CV72" s="59"/>
      <c r="CW72" s="59"/>
      <c r="CX72" s="59"/>
      <c r="CY72" s="59"/>
      <c r="CZ72" s="59"/>
      <c r="DA72" s="59"/>
      <c r="DB72" s="59"/>
      <c r="DC72" s="59"/>
      <c r="DD72" s="59"/>
      <c r="DE72" s="59"/>
      <c r="DF72" s="59"/>
      <c r="DG72" s="59"/>
      <c r="DH72" s="59"/>
      <c r="DI72" s="59"/>
      <c r="DJ72" s="59"/>
      <c r="DK72" s="59"/>
      <c r="DL72" s="59"/>
      <c r="DM72" s="59"/>
      <c r="DN72" s="59"/>
      <c r="DO72" s="59"/>
    </row>
    <row r="73" spans="2:119" ht="16.5" thickBot="1" x14ac:dyDescent="0.3">
      <c r="B73" s="202"/>
      <c r="C73" s="197"/>
      <c r="D73" s="82">
        <v>10</v>
      </c>
      <c r="E73" s="87" t="str">
        <f t="shared" ref="E73:AI73" si="127">IF(INDEX($CK$4:$DO$123,ROW()-3,E$3)=0,"","СП")</f>
        <v/>
      </c>
      <c r="F73" s="30" t="str">
        <f t="shared" si="127"/>
        <v/>
      </c>
      <c r="G73" s="30" t="str">
        <f t="shared" si="127"/>
        <v/>
      </c>
      <c r="H73" s="30" t="str">
        <f t="shared" si="127"/>
        <v/>
      </c>
      <c r="I73" s="30" t="str">
        <f t="shared" si="127"/>
        <v/>
      </c>
      <c r="J73" s="30" t="str">
        <f t="shared" si="127"/>
        <v/>
      </c>
      <c r="K73" s="30" t="str">
        <f t="shared" si="127"/>
        <v/>
      </c>
      <c r="L73" s="30" t="str">
        <f t="shared" si="127"/>
        <v/>
      </c>
      <c r="M73" s="30" t="str">
        <f t="shared" si="127"/>
        <v/>
      </c>
      <c r="N73" s="30" t="str">
        <f t="shared" si="127"/>
        <v/>
      </c>
      <c r="O73" s="30" t="str">
        <f t="shared" si="127"/>
        <v>СП</v>
      </c>
      <c r="P73" s="30" t="str">
        <f t="shared" si="127"/>
        <v/>
      </c>
      <c r="Q73" s="30" t="str">
        <f t="shared" si="127"/>
        <v/>
      </c>
      <c r="R73" s="30" t="str">
        <f t="shared" si="127"/>
        <v/>
      </c>
      <c r="S73" s="30" t="str">
        <f t="shared" si="127"/>
        <v/>
      </c>
      <c r="T73" s="30" t="str">
        <f t="shared" si="127"/>
        <v/>
      </c>
      <c r="U73" s="30" t="str">
        <f t="shared" si="127"/>
        <v/>
      </c>
      <c r="V73" s="30" t="str">
        <f t="shared" si="127"/>
        <v/>
      </c>
      <c r="W73" s="30" t="str">
        <f t="shared" si="127"/>
        <v/>
      </c>
      <c r="X73" s="30" t="str">
        <f t="shared" si="127"/>
        <v/>
      </c>
      <c r="Y73" s="30" t="str">
        <f t="shared" si="127"/>
        <v/>
      </c>
      <c r="Z73" s="30" t="str">
        <f t="shared" si="127"/>
        <v/>
      </c>
      <c r="AA73" s="30" t="str">
        <f t="shared" si="127"/>
        <v/>
      </c>
      <c r="AB73" s="30" t="str">
        <f t="shared" si="127"/>
        <v/>
      </c>
      <c r="AC73" s="30" t="str">
        <f t="shared" si="127"/>
        <v/>
      </c>
      <c r="AD73" s="30" t="str">
        <f t="shared" si="127"/>
        <v/>
      </c>
      <c r="AE73" s="30" t="str">
        <f t="shared" si="127"/>
        <v/>
      </c>
      <c r="AF73" s="30" t="str">
        <f t="shared" si="127"/>
        <v/>
      </c>
      <c r="AG73" s="30" t="str">
        <f t="shared" si="127"/>
        <v/>
      </c>
      <c r="AH73" s="30" t="str">
        <f t="shared" si="127"/>
        <v/>
      </c>
      <c r="AI73" s="91" t="str">
        <f t="shared" si="127"/>
        <v/>
      </c>
      <c r="AJ73" s="207"/>
      <c r="AK73" s="222"/>
      <c r="AL73" s="213"/>
      <c r="AM73" s="213"/>
      <c r="AN73" s="214"/>
      <c r="AO73" s="214"/>
      <c r="AP73" s="214"/>
      <c r="AQ73" s="213"/>
      <c r="AR73" s="215"/>
      <c r="CK73" s="58">
        <f>IF(DAY(INDEX('Сводный годовой график'!$BA$4:$BL$14,$C72,MONTH($B$64)))=E$3,1,0)</f>
        <v>0</v>
      </c>
      <c r="CL73" s="58">
        <f>IF(DAY(INDEX('Сводный годовой график'!$BA$4:$BL$14,$C72,MONTH($B$64)))=F$3,1,0)</f>
        <v>0</v>
      </c>
      <c r="CM73" s="58">
        <f>IF(DAY(INDEX('Сводный годовой график'!$BA$4:$BL$14,$C72,MONTH($B$64)))=G$3,1,0)</f>
        <v>0</v>
      </c>
      <c r="CN73" s="58">
        <f>IF(DAY(INDEX('Сводный годовой график'!$BA$4:$BL$14,$C72,MONTH($B$64)))=H$3,1,0)</f>
        <v>0</v>
      </c>
      <c r="CO73" s="58">
        <f>IF(DAY(INDEX('Сводный годовой график'!$BA$4:$BL$14,$C72,MONTH($B$64)))=I$3,1,0)</f>
        <v>0</v>
      </c>
      <c r="CP73" s="58">
        <f>IF(DAY(INDEX('Сводный годовой график'!$BA$4:$BL$14,$C72,MONTH($B$64)))=J$3,1,0)</f>
        <v>0</v>
      </c>
      <c r="CQ73" s="58">
        <f>IF(DAY(INDEX('Сводный годовой график'!$BA$4:$BL$14,$C72,MONTH($B$64)))=K$3,1,0)</f>
        <v>0</v>
      </c>
      <c r="CR73" s="58">
        <f>IF(DAY(INDEX('Сводный годовой график'!$BA$4:$BL$14,$C72,MONTH($B$64)))=L$3,1,0)</f>
        <v>0</v>
      </c>
      <c r="CS73" s="58">
        <f>IF(DAY(INDEX('Сводный годовой график'!$BA$4:$BL$14,$C72,MONTH($B$64)))=M$3,1,0)</f>
        <v>0</v>
      </c>
      <c r="CT73" s="58">
        <f>IF(DAY(INDEX('Сводный годовой график'!$BA$4:$BL$14,$C72,MONTH($B$64)))=N$3,1,0)</f>
        <v>0</v>
      </c>
      <c r="CU73" s="58">
        <f>IF(DAY(INDEX('Сводный годовой график'!$BA$4:$BL$14,$C72,MONTH($B$64)))=O$3,1,0)</f>
        <v>1</v>
      </c>
      <c r="CV73" s="58">
        <f>IF(DAY(INDEX('Сводный годовой график'!$BA$4:$BL$14,$C72,MONTH($B$64)))=P$3,1,0)</f>
        <v>0</v>
      </c>
      <c r="CW73" s="58">
        <f>IF(DAY(INDEX('Сводный годовой график'!$BA$4:$BL$14,$C72,MONTH($B$64)))=Q$3,1,0)</f>
        <v>0</v>
      </c>
      <c r="CX73" s="58">
        <f>IF(DAY(INDEX('Сводный годовой график'!$BA$4:$BL$14,$C72,MONTH($B$64)))=R$3,1,0)</f>
        <v>0</v>
      </c>
      <c r="CY73" s="58">
        <f>IF(DAY(INDEX('Сводный годовой график'!$BA$4:$BL$14,$C72,MONTH($B$64)))=S$3,1,0)</f>
        <v>0</v>
      </c>
      <c r="CZ73" s="58">
        <f>IF(DAY(INDEX('Сводный годовой график'!$BA$4:$BL$14,$C72,MONTH($B$64)))=T$3,1,0)</f>
        <v>0</v>
      </c>
      <c r="DA73" s="58">
        <f>IF(DAY(INDEX('Сводный годовой график'!$BA$4:$BL$14,$C72,MONTH($B$64)))=U$3,1,0)</f>
        <v>0</v>
      </c>
      <c r="DB73" s="58">
        <f>IF(DAY(INDEX('Сводный годовой график'!$BA$4:$BL$14,$C72,MONTH($B$64)))=V$3,1,0)</f>
        <v>0</v>
      </c>
      <c r="DC73" s="58">
        <f>IF(DAY(INDEX('Сводный годовой график'!$BA$4:$BL$14,$C72,MONTH($B$64)))=W$3,1,0)</f>
        <v>0</v>
      </c>
      <c r="DD73" s="58">
        <f>IF(DAY(INDEX('Сводный годовой график'!$BA$4:$BL$14,$C72,MONTH($B$64)))=X$3,1,0)</f>
        <v>0</v>
      </c>
      <c r="DE73" s="58">
        <f>IF(DAY(INDEX('Сводный годовой график'!$BA$4:$BL$14,$C72,MONTH($B$64)))=Y$3,1,0)</f>
        <v>0</v>
      </c>
      <c r="DF73" s="58">
        <f>IF(DAY(INDEX('Сводный годовой график'!$BA$4:$BL$14,$C72,MONTH($B$64)))=Z$3,1,0)</f>
        <v>0</v>
      </c>
      <c r="DG73" s="58">
        <f>IF(DAY(INDEX('Сводный годовой график'!$BA$4:$BL$14,$C72,MONTH($B$64)))=AA$3,1,0)</f>
        <v>0</v>
      </c>
      <c r="DH73" s="58">
        <f>IF(DAY(INDEX('Сводный годовой график'!$BA$4:$BL$14,$C72,MONTH($B$64)))=AB$3,1,0)</f>
        <v>0</v>
      </c>
      <c r="DI73" s="58">
        <f>IF(DAY(INDEX('Сводный годовой график'!$BA$4:$BL$14,$C72,MONTH($B$64)))=AC$3,1,0)</f>
        <v>0</v>
      </c>
      <c r="DJ73" s="58">
        <f>IF(DAY(INDEX('Сводный годовой график'!$BA$4:$BL$14,$C72,MONTH($B$64)))=AD$3,1,0)</f>
        <v>0</v>
      </c>
      <c r="DK73" s="58">
        <f>IF(DAY(INDEX('Сводный годовой график'!$BA$4:$BL$14,$C72,MONTH($B$64)))=AE$3,1,0)</f>
        <v>0</v>
      </c>
      <c r="DL73" s="58">
        <f>IF(DAY(INDEX('Сводный годовой график'!$BA$4:$BL$14,$C72,MONTH($B$64)))=AF$3,1,0)</f>
        <v>0</v>
      </c>
      <c r="DM73" s="58">
        <f>IF(DAY(INDEX('Сводный годовой график'!$BA$4:$BL$14,$C72,MONTH($B$64)))=AG$3,1,0)</f>
        <v>0</v>
      </c>
      <c r="DN73" s="58">
        <f>IF(DAY(INDEX('Сводный годовой график'!$BA$4:$BL$14,$C72,MONTH($B$64)))=AH$3,1,0)</f>
        <v>0</v>
      </c>
      <c r="DO73" s="58">
        <f>IF(DAY(INDEX('Сводный годовой график'!$BA$4:$BL$14,$C72,MONTH($B$64)))=AI$3,1,0)</f>
        <v>0</v>
      </c>
    </row>
    <row r="74" spans="2:119" ht="17.25" customHeight="1" thickTop="1" thickBot="1" x14ac:dyDescent="0.3">
      <c r="B74" s="200">
        <f>DATE($AV$1,8,1)</f>
        <v>45870</v>
      </c>
      <c r="C74" s="196">
        <v>1</v>
      </c>
      <c r="D74" s="81">
        <v>1</v>
      </c>
      <c r="E74" s="83" t="e">
        <f ca="1">IF(AND(INDEX('Сводный годовой график'!$C$1:$AR$4,MATCH($C$74,'Сводный годовой график'!$B$1:$B$4),MATCH(DATE($AV$1,MONTH($B$74),E$3),'Сводный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график'!$B$1:$B$4),MATCH(DATE($AV$1,MONTH($B$74),E$3),'Сводный годовой график'!$C$12:$AR$12)))</f>
        <v>#N/A</v>
      </c>
      <c r="F74" s="28" t="e">
        <f ca="1">IF(AND(INDEX('Сводный годовой график'!$C$1:$AR$4,MATCH($C$74,'Сводный годовой график'!$B$1:$B$4),MATCH(DATE($AV$1,MONTH($B$74),F$3),'Сводный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график'!$B$1:$B$4),MATCH(DATE($AV$1,MONTH($B$74),F$3),'Сводный годовой график'!$C$12:$AR$12)))</f>
        <v>#N/A</v>
      </c>
      <c r="G74" s="28" t="e">
        <f ca="1">IF(AND(INDEX('Сводный годовой график'!$C$1:$AR$4,MATCH($C$74,'Сводный годовой график'!$B$1:$B$4),MATCH(DATE($AV$1,MONTH($B$74),G$3),'Сводный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график'!$B$1:$B$4),MATCH(DATE($AV$1,MONTH($B$74),G$3),'Сводный годовой график'!$C$12:$AR$12)))</f>
        <v>#N/A</v>
      </c>
      <c r="H74" s="28" t="e">
        <f ca="1">IF(AND(INDEX('Сводный годовой график'!$C$1:$AR$4,MATCH($C$74,'Сводный годовой график'!$B$1:$B$4),MATCH(DATE($AV$1,MONTH($B$74),H$3),'Сводный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график'!$B$1:$B$4),MATCH(DATE($AV$1,MONTH($B$74),H$3),'Сводный годовой график'!$C$12:$AR$12)))</f>
        <v>#N/A</v>
      </c>
      <c r="I74" s="28" t="e">
        <f ca="1">IF(AND(INDEX('Сводный годовой график'!$C$1:$AR$4,MATCH($C$74,'Сводный годовой график'!$B$1:$B$4),MATCH(DATE($AV$1,MONTH($B$74),I$3),'Сводный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график'!$B$1:$B$4),MATCH(DATE($AV$1,MONTH($B$74),I$3),'Сводный годовой график'!$C$12:$AR$12)))</f>
        <v>#N/A</v>
      </c>
      <c r="J74" s="28" t="e">
        <f ca="1">IF(AND(INDEX('Сводный годовой график'!$C$1:$AR$4,MATCH($C$74,'Сводный годовой график'!$B$1:$B$4),MATCH(DATE($AV$1,MONTH($B$74),J$3),'Сводный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график'!$B$1:$B$4),MATCH(DATE($AV$1,MONTH($B$74),J$3),'Сводный годовой график'!$C$12:$AR$12)))</f>
        <v>#N/A</v>
      </c>
      <c r="K74" s="28" t="e">
        <f ca="1">IF(AND(INDEX('Сводный годовой график'!$C$1:$AR$4,MATCH($C$74,'Сводный годовой график'!$B$1:$B$4),MATCH(DATE($AV$1,MONTH($B$74),K$3),'Сводный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график'!$B$1:$B$4),MATCH(DATE($AV$1,MONTH($B$74),K$3),'Сводный годовой график'!$C$12:$AR$12)))</f>
        <v>#N/A</v>
      </c>
      <c r="L74" s="28" t="e">
        <f ca="1">IF(AND(INDEX('Сводный годовой график'!$C$1:$AR$4,MATCH($C$74,'Сводный годовой график'!$B$1:$B$4),MATCH(DATE($AV$1,MONTH($B$74),L$3),'Сводный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график'!$B$1:$B$4),MATCH(DATE($AV$1,MONTH($B$74),L$3),'Сводный годовой график'!$C$12:$AR$12)))</f>
        <v>#N/A</v>
      </c>
      <c r="M74" s="28" t="e">
        <f ca="1">IF(AND(INDEX('Сводный годовой график'!$C$1:$AR$4,MATCH($C$74,'Сводный годовой график'!$B$1:$B$4),MATCH(DATE($AV$1,MONTH($B$74),M$3),'Сводный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график'!$B$1:$B$4),MATCH(DATE($AV$1,MONTH($B$74),M$3),'Сводный годовой график'!$C$12:$AR$12)))</f>
        <v>#N/A</v>
      </c>
      <c r="N74" s="28" t="e">
        <f ca="1">IF(AND(INDEX('Сводный годовой график'!$C$1:$AR$4,MATCH($C$74,'Сводный годовой график'!$B$1:$B$4),MATCH(DATE($AV$1,MONTH($B$74),N$3),'Сводный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график'!$B$1:$B$4),MATCH(DATE($AV$1,MONTH($B$74),N$3),'Сводный годовой график'!$C$12:$AR$12)))</f>
        <v>#N/A</v>
      </c>
      <c r="O74" s="28" t="e">
        <f ca="1">IF(AND(INDEX('Сводный годовой график'!$C$1:$AR$4,MATCH($C$74,'Сводный годовой график'!$B$1:$B$4),MATCH(DATE($AV$1,MONTH($B$74),O$3),'Сводный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график'!$B$1:$B$4),MATCH(DATE($AV$1,MONTH($B$74),O$3),'Сводный годовой график'!$C$12:$AR$12)))</f>
        <v>#N/A</v>
      </c>
      <c r="P74" s="28" t="e">
        <f ca="1">IF(AND(INDEX('Сводный годовой график'!$C$1:$AR$4,MATCH($C$74,'Сводный годовой график'!$B$1:$B$4),MATCH(DATE($AV$1,MONTH($B$74),P$3),'Сводный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график'!$B$1:$B$4),MATCH(DATE($AV$1,MONTH($B$74),P$3),'Сводный годовой график'!$C$12:$AR$12)))</f>
        <v>#N/A</v>
      </c>
      <c r="Q74" s="28" t="e">
        <f ca="1">IF(AND(INDEX('Сводный годовой график'!$C$1:$AR$4,MATCH($C$74,'Сводный годовой график'!$B$1:$B$4),MATCH(DATE($AV$1,MONTH($B$74),Q$3),'Сводный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график'!$B$1:$B$4),MATCH(DATE($AV$1,MONTH($B$74),Q$3),'Сводный годовой график'!$C$12:$AR$12)))</f>
        <v>#N/A</v>
      </c>
      <c r="R74" s="28" t="e">
        <f ca="1">IF(AND(INDEX('Сводный годовой график'!$C$1:$AR$4,MATCH($C$74,'Сводный годовой график'!$B$1:$B$4),MATCH(DATE($AV$1,MONTH($B$74),R$3),'Сводный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график'!$B$1:$B$4),MATCH(DATE($AV$1,MONTH($B$74),R$3),'Сводный годовой график'!$C$12:$AR$12)))</f>
        <v>#N/A</v>
      </c>
      <c r="S74" s="28" t="e">
        <f ca="1">IF(AND(INDEX('Сводный годовой график'!$C$1:$AR$4,MATCH($C$74,'Сводный годовой график'!$B$1:$B$4),MATCH(DATE($AV$1,MONTH($B$74),S$3),'Сводный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график'!$B$1:$B$4),MATCH(DATE($AV$1,MONTH($B$74),S$3),'Сводный годовой график'!$C$12:$AR$12)))</f>
        <v>#N/A</v>
      </c>
      <c r="T74" s="28" t="e">
        <f ca="1">IF(AND(INDEX('Сводный годовой график'!$C$1:$AR$4,MATCH($C$74,'Сводный годовой график'!$B$1:$B$4),MATCH(DATE($AV$1,MONTH($B$74),T$3),'Сводный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график'!$B$1:$B$4),MATCH(DATE($AV$1,MONTH($B$74),T$3),'Сводный годовой график'!$C$12:$AR$12)))</f>
        <v>#N/A</v>
      </c>
      <c r="U74" s="28" t="e">
        <f ca="1">IF(AND(INDEX('Сводный годовой график'!$C$1:$AR$4,MATCH($C$74,'Сводный годовой график'!$B$1:$B$4),MATCH(DATE($AV$1,MONTH($B$74),U$3),'Сводный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график'!$B$1:$B$4),MATCH(DATE($AV$1,MONTH($B$74),U$3),'Сводный годовой график'!$C$12:$AR$12)))</f>
        <v>#N/A</v>
      </c>
      <c r="V74" s="28" t="e">
        <f ca="1">IF(AND(INDEX('Сводный годовой график'!$C$1:$AR$4,MATCH($C$74,'Сводный годовой график'!$B$1:$B$4),MATCH(DATE($AV$1,MONTH($B$74),V$3),'Сводный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график'!$B$1:$B$4),MATCH(DATE($AV$1,MONTH($B$74),V$3),'Сводный годовой график'!$C$12:$AR$12)))</f>
        <v>#N/A</v>
      </c>
      <c r="W74" s="28" t="e">
        <f ca="1">IF(AND(INDEX('Сводный годовой график'!$C$1:$AR$4,MATCH($C$74,'Сводный годовой график'!$B$1:$B$4),MATCH(DATE($AV$1,MONTH($B$74),W$3),'Сводный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график'!$B$1:$B$4),MATCH(DATE($AV$1,MONTH($B$74),W$3),'Сводный годовой график'!$C$12:$AR$12)))</f>
        <v>#N/A</v>
      </c>
      <c r="X74" s="28" t="e">
        <f ca="1">IF(AND(INDEX('Сводный годовой график'!$C$1:$AR$4,MATCH($C$74,'Сводный годовой график'!$B$1:$B$4),MATCH(DATE($AV$1,MONTH($B$74),X$3),'Сводный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график'!$B$1:$B$4),MATCH(DATE($AV$1,MONTH($B$74),X$3),'Сводный годовой график'!$C$12:$AR$12)))</f>
        <v>#N/A</v>
      </c>
      <c r="Y74" s="28" t="e">
        <f ca="1">IF(AND(INDEX('Сводный годовой график'!$C$1:$AR$4,MATCH($C$74,'Сводный годовой график'!$B$1:$B$4),MATCH(DATE($AV$1,MONTH($B$74),Y$3),'Сводный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график'!$B$1:$B$4),MATCH(DATE($AV$1,MONTH($B$74),Y$3),'Сводный годовой график'!$C$12:$AR$12)))</f>
        <v>#N/A</v>
      </c>
      <c r="Z74" s="28" t="e">
        <f ca="1">IF(AND(INDEX('Сводный годовой график'!$C$1:$AR$4,MATCH($C$74,'Сводный годовой график'!$B$1:$B$4),MATCH(DATE($AV$1,MONTH($B$74),Z$3),'Сводный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график'!$B$1:$B$4),MATCH(DATE($AV$1,MONTH($B$74),Z$3),'Сводный годовой график'!$C$12:$AR$12)))</f>
        <v>#N/A</v>
      </c>
      <c r="AA74" s="28" t="e">
        <f ca="1">IF(AND(INDEX('Сводный годовой график'!$C$1:$AR$4,MATCH($C$74,'Сводный годовой график'!$B$1:$B$4),MATCH(DATE($AV$1,MONTH($B$74),AA$3),'Сводный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график'!$B$1:$B$4),MATCH(DATE($AV$1,MONTH($B$74),AA$3),'Сводный годовой график'!$C$12:$AR$12)))</f>
        <v>#N/A</v>
      </c>
      <c r="AB74" s="28" t="e">
        <f ca="1">IF(AND(INDEX('Сводный годовой график'!$C$1:$AR$4,MATCH($C$74,'Сводный годовой график'!$B$1:$B$4),MATCH(DATE($AV$1,MONTH($B$74),AB$3),'Сводный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график'!$B$1:$B$4),MATCH(DATE($AV$1,MONTH($B$74),AB$3),'Сводный годовой график'!$C$12:$AR$12)))</f>
        <v>#N/A</v>
      </c>
      <c r="AC74" s="28" t="e">
        <f ca="1">IF(AND(INDEX('Сводный годовой график'!$C$1:$AR$4,MATCH($C$74,'Сводный годовой график'!$B$1:$B$4),MATCH(DATE($AV$1,MONTH($B$74),AC$3),'Сводный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график'!$B$1:$B$4),MATCH(DATE($AV$1,MONTH($B$74),AC$3),'Сводный годовой график'!$C$12:$AR$12)))</f>
        <v>#N/A</v>
      </c>
      <c r="AD74" s="28" t="e">
        <f ca="1">IF(AND(INDEX('Сводный годовой график'!$C$1:$AR$4,MATCH($C$74,'Сводный годовой график'!$B$1:$B$4),MATCH(DATE($AV$1,MONTH($B$74),AD$3),'Сводный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график'!$B$1:$B$4),MATCH(DATE($AV$1,MONTH($B$74),AD$3),'Сводный годовой график'!$C$12:$AR$12)))</f>
        <v>#N/A</v>
      </c>
      <c r="AE74" s="28" t="e">
        <f ca="1">IF(AND(INDEX('Сводный годовой график'!$C$1:$AR$4,MATCH($C$74,'Сводный годовой график'!$B$1:$B$4),MATCH(DATE($AV$1,MONTH($B$74),AE$3),'Сводный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график'!$B$1:$B$4),MATCH(DATE($AV$1,MONTH($B$74),AE$3),'Сводный годовой график'!$C$12:$AR$12)))</f>
        <v>#N/A</v>
      </c>
      <c r="AF74" s="28" t="e">
        <f ca="1">IF(AND(INDEX('Сводный годовой график'!$C$1:$AR$4,MATCH($C$74,'Сводный годовой график'!$B$1:$B$4),MATCH(DATE($AV$1,MONTH($B$74),AF$3),'Сводный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график'!$B$1:$B$4),MATCH(DATE($AV$1,MONTH($B$74),AF$3),'Сводный годовой график'!$C$12:$AR$12)))</f>
        <v>#N/A</v>
      </c>
      <c r="AG74" s="28" t="e">
        <f ca="1">IF(AND(INDEX('Сводный годовой график'!$C$1:$AR$4,MATCH($C$74,'Сводный годовой график'!$B$1:$B$4),MATCH(DATE($AV$1,MONTH($B$74),AG$3),'Сводный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график'!$B$1:$B$4),MATCH(DATE($AV$1,MONTH($B$74),AG$3),'Сводный годовой график'!$C$12:$AR$12)))</f>
        <v>#N/A</v>
      </c>
      <c r="AH74" s="28" t="e">
        <f ca="1">IF(AND(INDEX('Сводный годовой график'!$C$1:$AR$4,MATCH($C$74,'Сводный годовой график'!$B$1:$B$4),MATCH(DATE($AV$1,MONTH($B$74),AH$3),'Сводный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график'!$B$1:$B$4),MATCH(DATE($AV$1,MONTH($B$74),AH$3),'Сводный годовой график'!$C$12:$AR$12)))</f>
        <v>#N/A</v>
      </c>
      <c r="AI74" s="95" t="e">
        <f ca="1">IF(AND(INDEX('Сводный годовой график'!$C$1:$AR$4,MATCH($C$74,'Сводный годовой график'!$B$1:$B$4),MATCH(DATE($AV$1,MONTH($B$74),AI$3),'Сводный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график'!$B$1:$B$4),MATCH(DATE($AV$1,MONTH($B$74),AI$3),'Сводный годовой график'!$C$12:$AR$12)))</f>
        <v>#N/A</v>
      </c>
      <c r="AJ74" s="205">
        <f>INDEX(Подключения!$D$3:$H$14,MONTH(B74),5)</f>
        <v>168</v>
      </c>
      <c r="AK74" s="203">
        <f>$AJ$74-SUM(AY74:CC75)</f>
        <v>168</v>
      </c>
      <c r="AL74" s="203" t="e">
        <f t="shared" ref="AL74" ca="1" si="128">SUM(E74:AI75)</f>
        <v>#N/A</v>
      </c>
      <c r="AM74" s="203">
        <v>0</v>
      </c>
      <c r="AN74" s="208" t="e">
        <f t="shared" ref="AN74" ca="1" si="129">-AM74-AK74+AL74</f>
        <v>#N/A</v>
      </c>
      <c r="AO74" s="208">
        <v>30</v>
      </c>
      <c r="AP74" s="208" t="e">
        <f ca="1">AN74+AP64-AO74</f>
        <v>#N/A</v>
      </c>
      <c r="AQ74" s="203">
        <v>20</v>
      </c>
      <c r="AR74" s="204">
        <v>1</v>
      </c>
      <c r="CK74" s="59"/>
      <c r="CL74" s="59"/>
      <c r="CM74" s="59"/>
      <c r="CN74" s="59"/>
      <c r="CO74" s="59"/>
      <c r="CP74" s="59"/>
      <c r="CQ74" s="59"/>
      <c r="CR74" s="59"/>
      <c r="CS74" s="59"/>
      <c r="CT74" s="59"/>
      <c r="CU74" s="59"/>
      <c r="CV74" s="59"/>
      <c r="CW74" s="59"/>
      <c r="CX74" s="59"/>
      <c r="CY74" s="59"/>
      <c r="CZ74" s="59"/>
      <c r="DA74" s="59"/>
      <c r="DB74" s="59"/>
      <c r="DC74" s="59"/>
      <c r="DD74" s="59"/>
      <c r="DE74" s="59"/>
      <c r="DF74" s="59"/>
      <c r="DG74" s="59"/>
      <c r="DH74" s="59"/>
      <c r="DI74" s="59"/>
      <c r="DJ74" s="59"/>
      <c r="DK74" s="59"/>
      <c r="DL74" s="59"/>
      <c r="DM74" s="59"/>
      <c r="DN74" s="59"/>
      <c r="DO74" s="59"/>
    </row>
    <row r="75" spans="2:119" ht="16.5" thickBot="1" x14ac:dyDescent="0.3">
      <c r="B75" s="201"/>
      <c r="C75" s="197"/>
      <c r="D75" s="82">
        <v>2</v>
      </c>
      <c r="E75" s="96" t="str">
        <f t="shared" ref="E75:AI75" si="130">IF(INDEX($CK$4:$DO$123,ROW()-3,E$3)=0,"","СП")</f>
        <v/>
      </c>
      <c r="F75" s="92" t="str">
        <f t="shared" si="130"/>
        <v/>
      </c>
      <c r="G75" s="92" t="str">
        <f t="shared" si="130"/>
        <v/>
      </c>
      <c r="H75" s="92" t="str">
        <f t="shared" si="130"/>
        <v/>
      </c>
      <c r="I75" s="92" t="str">
        <f t="shared" si="130"/>
        <v/>
      </c>
      <c r="J75" s="92" t="str">
        <f t="shared" si="130"/>
        <v/>
      </c>
      <c r="K75" s="92" t="str">
        <f t="shared" si="130"/>
        <v/>
      </c>
      <c r="L75" s="92" t="str">
        <f t="shared" si="130"/>
        <v>СП</v>
      </c>
      <c r="M75" s="92" t="str">
        <f t="shared" si="130"/>
        <v/>
      </c>
      <c r="N75" s="92" t="str">
        <f t="shared" si="130"/>
        <v/>
      </c>
      <c r="O75" s="92" t="str">
        <f t="shared" si="130"/>
        <v/>
      </c>
      <c r="P75" s="92" t="str">
        <f t="shared" si="130"/>
        <v/>
      </c>
      <c r="Q75" s="92" t="str">
        <f t="shared" si="130"/>
        <v/>
      </c>
      <c r="R75" s="92" t="str">
        <f t="shared" si="130"/>
        <v/>
      </c>
      <c r="S75" s="92" t="str">
        <f t="shared" si="130"/>
        <v/>
      </c>
      <c r="T75" s="92" t="str">
        <f t="shared" si="130"/>
        <v/>
      </c>
      <c r="U75" s="92" t="str">
        <f t="shared" si="130"/>
        <v/>
      </c>
      <c r="V75" s="92" t="str">
        <f t="shared" si="130"/>
        <v/>
      </c>
      <c r="W75" s="92" t="str">
        <f t="shared" si="130"/>
        <v/>
      </c>
      <c r="X75" s="92" t="str">
        <f t="shared" si="130"/>
        <v/>
      </c>
      <c r="Y75" s="92" t="str">
        <f t="shared" si="130"/>
        <v/>
      </c>
      <c r="Z75" s="92" t="str">
        <f t="shared" si="130"/>
        <v/>
      </c>
      <c r="AA75" s="92" t="str">
        <f t="shared" si="130"/>
        <v/>
      </c>
      <c r="AB75" s="92" t="str">
        <f t="shared" si="130"/>
        <v/>
      </c>
      <c r="AC75" s="92" t="str">
        <f t="shared" si="130"/>
        <v/>
      </c>
      <c r="AD75" s="92" t="str">
        <f t="shared" si="130"/>
        <v/>
      </c>
      <c r="AE75" s="92" t="str">
        <f t="shared" si="130"/>
        <v/>
      </c>
      <c r="AF75" s="92" t="str">
        <f t="shared" si="130"/>
        <v/>
      </c>
      <c r="AG75" s="92" t="str">
        <f t="shared" si="130"/>
        <v/>
      </c>
      <c r="AH75" s="92" t="str">
        <f t="shared" si="130"/>
        <v/>
      </c>
      <c r="AI75" s="97" t="str">
        <f t="shared" si="130"/>
        <v/>
      </c>
      <c r="AJ75" s="206"/>
      <c r="AK75" s="177"/>
      <c r="AL75" s="177"/>
      <c r="AM75" s="177"/>
      <c r="AN75" s="198"/>
      <c r="AO75" s="198"/>
      <c r="AP75" s="198"/>
      <c r="AQ75" s="177"/>
      <c r="AR75" s="179"/>
      <c r="CK75" s="58">
        <f>IF(DAY(INDEX('Сводный годовой график'!$BA$4:$BL$14,$C74,MONTH($B$74)))=E$3,1,0)</f>
        <v>0</v>
      </c>
      <c r="CL75" s="58">
        <f>IF(DAY(INDEX('Сводный годовой график'!$BA$4:$BL$14,$C74,MONTH($B$74)))=F$3,1,0)</f>
        <v>0</v>
      </c>
      <c r="CM75" s="58">
        <f>IF(DAY(INDEX('Сводный годовой график'!$BA$4:$BL$14,$C74,MONTH($B$74)))=G$3,1,0)</f>
        <v>0</v>
      </c>
      <c r="CN75" s="58">
        <f>IF(DAY(INDEX('Сводный годовой график'!$BA$4:$BL$14,$C74,MONTH($B$74)))=H$3,1,0)</f>
        <v>0</v>
      </c>
      <c r="CO75" s="58">
        <f>IF(DAY(INDEX('Сводный годовой график'!$BA$4:$BL$14,$C74,MONTH($B$74)))=I$3,1,0)</f>
        <v>0</v>
      </c>
      <c r="CP75" s="58">
        <f>IF(DAY(INDEX('Сводный годовой график'!$BA$4:$BL$14,$C74,MONTH($B$74)))=J$3,1,0)</f>
        <v>0</v>
      </c>
      <c r="CQ75" s="58">
        <f>IF(DAY(INDEX('Сводный годовой график'!$BA$4:$BL$14,$C74,MONTH($B$74)))=K$3,1,0)</f>
        <v>0</v>
      </c>
      <c r="CR75" s="58">
        <f>IF(DAY(INDEX('Сводный годовой график'!$BA$4:$BL$14,$C74,MONTH($B$74)))=L$3,1,0)</f>
        <v>1</v>
      </c>
      <c r="CS75" s="58">
        <f>IF(DAY(INDEX('Сводный годовой график'!$BA$4:$BL$14,$C74,MONTH($B$74)))=M$3,1,0)</f>
        <v>0</v>
      </c>
      <c r="CT75" s="58">
        <f>IF(DAY(INDEX('Сводный годовой график'!$BA$4:$BL$14,$C74,MONTH($B$74)))=N$3,1,0)</f>
        <v>0</v>
      </c>
      <c r="CU75" s="58">
        <f>IF(DAY(INDEX('Сводный годовой график'!$BA$4:$BL$14,$C74,MONTH($B$74)))=O$3,1,0)</f>
        <v>0</v>
      </c>
      <c r="CV75" s="58">
        <f>IF(DAY(INDEX('Сводный годовой график'!$BA$4:$BL$14,$C74,MONTH($B$74)))=P$3,1,0)</f>
        <v>0</v>
      </c>
      <c r="CW75" s="58">
        <f>IF(DAY(INDEX('Сводный годовой график'!$BA$4:$BL$14,$C74,MONTH($B$74)))=Q$3,1,0)</f>
        <v>0</v>
      </c>
      <c r="CX75" s="58">
        <f>IF(DAY(INDEX('Сводный годовой график'!$BA$4:$BL$14,$C74,MONTH($B$74)))=R$3,1,0)</f>
        <v>0</v>
      </c>
      <c r="CY75" s="58">
        <f>IF(DAY(INDEX('Сводный годовой график'!$BA$4:$BL$14,$C74,MONTH($B$74)))=S$3,1,0)</f>
        <v>0</v>
      </c>
      <c r="CZ75" s="58">
        <f>IF(DAY(INDEX('Сводный годовой график'!$BA$4:$BL$14,$C74,MONTH($B$74)))=T$3,1,0)</f>
        <v>0</v>
      </c>
      <c r="DA75" s="58">
        <f>IF(DAY(INDEX('Сводный годовой график'!$BA$4:$BL$14,$C74,MONTH($B$74)))=U$3,1,0)</f>
        <v>0</v>
      </c>
      <c r="DB75" s="58">
        <f>IF(DAY(INDEX('Сводный годовой график'!$BA$4:$BL$14,$C74,MONTH($B$74)))=V$3,1,0)</f>
        <v>0</v>
      </c>
      <c r="DC75" s="58">
        <f>IF(DAY(INDEX('Сводный годовой график'!$BA$4:$BL$14,$C74,MONTH($B$74)))=W$3,1,0)</f>
        <v>0</v>
      </c>
      <c r="DD75" s="58">
        <f>IF(DAY(INDEX('Сводный годовой график'!$BA$4:$BL$14,$C74,MONTH($B$74)))=X$3,1,0)</f>
        <v>0</v>
      </c>
      <c r="DE75" s="58">
        <f>IF(DAY(INDEX('Сводный годовой график'!$BA$4:$BL$14,$C74,MONTH($B$74)))=Y$3,1,0)</f>
        <v>0</v>
      </c>
      <c r="DF75" s="58">
        <f>IF(DAY(INDEX('Сводный годовой график'!$BA$4:$BL$14,$C74,MONTH($B$74)))=Z$3,1,0)</f>
        <v>0</v>
      </c>
      <c r="DG75" s="58">
        <f>IF(DAY(INDEX('Сводный годовой график'!$BA$4:$BL$14,$C74,MONTH($B$74)))=AA$3,1,0)</f>
        <v>0</v>
      </c>
      <c r="DH75" s="58">
        <f>IF(DAY(INDEX('Сводный годовой график'!$BA$4:$BL$14,$C74,MONTH($B$74)))=AB$3,1,0)</f>
        <v>0</v>
      </c>
      <c r="DI75" s="58">
        <f>IF(DAY(INDEX('Сводный годовой график'!$BA$4:$BL$14,$C74,MONTH($B$74)))=AC$3,1,0)</f>
        <v>0</v>
      </c>
      <c r="DJ75" s="58">
        <f>IF(DAY(INDEX('Сводный годовой график'!$BA$4:$BL$14,$C74,MONTH($B$74)))=AD$3,1,0)</f>
        <v>0</v>
      </c>
      <c r="DK75" s="58">
        <f>IF(DAY(INDEX('Сводный годовой график'!$BA$4:$BL$14,$C74,MONTH($B$74)))=AE$3,1,0)</f>
        <v>0</v>
      </c>
      <c r="DL75" s="58">
        <f>IF(DAY(INDEX('Сводный годовой график'!$BA$4:$BL$14,$C74,MONTH($B$74)))=AF$3,1,0)</f>
        <v>0</v>
      </c>
      <c r="DM75" s="58">
        <f>IF(DAY(INDEX('Сводный годовой график'!$BA$4:$BL$14,$C74,MONTH($B$74)))=AG$3,1,0)</f>
        <v>0</v>
      </c>
      <c r="DN75" s="58">
        <f>IF(DAY(INDEX('Сводный годовой график'!$BA$4:$BL$14,$C74,MONTH($B$74)))=AH$3,1,0)</f>
        <v>0</v>
      </c>
      <c r="DO75" s="58">
        <f>IF(DAY(INDEX('Сводный годовой график'!$BA$4:$BL$14,$C74,MONTH($B$74)))=AI$3,1,0)</f>
        <v>0</v>
      </c>
    </row>
    <row r="76" spans="2:119" ht="16.5" thickBot="1" x14ac:dyDescent="0.3">
      <c r="B76" s="201"/>
      <c r="C76" s="196">
        <v>2</v>
      </c>
      <c r="D76" s="81">
        <v>3</v>
      </c>
      <c r="E76" s="96" t="e">
        <f ca="1">IF(AND(INDEX('Сводный годовой график'!$C$1:$AR$4,MATCH($C$76,'Сводный годовой график'!$B$1:$B$4),MATCH(DATE($AV$1,MONTH($B$74),E$3),'Сводный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график'!$B$1:$B$4),MATCH(DATE($AV$1,MONTH($B$74),E$3),'Сводный годовой график'!$C$12:$AR$12)))</f>
        <v>#N/A</v>
      </c>
      <c r="F76" s="92" t="e">
        <f ca="1">IF(AND(INDEX('Сводный годовой график'!$C$1:$AR$4,MATCH($C$76,'Сводный годовой график'!$B$1:$B$4),MATCH(DATE($AV$1,MONTH($B$74),F$3),'Сводный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график'!$B$1:$B$4),MATCH(DATE($AV$1,MONTH($B$74),F$3),'Сводный годовой график'!$C$12:$AR$12)))</f>
        <v>#N/A</v>
      </c>
      <c r="G76" s="92" t="e">
        <f ca="1">IF(AND(INDEX('Сводный годовой график'!$C$1:$AR$4,MATCH($C$76,'Сводный годовой график'!$B$1:$B$4),MATCH(DATE($AV$1,MONTH($B$74),G$3),'Сводный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график'!$B$1:$B$4),MATCH(DATE($AV$1,MONTH($B$74),G$3),'Сводный годовой график'!$C$12:$AR$12)))</f>
        <v>#N/A</v>
      </c>
      <c r="H76" s="92" t="e">
        <f ca="1">IF(AND(INDEX('Сводный годовой график'!$C$1:$AR$4,MATCH($C$76,'Сводный годовой график'!$B$1:$B$4),MATCH(DATE($AV$1,MONTH($B$74),H$3),'Сводный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график'!$B$1:$B$4),MATCH(DATE($AV$1,MONTH($B$74),H$3),'Сводный годовой график'!$C$12:$AR$12)))</f>
        <v>#N/A</v>
      </c>
      <c r="I76" s="92" t="e">
        <f ca="1">IF(AND(INDEX('Сводный годовой график'!$C$1:$AR$4,MATCH($C$76,'Сводный годовой график'!$B$1:$B$4),MATCH(DATE($AV$1,MONTH($B$74),I$3),'Сводный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график'!$B$1:$B$4),MATCH(DATE($AV$1,MONTH($B$74),I$3),'Сводный годовой график'!$C$12:$AR$12)))</f>
        <v>#N/A</v>
      </c>
      <c r="J76" s="92" t="e">
        <f ca="1">IF(AND(INDEX('Сводный годовой график'!$C$1:$AR$4,MATCH($C$76,'Сводный годовой график'!$B$1:$B$4),MATCH(DATE($AV$1,MONTH($B$74),J$3),'Сводный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график'!$B$1:$B$4),MATCH(DATE($AV$1,MONTH($B$74),J$3),'Сводный годовой график'!$C$12:$AR$12)))</f>
        <v>#N/A</v>
      </c>
      <c r="K76" s="92" t="e">
        <f ca="1">IF(AND(INDEX('Сводный годовой график'!$C$1:$AR$4,MATCH($C$76,'Сводный годовой график'!$B$1:$B$4),MATCH(DATE($AV$1,MONTH($B$74),K$3),'Сводный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график'!$B$1:$B$4),MATCH(DATE($AV$1,MONTH($B$74),K$3),'Сводный годовой график'!$C$12:$AR$12)))</f>
        <v>#N/A</v>
      </c>
      <c r="L76" s="92" t="e">
        <f ca="1">IF(AND(INDEX('Сводный годовой график'!$C$1:$AR$4,MATCH($C$76,'Сводный годовой график'!$B$1:$B$4),MATCH(DATE($AV$1,MONTH($B$74),L$3),'Сводный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график'!$B$1:$B$4),MATCH(DATE($AV$1,MONTH($B$74),L$3),'Сводный годовой график'!$C$12:$AR$12)))</f>
        <v>#N/A</v>
      </c>
      <c r="M76" s="92" t="e">
        <f ca="1">IF(AND(INDEX('Сводный годовой график'!$C$1:$AR$4,MATCH($C$76,'Сводный годовой график'!$B$1:$B$4),MATCH(DATE($AV$1,MONTH($B$74),M$3),'Сводный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график'!$B$1:$B$4),MATCH(DATE($AV$1,MONTH($B$74),M$3),'Сводный годовой график'!$C$12:$AR$12)))</f>
        <v>#N/A</v>
      </c>
      <c r="N76" s="92" t="e">
        <f ca="1">IF(AND(INDEX('Сводный годовой график'!$C$1:$AR$4,MATCH($C$76,'Сводный годовой график'!$B$1:$B$4),MATCH(DATE($AV$1,MONTH($B$74),N$3),'Сводный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график'!$B$1:$B$4),MATCH(DATE($AV$1,MONTH($B$74),N$3),'Сводный годовой график'!$C$12:$AR$12)))</f>
        <v>#N/A</v>
      </c>
      <c r="O76" s="92" t="e">
        <f ca="1">IF(AND(INDEX('Сводный годовой график'!$C$1:$AR$4,MATCH($C$76,'Сводный годовой график'!$B$1:$B$4),MATCH(DATE($AV$1,MONTH($B$74),O$3),'Сводный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график'!$B$1:$B$4),MATCH(DATE($AV$1,MONTH($B$74),O$3),'Сводный годовой график'!$C$12:$AR$12)))</f>
        <v>#N/A</v>
      </c>
      <c r="P76" s="92" t="e">
        <f ca="1">IF(AND(INDEX('Сводный годовой график'!$C$1:$AR$4,MATCH($C$76,'Сводный годовой график'!$B$1:$B$4),MATCH(DATE($AV$1,MONTH($B$74),P$3),'Сводный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график'!$B$1:$B$4),MATCH(DATE($AV$1,MONTH($B$74),P$3),'Сводный годовой график'!$C$12:$AR$12)))</f>
        <v>#N/A</v>
      </c>
      <c r="Q76" s="92" t="e">
        <f ca="1">IF(AND(INDEX('Сводный годовой график'!$C$1:$AR$4,MATCH($C$76,'Сводный годовой график'!$B$1:$B$4),MATCH(DATE($AV$1,MONTH($B$74),Q$3),'Сводный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график'!$B$1:$B$4),MATCH(DATE($AV$1,MONTH($B$74),Q$3),'Сводный годовой график'!$C$12:$AR$12)))</f>
        <v>#N/A</v>
      </c>
      <c r="R76" s="92" t="e">
        <f ca="1">IF(AND(INDEX('Сводный годовой график'!$C$1:$AR$4,MATCH($C$76,'Сводный годовой график'!$B$1:$B$4),MATCH(DATE($AV$1,MONTH($B$74),R$3),'Сводный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график'!$B$1:$B$4),MATCH(DATE($AV$1,MONTH($B$74),R$3),'Сводный годовой график'!$C$12:$AR$12)))</f>
        <v>#N/A</v>
      </c>
      <c r="S76" s="92" t="e">
        <f ca="1">IF(AND(INDEX('Сводный годовой график'!$C$1:$AR$4,MATCH($C$76,'Сводный годовой график'!$B$1:$B$4),MATCH(DATE($AV$1,MONTH($B$74),S$3),'Сводный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график'!$B$1:$B$4),MATCH(DATE($AV$1,MONTH($B$74),S$3),'Сводный годовой график'!$C$12:$AR$12)))</f>
        <v>#N/A</v>
      </c>
      <c r="T76" s="92" t="e">
        <f ca="1">IF(AND(INDEX('Сводный годовой график'!$C$1:$AR$4,MATCH($C$76,'Сводный годовой график'!$B$1:$B$4),MATCH(DATE($AV$1,MONTH($B$74),T$3),'Сводный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график'!$B$1:$B$4),MATCH(DATE($AV$1,MONTH($B$74),T$3),'Сводный годовой график'!$C$12:$AR$12)))</f>
        <v>#N/A</v>
      </c>
      <c r="U76" s="92" t="e">
        <f ca="1">IF(AND(INDEX('Сводный годовой график'!$C$1:$AR$4,MATCH($C$76,'Сводный годовой график'!$B$1:$B$4),MATCH(DATE($AV$1,MONTH($B$74),U$3),'Сводный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график'!$B$1:$B$4),MATCH(DATE($AV$1,MONTH($B$74),U$3),'Сводный годовой график'!$C$12:$AR$12)))</f>
        <v>#N/A</v>
      </c>
      <c r="V76" s="92" t="e">
        <f ca="1">IF(AND(INDEX('Сводный годовой график'!$C$1:$AR$4,MATCH($C$76,'Сводный годовой график'!$B$1:$B$4),MATCH(DATE($AV$1,MONTH($B$74),V$3),'Сводный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график'!$B$1:$B$4),MATCH(DATE($AV$1,MONTH($B$74),V$3),'Сводный годовой график'!$C$12:$AR$12)))</f>
        <v>#N/A</v>
      </c>
      <c r="W76" s="92" t="e">
        <f ca="1">IF(AND(INDEX('Сводный годовой график'!$C$1:$AR$4,MATCH($C$76,'Сводный годовой график'!$B$1:$B$4),MATCH(DATE($AV$1,MONTH($B$74),W$3),'Сводный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график'!$B$1:$B$4),MATCH(DATE($AV$1,MONTH($B$74),W$3),'Сводный годовой график'!$C$12:$AR$12)))</f>
        <v>#N/A</v>
      </c>
      <c r="X76" s="92" t="e">
        <f ca="1">IF(AND(INDEX('Сводный годовой график'!$C$1:$AR$4,MATCH($C$76,'Сводный годовой график'!$B$1:$B$4),MATCH(DATE($AV$1,MONTH($B$74),X$3),'Сводный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график'!$B$1:$B$4),MATCH(DATE($AV$1,MONTH($B$74),X$3),'Сводный годовой график'!$C$12:$AR$12)))</f>
        <v>#N/A</v>
      </c>
      <c r="Y76" s="92" t="e">
        <f ca="1">IF(AND(INDEX('Сводный годовой график'!$C$1:$AR$4,MATCH($C$76,'Сводный годовой график'!$B$1:$B$4),MATCH(DATE($AV$1,MONTH($B$74),Y$3),'Сводный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график'!$B$1:$B$4),MATCH(DATE($AV$1,MONTH($B$74),Y$3),'Сводный годовой график'!$C$12:$AR$12)))</f>
        <v>#N/A</v>
      </c>
      <c r="Z76" s="92" t="e">
        <f ca="1">IF(AND(INDEX('Сводный годовой график'!$C$1:$AR$4,MATCH($C$76,'Сводный годовой график'!$B$1:$B$4),MATCH(DATE($AV$1,MONTH($B$74),Z$3),'Сводный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график'!$B$1:$B$4),MATCH(DATE($AV$1,MONTH($B$74),Z$3),'Сводный годовой график'!$C$12:$AR$12)))</f>
        <v>#N/A</v>
      </c>
      <c r="AA76" s="92" t="e">
        <f ca="1">IF(AND(INDEX('Сводный годовой график'!$C$1:$AR$4,MATCH($C$76,'Сводный годовой график'!$B$1:$B$4),MATCH(DATE($AV$1,MONTH($B$74),AA$3),'Сводный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график'!$B$1:$B$4),MATCH(DATE($AV$1,MONTH($B$74),AA$3),'Сводный годовой график'!$C$12:$AR$12)))</f>
        <v>#N/A</v>
      </c>
      <c r="AB76" s="92" t="e">
        <f ca="1">IF(AND(INDEX('Сводный годовой график'!$C$1:$AR$4,MATCH($C$76,'Сводный годовой график'!$B$1:$B$4),MATCH(DATE($AV$1,MONTH($B$74),AB$3),'Сводный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график'!$B$1:$B$4),MATCH(DATE($AV$1,MONTH($B$74),AB$3),'Сводный годовой график'!$C$12:$AR$12)))</f>
        <v>#N/A</v>
      </c>
      <c r="AC76" s="92" t="e">
        <f ca="1">IF(AND(INDEX('Сводный годовой график'!$C$1:$AR$4,MATCH($C$76,'Сводный годовой график'!$B$1:$B$4),MATCH(DATE($AV$1,MONTH($B$74),AC$3),'Сводный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график'!$B$1:$B$4),MATCH(DATE($AV$1,MONTH($B$74),AC$3),'Сводный годовой график'!$C$12:$AR$12)))</f>
        <v>#N/A</v>
      </c>
      <c r="AD76" s="92" t="e">
        <f ca="1">IF(AND(INDEX('Сводный годовой график'!$C$1:$AR$4,MATCH($C$76,'Сводный годовой график'!$B$1:$B$4),MATCH(DATE($AV$1,MONTH($B$74),AD$3),'Сводный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график'!$B$1:$B$4),MATCH(DATE($AV$1,MONTH($B$74),AD$3),'Сводный годовой график'!$C$12:$AR$12)))</f>
        <v>#N/A</v>
      </c>
      <c r="AE76" s="92" t="e">
        <f ca="1">IF(AND(INDEX('Сводный годовой график'!$C$1:$AR$4,MATCH($C$76,'Сводный годовой график'!$B$1:$B$4),MATCH(DATE($AV$1,MONTH($B$74),AE$3),'Сводный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график'!$B$1:$B$4),MATCH(DATE($AV$1,MONTH($B$74),AE$3),'Сводный годовой график'!$C$12:$AR$12)))</f>
        <v>#N/A</v>
      </c>
      <c r="AF76" s="92" t="e">
        <f ca="1">IF(AND(INDEX('Сводный годовой график'!$C$1:$AR$4,MATCH($C$76,'Сводный годовой график'!$B$1:$B$4),MATCH(DATE($AV$1,MONTH($B$74),AF$3),'Сводный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график'!$B$1:$B$4),MATCH(DATE($AV$1,MONTH($B$74),AF$3),'Сводный годовой график'!$C$12:$AR$12)))</f>
        <v>#N/A</v>
      </c>
      <c r="AG76" s="92" t="e">
        <f ca="1">IF(AND(INDEX('Сводный годовой график'!$C$1:$AR$4,MATCH($C$76,'Сводный годовой график'!$B$1:$B$4),MATCH(DATE($AV$1,MONTH($B$74),AG$3),'Сводный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график'!$B$1:$B$4),MATCH(DATE($AV$1,MONTH($B$74),AG$3),'Сводный годовой график'!$C$12:$AR$12)))</f>
        <v>#N/A</v>
      </c>
      <c r="AH76" s="92" t="e">
        <f ca="1">IF(AND(INDEX('Сводный годовой график'!$C$1:$AR$4,MATCH($C$76,'Сводный годовой график'!$B$1:$B$4),MATCH(DATE($AV$1,MONTH($B$74),AH$3),'Сводный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график'!$B$1:$B$4),MATCH(DATE($AV$1,MONTH($B$74),AH$3),'Сводный годовой график'!$C$12:$AR$12)))</f>
        <v>#N/A</v>
      </c>
      <c r="AI76" s="97" t="e">
        <f ca="1">IF(AND(INDEX('Сводный годовой график'!$C$1:$AR$4,MATCH($C$76,'Сводный годовой график'!$B$1:$B$4),MATCH(DATE($AV$1,MONTH($B$74),AI$3),'Сводный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график'!$B$1:$B$4),MATCH(DATE($AV$1,MONTH($B$74),AI$3),'Сводный годовой график'!$C$12:$AR$12)))</f>
        <v>#N/A</v>
      </c>
      <c r="AJ76" s="206"/>
      <c r="AK76" s="177">
        <f>$AJ$74-SUM(AY76:CC77)</f>
        <v>168</v>
      </c>
      <c r="AL76" s="177" t="e">
        <f t="shared" ref="AL76" ca="1" si="131">SUM(E76:AI77)</f>
        <v>#N/A</v>
      </c>
      <c r="AM76" s="177">
        <v>0</v>
      </c>
      <c r="AN76" s="198" t="e">
        <f t="shared" ref="AN76" ca="1" si="132">-AM76-AK76+AL76</f>
        <v>#N/A</v>
      </c>
      <c r="AO76" s="198">
        <v>18</v>
      </c>
      <c r="AP76" s="198" t="e">
        <f ca="1">AN76+AP66-AO76</f>
        <v>#N/A</v>
      </c>
      <c r="AQ76" s="177">
        <v>8</v>
      </c>
      <c r="AR76" s="179">
        <v>1</v>
      </c>
      <c r="CK76" s="59"/>
      <c r="CL76" s="59"/>
      <c r="CM76" s="59"/>
      <c r="CN76" s="59"/>
      <c r="CO76" s="59"/>
      <c r="CP76" s="59"/>
      <c r="CQ76" s="59"/>
      <c r="CR76" s="59"/>
      <c r="CS76" s="59"/>
      <c r="CT76" s="59"/>
      <c r="CU76" s="59"/>
      <c r="CV76" s="59"/>
      <c r="CW76" s="59"/>
      <c r="CX76" s="59"/>
      <c r="CY76" s="59"/>
      <c r="CZ76" s="59"/>
      <c r="DA76" s="59"/>
      <c r="DB76" s="59"/>
      <c r="DC76" s="59"/>
      <c r="DD76" s="59"/>
      <c r="DE76" s="59"/>
      <c r="DF76" s="59"/>
      <c r="DG76" s="59"/>
      <c r="DH76" s="59"/>
      <c r="DI76" s="59"/>
      <c r="DJ76" s="59"/>
      <c r="DK76" s="59"/>
      <c r="DL76" s="59"/>
      <c r="DM76" s="59"/>
      <c r="DN76" s="59"/>
      <c r="DO76" s="59"/>
    </row>
    <row r="77" spans="2:119" ht="16.5" thickBot="1" x14ac:dyDescent="0.3">
      <c r="B77" s="201"/>
      <c r="C77" s="197"/>
      <c r="D77" s="82">
        <v>4</v>
      </c>
      <c r="E77" s="96" t="str">
        <f t="shared" ref="E77:AI77" si="133">IF(INDEX($CK$4:$DO$123,ROW()-3,E$3)=0,"","СП")</f>
        <v/>
      </c>
      <c r="F77" s="92" t="str">
        <f t="shared" si="133"/>
        <v/>
      </c>
      <c r="G77" s="92" t="str">
        <f t="shared" si="133"/>
        <v/>
      </c>
      <c r="H77" s="92" t="str">
        <f t="shared" si="133"/>
        <v/>
      </c>
      <c r="I77" s="92" t="str">
        <f t="shared" si="133"/>
        <v/>
      </c>
      <c r="J77" s="92" t="str">
        <f t="shared" si="133"/>
        <v/>
      </c>
      <c r="K77" s="92" t="str">
        <f t="shared" si="133"/>
        <v/>
      </c>
      <c r="L77" s="92" t="str">
        <f t="shared" si="133"/>
        <v/>
      </c>
      <c r="M77" s="92" t="str">
        <f t="shared" si="133"/>
        <v>СП</v>
      </c>
      <c r="N77" s="92" t="str">
        <f t="shared" si="133"/>
        <v/>
      </c>
      <c r="O77" s="92" t="str">
        <f t="shared" si="133"/>
        <v/>
      </c>
      <c r="P77" s="92" t="str">
        <f t="shared" si="133"/>
        <v/>
      </c>
      <c r="Q77" s="92" t="str">
        <f t="shared" si="133"/>
        <v/>
      </c>
      <c r="R77" s="92" t="str">
        <f t="shared" si="133"/>
        <v/>
      </c>
      <c r="S77" s="92" t="str">
        <f t="shared" si="133"/>
        <v/>
      </c>
      <c r="T77" s="92" t="str">
        <f t="shared" si="133"/>
        <v/>
      </c>
      <c r="U77" s="92" t="str">
        <f t="shared" si="133"/>
        <v/>
      </c>
      <c r="V77" s="92" t="str">
        <f t="shared" si="133"/>
        <v/>
      </c>
      <c r="W77" s="92" t="str">
        <f t="shared" si="133"/>
        <v/>
      </c>
      <c r="X77" s="92" t="str">
        <f t="shared" si="133"/>
        <v/>
      </c>
      <c r="Y77" s="92" t="str">
        <f t="shared" si="133"/>
        <v/>
      </c>
      <c r="Z77" s="92" t="str">
        <f t="shared" si="133"/>
        <v/>
      </c>
      <c r="AA77" s="92" t="str">
        <f t="shared" si="133"/>
        <v/>
      </c>
      <c r="AB77" s="92" t="str">
        <f t="shared" si="133"/>
        <v/>
      </c>
      <c r="AC77" s="92" t="str">
        <f t="shared" si="133"/>
        <v/>
      </c>
      <c r="AD77" s="92" t="str">
        <f t="shared" si="133"/>
        <v/>
      </c>
      <c r="AE77" s="92" t="str">
        <f t="shared" si="133"/>
        <v/>
      </c>
      <c r="AF77" s="92" t="str">
        <f t="shared" si="133"/>
        <v/>
      </c>
      <c r="AG77" s="92" t="str">
        <f t="shared" si="133"/>
        <v/>
      </c>
      <c r="AH77" s="92" t="str">
        <f t="shared" si="133"/>
        <v/>
      </c>
      <c r="AI77" s="97" t="str">
        <f t="shared" si="133"/>
        <v/>
      </c>
      <c r="AJ77" s="206"/>
      <c r="AK77" s="177"/>
      <c r="AL77" s="177"/>
      <c r="AM77" s="177"/>
      <c r="AN77" s="198"/>
      <c r="AO77" s="198"/>
      <c r="AP77" s="198"/>
      <c r="AQ77" s="177"/>
      <c r="AR77" s="179"/>
      <c r="CK77" s="58">
        <f>IF(DAY(INDEX('Сводный годовой график'!$BA$4:$BL$14,$C76,MONTH($B$74)))=E$3,1,0)</f>
        <v>0</v>
      </c>
      <c r="CL77" s="58">
        <f>IF(DAY(INDEX('Сводный годовой график'!$BA$4:$BL$14,$C76,MONTH($B$74)))=F$3,1,0)</f>
        <v>0</v>
      </c>
      <c r="CM77" s="58">
        <f>IF(DAY(INDEX('Сводный годовой график'!$BA$4:$BL$14,$C76,MONTH($B$74)))=G$3,1,0)</f>
        <v>0</v>
      </c>
      <c r="CN77" s="58">
        <f>IF(DAY(INDEX('Сводный годовой график'!$BA$4:$BL$14,$C76,MONTH($B$74)))=H$3,1,0)</f>
        <v>0</v>
      </c>
      <c r="CO77" s="58">
        <f>IF(DAY(INDEX('Сводный годовой график'!$BA$4:$BL$14,$C76,MONTH($B$74)))=I$3,1,0)</f>
        <v>0</v>
      </c>
      <c r="CP77" s="58">
        <f>IF(DAY(INDEX('Сводный годовой график'!$BA$4:$BL$14,$C76,MONTH($B$74)))=J$3,1,0)</f>
        <v>0</v>
      </c>
      <c r="CQ77" s="58">
        <f>IF(DAY(INDEX('Сводный годовой график'!$BA$4:$BL$14,$C76,MONTH($B$74)))=K$3,1,0)</f>
        <v>0</v>
      </c>
      <c r="CR77" s="58">
        <f>IF(DAY(INDEX('Сводный годовой график'!$BA$4:$BL$14,$C76,MONTH($B$74)))=L$3,1,0)</f>
        <v>0</v>
      </c>
      <c r="CS77" s="58">
        <f>IF(DAY(INDEX('Сводный годовой график'!$BA$4:$BL$14,$C76,MONTH($B$74)))=M$3,1,0)</f>
        <v>1</v>
      </c>
      <c r="CT77" s="58">
        <f>IF(DAY(INDEX('Сводный годовой график'!$BA$4:$BL$14,$C76,MONTH($B$74)))=N$3,1,0)</f>
        <v>0</v>
      </c>
      <c r="CU77" s="58">
        <f>IF(DAY(INDEX('Сводный годовой график'!$BA$4:$BL$14,$C76,MONTH($B$74)))=O$3,1,0)</f>
        <v>0</v>
      </c>
      <c r="CV77" s="58">
        <f>IF(DAY(INDEX('Сводный годовой график'!$BA$4:$BL$14,$C76,MONTH($B$74)))=P$3,1,0)</f>
        <v>0</v>
      </c>
      <c r="CW77" s="58">
        <f>IF(DAY(INDEX('Сводный годовой график'!$BA$4:$BL$14,$C76,MONTH($B$74)))=Q$3,1,0)</f>
        <v>0</v>
      </c>
      <c r="CX77" s="58">
        <f>IF(DAY(INDEX('Сводный годовой график'!$BA$4:$BL$14,$C76,MONTH($B$74)))=R$3,1,0)</f>
        <v>0</v>
      </c>
      <c r="CY77" s="58">
        <f>IF(DAY(INDEX('Сводный годовой график'!$BA$4:$BL$14,$C76,MONTH($B$74)))=S$3,1,0)</f>
        <v>0</v>
      </c>
      <c r="CZ77" s="58">
        <f>IF(DAY(INDEX('Сводный годовой график'!$BA$4:$BL$14,$C76,MONTH($B$74)))=T$3,1,0)</f>
        <v>0</v>
      </c>
      <c r="DA77" s="58">
        <f>IF(DAY(INDEX('Сводный годовой график'!$BA$4:$BL$14,$C76,MONTH($B$74)))=U$3,1,0)</f>
        <v>0</v>
      </c>
      <c r="DB77" s="58">
        <f>IF(DAY(INDEX('Сводный годовой график'!$BA$4:$BL$14,$C76,MONTH($B$74)))=V$3,1,0)</f>
        <v>0</v>
      </c>
      <c r="DC77" s="58">
        <f>IF(DAY(INDEX('Сводный годовой график'!$BA$4:$BL$14,$C76,MONTH($B$74)))=W$3,1,0)</f>
        <v>0</v>
      </c>
      <c r="DD77" s="58">
        <f>IF(DAY(INDEX('Сводный годовой график'!$BA$4:$BL$14,$C76,MONTH($B$74)))=X$3,1,0)</f>
        <v>0</v>
      </c>
      <c r="DE77" s="58">
        <f>IF(DAY(INDEX('Сводный годовой график'!$BA$4:$BL$14,$C76,MONTH($B$74)))=Y$3,1,0)</f>
        <v>0</v>
      </c>
      <c r="DF77" s="58">
        <f>IF(DAY(INDEX('Сводный годовой график'!$BA$4:$BL$14,$C76,MONTH($B$74)))=Z$3,1,0)</f>
        <v>0</v>
      </c>
      <c r="DG77" s="58">
        <f>IF(DAY(INDEX('Сводный годовой график'!$BA$4:$BL$14,$C76,MONTH($B$74)))=AA$3,1,0)</f>
        <v>0</v>
      </c>
      <c r="DH77" s="58">
        <f>IF(DAY(INDEX('Сводный годовой график'!$BA$4:$BL$14,$C76,MONTH($B$74)))=AB$3,1,0)</f>
        <v>0</v>
      </c>
      <c r="DI77" s="58">
        <f>IF(DAY(INDEX('Сводный годовой график'!$BA$4:$BL$14,$C76,MONTH($B$74)))=AC$3,1,0)</f>
        <v>0</v>
      </c>
      <c r="DJ77" s="58">
        <f>IF(DAY(INDEX('Сводный годовой график'!$BA$4:$BL$14,$C76,MONTH($B$74)))=AD$3,1,0)</f>
        <v>0</v>
      </c>
      <c r="DK77" s="58">
        <f>IF(DAY(INDEX('Сводный годовой график'!$BA$4:$BL$14,$C76,MONTH($B$74)))=AE$3,1,0)</f>
        <v>0</v>
      </c>
      <c r="DL77" s="58">
        <f>IF(DAY(INDEX('Сводный годовой график'!$BA$4:$BL$14,$C76,MONTH($B$74)))=AF$3,1,0)</f>
        <v>0</v>
      </c>
      <c r="DM77" s="58">
        <f>IF(DAY(INDEX('Сводный годовой график'!$BA$4:$BL$14,$C76,MONTH($B$74)))=AG$3,1,0)</f>
        <v>0</v>
      </c>
      <c r="DN77" s="58">
        <f>IF(DAY(INDEX('Сводный годовой график'!$BA$4:$BL$14,$C76,MONTH($B$74)))=AH$3,1,0)</f>
        <v>0</v>
      </c>
      <c r="DO77" s="58">
        <f>IF(DAY(INDEX('Сводный годовой график'!$BA$4:$BL$14,$C76,MONTH($B$74)))=AI$3,1,0)</f>
        <v>0</v>
      </c>
    </row>
    <row r="78" spans="2:119" ht="16.5" thickBot="1" x14ac:dyDescent="0.3">
      <c r="B78" s="201"/>
      <c r="C78" s="196">
        <v>3</v>
      </c>
      <c r="D78" s="81">
        <v>5</v>
      </c>
      <c r="E78" s="96" t="e">
        <f ca="1">IF(AND(INDEX('Сводный годовой график'!$C$1:$AR$4,MATCH($C$78,'Сводный годовой график'!$B$1:$B$4),MATCH(DATE($AV$1,MONTH($B$74),E$3),'Сводный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график'!$B$1:$B$4),MATCH(DATE($AV$1,MONTH($B$74),E$3),'Сводный годовой график'!$C$12:$AR$12)))</f>
        <v>#N/A</v>
      </c>
      <c r="F78" s="92" t="e">
        <f ca="1">IF(AND(INDEX('Сводный годовой график'!$C$1:$AR$4,MATCH($C$78,'Сводный годовой график'!$B$1:$B$4),MATCH(DATE($AV$1,MONTH($B$74),F$3),'Сводный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график'!$B$1:$B$4),MATCH(DATE($AV$1,MONTH($B$74),F$3),'Сводный годовой график'!$C$12:$AR$12)))</f>
        <v>#N/A</v>
      </c>
      <c r="G78" s="92" t="e">
        <f ca="1">IF(AND(INDEX('Сводный годовой график'!$C$1:$AR$4,MATCH($C$78,'Сводный годовой график'!$B$1:$B$4),MATCH(DATE($AV$1,MONTH($B$74),G$3),'Сводный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график'!$B$1:$B$4),MATCH(DATE($AV$1,MONTH($B$74),G$3),'Сводный годовой график'!$C$12:$AR$12)))</f>
        <v>#N/A</v>
      </c>
      <c r="H78" s="92" t="e">
        <f ca="1">IF(AND(INDEX('Сводный годовой график'!$C$1:$AR$4,MATCH($C$78,'Сводный годовой график'!$B$1:$B$4),MATCH(DATE($AV$1,MONTH($B$74),H$3),'Сводный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график'!$B$1:$B$4),MATCH(DATE($AV$1,MONTH($B$74),H$3),'Сводный годовой график'!$C$12:$AR$12)))</f>
        <v>#N/A</v>
      </c>
      <c r="I78" s="92" t="e">
        <f ca="1">IF(AND(INDEX('Сводный годовой график'!$C$1:$AR$4,MATCH($C$78,'Сводный годовой график'!$B$1:$B$4),MATCH(DATE($AV$1,MONTH($B$74),I$3),'Сводный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график'!$B$1:$B$4),MATCH(DATE($AV$1,MONTH($B$74),I$3),'Сводный годовой график'!$C$12:$AR$12)))</f>
        <v>#N/A</v>
      </c>
      <c r="J78" s="92" t="e">
        <f ca="1">IF(AND(INDEX('Сводный годовой график'!$C$1:$AR$4,MATCH($C$78,'Сводный годовой график'!$B$1:$B$4),MATCH(DATE($AV$1,MONTH($B$74),J$3),'Сводный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график'!$B$1:$B$4),MATCH(DATE($AV$1,MONTH($B$74),J$3),'Сводный годовой график'!$C$12:$AR$12)))</f>
        <v>#N/A</v>
      </c>
      <c r="K78" s="92" t="e">
        <f ca="1">IF(AND(INDEX('Сводный годовой график'!$C$1:$AR$4,MATCH($C$78,'Сводный годовой график'!$B$1:$B$4),MATCH(DATE($AV$1,MONTH($B$74),K$3),'Сводный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график'!$B$1:$B$4),MATCH(DATE($AV$1,MONTH($B$74),K$3),'Сводный годовой график'!$C$12:$AR$12)))</f>
        <v>#N/A</v>
      </c>
      <c r="L78" s="92" t="e">
        <f ca="1">IF(AND(INDEX('Сводный годовой график'!$C$1:$AR$4,MATCH($C$78,'Сводный годовой график'!$B$1:$B$4),MATCH(DATE($AV$1,MONTH($B$74),L$3),'Сводный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график'!$B$1:$B$4),MATCH(DATE($AV$1,MONTH($B$74),L$3),'Сводный годовой график'!$C$12:$AR$12)))</f>
        <v>#N/A</v>
      </c>
      <c r="M78" s="92" t="e">
        <f ca="1">IF(AND(INDEX('Сводный годовой график'!$C$1:$AR$4,MATCH($C$78,'Сводный годовой график'!$B$1:$B$4),MATCH(DATE($AV$1,MONTH($B$74),M$3),'Сводный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график'!$B$1:$B$4),MATCH(DATE($AV$1,MONTH($B$74),M$3),'Сводный годовой график'!$C$12:$AR$12)))</f>
        <v>#N/A</v>
      </c>
      <c r="N78" s="92" t="e">
        <f ca="1">IF(AND(INDEX('Сводный годовой график'!$C$1:$AR$4,MATCH($C$78,'Сводный годовой график'!$B$1:$B$4),MATCH(DATE($AV$1,MONTH($B$74),N$3),'Сводный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график'!$B$1:$B$4),MATCH(DATE($AV$1,MONTH($B$74),N$3),'Сводный годовой график'!$C$12:$AR$12)))</f>
        <v>#N/A</v>
      </c>
      <c r="O78" s="92" t="e">
        <f ca="1">IF(AND(INDEX('Сводный годовой график'!$C$1:$AR$4,MATCH($C$78,'Сводный годовой график'!$B$1:$B$4),MATCH(DATE($AV$1,MONTH($B$74),O$3),'Сводный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график'!$B$1:$B$4),MATCH(DATE($AV$1,MONTH($B$74),O$3),'Сводный годовой график'!$C$12:$AR$12)))</f>
        <v>#N/A</v>
      </c>
      <c r="P78" s="92" t="e">
        <f ca="1">IF(AND(INDEX('Сводный годовой график'!$C$1:$AR$4,MATCH($C$78,'Сводный годовой график'!$B$1:$B$4),MATCH(DATE($AV$1,MONTH($B$74),P$3),'Сводный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график'!$B$1:$B$4),MATCH(DATE($AV$1,MONTH($B$74),P$3),'Сводный годовой график'!$C$12:$AR$12)))</f>
        <v>#N/A</v>
      </c>
      <c r="Q78" s="92" t="e">
        <f ca="1">IF(AND(INDEX('Сводный годовой график'!$C$1:$AR$4,MATCH($C$78,'Сводный годовой график'!$B$1:$B$4),MATCH(DATE($AV$1,MONTH($B$74),Q$3),'Сводный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график'!$B$1:$B$4),MATCH(DATE($AV$1,MONTH($B$74),Q$3),'Сводный годовой график'!$C$12:$AR$12)))</f>
        <v>#N/A</v>
      </c>
      <c r="R78" s="92" t="e">
        <f ca="1">IF(AND(INDEX('Сводный годовой график'!$C$1:$AR$4,MATCH($C$78,'Сводный годовой график'!$B$1:$B$4),MATCH(DATE($AV$1,MONTH($B$74),R$3),'Сводный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график'!$B$1:$B$4),MATCH(DATE($AV$1,MONTH($B$74),R$3),'Сводный годовой график'!$C$12:$AR$12)))</f>
        <v>#N/A</v>
      </c>
      <c r="S78" s="92" t="e">
        <f ca="1">IF(AND(INDEX('Сводный годовой график'!$C$1:$AR$4,MATCH($C$78,'Сводный годовой график'!$B$1:$B$4),MATCH(DATE($AV$1,MONTH($B$74),S$3),'Сводный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график'!$B$1:$B$4),MATCH(DATE($AV$1,MONTH($B$74),S$3),'Сводный годовой график'!$C$12:$AR$12)))</f>
        <v>#N/A</v>
      </c>
      <c r="T78" s="92" t="e">
        <f ca="1">IF(AND(INDEX('Сводный годовой график'!$C$1:$AR$4,MATCH($C$78,'Сводный годовой график'!$B$1:$B$4),MATCH(DATE($AV$1,MONTH($B$74),T$3),'Сводный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график'!$B$1:$B$4),MATCH(DATE($AV$1,MONTH($B$74),T$3),'Сводный годовой график'!$C$12:$AR$12)))</f>
        <v>#N/A</v>
      </c>
      <c r="U78" s="92" t="e">
        <f ca="1">IF(AND(INDEX('Сводный годовой график'!$C$1:$AR$4,MATCH($C$78,'Сводный годовой график'!$B$1:$B$4),MATCH(DATE($AV$1,MONTH($B$74),U$3),'Сводный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график'!$B$1:$B$4),MATCH(DATE($AV$1,MONTH($B$74),U$3),'Сводный годовой график'!$C$12:$AR$12)))</f>
        <v>#N/A</v>
      </c>
      <c r="V78" s="92" t="e">
        <f ca="1">IF(AND(INDEX('Сводный годовой график'!$C$1:$AR$4,MATCH($C$78,'Сводный годовой график'!$B$1:$B$4),MATCH(DATE($AV$1,MONTH($B$74),V$3),'Сводный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график'!$B$1:$B$4),MATCH(DATE($AV$1,MONTH($B$74),V$3),'Сводный годовой график'!$C$12:$AR$12)))</f>
        <v>#N/A</v>
      </c>
      <c r="W78" s="92" t="e">
        <f ca="1">IF(AND(INDEX('Сводный годовой график'!$C$1:$AR$4,MATCH($C$78,'Сводный годовой график'!$B$1:$B$4),MATCH(DATE($AV$1,MONTH($B$74),W$3),'Сводный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график'!$B$1:$B$4),MATCH(DATE($AV$1,MONTH($B$74),W$3),'Сводный годовой график'!$C$12:$AR$12)))</f>
        <v>#N/A</v>
      </c>
      <c r="X78" s="92" t="e">
        <f ca="1">IF(AND(INDEX('Сводный годовой график'!$C$1:$AR$4,MATCH($C$78,'Сводный годовой график'!$B$1:$B$4),MATCH(DATE($AV$1,MONTH($B$74),X$3),'Сводный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график'!$B$1:$B$4),MATCH(DATE($AV$1,MONTH($B$74),X$3),'Сводный годовой график'!$C$12:$AR$12)))</f>
        <v>#N/A</v>
      </c>
      <c r="Y78" s="92" t="e">
        <f ca="1">IF(AND(INDEX('Сводный годовой график'!$C$1:$AR$4,MATCH($C$78,'Сводный годовой график'!$B$1:$B$4),MATCH(DATE($AV$1,MONTH($B$74),Y$3),'Сводный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график'!$B$1:$B$4),MATCH(DATE($AV$1,MONTH($B$74),Y$3),'Сводный годовой график'!$C$12:$AR$12)))</f>
        <v>#N/A</v>
      </c>
      <c r="Z78" s="92" t="e">
        <f ca="1">IF(AND(INDEX('Сводный годовой график'!$C$1:$AR$4,MATCH($C$78,'Сводный годовой график'!$B$1:$B$4),MATCH(DATE($AV$1,MONTH($B$74),Z$3),'Сводный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график'!$B$1:$B$4),MATCH(DATE($AV$1,MONTH($B$74),Z$3),'Сводный годовой график'!$C$12:$AR$12)))</f>
        <v>#N/A</v>
      </c>
      <c r="AA78" s="92" t="e">
        <f ca="1">IF(AND(INDEX('Сводный годовой график'!$C$1:$AR$4,MATCH($C$78,'Сводный годовой график'!$B$1:$B$4),MATCH(DATE($AV$1,MONTH($B$74),AA$3),'Сводный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график'!$B$1:$B$4),MATCH(DATE($AV$1,MONTH($B$74),AA$3),'Сводный годовой график'!$C$12:$AR$12)))</f>
        <v>#N/A</v>
      </c>
      <c r="AB78" s="92" t="e">
        <f ca="1">IF(AND(INDEX('Сводный годовой график'!$C$1:$AR$4,MATCH($C$78,'Сводный годовой график'!$B$1:$B$4),MATCH(DATE($AV$1,MONTH($B$74),AB$3),'Сводный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график'!$B$1:$B$4),MATCH(DATE($AV$1,MONTH($B$74),AB$3),'Сводный годовой график'!$C$12:$AR$12)))</f>
        <v>#N/A</v>
      </c>
      <c r="AC78" s="92" t="e">
        <f ca="1">IF(AND(INDEX('Сводный годовой график'!$C$1:$AR$4,MATCH($C$78,'Сводный годовой график'!$B$1:$B$4),MATCH(DATE($AV$1,MONTH($B$74),AC$3),'Сводный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график'!$B$1:$B$4),MATCH(DATE($AV$1,MONTH($B$74),AC$3),'Сводный годовой график'!$C$12:$AR$12)))</f>
        <v>#N/A</v>
      </c>
      <c r="AD78" s="92" t="e">
        <f ca="1">IF(AND(INDEX('Сводный годовой график'!$C$1:$AR$4,MATCH($C$78,'Сводный годовой график'!$B$1:$B$4),MATCH(DATE($AV$1,MONTH($B$74),AD$3),'Сводный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график'!$B$1:$B$4),MATCH(DATE($AV$1,MONTH($B$74),AD$3),'Сводный годовой график'!$C$12:$AR$12)))</f>
        <v>#N/A</v>
      </c>
      <c r="AE78" s="92" t="e">
        <f ca="1">IF(AND(INDEX('Сводный годовой график'!$C$1:$AR$4,MATCH($C$78,'Сводный годовой график'!$B$1:$B$4),MATCH(DATE($AV$1,MONTH($B$74),AE$3),'Сводный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график'!$B$1:$B$4),MATCH(DATE($AV$1,MONTH($B$74),AE$3),'Сводный годовой график'!$C$12:$AR$12)))</f>
        <v>#N/A</v>
      </c>
      <c r="AF78" s="92" t="e">
        <f ca="1">IF(AND(INDEX('Сводный годовой график'!$C$1:$AR$4,MATCH($C$78,'Сводный годовой график'!$B$1:$B$4),MATCH(DATE($AV$1,MONTH($B$74),AF$3),'Сводный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график'!$B$1:$B$4),MATCH(DATE($AV$1,MONTH($B$74),AF$3),'Сводный годовой график'!$C$12:$AR$12)))</f>
        <v>#N/A</v>
      </c>
      <c r="AG78" s="92" t="e">
        <f ca="1">IF(AND(INDEX('Сводный годовой график'!$C$1:$AR$4,MATCH($C$78,'Сводный годовой график'!$B$1:$B$4),MATCH(DATE($AV$1,MONTH($B$74),AG$3),'Сводный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график'!$B$1:$B$4),MATCH(DATE($AV$1,MONTH($B$74),AG$3),'Сводный годовой график'!$C$12:$AR$12)))</f>
        <v>#N/A</v>
      </c>
      <c r="AH78" s="92" t="e">
        <f ca="1">IF(AND(INDEX('Сводный годовой график'!$C$1:$AR$4,MATCH($C$78,'Сводный годовой график'!$B$1:$B$4),MATCH(DATE($AV$1,MONTH($B$74),AH$3),'Сводный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график'!$B$1:$B$4),MATCH(DATE($AV$1,MONTH($B$74),AH$3),'Сводный годовой график'!$C$12:$AR$12)))</f>
        <v>#N/A</v>
      </c>
      <c r="AI78" s="97" t="e">
        <f ca="1">IF(AND(INDEX('Сводный годовой график'!$C$1:$AR$4,MATCH($C$78,'Сводный годовой график'!$B$1:$B$4),MATCH(DATE($AV$1,MONTH($B$74),AI$3),'Сводный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график'!$B$1:$B$4),MATCH(DATE($AV$1,MONTH($B$74),AI$3),'Сводный годовой график'!$C$12:$AR$12)))</f>
        <v>#N/A</v>
      </c>
      <c r="AJ78" s="206"/>
      <c r="AK78" s="177">
        <f>$AJ$74-SUM(AY78:CC79)</f>
        <v>168</v>
      </c>
      <c r="AL78" s="177" t="e">
        <f t="shared" ref="AL78" ca="1" si="134">SUM(E78:AI79)</f>
        <v>#N/A</v>
      </c>
      <c r="AM78" s="177">
        <v>0</v>
      </c>
      <c r="AN78" s="198" t="e">
        <f t="shared" ref="AN78" ca="1" si="135">-AM78-AK78+AL78</f>
        <v>#N/A</v>
      </c>
      <c r="AO78" s="198">
        <v>18</v>
      </c>
      <c r="AP78" s="198" t="e">
        <f ca="1">AN78+AP68-AO78</f>
        <v>#N/A</v>
      </c>
      <c r="AQ78" s="177">
        <v>0</v>
      </c>
      <c r="AR78" s="179">
        <v>1</v>
      </c>
      <c r="CK78" s="59"/>
      <c r="CL78" s="59"/>
      <c r="CM78" s="59"/>
      <c r="CN78" s="59"/>
      <c r="CO78" s="59"/>
      <c r="CP78" s="59"/>
      <c r="CQ78" s="59"/>
      <c r="CR78" s="59"/>
      <c r="CS78" s="59"/>
      <c r="CT78" s="59"/>
      <c r="CU78" s="59"/>
      <c r="CV78" s="59"/>
      <c r="CW78" s="59"/>
      <c r="CX78" s="59"/>
      <c r="CY78" s="59"/>
      <c r="CZ78" s="59"/>
      <c r="DA78" s="59"/>
      <c r="DB78" s="59"/>
      <c r="DC78" s="59"/>
      <c r="DD78" s="59"/>
      <c r="DE78" s="59"/>
      <c r="DF78" s="59"/>
      <c r="DG78" s="59"/>
      <c r="DH78" s="59"/>
      <c r="DI78" s="59"/>
      <c r="DJ78" s="59"/>
      <c r="DK78" s="59"/>
      <c r="DL78" s="59"/>
      <c r="DM78" s="59"/>
      <c r="DN78" s="59"/>
      <c r="DO78" s="59"/>
    </row>
    <row r="79" spans="2:119" ht="16.5" thickBot="1" x14ac:dyDescent="0.3">
      <c r="B79" s="201"/>
      <c r="C79" s="197"/>
      <c r="D79" s="82">
        <v>6</v>
      </c>
      <c r="E79" s="96" t="str">
        <f t="shared" ref="E79:AI79" si="136">IF(INDEX($CK$4:$DO$123,ROW()-3,E$3)=0,"","СП")</f>
        <v/>
      </c>
      <c r="F79" s="92" t="str">
        <f t="shared" si="136"/>
        <v/>
      </c>
      <c r="G79" s="92" t="str">
        <f t="shared" si="136"/>
        <v/>
      </c>
      <c r="H79" s="92" t="str">
        <f t="shared" si="136"/>
        <v/>
      </c>
      <c r="I79" s="92" t="str">
        <f t="shared" si="136"/>
        <v/>
      </c>
      <c r="J79" s="92" t="str">
        <f t="shared" si="136"/>
        <v/>
      </c>
      <c r="K79" s="92" t="str">
        <f t="shared" si="136"/>
        <v/>
      </c>
      <c r="L79" s="92" t="str">
        <f t="shared" si="136"/>
        <v/>
      </c>
      <c r="M79" s="92" t="str">
        <f t="shared" si="136"/>
        <v/>
      </c>
      <c r="N79" s="92" t="str">
        <f t="shared" si="136"/>
        <v>СП</v>
      </c>
      <c r="O79" s="92" t="str">
        <f t="shared" si="136"/>
        <v/>
      </c>
      <c r="P79" s="92" t="str">
        <f t="shared" si="136"/>
        <v/>
      </c>
      <c r="Q79" s="92" t="str">
        <f t="shared" si="136"/>
        <v/>
      </c>
      <c r="R79" s="92" t="str">
        <f t="shared" si="136"/>
        <v/>
      </c>
      <c r="S79" s="92" t="str">
        <f t="shared" si="136"/>
        <v/>
      </c>
      <c r="T79" s="92" t="str">
        <f t="shared" si="136"/>
        <v/>
      </c>
      <c r="U79" s="92" t="str">
        <f t="shared" si="136"/>
        <v/>
      </c>
      <c r="V79" s="92" t="str">
        <f t="shared" si="136"/>
        <v/>
      </c>
      <c r="W79" s="92" t="str">
        <f t="shared" si="136"/>
        <v/>
      </c>
      <c r="X79" s="92" t="str">
        <f t="shared" si="136"/>
        <v/>
      </c>
      <c r="Y79" s="92" t="str">
        <f t="shared" si="136"/>
        <v/>
      </c>
      <c r="Z79" s="92" t="str">
        <f t="shared" si="136"/>
        <v/>
      </c>
      <c r="AA79" s="92" t="str">
        <f t="shared" si="136"/>
        <v/>
      </c>
      <c r="AB79" s="92" t="str">
        <f t="shared" si="136"/>
        <v/>
      </c>
      <c r="AC79" s="92" t="str">
        <f t="shared" si="136"/>
        <v/>
      </c>
      <c r="AD79" s="92" t="str">
        <f t="shared" si="136"/>
        <v/>
      </c>
      <c r="AE79" s="92" t="str">
        <f t="shared" si="136"/>
        <v/>
      </c>
      <c r="AF79" s="92" t="str">
        <f t="shared" si="136"/>
        <v/>
      </c>
      <c r="AG79" s="92" t="str">
        <f t="shared" si="136"/>
        <v/>
      </c>
      <c r="AH79" s="92" t="str">
        <f t="shared" si="136"/>
        <v/>
      </c>
      <c r="AI79" s="97" t="str">
        <f t="shared" si="136"/>
        <v/>
      </c>
      <c r="AJ79" s="206"/>
      <c r="AK79" s="177"/>
      <c r="AL79" s="177"/>
      <c r="AM79" s="177"/>
      <c r="AN79" s="198"/>
      <c r="AO79" s="198"/>
      <c r="AP79" s="198"/>
      <c r="AQ79" s="177"/>
      <c r="AR79" s="179"/>
      <c r="CK79" s="58">
        <f>IF(DAY(INDEX('Сводный годовой график'!$BA$4:$BL$14,$C78,MONTH($B$74)))=E$3,1,0)</f>
        <v>0</v>
      </c>
      <c r="CL79" s="58">
        <f>IF(DAY(INDEX('Сводный годовой график'!$BA$4:$BL$14,$C78,MONTH($B$74)))=F$3,1,0)</f>
        <v>0</v>
      </c>
      <c r="CM79" s="58">
        <f>IF(DAY(INDEX('Сводный годовой график'!$BA$4:$BL$14,$C78,MONTH($B$74)))=G$3,1,0)</f>
        <v>0</v>
      </c>
      <c r="CN79" s="58">
        <f>IF(DAY(INDEX('Сводный годовой график'!$BA$4:$BL$14,$C78,MONTH($B$74)))=H$3,1,0)</f>
        <v>0</v>
      </c>
      <c r="CO79" s="58">
        <f>IF(DAY(INDEX('Сводный годовой график'!$BA$4:$BL$14,$C78,MONTH($B$74)))=I$3,1,0)</f>
        <v>0</v>
      </c>
      <c r="CP79" s="58">
        <f>IF(DAY(INDEX('Сводный годовой график'!$BA$4:$BL$14,$C78,MONTH($B$74)))=J$3,1,0)</f>
        <v>0</v>
      </c>
      <c r="CQ79" s="58">
        <f>IF(DAY(INDEX('Сводный годовой график'!$BA$4:$BL$14,$C78,MONTH($B$74)))=K$3,1,0)</f>
        <v>0</v>
      </c>
      <c r="CR79" s="58">
        <f>IF(DAY(INDEX('Сводный годовой график'!$BA$4:$BL$14,$C78,MONTH($B$74)))=L$3,1,0)</f>
        <v>0</v>
      </c>
      <c r="CS79" s="58">
        <f>IF(DAY(INDEX('Сводный годовой график'!$BA$4:$BL$14,$C78,MONTH($B$74)))=M$3,1,0)</f>
        <v>0</v>
      </c>
      <c r="CT79" s="58">
        <f>IF(DAY(INDEX('Сводный годовой график'!$BA$4:$BL$14,$C78,MONTH($B$74)))=N$3,1,0)</f>
        <v>1</v>
      </c>
      <c r="CU79" s="58">
        <f>IF(DAY(INDEX('Сводный годовой график'!$BA$4:$BL$14,$C78,MONTH($B$74)))=O$3,1,0)</f>
        <v>0</v>
      </c>
      <c r="CV79" s="58">
        <f>IF(DAY(INDEX('Сводный годовой график'!$BA$4:$BL$14,$C78,MONTH($B$74)))=P$3,1,0)</f>
        <v>0</v>
      </c>
      <c r="CW79" s="58">
        <f>IF(DAY(INDEX('Сводный годовой график'!$BA$4:$BL$14,$C78,MONTH($B$74)))=Q$3,1,0)</f>
        <v>0</v>
      </c>
      <c r="CX79" s="58">
        <f>IF(DAY(INDEX('Сводный годовой график'!$BA$4:$BL$14,$C78,MONTH($B$74)))=R$3,1,0)</f>
        <v>0</v>
      </c>
      <c r="CY79" s="58">
        <f>IF(DAY(INDEX('Сводный годовой график'!$BA$4:$BL$14,$C78,MONTH($B$74)))=S$3,1,0)</f>
        <v>0</v>
      </c>
      <c r="CZ79" s="58">
        <f>IF(DAY(INDEX('Сводный годовой график'!$BA$4:$BL$14,$C78,MONTH($B$74)))=T$3,1,0)</f>
        <v>0</v>
      </c>
      <c r="DA79" s="58">
        <f>IF(DAY(INDEX('Сводный годовой график'!$BA$4:$BL$14,$C78,MONTH($B$74)))=U$3,1,0)</f>
        <v>0</v>
      </c>
      <c r="DB79" s="58">
        <f>IF(DAY(INDEX('Сводный годовой график'!$BA$4:$BL$14,$C78,MONTH($B$74)))=V$3,1,0)</f>
        <v>0</v>
      </c>
      <c r="DC79" s="58">
        <f>IF(DAY(INDEX('Сводный годовой график'!$BA$4:$BL$14,$C78,MONTH($B$74)))=W$3,1,0)</f>
        <v>0</v>
      </c>
      <c r="DD79" s="58">
        <f>IF(DAY(INDEX('Сводный годовой график'!$BA$4:$BL$14,$C78,MONTH($B$74)))=X$3,1,0)</f>
        <v>0</v>
      </c>
      <c r="DE79" s="58">
        <f>IF(DAY(INDEX('Сводный годовой график'!$BA$4:$BL$14,$C78,MONTH($B$74)))=Y$3,1,0)</f>
        <v>0</v>
      </c>
      <c r="DF79" s="58">
        <f>IF(DAY(INDEX('Сводный годовой график'!$BA$4:$BL$14,$C78,MONTH($B$74)))=Z$3,1,0)</f>
        <v>0</v>
      </c>
      <c r="DG79" s="58">
        <f>IF(DAY(INDEX('Сводный годовой график'!$BA$4:$BL$14,$C78,MONTH($B$74)))=AA$3,1,0)</f>
        <v>0</v>
      </c>
      <c r="DH79" s="58">
        <f>IF(DAY(INDEX('Сводный годовой график'!$BA$4:$BL$14,$C78,MONTH($B$74)))=AB$3,1,0)</f>
        <v>0</v>
      </c>
      <c r="DI79" s="58">
        <f>IF(DAY(INDEX('Сводный годовой график'!$BA$4:$BL$14,$C78,MONTH($B$74)))=AC$3,1,0)</f>
        <v>0</v>
      </c>
      <c r="DJ79" s="58">
        <f>IF(DAY(INDEX('Сводный годовой график'!$BA$4:$BL$14,$C78,MONTH($B$74)))=AD$3,1,0)</f>
        <v>0</v>
      </c>
      <c r="DK79" s="58">
        <f>IF(DAY(INDEX('Сводный годовой график'!$BA$4:$BL$14,$C78,MONTH($B$74)))=AE$3,1,0)</f>
        <v>0</v>
      </c>
      <c r="DL79" s="58">
        <f>IF(DAY(INDEX('Сводный годовой график'!$BA$4:$BL$14,$C78,MONTH($B$74)))=AF$3,1,0)</f>
        <v>0</v>
      </c>
      <c r="DM79" s="58">
        <f>IF(DAY(INDEX('Сводный годовой график'!$BA$4:$BL$14,$C78,MONTH($B$74)))=AG$3,1,0)</f>
        <v>0</v>
      </c>
      <c r="DN79" s="58">
        <f>IF(DAY(INDEX('Сводный годовой график'!$BA$4:$BL$14,$C78,MONTH($B$74)))=AH$3,1,0)</f>
        <v>0</v>
      </c>
      <c r="DO79" s="58">
        <f>IF(DAY(INDEX('Сводный годовой график'!$BA$4:$BL$14,$C78,MONTH($B$74)))=AI$3,1,0)</f>
        <v>0</v>
      </c>
    </row>
    <row r="80" spans="2:119" ht="16.5" thickBot="1" x14ac:dyDescent="0.3">
      <c r="B80" s="201"/>
      <c r="C80" s="196">
        <v>4</v>
      </c>
      <c r="D80" s="81">
        <v>7</v>
      </c>
      <c r="E80" s="96" t="e">
        <f ca="1">IF(AND(INDEX('Сводный годовой график'!$C$1:$AR$4,MATCH($C$80,'Сводный годовой график'!$B$1:$B$4),MATCH(DATE($AV$1,MONTH($B$74),E$3),'Сводный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график'!$B$1:$B$4),MATCH(DATE($AV$1,MONTH($B$74),E$3),'Сводный годовой график'!$C$12:$AR$12)))</f>
        <v>#N/A</v>
      </c>
      <c r="F80" s="92" t="e">
        <f ca="1">IF(AND(INDEX('Сводный годовой график'!$C$1:$AR$4,MATCH($C$80,'Сводный годовой график'!$B$1:$B$4),MATCH(DATE($AV$1,MONTH($B$74),F$3),'Сводный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график'!$B$1:$B$4),MATCH(DATE($AV$1,MONTH($B$74),F$3),'Сводный годовой график'!$C$12:$AR$12)))</f>
        <v>#N/A</v>
      </c>
      <c r="G80" s="92" t="e">
        <f ca="1">IF(AND(INDEX('Сводный годовой график'!$C$1:$AR$4,MATCH($C$80,'Сводный годовой график'!$B$1:$B$4),MATCH(DATE($AV$1,MONTH($B$74),G$3),'Сводный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график'!$B$1:$B$4),MATCH(DATE($AV$1,MONTH($B$74),G$3),'Сводный годовой график'!$C$12:$AR$12)))</f>
        <v>#N/A</v>
      </c>
      <c r="H80" s="92" t="e">
        <f ca="1">IF(AND(INDEX('Сводный годовой график'!$C$1:$AR$4,MATCH($C$80,'Сводный годовой график'!$B$1:$B$4),MATCH(DATE($AV$1,MONTH($B$74),H$3),'Сводный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график'!$B$1:$B$4),MATCH(DATE($AV$1,MONTH($B$74),H$3),'Сводный годовой график'!$C$12:$AR$12)))</f>
        <v>#N/A</v>
      </c>
      <c r="I80" s="92" t="e">
        <f ca="1">IF(AND(INDEX('Сводный годовой график'!$C$1:$AR$4,MATCH($C$80,'Сводный годовой график'!$B$1:$B$4),MATCH(DATE($AV$1,MONTH($B$74),I$3),'Сводный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график'!$B$1:$B$4),MATCH(DATE($AV$1,MONTH($B$74),I$3),'Сводный годовой график'!$C$12:$AR$12)))</f>
        <v>#N/A</v>
      </c>
      <c r="J80" s="92" t="e">
        <f ca="1">IF(AND(INDEX('Сводный годовой график'!$C$1:$AR$4,MATCH($C$80,'Сводный годовой график'!$B$1:$B$4),MATCH(DATE($AV$1,MONTH($B$74),J$3),'Сводный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график'!$B$1:$B$4),MATCH(DATE($AV$1,MONTH($B$74),J$3),'Сводный годовой график'!$C$12:$AR$12)))</f>
        <v>#N/A</v>
      </c>
      <c r="K80" s="92" t="e">
        <f ca="1">IF(AND(INDEX('Сводный годовой график'!$C$1:$AR$4,MATCH($C$80,'Сводный годовой график'!$B$1:$B$4),MATCH(DATE($AV$1,MONTH($B$74),K$3),'Сводный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график'!$B$1:$B$4),MATCH(DATE($AV$1,MONTH($B$74),K$3),'Сводный годовой график'!$C$12:$AR$12)))</f>
        <v>#N/A</v>
      </c>
      <c r="L80" s="92" t="e">
        <f ca="1">IF(AND(INDEX('Сводный годовой график'!$C$1:$AR$4,MATCH($C$80,'Сводный годовой график'!$B$1:$B$4),MATCH(DATE($AV$1,MONTH($B$74),L$3),'Сводный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график'!$B$1:$B$4),MATCH(DATE($AV$1,MONTH($B$74),L$3),'Сводный годовой график'!$C$12:$AR$12)))</f>
        <v>#N/A</v>
      </c>
      <c r="M80" s="92" t="e">
        <f ca="1">IF(AND(INDEX('Сводный годовой график'!$C$1:$AR$4,MATCH($C$80,'Сводный годовой график'!$B$1:$B$4),MATCH(DATE($AV$1,MONTH($B$74),M$3),'Сводный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график'!$B$1:$B$4),MATCH(DATE($AV$1,MONTH($B$74),M$3),'Сводный годовой график'!$C$12:$AR$12)))</f>
        <v>#N/A</v>
      </c>
      <c r="N80" s="92" t="e">
        <f ca="1">IF(AND(INDEX('Сводный годовой график'!$C$1:$AR$4,MATCH($C$80,'Сводный годовой график'!$B$1:$B$4),MATCH(DATE($AV$1,MONTH($B$74),N$3),'Сводный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график'!$B$1:$B$4),MATCH(DATE($AV$1,MONTH($B$74),N$3),'Сводный годовой график'!$C$12:$AR$12)))</f>
        <v>#N/A</v>
      </c>
      <c r="O80" s="92" t="e">
        <f ca="1">IF(AND(INDEX('Сводный годовой график'!$C$1:$AR$4,MATCH($C$80,'Сводный годовой график'!$B$1:$B$4),MATCH(DATE($AV$1,MONTH($B$74),O$3),'Сводный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график'!$B$1:$B$4),MATCH(DATE($AV$1,MONTH($B$74),O$3),'Сводный годовой график'!$C$12:$AR$12)))</f>
        <v>#N/A</v>
      </c>
      <c r="P80" s="92" t="e">
        <f ca="1">IF(AND(INDEX('Сводный годовой график'!$C$1:$AR$4,MATCH($C$80,'Сводный годовой график'!$B$1:$B$4),MATCH(DATE($AV$1,MONTH($B$74),P$3),'Сводный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график'!$B$1:$B$4),MATCH(DATE($AV$1,MONTH($B$74),P$3),'Сводный годовой график'!$C$12:$AR$12)))</f>
        <v>#N/A</v>
      </c>
      <c r="Q80" s="92" t="e">
        <f ca="1">IF(AND(INDEX('Сводный годовой график'!$C$1:$AR$4,MATCH($C$80,'Сводный годовой график'!$B$1:$B$4),MATCH(DATE($AV$1,MONTH($B$74),Q$3),'Сводный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график'!$B$1:$B$4),MATCH(DATE($AV$1,MONTH($B$74),Q$3),'Сводный годовой график'!$C$12:$AR$12)))</f>
        <v>#N/A</v>
      </c>
      <c r="R80" s="92" t="e">
        <f ca="1">IF(AND(INDEX('Сводный годовой график'!$C$1:$AR$4,MATCH($C$80,'Сводный годовой график'!$B$1:$B$4),MATCH(DATE($AV$1,MONTH($B$74),R$3),'Сводный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график'!$B$1:$B$4),MATCH(DATE($AV$1,MONTH($B$74),R$3),'Сводный годовой график'!$C$12:$AR$12)))</f>
        <v>#N/A</v>
      </c>
      <c r="S80" s="92" t="e">
        <f ca="1">IF(AND(INDEX('Сводный годовой график'!$C$1:$AR$4,MATCH($C$80,'Сводный годовой график'!$B$1:$B$4),MATCH(DATE($AV$1,MONTH($B$74),S$3),'Сводный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график'!$B$1:$B$4),MATCH(DATE($AV$1,MONTH($B$74),S$3),'Сводный годовой график'!$C$12:$AR$12)))</f>
        <v>#N/A</v>
      </c>
      <c r="T80" s="92" t="e">
        <f ca="1">IF(AND(INDEX('Сводный годовой график'!$C$1:$AR$4,MATCH($C$80,'Сводный годовой график'!$B$1:$B$4),MATCH(DATE($AV$1,MONTH($B$74),T$3),'Сводный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график'!$B$1:$B$4),MATCH(DATE($AV$1,MONTH($B$74),T$3),'Сводный годовой график'!$C$12:$AR$12)))</f>
        <v>#N/A</v>
      </c>
      <c r="U80" s="92" t="e">
        <f ca="1">IF(AND(INDEX('Сводный годовой график'!$C$1:$AR$4,MATCH($C$80,'Сводный годовой график'!$B$1:$B$4),MATCH(DATE($AV$1,MONTH($B$74),U$3),'Сводный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график'!$B$1:$B$4),MATCH(DATE($AV$1,MONTH($B$74),U$3),'Сводный годовой график'!$C$12:$AR$12)))</f>
        <v>#N/A</v>
      </c>
      <c r="V80" s="92" t="e">
        <f ca="1">IF(AND(INDEX('Сводный годовой график'!$C$1:$AR$4,MATCH($C$80,'Сводный годовой график'!$B$1:$B$4),MATCH(DATE($AV$1,MONTH($B$74),V$3),'Сводный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график'!$B$1:$B$4),MATCH(DATE($AV$1,MONTH($B$74),V$3),'Сводный годовой график'!$C$12:$AR$12)))</f>
        <v>#N/A</v>
      </c>
      <c r="W80" s="92" t="e">
        <f ca="1">IF(AND(INDEX('Сводный годовой график'!$C$1:$AR$4,MATCH($C$80,'Сводный годовой график'!$B$1:$B$4),MATCH(DATE($AV$1,MONTH($B$74),W$3),'Сводный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график'!$B$1:$B$4),MATCH(DATE($AV$1,MONTH($B$74),W$3),'Сводный годовой график'!$C$12:$AR$12)))</f>
        <v>#N/A</v>
      </c>
      <c r="X80" s="92" t="e">
        <f ca="1">IF(AND(INDEX('Сводный годовой график'!$C$1:$AR$4,MATCH($C$80,'Сводный годовой график'!$B$1:$B$4),MATCH(DATE($AV$1,MONTH($B$74),X$3),'Сводный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график'!$B$1:$B$4),MATCH(DATE($AV$1,MONTH($B$74),X$3),'Сводный годовой график'!$C$12:$AR$12)))</f>
        <v>#N/A</v>
      </c>
      <c r="Y80" s="92" t="e">
        <f ca="1">IF(AND(INDEX('Сводный годовой график'!$C$1:$AR$4,MATCH($C$80,'Сводный годовой график'!$B$1:$B$4),MATCH(DATE($AV$1,MONTH($B$74),Y$3),'Сводный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график'!$B$1:$B$4),MATCH(DATE($AV$1,MONTH($B$74),Y$3),'Сводный годовой график'!$C$12:$AR$12)))</f>
        <v>#N/A</v>
      </c>
      <c r="Z80" s="92" t="e">
        <f ca="1">IF(AND(INDEX('Сводный годовой график'!$C$1:$AR$4,MATCH($C$80,'Сводный годовой график'!$B$1:$B$4),MATCH(DATE($AV$1,MONTH($B$74),Z$3),'Сводный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график'!$B$1:$B$4),MATCH(DATE($AV$1,MONTH($B$74),Z$3),'Сводный годовой график'!$C$12:$AR$12)))</f>
        <v>#N/A</v>
      </c>
      <c r="AA80" s="92" t="e">
        <f ca="1">IF(AND(INDEX('Сводный годовой график'!$C$1:$AR$4,MATCH($C$80,'Сводный годовой график'!$B$1:$B$4),MATCH(DATE($AV$1,MONTH($B$74),AA$3),'Сводный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график'!$B$1:$B$4),MATCH(DATE($AV$1,MONTH($B$74),AA$3),'Сводный годовой график'!$C$12:$AR$12)))</f>
        <v>#N/A</v>
      </c>
      <c r="AB80" s="92" t="e">
        <f ca="1">IF(AND(INDEX('Сводный годовой график'!$C$1:$AR$4,MATCH($C$80,'Сводный годовой график'!$B$1:$B$4),MATCH(DATE($AV$1,MONTH($B$74),AB$3),'Сводный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график'!$B$1:$B$4),MATCH(DATE($AV$1,MONTH($B$74),AB$3),'Сводный годовой график'!$C$12:$AR$12)))</f>
        <v>#N/A</v>
      </c>
      <c r="AC80" s="92" t="e">
        <f ca="1">IF(AND(INDEX('Сводный годовой график'!$C$1:$AR$4,MATCH($C$80,'Сводный годовой график'!$B$1:$B$4),MATCH(DATE($AV$1,MONTH($B$74),AC$3),'Сводный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график'!$B$1:$B$4),MATCH(DATE($AV$1,MONTH($B$74),AC$3),'Сводный годовой график'!$C$12:$AR$12)))</f>
        <v>#N/A</v>
      </c>
      <c r="AD80" s="92" t="e">
        <f ca="1">IF(AND(INDEX('Сводный годовой график'!$C$1:$AR$4,MATCH($C$80,'Сводный годовой график'!$B$1:$B$4),MATCH(DATE($AV$1,MONTH($B$74),AD$3),'Сводный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график'!$B$1:$B$4),MATCH(DATE($AV$1,MONTH($B$74),AD$3),'Сводный годовой график'!$C$12:$AR$12)))</f>
        <v>#N/A</v>
      </c>
      <c r="AE80" s="92" t="e">
        <f ca="1">IF(AND(INDEX('Сводный годовой график'!$C$1:$AR$4,MATCH($C$80,'Сводный годовой график'!$B$1:$B$4),MATCH(DATE($AV$1,MONTH($B$74),AE$3),'Сводный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график'!$B$1:$B$4),MATCH(DATE($AV$1,MONTH($B$74),AE$3),'Сводный годовой график'!$C$12:$AR$12)))</f>
        <v>#N/A</v>
      </c>
      <c r="AF80" s="92" t="e">
        <f ca="1">IF(AND(INDEX('Сводный годовой график'!$C$1:$AR$4,MATCH($C$80,'Сводный годовой график'!$B$1:$B$4),MATCH(DATE($AV$1,MONTH($B$74),AF$3),'Сводный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график'!$B$1:$B$4),MATCH(DATE($AV$1,MONTH($B$74),AF$3),'Сводный годовой график'!$C$12:$AR$12)))</f>
        <v>#N/A</v>
      </c>
      <c r="AG80" s="92" t="e">
        <f ca="1">IF(AND(INDEX('Сводный годовой график'!$C$1:$AR$4,MATCH($C$80,'Сводный годовой график'!$B$1:$B$4),MATCH(DATE($AV$1,MONTH($B$74),AG$3),'Сводный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график'!$B$1:$B$4),MATCH(DATE($AV$1,MONTH($B$74),AG$3),'Сводный годовой график'!$C$12:$AR$12)))</f>
        <v>#N/A</v>
      </c>
      <c r="AH80" s="92" t="e">
        <f ca="1">IF(AND(INDEX('Сводный годовой график'!$C$1:$AR$4,MATCH($C$80,'Сводный годовой график'!$B$1:$B$4),MATCH(DATE($AV$1,MONTH($B$74),AH$3),'Сводный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график'!$B$1:$B$4),MATCH(DATE($AV$1,MONTH($B$74),AH$3),'Сводный годовой график'!$C$12:$AR$12)))</f>
        <v>#N/A</v>
      </c>
      <c r="AI80" s="97" t="e">
        <f ca="1">IF(AND(INDEX('Сводный годовой график'!$C$1:$AR$4,MATCH($C$80,'Сводный годовой график'!$B$1:$B$4),MATCH(DATE($AV$1,MONTH($B$74),AI$3),'Сводный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график'!$B$1:$B$4),MATCH(DATE($AV$1,MONTH($B$74),AI$3),'Сводный годовой график'!$C$12:$AR$12)))</f>
        <v>#N/A</v>
      </c>
      <c r="AJ80" s="206"/>
      <c r="AK80" s="177">
        <f>$AJ$74-SUM(AY80:CC81)</f>
        <v>168</v>
      </c>
      <c r="AL80" s="177" t="e">
        <f t="shared" ref="AL80" ca="1" si="137">SUM(E80:AI81)</f>
        <v>#N/A</v>
      </c>
      <c r="AM80" s="177">
        <v>0</v>
      </c>
      <c r="AN80" s="198" t="e">
        <f t="shared" ref="AN80" ca="1" si="138">-AM80-AK80+AL80</f>
        <v>#N/A</v>
      </c>
      <c r="AO80" s="198">
        <v>0</v>
      </c>
      <c r="AP80" s="198" t="e">
        <f t="shared" ref="AP80" ca="1" si="139">AN80+AP70</f>
        <v>#N/A</v>
      </c>
      <c r="AQ80" s="177">
        <v>0</v>
      </c>
      <c r="AR80" s="179">
        <v>1</v>
      </c>
      <c r="CK80" s="59"/>
      <c r="CL80" s="59"/>
      <c r="CM80" s="59"/>
      <c r="CN80" s="59"/>
      <c r="CO80" s="59"/>
      <c r="CP80" s="59"/>
      <c r="CQ80" s="59"/>
      <c r="CR80" s="59"/>
      <c r="CS80" s="59"/>
      <c r="CT80" s="59"/>
      <c r="CU80" s="59"/>
      <c r="CV80" s="59"/>
      <c r="CW80" s="59"/>
      <c r="CX80" s="59"/>
      <c r="CY80" s="59"/>
      <c r="CZ80" s="59"/>
      <c r="DA80" s="59"/>
      <c r="DB80" s="59"/>
      <c r="DC80" s="59"/>
      <c r="DD80" s="59"/>
      <c r="DE80" s="59"/>
      <c r="DF80" s="59"/>
      <c r="DG80" s="59"/>
      <c r="DH80" s="59"/>
      <c r="DI80" s="59"/>
      <c r="DJ80" s="59"/>
      <c r="DK80" s="59"/>
      <c r="DL80" s="59"/>
      <c r="DM80" s="59"/>
      <c r="DN80" s="59"/>
      <c r="DO80" s="59"/>
    </row>
    <row r="81" spans="2:119" ht="16.5" thickBot="1" x14ac:dyDescent="0.3">
      <c r="B81" s="201"/>
      <c r="C81" s="197"/>
      <c r="D81" s="82">
        <v>8</v>
      </c>
      <c r="E81" s="96" t="str">
        <f t="shared" ref="E81:AI81" si="140">IF(INDEX($CK$4:$DO$123,ROW()-3,E$3)=0,"","СП")</f>
        <v/>
      </c>
      <c r="F81" s="92" t="str">
        <f t="shared" si="140"/>
        <v/>
      </c>
      <c r="G81" s="92" t="str">
        <f t="shared" si="140"/>
        <v/>
      </c>
      <c r="H81" s="92" t="str">
        <f t="shared" si="140"/>
        <v/>
      </c>
      <c r="I81" s="92" t="str">
        <f t="shared" si="140"/>
        <v/>
      </c>
      <c r="J81" s="92" t="str">
        <f t="shared" si="140"/>
        <v/>
      </c>
      <c r="K81" s="92" t="str">
        <f t="shared" si="140"/>
        <v/>
      </c>
      <c r="L81" s="92" t="str">
        <f t="shared" si="140"/>
        <v/>
      </c>
      <c r="M81" s="92" t="str">
        <f t="shared" si="140"/>
        <v/>
      </c>
      <c r="N81" s="92" t="str">
        <f t="shared" si="140"/>
        <v/>
      </c>
      <c r="O81" s="92" t="str">
        <f t="shared" si="140"/>
        <v>СП</v>
      </c>
      <c r="P81" s="92" t="str">
        <f t="shared" si="140"/>
        <v/>
      </c>
      <c r="Q81" s="92" t="str">
        <f t="shared" si="140"/>
        <v/>
      </c>
      <c r="R81" s="92" t="str">
        <f t="shared" si="140"/>
        <v/>
      </c>
      <c r="S81" s="92" t="str">
        <f t="shared" si="140"/>
        <v/>
      </c>
      <c r="T81" s="92" t="str">
        <f t="shared" si="140"/>
        <v/>
      </c>
      <c r="U81" s="92" t="str">
        <f t="shared" si="140"/>
        <v/>
      </c>
      <c r="V81" s="92" t="str">
        <f t="shared" si="140"/>
        <v/>
      </c>
      <c r="W81" s="92" t="str">
        <f t="shared" si="140"/>
        <v/>
      </c>
      <c r="X81" s="92" t="str">
        <f t="shared" si="140"/>
        <v/>
      </c>
      <c r="Y81" s="92" t="str">
        <f t="shared" si="140"/>
        <v/>
      </c>
      <c r="Z81" s="92" t="str">
        <f t="shared" si="140"/>
        <v/>
      </c>
      <c r="AA81" s="92" t="str">
        <f t="shared" si="140"/>
        <v/>
      </c>
      <c r="AB81" s="92" t="str">
        <f t="shared" si="140"/>
        <v/>
      </c>
      <c r="AC81" s="92" t="str">
        <f t="shared" si="140"/>
        <v/>
      </c>
      <c r="AD81" s="92" t="str">
        <f t="shared" si="140"/>
        <v/>
      </c>
      <c r="AE81" s="92" t="str">
        <f t="shared" si="140"/>
        <v/>
      </c>
      <c r="AF81" s="92" t="str">
        <f t="shared" si="140"/>
        <v/>
      </c>
      <c r="AG81" s="92" t="str">
        <f t="shared" si="140"/>
        <v/>
      </c>
      <c r="AH81" s="92" t="str">
        <f t="shared" si="140"/>
        <v/>
      </c>
      <c r="AI81" s="97" t="str">
        <f t="shared" si="140"/>
        <v/>
      </c>
      <c r="AJ81" s="206"/>
      <c r="AK81" s="177"/>
      <c r="AL81" s="177"/>
      <c r="AM81" s="177"/>
      <c r="AN81" s="198"/>
      <c r="AO81" s="198"/>
      <c r="AP81" s="198"/>
      <c r="AQ81" s="177"/>
      <c r="AR81" s="179"/>
      <c r="CK81" s="58">
        <f>IF(DAY(INDEX('Сводный годовой график'!$BA$4:$BL$14,$C80,MONTH($B$74)))=E$3,1,0)</f>
        <v>0</v>
      </c>
      <c r="CL81" s="58">
        <f>IF(DAY(INDEX('Сводный годовой график'!$BA$4:$BL$14,$C80,MONTH($B$74)))=F$3,1,0)</f>
        <v>0</v>
      </c>
      <c r="CM81" s="58">
        <f>IF(DAY(INDEX('Сводный годовой график'!$BA$4:$BL$14,$C80,MONTH($B$74)))=G$3,1,0)</f>
        <v>0</v>
      </c>
      <c r="CN81" s="58">
        <f>IF(DAY(INDEX('Сводный годовой график'!$BA$4:$BL$14,$C80,MONTH($B$74)))=H$3,1,0)</f>
        <v>0</v>
      </c>
      <c r="CO81" s="58">
        <f>IF(DAY(INDEX('Сводный годовой график'!$BA$4:$BL$14,$C80,MONTH($B$74)))=I$3,1,0)</f>
        <v>0</v>
      </c>
      <c r="CP81" s="58">
        <f>IF(DAY(INDEX('Сводный годовой график'!$BA$4:$BL$14,$C80,MONTH($B$74)))=J$3,1,0)</f>
        <v>0</v>
      </c>
      <c r="CQ81" s="58">
        <f>IF(DAY(INDEX('Сводный годовой график'!$BA$4:$BL$14,$C80,MONTH($B$74)))=K$3,1,0)</f>
        <v>0</v>
      </c>
      <c r="CR81" s="58">
        <f>IF(DAY(INDEX('Сводный годовой график'!$BA$4:$BL$14,$C80,MONTH($B$74)))=L$3,1,0)</f>
        <v>0</v>
      </c>
      <c r="CS81" s="58">
        <f>IF(DAY(INDEX('Сводный годовой график'!$BA$4:$BL$14,$C80,MONTH($B$74)))=M$3,1,0)</f>
        <v>0</v>
      </c>
      <c r="CT81" s="58">
        <f>IF(DAY(INDEX('Сводный годовой график'!$BA$4:$BL$14,$C80,MONTH($B$74)))=N$3,1,0)</f>
        <v>0</v>
      </c>
      <c r="CU81" s="58">
        <f>IF(DAY(INDEX('Сводный годовой график'!$BA$4:$BL$14,$C80,MONTH($B$74)))=O$3,1,0)</f>
        <v>1</v>
      </c>
      <c r="CV81" s="58">
        <f>IF(DAY(INDEX('Сводный годовой график'!$BA$4:$BL$14,$C80,MONTH($B$74)))=P$3,1,0)</f>
        <v>0</v>
      </c>
      <c r="CW81" s="58">
        <f>IF(DAY(INDEX('Сводный годовой график'!$BA$4:$BL$14,$C80,MONTH($B$74)))=Q$3,1,0)</f>
        <v>0</v>
      </c>
      <c r="CX81" s="58">
        <f>IF(DAY(INDEX('Сводный годовой график'!$BA$4:$BL$14,$C80,MONTH($B$74)))=R$3,1,0)</f>
        <v>0</v>
      </c>
      <c r="CY81" s="58">
        <f>IF(DAY(INDEX('Сводный годовой график'!$BA$4:$BL$14,$C80,MONTH($B$74)))=S$3,1,0)</f>
        <v>0</v>
      </c>
      <c r="CZ81" s="58">
        <f>IF(DAY(INDEX('Сводный годовой график'!$BA$4:$BL$14,$C80,MONTH($B$74)))=T$3,1,0)</f>
        <v>0</v>
      </c>
      <c r="DA81" s="58">
        <f>IF(DAY(INDEX('Сводный годовой график'!$BA$4:$BL$14,$C80,MONTH($B$74)))=U$3,1,0)</f>
        <v>0</v>
      </c>
      <c r="DB81" s="58">
        <f>IF(DAY(INDEX('Сводный годовой график'!$BA$4:$BL$14,$C80,MONTH($B$74)))=V$3,1,0)</f>
        <v>0</v>
      </c>
      <c r="DC81" s="58">
        <f>IF(DAY(INDEX('Сводный годовой график'!$BA$4:$BL$14,$C80,MONTH($B$74)))=W$3,1,0)</f>
        <v>0</v>
      </c>
      <c r="DD81" s="58">
        <f>IF(DAY(INDEX('Сводный годовой график'!$BA$4:$BL$14,$C80,MONTH($B$74)))=X$3,1,0)</f>
        <v>0</v>
      </c>
      <c r="DE81" s="58">
        <f>IF(DAY(INDEX('Сводный годовой график'!$BA$4:$BL$14,$C80,MONTH($B$74)))=Y$3,1,0)</f>
        <v>0</v>
      </c>
      <c r="DF81" s="58">
        <f>IF(DAY(INDEX('Сводный годовой график'!$BA$4:$BL$14,$C80,MONTH($B$74)))=Z$3,1,0)</f>
        <v>0</v>
      </c>
      <c r="DG81" s="58">
        <f>IF(DAY(INDEX('Сводный годовой график'!$BA$4:$BL$14,$C80,MONTH($B$74)))=AA$3,1,0)</f>
        <v>0</v>
      </c>
      <c r="DH81" s="58">
        <f>IF(DAY(INDEX('Сводный годовой график'!$BA$4:$BL$14,$C80,MONTH($B$74)))=AB$3,1,0)</f>
        <v>0</v>
      </c>
      <c r="DI81" s="58">
        <f>IF(DAY(INDEX('Сводный годовой график'!$BA$4:$BL$14,$C80,MONTH($B$74)))=AC$3,1,0)</f>
        <v>0</v>
      </c>
      <c r="DJ81" s="58">
        <f>IF(DAY(INDEX('Сводный годовой график'!$BA$4:$BL$14,$C80,MONTH($B$74)))=AD$3,1,0)</f>
        <v>0</v>
      </c>
      <c r="DK81" s="58">
        <f>IF(DAY(INDEX('Сводный годовой график'!$BA$4:$BL$14,$C80,MONTH($B$74)))=AE$3,1,0)</f>
        <v>0</v>
      </c>
      <c r="DL81" s="58">
        <f>IF(DAY(INDEX('Сводный годовой график'!$BA$4:$BL$14,$C80,MONTH($B$74)))=AF$3,1,0)</f>
        <v>0</v>
      </c>
      <c r="DM81" s="58">
        <f>IF(DAY(INDEX('Сводный годовой график'!$BA$4:$BL$14,$C80,MONTH($B$74)))=AG$3,1,0)</f>
        <v>0</v>
      </c>
      <c r="DN81" s="58">
        <f>IF(DAY(INDEX('Сводный годовой график'!$BA$4:$BL$14,$C80,MONTH($B$74)))=AH$3,1,0)</f>
        <v>0</v>
      </c>
      <c r="DO81" s="58">
        <f>IF(DAY(INDEX('Сводный годовой график'!$BA$4:$BL$14,$C80,MONTH($B$74)))=AI$3,1,0)</f>
        <v>0</v>
      </c>
    </row>
    <row r="82" spans="2:119" ht="16.5" thickBot="1" x14ac:dyDescent="0.3">
      <c r="B82" s="201"/>
      <c r="C82" s="196">
        <v>5</v>
      </c>
      <c r="D82" s="81">
        <v>9</v>
      </c>
      <c r="E82" s="96" t="s">
        <v>36</v>
      </c>
      <c r="F82" s="92" t="s">
        <v>36</v>
      </c>
      <c r="G82" s="92" t="s">
        <v>36</v>
      </c>
      <c r="H82" s="92" t="s">
        <v>36</v>
      </c>
      <c r="I82" s="92" t="s">
        <v>36</v>
      </c>
      <c r="J82" s="92" t="s">
        <v>36</v>
      </c>
      <c r="K82" s="92" t="s">
        <v>36</v>
      </c>
      <c r="L82" s="92" t="s">
        <v>36</v>
      </c>
      <c r="M82" s="92" t="s">
        <v>36</v>
      </c>
      <c r="N82" s="92" t="s">
        <v>36</v>
      </c>
      <c r="O82" s="92" t="s">
        <v>36</v>
      </c>
      <c r="P82" s="92" t="s">
        <v>36</v>
      </c>
      <c r="Q82" s="92" t="s">
        <v>36</v>
      </c>
      <c r="R82" s="92" t="s">
        <v>36</v>
      </c>
      <c r="S82" s="92" t="s">
        <v>36</v>
      </c>
      <c r="T82" s="92" t="s">
        <v>36</v>
      </c>
      <c r="U82" s="92" t="s">
        <v>36</v>
      </c>
      <c r="V82" s="92" t="s">
        <v>36</v>
      </c>
      <c r="W82" s="92" t="s">
        <v>36</v>
      </c>
      <c r="X82" s="92" t="s">
        <v>36</v>
      </c>
      <c r="Y82" s="92" t="s">
        <v>36</v>
      </c>
      <c r="Z82" s="92" t="s">
        <v>36</v>
      </c>
      <c r="AA82" s="92" t="s">
        <v>36</v>
      </c>
      <c r="AB82" s="92" t="s">
        <v>36</v>
      </c>
      <c r="AC82" s="92" t="s">
        <v>36</v>
      </c>
      <c r="AD82" s="92" t="s">
        <v>36</v>
      </c>
      <c r="AE82" s="92" t="s">
        <v>36</v>
      </c>
      <c r="AF82" s="92" t="s">
        <v>36</v>
      </c>
      <c r="AG82" s="92" t="s">
        <v>36</v>
      </c>
      <c r="AH82" s="92" t="s">
        <v>36</v>
      </c>
      <c r="AI82" s="97" t="s">
        <v>36</v>
      </c>
      <c r="AJ82" s="206"/>
      <c r="AK82" s="177">
        <f>$AJ$74-SUM(AY82:CC83)</f>
        <v>168</v>
      </c>
      <c r="AL82" s="177">
        <f t="shared" ref="AL82" si="141">SUM(E82:AI83)</f>
        <v>0</v>
      </c>
      <c r="AM82" s="177">
        <v>0</v>
      </c>
      <c r="AN82" s="198">
        <f t="shared" ref="AN82" si="142">-AM82-AK82+AL82</f>
        <v>-168</v>
      </c>
      <c r="AO82" s="198">
        <v>48</v>
      </c>
      <c r="AP82" s="198">
        <f>AN82+AP72-AO82</f>
        <v>-1357</v>
      </c>
      <c r="AQ82" s="177">
        <v>0</v>
      </c>
      <c r="AR82" s="179">
        <v>1</v>
      </c>
      <c r="CK82" s="59"/>
      <c r="CL82" s="59"/>
      <c r="CM82" s="59"/>
      <c r="CN82" s="59"/>
      <c r="CO82" s="59"/>
      <c r="CP82" s="59"/>
      <c r="CQ82" s="59"/>
      <c r="CR82" s="59"/>
      <c r="CS82" s="59"/>
      <c r="CT82" s="59"/>
      <c r="CU82" s="59"/>
      <c r="CV82" s="59"/>
      <c r="CW82" s="59"/>
      <c r="CX82" s="59"/>
      <c r="CY82" s="59"/>
      <c r="CZ82" s="59"/>
      <c r="DA82" s="59"/>
      <c r="DB82" s="59"/>
      <c r="DC82" s="59"/>
      <c r="DD82" s="59"/>
      <c r="DE82" s="59"/>
      <c r="DF82" s="59"/>
      <c r="DG82" s="59"/>
      <c r="DH82" s="59"/>
      <c r="DI82" s="59"/>
      <c r="DJ82" s="59"/>
      <c r="DK82" s="59"/>
      <c r="DL82" s="59"/>
      <c r="DM82" s="59"/>
      <c r="DN82" s="59"/>
      <c r="DO82" s="59"/>
    </row>
    <row r="83" spans="2:119" ht="16.5" thickBot="1" x14ac:dyDescent="0.3">
      <c r="B83" s="202"/>
      <c r="C83" s="197"/>
      <c r="D83" s="82">
        <v>10</v>
      </c>
      <c r="E83" s="84" t="str">
        <f t="shared" ref="E83:AI83" si="143">IF(INDEX($CK$4:$DO$123,ROW()-3,E$3)=0,"","СП")</f>
        <v/>
      </c>
      <c r="F83" s="29" t="str">
        <f t="shared" si="143"/>
        <v/>
      </c>
      <c r="G83" s="29" t="str">
        <f t="shared" si="143"/>
        <v/>
      </c>
      <c r="H83" s="29" t="str">
        <f t="shared" si="143"/>
        <v/>
      </c>
      <c r="I83" s="29" t="str">
        <f t="shared" si="143"/>
        <v/>
      </c>
      <c r="J83" s="29" t="str">
        <f t="shared" si="143"/>
        <v/>
      </c>
      <c r="K83" s="29" t="str">
        <f t="shared" si="143"/>
        <v/>
      </c>
      <c r="L83" s="29" t="str">
        <f t="shared" si="143"/>
        <v/>
      </c>
      <c r="M83" s="29" t="str">
        <f t="shared" si="143"/>
        <v/>
      </c>
      <c r="N83" s="29" t="str">
        <f t="shared" si="143"/>
        <v/>
      </c>
      <c r="O83" s="29" t="str">
        <f t="shared" si="143"/>
        <v/>
      </c>
      <c r="P83" s="29" t="str">
        <f t="shared" si="143"/>
        <v>СП</v>
      </c>
      <c r="Q83" s="29" t="str">
        <f t="shared" si="143"/>
        <v/>
      </c>
      <c r="R83" s="29" t="str">
        <f t="shared" si="143"/>
        <v/>
      </c>
      <c r="S83" s="29" t="str">
        <f t="shared" si="143"/>
        <v/>
      </c>
      <c r="T83" s="29" t="str">
        <f t="shared" si="143"/>
        <v/>
      </c>
      <c r="U83" s="29" t="str">
        <f t="shared" si="143"/>
        <v/>
      </c>
      <c r="V83" s="29" t="str">
        <f t="shared" si="143"/>
        <v/>
      </c>
      <c r="W83" s="29" t="str">
        <f t="shared" si="143"/>
        <v/>
      </c>
      <c r="X83" s="29" t="str">
        <f t="shared" si="143"/>
        <v/>
      </c>
      <c r="Y83" s="29" t="str">
        <f t="shared" si="143"/>
        <v/>
      </c>
      <c r="Z83" s="29" t="str">
        <f t="shared" si="143"/>
        <v/>
      </c>
      <c r="AA83" s="29" t="str">
        <f t="shared" si="143"/>
        <v/>
      </c>
      <c r="AB83" s="29" t="str">
        <f t="shared" si="143"/>
        <v/>
      </c>
      <c r="AC83" s="29" t="str">
        <f t="shared" si="143"/>
        <v/>
      </c>
      <c r="AD83" s="29" t="str">
        <f t="shared" si="143"/>
        <v/>
      </c>
      <c r="AE83" s="29" t="str">
        <f t="shared" si="143"/>
        <v/>
      </c>
      <c r="AF83" s="29" t="str">
        <f t="shared" si="143"/>
        <v/>
      </c>
      <c r="AG83" s="29" t="str">
        <f t="shared" si="143"/>
        <v/>
      </c>
      <c r="AH83" s="29" t="str">
        <f t="shared" si="143"/>
        <v/>
      </c>
      <c r="AI83" s="85" t="str">
        <f t="shared" si="143"/>
        <v/>
      </c>
      <c r="AJ83" s="207"/>
      <c r="AK83" s="177"/>
      <c r="AL83" s="178"/>
      <c r="AM83" s="178"/>
      <c r="AN83" s="199"/>
      <c r="AO83" s="199"/>
      <c r="AP83" s="199"/>
      <c r="AQ83" s="178"/>
      <c r="AR83" s="180"/>
      <c r="CK83" s="58">
        <f>IF(DAY(INDEX('Сводный годовой график'!$BA$4:$BL$14,$C82,MONTH($B$74)))=E$3,1,0)</f>
        <v>0</v>
      </c>
      <c r="CL83" s="58">
        <f>IF(DAY(INDEX('Сводный годовой график'!$BA$4:$BL$14,$C82,MONTH($B$74)))=F$3,1,0)</f>
        <v>0</v>
      </c>
      <c r="CM83" s="58">
        <f>IF(DAY(INDEX('Сводный годовой график'!$BA$4:$BL$14,$C82,MONTH($B$74)))=G$3,1,0)</f>
        <v>0</v>
      </c>
      <c r="CN83" s="58">
        <f>IF(DAY(INDEX('Сводный годовой график'!$BA$4:$BL$14,$C82,MONTH($B$74)))=H$3,1,0)</f>
        <v>0</v>
      </c>
      <c r="CO83" s="58">
        <f>IF(DAY(INDEX('Сводный годовой график'!$BA$4:$BL$14,$C82,MONTH($B$74)))=I$3,1,0)</f>
        <v>0</v>
      </c>
      <c r="CP83" s="58">
        <f>IF(DAY(INDEX('Сводный годовой график'!$BA$4:$BL$14,$C82,MONTH($B$74)))=J$3,1,0)</f>
        <v>0</v>
      </c>
      <c r="CQ83" s="58">
        <f>IF(DAY(INDEX('Сводный годовой график'!$BA$4:$BL$14,$C82,MONTH($B$74)))=K$3,1,0)</f>
        <v>0</v>
      </c>
      <c r="CR83" s="58">
        <f>IF(DAY(INDEX('Сводный годовой график'!$BA$4:$BL$14,$C82,MONTH($B$74)))=L$3,1,0)</f>
        <v>0</v>
      </c>
      <c r="CS83" s="58">
        <f>IF(DAY(INDEX('Сводный годовой график'!$BA$4:$BL$14,$C82,MONTH($B$74)))=M$3,1,0)</f>
        <v>0</v>
      </c>
      <c r="CT83" s="58">
        <f>IF(DAY(INDEX('Сводный годовой график'!$BA$4:$BL$14,$C82,MONTH($B$74)))=N$3,1,0)</f>
        <v>0</v>
      </c>
      <c r="CU83" s="58">
        <f>IF(DAY(INDEX('Сводный годовой график'!$BA$4:$BL$14,$C82,MONTH($B$74)))=O$3,1,0)</f>
        <v>0</v>
      </c>
      <c r="CV83" s="58">
        <f>IF(DAY(INDEX('Сводный годовой график'!$BA$4:$BL$14,$C82,MONTH($B$74)))=P$3,1,0)</f>
        <v>1</v>
      </c>
      <c r="CW83" s="58">
        <f>IF(DAY(INDEX('Сводный годовой график'!$BA$4:$BL$14,$C82,MONTH($B$74)))=Q$3,1,0)</f>
        <v>0</v>
      </c>
      <c r="CX83" s="58">
        <f>IF(DAY(INDEX('Сводный годовой график'!$BA$4:$BL$14,$C82,MONTH($B$74)))=R$3,1,0)</f>
        <v>0</v>
      </c>
      <c r="CY83" s="58">
        <f>IF(DAY(INDEX('Сводный годовой график'!$BA$4:$BL$14,$C82,MONTH($B$74)))=S$3,1,0)</f>
        <v>0</v>
      </c>
      <c r="CZ83" s="58">
        <f>IF(DAY(INDEX('Сводный годовой график'!$BA$4:$BL$14,$C82,MONTH($B$74)))=T$3,1,0)</f>
        <v>0</v>
      </c>
      <c r="DA83" s="58">
        <f>IF(DAY(INDEX('Сводный годовой график'!$BA$4:$BL$14,$C82,MONTH($B$74)))=U$3,1,0)</f>
        <v>0</v>
      </c>
      <c r="DB83" s="58">
        <f>IF(DAY(INDEX('Сводный годовой график'!$BA$4:$BL$14,$C82,MONTH($B$74)))=V$3,1,0)</f>
        <v>0</v>
      </c>
      <c r="DC83" s="58">
        <f>IF(DAY(INDEX('Сводный годовой график'!$BA$4:$BL$14,$C82,MONTH($B$74)))=W$3,1,0)</f>
        <v>0</v>
      </c>
      <c r="DD83" s="58">
        <f>IF(DAY(INDEX('Сводный годовой график'!$BA$4:$BL$14,$C82,MONTH($B$74)))=X$3,1,0)</f>
        <v>0</v>
      </c>
      <c r="DE83" s="58">
        <f>IF(DAY(INDEX('Сводный годовой график'!$BA$4:$BL$14,$C82,MONTH($B$74)))=Y$3,1,0)</f>
        <v>0</v>
      </c>
      <c r="DF83" s="58">
        <f>IF(DAY(INDEX('Сводный годовой график'!$BA$4:$BL$14,$C82,MONTH($B$74)))=Z$3,1,0)</f>
        <v>0</v>
      </c>
      <c r="DG83" s="58">
        <f>IF(DAY(INDEX('Сводный годовой график'!$BA$4:$BL$14,$C82,MONTH($B$74)))=AA$3,1,0)</f>
        <v>0</v>
      </c>
      <c r="DH83" s="58">
        <f>IF(DAY(INDEX('Сводный годовой график'!$BA$4:$BL$14,$C82,MONTH($B$74)))=AB$3,1,0)</f>
        <v>0</v>
      </c>
      <c r="DI83" s="58">
        <f>IF(DAY(INDEX('Сводный годовой график'!$BA$4:$BL$14,$C82,MONTH($B$74)))=AC$3,1,0)</f>
        <v>0</v>
      </c>
      <c r="DJ83" s="58">
        <f>IF(DAY(INDEX('Сводный годовой график'!$BA$4:$BL$14,$C82,MONTH($B$74)))=AD$3,1,0)</f>
        <v>0</v>
      </c>
      <c r="DK83" s="58">
        <f>IF(DAY(INDEX('Сводный годовой график'!$BA$4:$BL$14,$C82,MONTH($B$74)))=AE$3,1,0)</f>
        <v>0</v>
      </c>
      <c r="DL83" s="58">
        <f>IF(DAY(INDEX('Сводный годовой график'!$BA$4:$BL$14,$C82,MONTH($B$74)))=AF$3,1,0)</f>
        <v>0</v>
      </c>
      <c r="DM83" s="58">
        <f>IF(DAY(INDEX('Сводный годовой график'!$BA$4:$BL$14,$C82,MONTH($B$74)))=AG$3,1,0)</f>
        <v>0</v>
      </c>
      <c r="DN83" s="58">
        <f>IF(DAY(INDEX('Сводный годовой график'!$BA$4:$BL$14,$C82,MONTH($B$74)))=AH$3,1,0)</f>
        <v>0</v>
      </c>
      <c r="DO83" s="58">
        <f>IF(DAY(INDEX('Сводный годовой график'!$BA$4:$BL$14,$C82,MONTH($B$74)))=AI$3,1,0)</f>
        <v>0</v>
      </c>
    </row>
    <row r="84" spans="2:119" ht="17.25" customHeight="1" thickTop="1" thickBot="1" x14ac:dyDescent="0.3">
      <c r="B84" s="200">
        <f>DATE($AV$1,9,1)</f>
        <v>45901</v>
      </c>
      <c r="C84" s="196">
        <v>1</v>
      </c>
      <c r="D84" s="81">
        <v>1</v>
      </c>
      <c r="E84" s="86" t="e">
        <f ca="1">IF(AND(INDEX('Сводный годовой график'!$C$1:$AR$4,MATCH($C$84,'Сводный годовой график'!$B$1:$B$4),MATCH(DATE($AV$1,MONTH($B$84),E$3),'Сводный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график'!$B$1:$B$4),MATCH(DATE($AV$1,MONTH($B$84),E$3),'Сводный годовой график'!$C$13:$AR$13)))</f>
        <v>#N/A</v>
      </c>
      <c r="F84" s="27" t="e">
        <f ca="1">IF(AND(INDEX('Сводный годовой график'!$C$1:$AR$4,MATCH($C$84,'Сводный годовой график'!$B$1:$B$4),MATCH(DATE($AV$1,MONTH($B$84),F$3),'Сводный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график'!$B$1:$B$4),MATCH(DATE($AV$1,MONTH($B$84),F$3),'Сводный годовой график'!$C$13:$AR$13)))</f>
        <v>#N/A</v>
      </c>
      <c r="G84" s="27" t="e">
        <f ca="1">IF(AND(INDEX('Сводный годовой график'!$C$1:$AR$4,MATCH($C$84,'Сводный годовой график'!$B$1:$B$4),MATCH(DATE($AV$1,MONTH($B$84),G$3),'Сводный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график'!$B$1:$B$4),MATCH(DATE($AV$1,MONTH($B$84),G$3),'Сводный годовой график'!$C$13:$AR$13)))</f>
        <v>#N/A</v>
      </c>
      <c r="H84" s="27" t="e">
        <f ca="1">IF(AND(INDEX('Сводный годовой график'!$C$1:$AR$4,MATCH($C$84,'Сводный годовой график'!$B$1:$B$4),MATCH(DATE($AV$1,MONTH($B$84),H$3),'Сводный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график'!$B$1:$B$4),MATCH(DATE($AV$1,MONTH($B$84),H$3),'Сводный годовой график'!$C$13:$AR$13)))</f>
        <v>#N/A</v>
      </c>
      <c r="I84" s="27" t="e">
        <f ca="1">IF(AND(INDEX('Сводный годовой график'!$C$1:$AR$4,MATCH($C$84,'Сводный годовой график'!$B$1:$B$4),MATCH(DATE($AV$1,MONTH($B$84),I$3),'Сводный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график'!$B$1:$B$4),MATCH(DATE($AV$1,MONTH($B$84),I$3),'Сводный годовой график'!$C$13:$AR$13)))</f>
        <v>#N/A</v>
      </c>
      <c r="J84" s="27" t="e">
        <f ca="1">IF(AND(INDEX('Сводный годовой график'!$C$1:$AR$4,MATCH($C$84,'Сводный годовой график'!$B$1:$B$4),MATCH(DATE($AV$1,MONTH($B$84),J$3),'Сводный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график'!$B$1:$B$4),MATCH(DATE($AV$1,MONTH($B$84),J$3),'Сводный годовой график'!$C$13:$AR$13)))</f>
        <v>#N/A</v>
      </c>
      <c r="K84" s="27" t="e">
        <f ca="1">IF(AND(INDEX('Сводный годовой график'!$C$1:$AR$4,MATCH($C$84,'Сводный годовой график'!$B$1:$B$4),MATCH(DATE($AV$1,MONTH($B$84),K$3),'Сводный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график'!$B$1:$B$4),MATCH(DATE($AV$1,MONTH($B$84),K$3),'Сводный годовой график'!$C$13:$AR$13)))</f>
        <v>#N/A</v>
      </c>
      <c r="L84" s="27" t="e">
        <f ca="1">IF(AND(INDEX('Сводный годовой график'!$C$1:$AR$4,MATCH($C$84,'Сводный годовой график'!$B$1:$B$4),MATCH(DATE($AV$1,MONTH($B$84),L$3),'Сводный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график'!$B$1:$B$4),MATCH(DATE($AV$1,MONTH($B$84),L$3),'Сводный годовой график'!$C$13:$AR$13)))</f>
        <v>#N/A</v>
      </c>
      <c r="M84" s="27" t="e">
        <f ca="1">IF(AND(INDEX('Сводный годовой график'!$C$1:$AR$4,MATCH($C$84,'Сводный годовой график'!$B$1:$B$4),MATCH(DATE($AV$1,MONTH($B$84),M$3),'Сводный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график'!$B$1:$B$4),MATCH(DATE($AV$1,MONTH($B$84),M$3),'Сводный годовой график'!$C$13:$AR$13)))</f>
        <v>#N/A</v>
      </c>
      <c r="N84" s="27" t="e">
        <f ca="1">IF(AND(INDEX('Сводный годовой график'!$C$1:$AR$4,MATCH($C$84,'Сводный годовой график'!$B$1:$B$4),MATCH(DATE($AV$1,MONTH($B$84),N$3),'Сводный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график'!$B$1:$B$4),MATCH(DATE($AV$1,MONTH($B$84),N$3),'Сводный годовой график'!$C$13:$AR$13)))</f>
        <v>#N/A</v>
      </c>
      <c r="O84" s="27" t="e">
        <f ca="1">IF(AND(INDEX('Сводный годовой график'!$C$1:$AR$4,MATCH($C$84,'Сводный годовой график'!$B$1:$B$4),MATCH(DATE($AV$1,MONTH($B$84),O$3),'Сводный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график'!$B$1:$B$4),MATCH(DATE($AV$1,MONTH($B$84),O$3),'Сводный годовой график'!$C$13:$AR$13)))</f>
        <v>#N/A</v>
      </c>
      <c r="P84" s="27" t="e">
        <f ca="1">IF(AND(INDEX('Сводный годовой график'!$C$1:$AR$4,MATCH($C$84,'Сводный годовой график'!$B$1:$B$4),MATCH(DATE($AV$1,MONTH($B$84),P$3),'Сводный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график'!$B$1:$B$4),MATCH(DATE($AV$1,MONTH($B$84),P$3),'Сводный годовой график'!$C$13:$AR$13)))</f>
        <v>#N/A</v>
      </c>
      <c r="Q84" s="27" t="e">
        <f ca="1">IF(AND(INDEX('Сводный годовой график'!$C$1:$AR$4,MATCH($C$84,'Сводный годовой график'!$B$1:$B$4),MATCH(DATE($AV$1,MONTH($B$84),Q$3),'Сводный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график'!$B$1:$B$4),MATCH(DATE($AV$1,MONTH($B$84),Q$3),'Сводный годовой график'!$C$13:$AR$13)))</f>
        <v>#N/A</v>
      </c>
      <c r="R84" s="27" t="e">
        <f ca="1">IF(AND(INDEX('Сводный годовой график'!$C$1:$AR$4,MATCH($C$84,'Сводный годовой график'!$B$1:$B$4),MATCH(DATE($AV$1,MONTH($B$84),R$3),'Сводный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график'!$B$1:$B$4),MATCH(DATE($AV$1,MONTH($B$84),R$3),'Сводный годовой график'!$C$13:$AR$13)))</f>
        <v>#N/A</v>
      </c>
      <c r="S84" s="27" t="e">
        <f ca="1">IF(AND(INDEX('Сводный годовой график'!$C$1:$AR$4,MATCH($C$84,'Сводный годовой график'!$B$1:$B$4),MATCH(DATE($AV$1,MONTH($B$84),S$3),'Сводный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график'!$B$1:$B$4),MATCH(DATE($AV$1,MONTH($B$84),S$3),'Сводный годовой график'!$C$13:$AR$13)))</f>
        <v>#N/A</v>
      </c>
      <c r="T84" s="27" t="e">
        <f ca="1">IF(AND(INDEX('Сводный годовой график'!$C$1:$AR$4,MATCH($C$84,'Сводный годовой график'!$B$1:$B$4),MATCH(DATE($AV$1,MONTH($B$84),T$3),'Сводный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график'!$B$1:$B$4),MATCH(DATE($AV$1,MONTH($B$84),T$3),'Сводный годовой график'!$C$13:$AR$13)))</f>
        <v>#N/A</v>
      </c>
      <c r="U84" s="27" t="e">
        <f ca="1">IF(AND(INDEX('Сводный годовой график'!$C$1:$AR$4,MATCH($C$84,'Сводный годовой график'!$B$1:$B$4),MATCH(DATE($AV$1,MONTH($B$84),U$3),'Сводный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график'!$B$1:$B$4),MATCH(DATE($AV$1,MONTH($B$84),U$3),'Сводный годовой график'!$C$13:$AR$13)))</f>
        <v>#N/A</v>
      </c>
      <c r="V84" s="27" t="e">
        <f ca="1">IF(AND(INDEX('Сводный годовой график'!$C$1:$AR$4,MATCH($C$84,'Сводный годовой график'!$B$1:$B$4),MATCH(DATE($AV$1,MONTH($B$84),V$3),'Сводный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график'!$B$1:$B$4),MATCH(DATE($AV$1,MONTH($B$84),V$3),'Сводный годовой график'!$C$13:$AR$13)))</f>
        <v>#N/A</v>
      </c>
      <c r="W84" s="27" t="e">
        <f ca="1">IF(AND(INDEX('Сводный годовой график'!$C$1:$AR$4,MATCH($C$84,'Сводный годовой график'!$B$1:$B$4),MATCH(DATE($AV$1,MONTH($B$84),W$3),'Сводный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график'!$B$1:$B$4),MATCH(DATE($AV$1,MONTH($B$84),W$3),'Сводный годовой график'!$C$13:$AR$13)))</f>
        <v>#N/A</v>
      </c>
      <c r="X84" s="27" t="e">
        <f ca="1">IF(AND(INDEX('Сводный годовой график'!$C$1:$AR$4,MATCH($C$84,'Сводный годовой график'!$B$1:$B$4),MATCH(DATE($AV$1,MONTH($B$84),X$3),'Сводный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график'!$B$1:$B$4),MATCH(DATE($AV$1,MONTH($B$84),X$3),'Сводный годовой график'!$C$13:$AR$13)))</f>
        <v>#N/A</v>
      </c>
      <c r="Y84" s="27" t="e">
        <f ca="1">IF(AND(INDEX('Сводный годовой график'!$C$1:$AR$4,MATCH($C$84,'Сводный годовой график'!$B$1:$B$4),MATCH(DATE($AV$1,MONTH($B$84),Y$3),'Сводный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график'!$B$1:$B$4),MATCH(DATE($AV$1,MONTH($B$84),Y$3),'Сводный годовой график'!$C$13:$AR$13)))</f>
        <v>#N/A</v>
      </c>
      <c r="Z84" s="27" t="e">
        <f ca="1">IF(AND(INDEX('Сводный годовой график'!$C$1:$AR$4,MATCH($C$84,'Сводный годовой график'!$B$1:$B$4),MATCH(DATE($AV$1,MONTH($B$84),Z$3),'Сводный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график'!$B$1:$B$4),MATCH(DATE($AV$1,MONTH($B$84),Z$3),'Сводный годовой график'!$C$13:$AR$13)))</f>
        <v>#N/A</v>
      </c>
      <c r="AA84" s="27" t="e">
        <f ca="1">IF(AND(INDEX('Сводный годовой график'!$C$1:$AR$4,MATCH($C$84,'Сводный годовой график'!$B$1:$B$4),MATCH(DATE($AV$1,MONTH($B$84),AA$3),'Сводный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график'!$B$1:$B$4),MATCH(DATE($AV$1,MONTH($B$84),AA$3),'Сводный годовой график'!$C$13:$AR$13)))</f>
        <v>#N/A</v>
      </c>
      <c r="AB84" s="27" t="e">
        <f ca="1">IF(AND(INDEX('Сводный годовой график'!$C$1:$AR$4,MATCH($C$84,'Сводный годовой график'!$B$1:$B$4),MATCH(DATE($AV$1,MONTH($B$84),AB$3),'Сводный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график'!$B$1:$B$4),MATCH(DATE($AV$1,MONTH($B$84),AB$3),'Сводный годовой график'!$C$13:$AR$13)))</f>
        <v>#N/A</v>
      </c>
      <c r="AC84" s="27" t="e">
        <f ca="1">IF(AND(INDEX('Сводный годовой график'!$C$1:$AR$4,MATCH($C$84,'Сводный годовой график'!$B$1:$B$4),MATCH(DATE($AV$1,MONTH($B$84),AC$3),'Сводный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график'!$B$1:$B$4),MATCH(DATE($AV$1,MONTH($B$84),AC$3),'Сводный годовой график'!$C$13:$AR$13)))</f>
        <v>#N/A</v>
      </c>
      <c r="AD84" s="27" t="e">
        <f ca="1">IF(AND(INDEX('Сводный годовой график'!$C$1:$AR$4,MATCH($C$84,'Сводный годовой график'!$B$1:$B$4),MATCH(DATE($AV$1,MONTH($B$84),AD$3),'Сводный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график'!$B$1:$B$4),MATCH(DATE($AV$1,MONTH($B$84),AD$3),'Сводный годовой график'!$C$13:$AR$13)))</f>
        <v>#N/A</v>
      </c>
      <c r="AE84" s="27" t="e">
        <f ca="1">IF(AND(INDEX('Сводный годовой график'!$C$1:$AR$4,MATCH($C$84,'Сводный годовой график'!$B$1:$B$4),MATCH(DATE($AV$1,MONTH($B$84),AE$3),'Сводный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график'!$B$1:$B$4),MATCH(DATE($AV$1,MONTH($B$84),AE$3),'Сводный годовой график'!$C$13:$AR$13)))</f>
        <v>#N/A</v>
      </c>
      <c r="AF84" s="27" t="e">
        <f ca="1">IF(AND(INDEX('Сводный годовой график'!$C$1:$AR$4,MATCH($C$84,'Сводный годовой график'!$B$1:$B$4),MATCH(DATE($AV$1,MONTH($B$84),AF$3),'Сводный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график'!$B$1:$B$4),MATCH(DATE($AV$1,MONTH($B$84),AF$3),'Сводный годовой график'!$C$13:$AR$13)))</f>
        <v>#N/A</v>
      </c>
      <c r="AG84" s="27" t="e">
        <f ca="1">IF(AND(INDEX('Сводный годовой график'!$C$1:$AR$4,MATCH($C$84,'Сводный годовой график'!$B$1:$B$4),MATCH(DATE($AV$1,MONTH($B$84),AG$3),'Сводный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график'!$B$1:$B$4),MATCH(DATE($AV$1,MONTH($B$84),AG$3),'Сводный годовой график'!$C$13:$AR$13)))</f>
        <v>#N/A</v>
      </c>
      <c r="AH84" s="27" t="e">
        <f ca="1">IF(AND(INDEX('Сводный годовой график'!$C$1:$AR$4,MATCH($C$84,'Сводный годовой график'!$B$1:$B$4),MATCH(DATE($AV$1,MONTH($B$84),AH$3),'Сводный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график'!$B$1:$B$4),MATCH(DATE($AV$1,MONTH($B$84),AH$3),'Сводный годовой график'!$C$13:$AR$13)))</f>
        <v>#N/A</v>
      </c>
      <c r="AI84" s="122"/>
      <c r="AJ84" s="205">
        <f>INDEX(Подключения!$D$3:$H$14,MONTH(B84),5)</f>
        <v>176</v>
      </c>
      <c r="AK84" s="219">
        <f>$AJ$84-SUM(AY84:CC85)</f>
        <v>176</v>
      </c>
      <c r="AL84" s="219" t="e">
        <f t="shared" ref="AL84" ca="1" si="144">SUM(E84:AI85)</f>
        <v>#N/A</v>
      </c>
      <c r="AM84" s="216">
        <v>0</v>
      </c>
      <c r="AN84" s="218" t="e">
        <f t="shared" ref="AN84" ca="1" si="145">-AM84-AK84+AL84</f>
        <v>#N/A</v>
      </c>
      <c r="AO84" s="218">
        <v>0</v>
      </c>
      <c r="AP84" s="218" t="e">
        <f ca="1">AN84+AP74-AO84</f>
        <v>#N/A</v>
      </c>
      <c r="AQ84" s="216">
        <v>10</v>
      </c>
      <c r="AR84" s="217">
        <v>1</v>
      </c>
      <c r="CK84" s="59"/>
      <c r="CL84" s="59"/>
      <c r="CM84" s="59"/>
      <c r="CN84" s="59"/>
      <c r="CO84" s="59"/>
      <c r="CP84" s="59"/>
      <c r="CQ84" s="59"/>
      <c r="CR84" s="59"/>
      <c r="CS84" s="59"/>
      <c r="CT84" s="59"/>
      <c r="CU84" s="59"/>
      <c r="CV84" s="59"/>
      <c r="CW84" s="59"/>
      <c r="CX84" s="59"/>
      <c r="CY84" s="59"/>
      <c r="CZ84" s="59"/>
      <c r="DA84" s="59"/>
      <c r="DB84" s="59"/>
      <c r="DC84" s="59"/>
      <c r="DD84" s="59"/>
      <c r="DE84" s="59"/>
      <c r="DF84" s="59"/>
      <c r="DG84" s="59"/>
      <c r="DH84" s="59"/>
      <c r="DI84" s="59"/>
      <c r="DJ84" s="59"/>
      <c r="DK84" s="59"/>
      <c r="DL84" s="59"/>
      <c r="DM84" s="59"/>
      <c r="DN84" s="59"/>
      <c r="DO84" s="59"/>
    </row>
    <row r="85" spans="2:119" ht="16.5" thickBot="1" x14ac:dyDescent="0.3">
      <c r="B85" s="201"/>
      <c r="C85" s="197"/>
      <c r="D85" s="82">
        <v>2</v>
      </c>
      <c r="E85" s="96" t="str">
        <f t="shared" ref="E85:AH85" si="146">IF(INDEX($CK$4:$DO$123,ROW()-3,E$3)=0,"","СП")</f>
        <v/>
      </c>
      <c r="F85" s="92" t="str">
        <f t="shared" si="146"/>
        <v/>
      </c>
      <c r="G85" s="92" t="str">
        <f t="shared" si="146"/>
        <v/>
      </c>
      <c r="H85" s="92" t="str">
        <f t="shared" si="146"/>
        <v/>
      </c>
      <c r="I85" s="92" t="str">
        <f t="shared" si="146"/>
        <v/>
      </c>
      <c r="J85" s="92" t="str">
        <f t="shared" si="146"/>
        <v/>
      </c>
      <c r="K85" s="92" t="str">
        <f t="shared" si="146"/>
        <v/>
      </c>
      <c r="L85" s="92" t="str">
        <f t="shared" si="146"/>
        <v/>
      </c>
      <c r="M85" s="92" t="str">
        <f t="shared" si="146"/>
        <v>СП</v>
      </c>
      <c r="N85" s="92" t="str">
        <f t="shared" si="146"/>
        <v/>
      </c>
      <c r="O85" s="92" t="str">
        <f t="shared" si="146"/>
        <v/>
      </c>
      <c r="P85" s="92" t="str">
        <f t="shared" si="146"/>
        <v/>
      </c>
      <c r="Q85" s="92" t="str">
        <f t="shared" si="146"/>
        <v/>
      </c>
      <c r="R85" s="92" t="str">
        <f t="shared" si="146"/>
        <v/>
      </c>
      <c r="S85" s="92" t="str">
        <f t="shared" si="146"/>
        <v/>
      </c>
      <c r="T85" s="92" t="str">
        <f t="shared" si="146"/>
        <v/>
      </c>
      <c r="U85" s="92" t="str">
        <f t="shared" si="146"/>
        <v/>
      </c>
      <c r="V85" s="92" t="str">
        <f t="shared" si="146"/>
        <v/>
      </c>
      <c r="W85" s="92" t="str">
        <f t="shared" si="146"/>
        <v/>
      </c>
      <c r="X85" s="92" t="str">
        <f t="shared" si="146"/>
        <v/>
      </c>
      <c r="Y85" s="92" t="str">
        <f t="shared" si="146"/>
        <v/>
      </c>
      <c r="Z85" s="92" t="str">
        <f t="shared" si="146"/>
        <v/>
      </c>
      <c r="AA85" s="92" t="str">
        <f t="shared" si="146"/>
        <v/>
      </c>
      <c r="AB85" s="92" t="str">
        <f t="shared" si="146"/>
        <v/>
      </c>
      <c r="AC85" s="92" t="str">
        <f t="shared" si="146"/>
        <v/>
      </c>
      <c r="AD85" s="92" t="str">
        <f t="shared" si="146"/>
        <v/>
      </c>
      <c r="AE85" s="92" t="str">
        <f t="shared" si="146"/>
        <v/>
      </c>
      <c r="AF85" s="92" t="str">
        <f t="shared" si="146"/>
        <v/>
      </c>
      <c r="AG85" s="92" t="str">
        <f t="shared" si="146"/>
        <v/>
      </c>
      <c r="AH85" s="92" t="str">
        <f t="shared" si="146"/>
        <v/>
      </c>
      <c r="AI85" s="110"/>
      <c r="AJ85" s="206"/>
      <c r="AK85" s="220"/>
      <c r="AL85" s="220"/>
      <c r="AM85" s="209"/>
      <c r="AN85" s="211"/>
      <c r="AO85" s="211"/>
      <c r="AP85" s="211"/>
      <c r="AQ85" s="209"/>
      <c r="AR85" s="210"/>
      <c r="CK85" s="58">
        <f>IF(DAY(INDEX('Сводный годовой график'!$BA$4:$BL$14,$C84,MONTH($B$84)))=E$3,1,0)</f>
        <v>0</v>
      </c>
      <c r="CL85" s="58">
        <f>IF(DAY(INDEX('Сводный годовой график'!$BA$4:$BL$14,$C84,MONTH($B$84)))=F$3,1,0)</f>
        <v>0</v>
      </c>
      <c r="CM85" s="58">
        <f>IF(DAY(INDEX('Сводный годовой график'!$BA$4:$BL$14,$C84,MONTH($B$84)))=G$3,1,0)</f>
        <v>0</v>
      </c>
      <c r="CN85" s="58">
        <f>IF(DAY(INDEX('Сводный годовой график'!$BA$4:$BL$14,$C84,MONTH($B$84)))=H$3,1,0)</f>
        <v>0</v>
      </c>
      <c r="CO85" s="58">
        <f>IF(DAY(INDEX('Сводный годовой график'!$BA$4:$BL$14,$C84,MONTH($B$84)))=I$3,1,0)</f>
        <v>0</v>
      </c>
      <c r="CP85" s="58">
        <f>IF(DAY(INDEX('Сводный годовой график'!$BA$4:$BL$14,$C84,MONTH($B$84)))=J$3,1,0)</f>
        <v>0</v>
      </c>
      <c r="CQ85" s="58">
        <f>IF(DAY(INDEX('Сводный годовой график'!$BA$4:$BL$14,$C84,MONTH($B$84)))=K$3,1,0)</f>
        <v>0</v>
      </c>
      <c r="CR85" s="58">
        <f>IF(DAY(INDEX('Сводный годовой график'!$BA$4:$BL$14,$C84,MONTH($B$84)))=L$3,1,0)</f>
        <v>0</v>
      </c>
      <c r="CS85" s="58">
        <f>IF(DAY(INDEX('Сводный годовой график'!$BA$4:$BL$14,$C84,MONTH($B$84)))=M$3,1,0)</f>
        <v>1</v>
      </c>
      <c r="CT85" s="58">
        <f>IF(DAY(INDEX('Сводный годовой график'!$BA$4:$BL$14,$C84,MONTH($B$84)))=N$3,1,0)</f>
        <v>0</v>
      </c>
      <c r="CU85" s="58">
        <f>IF(DAY(INDEX('Сводный годовой график'!$BA$4:$BL$14,$C84,MONTH($B$84)))=O$3,1,0)</f>
        <v>0</v>
      </c>
      <c r="CV85" s="58">
        <f>IF(DAY(INDEX('Сводный годовой график'!$BA$4:$BL$14,$C84,MONTH($B$84)))=P$3,1,0)</f>
        <v>0</v>
      </c>
      <c r="CW85" s="58">
        <f>IF(DAY(INDEX('Сводный годовой график'!$BA$4:$BL$14,$C84,MONTH($B$84)))=Q$3,1,0)</f>
        <v>0</v>
      </c>
      <c r="CX85" s="58">
        <f>IF(DAY(INDEX('Сводный годовой график'!$BA$4:$BL$14,$C84,MONTH($B$84)))=R$3,1,0)</f>
        <v>0</v>
      </c>
      <c r="CY85" s="58">
        <f>IF(DAY(INDEX('Сводный годовой график'!$BA$4:$BL$14,$C84,MONTH($B$84)))=S$3,1,0)</f>
        <v>0</v>
      </c>
      <c r="CZ85" s="58">
        <f>IF(DAY(INDEX('Сводный годовой график'!$BA$4:$BL$14,$C84,MONTH($B$84)))=T$3,1,0)</f>
        <v>0</v>
      </c>
      <c r="DA85" s="58">
        <f>IF(DAY(INDEX('Сводный годовой график'!$BA$4:$BL$14,$C84,MONTH($B$84)))=U$3,1,0)</f>
        <v>0</v>
      </c>
      <c r="DB85" s="58">
        <f>IF(DAY(INDEX('Сводный годовой график'!$BA$4:$BL$14,$C84,MONTH($B$84)))=V$3,1,0)</f>
        <v>0</v>
      </c>
      <c r="DC85" s="58">
        <f>IF(DAY(INDEX('Сводный годовой график'!$BA$4:$BL$14,$C84,MONTH($B$84)))=W$3,1,0)</f>
        <v>0</v>
      </c>
      <c r="DD85" s="58">
        <f>IF(DAY(INDEX('Сводный годовой график'!$BA$4:$BL$14,$C84,MONTH($B$84)))=X$3,1,0)</f>
        <v>0</v>
      </c>
      <c r="DE85" s="58">
        <f>IF(DAY(INDEX('Сводный годовой график'!$BA$4:$BL$14,$C84,MONTH($B$84)))=Y$3,1,0)</f>
        <v>0</v>
      </c>
      <c r="DF85" s="58">
        <f>IF(DAY(INDEX('Сводный годовой график'!$BA$4:$BL$14,$C84,MONTH($B$84)))=Z$3,1,0)</f>
        <v>0</v>
      </c>
      <c r="DG85" s="58">
        <f>IF(DAY(INDEX('Сводный годовой график'!$BA$4:$BL$14,$C84,MONTH($B$84)))=AA$3,1,0)</f>
        <v>0</v>
      </c>
      <c r="DH85" s="58">
        <f>IF(DAY(INDEX('Сводный годовой график'!$BA$4:$BL$14,$C84,MONTH($B$84)))=AB$3,1,0)</f>
        <v>0</v>
      </c>
      <c r="DI85" s="58">
        <f>IF(DAY(INDEX('Сводный годовой график'!$BA$4:$BL$14,$C84,MONTH($B$84)))=AC$3,1,0)</f>
        <v>0</v>
      </c>
      <c r="DJ85" s="58">
        <f>IF(DAY(INDEX('Сводный годовой график'!$BA$4:$BL$14,$C84,MONTH($B$84)))=AD$3,1,0)</f>
        <v>0</v>
      </c>
      <c r="DK85" s="58">
        <f>IF(DAY(INDEX('Сводный годовой график'!$BA$4:$BL$14,$C84,MONTH($B$84)))=AE$3,1,0)</f>
        <v>0</v>
      </c>
      <c r="DL85" s="58">
        <f>IF(DAY(INDEX('Сводный годовой график'!$BA$4:$BL$14,$C84,MONTH($B$84)))=AF$3,1,0)</f>
        <v>0</v>
      </c>
      <c r="DM85" s="58">
        <f>IF(DAY(INDEX('Сводный годовой график'!$BA$4:$BL$14,$C84,MONTH($B$84)))=AG$3,1,0)</f>
        <v>0</v>
      </c>
      <c r="DN85" s="58">
        <f>IF(DAY(INDEX('Сводный годовой график'!$BA$4:$BL$14,$C84,MONTH($B$84)))=AH$3,1,0)</f>
        <v>0</v>
      </c>
      <c r="DO85" s="58">
        <f>IF(DAY(INDEX('Сводный годовой график'!$BA$4:$BL$14,$C84,MONTH($B$84)))=AI$3,1,0)</f>
        <v>0</v>
      </c>
    </row>
    <row r="86" spans="2:119" ht="16.5" thickBot="1" x14ac:dyDescent="0.3">
      <c r="B86" s="201"/>
      <c r="C86" s="196">
        <v>2</v>
      </c>
      <c r="D86" s="81">
        <v>3</v>
      </c>
      <c r="E86" s="96" t="e">
        <f ca="1">IF(AND(INDEX('Сводный годовой график'!$C$1:$AR$4,MATCH($C$86,'Сводный годовой график'!$B$1:$B$4),MATCH(DATE($AV$1,MONTH($B$84),E$3),'Сводный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график'!$B$1:$B$4),MATCH(DATE($AV$1,MONTH($B$84),E$3),'Сводный годовой график'!$C$13:$AR$13)))</f>
        <v>#N/A</v>
      </c>
      <c r="F86" s="92" t="e">
        <f ca="1">IF(AND(INDEX('Сводный годовой график'!$C$1:$AR$4,MATCH($C$86,'Сводный годовой график'!$B$1:$B$4),MATCH(DATE($AV$1,MONTH($B$84),F$3),'Сводный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график'!$B$1:$B$4),MATCH(DATE($AV$1,MONTH($B$84),F$3),'Сводный годовой график'!$C$13:$AR$13)))</f>
        <v>#N/A</v>
      </c>
      <c r="G86" s="92" t="e">
        <f ca="1">IF(AND(INDEX('Сводный годовой график'!$C$1:$AR$4,MATCH($C$86,'Сводный годовой график'!$B$1:$B$4),MATCH(DATE($AV$1,MONTH($B$84),G$3),'Сводный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график'!$B$1:$B$4),MATCH(DATE($AV$1,MONTH($B$84),G$3),'Сводный годовой график'!$C$13:$AR$13)))</f>
        <v>#N/A</v>
      </c>
      <c r="H86" s="92" t="e">
        <f ca="1">IF(AND(INDEX('Сводный годовой график'!$C$1:$AR$4,MATCH($C$86,'Сводный годовой график'!$B$1:$B$4),MATCH(DATE($AV$1,MONTH($B$84),H$3),'Сводный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график'!$B$1:$B$4),MATCH(DATE($AV$1,MONTH($B$84),H$3),'Сводный годовой график'!$C$13:$AR$13)))</f>
        <v>#N/A</v>
      </c>
      <c r="I86" s="92" t="e">
        <f ca="1">IF(AND(INDEX('Сводный годовой график'!$C$1:$AR$4,MATCH($C$86,'Сводный годовой график'!$B$1:$B$4),MATCH(DATE($AV$1,MONTH($B$84),I$3),'Сводный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график'!$B$1:$B$4),MATCH(DATE($AV$1,MONTH($B$84),I$3),'Сводный годовой график'!$C$13:$AR$13)))</f>
        <v>#N/A</v>
      </c>
      <c r="J86" s="92" t="e">
        <f ca="1">IF(AND(INDEX('Сводный годовой график'!$C$1:$AR$4,MATCH($C$86,'Сводный годовой график'!$B$1:$B$4),MATCH(DATE($AV$1,MONTH($B$84),J$3),'Сводный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график'!$B$1:$B$4),MATCH(DATE($AV$1,MONTH($B$84),J$3),'Сводный годовой график'!$C$13:$AR$13)))</f>
        <v>#N/A</v>
      </c>
      <c r="K86" s="92" t="e">
        <f ca="1">IF(AND(INDEX('Сводный годовой график'!$C$1:$AR$4,MATCH($C$86,'Сводный годовой график'!$B$1:$B$4),MATCH(DATE($AV$1,MONTH($B$84),K$3),'Сводный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график'!$B$1:$B$4),MATCH(DATE($AV$1,MONTH($B$84),K$3),'Сводный годовой график'!$C$13:$AR$13)))</f>
        <v>#N/A</v>
      </c>
      <c r="L86" s="92" t="e">
        <f ca="1">IF(AND(INDEX('Сводный годовой график'!$C$1:$AR$4,MATCH($C$86,'Сводный годовой график'!$B$1:$B$4),MATCH(DATE($AV$1,MONTH($B$84),L$3),'Сводный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график'!$B$1:$B$4),MATCH(DATE($AV$1,MONTH($B$84),L$3),'Сводный годовой график'!$C$13:$AR$13)))</f>
        <v>#N/A</v>
      </c>
      <c r="M86" s="92" t="e">
        <f ca="1">IF(AND(INDEX('Сводный годовой график'!$C$1:$AR$4,MATCH($C$86,'Сводный годовой график'!$B$1:$B$4),MATCH(DATE($AV$1,MONTH($B$84),M$3),'Сводный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график'!$B$1:$B$4),MATCH(DATE($AV$1,MONTH($B$84),M$3),'Сводный годовой график'!$C$13:$AR$13)))</f>
        <v>#N/A</v>
      </c>
      <c r="N86" s="92" t="e">
        <f ca="1">IF(AND(INDEX('Сводный годовой график'!$C$1:$AR$4,MATCH($C$86,'Сводный годовой график'!$B$1:$B$4),MATCH(DATE($AV$1,MONTH($B$84),N$3),'Сводный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график'!$B$1:$B$4),MATCH(DATE($AV$1,MONTH($B$84),N$3),'Сводный годовой график'!$C$13:$AR$13)))</f>
        <v>#N/A</v>
      </c>
      <c r="O86" s="92" t="e">
        <f ca="1">IF(AND(INDEX('Сводный годовой график'!$C$1:$AR$4,MATCH($C$86,'Сводный годовой график'!$B$1:$B$4),MATCH(DATE($AV$1,MONTH($B$84),O$3),'Сводный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график'!$B$1:$B$4),MATCH(DATE($AV$1,MONTH($B$84),O$3),'Сводный годовой график'!$C$13:$AR$13)))</f>
        <v>#N/A</v>
      </c>
      <c r="P86" s="92" t="e">
        <f ca="1">IF(AND(INDEX('Сводный годовой график'!$C$1:$AR$4,MATCH($C$86,'Сводный годовой график'!$B$1:$B$4),MATCH(DATE($AV$1,MONTH($B$84),P$3),'Сводный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график'!$B$1:$B$4),MATCH(DATE($AV$1,MONTH($B$84),P$3),'Сводный годовой график'!$C$13:$AR$13)))</f>
        <v>#N/A</v>
      </c>
      <c r="Q86" s="92" t="e">
        <f ca="1">IF(AND(INDEX('Сводный годовой график'!$C$1:$AR$4,MATCH($C$86,'Сводный годовой график'!$B$1:$B$4),MATCH(DATE($AV$1,MONTH($B$84),Q$3),'Сводный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график'!$B$1:$B$4),MATCH(DATE($AV$1,MONTH($B$84),Q$3),'Сводный годовой график'!$C$13:$AR$13)))</f>
        <v>#N/A</v>
      </c>
      <c r="R86" s="92" t="e">
        <f ca="1">IF(AND(INDEX('Сводный годовой график'!$C$1:$AR$4,MATCH($C$86,'Сводный годовой график'!$B$1:$B$4),MATCH(DATE($AV$1,MONTH($B$84),R$3),'Сводный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график'!$B$1:$B$4),MATCH(DATE($AV$1,MONTH($B$84),R$3),'Сводный годовой график'!$C$13:$AR$13)))</f>
        <v>#N/A</v>
      </c>
      <c r="S86" s="92" t="e">
        <f ca="1">IF(AND(INDEX('Сводный годовой график'!$C$1:$AR$4,MATCH($C$86,'Сводный годовой график'!$B$1:$B$4),MATCH(DATE($AV$1,MONTH($B$84),S$3),'Сводный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график'!$B$1:$B$4),MATCH(DATE($AV$1,MONTH($B$84),S$3),'Сводный годовой график'!$C$13:$AR$13)))</f>
        <v>#N/A</v>
      </c>
      <c r="T86" s="92" t="e">
        <f ca="1">IF(AND(INDEX('Сводный годовой график'!$C$1:$AR$4,MATCH($C$86,'Сводный годовой график'!$B$1:$B$4),MATCH(DATE($AV$1,MONTH($B$84),T$3),'Сводный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график'!$B$1:$B$4),MATCH(DATE($AV$1,MONTH($B$84),T$3),'Сводный годовой график'!$C$13:$AR$13)))</f>
        <v>#N/A</v>
      </c>
      <c r="U86" s="92" t="e">
        <f ca="1">IF(AND(INDEX('Сводный годовой график'!$C$1:$AR$4,MATCH($C$86,'Сводный годовой график'!$B$1:$B$4),MATCH(DATE($AV$1,MONTH($B$84),U$3),'Сводный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график'!$B$1:$B$4),MATCH(DATE($AV$1,MONTH($B$84),U$3),'Сводный годовой график'!$C$13:$AR$13)))</f>
        <v>#N/A</v>
      </c>
      <c r="V86" s="92" t="e">
        <f ca="1">IF(AND(INDEX('Сводный годовой график'!$C$1:$AR$4,MATCH($C$86,'Сводный годовой график'!$B$1:$B$4),MATCH(DATE($AV$1,MONTH($B$84),V$3),'Сводный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график'!$B$1:$B$4),MATCH(DATE($AV$1,MONTH($B$84),V$3),'Сводный годовой график'!$C$13:$AR$13)))</f>
        <v>#N/A</v>
      </c>
      <c r="W86" s="92" t="e">
        <f ca="1">IF(AND(INDEX('Сводный годовой график'!$C$1:$AR$4,MATCH($C$86,'Сводный годовой график'!$B$1:$B$4),MATCH(DATE($AV$1,MONTH($B$84),W$3),'Сводный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график'!$B$1:$B$4),MATCH(DATE($AV$1,MONTH($B$84),W$3),'Сводный годовой график'!$C$13:$AR$13)))</f>
        <v>#N/A</v>
      </c>
      <c r="X86" s="92" t="e">
        <f ca="1">IF(AND(INDEX('Сводный годовой график'!$C$1:$AR$4,MATCH($C$86,'Сводный годовой график'!$B$1:$B$4),MATCH(DATE($AV$1,MONTH($B$84),X$3),'Сводный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график'!$B$1:$B$4),MATCH(DATE($AV$1,MONTH($B$84),X$3),'Сводный годовой график'!$C$13:$AR$13)))</f>
        <v>#N/A</v>
      </c>
      <c r="Y86" s="92" t="e">
        <f ca="1">IF(AND(INDEX('Сводный годовой график'!$C$1:$AR$4,MATCH($C$86,'Сводный годовой график'!$B$1:$B$4),MATCH(DATE($AV$1,MONTH($B$84),Y$3),'Сводный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график'!$B$1:$B$4),MATCH(DATE($AV$1,MONTH($B$84),Y$3),'Сводный годовой график'!$C$13:$AR$13)))</f>
        <v>#N/A</v>
      </c>
      <c r="Z86" s="92" t="e">
        <f ca="1">IF(AND(INDEX('Сводный годовой график'!$C$1:$AR$4,MATCH($C$86,'Сводный годовой график'!$B$1:$B$4),MATCH(DATE($AV$1,MONTH($B$84),Z$3),'Сводный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график'!$B$1:$B$4),MATCH(DATE($AV$1,MONTH($B$84),Z$3),'Сводный годовой график'!$C$13:$AR$13)))</f>
        <v>#N/A</v>
      </c>
      <c r="AA86" s="92" t="e">
        <f ca="1">IF(AND(INDEX('Сводный годовой график'!$C$1:$AR$4,MATCH($C$86,'Сводный годовой график'!$B$1:$B$4),MATCH(DATE($AV$1,MONTH($B$84),AA$3),'Сводный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график'!$B$1:$B$4),MATCH(DATE($AV$1,MONTH($B$84),AA$3),'Сводный годовой график'!$C$13:$AR$13)))</f>
        <v>#N/A</v>
      </c>
      <c r="AB86" s="92" t="e">
        <f ca="1">IF(AND(INDEX('Сводный годовой график'!$C$1:$AR$4,MATCH($C$86,'Сводный годовой график'!$B$1:$B$4),MATCH(DATE($AV$1,MONTH($B$84),AB$3),'Сводный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график'!$B$1:$B$4),MATCH(DATE($AV$1,MONTH($B$84),AB$3),'Сводный годовой график'!$C$13:$AR$13)))</f>
        <v>#N/A</v>
      </c>
      <c r="AC86" s="92" t="e">
        <f ca="1">IF(AND(INDEX('Сводный годовой график'!$C$1:$AR$4,MATCH($C$86,'Сводный годовой график'!$B$1:$B$4),MATCH(DATE($AV$1,MONTH($B$84),AC$3),'Сводный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график'!$B$1:$B$4),MATCH(DATE($AV$1,MONTH($B$84),AC$3),'Сводный годовой график'!$C$13:$AR$13)))</f>
        <v>#N/A</v>
      </c>
      <c r="AD86" s="92" t="e">
        <f ca="1">IF(AND(INDEX('Сводный годовой график'!$C$1:$AR$4,MATCH($C$86,'Сводный годовой график'!$B$1:$B$4),MATCH(DATE($AV$1,MONTH($B$84),AD$3),'Сводный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график'!$B$1:$B$4),MATCH(DATE($AV$1,MONTH($B$84),AD$3),'Сводный годовой график'!$C$13:$AR$13)))</f>
        <v>#N/A</v>
      </c>
      <c r="AE86" s="92" t="e">
        <f ca="1">IF(AND(INDEX('Сводный годовой график'!$C$1:$AR$4,MATCH($C$86,'Сводный годовой график'!$B$1:$B$4),MATCH(DATE($AV$1,MONTH($B$84),AE$3),'Сводный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график'!$B$1:$B$4),MATCH(DATE($AV$1,MONTH($B$84),AE$3),'Сводный годовой график'!$C$13:$AR$13)))</f>
        <v>#N/A</v>
      </c>
      <c r="AF86" s="92" t="e">
        <f ca="1">IF(AND(INDEX('Сводный годовой график'!$C$1:$AR$4,MATCH($C$86,'Сводный годовой график'!$B$1:$B$4),MATCH(DATE($AV$1,MONTH($B$84),AF$3),'Сводный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график'!$B$1:$B$4),MATCH(DATE($AV$1,MONTH($B$84),AF$3),'Сводный годовой график'!$C$13:$AR$13)))</f>
        <v>#N/A</v>
      </c>
      <c r="AG86" s="92" t="e">
        <f ca="1">IF(AND(INDEX('Сводный годовой график'!$C$1:$AR$4,MATCH($C$86,'Сводный годовой график'!$B$1:$B$4),MATCH(DATE($AV$1,MONTH($B$84),AG$3),'Сводный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график'!$B$1:$B$4),MATCH(DATE($AV$1,MONTH($B$84),AG$3),'Сводный годовой график'!$C$13:$AR$13)))</f>
        <v>#N/A</v>
      </c>
      <c r="AH86" s="92" t="e">
        <f ca="1">IF(AND(INDEX('Сводный годовой график'!$C$1:$AR$4,MATCH($C$86,'Сводный годовой график'!$B$1:$B$4),MATCH(DATE($AV$1,MONTH($B$84),AH$3),'Сводный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график'!$B$1:$B$4),MATCH(DATE($AV$1,MONTH($B$84),AH$3),'Сводный годовой график'!$C$13:$AR$13)))</f>
        <v>#N/A</v>
      </c>
      <c r="AI86" s="110"/>
      <c r="AJ86" s="206"/>
      <c r="AK86" s="209">
        <f>$AJ$84-SUM(AY86:CC87)</f>
        <v>176</v>
      </c>
      <c r="AL86" s="209" t="e">
        <f t="shared" ref="AL86" ca="1" si="147">SUM(E86:AI87)</f>
        <v>#N/A</v>
      </c>
      <c r="AM86" s="209">
        <v>0</v>
      </c>
      <c r="AN86" s="211" t="e">
        <f t="shared" ref="AN86" ca="1" si="148">-AM86-AK86+AL86</f>
        <v>#N/A</v>
      </c>
      <c r="AO86" s="211">
        <v>0</v>
      </c>
      <c r="AP86" s="211" t="e">
        <f ca="1">AN86+AP76-AO86</f>
        <v>#N/A</v>
      </c>
      <c r="AQ86" s="209">
        <v>0</v>
      </c>
      <c r="AR86" s="210">
        <v>1</v>
      </c>
      <c r="CK86" s="59"/>
      <c r="CL86" s="59"/>
      <c r="CM86" s="59"/>
      <c r="CN86" s="59"/>
      <c r="CO86" s="59"/>
      <c r="CP86" s="59"/>
      <c r="CQ86" s="59"/>
      <c r="CR86" s="59"/>
      <c r="CS86" s="59"/>
      <c r="CT86" s="59"/>
      <c r="CU86" s="59"/>
      <c r="CV86" s="59"/>
      <c r="CW86" s="59"/>
      <c r="CX86" s="59"/>
      <c r="CY86" s="59"/>
      <c r="CZ86" s="59"/>
      <c r="DA86" s="59"/>
      <c r="DB86" s="59"/>
      <c r="DC86" s="59"/>
      <c r="DD86" s="59"/>
      <c r="DE86" s="59"/>
      <c r="DF86" s="59"/>
      <c r="DG86" s="59"/>
      <c r="DH86" s="59"/>
      <c r="DI86" s="59"/>
      <c r="DJ86" s="59"/>
      <c r="DK86" s="59"/>
      <c r="DL86" s="59"/>
      <c r="DM86" s="59"/>
      <c r="DN86" s="59"/>
      <c r="DO86" s="59"/>
    </row>
    <row r="87" spans="2:119" ht="16.5" thickBot="1" x14ac:dyDescent="0.3">
      <c r="B87" s="201"/>
      <c r="C87" s="197"/>
      <c r="D87" s="82">
        <v>4</v>
      </c>
      <c r="E87" s="96" t="str">
        <f t="shared" ref="E87:AH87" si="149">IF(INDEX($CK$4:$DO$123,ROW()-3,E$3)=0,"","СП")</f>
        <v/>
      </c>
      <c r="F87" s="92" t="str">
        <f t="shared" si="149"/>
        <v/>
      </c>
      <c r="G87" s="92" t="str">
        <f t="shared" si="149"/>
        <v/>
      </c>
      <c r="H87" s="92" t="str">
        <f t="shared" si="149"/>
        <v/>
      </c>
      <c r="I87" s="92" t="str">
        <f t="shared" si="149"/>
        <v/>
      </c>
      <c r="J87" s="92" t="str">
        <f t="shared" si="149"/>
        <v/>
      </c>
      <c r="K87" s="92" t="str">
        <f t="shared" si="149"/>
        <v/>
      </c>
      <c r="L87" s="92" t="str">
        <f t="shared" si="149"/>
        <v/>
      </c>
      <c r="M87" s="92" t="str">
        <f t="shared" si="149"/>
        <v/>
      </c>
      <c r="N87" s="92" t="str">
        <f t="shared" si="149"/>
        <v>СП</v>
      </c>
      <c r="O87" s="92" t="str">
        <f t="shared" si="149"/>
        <v/>
      </c>
      <c r="P87" s="92" t="str">
        <f t="shared" si="149"/>
        <v/>
      </c>
      <c r="Q87" s="92" t="str">
        <f t="shared" si="149"/>
        <v/>
      </c>
      <c r="R87" s="92" t="str">
        <f t="shared" si="149"/>
        <v/>
      </c>
      <c r="S87" s="92" t="str">
        <f t="shared" si="149"/>
        <v/>
      </c>
      <c r="T87" s="92" t="str">
        <f t="shared" si="149"/>
        <v/>
      </c>
      <c r="U87" s="92" t="str">
        <f t="shared" si="149"/>
        <v/>
      </c>
      <c r="V87" s="92" t="str">
        <f t="shared" si="149"/>
        <v/>
      </c>
      <c r="W87" s="92" t="str">
        <f t="shared" si="149"/>
        <v/>
      </c>
      <c r="X87" s="92" t="str">
        <f t="shared" si="149"/>
        <v/>
      </c>
      <c r="Y87" s="92" t="str">
        <f t="shared" si="149"/>
        <v/>
      </c>
      <c r="Z87" s="92" t="str">
        <f t="shared" si="149"/>
        <v/>
      </c>
      <c r="AA87" s="92" t="str">
        <f t="shared" si="149"/>
        <v/>
      </c>
      <c r="AB87" s="92" t="str">
        <f t="shared" si="149"/>
        <v/>
      </c>
      <c r="AC87" s="92" t="str">
        <f t="shared" si="149"/>
        <v/>
      </c>
      <c r="AD87" s="92" t="str">
        <f t="shared" si="149"/>
        <v/>
      </c>
      <c r="AE87" s="92" t="str">
        <f t="shared" si="149"/>
        <v/>
      </c>
      <c r="AF87" s="92" t="str">
        <f t="shared" si="149"/>
        <v/>
      </c>
      <c r="AG87" s="92" t="str">
        <f t="shared" si="149"/>
        <v/>
      </c>
      <c r="AH87" s="92" t="str">
        <f t="shared" si="149"/>
        <v/>
      </c>
      <c r="AI87" s="110"/>
      <c r="AJ87" s="206"/>
      <c r="AK87" s="209"/>
      <c r="AL87" s="209"/>
      <c r="AM87" s="209"/>
      <c r="AN87" s="211"/>
      <c r="AO87" s="211"/>
      <c r="AP87" s="211"/>
      <c r="AQ87" s="209"/>
      <c r="AR87" s="210"/>
      <c r="CK87" s="58">
        <f>IF(DAY(INDEX('Сводный годовой график'!$BA$4:$BL$14,$C86,MONTH($B$84)))=E$3,1,0)</f>
        <v>0</v>
      </c>
      <c r="CL87" s="58">
        <f>IF(DAY(INDEX('Сводный годовой график'!$BA$4:$BL$14,$C86,MONTH($B$84)))=F$3,1,0)</f>
        <v>0</v>
      </c>
      <c r="CM87" s="58">
        <f>IF(DAY(INDEX('Сводный годовой график'!$BA$4:$BL$14,$C86,MONTH($B$84)))=G$3,1,0)</f>
        <v>0</v>
      </c>
      <c r="CN87" s="58">
        <f>IF(DAY(INDEX('Сводный годовой график'!$BA$4:$BL$14,$C86,MONTH($B$84)))=H$3,1,0)</f>
        <v>0</v>
      </c>
      <c r="CO87" s="58">
        <f>IF(DAY(INDEX('Сводный годовой график'!$BA$4:$BL$14,$C86,MONTH($B$84)))=I$3,1,0)</f>
        <v>0</v>
      </c>
      <c r="CP87" s="58">
        <f>IF(DAY(INDEX('Сводный годовой график'!$BA$4:$BL$14,$C86,MONTH($B$84)))=J$3,1,0)</f>
        <v>0</v>
      </c>
      <c r="CQ87" s="58">
        <f>IF(DAY(INDEX('Сводный годовой график'!$BA$4:$BL$14,$C86,MONTH($B$84)))=K$3,1,0)</f>
        <v>0</v>
      </c>
      <c r="CR87" s="58">
        <f>IF(DAY(INDEX('Сводный годовой график'!$BA$4:$BL$14,$C86,MONTH($B$84)))=L$3,1,0)</f>
        <v>0</v>
      </c>
      <c r="CS87" s="58">
        <f>IF(DAY(INDEX('Сводный годовой график'!$BA$4:$BL$14,$C86,MONTH($B$84)))=M$3,1,0)</f>
        <v>0</v>
      </c>
      <c r="CT87" s="58">
        <f>IF(DAY(INDEX('Сводный годовой график'!$BA$4:$BL$14,$C86,MONTH($B$84)))=N$3,1,0)</f>
        <v>1</v>
      </c>
      <c r="CU87" s="58">
        <f>IF(DAY(INDEX('Сводный годовой график'!$BA$4:$BL$14,$C86,MONTH($B$84)))=O$3,1,0)</f>
        <v>0</v>
      </c>
      <c r="CV87" s="58">
        <f>IF(DAY(INDEX('Сводный годовой график'!$BA$4:$BL$14,$C86,MONTH($B$84)))=P$3,1,0)</f>
        <v>0</v>
      </c>
      <c r="CW87" s="58">
        <f>IF(DAY(INDEX('Сводный годовой график'!$BA$4:$BL$14,$C86,MONTH($B$84)))=Q$3,1,0)</f>
        <v>0</v>
      </c>
      <c r="CX87" s="58">
        <f>IF(DAY(INDEX('Сводный годовой график'!$BA$4:$BL$14,$C86,MONTH($B$84)))=R$3,1,0)</f>
        <v>0</v>
      </c>
      <c r="CY87" s="58">
        <f>IF(DAY(INDEX('Сводный годовой график'!$BA$4:$BL$14,$C86,MONTH($B$84)))=S$3,1,0)</f>
        <v>0</v>
      </c>
      <c r="CZ87" s="58">
        <f>IF(DAY(INDEX('Сводный годовой график'!$BA$4:$BL$14,$C86,MONTH($B$84)))=T$3,1,0)</f>
        <v>0</v>
      </c>
      <c r="DA87" s="58">
        <f>IF(DAY(INDEX('Сводный годовой график'!$BA$4:$BL$14,$C86,MONTH($B$84)))=U$3,1,0)</f>
        <v>0</v>
      </c>
      <c r="DB87" s="58">
        <f>IF(DAY(INDEX('Сводный годовой график'!$BA$4:$BL$14,$C86,MONTH($B$84)))=V$3,1,0)</f>
        <v>0</v>
      </c>
      <c r="DC87" s="58">
        <f>IF(DAY(INDEX('Сводный годовой график'!$BA$4:$BL$14,$C86,MONTH($B$84)))=W$3,1,0)</f>
        <v>0</v>
      </c>
      <c r="DD87" s="58">
        <f>IF(DAY(INDEX('Сводный годовой график'!$BA$4:$BL$14,$C86,MONTH($B$84)))=X$3,1,0)</f>
        <v>0</v>
      </c>
      <c r="DE87" s="58">
        <f>IF(DAY(INDEX('Сводный годовой график'!$BA$4:$BL$14,$C86,MONTH($B$84)))=Y$3,1,0)</f>
        <v>0</v>
      </c>
      <c r="DF87" s="58">
        <f>IF(DAY(INDEX('Сводный годовой график'!$BA$4:$BL$14,$C86,MONTH($B$84)))=Z$3,1,0)</f>
        <v>0</v>
      </c>
      <c r="DG87" s="58">
        <f>IF(DAY(INDEX('Сводный годовой график'!$BA$4:$BL$14,$C86,MONTH($B$84)))=AA$3,1,0)</f>
        <v>0</v>
      </c>
      <c r="DH87" s="58">
        <f>IF(DAY(INDEX('Сводный годовой график'!$BA$4:$BL$14,$C86,MONTH($B$84)))=AB$3,1,0)</f>
        <v>0</v>
      </c>
      <c r="DI87" s="58">
        <f>IF(DAY(INDEX('Сводный годовой график'!$BA$4:$BL$14,$C86,MONTH($B$84)))=AC$3,1,0)</f>
        <v>0</v>
      </c>
      <c r="DJ87" s="58">
        <f>IF(DAY(INDEX('Сводный годовой график'!$BA$4:$BL$14,$C86,MONTH($B$84)))=AD$3,1,0)</f>
        <v>0</v>
      </c>
      <c r="DK87" s="58">
        <f>IF(DAY(INDEX('Сводный годовой график'!$BA$4:$BL$14,$C86,MONTH($B$84)))=AE$3,1,0)</f>
        <v>0</v>
      </c>
      <c r="DL87" s="58">
        <f>IF(DAY(INDEX('Сводный годовой график'!$BA$4:$BL$14,$C86,MONTH($B$84)))=AF$3,1,0)</f>
        <v>0</v>
      </c>
      <c r="DM87" s="58">
        <f>IF(DAY(INDEX('Сводный годовой график'!$BA$4:$BL$14,$C86,MONTH($B$84)))=AG$3,1,0)</f>
        <v>0</v>
      </c>
      <c r="DN87" s="58">
        <f>IF(DAY(INDEX('Сводный годовой график'!$BA$4:$BL$14,$C86,MONTH($B$84)))=AH$3,1,0)</f>
        <v>0</v>
      </c>
      <c r="DO87" s="58">
        <f>IF(DAY(INDEX('Сводный годовой график'!$BA$4:$BL$14,$C86,MONTH($B$84)))=AI$3,1,0)</f>
        <v>0</v>
      </c>
    </row>
    <row r="88" spans="2:119" ht="16.5" thickBot="1" x14ac:dyDescent="0.3">
      <c r="B88" s="201"/>
      <c r="C88" s="196">
        <v>3</v>
      </c>
      <c r="D88" s="81">
        <v>5</v>
      </c>
      <c r="E88" s="96" t="e">
        <f ca="1">IF(AND(INDEX('Сводный годовой график'!$C$1:$AR$4,MATCH($C$88,'Сводный годовой график'!$B$1:$B$4),MATCH(DATE($AV$1,MONTH($B$84),E$3),'Сводный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график'!$B$1:$B$4),MATCH(DATE($AV$1,MONTH($B$84),E$3),'Сводный годовой график'!$C$13:$AR$13)))</f>
        <v>#N/A</v>
      </c>
      <c r="F88" s="92" t="e">
        <f ca="1">IF(AND(INDEX('Сводный годовой график'!$C$1:$AR$4,MATCH($C$88,'Сводный годовой график'!$B$1:$B$4),MATCH(DATE($AV$1,MONTH($B$84),F$3),'Сводный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график'!$B$1:$B$4),MATCH(DATE($AV$1,MONTH($B$84),F$3),'Сводный годовой график'!$C$13:$AR$13)))</f>
        <v>#N/A</v>
      </c>
      <c r="G88" s="92" t="e">
        <f ca="1">IF(AND(INDEX('Сводный годовой график'!$C$1:$AR$4,MATCH($C$88,'Сводный годовой график'!$B$1:$B$4),MATCH(DATE($AV$1,MONTH($B$84),G$3),'Сводный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график'!$B$1:$B$4),MATCH(DATE($AV$1,MONTH($B$84),G$3),'Сводный годовой график'!$C$13:$AR$13)))</f>
        <v>#N/A</v>
      </c>
      <c r="H88" s="92" t="e">
        <f ca="1">IF(AND(INDEX('Сводный годовой график'!$C$1:$AR$4,MATCH($C$88,'Сводный годовой график'!$B$1:$B$4),MATCH(DATE($AV$1,MONTH($B$84),H$3),'Сводный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график'!$B$1:$B$4),MATCH(DATE($AV$1,MONTH($B$84),H$3),'Сводный годовой график'!$C$13:$AR$13)))</f>
        <v>#N/A</v>
      </c>
      <c r="I88" s="92" t="e">
        <f ca="1">IF(AND(INDEX('Сводный годовой график'!$C$1:$AR$4,MATCH($C$88,'Сводный годовой график'!$B$1:$B$4),MATCH(DATE($AV$1,MONTH($B$84),I$3),'Сводный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график'!$B$1:$B$4),MATCH(DATE($AV$1,MONTH($B$84),I$3),'Сводный годовой график'!$C$13:$AR$13)))</f>
        <v>#N/A</v>
      </c>
      <c r="J88" s="92" t="e">
        <f ca="1">IF(AND(INDEX('Сводный годовой график'!$C$1:$AR$4,MATCH($C$88,'Сводный годовой график'!$B$1:$B$4),MATCH(DATE($AV$1,MONTH($B$84),J$3),'Сводный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график'!$B$1:$B$4),MATCH(DATE($AV$1,MONTH($B$84),J$3),'Сводный годовой график'!$C$13:$AR$13)))</f>
        <v>#N/A</v>
      </c>
      <c r="K88" s="92" t="e">
        <f ca="1">IF(AND(INDEX('Сводный годовой график'!$C$1:$AR$4,MATCH($C$88,'Сводный годовой график'!$B$1:$B$4),MATCH(DATE($AV$1,MONTH($B$84),K$3),'Сводный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график'!$B$1:$B$4),MATCH(DATE($AV$1,MONTH($B$84),K$3),'Сводный годовой график'!$C$13:$AR$13)))</f>
        <v>#N/A</v>
      </c>
      <c r="L88" s="92" t="e">
        <f ca="1">IF(AND(INDEX('Сводный годовой график'!$C$1:$AR$4,MATCH($C$88,'Сводный годовой график'!$B$1:$B$4),MATCH(DATE($AV$1,MONTH($B$84),L$3),'Сводный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график'!$B$1:$B$4),MATCH(DATE($AV$1,MONTH($B$84),L$3),'Сводный годовой график'!$C$13:$AR$13)))</f>
        <v>#N/A</v>
      </c>
      <c r="M88" s="92" t="e">
        <f ca="1">IF(AND(INDEX('Сводный годовой график'!$C$1:$AR$4,MATCH($C$88,'Сводный годовой график'!$B$1:$B$4),MATCH(DATE($AV$1,MONTH($B$84),M$3),'Сводный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график'!$B$1:$B$4),MATCH(DATE($AV$1,MONTH($B$84),M$3),'Сводный годовой график'!$C$13:$AR$13)))</f>
        <v>#N/A</v>
      </c>
      <c r="N88" s="92" t="e">
        <f ca="1">IF(AND(INDEX('Сводный годовой график'!$C$1:$AR$4,MATCH($C$88,'Сводный годовой график'!$B$1:$B$4),MATCH(DATE($AV$1,MONTH($B$84),N$3),'Сводный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график'!$B$1:$B$4),MATCH(DATE($AV$1,MONTH($B$84),N$3),'Сводный годовой график'!$C$13:$AR$13)))</f>
        <v>#N/A</v>
      </c>
      <c r="O88" s="92" t="e">
        <f ca="1">IF(AND(INDEX('Сводный годовой график'!$C$1:$AR$4,MATCH($C$88,'Сводный годовой график'!$B$1:$B$4),MATCH(DATE($AV$1,MONTH($B$84),O$3),'Сводный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график'!$B$1:$B$4),MATCH(DATE($AV$1,MONTH($B$84),O$3),'Сводный годовой график'!$C$13:$AR$13)))</f>
        <v>#N/A</v>
      </c>
      <c r="P88" s="92" t="e">
        <f ca="1">IF(AND(INDEX('Сводный годовой график'!$C$1:$AR$4,MATCH($C$88,'Сводный годовой график'!$B$1:$B$4),MATCH(DATE($AV$1,MONTH($B$84),P$3),'Сводный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график'!$B$1:$B$4),MATCH(DATE($AV$1,MONTH($B$84),P$3),'Сводный годовой график'!$C$13:$AR$13)))</f>
        <v>#N/A</v>
      </c>
      <c r="Q88" s="92" t="e">
        <f ca="1">IF(AND(INDEX('Сводный годовой график'!$C$1:$AR$4,MATCH($C$88,'Сводный годовой график'!$B$1:$B$4),MATCH(DATE($AV$1,MONTH($B$84),Q$3),'Сводный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график'!$B$1:$B$4),MATCH(DATE($AV$1,MONTH($B$84),Q$3),'Сводный годовой график'!$C$13:$AR$13)))</f>
        <v>#N/A</v>
      </c>
      <c r="R88" s="92" t="e">
        <f ca="1">IF(AND(INDEX('Сводный годовой график'!$C$1:$AR$4,MATCH($C$88,'Сводный годовой график'!$B$1:$B$4),MATCH(DATE($AV$1,MONTH($B$84),R$3),'Сводный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график'!$B$1:$B$4),MATCH(DATE($AV$1,MONTH($B$84),R$3),'Сводный годовой график'!$C$13:$AR$13)))</f>
        <v>#N/A</v>
      </c>
      <c r="S88" s="92" t="e">
        <f ca="1">IF(AND(INDEX('Сводный годовой график'!$C$1:$AR$4,MATCH($C$88,'Сводный годовой график'!$B$1:$B$4),MATCH(DATE($AV$1,MONTH($B$84),S$3),'Сводный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график'!$B$1:$B$4),MATCH(DATE($AV$1,MONTH($B$84),S$3),'Сводный годовой график'!$C$13:$AR$13)))</f>
        <v>#N/A</v>
      </c>
      <c r="T88" s="92" t="e">
        <f ca="1">IF(AND(INDEX('Сводный годовой график'!$C$1:$AR$4,MATCH($C$88,'Сводный годовой график'!$B$1:$B$4),MATCH(DATE($AV$1,MONTH($B$84),T$3),'Сводный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график'!$B$1:$B$4),MATCH(DATE($AV$1,MONTH($B$84),T$3),'Сводный годовой график'!$C$13:$AR$13)))</f>
        <v>#N/A</v>
      </c>
      <c r="U88" s="92" t="e">
        <f ca="1">IF(AND(INDEX('Сводный годовой график'!$C$1:$AR$4,MATCH($C$88,'Сводный годовой график'!$B$1:$B$4),MATCH(DATE($AV$1,MONTH($B$84),U$3),'Сводный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график'!$B$1:$B$4),MATCH(DATE($AV$1,MONTH($B$84),U$3),'Сводный годовой график'!$C$13:$AR$13)))</f>
        <v>#N/A</v>
      </c>
      <c r="V88" s="92" t="e">
        <f ca="1">IF(AND(INDEX('Сводный годовой график'!$C$1:$AR$4,MATCH($C$88,'Сводный годовой график'!$B$1:$B$4),MATCH(DATE($AV$1,MONTH($B$84),V$3),'Сводный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график'!$B$1:$B$4),MATCH(DATE($AV$1,MONTH($B$84),V$3),'Сводный годовой график'!$C$13:$AR$13)))</f>
        <v>#N/A</v>
      </c>
      <c r="W88" s="92" t="e">
        <f ca="1">IF(AND(INDEX('Сводный годовой график'!$C$1:$AR$4,MATCH($C$88,'Сводный годовой график'!$B$1:$B$4),MATCH(DATE($AV$1,MONTH($B$84),W$3),'Сводный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график'!$B$1:$B$4),MATCH(DATE($AV$1,MONTH($B$84),W$3),'Сводный годовой график'!$C$13:$AR$13)))</f>
        <v>#N/A</v>
      </c>
      <c r="X88" s="92" t="e">
        <f ca="1">IF(AND(INDEX('Сводный годовой график'!$C$1:$AR$4,MATCH($C$88,'Сводный годовой график'!$B$1:$B$4),MATCH(DATE($AV$1,MONTH($B$84),X$3),'Сводный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график'!$B$1:$B$4),MATCH(DATE($AV$1,MONTH($B$84),X$3),'Сводный годовой график'!$C$13:$AR$13)))</f>
        <v>#N/A</v>
      </c>
      <c r="Y88" s="92" t="e">
        <f ca="1">IF(AND(INDEX('Сводный годовой график'!$C$1:$AR$4,MATCH($C$88,'Сводный годовой график'!$B$1:$B$4),MATCH(DATE($AV$1,MONTH($B$84),Y$3),'Сводный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график'!$B$1:$B$4),MATCH(DATE($AV$1,MONTH($B$84),Y$3),'Сводный годовой график'!$C$13:$AR$13)))</f>
        <v>#N/A</v>
      </c>
      <c r="Z88" s="92" t="e">
        <f ca="1">IF(AND(INDEX('Сводный годовой график'!$C$1:$AR$4,MATCH($C$88,'Сводный годовой график'!$B$1:$B$4),MATCH(DATE($AV$1,MONTH($B$84),Z$3),'Сводный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график'!$B$1:$B$4),MATCH(DATE($AV$1,MONTH($B$84),Z$3),'Сводный годовой график'!$C$13:$AR$13)))</f>
        <v>#N/A</v>
      </c>
      <c r="AA88" s="92" t="e">
        <f ca="1">IF(AND(INDEX('Сводный годовой график'!$C$1:$AR$4,MATCH($C$88,'Сводный годовой график'!$B$1:$B$4),MATCH(DATE($AV$1,MONTH($B$84),AA$3),'Сводный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график'!$B$1:$B$4),MATCH(DATE($AV$1,MONTH($B$84),AA$3),'Сводный годовой график'!$C$13:$AR$13)))</f>
        <v>#N/A</v>
      </c>
      <c r="AB88" s="92" t="e">
        <f ca="1">IF(AND(INDEX('Сводный годовой график'!$C$1:$AR$4,MATCH($C$88,'Сводный годовой график'!$B$1:$B$4),MATCH(DATE($AV$1,MONTH($B$84),AB$3),'Сводный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график'!$B$1:$B$4),MATCH(DATE($AV$1,MONTH($B$84),AB$3),'Сводный годовой график'!$C$13:$AR$13)))</f>
        <v>#N/A</v>
      </c>
      <c r="AC88" s="92" t="e">
        <f ca="1">IF(AND(INDEX('Сводный годовой график'!$C$1:$AR$4,MATCH($C$88,'Сводный годовой график'!$B$1:$B$4),MATCH(DATE($AV$1,MONTH($B$84),AC$3),'Сводный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график'!$B$1:$B$4),MATCH(DATE($AV$1,MONTH($B$84),AC$3),'Сводный годовой график'!$C$13:$AR$13)))</f>
        <v>#N/A</v>
      </c>
      <c r="AD88" s="92" t="e">
        <f ca="1">IF(AND(INDEX('Сводный годовой график'!$C$1:$AR$4,MATCH($C$88,'Сводный годовой график'!$B$1:$B$4),MATCH(DATE($AV$1,MONTH($B$84),AD$3),'Сводный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график'!$B$1:$B$4),MATCH(DATE($AV$1,MONTH($B$84),AD$3),'Сводный годовой график'!$C$13:$AR$13)))</f>
        <v>#N/A</v>
      </c>
      <c r="AE88" s="92" t="e">
        <f ca="1">IF(AND(INDEX('Сводный годовой график'!$C$1:$AR$4,MATCH($C$88,'Сводный годовой график'!$B$1:$B$4),MATCH(DATE($AV$1,MONTH($B$84),AE$3),'Сводный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график'!$B$1:$B$4),MATCH(DATE($AV$1,MONTH($B$84),AE$3),'Сводный годовой график'!$C$13:$AR$13)))</f>
        <v>#N/A</v>
      </c>
      <c r="AF88" s="92" t="e">
        <f ca="1">IF(AND(INDEX('Сводный годовой график'!$C$1:$AR$4,MATCH($C$88,'Сводный годовой график'!$B$1:$B$4),MATCH(DATE($AV$1,MONTH($B$84),AF$3),'Сводный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график'!$B$1:$B$4),MATCH(DATE($AV$1,MONTH($B$84),AF$3),'Сводный годовой график'!$C$13:$AR$13)))</f>
        <v>#N/A</v>
      </c>
      <c r="AG88" s="92" t="e">
        <f ca="1">IF(AND(INDEX('Сводный годовой график'!$C$1:$AR$4,MATCH($C$88,'Сводный годовой график'!$B$1:$B$4),MATCH(DATE($AV$1,MONTH($B$84),AG$3),'Сводный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график'!$B$1:$B$4),MATCH(DATE($AV$1,MONTH($B$84),AG$3),'Сводный годовой график'!$C$13:$AR$13)))</f>
        <v>#N/A</v>
      </c>
      <c r="AH88" s="92" t="e">
        <f ca="1">IF(AND(INDEX('Сводный годовой график'!$C$1:$AR$4,MATCH($C$88,'Сводный годовой график'!$B$1:$B$4),MATCH(DATE($AV$1,MONTH($B$84),AH$3),'Сводный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график'!$B$1:$B$4),MATCH(DATE($AV$1,MONTH($B$84),AH$3),'Сводный годовой график'!$C$13:$AR$13)))</f>
        <v>#N/A</v>
      </c>
      <c r="AI88" s="110"/>
      <c r="AJ88" s="206"/>
      <c r="AK88" s="209">
        <f>$AJ$84-SUM(AY88:CC89)</f>
        <v>176</v>
      </c>
      <c r="AL88" s="209" t="e">
        <f t="shared" ref="AL88" ca="1" si="150">SUM(E88:AI89)</f>
        <v>#N/A</v>
      </c>
      <c r="AM88" s="209">
        <v>0</v>
      </c>
      <c r="AN88" s="211" t="e">
        <f t="shared" ref="AN88" ca="1" si="151">-AM88-AK88+AL88</f>
        <v>#N/A</v>
      </c>
      <c r="AO88" s="211">
        <v>0</v>
      </c>
      <c r="AP88" s="211" t="e">
        <f ca="1">AN88+AP78-AO88</f>
        <v>#N/A</v>
      </c>
      <c r="AQ88" s="209">
        <v>16</v>
      </c>
      <c r="AR88" s="210">
        <v>1</v>
      </c>
      <c r="CK88" s="59"/>
      <c r="CL88" s="59"/>
      <c r="CM88" s="59"/>
      <c r="CN88" s="59"/>
      <c r="CO88" s="59"/>
      <c r="CP88" s="59"/>
      <c r="CQ88" s="59"/>
      <c r="CR88" s="59"/>
      <c r="CS88" s="59"/>
      <c r="CT88" s="59"/>
      <c r="CU88" s="59"/>
      <c r="CV88" s="59"/>
      <c r="CW88" s="59"/>
      <c r="CX88" s="59"/>
      <c r="CY88" s="59"/>
      <c r="CZ88" s="59"/>
      <c r="DA88" s="59"/>
      <c r="DB88" s="59"/>
      <c r="DC88" s="59"/>
      <c r="DD88" s="59"/>
      <c r="DE88" s="59"/>
      <c r="DF88" s="59"/>
      <c r="DG88" s="59"/>
      <c r="DH88" s="59"/>
      <c r="DI88" s="59"/>
      <c r="DJ88" s="59"/>
      <c r="DK88" s="59"/>
      <c r="DL88" s="59"/>
      <c r="DM88" s="59"/>
      <c r="DN88" s="59"/>
      <c r="DO88" s="59"/>
    </row>
    <row r="89" spans="2:119" ht="16.5" thickBot="1" x14ac:dyDescent="0.3">
      <c r="B89" s="201"/>
      <c r="C89" s="197"/>
      <c r="D89" s="82">
        <v>6</v>
      </c>
      <c r="E89" s="96" t="str">
        <f t="shared" ref="E89:AH89" si="152">IF(INDEX($CK$4:$DO$123,ROW()-3,E$3)=0,"","СП")</f>
        <v/>
      </c>
      <c r="F89" s="92" t="str">
        <f t="shared" si="152"/>
        <v/>
      </c>
      <c r="G89" s="92" t="str">
        <f t="shared" si="152"/>
        <v/>
      </c>
      <c r="H89" s="92" t="str">
        <f t="shared" si="152"/>
        <v/>
      </c>
      <c r="I89" s="92" t="str">
        <f t="shared" si="152"/>
        <v/>
      </c>
      <c r="J89" s="92" t="str">
        <f t="shared" si="152"/>
        <v/>
      </c>
      <c r="K89" s="92" t="str">
        <f t="shared" si="152"/>
        <v/>
      </c>
      <c r="L89" s="92" t="str">
        <f t="shared" si="152"/>
        <v/>
      </c>
      <c r="M89" s="92" t="str">
        <f t="shared" si="152"/>
        <v/>
      </c>
      <c r="N89" s="92" t="str">
        <f t="shared" si="152"/>
        <v/>
      </c>
      <c r="O89" s="92" t="str">
        <f t="shared" si="152"/>
        <v>СП</v>
      </c>
      <c r="P89" s="92" t="str">
        <f t="shared" si="152"/>
        <v/>
      </c>
      <c r="Q89" s="92" t="str">
        <f t="shared" si="152"/>
        <v/>
      </c>
      <c r="R89" s="92" t="str">
        <f t="shared" si="152"/>
        <v/>
      </c>
      <c r="S89" s="92" t="str">
        <f t="shared" si="152"/>
        <v/>
      </c>
      <c r="T89" s="92" t="str">
        <f t="shared" si="152"/>
        <v/>
      </c>
      <c r="U89" s="92" t="str">
        <f t="shared" si="152"/>
        <v/>
      </c>
      <c r="V89" s="92" t="str">
        <f t="shared" si="152"/>
        <v/>
      </c>
      <c r="W89" s="92" t="str">
        <f t="shared" si="152"/>
        <v/>
      </c>
      <c r="X89" s="92" t="str">
        <f t="shared" si="152"/>
        <v/>
      </c>
      <c r="Y89" s="92" t="str">
        <f t="shared" si="152"/>
        <v/>
      </c>
      <c r="Z89" s="92" t="str">
        <f t="shared" si="152"/>
        <v/>
      </c>
      <c r="AA89" s="92" t="str">
        <f t="shared" si="152"/>
        <v/>
      </c>
      <c r="AB89" s="92" t="str">
        <f t="shared" si="152"/>
        <v/>
      </c>
      <c r="AC89" s="92" t="str">
        <f t="shared" si="152"/>
        <v/>
      </c>
      <c r="AD89" s="92" t="str">
        <f t="shared" si="152"/>
        <v/>
      </c>
      <c r="AE89" s="92" t="str">
        <f t="shared" si="152"/>
        <v/>
      </c>
      <c r="AF89" s="92" t="str">
        <f t="shared" si="152"/>
        <v/>
      </c>
      <c r="AG89" s="92" t="str">
        <f t="shared" si="152"/>
        <v/>
      </c>
      <c r="AH89" s="92" t="str">
        <f t="shared" si="152"/>
        <v/>
      </c>
      <c r="AI89" s="110"/>
      <c r="AJ89" s="206"/>
      <c r="AK89" s="209"/>
      <c r="AL89" s="209"/>
      <c r="AM89" s="209"/>
      <c r="AN89" s="211"/>
      <c r="AO89" s="211"/>
      <c r="AP89" s="211"/>
      <c r="AQ89" s="209"/>
      <c r="AR89" s="210"/>
      <c r="CK89" s="58">
        <f>IF(DAY(INDEX('Сводный годовой график'!$BA$4:$BL$14,$C88,MONTH($B$84)))=E$3,1,0)</f>
        <v>0</v>
      </c>
      <c r="CL89" s="58">
        <f>IF(DAY(INDEX('Сводный годовой график'!$BA$4:$BL$14,$C88,MONTH($B$84)))=F$3,1,0)</f>
        <v>0</v>
      </c>
      <c r="CM89" s="58">
        <f>IF(DAY(INDEX('Сводный годовой график'!$BA$4:$BL$14,$C88,MONTH($B$84)))=G$3,1,0)</f>
        <v>0</v>
      </c>
      <c r="CN89" s="58">
        <f>IF(DAY(INDEX('Сводный годовой график'!$BA$4:$BL$14,$C88,MONTH($B$84)))=H$3,1,0)</f>
        <v>0</v>
      </c>
      <c r="CO89" s="58">
        <f>IF(DAY(INDEX('Сводный годовой график'!$BA$4:$BL$14,$C88,MONTH($B$84)))=I$3,1,0)</f>
        <v>0</v>
      </c>
      <c r="CP89" s="58">
        <f>IF(DAY(INDEX('Сводный годовой график'!$BA$4:$BL$14,$C88,MONTH($B$84)))=J$3,1,0)</f>
        <v>0</v>
      </c>
      <c r="CQ89" s="58">
        <f>IF(DAY(INDEX('Сводный годовой график'!$BA$4:$BL$14,$C88,MONTH($B$84)))=K$3,1,0)</f>
        <v>0</v>
      </c>
      <c r="CR89" s="58">
        <f>IF(DAY(INDEX('Сводный годовой график'!$BA$4:$BL$14,$C88,MONTH($B$84)))=L$3,1,0)</f>
        <v>0</v>
      </c>
      <c r="CS89" s="58">
        <f>IF(DAY(INDEX('Сводный годовой график'!$BA$4:$BL$14,$C88,MONTH($B$84)))=M$3,1,0)</f>
        <v>0</v>
      </c>
      <c r="CT89" s="58">
        <f>IF(DAY(INDEX('Сводный годовой график'!$BA$4:$BL$14,$C88,MONTH($B$84)))=N$3,1,0)</f>
        <v>0</v>
      </c>
      <c r="CU89" s="58">
        <f>IF(DAY(INDEX('Сводный годовой график'!$BA$4:$BL$14,$C88,MONTH($B$84)))=O$3,1,0)</f>
        <v>1</v>
      </c>
      <c r="CV89" s="58">
        <f>IF(DAY(INDEX('Сводный годовой график'!$BA$4:$BL$14,$C88,MONTH($B$84)))=P$3,1,0)</f>
        <v>0</v>
      </c>
      <c r="CW89" s="58">
        <f>IF(DAY(INDEX('Сводный годовой график'!$BA$4:$BL$14,$C88,MONTH($B$84)))=Q$3,1,0)</f>
        <v>0</v>
      </c>
      <c r="CX89" s="58">
        <f>IF(DAY(INDEX('Сводный годовой график'!$BA$4:$BL$14,$C88,MONTH($B$84)))=R$3,1,0)</f>
        <v>0</v>
      </c>
      <c r="CY89" s="58">
        <f>IF(DAY(INDEX('Сводный годовой график'!$BA$4:$BL$14,$C88,MONTH($B$84)))=S$3,1,0)</f>
        <v>0</v>
      </c>
      <c r="CZ89" s="58">
        <f>IF(DAY(INDEX('Сводный годовой график'!$BA$4:$BL$14,$C88,MONTH($B$84)))=T$3,1,0)</f>
        <v>0</v>
      </c>
      <c r="DA89" s="58">
        <f>IF(DAY(INDEX('Сводный годовой график'!$BA$4:$BL$14,$C88,MONTH($B$84)))=U$3,1,0)</f>
        <v>0</v>
      </c>
      <c r="DB89" s="58">
        <f>IF(DAY(INDEX('Сводный годовой график'!$BA$4:$BL$14,$C88,MONTH($B$84)))=V$3,1,0)</f>
        <v>0</v>
      </c>
      <c r="DC89" s="58">
        <f>IF(DAY(INDEX('Сводный годовой график'!$BA$4:$BL$14,$C88,MONTH($B$84)))=W$3,1,0)</f>
        <v>0</v>
      </c>
      <c r="DD89" s="58">
        <f>IF(DAY(INDEX('Сводный годовой график'!$BA$4:$BL$14,$C88,MONTH($B$84)))=X$3,1,0)</f>
        <v>0</v>
      </c>
      <c r="DE89" s="58">
        <f>IF(DAY(INDEX('Сводный годовой график'!$BA$4:$BL$14,$C88,MONTH($B$84)))=Y$3,1,0)</f>
        <v>0</v>
      </c>
      <c r="DF89" s="58">
        <f>IF(DAY(INDEX('Сводный годовой график'!$BA$4:$BL$14,$C88,MONTH($B$84)))=Z$3,1,0)</f>
        <v>0</v>
      </c>
      <c r="DG89" s="58">
        <f>IF(DAY(INDEX('Сводный годовой график'!$BA$4:$BL$14,$C88,MONTH($B$84)))=AA$3,1,0)</f>
        <v>0</v>
      </c>
      <c r="DH89" s="58">
        <f>IF(DAY(INDEX('Сводный годовой график'!$BA$4:$BL$14,$C88,MONTH($B$84)))=AB$3,1,0)</f>
        <v>0</v>
      </c>
      <c r="DI89" s="58">
        <f>IF(DAY(INDEX('Сводный годовой график'!$BA$4:$BL$14,$C88,MONTH($B$84)))=AC$3,1,0)</f>
        <v>0</v>
      </c>
      <c r="DJ89" s="58">
        <f>IF(DAY(INDEX('Сводный годовой график'!$BA$4:$BL$14,$C88,MONTH($B$84)))=AD$3,1,0)</f>
        <v>0</v>
      </c>
      <c r="DK89" s="58">
        <f>IF(DAY(INDEX('Сводный годовой график'!$BA$4:$BL$14,$C88,MONTH($B$84)))=AE$3,1,0)</f>
        <v>0</v>
      </c>
      <c r="DL89" s="58">
        <f>IF(DAY(INDEX('Сводный годовой график'!$BA$4:$BL$14,$C88,MONTH($B$84)))=AF$3,1,0)</f>
        <v>0</v>
      </c>
      <c r="DM89" s="58">
        <f>IF(DAY(INDEX('Сводный годовой график'!$BA$4:$BL$14,$C88,MONTH($B$84)))=AG$3,1,0)</f>
        <v>0</v>
      </c>
      <c r="DN89" s="58">
        <f>IF(DAY(INDEX('Сводный годовой график'!$BA$4:$BL$14,$C88,MONTH($B$84)))=AH$3,1,0)</f>
        <v>0</v>
      </c>
      <c r="DO89" s="58">
        <f>IF(DAY(INDEX('Сводный годовой график'!$BA$4:$BL$14,$C88,MONTH($B$84)))=AI$3,1,0)</f>
        <v>0</v>
      </c>
    </row>
    <row r="90" spans="2:119" ht="16.5" thickBot="1" x14ac:dyDescent="0.3">
      <c r="B90" s="201"/>
      <c r="C90" s="196">
        <v>4</v>
      </c>
      <c r="D90" s="81">
        <v>7</v>
      </c>
      <c r="E90" s="96" t="e">
        <f ca="1">IF(AND(INDEX('Сводный годовой график'!$C$1:$AR$4,MATCH($C$90,'Сводный годовой график'!$B$1:$B$4),MATCH(DATE($AV$1,MONTH($B$84),E$3),'Сводный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график'!$B$1:$B$4),MATCH(DATE($AV$1,MONTH($B$84),E$3),'Сводный годовой график'!$C$13:$AR$13)))</f>
        <v>#N/A</v>
      </c>
      <c r="F90" s="92" t="e">
        <f ca="1">IF(AND(INDEX('Сводный годовой график'!$C$1:$AR$4,MATCH($C$90,'Сводный годовой график'!$B$1:$B$4),MATCH(DATE($AV$1,MONTH($B$84),F$3),'Сводный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график'!$B$1:$B$4),MATCH(DATE($AV$1,MONTH($B$84),F$3),'Сводный годовой график'!$C$13:$AR$13)))</f>
        <v>#N/A</v>
      </c>
      <c r="G90" s="92" t="e">
        <f ca="1">IF(AND(INDEX('Сводный годовой график'!$C$1:$AR$4,MATCH($C$90,'Сводный годовой график'!$B$1:$B$4),MATCH(DATE($AV$1,MONTH($B$84),G$3),'Сводный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график'!$B$1:$B$4),MATCH(DATE($AV$1,MONTH($B$84),G$3),'Сводный годовой график'!$C$13:$AR$13)))</f>
        <v>#N/A</v>
      </c>
      <c r="H90" s="92" t="e">
        <f ca="1">IF(AND(INDEX('Сводный годовой график'!$C$1:$AR$4,MATCH($C$90,'Сводный годовой график'!$B$1:$B$4),MATCH(DATE($AV$1,MONTH($B$84),H$3),'Сводный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график'!$B$1:$B$4),MATCH(DATE($AV$1,MONTH($B$84),H$3),'Сводный годовой график'!$C$13:$AR$13)))</f>
        <v>#N/A</v>
      </c>
      <c r="I90" s="92" t="e">
        <f ca="1">IF(AND(INDEX('Сводный годовой график'!$C$1:$AR$4,MATCH($C$90,'Сводный годовой график'!$B$1:$B$4),MATCH(DATE($AV$1,MONTH($B$84),I$3),'Сводный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график'!$B$1:$B$4),MATCH(DATE($AV$1,MONTH($B$84),I$3),'Сводный годовой график'!$C$13:$AR$13)))</f>
        <v>#N/A</v>
      </c>
      <c r="J90" s="92" t="e">
        <f ca="1">IF(AND(INDEX('Сводный годовой график'!$C$1:$AR$4,MATCH($C$90,'Сводный годовой график'!$B$1:$B$4),MATCH(DATE($AV$1,MONTH($B$84),J$3),'Сводный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график'!$B$1:$B$4),MATCH(DATE($AV$1,MONTH($B$84),J$3),'Сводный годовой график'!$C$13:$AR$13)))</f>
        <v>#N/A</v>
      </c>
      <c r="K90" s="92" t="e">
        <f ca="1">IF(AND(INDEX('Сводный годовой график'!$C$1:$AR$4,MATCH($C$90,'Сводный годовой график'!$B$1:$B$4),MATCH(DATE($AV$1,MONTH($B$84),K$3),'Сводный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график'!$B$1:$B$4),MATCH(DATE($AV$1,MONTH($B$84),K$3),'Сводный годовой график'!$C$13:$AR$13)))</f>
        <v>#N/A</v>
      </c>
      <c r="L90" s="92" t="e">
        <f ca="1">IF(AND(INDEX('Сводный годовой график'!$C$1:$AR$4,MATCH($C$90,'Сводный годовой график'!$B$1:$B$4),MATCH(DATE($AV$1,MONTH($B$84),L$3),'Сводный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график'!$B$1:$B$4),MATCH(DATE($AV$1,MONTH($B$84),L$3),'Сводный годовой график'!$C$13:$AR$13)))</f>
        <v>#N/A</v>
      </c>
      <c r="M90" s="92" t="e">
        <f ca="1">IF(AND(INDEX('Сводный годовой график'!$C$1:$AR$4,MATCH($C$90,'Сводный годовой график'!$B$1:$B$4),MATCH(DATE($AV$1,MONTH($B$84),M$3),'Сводный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график'!$B$1:$B$4),MATCH(DATE($AV$1,MONTH($B$84),M$3),'Сводный годовой график'!$C$13:$AR$13)))</f>
        <v>#N/A</v>
      </c>
      <c r="N90" s="92" t="e">
        <f ca="1">IF(AND(INDEX('Сводный годовой график'!$C$1:$AR$4,MATCH($C$90,'Сводный годовой график'!$B$1:$B$4),MATCH(DATE($AV$1,MONTH($B$84),N$3),'Сводный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график'!$B$1:$B$4),MATCH(DATE($AV$1,MONTH($B$84),N$3),'Сводный годовой график'!$C$13:$AR$13)))</f>
        <v>#N/A</v>
      </c>
      <c r="O90" s="92" t="e">
        <f ca="1">IF(AND(INDEX('Сводный годовой график'!$C$1:$AR$4,MATCH($C$90,'Сводный годовой график'!$B$1:$B$4),MATCH(DATE($AV$1,MONTH($B$84),O$3),'Сводный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график'!$B$1:$B$4),MATCH(DATE($AV$1,MONTH($B$84),O$3),'Сводный годовой график'!$C$13:$AR$13)))</f>
        <v>#N/A</v>
      </c>
      <c r="P90" s="92" t="e">
        <f ca="1">IF(AND(INDEX('Сводный годовой график'!$C$1:$AR$4,MATCH($C$90,'Сводный годовой график'!$B$1:$B$4),MATCH(DATE($AV$1,MONTH($B$84),P$3),'Сводный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график'!$B$1:$B$4),MATCH(DATE($AV$1,MONTH($B$84),P$3),'Сводный годовой график'!$C$13:$AR$13)))</f>
        <v>#N/A</v>
      </c>
      <c r="Q90" s="92" t="e">
        <f ca="1">IF(AND(INDEX('Сводный годовой график'!$C$1:$AR$4,MATCH($C$90,'Сводный годовой график'!$B$1:$B$4),MATCH(DATE($AV$1,MONTH($B$84),Q$3),'Сводный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график'!$B$1:$B$4),MATCH(DATE($AV$1,MONTH($B$84),Q$3),'Сводный годовой график'!$C$13:$AR$13)))</f>
        <v>#N/A</v>
      </c>
      <c r="R90" s="92" t="e">
        <f ca="1">IF(AND(INDEX('Сводный годовой график'!$C$1:$AR$4,MATCH($C$90,'Сводный годовой график'!$B$1:$B$4),MATCH(DATE($AV$1,MONTH($B$84),R$3),'Сводный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график'!$B$1:$B$4),MATCH(DATE($AV$1,MONTH($B$84),R$3),'Сводный годовой график'!$C$13:$AR$13)))</f>
        <v>#N/A</v>
      </c>
      <c r="S90" s="92" t="e">
        <f ca="1">IF(AND(INDEX('Сводный годовой график'!$C$1:$AR$4,MATCH($C$90,'Сводный годовой график'!$B$1:$B$4),MATCH(DATE($AV$1,MONTH($B$84),S$3),'Сводный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график'!$B$1:$B$4),MATCH(DATE($AV$1,MONTH($B$84),S$3),'Сводный годовой график'!$C$13:$AR$13)))</f>
        <v>#N/A</v>
      </c>
      <c r="T90" s="92" t="e">
        <f ca="1">IF(AND(INDEX('Сводный годовой график'!$C$1:$AR$4,MATCH($C$90,'Сводный годовой график'!$B$1:$B$4),MATCH(DATE($AV$1,MONTH($B$84),T$3),'Сводный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график'!$B$1:$B$4),MATCH(DATE($AV$1,MONTH($B$84),T$3),'Сводный годовой график'!$C$13:$AR$13)))</f>
        <v>#N/A</v>
      </c>
      <c r="U90" s="92" t="e">
        <f ca="1">IF(AND(INDEX('Сводный годовой график'!$C$1:$AR$4,MATCH($C$90,'Сводный годовой график'!$B$1:$B$4),MATCH(DATE($AV$1,MONTH($B$84),U$3),'Сводный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график'!$B$1:$B$4),MATCH(DATE($AV$1,MONTH($B$84),U$3),'Сводный годовой график'!$C$13:$AR$13)))</f>
        <v>#N/A</v>
      </c>
      <c r="V90" s="92" t="e">
        <f ca="1">IF(AND(INDEX('Сводный годовой график'!$C$1:$AR$4,MATCH($C$90,'Сводный годовой график'!$B$1:$B$4),MATCH(DATE($AV$1,MONTH($B$84),V$3),'Сводный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график'!$B$1:$B$4),MATCH(DATE($AV$1,MONTH($B$84),V$3),'Сводный годовой график'!$C$13:$AR$13)))</f>
        <v>#N/A</v>
      </c>
      <c r="W90" s="92" t="e">
        <f ca="1">IF(AND(INDEX('Сводный годовой график'!$C$1:$AR$4,MATCH($C$90,'Сводный годовой график'!$B$1:$B$4),MATCH(DATE($AV$1,MONTH($B$84),W$3),'Сводный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график'!$B$1:$B$4),MATCH(DATE($AV$1,MONTH($B$84),W$3),'Сводный годовой график'!$C$13:$AR$13)))</f>
        <v>#N/A</v>
      </c>
      <c r="X90" s="92" t="e">
        <f ca="1">IF(AND(INDEX('Сводный годовой график'!$C$1:$AR$4,MATCH($C$90,'Сводный годовой график'!$B$1:$B$4),MATCH(DATE($AV$1,MONTH($B$84),X$3),'Сводный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график'!$B$1:$B$4),MATCH(DATE($AV$1,MONTH($B$84),X$3),'Сводный годовой график'!$C$13:$AR$13)))</f>
        <v>#N/A</v>
      </c>
      <c r="Y90" s="92" t="e">
        <f ca="1">IF(AND(INDEX('Сводный годовой график'!$C$1:$AR$4,MATCH($C$90,'Сводный годовой график'!$B$1:$B$4),MATCH(DATE($AV$1,MONTH($B$84),Y$3),'Сводный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график'!$B$1:$B$4),MATCH(DATE($AV$1,MONTH($B$84),Y$3),'Сводный годовой график'!$C$13:$AR$13)))</f>
        <v>#N/A</v>
      </c>
      <c r="Z90" s="92" t="e">
        <f ca="1">IF(AND(INDEX('Сводный годовой график'!$C$1:$AR$4,MATCH($C$90,'Сводный годовой график'!$B$1:$B$4),MATCH(DATE($AV$1,MONTH($B$84),Z$3),'Сводный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график'!$B$1:$B$4),MATCH(DATE($AV$1,MONTH($B$84),Z$3),'Сводный годовой график'!$C$13:$AR$13)))</f>
        <v>#N/A</v>
      </c>
      <c r="AA90" s="92" t="e">
        <f ca="1">IF(AND(INDEX('Сводный годовой график'!$C$1:$AR$4,MATCH($C$90,'Сводный годовой график'!$B$1:$B$4),MATCH(DATE($AV$1,MONTH($B$84),AA$3),'Сводный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график'!$B$1:$B$4),MATCH(DATE($AV$1,MONTH($B$84),AA$3),'Сводный годовой график'!$C$13:$AR$13)))</f>
        <v>#N/A</v>
      </c>
      <c r="AB90" s="92" t="e">
        <f ca="1">IF(AND(INDEX('Сводный годовой график'!$C$1:$AR$4,MATCH($C$90,'Сводный годовой график'!$B$1:$B$4),MATCH(DATE($AV$1,MONTH($B$84),AB$3),'Сводный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график'!$B$1:$B$4),MATCH(DATE($AV$1,MONTH($B$84),AB$3),'Сводный годовой график'!$C$13:$AR$13)))</f>
        <v>#N/A</v>
      </c>
      <c r="AC90" s="92" t="e">
        <f ca="1">IF(AND(INDEX('Сводный годовой график'!$C$1:$AR$4,MATCH($C$90,'Сводный годовой график'!$B$1:$B$4),MATCH(DATE($AV$1,MONTH($B$84),AC$3),'Сводный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график'!$B$1:$B$4),MATCH(DATE($AV$1,MONTH($B$84),AC$3),'Сводный годовой график'!$C$13:$AR$13)))</f>
        <v>#N/A</v>
      </c>
      <c r="AD90" s="92" t="e">
        <f ca="1">IF(AND(INDEX('Сводный годовой график'!$C$1:$AR$4,MATCH($C$90,'Сводный годовой график'!$B$1:$B$4),MATCH(DATE($AV$1,MONTH($B$84),AD$3),'Сводный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график'!$B$1:$B$4),MATCH(DATE($AV$1,MONTH($B$84),AD$3),'Сводный годовой график'!$C$13:$AR$13)))</f>
        <v>#N/A</v>
      </c>
      <c r="AE90" s="92" t="e">
        <f ca="1">IF(AND(INDEX('Сводный годовой график'!$C$1:$AR$4,MATCH($C$90,'Сводный годовой график'!$B$1:$B$4),MATCH(DATE($AV$1,MONTH($B$84),AE$3),'Сводный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график'!$B$1:$B$4),MATCH(DATE($AV$1,MONTH($B$84),AE$3),'Сводный годовой график'!$C$13:$AR$13)))</f>
        <v>#N/A</v>
      </c>
      <c r="AF90" s="92" t="e">
        <f ca="1">IF(AND(INDEX('Сводный годовой график'!$C$1:$AR$4,MATCH($C$90,'Сводный годовой график'!$B$1:$B$4),MATCH(DATE($AV$1,MONTH($B$84),AF$3),'Сводный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график'!$B$1:$B$4),MATCH(DATE($AV$1,MONTH($B$84),AF$3),'Сводный годовой график'!$C$13:$AR$13)))</f>
        <v>#N/A</v>
      </c>
      <c r="AG90" s="92" t="e">
        <f ca="1">IF(AND(INDEX('Сводный годовой график'!$C$1:$AR$4,MATCH($C$90,'Сводный годовой график'!$B$1:$B$4),MATCH(DATE($AV$1,MONTH($B$84),AG$3),'Сводный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график'!$B$1:$B$4),MATCH(DATE($AV$1,MONTH($B$84),AG$3),'Сводный годовой график'!$C$13:$AR$13)))</f>
        <v>#N/A</v>
      </c>
      <c r="AH90" s="92" t="e">
        <f ca="1">IF(AND(INDEX('Сводный годовой график'!$C$1:$AR$4,MATCH($C$90,'Сводный годовой график'!$B$1:$B$4),MATCH(DATE($AV$1,MONTH($B$84),AH$3),'Сводный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график'!$B$1:$B$4),MATCH(DATE($AV$1,MONTH($B$84),AH$3),'Сводный годовой график'!$C$13:$AR$13)))</f>
        <v>#N/A</v>
      </c>
      <c r="AI90" s="110"/>
      <c r="AJ90" s="206"/>
      <c r="AK90" s="209">
        <f>$AJ$84-SUM(AY90:CC91)</f>
        <v>176</v>
      </c>
      <c r="AL90" s="209" t="e">
        <f t="shared" ref="AL90" ca="1" si="153">SUM(E90:AI91)</f>
        <v>#N/A</v>
      </c>
      <c r="AM90" s="209">
        <v>0</v>
      </c>
      <c r="AN90" s="211" t="e">
        <f t="shared" ref="AN90" ca="1" si="154">-AM90-AK90+AL90</f>
        <v>#N/A</v>
      </c>
      <c r="AO90" s="211">
        <v>0</v>
      </c>
      <c r="AP90" s="211" t="e">
        <f t="shared" ref="AP90" ca="1" si="155">AN90+AP80</f>
        <v>#N/A</v>
      </c>
      <c r="AQ90" s="209">
        <v>0</v>
      </c>
      <c r="AR90" s="210">
        <v>1</v>
      </c>
      <c r="CK90" s="59"/>
      <c r="CL90" s="59"/>
      <c r="CM90" s="59"/>
      <c r="CN90" s="59"/>
      <c r="CO90" s="59"/>
      <c r="CP90" s="59"/>
      <c r="CQ90" s="59"/>
      <c r="CR90" s="59"/>
      <c r="CS90" s="59"/>
      <c r="CT90" s="59"/>
      <c r="CU90" s="59"/>
      <c r="CV90" s="59"/>
      <c r="CW90" s="59"/>
      <c r="CX90" s="59"/>
      <c r="CY90" s="59"/>
      <c r="CZ90" s="59"/>
      <c r="DA90" s="59"/>
      <c r="DB90" s="59"/>
      <c r="DC90" s="59"/>
      <c r="DD90" s="59"/>
      <c r="DE90" s="59"/>
      <c r="DF90" s="59"/>
      <c r="DG90" s="59"/>
      <c r="DH90" s="59"/>
      <c r="DI90" s="59"/>
      <c r="DJ90" s="59"/>
      <c r="DK90" s="59"/>
      <c r="DL90" s="59"/>
      <c r="DM90" s="59"/>
      <c r="DN90" s="59"/>
      <c r="DO90" s="59"/>
    </row>
    <row r="91" spans="2:119" ht="16.5" thickBot="1" x14ac:dyDescent="0.3">
      <c r="B91" s="201"/>
      <c r="C91" s="197"/>
      <c r="D91" s="82">
        <v>8</v>
      </c>
      <c r="E91" s="96" t="str">
        <f t="shared" ref="E91:AH91" si="156">IF(INDEX($CK$4:$DO$123,ROW()-3,E$3)=0,"","СП")</f>
        <v/>
      </c>
      <c r="F91" s="92" t="str">
        <f t="shared" si="156"/>
        <v/>
      </c>
      <c r="G91" s="92" t="str">
        <f t="shared" si="156"/>
        <v/>
      </c>
      <c r="H91" s="92" t="str">
        <f t="shared" si="156"/>
        <v/>
      </c>
      <c r="I91" s="92" t="str">
        <f t="shared" si="156"/>
        <v/>
      </c>
      <c r="J91" s="92" t="str">
        <f t="shared" si="156"/>
        <v/>
      </c>
      <c r="K91" s="92" t="str">
        <f t="shared" si="156"/>
        <v/>
      </c>
      <c r="L91" s="92" t="str">
        <f t="shared" si="156"/>
        <v/>
      </c>
      <c r="M91" s="92" t="str">
        <f t="shared" si="156"/>
        <v/>
      </c>
      <c r="N91" s="92" t="str">
        <f t="shared" si="156"/>
        <v/>
      </c>
      <c r="O91" s="92" t="str">
        <f t="shared" si="156"/>
        <v/>
      </c>
      <c r="P91" s="92" t="str">
        <f t="shared" si="156"/>
        <v>СП</v>
      </c>
      <c r="Q91" s="92" t="str">
        <f t="shared" si="156"/>
        <v/>
      </c>
      <c r="R91" s="92" t="str">
        <f t="shared" si="156"/>
        <v/>
      </c>
      <c r="S91" s="92" t="str">
        <f t="shared" si="156"/>
        <v/>
      </c>
      <c r="T91" s="92" t="str">
        <f t="shared" si="156"/>
        <v/>
      </c>
      <c r="U91" s="92" t="str">
        <f t="shared" si="156"/>
        <v/>
      </c>
      <c r="V91" s="92" t="str">
        <f t="shared" si="156"/>
        <v/>
      </c>
      <c r="W91" s="92" t="str">
        <f t="shared" si="156"/>
        <v/>
      </c>
      <c r="X91" s="92" t="str">
        <f t="shared" si="156"/>
        <v/>
      </c>
      <c r="Y91" s="92" t="str">
        <f t="shared" si="156"/>
        <v/>
      </c>
      <c r="Z91" s="92" t="str">
        <f t="shared" si="156"/>
        <v/>
      </c>
      <c r="AA91" s="92" t="str">
        <f t="shared" si="156"/>
        <v/>
      </c>
      <c r="AB91" s="92" t="str">
        <f t="shared" si="156"/>
        <v/>
      </c>
      <c r="AC91" s="92" t="str">
        <f t="shared" si="156"/>
        <v/>
      </c>
      <c r="AD91" s="92" t="str">
        <f t="shared" si="156"/>
        <v/>
      </c>
      <c r="AE91" s="92" t="str">
        <f t="shared" si="156"/>
        <v/>
      </c>
      <c r="AF91" s="92" t="str">
        <f t="shared" si="156"/>
        <v/>
      </c>
      <c r="AG91" s="92" t="str">
        <f t="shared" si="156"/>
        <v/>
      </c>
      <c r="AH91" s="92" t="str">
        <f t="shared" si="156"/>
        <v/>
      </c>
      <c r="AI91" s="110"/>
      <c r="AJ91" s="206"/>
      <c r="AK91" s="209"/>
      <c r="AL91" s="209"/>
      <c r="AM91" s="209"/>
      <c r="AN91" s="211"/>
      <c r="AO91" s="211"/>
      <c r="AP91" s="211"/>
      <c r="AQ91" s="209"/>
      <c r="AR91" s="210"/>
      <c r="CK91" s="58">
        <f>IF(DAY(INDEX('Сводный годовой график'!$BA$4:$BL$14,$C90,MONTH($B$84)))=E$3,1,0)</f>
        <v>0</v>
      </c>
      <c r="CL91" s="58">
        <f>IF(DAY(INDEX('Сводный годовой график'!$BA$4:$BL$14,$C90,MONTH($B$84)))=F$3,1,0)</f>
        <v>0</v>
      </c>
      <c r="CM91" s="58">
        <f>IF(DAY(INDEX('Сводный годовой график'!$BA$4:$BL$14,$C90,MONTH($B$84)))=G$3,1,0)</f>
        <v>0</v>
      </c>
      <c r="CN91" s="58">
        <f>IF(DAY(INDEX('Сводный годовой график'!$BA$4:$BL$14,$C90,MONTH($B$84)))=H$3,1,0)</f>
        <v>0</v>
      </c>
      <c r="CO91" s="58">
        <f>IF(DAY(INDEX('Сводный годовой график'!$BA$4:$BL$14,$C90,MONTH($B$84)))=I$3,1,0)</f>
        <v>0</v>
      </c>
      <c r="CP91" s="58">
        <f>IF(DAY(INDEX('Сводный годовой график'!$BA$4:$BL$14,$C90,MONTH($B$84)))=J$3,1,0)</f>
        <v>0</v>
      </c>
      <c r="CQ91" s="58">
        <f>IF(DAY(INDEX('Сводный годовой график'!$BA$4:$BL$14,$C90,MONTH($B$84)))=K$3,1,0)</f>
        <v>0</v>
      </c>
      <c r="CR91" s="58">
        <f>IF(DAY(INDEX('Сводный годовой график'!$BA$4:$BL$14,$C90,MONTH($B$84)))=L$3,1,0)</f>
        <v>0</v>
      </c>
      <c r="CS91" s="58">
        <f>IF(DAY(INDEX('Сводный годовой график'!$BA$4:$BL$14,$C90,MONTH($B$84)))=M$3,1,0)</f>
        <v>0</v>
      </c>
      <c r="CT91" s="58">
        <f>IF(DAY(INDEX('Сводный годовой график'!$BA$4:$BL$14,$C90,MONTH($B$84)))=N$3,1,0)</f>
        <v>0</v>
      </c>
      <c r="CU91" s="58">
        <f>IF(DAY(INDEX('Сводный годовой график'!$BA$4:$BL$14,$C90,MONTH($B$84)))=O$3,1,0)</f>
        <v>0</v>
      </c>
      <c r="CV91" s="58">
        <f>IF(DAY(INDEX('Сводный годовой график'!$BA$4:$BL$14,$C90,MONTH($B$84)))=P$3,1,0)</f>
        <v>1</v>
      </c>
      <c r="CW91" s="58">
        <f>IF(DAY(INDEX('Сводный годовой график'!$BA$4:$BL$14,$C90,MONTH($B$84)))=Q$3,1,0)</f>
        <v>0</v>
      </c>
      <c r="CX91" s="58">
        <f>IF(DAY(INDEX('Сводный годовой график'!$BA$4:$BL$14,$C90,MONTH($B$84)))=R$3,1,0)</f>
        <v>0</v>
      </c>
      <c r="CY91" s="58">
        <f>IF(DAY(INDEX('Сводный годовой график'!$BA$4:$BL$14,$C90,MONTH($B$84)))=S$3,1,0)</f>
        <v>0</v>
      </c>
      <c r="CZ91" s="58">
        <f>IF(DAY(INDEX('Сводный годовой график'!$BA$4:$BL$14,$C90,MONTH($B$84)))=T$3,1,0)</f>
        <v>0</v>
      </c>
      <c r="DA91" s="58">
        <f>IF(DAY(INDEX('Сводный годовой график'!$BA$4:$BL$14,$C90,MONTH($B$84)))=U$3,1,0)</f>
        <v>0</v>
      </c>
      <c r="DB91" s="58">
        <f>IF(DAY(INDEX('Сводный годовой график'!$BA$4:$BL$14,$C90,MONTH($B$84)))=V$3,1,0)</f>
        <v>0</v>
      </c>
      <c r="DC91" s="58">
        <f>IF(DAY(INDEX('Сводный годовой график'!$BA$4:$BL$14,$C90,MONTH($B$84)))=W$3,1,0)</f>
        <v>0</v>
      </c>
      <c r="DD91" s="58">
        <f>IF(DAY(INDEX('Сводный годовой график'!$BA$4:$BL$14,$C90,MONTH($B$84)))=X$3,1,0)</f>
        <v>0</v>
      </c>
      <c r="DE91" s="58">
        <f>IF(DAY(INDEX('Сводный годовой график'!$BA$4:$BL$14,$C90,MONTH($B$84)))=Y$3,1,0)</f>
        <v>0</v>
      </c>
      <c r="DF91" s="58">
        <f>IF(DAY(INDEX('Сводный годовой график'!$BA$4:$BL$14,$C90,MONTH($B$84)))=Z$3,1,0)</f>
        <v>0</v>
      </c>
      <c r="DG91" s="58">
        <f>IF(DAY(INDEX('Сводный годовой график'!$BA$4:$BL$14,$C90,MONTH($B$84)))=AA$3,1,0)</f>
        <v>0</v>
      </c>
      <c r="DH91" s="58">
        <f>IF(DAY(INDEX('Сводный годовой график'!$BA$4:$BL$14,$C90,MONTH($B$84)))=AB$3,1,0)</f>
        <v>0</v>
      </c>
      <c r="DI91" s="58">
        <f>IF(DAY(INDEX('Сводный годовой график'!$BA$4:$BL$14,$C90,MONTH($B$84)))=AC$3,1,0)</f>
        <v>0</v>
      </c>
      <c r="DJ91" s="58">
        <f>IF(DAY(INDEX('Сводный годовой график'!$BA$4:$BL$14,$C90,MONTH($B$84)))=AD$3,1,0)</f>
        <v>0</v>
      </c>
      <c r="DK91" s="58">
        <f>IF(DAY(INDEX('Сводный годовой график'!$BA$4:$BL$14,$C90,MONTH($B$84)))=AE$3,1,0)</f>
        <v>0</v>
      </c>
      <c r="DL91" s="58">
        <f>IF(DAY(INDEX('Сводный годовой график'!$BA$4:$BL$14,$C90,MONTH($B$84)))=AF$3,1,0)</f>
        <v>0</v>
      </c>
      <c r="DM91" s="58">
        <f>IF(DAY(INDEX('Сводный годовой график'!$BA$4:$BL$14,$C90,MONTH($B$84)))=AG$3,1,0)</f>
        <v>0</v>
      </c>
      <c r="DN91" s="58">
        <f>IF(DAY(INDEX('Сводный годовой график'!$BA$4:$BL$14,$C90,MONTH($B$84)))=AH$3,1,0)</f>
        <v>0</v>
      </c>
      <c r="DO91" s="58">
        <f>IF(DAY(INDEX('Сводный годовой график'!$BA$4:$BL$14,$C90,MONTH($B$84)))=AI$3,1,0)</f>
        <v>0</v>
      </c>
    </row>
    <row r="92" spans="2:119" ht="16.5" thickBot="1" x14ac:dyDescent="0.3">
      <c r="B92" s="201"/>
      <c r="C92" s="196">
        <v>5</v>
      </c>
      <c r="D92" s="81">
        <v>9</v>
      </c>
      <c r="E92" s="96" t="s">
        <v>36</v>
      </c>
      <c r="F92" s="92" t="s">
        <v>36</v>
      </c>
      <c r="G92" s="92" t="s">
        <v>36</v>
      </c>
      <c r="H92" s="92" t="s">
        <v>36</v>
      </c>
      <c r="I92" s="92" t="s">
        <v>36</v>
      </c>
      <c r="J92" s="92" t="s">
        <v>36</v>
      </c>
      <c r="K92" s="92" t="s">
        <v>36</v>
      </c>
      <c r="L92" s="92" t="s">
        <v>36</v>
      </c>
      <c r="M92" s="92" t="s">
        <v>36</v>
      </c>
      <c r="N92" s="92" t="s">
        <v>36</v>
      </c>
      <c r="O92" s="92" t="s">
        <v>36</v>
      </c>
      <c r="P92" s="92" t="s">
        <v>36</v>
      </c>
      <c r="Q92" s="92" t="s">
        <v>36</v>
      </c>
      <c r="R92" s="92" t="s">
        <v>36</v>
      </c>
      <c r="S92" s="92" t="s">
        <v>36</v>
      </c>
      <c r="T92" s="92" t="s">
        <v>36</v>
      </c>
      <c r="U92" s="92" t="s">
        <v>36</v>
      </c>
      <c r="V92" s="92" t="s">
        <v>36</v>
      </c>
      <c r="W92" s="92" t="s">
        <v>36</v>
      </c>
      <c r="X92" s="92" t="s">
        <v>36</v>
      </c>
      <c r="Y92" s="92" t="s">
        <v>36</v>
      </c>
      <c r="Z92" s="92" t="s">
        <v>36</v>
      </c>
      <c r="AA92" s="92" t="s">
        <v>36</v>
      </c>
      <c r="AB92" s="92" t="s">
        <v>36</v>
      </c>
      <c r="AC92" s="92" t="s">
        <v>36</v>
      </c>
      <c r="AD92" s="92" t="s">
        <v>36</v>
      </c>
      <c r="AE92" s="92" t="s">
        <v>36</v>
      </c>
      <c r="AF92" s="92" t="s">
        <v>36</v>
      </c>
      <c r="AG92" s="92" t="s">
        <v>36</v>
      </c>
      <c r="AH92" s="92" t="s">
        <v>36</v>
      </c>
      <c r="AI92" s="110"/>
      <c r="AJ92" s="206"/>
      <c r="AK92" s="209">
        <f>$AJ$84-SUM(AY92:CC93)</f>
        <v>176</v>
      </c>
      <c r="AL92" s="209">
        <f t="shared" ref="AL92" si="157">SUM(E92:AI93)</f>
        <v>0</v>
      </c>
      <c r="AM92" s="209">
        <v>0</v>
      </c>
      <c r="AN92" s="211">
        <f t="shared" ref="AN92" si="158">-AM92-AK92+AL92</f>
        <v>-176</v>
      </c>
      <c r="AO92" s="211">
        <v>0</v>
      </c>
      <c r="AP92" s="211">
        <f>AN92+AP82-AO92</f>
        <v>-1533</v>
      </c>
      <c r="AQ92" s="209">
        <v>0</v>
      </c>
      <c r="AR92" s="210">
        <v>1</v>
      </c>
      <c r="CK92" s="59"/>
      <c r="CL92" s="59"/>
      <c r="CM92" s="59"/>
      <c r="CN92" s="59"/>
      <c r="CO92" s="59"/>
      <c r="CP92" s="59"/>
      <c r="CQ92" s="59"/>
      <c r="CR92" s="59"/>
      <c r="CS92" s="59"/>
      <c r="CT92" s="59"/>
      <c r="CU92" s="59"/>
      <c r="CV92" s="59"/>
      <c r="CW92" s="59"/>
      <c r="CX92" s="59"/>
      <c r="CY92" s="59"/>
      <c r="CZ92" s="59"/>
      <c r="DA92" s="59"/>
      <c r="DB92" s="59"/>
      <c r="DC92" s="59"/>
      <c r="DD92" s="59"/>
      <c r="DE92" s="59"/>
      <c r="DF92" s="59"/>
      <c r="DG92" s="59"/>
      <c r="DH92" s="59"/>
      <c r="DI92" s="59"/>
      <c r="DJ92" s="59"/>
      <c r="DK92" s="59"/>
      <c r="DL92" s="59"/>
      <c r="DM92" s="59"/>
      <c r="DN92" s="59"/>
      <c r="DO92" s="59"/>
    </row>
    <row r="93" spans="2:119" ht="16.5" thickBot="1" x14ac:dyDescent="0.3">
      <c r="B93" s="202"/>
      <c r="C93" s="197"/>
      <c r="D93" s="82">
        <v>10</v>
      </c>
      <c r="E93" s="87" t="str">
        <f t="shared" ref="E93:AH93" si="159">IF(INDEX($CK$4:$DO$123,ROW()-3,E$3)=0,"","СП")</f>
        <v/>
      </c>
      <c r="F93" s="30" t="str">
        <f t="shared" si="159"/>
        <v/>
      </c>
      <c r="G93" s="30" t="str">
        <f t="shared" si="159"/>
        <v/>
      </c>
      <c r="H93" s="30" t="str">
        <f t="shared" si="159"/>
        <v/>
      </c>
      <c r="I93" s="30" t="str">
        <f t="shared" si="159"/>
        <v/>
      </c>
      <c r="J93" s="30" t="str">
        <f t="shared" si="159"/>
        <v/>
      </c>
      <c r="K93" s="30" t="str">
        <f t="shared" si="159"/>
        <v/>
      </c>
      <c r="L93" s="30" t="str">
        <f t="shared" si="159"/>
        <v/>
      </c>
      <c r="M93" s="30" t="str">
        <f t="shared" si="159"/>
        <v/>
      </c>
      <c r="N93" s="30" t="str">
        <f t="shared" si="159"/>
        <v/>
      </c>
      <c r="O93" s="30" t="str">
        <f t="shared" si="159"/>
        <v/>
      </c>
      <c r="P93" s="30" t="str">
        <f t="shared" si="159"/>
        <v/>
      </c>
      <c r="Q93" s="30" t="str">
        <f t="shared" si="159"/>
        <v>СП</v>
      </c>
      <c r="R93" s="30" t="str">
        <f t="shared" si="159"/>
        <v/>
      </c>
      <c r="S93" s="30" t="str">
        <f t="shared" si="159"/>
        <v/>
      </c>
      <c r="T93" s="30" t="str">
        <f t="shared" si="159"/>
        <v/>
      </c>
      <c r="U93" s="30" t="str">
        <f t="shared" si="159"/>
        <v/>
      </c>
      <c r="V93" s="30" t="str">
        <f t="shared" si="159"/>
        <v/>
      </c>
      <c r="W93" s="30" t="str">
        <f t="shared" si="159"/>
        <v/>
      </c>
      <c r="X93" s="30" t="str">
        <f t="shared" si="159"/>
        <v/>
      </c>
      <c r="Y93" s="30" t="str">
        <f t="shared" si="159"/>
        <v/>
      </c>
      <c r="Z93" s="30" t="str">
        <f t="shared" si="159"/>
        <v/>
      </c>
      <c r="AA93" s="30" t="str">
        <f t="shared" si="159"/>
        <v/>
      </c>
      <c r="AB93" s="30" t="str">
        <f t="shared" si="159"/>
        <v/>
      </c>
      <c r="AC93" s="30" t="str">
        <f t="shared" si="159"/>
        <v/>
      </c>
      <c r="AD93" s="30" t="str">
        <f t="shared" si="159"/>
        <v/>
      </c>
      <c r="AE93" s="30" t="str">
        <f t="shared" si="159"/>
        <v/>
      </c>
      <c r="AF93" s="30" t="str">
        <f t="shared" si="159"/>
        <v/>
      </c>
      <c r="AG93" s="30" t="str">
        <f t="shared" si="159"/>
        <v/>
      </c>
      <c r="AH93" s="30" t="str">
        <f t="shared" si="159"/>
        <v/>
      </c>
      <c r="AI93" s="123"/>
      <c r="AJ93" s="207"/>
      <c r="AK93" s="209"/>
      <c r="AL93" s="213"/>
      <c r="AM93" s="213"/>
      <c r="AN93" s="214"/>
      <c r="AO93" s="214"/>
      <c r="AP93" s="214"/>
      <c r="AQ93" s="213"/>
      <c r="AR93" s="215"/>
      <c r="CK93" s="58">
        <f>IF(DAY(INDEX('Сводный годовой график'!$BA$4:$BL$14,$C92,MONTH($B$84)))=E$3,1,0)</f>
        <v>0</v>
      </c>
      <c r="CL93" s="58">
        <f>IF(DAY(INDEX('Сводный годовой график'!$BA$4:$BL$14,$C92,MONTH($B$84)))=F$3,1,0)</f>
        <v>0</v>
      </c>
      <c r="CM93" s="58">
        <f>IF(DAY(INDEX('Сводный годовой график'!$BA$4:$BL$14,$C92,MONTH($B$84)))=G$3,1,0)</f>
        <v>0</v>
      </c>
      <c r="CN93" s="58">
        <f>IF(DAY(INDEX('Сводный годовой график'!$BA$4:$BL$14,$C92,MONTH($B$84)))=H$3,1,0)</f>
        <v>0</v>
      </c>
      <c r="CO93" s="58">
        <f>IF(DAY(INDEX('Сводный годовой график'!$BA$4:$BL$14,$C92,MONTH($B$84)))=I$3,1,0)</f>
        <v>0</v>
      </c>
      <c r="CP93" s="58">
        <f>IF(DAY(INDEX('Сводный годовой график'!$BA$4:$BL$14,$C92,MONTH($B$84)))=J$3,1,0)</f>
        <v>0</v>
      </c>
      <c r="CQ93" s="58">
        <f>IF(DAY(INDEX('Сводный годовой график'!$BA$4:$BL$14,$C92,MONTH($B$84)))=K$3,1,0)</f>
        <v>0</v>
      </c>
      <c r="CR93" s="58">
        <f>IF(DAY(INDEX('Сводный годовой график'!$BA$4:$BL$14,$C92,MONTH($B$84)))=L$3,1,0)</f>
        <v>0</v>
      </c>
      <c r="CS93" s="58">
        <f>IF(DAY(INDEX('Сводный годовой график'!$BA$4:$BL$14,$C92,MONTH($B$84)))=M$3,1,0)</f>
        <v>0</v>
      </c>
      <c r="CT93" s="58">
        <f>IF(DAY(INDEX('Сводный годовой график'!$BA$4:$BL$14,$C92,MONTH($B$84)))=N$3,1,0)</f>
        <v>0</v>
      </c>
      <c r="CU93" s="58">
        <f>IF(DAY(INDEX('Сводный годовой график'!$BA$4:$BL$14,$C92,MONTH($B$84)))=O$3,1,0)</f>
        <v>0</v>
      </c>
      <c r="CV93" s="58">
        <f>IF(DAY(INDEX('Сводный годовой график'!$BA$4:$BL$14,$C92,MONTH($B$84)))=P$3,1,0)</f>
        <v>0</v>
      </c>
      <c r="CW93" s="58">
        <f>IF(DAY(INDEX('Сводный годовой график'!$BA$4:$BL$14,$C92,MONTH($B$84)))=Q$3,1,0)</f>
        <v>1</v>
      </c>
      <c r="CX93" s="58">
        <f>IF(DAY(INDEX('Сводный годовой график'!$BA$4:$BL$14,$C92,MONTH($B$84)))=R$3,1,0)</f>
        <v>0</v>
      </c>
      <c r="CY93" s="58">
        <f>IF(DAY(INDEX('Сводный годовой график'!$BA$4:$BL$14,$C92,MONTH($B$84)))=S$3,1,0)</f>
        <v>0</v>
      </c>
      <c r="CZ93" s="58">
        <f>IF(DAY(INDEX('Сводный годовой график'!$BA$4:$BL$14,$C92,MONTH($B$84)))=T$3,1,0)</f>
        <v>0</v>
      </c>
      <c r="DA93" s="58">
        <f>IF(DAY(INDEX('Сводный годовой график'!$BA$4:$BL$14,$C92,MONTH($B$84)))=U$3,1,0)</f>
        <v>0</v>
      </c>
      <c r="DB93" s="58">
        <f>IF(DAY(INDEX('Сводный годовой график'!$BA$4:$BL$14,$C92,MONTH($B$84)))=V$3,1,0)</f>
        <v>0</v>
      </c>
      <c r="DC93" s="58">
        <f>IF(DAY(INDEX('Сводный годовой график'!$BA$4:$BL$14,$C92,MONTH($B$84)))=W$3,1,0)</f>
        <v>0</v>
      </c>
      <c r="DD93" s="58">
        <f>IF(DAY(INDEX('Сводный годовой график'!$BA$4:$BL$14,$C92,MONTH($B$84)))=X$3,1,0)</f>
        <v>0</v>
      </c>
      <c r="DE93" s="58">
        <f>IF(DAY(INDEX('Сводный годовой график'!$BA$4:$BL$14,$C92,MONTH($B$84)))=Y$3,1,0)</f>
        <v>0</v>
      </c>
      <c r="DF93" s="58">
        <f>IF(DAY(INDEX('Сводный годовой график'!$BA$4:$BL$14,$C92,MONTH($B$84)))=Z$3,1,0)</f>
        <v>0</v>
      </c>
      <c r="DG93" s="58">
        <f>IF(DAY(INDEX('Сводный годовой график'!$BA$4:$BL$14,$C92,MONTH($B$84)))=AA$3,1,0)</f>
        <v>0</v>
      </c>
      <c r="DH93" s="58">
        <f>IF(DAY(INDEX('Сводный годовой график'!$BA$4:$BL$14,$C92,MONTH($B$84)))=AB$3,1,0)</f>
        <v>0</v>
      </c>
      <c r="DI93" s="58">
        <f>IF(DAY(INDEX('Сводный годовой график'!$BA$4:$BL$14,$C92,MONTH($B$84)))=AC$3,1,0)</f>
        <v>0</v>
      </c>
      <c r="DJ93" s="58">
        <f>IF(DAY(INDEX('Сводный годовой график'!$BA$4:$BL$14,$C92,MONTH($B$84)))=AD$3,1,0)</f>
        <v>0</v>
      </c>
      <c r="DK93" s="58">
        <f>IF(DAY(INDEX('Сводный годовой график'!$BA$4:$BL$14,$C92,MONTH($B$84)))=AE$3,1,0)</f>
        <v>0</v>
      </c>
      <c r="DL93" s="58">
        <f>IF(DAY(INDEX('Сводный годовой график'!$BA$4:$BL$14,$C92,MONTH($B$84)))=AF$3,1,0)</f>
        <v>0</v>
      </c>
      <c r="DM93" s="58">
        <f>IF(DAY(INDEX('Сводный годовой график'!$BA$4:$BL$14,$C92,MONTH($B$84)))=AG$3,1,0)</f>
        <v>0</v>
      </c>
      <c r="DN93" s="58">
        <f>IF(DAY(INDEX('Сводный годовой график'!$BA$4:$BL$14,$C92,MONTH($B$84)))=AH$3,1,0)</f>
        <v>0</v>
      </c>
      <c r="DO93" s="58">
        <f>IF(DAY(INDEX('Сводный годовой график'!$BA$4:$BL$14,$C92,MONTH($B$84)))=AI$3,1,0)</f>
        <v>0</v>
      </c>
    </row>
    <row r="94" spans="2:119" ht="17.25" customHeight="1" thickTop="1" thickBot="1" x14ac:dyDescent="0.3">
      <c r="B94" s="200">
        <f>DATE($AV$1,10,1)</f>
        <v>45931</v>
      </c>
      <c r="C94" s="196">
        <v>1</v>
      </c>
      <c r="D94" s="81">
        <v>1</v>
      </c>
      <c r="E94" s="83" t="e">
        <f ca="1">IF(AND(INDEX('Сводный годовой график'!$C$1:$AR$4,MATCH($C$94,'Сводный годовой график'!$B$1:$B$4),MATCH(DATE($AV$1,MONTH($B$94),E$3),'Сводный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график'!$B$1:$B$4),MATCH(DATE($AV$1,MONTH($B$94),E$3),'Сводный годовой график'!$C$14:$AR$14)))</f>
        <v>#N/A</v>
      </c>
      <c r="F94" s="28" t="e">
        <f ca="1">IF(AND(INDEX('Сводный годовой график'!$C$1:$AR$4,MATCH($C$94,'Сводный годовой график'!$B$1:$B$4),MATCH(DATE($AV$1,MONTH($B$94),F$3),'Сводный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график'!$B$1:$B$4),MATCH(DATE($AV$1,MONTH($B$94),F$3),'Сводный годовой график'!$C$14:$AR$14)))</f>
        <v>#N/A</v>
      </c>
      <c r="G94" s="28" t="e">
        <f ca="1">IF(AND(INDEX('Сводный годовой график'!$C$1:$AR$4,MATCH($C$94,'Сводный годовой график'!$B$1:$B$4),MATCH(DATE($AV$1,MONTH($B$94),G$3),'Сводный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график'!$B$1:$B$4),MATCH(DATE($AV$1,MONTH($B$94),G$3),'Сводный годовой график'!$C$14:$AR$14)))</f>
        <v>#N/A</v>
      </c>
      <c r="H94" s="28" t="e">
        <f ca="1">IF(AND(INDEX('Сводный годовой график'!$C$1:$AR$4,MATCH($C$94,'Сводный годовой график'!$B$1:$B$4),MATCH(DATE($AV$1,MONTH($B$94),H$3),'Сводный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график'!$B$1:$B$4),MATCH(DATE($AV$1,MONTH($B$94),H$3),'Сводный годовой график'!$C$14:$AR$14)))</f>
        <v>#N/A</v>
      </c>
      <c r="I94" s="28" t="e">
        <f ca="1">IF(AND(INDEX('Сводный годовой график'!$C$1:$AR$4,MATCH($C$94,'Сводный годовой график'!$B$1:$B$4),MATCH(DATE($AV$1,MONTH($B$94),I$3),'Сводный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график'!$B$1:$B$4),MATCH(DATE($AV$1,MONTH($B$94),I$3),'Сводный годовой график'!$C$14:$AR$14)))</f>
        <v>#N/A</v>
      </c>
      <c r="J94" s="28" t="e">
        <f ca="1">IF(AND(INDEX('Сводный годовой график'!$C$1:$AR$4,MATCH($C$94,'Сводный годовой график'!$B$1:$B$4),MATCH(DATE($AV$1,MONTH($B$94),J$3),'Сводный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график'!$B$1:$B$4),MATCH(DATE($AV$1,MONTH($B$94),J$3),'Сводный годовой график'!$C$14:$AR$14)))</f>
        <v>#N/A</v>
      </c>
      <c r="K94" s="28" t="e">
        <f ca="1">IF(AND(INDEX('Сводный годовой график'!$C$1:$AR$4,MATCH($C$94,'Сводный годовой график'!$B$1:$B$4),MATCH(DATE($AV$1,MONTH($B$94),K$3),'Сводный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график'!$B$1:$B$4),MATCH(DATE($AV$1,MONTH($B$94),K$3),'Сводный годовой график'!$C$14:$AR$14)))</f>
        <v>#N/A</v>
      </c>
      <c r="L94" s="28" t="e">
        <f ca="1">IF(AND(INDEX('Сводный годовой график'!$C$1:$AR$4,MATCH($C$94,'Сводный годовой график'!$B$1:$B$4),MATCH(DATE($AV$1,MONTH($B$94),L$3),'Сводный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график'!$B$1:$B$4),MATCH(DATE($AV$1,MONTH($B$94),L$3),'Сводный годовой график'!$C$14:$AR$14)))</f>
        <v>#N/A</v>
      </c>
      <c r="M94" s="28" t="e">
        <f ca="1">IF(AND(INDEX('Сводный годовой график'!$C$1:$AR$4,MATCH($C$94,'Сводный годовой график'!$B$1:$B$4),MATCH(DATE($AV$1,MONTH($B$94),M$3),'Сводный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график'!$B$1:$B$4),MATCH(DATE($AV$1,MONTH($B$94),M$3),'Сводный годовой график'!$C$14:$AR$14)))</f>
        <v>#N/A</v>
      </c>
      <c r="N94" s="28" t="e">
        <f ca="1">IF(AND(INDEX('Сводный годовой график'!$C$1:$AR$4,MATCH($C$94,'Сводный годовой график'!$B$1:$B$4),MATCH(DATE($AV$1,MONTH($B$94),N$3),'Сводный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график'!$B$1:$B$4),MATCH(DATE($AV$1,MONTH($B$94),N$3),'Сводный годовой график'!$C$14:$AR$14)))</f>
        <v>#N/A</v>
      </c>
      <c r="O94" s="28" t="e">
        <f ca="1">IF(AND(INDEX('Сводный годовой график'!$C$1:$AR$4,MATCH($C$94,'Сводный годовой график'!$B$1:$B$4),MATCH(DATE($AV$1,MONTH($B$94),O$3),'Сводный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график'!$B$1:$B$4),MATCH(DATE($AV$1,MONTH($B$94),O$3),'Сводный годовой график'!$C$14:$AR$14)))</f>
        <v>#N/A</v>
      </c>
      <c r="P94" s="28" t="e">
        <f ca="1">IF(AND(INDEX('Сводный годовой график'!$C$1:$AR$4,MATCH($C$94,'Сводный годовой график'!$B$1:$B$4),MATCH(DATE($AV$1,MONTH($B$94),P$3),'Сводный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график'!$B$1:$B$4),MATCH(DATE($AV$1,MONTH($B$94),P$3),'Сводный годовой график'!$C$14:$AR$14)))</f>
        <v>#N/A</v>
      </c>
      <c r="Q94" s="28" t="e">
        <f ca="1">IF(AND(INDEX('Сводный годовой график'!$C$1:$AR$4,MATCH($C$94,'Сводный годовой график'!$B$1:$B$4),MATCH(DATE($AV$1,MONTH($B$94),Q$3),'Сводный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график'!$B$1:$B$4),MATCH(DATE($AV$1,MONTH($B$94),Q$3),'Сводный годовой график'!$C$14:$AR$14)))</f>
        <v>#N/A</v>
      </c>
      <c r="R94" s="28" t="e">
        <f ca="1">IF(AND(INDEX('Сводный годовой график'!$C$1:$AR$4,MATCH($C$94,'Сводный годовой график'!$B$1:$B$4),MATCH(DATE($AV$1,MONTH($B$94),R$3),'Сводный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график'!$B$1:$B$4),MATCH(DATE($AV$1,MONTH($B$94),R$3),'Сводный годовой график'!$C$14:$AR$14)))</f>
        <v>#N/A</v>
      </c>
      <c r="S94" s="28" t="e">
        <f ca="1">IF(AND(INDEX('Сводный годовой график'!$C$1:$AR$4,MATCH($C$94,'Сводный годовой график'!$B$1:$B$4),MATCH(DATE($AV$1,MONTH($B$94),S$3),'Сводный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график'!$B$1:$B$4),MATCH(DATE($AV$1,MONTH($B$94),S$3),'Сводный годовой график'!$C$14:$AR$14)))</f>
        <v>#N/A</v>
      </c>
      <c r="T94" s="28" t="e">
        <f ca="1">IF(AND(INDEX('Сводный годовой график'!$C$1:$AR$4,MATCH($C$94,'Сводный годовой график'!$B$1:$B$4),MATCH(DATE($AV$1,MONTH($B$94),T$3),'Сводный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график'!$B$1:$B$4),MATCH(DATE($AV$1,MONTH($B$94),T$3),'Сводный годовой график'!$C$14:$AR$14)))</f>
        <v>#N/A</v>
      </c>
      <c r="U94" s="28" t="e">
        <f ca="1">IF(AND(INDEX('Сводный годовой график'!$C$1:$AR$4,MATCH($C$94,'Сводный годовой график'!$B$1:$B$4),MATCH(DATE($AV$1,MONTH($B$94),U$3),'Сводный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график'!$B$1:$B$4),MATCH(DATE($AV$1,MONTH($B$94),U$3),'Сводный годовой график'!$C$14:$AR$14)))</f>
        <v>#N/A</v>
      </c>
      <c r="V94" s="28" t="e">
        <f ca="1">IF(AND(INDEX('Сводный годовой график'!$C$1:$AR$4,MATCH($C$94,'Сводный годовой график'!$B$1:$B$4),MATCH(DATE($AV$1,MONTH($B$94),V$3),'Сводный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график'!$B$1:$B$4),MATCH(DATE($AV$1,MONTH($B$94),V$3),'Сводный годовой график'!$C$14:$AR$14)))</f>
        <v>#N/A</v>
      </c>
      <c r="W94" s="28" t="e">
        <f ca="1">IF(AND(INDEX('Сводный годовой график'!$C$1:$AR$4,MATCH($C$94,'Сводный годовой график'!$B$1:$B$4),MATCH(DATE($AV$1,MONTH($B$94),W$3),'Сводный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график'!$B$1:$B$4),MATCH(DATE($AV$1,MONTH($B$94),W$3),'Сводный годовой график'!$C$14:$AR$14)))</f>
        <v>#N/A</v>
      </c>
      <c r="X94" s="28" t="e">
        <f ca="1">IF(AND(INDEX('Сводный годовой график'!$C$1:$AR$4,MATCH($C$94,'Сводный годовой график'!$B$1:$B$4),MATCH(DATE($AV$1,MONTH($B$94),X$3),'Сводный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график'!$B$1:$B$4),MATCH(DATE($AV$1,MONTH($B$94),X$3),'Сводный годовой график'!$C$14:$AR$14)))</f>
        <v>#N/A</v>
      </c>
      <c r="Y94" s="28" t="e">
        <f ca="1">IF(AND(INDEX('Сводный годовой график'!$C$1:$AR$4,MATCH($C$94,'Сводный годовой график'!$B$1:$B$4),MATCH(DATE($AV$1,MONTH($B$94),Y$3),'Сводный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график'!$B$1:$B$4),MATCH(DATE($AV$1,MONTH($B$94),Y$3),'Сводный годовой график'!$C$14:$AR$14)))</f>
        <v>#N/A</v>
      </c>
      <c r="Z94" s="28" t="e">
        <f ca="1">IF(AND(INDEX('Сводный годовой график'!$C$1:$AR$4,MATCH($C$94,'Сводный годовой график'!$B$1:$B$4),MATCH(DATE($AV$1,MONTH($B$94),Z$3),'Сводный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график'!$B$1:$B$4),MATCH(DATE($AV$1,MONTH($B$94),Z$3),'Сводный годовой график'!$C$14:$AR$14)))</f>
        <v>#N/A</v>
      </c>
      <c r="AA94" s="28" t="e">
        <f ca="1">IF(AND(INDEX('Сводный годовой график'!$C$1:$AR$4,MATCH($C$94,'Сводный годовой график'!$B$1:$B$4),MATCH(DATE($AV$1,MONTH($B$94),AA$3),'Сводный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график'!$B$1:$B$4),MATCH(DATE($AV$1,MONTH($B$94),AA$3),'Сводный годовой график'!$C$14:$AR$14)))</f>
        <v>#N/A</v>
      </c>
      <c r="AB94" s="28" t="e">
        <f ca="1">IF(AND(INDEX('Сводный годовой график'!$C$1:$AR$4,MATCH($C$94,'Сводный годовой график'!$B$1:$B$4),MATCH(DATE($AV$1,MONTH($B$94),AB$3),'Сводный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график'!$B$1:$B$4),MATCH(DATE($AV$1,MONTH($B$94),AB$3),'Сводный годовой график'!$C$14:$AR$14)))</f>
        <v>#N/A</v>
      </c>
      <c r="AC94" s="28" t="e">
        <f ca="1">IF(AND(INDEX('Сводный годовой график'!$C$1:$AR$4,MATCH($C$94,'Сводный годовой график'!$B$1:$B$4),MATCH(DATE($AV$1,MONTH($B$94),AC$3),'Сводный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график'!$B$1:$B$4),MATCH(DATE($AV$1,MONTH($B$94),AC$3),'Сводный годовой график'!$C$14:$AR$14)))</f>
        <v>#N/A</v>
      </c>
      <c r="AD94" s="28" t="e">
        <f ca="1">IF(AND(INDEX('Сводный годовой график'!$C$1:$AR$4,MATCH($C$94,'Сводный годовой график'!$B$1:$B$4),MATCH(DATE($AV$1,MONTH($B$94),AD$3),'Сводный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график'!$B$1:$B$4),MATCH(DATE($AV$1,MONTH($B$94),AD$3),'Сводный годовой график'!$C$14:$AR$14)))</f>
        <v>#N/A</v>
      </c>
      <c r="AE94" s="28" t="e">
        <f ca="1">IF(AND(INDEX('Сводный годовой график'!$C$1:$AR$4,MATCH($C$94,'Сводный годовой график'!$B$1:$B$4),MATCH(DATE($AV$1,MONTH($B$94),AE$3),'Сводный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график'!$B$1:$B$4),MATCH(DATE($AV$1,MONTH($B$94),AE$3),'Сводный годовой график'!$C$14:$AR$14)))</f>
        <v>#N/A</v>
      </c>
      <c r="AF94" s="28" t="e">
        <f ca="1">IF(AND(INDEX('Сводный годовой график'!$C$1:$AR$4,MATCH($C$94,'Сводный годовой график'!$B$1:$B$4),MATCH(DATE($AV$1,MONTH($B$94),AF$3),'Сводный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график'!$B$1:$B$4),MATCH(DATE($AV$1,MONTH($B$94),AF$3),'Сводный годовой график'!$C$14:$AR$14)))</f>
        <v>#N/A</v>
      </c>
      <c r="AG94" s="28" t="e">
        <f ca="1">IF(AND(INDEX('Сводный годовой график'!$C$1:$AR$4,MATCH($C$94,'Сводный годовой график'!$B$1:$B$4),MATCH(DATE($AV$1,MONTH($B$94),AG$3),'Сводный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график'!$B$1:$B$4),MATCH(DATE($AV$1,MONTH($B$94),AG$3),'Сводный годовой график'!$C$14:$AR$14)))</f>
        <v>#N/A</v>
      </c>
      <c r="AH94" s="28" t="e">
        <f ca="1">IF(AND(INDEX('Сводный годовой график'!$C$1:$AR$4,MATCH($C$94,'Сводный годовой график'!$B$1:$B$4),MATCH(DATE($AV$1,MONTH($B$94),AH$3),'Сводный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график'!$B$1:$B$4),MATCH(DATE($AV$1,MONTH($B$94),AH$3),'Сводный годовой график'!$C$14:$AR$14)))</f>
        <v>#N/A</v>
      </c>
      <c r="AI94" s="28" t="e">
        <f ca="1">IF(AND(INDEX('Сводный годовой график'!$C$1:$AR$4,MATCH($C$94,'Сводный годовой график'!$B$1:$B$4),MATCH(DATE($AV$1,MONTH($B$94),AI$3),'Сводный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график'!$B$1:$B$4),MATCH(DATE($AV$1,MONTH($B$94),AI$3),'Сводный годовой график'!$C$14:$AR$14)))</f>
        <v>#N/A</v>
      </c>
      <c r="AJ94" s="205">
        <f>INDEX(Подключения!$D$3:$H$14,MONTH(B94),5)</f>
        <v>184</v>
      </c>
      <c r="AK94" s="203">
        <f>$AJ$94-SUM(AY94:CC95)</f>
        <v>184</v>
      </c>
      <c r="AL94" s="203" t="e">
        <f ca="1">SUM(E94:AI95)</f>
        <v>#N/A</v>
      </c>
      <c r="AM94" s="203">
        <v>0</v>
      </c>
      <c r="AN94" s="208" t="e">
        <f t="shared" ref="AN94" ca="1" si="160">-AM94-AK94+AL94</f>
        <v>#N/A</v>
      </c>
      <c r="AO94" s="208">
        <v>0</v>
      </c>
      <c r="AP94" s="208" t="e">
        <f t="shared" ref="AP94" ca="1" si="161">AN94+AP84</f>
        <v>#N/A</v>
      </c>
      <c r="AQ94" s="203">
        <v>0</v>
      </c>
      <c r="AR94" s="204">
        <v>1</v>
      </c>
      <c r="CK94" s="59"/>
      <c r="CL94" s="59"/>
      <c r="CM94" s="59"/>
      <c r="CN94" s="59"/>
      <c r="CO94" s="59"/>
      <c r="CP94" s="59"/>
      <c r="CQ94" s="59"/>
      <c r="CR94" s="59"/>
      <c r="CS94" s="59"/>
      <c r="CT94" s="59"/>
      <c r="CU94" s="59"/>
      <c r="CV94" s="59"/>
      <c r="CW94" s="59"/>
      <c r="CX94" s="59"/>
      <c r="CY94" s="59"/>
      <c r="CZ94" s="59"/>
      <c r="DA94" s="59"/>
      <c r="DB94" s="59"/>
      <c r="DC94" s="59"/>
      <c r="DD94" s="59"/>
      <c r="DE94" s="59"/>
      <c r="DF94" s="59"/>
      <c r="DG94" s="59"/>
      <c r="DH94" s="59"/>
      <c r="DI94" s="59"/>
      <c r="DJ94" s="59"/>
      <c r="DK94" s="59"/>
      <c r="DL94" s="59"/>
      <c r="DM94" s="59"/>
      <c r="DN94" s="59"/>
      <c r="DO94" s="59"/>
    </row>
    <row r="95" spans="2:119" ht="16.5" thickBot="1" x14ac:dyDescent="0.3">
      <c r="B95" s="201"/>
      <c r="C95" s="197"/>
      <c r="D95" s="82">
        <v>2</v>
      </c>
      <c r="E95" s="96" t="str">
        <f t="shared" ref="E95:AI95" si="162">IF(INDEX($CK$4:$DO$123,ROW()-3,E$3)=0,"","СП")</f>
        <v/>
      </c>
      <c r="F95" s="92" t="str">
        <f t="shared" si="162"/>
        <v/>
      </c>
      <c r="G95" s="92" t="str">
        <f t="shared" si="162"/>
        <v/>
      </c>
      <c r="H95" s="92" t="str">
        <f t="shared" si="162"/>
        <v/>
      </c>
      <c r="I95" s="92" t="str">
        <f t="shared" si="162"/>
        <v/>
      </c>
      <c r="J95" s="92" t="str">
        <f t="shared" si="162"/>
        <v/>
      </c>
      <c r="K95" s="92" t="str">
        <f t="shared" si="162"/>
        <v/>
      </c>
      <c r="L95" s="92" t="str">
        <f t="shared" si="162"/>
        <v/>
      </c>
      <c r="M95" s="92" t="str">
        <f t="shared" si="162"/>
        <v/>
      </c>
      <c r="N95" s="92" t="str">
        <f t="shared" si="162"/>
        <v>СП</v>
      </c>
      <c r="O95" s="92" t="str">
        <f t="shared" si="162"/>
        <v/>
      </c>
      <c r="P95" s="92" t="str">
        <f t="shared" si="162"/>
        <v/>
      </c>
      <c r="Q95" s="92" t="str">
        <f t="shared" si="162"/>
        <v/>
      </c>
      <c r="R95" s="92" t="str">
        <f t="shared" si="162"/>
        <v/>
      </c>
      <c r="S95" s="92" t="str">
        <f t="shared" si="162"/>
        <v/>
      </c>
      <c r="T95" s="92" t="str">
        <f t="shared" si="162"/>
        <v/>
      </c>
      <c r="U95" s="92" t="str">
        <f t="shared" si="162"/>
        <v/>
      </c>
      <c r="V95" s="92" t="str">
        <f t="shared" si="162"/>
        <v/>
      </c>
      <c r="W95" s="92" t="str">
        <f t="shared" si="162"/>
        <v/>
      </c>
      <c r="X95" s="92" t="str">
        <f t="shared" si="162"/>
        <v/>
      </c>
      <c r="Y95" s="92" t="str">
        <f t="shared" si="162"/>
        <v/>
      </c>
      <c r="Z95" s="92" t="str">
        <f t="shared" si="162"/>
        <v/>
      </c>
      <c r="AA95" s="92" t="str">
        <f t="shared" si="162"/>
        <v/>
      </c>
      <c r="AB95" s="92" t="str">
        <f t="shared" si="162"/>
        <v/>
      </c>
      <c r="AC95" s="92" t="str">
        <f t="shared" si="162"/>
        <v/>
      </c>
      <c r="AD95" s="92" t="str">
        <f t="shared" si="162"/>
        <v/>
      </c>
      <c r="AE95" s="92" t="str">
        <f t="shared" si="162"/>
        <v/>
      </c>
      <c r="AF95" s="92" t="str">
        <f t="shared" si="162"/>
        <v/>
      </c>
      <c r="AG95" s="92" t="str">
        <f t="shared" si="162"/>
        <v/>
      </c>
      <c r="AH95" s="92" t="str">
        <f t="shared" si="162"/>
        <v/>
      </c>
      <c r="AI95" s="97" t="str">
        <f t="shared" si="162"/>
        <v/>
      </c>
      <c r="AJ95" s="206"/>
      <c r="AK95" s="177"/>
      <c r="AL95" s="177"/>
      <c r="AM95" s="177"/>
      <c r="AN95" s="198"/>
      <c r="AO95" s="198"/>
      <c r="AP95" s="198"/>
      <c r="AQ95" s="177"/>
      <c r="AR95" s="179"/>
      <c r="CK95" s="58">
        <f>IF(DAY(INDEX('Сводный годовой график'!$BA$4:$BL$14,$C94,MONTH($B$94)))=E$3,1,0)</f>
        <v>0</v>
      </c>
      <c r="CL95" s="58">
        <f>IF(DAY(INDEX('Сводный годовой график'!$BA$4:$BL$14,$C94,MONTH($B$94)))=F$3,1,0)</f>
        <v>0</v>
      </c>
      <c r="CM95" s="58">
        <f>IF(DAY(INDEX('Сводный годовой график'!$BA$4:$BL$14,$C94,MONTH($B$94)))=G$3,1,0)</f>
        <v>0</v>
      </c>
      <c r="CN95" s="58">
        <f>IF(DAY(INDEX('Сводный годовой график'!$BA$4:$BL$14,$C94,MONTH($B$94)))=H$3,1,0)</f>
        <v>0</v>
      </c>
      <c r="CO95" s="58">
        <f>IF(DAY(INDEX('Сводный годовой график'!$BA$4:$BL$14,$C94,MONTH($B$94)))=I$3,1,0)</f>
        <v>0</v>
      </c>
      <c r="CP95" s="58">
        <f>IF(DAY(INDEX('Сводный годовой график'!$BA$4:$BL$14,$C94,MONTH($B$94)))=J$3,1,0)</f>
        <v>0</v>
      </c>
      <c r="CQ95" s="58">
        <f>IF(DAY(INDEX('Сводный годовой график'!$BA$4:$BL$14,$C94,MONTH($B$94)))=K$3,1,0)</f>
        <v>0</v>
      </c>
      <c r="CR95" s="58">
        <f>IF(DAY(INDEX('Сводный годовой график'!$BA$4:$BL$14,$C94,MONTH($B$94)))=L$3,1,0)</f>
        <v>0</v>
      </c>
      <c r="CS95" s="58">
        <f>IF(DAY(INDEX('Сводный годовой график'!$BA$4:$BL$14,$C94,MONTH($B$94)))=M$3,1,0)</f>
        <v>0</v>
      </c>
      <c r="CT95" s="58">
        <f>IF(DAY(INDEX('Сводный годовой график'!$BA$4:$BL$14,$C94,MONTH($B$94)))=N$3,1,0)</f>
        <v>1</v>
      </c>
      <c r="CU95" s="58">
        <f>IF(DAY(INDEX('Сводный годовой график'!$BA$4:$BL$14,$C94,MONTH($B$94)))=O$3,1,0)</f>
        <v>0</v>
      </c>
      <c r="CV95" s="58">
        <f>IF(DAY(INDEX('Сводный годовой график'!$BA$4:$BL$14,$C94,MONTH($B$94)))=P$3,1,0)</f>
        <v>0</v>
      </c>
      <c r="CW95" s="58">
        <f>IF(DAY(INDEX('Сводный годовой график'!$BA$4:$BL$14,$C94,MONTH($B$94)))=Q$3,1,0)</f>
        <v>0</v>
      </c>
      <c r="CX95" s="58">
        <f>IF(DAY(INDEX('Сводный годовой график'!$BA$4:$BL$14,$C94,MONTH($B$94)))=R$3,1,0)</f>
        <v>0</v>
      </c>
      <c r="CY95" s="58">
        <f>IF(DAY(INDEX('Сводный годовой график'!$BA$4:$BL$14,$C94,MONTH($B$94)))=S$3,1,0)</f>
        <v>0</v>
      </c>
      <c r="CZ95" s="58">
        <f>IF(DAY(INDEX('Сводный годовой график'!$BA$4:$BL$14,$C94,MONTH($B$94)))=T$3,1,0)</f>
        <v>0</v>
      </c>
      <c r="DA95" s="58">
        <f>IF(DAY(INDEX('Сводный годовой график'!$BA$4:$BL$14,$C94,MONTH($B$94)))=U$3,1,0)</f>
        <v>0</v>
      </c>
      <c r="DB95" s="58">
        <f>IF(DAY(INDEX('Сводный годовой график'!$BA$4:$BL$14,$C94,MONTH($B$94)))=V$3,1,0)</f>
        <v>0</v>
      </c>
      <c r="DC95" s="58">
        <f>IF(DAY(INDEX('Сводный годовой график'!$BA$4:$BL$14,$C94,MONTH($B$94)))=W$3,1,0)</f>
        <v>0</v>
      </c>
      <c r="DD95" s="58">
        <f>IF(DAY(INDEX('Сводный годовой график'!$BA$4:$BL$14,$C94,MONTH($B$94)))=X$3,1,0)</f>
        <v>0</v>
      </c>
      <c r="DE95" s="58">
        <f>IF(DAY(INDEX('Сводный годовой график'!$BA$4:$BL$14,$C94,MONTH($B$94)))=Y$3,1,0)</f>
        <v>0</v>
      </c>
      <c r="DF95" s="58">
        <f>IF(DAY(INDEX('Сводный годовой график'!$BA$4:$BL$14,$C94,MONTH($B$94)))=Z$3,1,0)</f>
        <v>0</v>
      </c>
      <c r="DG95" s="58">
        <f>IF(DAY(INDEX('Сводный годовой график'!$BA$4:$BL$14,$C94,MONTH($B$94)))=AA$3,1,0)</f>
        <v>0</v>
      </c>
      <c r="DH95" s="58">
        <f>IF(DAY(INDEX('Сводный годовой график'!$BA$4:$BL$14,$C94,MONTH($B$94)))=AB$3,1,0)</f>
        <v>0</v>
      </c>
      <c r="DI95" s="58">
        <f>IF(DAY(INDEX('Сводный годовой график'!$BA$4:$BL$14,$C94,MONTH($B$94)))=AC$3,1,0)</f>
        <v>0</v>
      </c>
      <c r="DJ95" s="58">
        <f>IF(DAY(INDEX('Сводный годовой график'!$BA$4:$BL$14,$C94,MONTH($B$94)))=AD$3,1,0)</f>
        <v>0</v>
      </c>
      <c r="DK95" s="58">
        <f>IF(DAY(INDEX('Сводный годовой график'!$BA$4:$BL$14,$C94,MONTH($B$94)))=AE$3,1,0)</f>
        <v>0</v>
      </c>
      <c r="DL95" s="58">
        <f>IF(DAY(INDEX('Сводный годовой график'!$BA$4:$BL$14,$C94,MONTH($B$94)))=AF$3,1,0)</f>
        <v>0</v>
      </c>
      <c r="DM95" s="58">
        <f>IF(DAY(INDEX('Сводный годовой график'!$BA$4:$BL$14,$C94,MONTH($B$94)))=AG$3,1,0)</f>
        <v>0</v>
      </c>
      <c r="DN95" s="58">
        <f>IF(DAY(INDEX('Сводный годовой график'!$BA$4:$BL$14,$C94,MONTH($B$94)))=AH$3,1,0)</f>
        <v>0</v>
      </c>
      <c r="DO95" s="58">
        <f>IF(DAY(INDEX('Сводный годовой график'!$BA$4:$BL$14,$C94,MONTH($B$94)))=AI$3,1,0)</f>
        <v>0</v>
      </c>
    </row>
    <row r="96" spans="2:119" ht="16.5" thickBot="1" x14ac:dyDescent="0.3">
      <c r="B96" s="201"/>
      <c r="C96" s="196">
        <v>2</v>
      </c>
      <c r="D96" s="81">
        <v>3</v>
      </c>
      <c r="E96" s="96" t="e">
        <f ca="1">IF(AND(INDEX('Сводный годовой график'!$C$1:$AR$4,MATCH($C$96,'Сводный годовой график'!$B$1:$B$4),MATCH(DATE($AV$1,MONTH($B$94),E$3),'Сводный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график'!$B$1:$B$4),MATCH(DATE($AV$1,MONTH($B$94),E$3),'Сводный годовой график'!$C$14:$AR$14)))</f>
        <v>#N/A</v>
      </c>
      <c r="F96" s="92" t="e">
        <f ca="1">IF(AND(INDEX('Сводный годовой график'!$C$1:$AR$4,MATCH($C$96,'Сводный годовой график'!$B$1:$B$4),MATCH(DATE($AV$1,MONTH($B$94),F$3),'Сводный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график'!$B$1:$B$4),MATCH(DATE($AV$1,MONTH($B$94),F$3),'Сводный годовой график'!$C$14:$AR$14)))</f>
        <v>#N/A</v>
      </c>
      <c r="G96" s="92" t="e">
        <f ca="1">IF(AND(INDEX('Сводный годовой график'!$C$1:$AR$4,MATCH($C$96,'Сводный годовой график'!$B$1:$B$4),MATCH(DATE($AV$1,MONTH($B$94),G$3),'Сводный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график'!$B$1:$B$4),MATCH(DATE($AV$1,MONTH($B$94),G$3),'Сводный годовой график'!$C$14:$AR$14)))</f>
        <v>#N/A</v>
      </c>
      <c r="H96" s="92" t="e">
        <f ca="1">IF(AND(INDEX('Сводный годовой график'!$C$1:$AR$4,MATCH($C$96,'Сводный годовой график'!$B$1:$B$4),MATCH(DATE($AV$1,MONTH($B$94),H$3),'Сводный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график'!$B$1:$B$4),MATCH(DATE($AV$1,MONTH($B$94),H$3),'Сводный годовой график'!$C$14:$AR$14)))</f>
        <v>#N/A</v>
      </c>
      <c r="I96" s="92" t="e">
        <f ca="1">IF(AND(INDEX('Сводный годовой график'!$C$1:$AR$4,MATCH($C$96,'Сводный годовой график'!$B$1:$B$4),MATCH(DATE($AV$1,MONTH($B$94),I$3),'Сводный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график'!$B$1:$B$4),MATCH(DATE($AV$1,MONTH($B$94),I$3),'Сводный годовой график'!$C$14:$AR$14)))</f>
        <v>#N/A</v>
      </c>
      <c r="J96" s="92" t="e">
        <f ca="1">IF(AND(INDEX('Сводный годовой график'!$C$1:$AR$4,MATCH($C$96,'Сводный годовой график'!$B$1:$B$4),MATCH(DATE($AV$1,MONTH($B$94),J$3),'Сводный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график'!$B$1:$B$4),MATCH(DATE($AV$1,MONTH($B$94),J$3),'Сводный годовой график'!$C$14:$AR$14)))</f>
        <v>#N/A</v>
      </c>
      <c r="K96" s="92" t="e">
        <f ca="1">IF(AND(INDEX('Сводный годовой график'!$C$1:$AR$4,MATCH($C$96,'Сводный годовой график'!$B$1:$B$4),MATCH(DATE($AV$1,MONTH($B$94),K$3),'Сводный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график'!$B$1:$B$4),MATCH(DATE($AV$1,MONTH($B$94),K$3),'Сводный годовой график'!$C$14:$AR$14)))</f>
        <v>#N/A</v>
      </c>
      <c r="L96" s="92" t="e">
        <f ca="1">IF(AND(INDEX('Сводный годовой график'!$C$1:$AR$4,MATCH($C$96,'Сводный годовой график'!$B$1:$B$4),MATCH(DATE($AV$1,MONTH($B$94),L$3),'Сводный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график'!$B$1:$B$4),MATCH(DATE($AV$1,MONTH($B$94),L$3),'Сводный годовой график'!$C$14:$AR$14)))</f>
        <v>#N/A</v>
      </c>
      <c r="M96" s="92" t="e">
        <f ca="1">IF(AND(INDEX('Сводный годовой график'!$C$1:$AR$4,MATCH($C$96,'Сводный годовой график'!$B$1:$B$4),MATCH(DATE($AV$1,MONTH($B$94),M$3),'Сводный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график'!$B$1:$B$4),MATCH(DATE($AV$1,MONTH($B$94),M$3),'Сводный годовой график'!$C$14:$AR$14)))</f>
        <v>#N/A</v>
      </c>
      <c r="N96" s="92" t="e">
        <f ca="1">IF(AND(INDEX('Сводный годовой график'!$C$1:$AR$4,MATCH($C$96,'Сводный годовой график'!$B$1:$B$4),MATCH(DATE($AV$1,MONTH($B$94),N$3),'Сводный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график'!$B$1:$B$4),MATCH(DATE($AV$1,MONTH($B$94),N$3),'Сводный годовой график'!$C$14:$AR$14)))</f>
        <v>#N/A</v>
      </c>
      <c r="O96" s="92" t="e">
        <f ca="1">IF(AND(INDEX('Сводный годовой график'!$C$1:$AR$4,MATCH($C$96,'Сводный годовой график'!$B$1:$B$4),MATCH(DATE($AV$1,MONTH($B$94),O$3),'Сводный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график'!$B$1:$B$4),MATCH(DATE($AV$1,MONTH($B$94),O$3),'Сводный годовой график'!$C$14:$AR$14)))</f>
        <v>#N/A</v>
      </c>
      <c r="P96" s="92" t="e">
        <f ca="1">IF(AND(INDEX('Сводный годовой график'!$C$1:$AR$4,MATCH($C$96,'Сводный годовой график'!$B$1:$B$4),MATCH(DATE($AV$1,MONTH($B$94),P$3),'Сводный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график'!$B$1:$B$4),MATCH(DATE($AV$1,MONTH($B$94),P$3),'Сводный годовой график'!$C$14:$AR$14)))</f>
        <v>#N/A</v>
      </c>
      <c r="Q96" s="92" t="e">
        <f ca="1">IF(AND(INDEX('Сводный годовой график'!$C$1:$AR$4,MATCH($C$96,'Сводный годовой график'!$B$1:$B$4),MATCH(DATE($AV$1,MONTH($B$94),Q$3),'Сводный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график'!$B$1:$B$4),MATCH(DATE($AV$1,MONTH($B$94),Q$3),'Сводный годовой график'!$C$14:$AR$14)))</f>
        <v>#N/A</v>
      </c>
      <c r="R96" s="92" t="e">
        <f ca="1">IF(AND(INDEX('Сводный годовой график'!$C$1:$AR$4,MATCH($C$96,'Сводный годовой график'!$B$1:$B$4),MATCH(DATE($AV$1,MONTH($B$94),R$3),'Сводный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график'!$B$1:$B$4),MATCH(DATE($AV$1,MONTH($B$94),R$3),'Сводный годовой график'!$C$14:$AR$14)))</f>
        <v>#N/A</v>
      </c>
      <c r="S96" s="92" t="e">
        <f ca="1">IF(AND(INDEX('Сводный годовой график'!$C$1:$AR$4,MATCH($C$96,'Сводный годовой график'!$B$1:$B$4),MATCH(DATE($AV$1,MONTH($B$94),S$3),'Сводный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график'!$B$1:$B$4),MATCH(DATE($AV$1,MONTH($B$94),S$3),'Сводный годовой график'!$C$14:$AR$14)))</f>
        <v>#N/A</v>
      </c>
      <c r="T96" s="92" t="e">
        <f ca="1">IF(AND(INDEX('Сводный годовой график'!$C$1:$AR$4,MATCH($C$96,'Сводный годовой график'!$B$1:$B$4),MATCH(DATE($AV$1,MONTH($B$94),T$3),'Сводный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график'!$B$1:$B$4),MATCH(DATE($AV$1,MONTH($B$94),T$3),'Сводный годовой график'!$C$14:$AR$14)))</f>
        <v>#N/A</v>
      </c>
      <c r="U96" s="92" t="e">
        <f ca="1">IF(AND(INDEX('Сводный годовой график'!$C$1:$AR$4,MATCH($C$96,'Сводный годовой график'!$B$1:$B$4),MATCH(DATE($AV$1,MONTH($B$94),U$3),'Сводный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график'!$B$1:$B$4),MATCH(DATE($AV$1,MONTH($B$94),U$3),'Сводный годовой график'!$C$14:$AR$14)))</f>
        <v>#N/A</v>
      </c>
      <c r="V96" s="92" t="e">
        <f ca="1">IF(AND(INDEX('Сводный годовой график'!$C$1:$AR$4,MATCH($C$96,'Сводный годовой график'!$B$1:$B$4),MATCH(DATE($AV$1,MONTH($B$94),V$3),'Сводный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график'!$B$1:$B$4),MATCH(DATE($AV$1,MONTH($B$94),V$3),'Сводный годовой график'!$C$14:$AR$14)))</f>
        <v>#N/A</v>
      </c>
      <c r="W96" s="92" t="e">
        <f ca="1">IF(AND(INDEX('Сводный годовой график'!$C$1:$AR$4,MATCH($C$96,'Сводный годовой график'!$B$1:$B$4),MATCH(DATE($AV$1,MONTH($B$94),W$3),'Сводный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график'!$B$1:$B$4),MATCH(DATE($AV$1,MONTH($B$94),W$3),'Сводный годовой график'!$C$14:$AR$14)))</f>
        <v>#N/A</v>
      </c>
      <c r="X96" s="92" t="e">
        <f ca="1">IF(AND(INDEX('Сводный годовой график'!$C$1:$AR$4,MATCH($C$96,'Сводный годовой график'!$B$1:$B$4),MATCH(DATE($AV$1,MONTH($B$94),X$3),'Сводный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график'!$B$1:$B$4),MATCH(DATE($AV$1,MONTH($B$94),X$3),'Сводный годовой график'!$C$14:$AR$14)))</f>
        <v>#N/A</v>
      </c>
      <c r="Y96" s="92" t="e">
        <f ca="1">IF(AND(INDEX('Сводный годовой график'!$C$1:$AR$4,MATCH($C$96,'Сводный годовой график'!$B$1:$B$4),MATCH(DATE($AV$1,MONTH($B$94),Y$3),'Сводный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график'!$B$1:$B$4),MATCH(DATE($AV$1,MONTH($B$94),Y$3),'Сводный годовой график'!$C$14:$AR$14)))</f>
        <v>#N/A</v>
      </c>
      <c r="Z96" s="92" t="e">
        <f ca="1">IF(AND(INDEX('Сводный годовой график'!$C$1:$AR$4,MATCH($C$96,'Сводный годовой график'!$B$1:$B$4),MATCH(DATE($AV$1,MONTH($B$94),Z$3),'Сводный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график'!$B$1:$B$4),MATCH(DATE($AV$1,MONTH($B$94),Z$3),'Сводный годовой график'!$C$14:$AR$14)))</f>
        <v>#N/A</v>
      </c>
      <c r="AA96" s="92" t="e">
        <f ca="1">IF(AND(INDEX('Сводный годовой график'!$C$1:$AR$4,MATCH($C$96,'Сводный годовой график'!$B$1:$B$4),MATCH(DATE($AV$1,MONTH($B$94),AA$3),'Сводный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график'!$B$1:$B$4),MATCH(DATE($AV$1,MONTH($B$94),AA$3),'Сводный годовой график'!$C$14:$AR$14)))</f>
        <v>#N/A</v>
      </c>
      <c r="AB96" s="92" t="e">
        <f ca="1">IF(AND(INDEX('Сводный годовой график'!$C$1:$AR$4,MATCH($C$96,'Сводный годовой график'!$B$1:$B$4),MATCH(DATE($AV$1,MONTH($B$94),AB$3),'Сводный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график'!$B$1:$B$4),MATCH(DATE($AV$1,MONTH($B$94),AB$3),'Сводный годовой график'!$C$14:$AR$14)))</f>
        <v>#N/A</v>
      </c>
      <c r="AC96" s="92" t="e">
        <f ca="1">IF(AND(INDEX('Сводный годовой график'!$C$1:$AR$4,MATCH($C$96,'Сводный годовой график'!$B$1:$B$4),MATCH(DATE($AV$1,MONTH($B$94),AC$3),'Сводный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график'!$B$1:$B$4),MATCH(DATE($AV$1,MONTH($B$94),AC$3),'Сводный годовой график'!$C$14:$AR$14)))</f>
        <v>#N/A</v>
      </c>
      <c r="AD96" s="92" t="e">
        <f ca="1">IF(AND(INDEX('Сводный годовой график'!$C$1:$AR$4,MATCH($C$96,'Сводный годовой график'!$B$1:$B$4),MATCH(DATE($AV$1,MONTH($B$94),AD$3),'Сводный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график'!$B$1:$B$4),MATCH(DATE($AV$1,MONTH($B$94),AD$3),'Сводный годовой график'!$C$14:$AR$14)))</f>
        <v>#N/A</v>
      </c>
      <c r="AE96" s="92" t="e">
        <f ca="1">IF(AND(INDEX('Сводный годовой график'!$C$1:$AR$4,MATCH($C$96,'Сводный годовой график'!$B$1:$B$4),MATCH(DATE($AV$1,MONTH($B$94),AE$3),'Сводный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график'!$B$1:$B$4),MATCH(DATE($AV$1,MONTH($B$94),AE$3),'Сводный годовой график'!$C$14:$AR$14)))</f>
        <v>#N/A</v>
      </c>
      <c r="AF96" s="92" t="e">
        <f ca="1">IF(AND(INDEX('Сводный годовой график'!$C$1:$AR$4,MATCH($C$96,'Сводный годовой график'!$B$1:$B$4),MATCH(DATE($AV$1,MONTH($B$94),AF$3),'Сводный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график'!$B$1:$B$4),MATCH(DATE($AV$1,MONTH($B$94),AF$3),'Сводный годовой график'!$C$14:$AR$14)))</f>
        <v>#N/A</v>
      </c>
      <c r="AG96" s="92" t="e">
        <f ca="1">IF(AND(INDEX('Сводный годовой график'!$C$1:$AR$4,MATCH($C$96,'Сводный годовой график'!$B$1:$B$4),MATCH(DATE($AV$1,MONTH($B$94),AG$3),'Сводный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график'!$B$1:$B$4),MATCH(DATE($AV$1,MONTH($B$94),AG$3),'Сводный годовой график'!$C$14:$AR$14)))</f>
        <v>#N/A</v>
      </c>
      <c r="AH96" s="92" t="e">
        <f ca="1">IF(AND(INDEX('Сводный годовой график'!$C$1:$AR$4,MATCH($C$96,'Сводный годовой график'!$B$1:$B$4),MATCH(DATE($AV$1,MONTH($B$94),AH$3),'Сводный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график'!$B$1:$B$4),MATCH(DATE($AV$1,MONTH($B$94),AH$3),'Сводный годовой график'!$C$14:$AR$14)))</f>
        <v>#N/A</v>
      </c>
      <c r="AI96" s="97" t="e">
        <f ca="1">IF(AND(INDEX('Сводный годовой график'!$C$1:$AR$4,MATCH($C$96,'Сводный годовой график'!$B$1:$B$4),MATCH(DATE($AV$1,MONTH($B$94),AI$3),'Сводный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график'!$B$1:$B$4),MATCH(DATE($AV$1,MONTH($B$94),AI$3),'Сводный годовой график'!$C$14:$AR$14)))</f>
        <v>#N/A</v>
      </c>
      <c r="AJ96" s="206"/>
      <c r="AK96" s="177">
        <f>$AJ$94-SUM(AY96:CC97)</f>
        <v>184</v>
      </c>
      <c r="AL96" s="177" t="e">
        <f t="shared" ref="AL96" ca="1" si="163">SUM(E96:AI97)</f>
        <v>#N/A</v>
      </c>
      <c r="AM96" s="177">
        <v>0</v>
      </c>
      <c r="AN96" s="198" t="e">
        <f t="shared" ref="AN96" ca="1" si="164">-AM96-AK96+AL96</f>
        <v>#N/A</v>
      </c>
      <c r="AO96" s="198">
        <v>0</v>
      </c>
      <c r="AP96" s="198" t="e">
        <f t="shared" ref="AP96" ca="1" si="165">AN96+AP86</f>
        <v>#N/A</v>
      </c>
      <c r="AQ96" s="177">
        <v>0</v>
      </c>
      <c r="AR96" s="179">
        <v>1</v>
      </c>
      <c r="CK96" s="59"/>
      <c r="CL96" s="59"/>
      <c r="CM96" s="59"/>
      <c r="CN96" s="59"/>
      <c r="CO96" s="59"/>
      <c r="CP96" s="59"/>
      <c r="CQ96" s="59"/>
      <c r="CR96" s="59"/>
      <c r="CS96" s="59"/>
      <c r="CT96" s="59"/>
      <c r="CU96" s="59"/>
      <c r="CV96" s="59"/>
      <c r="CW96" s="59"/>
      <c r="CX96" s="59"/>
      <c r="CY96" s="59"/>
      <c r="CZ96" s="59"/>
      <c r="DA96" s="59"/>
      <c r="DB96" s="59"/>
      <c r="DC96" s="59"/>
      <c r="DD96" s="59"/>
      <c r="DE96" s="59"/>
      <c r="DF96" s="59"/>
      <c r="DG96" s="59"/>
      <c r="DH96" s="59"/>
      <c r="DI96" s="59"/>
      <c r="DJ96" s="59"/>
      <c r="DK96" s="59"/>
      <c r="DL96" s="59"/>
      <c r="DM96" s="59"/>
      <c r="DN96" s="59"/>
      <c r="DO96" s="59"/>
    </row>
    <row r="97" spans="2:119" ht="16.5" thickBot="1" x14ac:dyDescent="0.3">
      <c r="B97" s="201"/>
      <c r="C97" s="197"/>
      <c r="D97" s="82">
        <v>4</v>
      </c>
      <c r="E97" s="96" t="str">
        <f t="shared" ref="E97:AI97" si="166">IF(INDEX($CK$4:$DO$123,ROW()-3,E$3)=0,"","СП")</f>
        <v/>
      </c>
      <c r="F97" s="92" t="str">
        <f t="shared" si="166"/>
        <v/>
      </c>
      <c r="G97" s="92" t="str">
        <f t="shared" si="166"/>
        <v/>
      </c>
      <c r="H97" s="92" t="str">
        <f t="shared" si="166"/>
        <v/>
      </c>
      <c r="I97" s="92" t="str">
        <f t="shared" si="166"/>
        <v/>
      </c>
      <c r="J97" s="92" t="str">
        <f t="shared" si="166"/>
        <v/>
      </c>
      <c r="K97" s="92" t="str">
        <f t="shared" si="166"/>
        <v/>
      </c>
      <c r="L97" s="92" t="str">
        <f t="shared" si="166"/>
        <v/>
      </c>
      <c r="M97" s="92" t="str">
        <f t="shared" si="166"/>
        <v/>
      </c>
      <c r="N97" s="92" t="str">
        <f t="shared" si="166"/>
        <v/>
      </c>
      <c r="O97" s="92" t="str">
        <f t="shared" si="166"/>
        <v>СП</v>
      </c>
      <c r="P97" s="92" t="str">
        <f t="shared" si="166"/>
        <v/>
      </c>
      <c r="Q97" s="92" t="str">
        <f t="shared" si="166"/>
        <v/>
      </c>
      <c r="R97" s="92" t="str">
        <f t="shared" si="166"/>
        <v/>
      </c>
      <c r="S97" s="92" t="str">
        <f t="shared" si="166"/>
        <v/>
      </c>
      <c r="T97" s="92" t="str">
        <f t="shared" si="166"/>
        <v/>
      </c>
      <c r="U97" s="92" t="str">
        <f t="shared" si="166"/>
        <v/>
      </c>
      <c r="V97" s="92" t="str">
        <f t="shared" si="166"/>
        <v/>
      </c>
      <c r="W97" s="92" t="str">
        <f t="shared" si="166"/>
        <v/>
      </c>
      <c r="X97" s="92" t="str">
        <f t="shared" si="166"/>
        <v/>
      </c>
      <c r="Y97" s="92" t="str">
        <f t="shared" si="166"/>
        <v/>
      </c>
      <c r="Z97" s="92" t="str">
        <f t="shared" si="166"/>
        <v/>
      </c>
      <c r="AA97" s="92" t="str">
        <f t="shared" si="166"/>
        <v/>
      </c>
      <c r="AB97" s="92" t="str">
        <f t="shared" si="166"/>
        <v/>
      </c>
      <c r="AC97" s="92" t="str">
        <f t="shared" si="166"/>
        <v/>
      </c>
      <c r="AD97" s="92" t="str">
        <f t="shared" si="166"/>
        <v/>
      </c>
      <c r="AE97" s="92" t="str">
        <f t="shared" si="166"/>
        <v/>
      </c>
      <c r="AF97" s="92" t="str">
        <f t="shared" si="166"/>
        <v/>
      </c>
      <c r="AG97" s="92" t="str">
        <f t="shared" si="166"/>
        <v/>
      </c>
      <c r="AH97" s="92" t="str">
        <f t="shared" si="166"/>
        <v/>
      </c>
      <c r="AI97" s="97" t="str">
        <f t="shared" si="166"/>
        <v/>
      </c>
      <c r="AJ97" s="206"/>
      <c r="AK97" s="177"/>
      <c r="AL97" s="177"/>
      <c r="AM97" s="177"/>
      <c r="AN97" s="198"/>
      <c r="AO97" s="198"/>
      <c r="AP97" s="198"/>
      <c r="AQ97" s="177"/>
      <c r="AR97" s="179"/>
      <c r="CK97" s="58">
        <f>IF(DAY(INDEX('Сводный годовой график'!$BA$4:$BL$14,$C96,MONTH($B$94)))=E$3,1,0)</f>
        <v>0</v>
      </c>
      <c r="CL97" s="58">
        <f>IF(DAY(INDEX('Сводный годовой график'!$BA$4:$BL$14,$C96,MONTH($B$94)))=F$3,1,0)</f>
        <v>0</v>
      </c>
      <c r="CM97" s="58">
        <f>IF(DAY(INDEX('Сводный годовой график'!$BA$4:$BL$14,$C96,MONTH($B$94)))=G$3,1,0)</f>
        <v>0</v>
      </c>
      <c r="CN97" s="58">
        <f>IF(DAY(INDEX('Сводный годовой график'!$BA$4:$BL$14,$C96,MONTH($B$94)))=H$3,1,0)</f>
        <v>0</v>
      </c>
      <c r="CO97" s="58">
        <f>IF(DAY(INDEX('Сводный годовой график'!$BA$4:$BL$14,$C96,MONTH($B$94)))=I$3,1,0)</f>
        <v>0</v>
      </c>
      <c r="CP97" s="58">
        <f>IF(DAY(INDEX('Сводный годовой график'!$BA$4:$BL$14,$C96,MONTH($B$94)))=J$3,1,0)</f>
        <v>0</v>
      </c>
      <c r="CQ97" s="58">
        <f>IF(DAY(INDEX('Сводный годовой график'!$BA$4:$BL$14,$C96,MONTH($B$94)))=K$3,1,0)</f>
        <v>0</v>
      </c>
      <c r="CR97" s="58">
        <f>IF(DAY(INDEX('Сводный годовой график'!$BA$4:$BL$14,$C96,MONTH($B$94)))=L$3,1,0)</f>
        <v>0</v>
      </c>
      <c r="CS97" s="58">
        <f>IF(DAY(INDEX('Сводный годовой график'!$BA$4:$BL$14,$C96,MONTH($B$94)))=M$3,1,0)</f>
        <v>0</v>
      </c>
      <c r="CT97" s="58">
        <f>IF(DAY(INDEX('Сводный годовой график'!$BA$4:$BL$14,$C96,MONTH($B$94)))=N$3,1,0)</f>
        <v>0</v>
      </c>
      <c r="CU97" s="58">
        <f>IF(DAY(INDEX('Сводный годовой график'!$BA$4:$BL$14,$C96,MONTH($B$94)))=O$3,1,0)</f>
        <v>1</v>
      </c>
      <c r="CV97" s="58">
        <f>IF(DAY(INDEX('Сводный годовой график'!$BA$4:$BL$14,$C96,MONTH($B$94)))=P$3,1,0)</f>
        <v>0</v>
      </c>
      <c r="CW97" s="58">
        <f>IF(DAY(INDEX('Сводный годовой график'!$BA$4:$BL$14,$C96,MONTH($B$94)))=Q$3,1,0)</f>
        <v>0</v>
      </c>
      <c r="CX97" s="58">
        <f>IF(DAY(INDEX('Сводный годовой график'!$BA$4:$BL$14,$C96,MONTH($B$94)))=R$3,1,0)</f>
        <v>0</v>
      </c>
      <c r="CY97" s="58">
        <f>IF(DAY(INDEX('Сводный годовой график'!$BA$4:$BL$14,$C96,MONTH($B$94)))=S$3,1,0)</f>
        <v>0</v>
      </c>
      <c r="CZ97" s="58">
        <f>IF(DAY(INDEX('Сводный годовой график'!$BA$4:$BL$14,$C96,MONTH($B$94)))=T$3,1,0)</f>
        <v>0</v>
      </c>
      <c r="DA97" s="58">
        <f>IF(DAY(INDEX('Сводный годовой график'!$BA$4:$BL$14,$C96,MONTH($B$94)))=U$3,1,0)</f>
        <v>0</v>
      </c>
      <c r="DB97" s="58">
        <f>IF(DAY(INDEX('Сводный годовой график'!$BA$4:$BL$14,$C96,MONTH($B$94)))=V$3,1,0)</f>
        <v>0</v>
      </c>
      <c r="DC97" s="58">
        <f>IF(DAY(INDEX('Сводный годовой график'!$BA$4:$BL$14,$C96,MONTH($B$94)))=W$3,1,0)</f>
        <v>0</v>
      </c>
      <c r="DD97" s="58">
        <f>IF(DAY(INDEX('Сводный годовой график'!$BA$4:$BL$14,$C96,MONTH($B$94)))=X$3,1,0)</f>
        <v>0</v>
      </c>
      <c r="DE97" s="58">
        <f>IF(DAY(INDEX('Сводный годовой график'!$BA$4:$BL$14,$C96,MONTH($B$94)))=Y$3,1,0)</f>
        <v>0</v>
      </c>
      <c r="DF97" s="58">
        <f>IF(DAY(INDEX('Сводный годовой график'!$BA$4:$BL$14,$C96,MONTH($B$94)))=Z$3,1,0)</f>
        <v>0</v>
      </c>
      <c r="DG97" s="58">
        <f>IF(DAY(INDEX('Сводный годовой график'!$BA$4:$BL$14,$C96,MONTH($B$94)))=AA$3,1,0)</f>
        <v>0</v>
      </c>
      <c r="DH97" s="58">
        <f>IF(DAY(INDEX('Сводный годовой график'!$BA$4:$BL$14,$C96,MONTH($B$94)))=AB$3,1,0)</f>
        <v>0</v>
      </c>
      <c r="DI97" s="58">
        <f>IF(DAY(INDEX('Сводный годовой график'!$BA$4:$BL$14,$C96,MONTH($B$94)))=AC$3,1,0)</f>
        <v>0</v>
      </c>
      <c r="DJ97" s="58">
        <f>IF(DAY(INDEX('Сводный годовой график'!$BA$4:$BL$14,$C96,MONTH($B$94)))=AD$3,1,0)</f>
        <v>0</v>
      </c>
      <c r="DK97" s="58">
        <f>IF(DAY(INDEX('Сводный годовой график'!$BA$4:$BL$14,$C96,MONTH($B$94)))=AE$3,1,0)</f>
        <v>0</v>
      </c>
      <c r="DL97" s="58">
        <f>IF(DAY(INDEX('Сводный годовой график'!$BA$4:$BL$14,$C96,MONTH($B$94)))=AF$3,1,0)</f>
        <v>0</v>
      </c>
      <c r="DM97" s="58">
        <f>IF(DAY(INDEX('Сводный годовой график'!$BA$4:$BL$14,$C96,MONTH($B$94)))=AG$3,1,0)</f>
        <v>0</v>
      </c>
      <c r="DN97" s="58">
        <f>IF(DAY(INDEX('Сводный годовой график'!$BA$4:$BL$14,$C96,MONTH($B$94)))=AH$3,1,0)</f>
        <v>0</v>
      </c>
      <c r="DO97" s="58">
        <f>IF(DAY(INDEX('Сводный годовой график'!$BA$4:$BL$14,$C96,MONTH($B$94)))=AI$3,1,0)</f>
        <v>0</v>
      </c>
    </row>
    <row r="98" spans="2:119" ht="16.5" thickBot="1" x14ac:dyDescent="0.3">
      <c r="B98" s="201"/>
      <c r="C98" s="196">
        <v>3</v>
      </c>
      <c r="D98" s="81">
        <v>5</v>
      </c>
      <c r="E98" s="96" t="e">
        <f ca="1">IF(AND(INDEX('Сводный годовой график'!$C$1:$AR$4,MATCH($C$98,'Сводный годовой график'!$B$1:$B$4),MATCH(DATE($AV$1,MONTH($B$94),E$3),'Сводный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график'!$B$1:$B$4),MATCH(DATE($AV$1,MONTH($B$94),E$3),'Сводный годовой график'!$C$14:$AR$14)))</f>
        <v>#N/A</v>
      </c>
      <c r="F98" s="92" t="e">
        <f ca="1">IF(AND(INDEX('Сводный годовой график'!$C$1:$AR$4,MATCH($C$98,'Сводный годовой график'!$B$1:$B$4),MATCH(DATE($AV$1,MONTH($B$94),F$3),'Сводный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график'!$B$1:$B$4),MATCH(DATE($AV$1,MONTH($B$94),F$3),'Сводный годовой график'!$C$14:$AR$14)))</f>
        <v>#N/A</v>
      </c>
      <c r="G98" s="92" t="e">
        <f ca="1">IF(AND(INDEX('Сводный годовой график'!$C$1:$AR$4,MATCH($C$98,'Сводный годовой график'!$B$1:$B$4),MATCH(DATE($AV$1,MONTH($B$94),G$3),'Сводный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график'!$B$1:$B$4),MATCH(DATE($AV$1,MONTH($B$94),G$3),'Сводный годовой график'!$C$14:$AR$14)))</f>
        <v>#N/A</v>
      </c>
      <c r="H98" s="92" t="e">
        <f ca="1">IF(AND(INDEX('Сводный годовой график'!$C$1:$AR$4,MATCH($C$98,'Сводный годовой график'!$B$1:$B$4),MATCH(DATE($AV$1,MONTH($B$94),H$3),'Сводный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график'!$B$1:$B$4),MATCH(DATE($AV$1,MONTH($B$94),H$3),'Сводный годовой график'!$C$14:$AR$14)))</f>
        <v>#N/A</v>
      </c>
      <c r="I98" s="92" t="e">
        <f ca="1">IF(AND(INDEX('Сводный годовой график'!$C$1:$AR$4,MATCH($C$98,'Сводный годовой график'!$B$1:$B$4),MATCH(DATE($AV$1,MONTH($B$94),I$3),'Сводный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график'!$B$1:$B$4),MATCH(DATE($AV$1,MONTH($B$94),I$3),'Сводный годовой график'!$C$14:$AR$14)))</f>
        <v>#N/A</v>
      </c>
      <c r="J98" s="92" t="e">
        <f ca="1">IF(AND(INDEX('Сводный годовой график'!$C$1:$AR$4,MATCH($C$98,'Сводный годовой график'!$B$1:$B$4),MATCH(DATE($AV$1,MONTH($B$94),J$3),'Сводный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график'!$B$1:$B$4),MATCH(DATE($AV$1,MONTH($B$94),J$3),'Сводный годовой график'!$C$14:$AR$14)))</f>
        <v>#N/A</v>
      </c>
      <c r="K98" s="92" t="e">
        <f ca="1">IF(AND(INDEX('Сводный годовой график'!$C$1:$AR$4,MATCH($C$98,'Сводный годовой график'!$B$1:$B$4),MATCH(DATE($AV$1,MONTH($B$94),K$3),'Сводный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график'!$B$1:$B$4),MATCH(DATE($AV$1,MONTH($B$94),K$3),'Сводный годовой график'!$C$14:$AR$14)))</f>
        <v>#N/A</v>
      </c>
      <c r="L98" s="92" t="e">
        <f ca="1">IF(AND(INDEX('Сводный годовой график'!$C$1:$AR$4,MATCH($C$98,'Сводный годовой график'!$B$1:$B$4),MATCH(DATE($AV$1,MONTH($B$94),L$3),'Сводный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график'!$B$1:$B$4),MATCH(DATE($AV$1,MONTH($B$94),L$3),'Сводный годовой график'!$C$14:$AR$14)))</f>
        <v>#N/A</v>
      </c>
      <c r="M98" s="92" t="e">
        <f ca="1">IF(AND(INDEX('Сводный годовой график'!$C$1:$AR$4,MATCH($C$98,'Сводный годовой график'!$B$1:$B$4),MATCH(DATE($AV$1,MONTH($B$94),M$3),'Сводный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график'!$B$1:$B$4),MATCH(DATE($AV$1,MONTH($B$94),M$3),'Сводный годовой график'!$C$14:$AR$14)))</f>
        <v>#N/A</v>
      </c>
      <c r="N98" s="92" t="e">
        <f ca="1">IF(AND(INDEX('Сводный годовой график'!$C$1:$AR$4,MATCH($C$98,'Сводный годовой график'!$B$1:$B$4),MATCH(DATE($AV$1,MONTH($B$94),N$3),'Сводный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график'!$B$1:$B$4),MATCH(DATE($AV$1,MONTH($B$94),N$3),'Сводный годовой график'!$C$14:$AR$14)))</f>
        <v>#N/A</v>
      </c>
      <c r="O98" s="92" t="e">
        <f ca="1">IF(AND(INDEX('Сводный годовой график'!$C$1:$AR$4,MATCH($C$98,'Сводный годовой график'!$B$1:$B$4),MATCH(DATE($AV$1,MONTH($B$94),O$3),'Сводный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график'!$B$1:$B$4),MATCH(DATE($AV$1,MONTH($B$94),O$3),'Сводный годовой график'!$C$14:$AR$14)))</f>
        <v>#N/A</v>
      </c>
      <c r="P98" s="92" t="e">
        <f ca="1">IF(AND(INDEX('Сводный годовой график'!$C$1:$AR$4,MATCH($C$98,'Сводный годовой график'!$B$1:$B$4),MATCH(DATE($AV$1,MONTH($B$94),P$3),'Сводный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график'!$B$1:$B$4),MATCH(DATE($AV$1,MONTH($B$94),P$3),'Сводный годовой график'!$C$14:$AR$14)))</f>
        <v>#N/A</v>
      </c>
      <c r="Q98" s="92" t="e">
        <f ca="1">IF(AND(INDEX('Сводный годовой график'!$C$1:$AR$4,MATCH($C$98,'Сводный годовой график'!$B$1:$B$4),MATCH(DATE($AV$1,MONTH($B$94),Q$3),'Сводный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график'!$B$1:$B$4),MATCH(DATE($AV$1,MONTH($B$94),Q$3),'Сводный годовой график'!$C$14:$AR$14)))</f>
        <v>#N/A</v>
      </c>
      <c r="R98" s="92" t="e">
        <f ca="1">IF(AND(INDEX('Сводный годовой график'!$C$1:$AR$4,MATCH($C$98,'Сводный годовой график'!$B$1:$B$4),MATCH(DATE($AV$1,MONTH($B$94),R$3),'Сводный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график'!$B$1:$B$4),MATCH(DATE($AV$1,MONTH($B$94),R$3),'Сводный годовой график'!$C$14:$AR$14)))</f>
        <v>#N/A</v>
      </c>
      <c r="S98" s="92" t="e">
        <f ca="1">IF(AND(INDEX('Сводный годовой график'!$C$1:$AR$4,MATCH($C$98,'Сводный годовой график'!$B$1:$B$4),MATCH(DATE($AV$1,MONTH($B$94),S$3),'Сводный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график'!$B$1:$B$4),MATCH(DATE($AV$1,MONTH($B$94),S$3),'Сводный годовой график'!$C$14:$AR$14)))</f>
        <v>#N/A</v>
      </c>
      <c r="T98" s="92" t="e">
        <f ca="1">IF(AND(INDEX('Сводный годовой график'!$C$1:$AR$4,MATCH($C$98,'Сводный годовой график'!$B$1:$B$4),MATCH(DATE($AV$1,MONTH($B$94),T$3),'Сводный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график'!$B$1:$B$4),MATCH(DATE($AV$1,MONTH($B$94),T$3),'Сводный годовой график'!$C$14:$AR$14)))</f>
        <v>#N/A</v>
      </c>
      <c r="U98" s="92" t="e">
        <f ca="1">IF(AND(INDEX('Сводный годовой график'!$C$1:$AR$4,MATCH($C$98,'Сводный годовой график'!$B$1:$B$4),MATCH(DATE($AV$1,MONTH($B$94),U$3),'Сводный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график'!$B$1:$B$4),MATCH(DATE($AV$1,MONTH($B$94),U$3),'Сводный годовой график'!$C$14:$AR$14)))</f>
        <v>#N/A</v>
      </c>
      <c r="V98" s="92" t="e">
        <f ca="1">IF(AND(INDEX('Сводный годовой график'!$C$1:$AR$4,MATCH($C$98,'Сводный годовой график'!$B$1:$B$4),MATCH(DATE($AV$1,MONTH($B$94),V$3),'Сводный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график'!$B$1:$B$4),MATCH(DATE($AV$1,MONTH($B$94),V$3),'Сводный годовой график'!$C$14:$AR$14)))</f>
        <v>#N/A</v>
      </c>
      <c r="W98" s="92" t="e">
        <f ca="1">IF(AND(INDEX('Сводный годовой график'!$C$1:$AR$4,MATCH($C$98,'Сводный годовой график'!$B$1:$B$4),MATCH(DATE($AV$1,MONTH($B$94),W$3),'Сводный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график'!$B$1:$B$4),MATCH(DATE($AV$1,MONTH($B$94),W$3),'Сводный годовой график'!$C$14:$AR$14)))</f>
        <v>#N/A</v>
      </c>
      <c r="X98" s="92" t="e">
        <f ca="1">IF(AND(INDEX('Сводный годовой график'!$C$1:$AR$4,MATCH($C$98,'Сводный годовой график'!$B$1:$B$4),MATCH(DATE($AV$1,MONTH($B$94),X$3),'Сводный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график'!$B$1:$B$4),MATCH(DATE($AV$1,MONTH($B$94),X$3),'Сводный годовой график'!$C$14:$AR$14)))</f>
        <v>#N/A</v>
      </c>
      <c r="Y98" s="92" t="e">
        <f ca="1">IF(AND(INDEX('Сводный годовой график'!$C$1:$AR$4,MATCH($C$98,'Сводный годовой график'!$B$1:$B$4),MATCH(DATE($AV$1,MONTH($B$94),Y$3),'Сводный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график'!$B$1:$B$4),MATCH(DATE($AV$1,MONTH($B$94),Y$3),'Сводный годовой график'!$C$14:$AR$14)))</f>
        <v>#N/A</v>
      </c>
      <c r="Z98" s="92" t="e">
        <f ca="1">IF(AND(INDEX('Сводный годовой график'!$C$1:$AR$4,MATCH($C$98,'Сводный годовой график'!$B$1:$B$4),MATCH(DATE($AV$1,MONTH($B$94),Z$3),'Сводный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график'!$B$1:$B$4),MATCH(DATE($AV$1,MONTH($B$94),Z$3),'Сводный годовой график'!$C$14:$AR$14)))</f>
        <v>#N/A</v>
      </c>
      <c r="AA98" s="92" t="e">
        <f ca="1">IF(AND(INDEX('Сводный годовой график'!$C$1:$AR$4,MATCH($C$98,'Сводный годовой график'!$B$1:$B$4),MATCH(DATE($AV$1,MONTH($B$94),AA$3),'Сводный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график'!$B$1:$B$4),MATCH(DATE($AV$1,MONTH($B$94),AA$3),'Сводный годовой график'!$C$14:$AR$14)))</f>
        <v>#N/A</v>
      </c>
      <c r="AB98" s="92" t="e">
        <f ca="1">IF(AND(INDEX('Сводный годовой график'!$C$1:$AR$4,MATCH($C$98,'Сводный годовой график'!$B$1:$B$4),MATCH(DATE($AV$1,MONTH($B$94),AB$3),'Сводный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график'!$B$1:$B$4),MATCH(DATE($AV$1,MONTH($B$94),AB$3),'Сводный годовой график'!$C$14:$AR$14)))</f>
        <v>#N/A</v>
      </c>
      <c r="AC98" s="92" t="e">
        <f ca="1">IF(AND(INDEX('Сводный годовой график'!$C$1:$AR$4,MATCH($C$98,'Сводный годовой график'!$B$1:$B$4),MATCH(DATE($AV$1,MONTH($B$94),AC$3),'Сводный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график'!$B$1:$B$4),MATCH(DATE($AV$1,MONTH($B$94),AC$3),'Сводный годовой график'!$C$14:$AR$14)))</f>
        <v>#N/A</v>
      </c>
      <c r="AD98" s="92" t="e">
        <f ca="1">IF(AND(INDEX('Сводный годовой график'!$C$1:$AR$4,MATCH($C$98,'Сводный годовой график'!$B$1:$B$4),MATCH(DATE($AV$1,MONTH($B$94),AD$3),'Сводный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график'!$B$1:$B$4),MATCH(DATE($AV$1,MONTH($B$94),AD$3),'Сводный годовой график'!$C$14:$AR$14)))</f>
        <v>#N/A</v>
      </c>
      <c r="AE98" s="92" t="e">
        <f ca="1">IF(AND(INDEX('Сводный годовой график'!$C$1:$AR$4,MATCH($C$98,'Сводный годовой график'!$B$1:$B$4),MATCH(DATE($AV$1,MONTH($B$94),AE$3),'Сводный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график'!$B$1:$B$4),MATCH(DATE($AV$1,MONTH($B$94),AE$3),'Сводный годовой график'!$C$14:$AR$14)))</f>
        <v>#N/A</v>
      </c>
      <c r="AF98" s="92" t="e">
        <f ca="1">IF(AND(INDEX('Сводный годовой график'!$C$1:$AR$4,MATCH($C$98,'Сводный годовой график'!$B$1:$B$4),MATCH(DATE($AV$1,MONTH($B$94),AF$3),'Сводный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график'!$B$1:$B$4),MATCH(DATE($AV$1,MONTH($B$94),AF$3),'Сводный годовой график'!$C$14:$AR$14)))</f>
        <v>#N/A</v>
      </c>
      <c r="AG98" s="92" t="e">
        <f ca="1">IF(AND(INDEX('Сводный годовой график'!$C$1:$AR$4,MATCH($C$98,'Сводный годовой график'!$B$1:$B$4),MATCH(DATE($AV$1,MONTH($B$94),AG$3),'Сводный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график'!$B$1:$B$4),MATCH(DATE($AV$1,MONTH($B$94),AG$3),'Сводный годовой график'!$C$14:$AR$14)))</f>
        <v>#N/A</v>
      </c>
      <c r="AH98" s="92" t="e">
        <f ca="1">IF(AND(INDEX('Сводный годовой график'!$C$1:$AR$4,MATCH($C$98,'Сводный годовой график'!$B$1:$B$4),MATCH(DATE($AV$1,MONTH($B$94),AH$3),'Сводный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график'!$B$1:$B$4),MATCH(DATE($AV$1,MONTH($B$94),AH$3),'Сводный годовой график'!$C$14:$AR$14)))</f>
        <v>#N/A</v>
      </c>
      <c r="AI98" s="97" t="e">
        <f ca="1">IF(AND(INDEX('Сводный годовой график'!$C$1:$AR$4,MATCH($C$98,'Сводный годовой график'!$B$1:$B$4),MATCH(DATE($AV$1,MONTH($B$94),AI$3),'Сводный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график'!$B$1:$B$4),MATCH(DATE($AV$1,MONTH($B$94),AI$3),'Сводный годовой график'!$C$14:$AR$14)))</f>
        <v>#N/A</v>
      </c>
      <c r="AJ98" s="206"/>
      <c r="AK98" s="177">
        <f>$AJ$94-SUM(AY98:CC99)</f>
        <v>184</v>
      </c>
      <c r="AL98" s="177" t="e">
        <f t="shared" ref="AL98" ca="1" si="167">SUM(E98:AI99)</f>
        <v>#N/A</v>
      </c>
      <c r="AM98" s="177">
        <v>0</v>
      </c>
      <c r="AN98" s="198" t="e">
        <f t="shared" ref="AN98" ca="1" si="168">-AM98-AK98+AL98</f>
        <v>#N/A</v>
      </c>
      <c r="AO98" s="198">
        <v>0</v>
      </c>
      <c r="AP98" s="198" t="e">
        <f t="shared" ref="AP98" ca="1" si="169">AN98+AP88</f>
        <v>#N/A</v>
      </c>
      <c r="AQ98" s="177">
        <v>14</v>
      </c>
      <c r="AR98" s="179">
        <v>0</v>
      </c>
      <c r="CK98" s="59"/>
      <c r="CL98" s="59"/>
      <c r="CM98" s="59"/>
      <c r="CN98" s="59"/>
      <c r="CO98" s="59"/>
      <c r="CP98" s="59"/>
      <c r="CQ98" s="59"/>
      <c r="CR98" s="59"/>
      <c r="CS98" s="59"/>
      <c r="CT98" s="59"/>
      <c r="CU98" s="59"/>
      <c r="CV98" s="59"/>
      <c r="CW98" s="59"/>
      <c r="CX98" s="59"/>
      <c r="CY98" s="59"/>
      <c r="CZ98" s="59"/>
      <c r="DA98" s="59"/>
      <c r="DB98" s="59"/>
      <c r="DC98" s="59"/>
      <c r="DD98" s="59"/>
      <c r="DE98" s="59"/>
      <c r="DF98" s="59"/>
      <c r="DG98" s="59"/>
      <c r="DH98" s="59"/>
      <c r="DI98" s="59"/>
      <c r="DJ98" s="59"/>
      <c r="DK98" s="59"/>
      <c r="DL98" s="59"/>
      <c r="DM98" s="59"/>
      <c r="DN98" s="59"/>
      <c r="DO98" s="59"/>
    </row>
    <row r="99" spans="2:119" ht="16.5" thickBot="1" x14ac:dyDescent="0.3">
      <c r="B99" s="201"/>
      <c r="C99" s="197"/>
      <c r="D99" s="82">
        <v>6</v>
      </c>
      <c r="E99" s="96" t="str">
        <f t="shared" ref="E99:AI99" si="170">IF(INDEX($CK$4:$DO$123,ROW()-3,E$3)=0,"","СП")</f>
        <v/>
      </c>
      <c r="F99" s="92" t="str">
        <f t="shared" si="170"/>
        <v/>
      </c>
      <c r="G99" s="92" t="str">
        <f t="shared" si="170"/>
        <v/>
      </c>
      <c r="H99" s="92" t="str">
        <f t="shared" si="170"/>
        <v/>
      </c>
      <c r="I99" s="92" t="str">
        <f t="shared" si="170"/>
        <v/>
      </c>
      <c r="J99" s="92" t="str">
        <f t="shared" si="170"/>
        <v/>
      </c>
      <c r="K99" s="92" t="str">
        <f t="shared" si="170"/>
        <v/>
      </c>
      <c r="L99" s="92" t="str">
        <f t="shared" si="170"/>
        <v/>
      </c>
      <c r="M99" s="92" t="str">
        <f t="shared" si="170"/>
        <v/>
      </c>
      <c r="N99" s="92" t="str">
        <f t="shared" si="170"/>
        <v/>
      </c>
      <c r="O99" s="92" t="str">
        <f t="shared" si="170"/>
        <v/>
      </c>
      <c r="P99" s="92" t="str">
        <f t="shared" si="170"/>
        <v>СП</v>
      </c>
      <c r="Q99" s="92" t="str">
        <f t="shared" si="170"/>
        <v/>
      </c>
      <c r="R99" s="92" t="str">
        <f t="shared" si="170"/>
        <v/>
      </c>
      <c r="S99" s="92" t="str">
        <f t="shared" si="170"/>
        <v/>
      </c>
      <c r="T99" s="92" t="str">
        <f t="shared" si="170"/>
        <v/>
      </c>
      <c r="U99" s="92" t="str">
        <f t="shared" si="170"/>
        <v/>
      </c>
      <c r="V99" s="92" t="str">
        <f t="shared" si="170"/>
        <v/>
      </c>
      <c r="W99" s="92" t="str">
        <f t="shared" si="170"/>
        <v/>
      </c>
      <c r="X99" s="92" t="str">
        <f t="shared" si="170"/>
        <v/>
      </c>
      <c r="Y99" s="92" t="str">
        <f t="shared" si="170"/>
        <v/>
      </c>
      <c r="Z99" s="92" t="str">
        <f t="shared" si="170"/>
        <v/>
      </c>
      <c r="AA99" s="92" t="str">
        <f t="shared" si="170"/>
        <v/>
      </c>
      <c r="AB99" s="92" t="str">
        <f t="shared" si="170"/>
        <v/>
      </c>
      <c r="AC99" s="92" t="str">
        <f t="shared" si="170"/>
        <v/>
      </c>
      <c r="AD99" s="92" t="str">
        <f t="shared" si="170"/>
        <v/>
      </c>
      <c r="AE99" s="92" t="str">
        <f t="shared" si="170"/>
        <v/>
      </c>
      <c r="AF99" s="92" t="str">
        <f t="shared" si="170"/>
        <v/>
      </c>
      <c r="AG99" s="92" t="str">
        <f t="shared" si="170"/>
        <v/>
      </c>
      <c r="AH99" s="92" t="str">
        <f t="shared" si="170"/>
        <v/>
      </c>
      <c r="AI99" s="97" t="str">
        <f t="shared" si="170"/>
        <v/>
      </c>
      <c r="AJ99" s="206"/>
      <c r="AK99" s="177"/>
      <c r="AL99" s="177"/>
      <c r="AM99" s="177"/>
      <c r="AN99" s="198"/>
      <c r="AO99" s="198"/>
      <c r="AP99" s="198"/>
      <c r="AQ99" s="177"/>
      <c r="AR99" s="179"/>
      <c r="CK99" s="58">
        <f>IF(DAY(INDEX('Сводный годовой график'!$BA$4:$BL$14,$C98,MONTH($B$94)))=E$3,1,0)</f>
        <v>0</v>
      </c>
      <c r="CL99" s="58">
        <f>IF(DAY(INDEX('Сводный годовой график'!$BA$4:$BL$14,$C98,MONTH($B$94)))=F$3,1,0)</f>
        <v>0</v>
      </c>
      <c r="CM99" s="58">
        <f>IF(DAY(INDEX('Сводный годовой график'!$BA$4:$BL$14,$C98,MONTH($B$94)))=G$3,1,0)</f>
        <v>0</v>
      </c>
      <c r="CN99" s="58">
        <f>IF(DAY(INDEX('Сводный годовой график'!$BA$4:$BL$14,$C98,MONTH($B$94)))=H$3,1,0)</f>
        <v>0</v>
      </c>
      <c r="CO99" s="58">
        <f>IF(DAY(INDEX('Сводный годовой график'!$BA$4:$BL$14,$C98,MONTH($B$94)))=I$3,1,0)</f>
        <v>0</v>
      </c>
      <c r="CP99" s="58">
        <f>IF(DAY(INDEX('Сводный годовой график'!$BA$4:$BL$14,$C98,MONTH($B$94)))=J$3,1,0)</f>
        <v>0</v>
      </c>
      <c r="CQ99" s="58">
        <f>IF(DAY(INDEX('Сводный годовой график'!$BA$4:$BL$14,$C98,MONTH($B$94)))=K$3,1,0)</f>
        <v>0</v>
      </c>
      <c r="CR99" s="58">
        <f>IF(DAY(INDEX('Сводный годовой график'!$BA$4:$BL$14,$C98,MONTH($B$94)))=L$3,1,0)</f>
        <v>0</v>
      </c>
      <c r="CS99" s="58">
        <f>IF(DAY(INDEX('Сводный годовой график'!$BA$4:$BL$14,$C98,MONTH($B$94)))=M$3,1,0)</f>
        <v>0</v>
      </c>
      <c r="CT99" s="58">
        <f>IF(DAY(INDEX('Сводный годовой график'!$BA$4:$BL$14,$C98,MONTH($B$94)))=N$3,1,0)</f>
        <v>0</v>
      </c>
      <c r="CU99" s="58">
        <f>IF(DAY(INDEX('Сводный годовой график'!$BA$4:$BL$14,$C98,MONTH($B$94)))=O$3,1,0)</f>
        <v>0</v>
      </c>
      <c r="CV99" s="58">
        <f>IF(DAY(INDEX('Сводный годовой график'!$BA$4:$BL$14,$C98,MONTH($B$94)))=P$3,1,0)</f>
        <v>1</v>
      </c>
      <c r="CW99" s="58">
        <f>IF(DAY(INDEX('Сводный годовой график'!$BA$4:$BL$14,$C98,MONTH($B$94)))=Q$3,1,0)</f>
        <v>0</v>
      </c>
      <c r="CX99" s="58">
        <f>IF(DAY(INDEX('Сводный годовой график'!$BA$4:$BL$14,$C98,MONTH($B$94)))=R$3,1,0)</f>
        <v>0</v>
      </c>
      <c r="CY99" s="58">
        <f>IF(DAY(INDEX('Сводный годовой график'!$BA$4:$BL$14,$C98,MONTH($B$94)))=S$3,1,0)</f>
        <v>0</v>
      </c>
      <c r="CZ99" s="58">
        <f>IF(DAY(INDEX('Сводный годовой график'!$BA$4:$BL$14,$C98,MONTH($B$94)))=T$3,1,0)</f>
        <v>0</v>
      </c>
      <c r="DA99" s="58">
        <f>IF(DAY(INDEX('Сводный годовой график'!$BA$4:$BL$14,$C98,MONTH($B$94)))=U$3,1,0)</f>
        <v>0</v>
      </c>
      <c r="DB99" s="58">
        <f>IF(DAY(INDEX('Сводный годовой график'!$BA$4:$BL$14,$C98,MONTH($B$94)))=V$3,1,0)</f>
        <v>0</v>
      </c>
      <c r="DC99" s="58">
        <f>IF(DAY(INDEX('Сводный годовой график'!$BA$4:$BL$14,$C98,MONTH($B$94)))=W$3,1,0)</f>
        <v>0</v>
      </c>
      <c r="DD99" s="58">
        <f>IF(DAY(INDEX('Сводный годовой график'!$BA$4:$BL$14,$C98,MONTH($B$94)))=X$3,1,0)</f>
        <v>0</v>
      </c>
      <c r="DE99" s="58">
        <f>IF(DAY(INDEX('Сводный годовой график'!$BA$4:$BL$14,$C98,MONTH($B$94)))=Y$3,1,0)</f>
        <v>0</v>
      </c>
      <c r="DF99" s="58">
        <f>IF(DAY(INDEX('Сводный годовой график'!$BA$4:$BL$14,$C98,MONTH($B$94)))=Z$3,1,0)</f>
        <v>0</v>
      </c>
      <c r="DG99" s="58">
        <f>IF(DAY(INDEX('Сводный годовой график'!$BA$4:$BL$14,$C98,MONTH($B$94)))=AA$3,1,0)</f>
        <v>0</v>
      </c>
      <c r="DH99" s="58">
        <f>IF(DAY(INDEX('Сводный годовой график'!$BA$4:$BL$14,$C98,MONTH($B$94)))=AB$3,1,0)</f>
        <v>0</v>
      </c>
      <c r="DI99" s="58">
        <f>IF(DAY(INDEX('Сводный годовой график'!$BA$4:$BL$14,$C98,MONTH($B$94)))=AC$3,1,0)</f>
        <v>0</v>
      </c>
      <c r="DJ99" s="58">
        <f>IF(DAY(INDEX('Сводный годовой график'!$BA$4:$BL$14,$C98,MONTH($B$94)))=AD$3,1,0)</f>
        <v>0</v>
      </c>
      <c r="DK99" s="58">
        <f>IF(DAY(INDEX('Сводный годовой график'!$BA$4:$BL$14,$C98,MONTH($B$94)))=AE$3,1,0)</f>
        <v>0</v>
      </c>
      <c r="DL99" s="58">
        <f>IF(DAY(INDEX('Сводный годовой график'!$BA$4:$BL$14,$C98,MONTH($B$94)))=AF$3,1,0)</f>
        <v>0</v>
      </c>
      <c r="DM99" s="58">
        <f>IF(DAY(INDEX('Сводный годовой график'!$BA$4:$BL$14,$C98,MONTH($B$94)))=AG$3,1,0)</f>
        <v>0</v>
      </c>
      <c r="DN99" s="58">
        <f>IF(DAY(INDEX('Сводный годовой график'!$BA$4:$BL$14,$C98,MONTH($B$94)))=AH$3,1,0)</f>
        <v>0</v>
      </c>
      <c r="DO99" s="58">
        <f>IF(DAY(INDEX('Сводный годовой график'!$BA$4:$BL$14,$C98,MONTH($B$94)))=AI$3,1,0)</f>
        <v>0</v>
      </c>
    </row>
    <row r="100" spans="2:119" ht="16.5" thickBot="1" x14ac:dyDescent="0.3">
      <c r="B100" s="201"/>
      <c r="C100" s="196">
        <v>4</v>
      </c>
      <c r="D100" s="81">
        <v>7</v>
      </c>
      <c r="E100" s="96" t="e">
        <f ca="1">IF(AND(INDEX('Сводный годовой график'!$C$1:$AR$4,MATCH($C$100,'Сводный годовой график'!$B$1:$B$4),MATCH(DATE($AV$1,MONTH($B$94),E$3),'Сводный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график'!$B$1:$B$4),MATCH(DATE($AV$1,MONTH($B$94),E$3),'Сводный годовой график'!$C$14:$AR$14)))</f>
        <v>#N/A</v>
      </c>
      <c r="F100" s="92" t="e">
        <f ca="1">IF(AND(INDEX('Сводный годовой график'!$C$1:$AR$4,MATCH($C$100,'Сводный годовой график'!$B$1:$B$4),MATCH(DATE($AV$1,MONTH($B$94),F$3),'Сводный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график'!$B$1:$B$4),MATCH(DATE($AV$1,MONTH($B$94),F$3),'Сводный годовой график'!$C$14:$AR$14)))</f>
        <v>#N/A</v>
      </c>
      <c r="G100" s="92" t="e">
        <f ca="1">IF(AND(INDEX('Сводный годовой график'!$C$1:$AR$4,MATCH($C$100,'Сводный годовой график'!$B$1:$B$4),MATCH(DATE($AV$1,MONTH($B$94),G$3),'Сводный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график'!$B$1:$B$4),MATCH(DATE($AV$1,MONTH($B$94),G$3),'Сводный годовой график'!$C$14:$AR$14)))</f>
        <v>#N/A</v>
      </c>
      <c r="H100" s="92" t="e">
        <f ca="1">IF(AND(INDEX('Сводный годовой график'!$C$1:$AR$4,MATCH($C$100,'Сводный годовой график'!$B$1:$B$4),MATCH(DATE($AV$1,MONTH($B$94),H$3),'Сводный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график'!$B$1:$B$4),MATCH(DATE($AV$1,MONTH($B$94),H$3),'Сводный годовой график'!$C$14:$AR$14)))</f>
        <v>#N/A</v>
      </c>
      <c r="I100" s="92" t="e">
        <f ca="1">IF(AND(INDEX('Сводный годовой график'!$C$1:$AR$4,MATCH($C$100,'Сводный годовой график'!$B$1:$B$4),MATCH(DATE($AV$1,MONTH($B$94),I$3),'Сводный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график'!$B$1:$B$4),MATCH(DATE($AV$1,MONTH($B$94),I$3),'Сводный годовой график'!$C$14:$AR$14)))</f>
        <v>#N/A</v>
      </c>
      <c r="J100" s="92" t="e">
        <f ca="1">IF(AND(INDEX('Сводный годовой график'!$C$1:$AR$4,MATCH($C$100,'Сводный годовой график'!$B$1:$B$4),MATCH(DATE($AV$1,MONTH($B$94),J$3),'Сводный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график'!$B$1:$B$4),MATCH(DATE($AV$1,MONTH($B$94),J$3),'Сводный годовой график'!$C$14:$AR$14)))</f>
        <v>#N/A</v>
      </c>
      <c r="K100" s="92" t="e">
        <f ca="1">IF(AND(INDEX('Сводный годовой график'!$C$1:$AR$4,MATCH($C$100,'Сводный годовой график'!$B$1:$B$4),MATCH(DATE($AV$1,MONTH($B$94),K$3),'Сводный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график'!$B$1:$B$4),MATCH(DATE($AV$1,MONTH($B$94),K$3),'Сводный годовой график'!$C$14:$AR$14)))</f>
        <v>#N/A</v>
      </c>
      <c r="L100" s="92" t="e">
        <f ca="1">IF(AND(INDEX('Сводный годовой график'!$C$1:$AR$4,MATCH($C$100,'Сводный годовой график'!$B$1:$B$4),MATCH(DATE($AV$1,MONTH($B$94),L$3),'Сводный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график'!$B$1:$B$4),MATCH(DATE($AV$1,MONTH($B$94),L$3),'Сводный годовой график'!$C$14:$AR$14)))</f>
        <v>#N/A</v>
      </c>
      <c r="M100" s="92" t="e">
        <f ca="1">IF(AND(INDEX('Сводный годовой график'!$C$1:$AR$4,MATCH($C$100,'Сводный годовой график'!$B$1:$B$4),MATCH(DATE($AV$1,MONTH($B$94),M$3),'Сводный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график'!$B$1:$B$4),MATCH(DATE($AV$1,MONTH($B$94),M$3),'Сводный годовой график'!$C$14:$AR$14)))</f>
        <v>#N/A</v>
      </c>
      <c r="N100" s="92" t="e">
        <f ca="1">IF(AND(INDEX('Сводный годовой график'!$C$1:$AR$4,MATCH($C$100,'Сводный годовой график'!$B$1:$B$4),MATCH(DATE($AV$1,MONTH($B$94),N$3),'Сводный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график'!$B$1:$B$4),MATCH(DATE($AV$1,MONTH($B$94),N$3),'Сводный годовой график'!$C$14:$AR$14)))</f>
        <v>#N/A</v>
      </c>
      <c r="O100" s="92" t="e">
        <f ca="1">IF(AND(INDEX('Сводный годовой график'!$C$1:$AR$4,MATCH($C$100,'Сводный годовой график'!$B$1:$B$4),MATCH(DATE($AV$1,MONTH($B$94),O$3),'Сводный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график'!$B$1:$B$4),MATCH(DATE($AV$1,MONTH($B$94),O$3),'Сводный годовой график'!$C$14:$AR$14)))</f>
        <v>#N/A</v>
      </c>
      <c r="P100" s="92" t="e">
        <f ca="1">IF(AND(INDEX('Сводный годовой график'!$C$1:$AR$4,MATCH($C$100,'Сводный годовой график'!$B$1:$B$4),MATCH(DATE($AV$1,MONTH($B$94),P$3),'Сводный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график'!$B$1:$B$4),MATCH(DATE($AV$1,MONTH($B$94),P$3),'Сводный годовой график'!$C$14:$AR$14)))</f>
        <v>#N/A</v>
      </c>
      <c r="Q100" s="92" t="e">
        <f ca="1">IF(AND(INDEX('Сводный годовой график'!$C$1:$AR$4,MATCH($C$100,'Сводный годовой график'!$B$1:$B$4),MATCH(DATE($AV$1,MONTH($B$94),Q$3),'Сводный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график'!$B$1:$B$4),MATCH(DATE($AV$1,MONTH($B$94),Q$3),'Сводный годовой график'!$C$14:$AR$14)))</f>
        <v>#N/A</v>
      </c>
      <c r="R100" s="92" t="e">
        <f ca="1">IF(AND(INDEX('Сводный годовой график'!$C$1:$AR$4,MATCH($C$100,'Сводный годовой график'!$B$1:$B$4),MATCH(DATE($AV$1,MONTH($B$94),R$3),'Сводный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график'!$B$1:$B$4),MATCH(DATE($AV$1,MONTH($B$94),R$3),'Сводный годовой график'!$C$14:$AR$14)))</f>
        <v>#N/A</v>
      </c>
      <c r="S100" s="92" t="e">
        <f ca="1">IF(AND(INDEX('Сводный годовой график'!$C$1:$AR$4,MATCH($C$100,'Сводный годовой график'!$B$1:$B$4),MATCH(DATE($AV$1,MONTH($B$94),S$3),'Сводный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график'!$B$1:$B$4),MATCH(DATE($AV$1,MONTH($B$94),S$3),'Сводный годовой график'!$C$14:$AR$14)))</f>
        <v>#N/A</v>
      </c>
      <c r="T100" s="92" t="e">
        <f ca="1">IF(AND(INDEX('Сводный годовой график'!$C$1:$AR$4,MATCH($C$100,'Сводный годовой график'!$B$1:$B$4),MATCH(DATE($AV$1,MONTH($B$94),T$3),'Сводный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график'!$B$1:$B$4),MATCH(DATE($AV$1,MONTH($B$94),T$3),'Сводный годовой график'!$C$14:$AR$14)))</f>
        <v>#N/A</v>
      </c>
      <c r="U100" s="92" t="e">
        <f ca="1">IF(AND(INDEX('Сводный годовой график'!$C$1:$AR$4,MATCH($C$100,'Сводный годовой график'!$B$1:$B$4),MATCH(DATE($AV$1,MONTH($B$94),U$3),'Сводный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график'!$B$1:$B$4),MATCH(DATE($AV$1,MONTH($B$94),U$3),'Сводный годовой график'!$C$14:$AR$14)))</f>
        <v>#N/A</v>
      </c>
      <c r="V100" s="92" t="e">
        <f ca="1">IF(AND(INDEX('Сводный годовой график'!$C$1:$AR$4,MATCH($C$100,'Сводный годовой график'!$B$1:$B$4),MATCH(DATE($AV$1,MONTH($B$94),V$3),'Сводный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график'!$B$1:$B$4),MATCH(DATE($AV$1,MONTH($B$94),V$3),'Сводный годовой график'!$C$14:$AR$14)))</f>
        <v>#N/A</v>
      </c>
      <c r="W100" s="92" t="e">
        <f ca="1">IF(AND(INDEX('Сводный годовой график'!$C$1:$AR$4,MATCH($C$100,'Сводный годовой график'!$B$1:$B$4),MATCH(DATE($AV$1,MONTH($B$94),W$3),'Сводный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график'!$B$1:$B$4),MATCH(DATE($AV$1,MONTH($B$94),W$3),'Сводный годовой график'!$C$14:$AR$14)))</f>
        <v>#N/A</v>
      </c>
      <c r="X100" s="92" t="e">
        <f ca="1">IF(AND(INDEX('Сводный годовой график'!$C$1:$AR$4,MATCH($C$100,'Сводный годовой график'!$B$1:$B$4),MATCH(DATE($AV$1,MONTH($B$94),X$3),'Сводный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график'!$B$1:$B$4),MATCH(DATE($AV$1,MONTH($B$94),X$3),'Сводный годовой график'!$C$14:$AR$14)))</f>
        <v>#N/A</v>
      </c>
      <c r="Y100" s="92" t="e">
        <f ca="1">IF(AND(INDEX('Сводный годовой график'!$C$1:$AR$4,MATCH($C$100,'Сводный годовой график'!$B$1:$B$4),MATCH(DATE($AV$1,MONTH($B$94),Y$3),'Сводный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график'!$B$1:$B$4),MATCH(DATE($AV$1,MONTH($B$94),Y$3),'Сводный годовой график'!$C$14:$AR$14)))</f>
        <v>#N/A</v>
      </c>
      <c r="Z100" s="92" t="e">
        <f ca="1">IF(AND(INDEX('Сводный годовой график'!$C$1:$AR$4,MATCH($C$100,'Сводный годовой график'!$B$1:$B$4),MATCH(DATE($AV$1,MONTH($B$94),Z$3),'Сводный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график'!$B$1:$B$4),MATCH(DATE($AV$1,MONTH($B$94),Z$3),'Сводный годовой график'!$C$14:$AR$14)))</f>
        <v>#N/A</v>
      </c>
      <c r="AA100" s="92" t="e">
        <f ca="1">IF(AND(INDEX('Сводный годовой график'!$C$1:$AR$4,MATCH($C$100,'Сводный годовой график'!$B$1:$B$4),MATCH(DATE($AV$1,MONTH($B$94),AA$3),'Сводный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график'!$B$1:$B$4),MATCH(DATE($AV$1,MONTH($B$94),AA$3),'Сводный годовой график'!$C$14:$AR$14)))</f>
        <v>#N/A</v>
      </c>
      <c r="AB100" s="92" t="e">
        <f ca="1">IF(AND(INDEX('Сводный годовой график'!$C$1:$AR$4,MATCH($C$100,'Сводный годовой график'!$B$1:$B$4),MATCH(DATE($AV$1,MONTH($B$94),AB$3),'Сводный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график'!$B$1:$B$4),MATCH(DATE($AV$1,MONTH($B$94),AB$3),'Сводный годовой график'!$C$14:$AR$14)))</f>
        <v>#N/A</v>
      </c>
      <c r="AC100" s="92" t="e">
        <f ca="1">IF(AND(INDEX('Сводный годовой график'!$C$1:$AR$4,MATCH($C$100,'Сводный годовой график'!$B$1:$B$4),MATCH(DATE($AV$1,MONTH($B$94),AC$3),'Сводный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график'!$B$1:$B$4),MATCH(DATE($AV$1,MONTH($B$94),AC$3),'Сводный годовой график'!$C$14:$AR$14)))</f>
        <v>#N/A</v>
      </c>
      <c r="AD100" s="92" t="e">
        <f ca="1">IF(AND(INDEX('Сводный годовой график'!$C$1:$AR$4,MATCH($C$100,'Сводный годовой график'!$B$1:$B$4),MATCH(DATE($AV$1,MONTH($B$94),AD$3),'Сводный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график'!$B$1:$B$4),MATCH(DATE($AV$1,MONTH($B$94),AD$3),'Сводный годовой график'!$C$14:$AR$14)))</f>
        <v>#N/A</v>
      </c>
      <c r="AE100" s="92" t="e">
        <f ca="1">IF(AND(INDEX('Сводный годовой график'!$C$1:$AR$4,MATCH($C$100,'Сводный годовой график'!$B$1:$B$4),MATCH(DATE($AV$1,MONTH($B$94),AE$3),'Сводный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график'!$B$1:$B$4),MATCH(DATE($AV$1,MONTH($B$94),AE$3),'Сводный годовой график'!$C$14:$AR$14)))</f>
        <v>#N/A</v>
      </c>
      <c r="AF100" s="92" t="e">
        <f ca="1">IF(AND(INDEX('Сводный годовой график'!$C$1:$AR$4,MATCH($C$100,'Сводный годовой график'!$B$1:$B$4),MATCH(DATE($AV$1,MONTH($B$94),AF$3),'Сводный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график'!$B$1:$B$4),MATCH(DATE($AV$1,MONTH($B$94),AF$3),'Сводный годовой график'!$C$14:$AR$14)))</f>
        <v>#N/A</v>
      </c>
      <c r="AG100" s="92" t="e">
        <f ca="1">IF(AND(INDEX('Сводный годовой график'!$C$1:$AR$4,MATCH($C$100,'Сводный годовой график'!$B$1:$B$4),MATCH(DATE($AV$1,MONTH($B$94),AG$3),'Сводный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график'!$B$1:$B$4),MATCH(DATE($AV$1,MONTH($B$94),AG$3),'Сводный годовой график'!$C$14:$AR$14)))</f>
        <v>#N/A</v>
      </c>
      <c r="AH100" s="92" t="e">
        <f ca="1">IF(AND(INDEX('Сводный годовой график'!$C$1:$AR$4,MATCH($C$100,'Сводный годовой график'!$B$1:$B$4),MATCH(DATE($AV$1,MONTH($B$94),AH$3),'Сводный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график'!$B$1:$B$4),MATCH(DATE($AV$1,MONTH($B$94),AH$3),'Сводный годовой график'!$C$14:$AR$14)))</f>
        <v>#N/A</v>
      </c>
      <c r="AI100" s="97" t="e">
        <f ca="1">IF(AND(INDEX('Сводный годовой график'!$C$1:$AR$4,MATCH($C$100,'Сводный годовой график'!$B$1:$B$4),MATCH(DATE($AV$1,MONTH($B$94),AI$3),'Сводный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график'!$B$1:$B$4),MATCH(DATE($AV$1,MONTH($B$94),AI$3),'Сводный годовой график'!$C$14:$AR$14)))</f>
        <v>#N/A</v>
      </c>
      <c r="AJ100" s="206"/>
      <c r="AK100" s="177">
        <f>$AJ$94-SUM(AY100:CC101)</f>
        <v>184</v>
      </c>
      <c r="AL100" s="177" t="e">
        <f t="shared" ref="AL100" ca="1" si="171">SUM(E100:AI101)</f>
        <v>#N/A</v>
      </c>
      <c r="AM100" s="177">
        <v>0</v>
      </c>
      <c r="AN100" s="198" t="e">
        <f t="shared" ref="AN100" ca="1" si="172">-AM100-AK100+AL100</f>
        <v>#N/A</v>
      </c>
      <c r="AO100" s="198">
        <v>0</v>
      </c>
      <c r="AP100" s="198" t="e">
        <f t="shared" ref="AP100" ca="1" si="173">AN100+AP90</f>
        <v>#N/A</v>
      </c>
      <c r="AQ100" s="177">
        <v>0</v>
      </c>
      <c r="AR100" s="179">
        <v>1</v>
      </c>
      <c r="CK100" s="59"/>
      <c r="CL100" s="59"/>
      <c r="CM100" s="59"/>
      <c r="CN100" s="59"/>
      <c r="CO100" s="59"/>
      <c r="CP100" s="59"/>
      <c r="CQ100" s="59"/>
      <c r="CR100" s="59"/>
      <c r="CS100" s="59"/>
      <c r="CT100" s="59"/>
      <c r="CU100" s="59"/>
      <c r="CV100" s="59"/>
      <c r="CW100" s="59"/>
      <c r="CX100" s="59"/>
      <c r="CY100" s="59"/>
      <c r="CZ100" s="59"/>
      <c r="DA100" s="59"/>
      <c r="DB100" s="59"/>
      <c r="DC100" s="59"/>
      <c r="DD100" s="59"/>
      <c r="DE100" s="59"/>
      <c r="DF100" s="59"/>
      <c r="DG100" s="59"/>
      <c r="DH100" s="59"/>
      <c r="DI100" s="59"/>
      <c r="DJ100" s="59"/>
      <c r="DK100" s="59"/>
      <c r="DL100" s="59"/>
      <c r="DM100" s="59"/>
      <c r="DN100" s="59"/>
      <c r="DO100" s="59"/>
    </row>
    <row r="101" spans="2:119" ht="16.5" thickBot="1" x14ac:dyDescent="0.3">
      <c r="B101" s="201"/>
      <c r="C101" s="197"/>
      <c r="D101" s="82">
        <v>8</v>
      </c>
      <c r="E101" s="96" t="str">
        <f t="shared" ref="E101:AI101" si="174">IF(INDEX($CK$4:$DO$123,ROW()-3,E$3)=0,"","СП")</f>
        <v/>
      </c>
      <c r="F101" s="92" t="str">
        <f t="shared" si="174"/>
        <v/>
      </c>
      <c r="G101" s="92" t="str">
        <f t="shared" si="174"/>
        <v/>
      </c>
      <c r="H101" s="92" t="str">
        <f t="shared" si="174"/>
        <v/>
      </c>
      <c r="I101" s="92" t="str">
        <f t="shared" si="174"/>
        <v/>
      </c>
      <c r="J101" s="92" t="str">
        <f t="shared" si="174"/>
        <v/>
      </c>
      <c r="K101" s="92" t="str">
        <f t="shared" si="174"/>
        <v/>
      </c>
      <c r="L101" s="92" t="str">
        <f t="shared" si="174"/>
        <v/>
      </c>
      <c r="M101" s="92" t="str">
        <f t="shared" si="174"/>
        <v/>
      </c>
      <c r="N101" s="92" t="str">
        <f t="shared" si="174"/>
        <v/>
      </c>
      <c r="O101" s="92" t="str">
        <f t="shared" si="174"/>
        <v/>
      </c>
      <c r="P101" s="92" t="str">
        <f t="shared" si="174"/>
        <v/>
      </c>
      <c r="Q101" s="92" t="str">
        <f t="shared" si="174"/>
        <v>СП</v>
      </c>
      <c r="R101" s="92" t="str">
        <f t="shared" si="174"/>
        <v/>
      </c>
      <c r="S101" s="92" t="str">
        <f t="shared" si="174"/>
        <v/>
      </c>
      <c r="T101" s="92" t="str">
        <f t="shared" si="174"/>
        <v/>
      </c>
      <c r="U101" s="92" t="str">
        <f t="shared" si="174"/>
        <v/>
      </c>
      <c r="V101" s="92" t="str">
        <f t="shared" si="174"/>
        <v/>
      </c>
      <c r="W101" s="92" t="str">
        <f t="shared" si="174"/>
        <v/>
      </c>
      <c r="X101" s="92" t="str">
        <f t="shared" si="174"/>
        <v/>
      </c>
      <c r="Y101" s="92" t="str">
        <f t="shared" si="174"/>
        <v/>
      </c>
      <c r="Z101" s="92" t="str">
        <f t="shared" si="174"/>
        <v/>
      </c>
      <c r="AA101" s="92" t="str">
        <f t="shared" si="174"/>
        <v/>
      </c>
      <c r="AB101" s="92" t="str">
        <f t="shared" si="174"/>
        <v/>
      </c>
      <c r="AC101" s="92" t="str">
        <f t="shared" si="174"/>
        <v/>
      </c>
      <c r="AD101" s="92" t="str">
        <f t="shared" si="174"/>
        <v/>
      </c>
      <c r="AE101" s="92" t="str">
        <f t="shared" si="174"/>
        <v/>
      </c>
      <c r="AF101" s="92" t="str">
        <f t="shared" si="174"/>
        <v/>
      </c>
      <c r="AG101" s="92" t="str">
        <f t="shared" si="174"/>
        <v/>
      </c>
      <c r="AH101" s="92" t="str">
        <f t="shared" si="174"/>
        <v/>
      </c>
      <c r="AI101" s="97" t="str">
        <f t="shared" si="174"/>
        <v/>
      </c>
      <c r="AJ101" s="206"/>
      <c r="AK101" s="177"/>
      <c r="AL101" s="177"/>
      <c r="AM101" s="177"/>
      <c r="AN101" s="198"/>
      <c r="AO101" s="198"/>
      <c r="AP101" s="198"/>
      <c r="AQ101" s="177"/>
      <c r="AR101" s="179"/>
      <c r="CK101" s="58">
        <f>IF(DAY(INDEX('Сводный годовой график'!$BA$4:$BL$14,$C100,MONTH($B$94)))=E$3,1,0)</f>
        <v>0</v>
      </c>
      <c r="CL101" s="58">
        <f>IF(DAY(INDEX('Сводный годовой график'!$BA$4:$BL$14,$C100,MONTH($B$94)))=F$3,1,0)</f>
        <v>0</v>
      </c>
      <c r="CM101" s="58">
        <f>IF(DAY(INDEX('Сводный годовой график'!$BA$4:$BL$14,$C100,MONTH($B$94)))=G$3,1,0)</f>
        <v>0</v>
      </c>
      <c r="CN101" s="58">
        <f>IF(DAY(INDEX('Сводный годовой график'!$BA$4:$BL$14,$C100,MONTH($B$94)))=H$3,1,0)</f>
        <v>0</v>
      </c>
      <c r="CO101" s="58">
        <f>IF(DAY(INDEX('Сводный годовой график'!$BA$4:$BL$14,$C100,MONTH($B$94)))=I$3,1,0)</f>
        <v>0</v>
      </c>
      <c r="CP101" s="58">
        <f>IF(DAY(INDEX('Сводный годовой график'!$BA$4:$BL$14,$C100,MONTH($B$94)))=J$3,1,0)</f>
        <v>0</v>
      </c>
      <c r="CQ101" s="58">
        <f>IF(DAY(INDEX('Сводный годовой график'!$BA$4:$BL$14,$C100,MONTH($B$94)))=K$3,1,0)</f>
        <v>0</v>
      </c>
      <c r="CR101" s="58">
        <f>IF(DAY(INDEX('Сводный годовой график'!$BA$4:$BL$14,$C100,MONTH($B$94)))=L$3,1,0)</f>
        <v>0</v>
      </c>
      <c r="CS101" s="58">
        <f>IF(DAY(INDEX('Сводный годовой график'!$BA$4:$BL$14,$C100,MONTH($B$94)))=M$3,1,0)</f>
        <v>0</v>
      </c>
      <c r="CT101" s="58">
        <f>IF(DAY(INDEX('Сводный годовой график'!$BA$4:$BL$14,$C100,MONTH($B$94)))=N$3,1,0)</f>
        <v>0</v>
      </c>
      <c r="CU101" s="58">
        <f>IF(DAY(INDEX('Сводный годовой график'!$BA$4:$BL$14,$C100,MONTH($B$94)))=O$3,1,0)</f>
        <v>0</v>
      </c>
      <c r="CV101" s="58">
        <f>IF(DAY(INDEX('Сводный годовой график'!$BA$4:$BL$14,$C100,MONTH($B$94)))=P$3,1,0)</f>
        <v>0</v>
      </c>
      <c r="CW101" s="58">
        <f>IF(DAY(INDEX('Сводный годовой график'!$BA$4:$BL$14,$C100,MONTH($B$94)))=Q$3,1,0)</f>
        <v>1</v>
      </c>
      <c r="CX101" s="58">
        <f>IF(DAY(INDEX('Сводный годовой график'!$BA$4:$BL$14,$C100,MONTH($B$94)))=R$3,1,0)</f>
        <v>0</v>
      </c>
      <c r="CY101" s="58">
        <f>IF(DAY(INDEX('Сводный годовой график'!$BA$4:$BL$14,$C100,MONTH($B$94)))=S$3,1,0)</f>
        <v>0</v>
      </c>
      <c r="CZ101" s="58">
        <f>IF(DAY(INDEX('Сводный годовой график'!$BA$4:$BL$14,$C100,MONTH($B$94)))=T$3,1,0)</f>
        <v>0</v>
      </c>
      <c r="DA101" s="58">
        <f>IF(DAY(INDEX('Сводный годовой график'!$BA$4:$BL$14,$C100,MONTH($B$94)))=U$3,1,0)</f>
        <v>0</v>
      </c>
      <c r="DB101" s="58">
        <f>IF(DAY(INDEX('Сводный годовой график'!$BA$4:$BL$14,$C100,MONTH($B$94)))=V$3,1,0)</f>
        <v>0</v>
      </c>
      <c r="DC101" s="58">
        <f>IF(DAY(INDEX('Сводный годовой график'!$BA$4:$BL$14,$C100,MONTH($B$94)))=W$3,1,0)</f>
        <v>0</v>
      </c>
      <c r="DD101" s="58">
        <f>IF(DAY(INDEX('Сводный годовой график'!$BA$4:$BL$14,$C100,MONTH($B$94)))=X$3,1,0)</f>
        <v>0</v>
      </c>
      <c r="DE101" s="58">
        <f>IF(DAY(INDEX('Сводный годовой график'!$BA$4:$BL$14,$C100,MONTH($B$94)))=Y$3,1,0)</f>
        <v>0</v>
      </c>
      <c r="DF101" s="58">
        <f>IF(DAY(INDEX('Сводный годовой график'!$BA$4:$BL$14,$C100,MONTH($B$94)))=Z$3,1,0)</f>
        <v>0</v>
      </c>
      <c r="DG101" s="58">
        <f>IF(DAY(INDEX('Сводный годовой график'!$BA$4:$BL$14,$C100,MONTH($B$94)))=AA$3,1,0)</f>
        <v>0</v>
      </c>
      <c r="DH101" s="58">
        <f>IF(DAY(INDEX('Сводный годовой график'!$BA$4:$BL$14,$C100,MONTH($B$94)))=AB$3,1,0)</f>
        <v>0</v>
      </c>
      <c r="DI101" s="58">
        <f>IF(DAY(INDEX('Сводный годовой график'!$BA$4:$BL$14,$C100,MONTH($B$94)))=AC$3,1,0)</f>
        <v>0</v>
      </c>
      <c r="DJ101" s="58">
        <f>IF(DAY(INDEX('Сводный годовой график'!$BA$4:$BL$14,$C100,MONTH($B$94)))=AD$3,1,0)</f>
        <v>0</v>
      </c>
      <c r="DK101" s="58">
        <f>IF(DAY(INDEX('Сводный годовой график'!$BA$4:$BL$14,$C100,MONTH($B$94)))=AE$3,1,0)</f>
        <v>0</v>
      </c>
      <c r="DL101" s="58">
        <f>IF(DAY(INDEX('Сводный годовой график'!$BA$4:$BL$14,$C100,MONTH($B$94)))=AF$3,1,0)</f>
        <v>0</v>
      </c>
      <c r="DM101" s="58">
        <f>IF(DAY(INDEX('Сводный годовой график'!$BA$4:$BL$14,$C100,MONTH($B$94)))=AG$3,1,0)</f>
        <v>0</v>
      </c>
      <c r="DN101" s="58">
        <f>IF(DAY(INDEX('Сводный годовой график'!$BA$4:$BL$14,$C100,MONTH($B$94)))=AH$3,1,0)</f>
        <v>0</v>
      </c>
      <c r="DO101" s="58">
        <f>IF(DAY(INDEX('Сводный годовой график'!$BA$4:$BL$14,$C100,MONTH($B$94)))=AI$3,1,0)</f>
        <v>0</v>
      </c>
    </row>
    <row r="102" spans="2:119" ht="16.5" thickBot="1" x14ac:dyDescent="0.3">
      <c r="B102" s="201"/>
      <c r="C102" s="196">
        <v>5</v>
      </c>
      <c r="D102" s="81">
        <v>9</v>
      </c>
      <c r="E102" s="96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7"/>
      <c r="AJ102" s="206"/>
      <c r="AK102" s="177">
        <f>$AJ$94-SUM(AY102:CC103)</f>
        <v>184</v>
      </c>
      <c r="AL102" s="177">
        <f t="shared" ref="AL102" si="175">SUM(E102:AI103)</f>
        <v>0</v>
      </c>
      <c r="AM102" s="177">
        <v>0</v>
      </c>
      <c r="AN102" s="198">
        <f t="shared" ref="AN102" si="176">-AM102-AK102+AL102</f>
        <v>-184</v>
      </c>
      <c r="AO102" s="198">
        <v>0</v>
      </c>
      <c r="AP102" s="198">
        <f t="shared" ref="AP102" si="177">AN102+AP92</f>
        <v>-1717</v>
      </c>
      <c r="AQ102" s="177">
        <v>0</v>
      </c>
      <c r="AR102" s="179">
        <v>1</v>
      </c>
      <c r="CK102" s="59"/>
      <c r="CL102" s="59"/>
      <c r="CM102" s="59"/>
      <c r="CN102" s="59"/>
      <c r="CO102" s="59"/>
      <c r="CP102" s="59"/>
      <c r="CQ102" s="59"/>
      <c r="CR102" s="59"/>
      <c r="CS102" s="59"/>
      <c r="CT102" s="59"/>
      <c r="CU102" s="59"/>
      <c r="CV102" s="59"/>
      <c r="CW102" s="59"/>
      <c r="CX102" s="59"/>
      <c r="CY102" s="59"/>
      <c r="CZ102" s="59"/>
      <c r="DA102" s="59"/>
      <c r="DB102" s="59"/>
      <c r="DC102" s="59"/>
      <c r="DD102" s="59"/>
      <c r="DE102" s="59"/>
      <c r="DF102" s="59"/>
      <c r="DG102" s="59"/>
      <c r="DH102" s="59"/>
      <c r="DI102" s="59"/>
      <c r="DJ102" s="59"/>
      <c r="DK102" s="59"/>
      <c r="DL102" s="59"/>
      <c r="DM102" s="59"/>
      <c r="DN102" s="59"/>
      <c r="DO102" s="59"/>
    </row>
    <row r="103" spans="2:119" ht="16.5" thickBot="1" x14ac:dyDescent="0.3">
      <c r="B103" s="202"/>
      <c r="C103" s="197"/>
      <c r="D103" s="82">
        <v>10</v>
      </c>
      <c r="E103" s="84" t="str">
        <f t="shared" ref="E103:AI103" si="178">IF(INDEX($CK$4:$DO$123,ROW()-3,E$3)=0,"","СП")</f>
        <v/>
      </c>
      <c r="F103" s="29" t="str">
        <f t="shared" si="178"/>
        <v/>
      </c>
      <c r="G103" s="29" t="str">
        <f t="shared" si="178"/>
        <v/>
      </c>
      <c r="H103" s="29" t="str">
        <f t="shared" si="178"/>
        <v/>
      </c>
      <c r="I103" s="29" t="str">
        <f t="shared" si="178"/>
        <v/>
      </c>
      <c r="J103" s="29" t="str">
        <f t="shared" si="178"/>
        <v/>
      </c>
      <c r="K103" s="29" t="str">
        <f t="shared" si="178"/>
        <v/>
      </c>
      <c r="L103" s="29" t="str">
        <f t="shared" si="178"/>
        <v/>
      </c>
      <c r="M103" s="29" t="str">
        <f t="shared" si="178"/>
        <v/>
      </c>
      <c r="N103" s="29" t="str">
        <f t="shared" si="178"/>
        <v/>
      </c>
      <c r="O103" s="29" t="str">
        <f t="shared" si="178"/>
        <v/>
      </c>
      <c r="P103" s="29" t="str">
        <f t="shared" si="178"/>
        <v/>
      </c>
      <c r="Q103" s="29" t="str">
        <f t="shared" si="178"/>
        <v/>
      </c>
      <c r="R103" s="29" t="str">
        <f t="shared" si="178"/>
        <v>СП</v>
      </c>
      <c r="S103" s="29" t="str">
        <f t="shared" si="178"/>
        <v/>
      </c>
      <c r="T103" s="29" t="str">
        <f t="shared" si="178"/>
        <v/>
      </c>
      <c r="U103" s="29" t="str">
        <f t="shared" si="178"/>
        <v/>
      </c>
      <c r="V103" s="29" t="str">
        <f t="shared" si="178"/>
        <v/>
      </c>
      <c r="W103" s="29" t="str">
        <f t="shared" si="178"/>
        <v/>
      </c>
      <c r="X103" s="29" t="str">
        <f t="shared" si="178"/>
        <v/>
      </c>
      <c r="Y103" s="29" t="str">
        <f t="shared" si="178"/>
        <v/>
      </c>
      <c r="Z103" s="29" t="str">
        <f t="shared" si="178"/>
        <v/>
      </c>
      <c r="AA103" s="29" t="str">
        <f t="shared" si="178"/>
        <v/>
      </c>
      <c r="AB103" s="29" t="str">
        <f t="shared" si="178"/>
        <v/>
      </c>
      <c r="AC103" s="29" t="str">
        <f t="shared" si="178"/>
        <v/>
      </c>
      <c r="AD103" s="29" t="str">
        <f t="shared" si="178"/>
        <v/>
      </c>
      <c r="AE103" s="29" t="str">
        <f t="shared" si="178"/>
        <v/>
      </c>
      <c r="AF103" s="29" t="str">
        <f t="shared" si="178"/>
        <v/>
      </c>
      <c r="AG103" s="29" t="str">
        <f t="shared" si="178"/>
        <v/>
      </c>
      <c r="AH103" s="29" t="str">
        <f t="shared" si="178"/>
        <v/>
      </c>
      <c r="AI103" s="85" t="str">
        <f t="shared" si="178"/>
        <v/>
      </c>
      <c r="AJ103" s="207"/>
      <c r="AK103" s="177"/>
      <c r="AL103" s="178"/>
      <c r="AM103" s="178"/>
      <c r="AN103" s="199"/>
      <c r="AO103" s="199"/>
      <c r="AP103" s="199"/>
      <c r="AQ103" s="178"/>
      <c r="AR103" s="180"/>
      <c r="CK103" s="58">
        <f>IF(DAY(INDEX('Сводный годовой график'!$BA$4:$BL$14,$C102,MONTH($B$94)))=E$3,1,0)</f>
        <v>0</v>
      </c>
      <c r="CL103" s="58">
        <f>IF(DAY(INDEX('Сводный годовой график'!$BA$4:$BL$14,$C102,MONTH($B$94)))=F$3,1,0)</f>
        <v>0</v>
      </c>
      <c r="CM103" s="58">
        <f>IF(DAY(INDEX('Сводный годовой график'!$BA$4:$BL$14,$C102,MONTH($B$94)))=G$3,1,0)</f>
        <v>0</v>
      </c>
      <c r="CN103" s="58">
        <f>IF(DAY(INDEX('Сводный годовой график'!$BA$4:$BL$14,$C102,MONTH($B$94)))=H$3,1,0)</f>
        <v>0</v>
      </c>
      <c r="CO103" s="58">
        <f>IF(DAY(INDEX('Сводный годовой график'!$BA$4:$BL$14,$C102,MONTH($B$94)))=I$3,1,0)</f>
        <v>0</v>
      </c>
      <c r="CP103" s="58">
        <f>IF(DAY(INDEX('Сводный годовой график'!$BA$4:$BL$14,$C102,MONTH($B$94)))=J$3,1,0)</f>
        <v>0</v>
      </c>
      <c r="CQ103" s="58">
        <f>IF(DAY(INDEX('Сводный годовой график'!$BA$4:$BL$14,$C102,MONTH($B$94)))=K$3,1,0)</f>
        <v>0</v>
      </c>
      <c r="CR103" s="58">
        <f>IF(DAY(INDEX('Сводный годовой график'!$BA$4:$BL$14,$C102,MONTH($B$94)))=L$3,1,0)</f>
        <v>0</v>
      </c>
      <c r="CS103" s="58">
        <f>IF(DAY(INDEX('Сводный годовой график'!$BA$4:$BL$14,$C102,MONTH($B$94)))=M$3,1,0)</f>
        <v>0</v>
      </c>
      <c r="CT103" s="58">
        <f>IF(DAY(INDEX('Сводный годовой график'!$BA$4:$BL$14,$C102,MONTH($B$94)))=N$3,1,0)</f>
        <v>0</v>
      </c>
      <c r="CU103" s="58">
        <f>IF(DAY(INDEX('Сводный годовой график'!$BA$4:$BL$14,$C102,MONTH($B$94)))=O$3,1,0)</f>
        <v>0</v>
      </c>
      <c r="CV103" s="58">
        <f>IF(DAY(INDEX('Сводный годовой график'!$BA$4:$BL$14,$C102,MONTH($B$94)))=P$3,1,0)</f>
        <v>0</v>
      </c>
      <c r="CW103" s="58">
        <f>IF(DAY(INDEX('Сводный годовой график'!$BA$4:$BL$14,$C102,MONTH($B$94)))=Q$3,1,0)</f>
        <v>0</v>
      </c>
      <c r="CX103" s="58">
        <f>IF(DAY(INDEX('Сводный годовой график'!$BA$4:$BL$14,$C102,MONTH($B$94)))=R$3,1,0)</f>
        <v>1</v>
      </c>
      <c r="CY103" s="58">
        <f>IF(DAY(INDEX('Сводный годовой график'!$BA$4:$BL$14,$C102,MONTH($B$94)))=S$3,1,0)</f>
        <v>0</v>
      </c>
      <c r="CZ103" s="58">
        <f>IF(DAY(INDEX('Сводный годовой график'!$BA$4:$BL$14,$C102,MONTH($B$94)))=T$3,1,0)</f>
        <v>0</v>
      </c>
      <c r="DA103" s="58">
        <f>IF(DAY(INDEX('Сводный годовой график'!$BA$4:$BL$14,$C102,MONTH($B$94)))=U$3,1,0)</f>
        <v>0</v>
      </c>
      <c r="DB103" s="58">
        <f>IF(DAY(INDEX('Сводный годовой график'!$BA$4:$BL$14,$C102,MONTH($B$94)))=V$3,1,0)</f>
        <v>0</v>
      </c>
      <c r="DC103" s="58">
        <f>IF(DAY(INDEX('Сводный годовой график'!$BA$4:$BL$14,$C102,MONTH($B$94)))=W$3,1,0)</f>
        <v>0</v>
      </c>
      <c r="DD103" s="58">
        <f>IF(DAY(INDEX('Сводный годовой график'!$BA$4:$BL$14,$C102,MONTH($B$94)))=X$3,1,0)</f>
        <v>0</v>
      </c>
      <c r="DE103" s="58">
        <f>IF(DAY(INDEX('Сводный годовой график'!$BA$4:$BL$14,$C102,MONTH($B$94)))=Y$3,1,0)</f>
        <v>0</v>
      </c>
      <c r="DF103" s="58">
        <f>IF(DAY(INDEX('Сводный годовой график'!$BA$4:$BL$14,$C102,MONTH($B$94)))=Z$3,1,0)</f>
        <v>0</v>
      </c>
      <c r="DG103" s="58">
        <f>IF(DAY(INDEX('Сводный годовой график'!$BA$4:$BL$14,$C102,MONTH($B$94)))=AA$3,1,0)</f>
        <v>0</v>
      </c>
      <c r="DH103" s="58">
        <f>IF(DAY(INDEX('Сводный годовой график'!$BA$4:$BL$14,$C102,MONTH($B$94)))=AB$3,1,0)</f>
        <v>0</v>
      </c>
      <c r="DI103" s="58">
        <f>IF(DAY(INDEX('Сводный годовой график'!$BA$4:$BL$14,$C102,MONTH($B$94)))=AC$3,1,0)</f>
        <v>0</v>
      </c>
      <c r="DJ103" s="58">
        <f>IF(DAY(INDEX('Сводный годовой график'!$BA$4:$BL$14,$C102,MONTH($B$94)))=AD$3,1,0)</f>
        <v>0</v>
      </c>
      <c r="DK103" s="58">
        <f>IF(DAY(INDEX('Сводный годовой график'!$BA$4:$BL$14,$C102,MONTH($B$94)))=AE$3,1,0)</f>
        <v>0</v>
      </c>
      <c r="DL103" s="58">
        <f>IF(DAY(INDEX('Сводный годовой график'!$BA$4:$BL$14,$C102,MONTH($B$94)))=AF$3,1,0)</f>
        <v>0</v>
      </c>
      <c r="DM103" s="58">
        <f>IF(DAY(INDEX('Сводный годовой график'!$BA$4:$BL$14,$C102,MONTH($B$94)))=AG$3,1,0)</f>
        <v>0</v>
      </c>
      <c r="DN103" s="58">
        <f>IF(DAY(INDEX('Сводный годовой график'!$BA$4:$BL$14,$C102,MONTH($B$94)))=AH$3,1,0)</f>
        <v>0</v>
      </c>
      <c r="DO103" s="58">
        <f>IF(DAY(INDEX('Сводный годовой график'!$BA$4:$BL$14,$C102,MONTH($B$94)))=AI$3,1,0)</f>
        <v>0</v>
      </c>
    </row>
    <row r="104" spans="2:119" ht="17.25" customHeight="1" thickTop="1" thickBot="1" x14ac:dyDescent="0.3">
      <c r="B104" s="200">
        <f>DATE($AV$1,11,1)</f>
        <v>45962</v>
      </c>
      <c r="C104" s="196">
        <v>1</v>
      </c>
      <c r="D104" s="81">
        <v>1</v>
      </c>
      <c r="E104" s="86" t="e">
        <f ca="1">IF(AND(INDEX('Сводный годовой график'!$C$1:$AR$4,MATCH($C$104,'Сводный годовой график'!$B$1:$B$4),MATCH(DATE($AV$1,MONTH($B$104),E$3),'Сводный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график'!$B$1:$B$4),MATCH(DATE($AV$1,MONTH($B$104),E$3),'Сводный годовой график'!$C$15:$AR$15)))</f>
        <v>#N/A</v>
      </c>
      <c r="F104" s="27" t="e">
        <f ca="1">IF(AND(INDEX('Сводный годовой график'!$C$1:$AR$4,MATCH($C$104,'Сводный годовой график'!$B$1:$B$4),MATCH(DATE($AV$1,MONTH($B$104),F$3),'Сводный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график'!$B$1:$B$4),MATCH(DATE($AV$1,MONTH($B$104),F$3),'Сводный годовой график'!$C$15:$AR$15)))</f>
        <v>#N/A</v>
      </c>
      <c r="G104" s="27" t="e">
        <f ca="1">IF(AND(INDEX('Сводный годовой график'!$C$1:$AR$4,MATCH($C$104,'Сводный годовой график'!$B$1:$B$4),MATCH(DATE($AV$1,MONTH($B$104),G$3),'Сводный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график'!$B$1:$B$4),MATCH(DATE($AV$1,MONTH($B$104),G$3),'Сводный годовой график'!$C$15:$AR$15)))</f>
        <v>#N/A</v>
      </c>
      <c r="H104" s="27" t="e">
        <f ca="1">IF(AND(INDEX('Сводный годовой график'!$C$1:$AR$4,MATCH($C$104,'Сводный годовой график'!$B$1:$B$4),MATCH(DATE($AV$1,MONTH($B$104),H$3),'Сводный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график'!$B$1:$B$4),MATCH(DATE($AV$1,MONTH($B$104),H$3),'Сводный годовой график'!$C$15:$AR$15)))</f>
        <v>#N/A</v>
      </c>
      <c r="I104" s="27" t="e">
        <f ca="1">IF(AND(INDEX('Сводный годовой график'!$C$1:$AR$4,MATCH($C$104,'Сводный годовой график'!$B$1:$B$4),MATCH(DATE($AV$1,MONTH($B$104),I$3),'Сводный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график'!$B$1:$B$4),MATCH(DATE($AV$1,MONTH($B$104),I$3),'Сводный годовой график'!$C$15:$AR$15)))</f>
        <v>#N/A</v>
      </c>
      <c r="J104" s="27" t="e">
        <f ca="1">IF(AND(INDEX('Сводный годовой график'!$C$1:$AR$4,MATCH($C$104,'Сводный годовой график'!$B$1:$B$4),MATCH(DATE($AV$1,MONTH($B$104),J$3),'Сводный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график'!$B$1:$B$4),MATCH(DATE($AV$1,MONTH($B$104),J$3),'Сводный годовой график'!$C$15:$AR$15)))</f>
        <v>#N/A</v>
      </c>
      <c r="K104" s="27" t="e">
        <f ca="1">IF(AND(INDEX('Сводный годовой график'!$C$1:$AR$4,MATCH($C$104,'Сводный годовой график'!$B$1:$B$4),MATCH(DATE($AV$1,MONTH($B$104),K$3),'Сводный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график'!$B$1:$B$4),MATCH(DATE($AV$1,MONTH($B$104),K$3),'Сводный годовой график'!$C$15:$AR$15)))</f>
        <v>#N/A</v>
      </c>
      <c r="L104" s="27" t="e">
        <f ca="1">IF(AND(INDEX('Сводный годовой график'!$C$1:$AR$4,MATCH($C$104,'Сводный годовой график'!$B$1:$B$4),MATCH(DATE($AV$1,MONTH($B$104),L$3),'Сводный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график'!$B$1:$B$4),MATCH(DATE($AV$1,MONTH($B$104),L$3),'Сводный годовой график'!$C$15:$AR$15)))</f>
        <v>#N/A</v>
      </c>
      <c r="M104" s="27" t="e">
        <f ca="1">IF(AND(INDEX('Сводный годовой график'!$C$1:$AR$4,MATCH($C$104,'Сводный годовой график'!$B$1:$B$4),MATCH(DATE($AV$1,MONTH($B$104),M$3),'Сводный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график'!$B$1:$B$4),MATCH(DATE($AV$1,MONTH($B$104),M$3),'Сводный годовой график'!$C$15:$AR$15)))</f>
        <v>#N/A</v>
      </c>
      <c r="N104" s="27" t="e">
        <f ca="1">IF(AND(INDEX('Сводный годовой график'!$C$1:$AR$4,MATCH($C$104,'Сводный годовой график'!$B$1:$B$4),MATCH(DATE($AV$1,MONTH($B$104),N$3),'Сводный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график'!$B$1:$B$4),MATCH(DATE($AV$1,MONTH($B$104),N$3),'Сводный годовой график'!$C$15:$AR$15)))</f>
        <v>#N/A</v>
      </c>
      <c r="O104" s="27" t="e">
        <f ca="1">IF(AND(INDEX('Сводный годовой график'!$C$1:$AR$4,MATCH($C$104,'Сводный годовой график'!$B$1:$B$4),MATCH(DATE($AV$1,MONTH($B$104),O$3),'Сводный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график'!$B$1:$B$4),MATCH(DATE($AV$1,MONTH($B$104),O$3),'Сводный годовой график'!$C$15:$AR$15)))</f>
        <v>#N/A</v>
      </c>
      <c r="P104" s="27" t="e">
        <f ca="1">IF(AND(INDEX('Сводный годовой график'!$C$1:$AR$4,MATCH($C$104,'Сводный годовой график'!$B$1:$B$4),MATCH(DATE($AV$1,MONTH($B$104),P$3),'Сводный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график'!$B$1:$B$4),MATCH(DATE($AV$1,MONTH($B$104),P$3),'Сводный годовой график'!$C$15:$AR$15)))</f>
        <v>#N/A</v>
      </c>
      <c r="Q104" s="27" t="e">
        <f ca="1">IF(AND(INDEX('Сводный годовой график'!$C$1:$AR$4,MATCH($C$104,'Сводный годовой график'!$B$1:$B$4),MATCH(DATE($AV$1,MONTH($B$104),Q$3),'Сводный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график'!$B$1:$B$4),MATCH(DATE($AV$1,MONTH($B$104),Q$3),'Сводный годовой график'!$C$15:$AR$15)))</f>
        <v>#N/A</v>
      </c>
      <c r="R104" s="27" t="e">
        <f ca="1">IF(AND(INDEX('Сводный годовой график'!$C$1:$AR$4,MATCH($C$104,'Сводный годовой график'!$B$1:$B$4),MATCH(DATE($AV$1,MONTH($B$104),R$3),'Сводный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график'!$B$1:$B$4),MATCH(DATE($AV$1,MONTH($B$104),R$3),'Сводный годовой график'!$C$15:$AR$15)))</f>
        <v>#N/A</v>
      </c>
      <c r="S104" s="27" t="e">
        <f ca="1">IF(AND(INDEX('Сводный годовой график'!$C$1:$AR$4,MATCH($C$104,'Сводный годовой график'!$B$1:$B$4),MATCH(DATE($AV$1,MONTH($B$104),S$3),'Сводный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график'!$B$1:$B$4),MATCH(DATE($AV$1,MONTH($B$104),S$3),'Сводный годовой график'!$C$15:$AR$15)))</f>
        <v>#N/A</v>
      </c>
      <c r="T104" s="27" t="e">
        <f ca="1">IF(AND(INDEX('Сводный годовой график'!$C$1:$AR$4,MATCH($C$104,'Сводный годовой график'!$B$1:$B$4),MATCH(DATE($AV$1,MONTH($B$104),T$3),'Сводный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график'!$B$1:$B$4),MATCH(DATE($AV$1,MONTH($B$104),T$3),'Сводный годовой график'!$C$15:$AR$15)))</f>
        <v>#N/A</v>
      </c>
      <c r="U104" s="27" t="e">
        <f ca="1">IF(AND(INDEX('Сводный годовой график'!$C$1:$AR$4,MATCH($C$104,'Сводный годовой график'!$B$1:$B$4),MATCH(DATE($AV$1,MONTH($B$104),U$3),'Сводный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график'!$B$1:$B$4),MATCH(DATE($AV$1,MONTH($B$104),U$3),'Сводный годовой график'!$C$15:$AR$15)))</f>
        <v>#N/A</v>
      </c>
      <c r="V104" s="27" t="e">
        <f ca="1">IF(AND(INDEX('Сводный годовой график'!$C$1:$AR$4,MATCH($C$104,'Сводный годовой график'!$B$1:$B$4),MATCH(DATE($AV$1,MONTH($B$104),V$3),'Сводный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график'!$B$1:$B$4),MATCH(DATE($AV$1,MONTH($B$104),V$3),'Сводный годовой график'!$C$15:$AR$15)))</f>
        <v>#N/A</v>
      </c>
      <c r="W104" s="27" t="e">
        <f ca="1">IF(AND(INDEX('Сводный годовой график'!$C$1:$AR$4,MATCH($C$104,'Сводный годовой график'!$B$1:$B$4),MATCH(DATE($AV$1,MONTH($B$104),W$3),'Сводный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график'!$B$1:$B$4),MATCH(DATE($AV$1,MONTH($B$104),W$3),'Сводный годовой график'!$C$15:$AR$15)))</f>
        <v>#N/A</v>
      </c>
      <c r="X104" s="27" t="e">
        <f ca="1">IF(AND(INDEX('Сводный годовой график'!$C$1:$AR$4,MATCH($C$104,'Сводный годовой график'!$B$1:$B$4),MATCH(DATE($AV$1,MONTH($B$104),X$3),'Сводный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график'!$B$1:$B$4),MATCH(DATE($AV$1,MONTH($B$104),X$3),'Сводный годовой график'!$C$15:$AR$15)))</f>
        <v>#N/A</v>
      </c>
      <c r="Y104" s="27" t="e">
        <f ca="1">IF(AND(INDEX('Сводный годовой график'!$C$1:$AR$4,MATCH($C$104,'Сводный годовой график'!$B$1:$B$4),MATCH(DATE($AV$1,MONTH($B$104),Y$3),'Сводный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график'!$B$1:$B$4),MATCH(DATE($AV$1,MONTH($B$104),Y$3),'Сводный годовой график'!$C$15:$AR$15)))</f>
        <v>#N/A</v>
      </c>
      <c r="Z104" s="27" t="e">
        <f ca="1">IF(AND(INDEX('Сводный годовой график'!$C$1:$AR$4,MATCH($C$104,'Сводный годовой график'!$B$1:$B$4),MATCH(DATE($AV$1,MONTH($B$104),Z$3),'Сводный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график'!$B$1:$B$4),MATCH(DATE($AV$1,MONTH($B$104),Z$3),'Сводный годовой график'!$C$15:$AR$15)))</f>
        <v>#N/A</v>
      </c>
      <c r="AA104" s="27" t="e">
        <f ca="1">IF(AND(INDEX('Сводный годовой график'!$C$1:$AR$4,MATCH($C$104,'Сводный годовой график'!$B$1:$B$4),MATCH(DATE($AV$1,MONTH($B$104),AA$3),'Сводный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график'!$B$1:$B$4),MATCH(DATE($AV$1,MONTH($B$104),AA$3),'Сводный годовой график'!$C$15:$AR$15)))</f>
        <v>#N/A</v>
      </c>
      <c r="AB104" s="27" t="e">
        <f ca="1">IF(AND(INDEX('Сводный годовой график'!$C$1:$AR$4,MATCH($C$104,'Сводный годовой график'!$B$1:$B$4),MATCH(DATE($AV$1,MONTH($B$104),AB$3),'Сводный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график'!$B$1:$B$4),MATCH(DATE($AV$1,MONTH($B$104),AB$3),'Сводный годовой график'!$C$15:$AR$15)))</f>
        <v>#N/A</v>
      </c>
      <c r="AC104" s="27" t="e">
        <f ca="1">IF(AND(INDEX('Сводный годовой график'!$C$1:$AR$4,MATCH($C$104,'Сводный годовой график'!$B$1:$B$4),MATCH(DATE($AV$1,MONTH($B$104),AC$3),'Сводный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график'!$B$1:$B$4),MATCH(DATE($AV$1,MONTH($B$104),AC$3),'Сводный годовой график'!$C$15:$AR$15)))</f>
        <v>#N/A</v>
      </c>
      <c r="AD104" s="27" t="e">
        <f ca="1">IF(AND(INDEX('Сводный годовой график'!$C$1:$AR$4,MATCH($C$104,'Сводный годовой график'!$B$1:$B$4),MATCH(DATE($AV$1,MONTH($B$104),AD$3),'Сводный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график'!$B$1:$B$4),MATCH(DATE($AV$1,MONTH($B$104),AD$3),'Сводный годовой график'!$C$15:$AR$15)))</f>
        <v>#N/A</v>
      </c>
      <c r="AE104" s="27" t="e">
        <f ca="1">IF(AND(INDEX('Сводный годовой график'!$C$1:$AR$4,MATCH($C$104,'Сводный годовой график'!$B$1:$B$4),MATCH(DATE($AV$1,MONTH($B$104),AE$3),'Сводный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график'!$B$1:$B$4),MATCH(DATE($AV$1,MONTH($B$104),AE$3),'Сводный годовой график'!$C$15:$AR$15)))</f>
        <v>#N/A</v>
      </c>
      <c r="AF104" s="27" t="e">
        <f ca="1">IF(AND(INDEX('Сводный годовой график'!$C$1:$AR$4,MATCH($C$104,'Сводный годовой график'!$B$1:$B$4),MATCH(DATE($AV$1,MONTH($B$104),AF$3),'Сводный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график'!$B$1:$B$4),MATCH(DATE($AV$1,MONTH($B$104),AF$3),'Сводный годовой график'!$C$15:$AR$15)))</f>
        <v>#N/A</v>
      </c>
      <c r="AG104" s="27" t="e">
        <f ca="1">IF(AND(INDEX('Сводный годовой график'!$C$1:$AR$4,MATCH($C$104,'Сводный годовой график'!$B$1:$B$4),MATCH(DATE($AV$1,MONTH($B$104),AG$3),'Сводный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график'!$B$1:$B$4),MATCH(DATE($AV$1,MONTH($B$104),AG$3),'Сводный годовой график'!$C$15:$AR$15)))</f>
        <v>#N/A</v>
      </c>
      <c r="AH104" s="27" t="e">
        <f ca="1">IF(AND(INDEX('Сводный годовой график'!$C$1:$AR$4,MATCH($C$104,'Сводный годовой график'!$B$1:$B$4),MATCH(DATE($AV$1,MONTH($B$104),AH$3),'Сводный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график'!$B$1:$B$4),MATCH(DATE($AV$1,MONTH($B$104),AH$3),'Сводный годовой график'!$C$15:$AR$15)))</f>
        <v>#N/A</v>
      </c>
      <c r="AI104" s="122"/>
      <c r="AJ104" s="205">
        <f>INDEX(Подключения!$D$3:$H$14,MONTH(B104),5)</f>
        <v>151</v>
      </c>
      <c r="AK104" s="216">
        <f>$AJ$104-SUM(AY104:CC105)</f>
        <v>151</v>
      </c>
      <c r="AL104" s="216" t="e">
        <f t="shared" ref="AL104" ca="1" si="179">SUM(E104:AI105)</f>
        <v>#N/A</v>
      </c>
      <c r="AM104" s="216" t="e">
        <f ca="1">SUM(H104)</f>
        <v>#N/A</v>
      </c>
      <c r="AN104" s="218" t="e">
        <f t="shared" ref="AN104" ca="1" si="180">-AM104-AK104+AL104</f>
        <v>#N/A</v>
      </c>
      <c r="AO104" s="218">
        <v>0</v>
      </c>
      <c r="AP104" s="218" t="e">
        <f t="shared" ref="AP104" ca="1" si="181">AN104+AP94</f>
        <v>#N/A</v>
      </c>
      <c r="AQ104" s="216">
        <v>0</v>
      </c>
      <c r="AR104" s="217">
        <v>1</v>
      </c>
      <c r="CK104" s="59"/>
      <c r="CL104" s="59"/>
      <c r="CM104" s="59"/>
      <c r="CN104" s="59"/>
      <c r="CO104" s="59"/>
      <c r="CP104" s="59"/>
      <c r="CQ104" s="59"/>
      <c r="CR104" s="59"/>
      <c r="CS104" s="59"/>
      <c r="CT104" s="59"/>
      <c r="CU104" s="59"/>
      <c r="CV104" s="59"/>
      <c r="CW104" s="59"/>
      <c r="CX104" s="59"/>
      <c r="CY104" s="59"/>
      <c r="CZ104" s="59"/>
      <c r="DA104" s="59"/>
      <c r="DB104" s="59"/>
      <c r="DC104" s="59"/>
      <c r="DD104" s="59"/>
      <c r="DE104" s="59"/>
      <c r="DF104" s="59"/>
      <c r="DG104" s="59"/>
      <c r="DH104" s="59"/>
      <c r="DI104" s="59"/>
      <c r="DJ104" s="59"/>
      <c r="DK104" s="59"/>
      <c r="DL104" s="59"/>
      <c r="DM104" s="59"/>
      <c r="DN104" s="59"/>
      <c r="DO104" s="59"/>
    </row>
    <row r="105" spans="2:119" ht="16.5" thickBot="1" x14ac:dyDescent="0.3">
      <c r="B105" s="201"/>
      <c r="C105" s="197"/>
      <c r="D105" s="82">
        <v>2</v>
      </c>
      <c r="E105" s="96" t="str">
        <f t="shared" ref="E105:AH105" si="182">IF(INDEX($CK$4:$DO$123,ROW()-3,E$3)=0,"","СП")</f>
        <v/>
      </c>
      <c r="F105" s="92" t="str">
        <f t="shared" si="182"/>
        <v/>
      </c>
      <c r="G105" s="92" t="str">
        <f t="shared" si="182"/>
        <v/>
      </c>
      <c r="H105" s="92" t="str">
        <f t="shared" si="182"/>
        <v/>
      </c>
      <c r="I105" s="92" t="str">
        <f t="shared" si="182"/>
        <v/>
      </c>
      <c r="J105" s="92" t="str">
        <f t="shared" si="182"/>
        <v/>
      </c>
      <c r="K105" s="92" t="str">
        <f t="shared" si="182"/>
        <v/>
      </c>
      <c r="L105" s="92" t="str">
        <f t="shared" si="182"/>
        <v/>
      </c>
      <c r="M105" s="92" t="str">
        <f t="shared" si="182"/>
        <v/>
      </c>
      <c r="N105" s="92" t="str">
        <f t="shared" si="182"/>
        <v/>
      </c>
      <c r="O105" s="92" t="str">
        <f t="shared" si="182"/>
        <v>СП</v>
      </c>
      <c r="P105" s="92" t="str">
        <f t="shared" si="182"/>
        <v/>
      </c>
      <c r="Q105" s="92" t="str">
        <f t="shared" si="182"/>
        <v/>
      </c>
      <c r="R105" s="92" t="str">
        <f t="shared" si="182"/>
        <v/>
      </c>
      <c r="S105" s="92" t="str">
        <f t="shared" si="182"/>
        <v/>
      </c>
      <c r="T105" s="92" t="str">
        <f t="shared" si="182"/>
        <v/>
      </c>
      <c r="U105" s="92" t="str">
        <f t="shared" si="182"/>
        <v/>
      </c>
      <c r="V105" s="92" t="str">
        <f t="shared" si="182"/>
        <v/>
      </c>
      <c r="W105" s="92" t="str">
        <f t="shared" si="182"/>
        <v/>
      </c>
      <c r="X105" s="92" t="str">
        <f t="shared" si="182"/>
        <v/>
      </c>
      <c r="Y105" s="92" t="str">
        <f t="shared" si="182"/>
        <v/>
      </c>
      <c r="Z105" s="92" t="str">
        <f t="shared" si="182"/>
        <v/>
      </c>
      <c r="AA105" s="92" t="str">
        <f t="shared" si="182"/>
        <v/>
      </c>
      <c r="AB105" s="92" t="str">
        <f t="shared" si="182"/>
        <v/>
      </c>
      <c r="AC105" s="92" t="str">
        <f t="shared" si="182"/>
        <v/>
      </c>
      <c r="AD105" s="92" t="str">
        <f t="shared" si="182"/>
        <v/>
      </c>
      <c r="AE105" s="92" t="str">
        <f t="shared" si="182"/>
        <v/>
      </c>
      <c r="AF105" s="92" t="str">
        <f t="shared" si="182"/>
        <v/>
      </c>
      <c r="AG105" s="92" t="str">
        <f t="shared" si="182"/>
        <v/>
      </c>
      <c r="AH105" s="92" t="str">
        <f t="shared" si="182"/>
        <v/>
      </c>
      <c r="AI105" s="110"/>
      <c r="AJ105" s="206"/>
      <c r="AK105" s="209"/>
      <c r="AL105" s="209"/>
      <c r="AM105" s="209"/>
      <c r="AN105" s="211"/>
      <c r="AO105" s="211"/>
      <c r="AP105" s="211"/>
      <c r="AQ105" s="209"/>
      <c r="AR105" s="210"/>
      <c r="CK105" s="58">
        <f>IF(DAY(INDEX('Сводный годовой график'!$BA$4:$BL$14,$C104,MONTH($B$104)))=E$3,1,0)</f>
        <v>0</v>
      </c>
      <c r="CL105" s="58">
        <f>IF(DAY(INDEX('Сводный годовой график'!$BA$4:$BL$14,$C104,MONTH($B$104)))=F$3,1,0)</f>
        <v>0</v>
      </c>
      <c r="CM105" s="58">
        <f>IF(DAY(INDEX('Сводный годовой график'!$BA$4:$BL$14,$C104,MONTH($B$104)))=G$3,1,0)</f>
        <v>0</v>
      </c>
      <c r="CN105" s="58">
        <f>IF(DAY(INDEX('Сводный годовой график'!$BA$4:$BL$14,$C104,MONTH($B$104)))=H$3,1,0)</f>
        <v>0</v>
      </c>
      <c r="CO105" s="58">
        <f>IF(DAY(INDEX('Сводный годовой график'!$BA$4:$BL$14,$C104,MONTH($B$104)))=I$3,1,0)</f>
        <v>0</v>
      </c>
      <c r="CP105" s="58">
        <f>IF(DAY(INDEX('Сводный годовой график'!$BA$4:$BL$14,$C104,MONTH($B$104)))=J$3,1,0)</f>
        <v>0</v>
      </c>
      <c r="CQ105" s="58">
        <f>IF(DAY(INDEX('Сводный годовой график'!$BA$4:$BL$14,$C104,MONTH($B$104)))=K$3,1,0)</f>
        <v>0</v>
      </c>
      <c r="CR105" s="58">
        <f>IF(DAY(INDEX('Сводный годовой график'!$BA$4:$BL$14,$C104,MONTH($B$104)))=L$3,1,0)</f>
        <v>0</v>
      </c>
      <c r="CS105" s="58">
        <f>IF(DAY(INDEX('Сводный годовой график'!$BA$4:$BL$14,$C104,MONTH($B$104)))=M$3,1,0)</f>
        <v>0</v>
      </c>
      <c r="CT105" s="58">
        <f>IF(DAY(INDEX('Сводный годовой график'!$BA$4:$BL$14,$C104,MONTH($B$104)))=N$3,1,0)</f>
        <v>0</v>
      </c>
      <c r="CU105" s="58">
        <f>IF(DAY(INDEX('Сводный годовой график'!$BA$4:$BL$14,$C104,MONTH($B$104)))=O$3,1,0)</f>
        <v>1</v>
      </c>
      <c r="CV105" s="58">
        <f>IF(DAY(INDEX('Сводный годовой график'!$BA$4:$BL$14,$C104,MONTH($B$104)))=P$3,1,0)</f>
        <v>0</v>
      </c>
      <c r="CW105" s="58">
        <f>IF(DAY(INDEX('Сводный годовой график'!$BA$4:$BL$14,$C104,MONTH($B$104)))=Q$3,1,0)</f>
        <v>0</v>
      </c>
      <c r="CX105" s="58">
        <f>IF(DAY(INDEX('Сводный годовой график'!$BA$4:$BL$14,$C104,MONTH($B$104)))=R$3,1,0)</f>
        <v>0</v>
      </c>
      <c r="CY105" s="58">
        <f>IF(DAY(INDEX('Сводный годовой график'!$BA$4:$BL$14,$C104,MONTH($B$104)))=S$3,1,0)</f>
        <v>0</v>
      </c>
      <c r="CZ105" s="58">
        <f>IF(DAY(INDEX('Сводный годовой график'!$BA$4:$BL$14,$C104,MONTH($B$104)))=T$3,1,0)</f>
        <v>0</v>
      </c>
      <c r="DA105" s="58">
        <f>IF(DAY(INDEX('Сводный годовой график'!$BA$4:$BL$14,$C104,MONTH($B$104)))=U$3,1,0)</f>
        <v>0</v>
      </c>
      <c r="DB105" s="58">
        <f>IF(DAY(INDEX('Сводный годовой график'!$BA$4:$BL$14,$C104,MONTH($B$104)))=V$3,1,0)</f>
        <v>0</v>
      </c>
      <c r="DC105" s="58">
        <f>IF(DAY(INDEX('Сводный годовой график'!$BA$4:$BL$14,$C104,MONTH($B$104)))=W$3,1,0)</f>
        <v>0</v>
      </c>
      <c r="DD105" s="58">
        <f>IF(DAY(INDEX('Сводный годовой график'!$BA$4:$BL$14,$C104,MONTH($B$104)))=X$3,1,0)</f>
        <v>0</v>
      </c>
      <c r="DE105" s="58">
        <f>IF(DAY(INDEX('Сводный годовой график'!$BA$4:$BL$14,$C104,MONTH($B$104)))=Y$3,1,0)</f>
        <v>0</v>
      </c>
      <c r="DF105" s="58">
        <f>IF(DAY(INDEX('Сводный годовой график'!$BA$4:$BL$14,$C104,MONTH($B$104)))=Z$3,1,0)</f>
        <v>0</v>
      </c>
      <c r="DG105" s="58">
        <f>IF(DAY(INDEX('Сводный годовой график'!$BA$4:$BL$14,$C104,MONTH($B$104)))=AA$3,1,0)</f>
        <v>0</v>
      </c>
      <c r="DH105" s="58">
        <f>IF(DAY(INDEX('Сводный годовой график'!$BA$4:$BL$14,$C104,MONTH($B$104)))=AB$3,1,0)</f>
        <v>0</v>
      </c>
      <c r="DI105" s="58">
        <f>IF(DAY(INDEX('Сводный годовой график'!$BA$4:$BL$14,$C104,MONTH($B$104)))=AC$3,1,0)</f>
        <v>0</v>
      </c>
      <c r="DJ105" s="58">
        <f>IF(DAY(INDEX('Сводный годовой график'!$BA$4:$BL$14,$C104,MONTH($B$104)))=AD$3,1,0)</f>
        <v>0</v>
      </c>
      <c r="DK105" s="58">
        <f>IF(DAY(INDEX('Сводный годовой график'!$BA$4:$BL$14,$C104,MONTH($B$104)))=AE$3,1,0)</f>
        <v>0</v>
      </c>
      <c r="DL105" s="58">
        <f>IF(DAY(INDEX('Сводный годовой график'!$BA$4:$BL$14,$C104,MONTH($B$104)))=AF$3,1,0)</f>
        <v>0</v>
      </c>
      <c r="DM105" s="58">
        <f>IF(DAY(INDEX('Сводный годовой график'!$BA$4:$BL$14,$C104,MONTH($B$104)))=AG$3,1,0)</f>
        <v>0</v>
      </c>
      <c r="DN105" s="58">
        <f>IF(DAY(INDEX('Сводный годовой график'!$BA$4:$BL$14,$C104,MONTH($B$104)))=AH$3,1,0)</f>
        <v>0</v>
      </c>
      <c r="DO105" s="58">
        <f>IF(DAY(INDEX('Сводный годовой график'!$BA$4:$BL$14,$C104,MONTH($B$104)))=AI$3,1,0)</f>
        <v>0</v>
      </c>
    </row>
    <row r="106" spans="2:119" ht="16.5" thickBot="1" x14ac:dyDescent="0.3">
      <c r="B106" s="201"/>
      <c r="C106" s="196">
        <v>2</v>
      </c>
      <c r="D106" s="81">
        <v>3</v>
      </c>
      <c r="E106" s="96" t="e">
        <f ca="1">IF(AND(INDEX('Сводный годовой график'!$C$1:$AR$4,MATCH($C$106,'Сводный годовой график'!$B$1:$B$4),MATCH(DATE($AV$1,MONTH($B$104),E$3),'Сводный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график'!$B$1:$B$4),MATCH(DATE($AV$1,MONTH($B$104),E$3),'Сводный годовой график'!$C$15:$AR$15)))</f>
        <v>#N/A</v>
      </c>
      <c r="F106" s="92" t="e">
        <f ca="1">IF(AND(INDEX('Сводный годовой график'!$C$1:$AR$4,MATCH($C$106,'Сводный годовой график'!$B$1:$B$4),MATCH(DATE($AV$1,MONTH($B$104),F$3),'Сводный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график'!$B$1:$B$4),MATCH(DATE($AV$1,MONTH($B$104),F$3),'Сводный годовой график'!$C$15:$AR$15)))</f>
        <v>#N/A</v>
      </c>
      <c r="G106" s="92" t="e">
        <f ca="1">IF(AND(INDEX('Сводный годовой график'!$C$1:$AR$4,MATCH($C$106,'Сводный годовой график'!$B$1:$B$4),MATCH(DATE($AV$1,MONTH($B$104),G$3),'Сводный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график'!$B$1:$B$4),MATCH(DATE($AV$1,MONTH($B$104),G$3),'Сводный годовой график'!$C$15:$AR$15)))</f>
        <v>#N/A</v>
      </c>
      <c r="H106" s="92" t="e">
        <f ca="1">IF(AND(INDEX('Сводный годовой график'!$C$1:$AR$4,MATCH($C$106,'Сводный годовой график'!$B$1:$B$4),MATCH(DATE($AV$1,MONTH($B$104),H$3),'Сводный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график'!$B$1:$B$4),MATCH(DATE($AV$1,MONTH($B$104),H$3),'Сводный годовой график'!$C$15:$AR$15)))</f>
        <v>#N/A</v>
      </c>
      <c r="I106" s="92" t="e">
        <f ca="1">IF(AND(INDEX('Сводный годовой график'!$C$1:$AR$4,MATCH($C$106,'Сводный годовой график'!$B$1:$B$4),MATCH(DATE($AV$1,MONTH($B$104),I$3),'Сводный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график'!$B$1:$B$4),MATCH(DATE($AV$1,MONTH($B$104),I$3),'Сводный годовой график'!$C$15:$AR$15)))</f>
        <v>#N/A</v>
      </c>
      <c r="J106" s="92" t="e">
        <f ca="1">IF(AND(INDEX('Сводный годовой график'!$C$1:$AR$4,MATCH($C$106,'Сводный годовой график'!$B$1:$B$4),MATCH(DATE($AV$1,MONTH($B$104),J$3),'Сводный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график'!$B$1:$B$4),MATCH(DATE($AV$1,MONTH($B$104),J$3),'Сводный годовой график'!$C$15:$AR$15)))</f>
        <v>#N/A</v>
      </c>
      <c r="K106" s="92" t="e">
        <f ca="1">IF(AND(INDEX('Сводный годовой график'!$C$1:$AR$4,MATCH($C$106,'Сводный годовой график'!$B$1:$B$4),MATCH(DATE($AV$1,MONTH($B$104),K$3),'Сводный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график'!$B$1:$B$4),MATCH(DATE($AV$1,MONTH($B$104),K$3),'Сводный годовой график'!$C$15:$AR$15)))</f>
        <v>#N/A</v>
      </c>
      <c r="L106" s="92" t="e">
        <f ca="1">IF(AND(INDEX('Сводный годовой график'!$C$1:$AR$4,MATCH($C$106,'Сводный годовой график'!$B$1:$B$4),MATCH(DATE($AV$1,MONTH($B$104),L$3),'Сводный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график'!$B$1:$B$4),MATCH(DATE($AV$1,MONTH($B$104),L$3),'Сводный годовой график'!$C$15:$AR$15)))</f>
        <v>#N/A</v>
      </c>
      <c r="M106" s="92" t="e">
        <f ca="1">IF(AND(INDEX('Сводный годовой график'!$C$1:$AR$4,MATCH($C$106,'Сводный годовой график'!$B$1:$B$4),MATCH(DATE($AV$1,MONTH($B$104),M$3),'Сводный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график'!$B$1:$B$4),MATCH(DATE($AV$1,MONTH($B$104),M$3),'Сводный годовой график'!$C$15:$AR$15)))</f>
        <v>#N/A</v>
      </c>
      <c r="N106" s="92" t="e">
        <f ca="1">IF(AND(INDEX('Сводный годовой график'!$C$1:$AR$4,MATCH($C$106,'Сводный годовой график'!$B$1:$B$4),MATCH(DATE($AV$1,MONTH($B$104),N$3),'Сводный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график'!$B$1:$B$4),MATCH(DATE($AV$1,MONTH($B$104),N$3),'Сводный годовой график'!$C$15:$AR$15)))</f>
        <v>#N/A</v>
      </c>
      <c r="O106" s="92" t="e">
        <f ca="1">IF(AND(INDEX('Сводный годовой график'!$C$1:$AR$4,MATCH($C$106,'Сводный годовой график'!$B$1:$B$4),MATCH(DATE($AV$1,MONTH($B$104),O$3),'Сводный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график'!$B$1:$B$4),MATCH(DATE($AV$1,MONTH($B$104),O$3),'Сводный годовой график'!$C$15:$AR$15)))</f>
        <v>#N/A</v>
      </c>
      <c r="P106" s="92" t="e">
        <f ca="1">IF(AND(INDEX('Сводный годовой график'!$C$1:$AR$4,MATCH($C$106,'Сводный годовой график'!$B$1:$B$4),MATCH(DATE($AV$1,MONTH($B$104),P$3),'Сводный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график'!$B$1:$B$4),MATCH(DATE($AV$1,MONTH($B$104),P$3),'Сводный годовой график'!$C$15:$AR$15)))</f>
        <v>#N/A</v>
      </c>
      <c r="Q106" s="92" t="e">
        <f ca="1">IF(AND(INDEX('Сводный годовой график'!$C$1:$AR$4,MATCH($C$106,'Сводный годовой график'!$B$1:$B$4),MATCH(DATE($AV$1,MONTH($B$104),Q$3),'Сводный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график'!$B$1:$B$4),MATCH(DATE($AV$1,MONTH($B$104),Q$3),'Сводный годовой график'!$C$15:$AR$15)))</f>
        <v>#N/A</v>
      </c>
      <c r="R106" s="92" t="e">
        <f ca="1">IF(AND(INDEX('Сводный годовой график'!$C$1:$AR$4,MATCH($C$106,'Сводный годовой график'!$B$1:$B$4),MATCH(DATE($AV$1,MONTH($B$104),R$3),'Сводный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график'!$B$1:$B$4),MATCH(DATE($AV$1,MONTH($B$104),R$3),'Сводный годовой график'!$C$15:$AR$15)))</f>
        <v>#N/A</v>
      </c>
      <c r="S106" s="92" t="e">
        <f ca="1">IF(AND(INDEX('Сводный годовой график'!$C$1:$AR$4,MATCH($C$106,'Сводный годовой график'!$B$1:$B$4),MATCH(DATE($AV$1,MONTH($B$104),S$3),'Сводный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график'!$B$1:$B$4),MATCH(DATE($AV$1,MONTH($B$104),S$3),'Сводный годовой график'!$C$15:$AR$15)))</f>
        <v>#N/A</v>
      </c>
      <c r="T106" s="92" t="e">
        <f ca="1">IF(AND(INDEX('Сводный годовой график'!$C$1:$AR$4,MATCH($C$106,'Сводный годовой график'!$B$1:$B$4),MATCH(DATE($AV$1,MONTH($B$104),T$3),'Сводный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график'!$B$1:$B$4),MATCH(DATE($AV$1,MONTH($B$104),T$3),'Сводный годовой график'!$C$15:$AR$15)))</f>
        <v>#N/A</v>
      </c>
      <c r="U106" s="92" t="e">
        <f ca="1">IF(AND(INDEX('Сводный годовой график'!$C$1:$AR$4,MATCH($C$106,'Сводный годовой график'!$B$1:$B$4),MATCH(DATE($AV$1,MONTH($B$104),U$3),'Сводный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график'!$B$1:$B$4),MATCH(DATE($AV$1,MONTH($B$104),U$3),'Сводный годовой график'!$C$15:$AR$15)))</f>
        <v>#N/A</v>
      </c>
      <c r="V106" s="92" t="e">
        <f ca="1">IF(AND(INDEX('Сводный годовой график'!$C$1:$AR$4,MATCH($C$106,'Сводный годовой график'!$B$1:$B$4),MATCH(DATE($AV$1,MONTH($B$104),V$3),'Сводный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график'!$B$1:$B$4),MATCH(DATE($AV$1,MONTH($B$104),V$3),'Сводный годовой график'!$C$15:$AR$15)))</f>
        <v>#N/A</v>
      </c>
      <c r="W106" s="92" t="e">
        <f ca="1">IF(AND(INDEX('Сводный годовой график'!$C$1:$AR$4,MATCH($C$106,'Сводный годовой график'!$B$1:$B$4),MATCH(DATE($AV$1,MONTH($B$104),W$3),'Сводный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график'!$B$1:$B$4),MATCH(DATE($AV$1,MONTH($B$104),W$3),'Сводный годовой график'!$C$15:$AR$15)))</f>
        <v>#N/A</v>
      </c>
      <c r="X106" s="92" t="e">
        <f ca="1">IF(AND(INDEX('Сводный годовой график'!$C$1:$AR$4,MATCH($C$106,'Сводный годовой график'!$B$1:$B$4),MATCH(DATE($AV$1,MONTH($B$104),X$3),'Сводный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график'!$B$1:$B$4),MATCH(DATE($AV$1,MONTH($B$104),X$3),'Сводный годовой график'!$C$15:$AR$15)))</f>
        <v>#N/A</v>
      </c>
      <c r="Y106" s="92" t="e">
        <f ca="1">IF(AND(INDEX('Сводный годовой график'!$C$1:$AR$4,MATCH($C$106,'Сводный годовой график'!$B$1:$B$4),MATCH(DATE($AV$1,MONTH($B$104),Y$3),'Сводный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график'!$B$1:$B$4),MATCH(DATE($AV$1,MONTH($B$104),Y$3),'Сводный годовой график'!$C$15:$AR$15)))</f>
        <v>#N/A</v>
      </c>
      <c r="Z106" s="92" t="e">
        <f ca="1">IF(AND(INDEX('Сводный годовой график'!$C$1:$AR$4,MATCH($C$106,'Сводный годовой график'!$B$1:$B$4),MATCH(DATE($AV$1,MONTH($B$104),Z$3),'Сводный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график'!$B$1:$B$4),MATCH(DATE($AV$1,MONTH($B$104),Z$3),'Сводный годовой график'!$C$15:$AR$15)))</f>
        <v>#N/A</v>
      </c>
      <c r="AA106" s="92" t="e">
        <f ca="1">IF(AND(INDEX('Сводный годовой график'!$C$1:$AR$4,MATCH($C$106,'Сводный годовой график'!$B$1:$B$4),MATCH(DATE($AV$1,MONTH($B$104),AA$3),'Сводный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график'!$B$1:$B$4),MATCH(DATE($AV$1,MONTH($B$104),AA$3),'Сводный годовой график'!$C$15:$AR$15)))</f>
        <v>#N/A</v>
      </c>
      <c r="AB106" s="92" t="e">
        <f ca="1">IF(AND(INDEX('Сводный годовой график'!$C$1:$AR$4,MATCH($C$106,'Сводный годовой график'!$B$1:$B$4),MATCH(DATE($AV$1,MONTH($B$104),AB$3),'Сводный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график'!$B$1:$B$4),MATCH(DATE($AV$1,MONTH($B$104),AB$3),'Сводный годовой график'!$C$15:$AR$15)))</f>
        <v>#N/A</v>
      </c>
      <c r="AC106" s="92" t="e">
        <f ca="1">IF(AND(INDEX('Сводный годовой график'!$C$1:$AR$4,MATCH($C$106,'Сводный годовой график'!$B$1:$B$4),MATCH(DATE($AV$1,MONTH($B$104),AC$3),'Сводный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график'!$B$1:$B$4),MATCH(DATE($AV$1,MONTH($B$104),AC$3),'Сводный годовой график'!$C$15:$AR$15)))</f>
        <v>#N/A</v>
      </c>
      <c r="AD106" s="92" t="e">
        <f ca="1">IF(AND(INDEX('Сводный годовой график'!$C$1:$AR$4,MATCH($C$106,'Сводный годовой график'!$B$1:$B$4),MATCH(DATE($AV$1,MONTH($B$104),AD$3),'Сводный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график'!$B$1:$B$4),MATCH(DATE($AV$1,MONTH($B$104),AD$3),'Сводный годовой график'!$C$15:$AR$15)))</f>
        <v>#N/A</v>
      </c>
      <c r="AE106" s="92" t="e">
        <f ca="1">IF(AND(INDEX('Сводный годовой график'!$C$1:$AR$4,MATCH($C$106,'Сводный годовой график'!$B$1:$B$4),MATCH(DATE($AV$1,MONTH($B$104),AE$3),'Сводный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график'!$B$1:$B$4),MATCH(DATE($AV$1,MONTH($B$104),AE$3),'Сводный годовой график'!$C$15:$AR$15)))</f>
        <v>#N/A</v>
      </c>
      <c r="AF106" s="92" t="e">
        <f ca="1">IF(AND(INDEX('Сводный годовой график'!$C$1:$AR$4,MATCH($C$106,'Сводный годовой график'!$B$1:$B$4),MATCH(DATE($AV$1,MONTH($B$104),AF$3),'Сводный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график'!$B$1:$B$4),MATCH(DATE($AV$1,MONTH($B$104),AF$3),'Сводный годовой график'!$C$15:$AR$15)))</f>
        <v>#N/A</v>
      </c>
      <c r="AG106" s="92" t="e">
        <f ca="1">IF(AND(INDEX('Сводный годовой график'!$C$1:$AR$4,MATCH($C$106,'Сводный годовой график'!$B$1:$B$4),MATCH(DATE($AV$1,MONTH($B$104),AG$3),'Сводный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график'!$B$1:$B$4),MATCH(DATE($AV$1,MONTH($B$104),AG$3),'Сводный годовой график'!$C$15:$AR$15)))</f>
        <v>#N/A</v>
      </c>
      <c r="AH106" s="92" t="e">
        <f ca="1">IF(AND(INDEX('Сводный годовой график'!$C$1:$AR$4,MATCH($C$106,'Сводный годовой график'!$B$1:$B$4),MATCH(DATE($AV$1,MONTH($B$104),AH$3),'Сводный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график'!$B$1:$B$4),MATCH(DATE($AV$1,MONTH($B$104),AH$3),'Сводный годовой график'!$C$15:$AR$15)))</f>
        <v>#N/A</v>
      </c>
      <c r="AI106" s="110"/>
      <c r="AJ106" s="206"/>
      <c r="AK106" s="209">
        <f>$AJ$104-SUM(AY106:CC107)</f>
        <v>151</v>
      </c>
      <c r="AL106" s="209" t="e">
        <f t="shared" ref="AL106" ca="1" si="183">SUM(E106:AI107)</f>
        <v>#N/A</v>
      </c>
      <c r="AM106" s="209" t="e">
        <f t="shared" ref="AM106" ca="1" si="184">SUM(H106)</f>
        <v>#N/A</v>
      </c>
      <c r="AN106" s="211" t="e">
        <f t="shared" ref="AN106" ca="1" si="185">-AM106-AK106+AL106</f>
        <v>#N/A</v>
      </c>
      <c r="AO106" s="211">
        <v>0</v>
      </c>
      <c r="AP106" s="211" t="e">
        <f t="shared" ref="AP106" ca="1" si="186">AN106+AP96</f>
        <v>#N/A</v>
      </c>
      <c r="AQ106" s="209">
        <v>0</v>
      </c>
      <c r="AR106" s="210">
        <v>1</v>
      </c>
      <c r="CK106" s="59"/>
      <c r="CL106" s="59"/>
      <c r="CM106" s="59"/>
      <c r="CN106" s="59"/>
      <c r="CO106" s="59"/>
      <c r="CP106" s="59"/>
      <c r="CQ106" s="59"/>
      <c r="CR106" s="59"/>
      <c r="CS106" s="59"/>
      <c r="CT106" s="59"/>
      <c r="CU106" s="59"/>
      <c r="CV106" s="59"/>
      <c r="CW106" s="59"/>
      <c r="CX106" s="59"/>
      <c r="CY106" s="59"/>
      <c r="CZ106" s="59"/>
      <c r="DA106" s="59"/>
      <c r="DB106" s="59"/>
      <c r="DC106" s="59"/>
      <c r="DD106" s="59"/>
      <c r="DE106" s="59"/>
      <c r="DF106" s="59"/>
      <c r="DG106" s="59"/>
      <c r="DH106" s="59"/>
      <c r="DI106" s="59"/>
      <c r="DJ106" s="59"/>
      <c r="DK106" s="59"/>
      <c r="DL106" s="59"/>
      <c r="DM106" s="59"/>
      <c r="DN106" s="59"/>
      <c r="DO106" s="59"/>
    </row>
    <row r="107" spans="2:119" ht="16.5" thickBot="1" x14ac:dyDescent="0.3">
      <c r="B107" s="201"/>
      <c r="C107" s="197"/>
      <c r="D107" s="82">
        <v>4</v>
      </c>
      <c r="E107" s="96" t="str">
        <f t="shared" ref="E107:AH107" si="187">IF(INDEX($CK$4:$DO$123,ROW()-3,E$3)=0,"","СП")</f>
        <v/>
      </c>
      <c r="F107" s="92" t="str">
        <f t="shared" si="187"/>
        <v/>
      </c>
      <c r="G107" s="92" t="str">
        <f t="shared" si="187"/>
        <v/>
      </c>
      <c r="H107" s="92" t="str">
        <f t="shared" si="187"/>
        <v/>
      </c>
      <c r="I107" s="92" t="str">
        <f t="shared" si="187"/>
        <v/>
      </c>
      <c r="J107" s="92" t="str">
        <f t="shared" si="187"/>
        <v/>
      </c>
      <c r="K107" s="92" t="str">
        <f t="shared" si="187"/>
        <v/>
      </c>
      <c r="L107" s="92" t="str">
        <f t="shared" si="187"/>
        <v/>
      </c>
      <c r="M107" s="92" t="str">
        <f t="shared" si="187"/>
        <v/>
      </c>
      <c r="N107" s="92" t="str">
        <f t="shared" si="187"/>
        <v/>
      </c>
      <c r="O107" s="92" t="str">
        <f t="shared" si="187"/>
        <v/>
      </c>
      <c r="P107" s="92" t="str">
        <f t="shared" si="187"/>
        <v>СП</v>
      </c>
      <c r="Q107" s="92" t="str">
        <f t="shared" si="187"/>
        <v/>
      </c>
      <c r="R107" s="92" t="str">
        <f t="shared" si="187"/>
        <v/>
      </c>
      <c r="S107" s="92" t="str">
        <f t="shared" si="187"/>
        <v/>
      </c>
      <c r="T107" s="92" t="str">
        <f t="shared" si="187"/>
        <v/>
      </c>
      <c r="U107" s="92" t="str">
        <f t="shared" si="187"/>
        <v/>
      </c>
      <c r="V107" s="92" t="str">
        <f t="shared" si="187"/>
        <v/>
      </c>
      <c r="W107" s="92" t="str">
        <f t="shared" si="187"/>
        <v/>
      </c>
      <c r="X107" s="92" t="str">
        <f t="shared" si="187"/>
        <v/>
      </c>
      <c r="Y107" s="92" t="str">
        <f t="shared" si="187"/>
        <v/>
      </c>
      <c r="Z107" s="92" t="str">
        <f t="shared" si="187"/>
        <v/>
      </c>
      <c r="AA107" s="92" t="str">
        <f t="shared" si="187"/>
        <v/>
      </c>
      <c r="AB107" s="92" t="str">
        <f t="shared" si="187"/>
        <v/>
      </c>
      <c r="AC107" s="92" t="str">
        <f t="shared" si="187"/>
        <v/>
      </c>
      <c r="AD107" s="92" t="str">
        <f t="shared" si="187"/>
        <v/>
      </c>
      <c r="AE107" s="92" t="str">
        <f t="shared" si="187"/>
        <v/>
      </c>
      <c r="AF107" s="92" t="str">
        <f t="shared" si="187"/>
        <v/>
      </c>
      <c r="AG107" s="92" t="str">
        <f t="shared" si="187"/>
        <v/>
      </c>
      <c r="AH107" s="92" t="str">
        <f t="shared" si="187"/>
        <v/>
      </c>
      <c r="AI107" s="110"/>
      <c r="AJ107" s="206"/>
      <c r="AK107" s="209"/>
      <c r="AL107" s="209"/>
      <c r="AM107" s="209"/>
      <c r="AN107" s="211"/>
      <c r="AO107" s="211"/>
      <c r="AP107" s="211"/>
      <c r="AQ107" s="209"/>
      <c r="AR107" s="210"/>
      <c r="CK107" s="58">
        <f>IF(DAY(INDEX('Сводный годовой график'!$BA$4:$BL$14,$C106,MONTH($B$104)))=E$3,1,0)</f>
        <v>0</v>
      </c>
      <c r="CL107" s="58">
        <f>IF(DAY(INDEX('Сводный годовой график'!$BA$4:$BL$14,$C106,MONTH($B$104)))=F$3,1,0)</f>
        <v>0</v>
      </c>
      <c r="CM107" s="58">
        <f>IF(DAY(INDEX('Сводный годовой график'!$BA$4:$BL$14,$C106,MONTH($B$104)))=G$3,1,0)</f>
        <v>0</v>
      </c>
      <c r="CN107" s="58">
        <f>IF(DAY(INDEX('Сводный годовой график'!$BA$4:$BL$14,$C106,MONTH($B$104)))=H$3,1,0)</f>
        <v>0</v>
      </c>
      <c r="CO107" s="58">
        <f>IF(DAY(INDEX('Сводный годовой график'!$BA$4:$BL$14,$C106,MONTH($B$104)))=I$3,1,0)</f>
        <v>0</v>
      </c>
      <c r="CP107" s="58">
        <f>IF(DAY(INDEX('Сводный годовой график'!$BA$4:$BL$14,$C106,MONTH($B$104)))=J$3,1,0)</f>
        <v>0</v>
      </c>
      <c r="CQ107" s="58">
        <f>IF(DAY(INDEX('Сводный годовой график'!$BA$4:$BL$14,$C106,MONTH($B$104)))=K$3,1,0)</f>
        <v>0</v>
      </c>
      <c r="CR107" s="58">
        <f>IF(DAY(INDEX('Сводный годовой график'!$BA$4:$BL$14,$C106,MONTH($B$104)))=L$3,1,0)</f>
        <v>0</v>
      </c>
      <c r="CS107" s="58">
        <f>IF(DAY(INDEX('Сводный годовой график'!$BA$4:$BL$14,$C106,MONTH($B$104)))=M$3,1,0)</f>
        <v>0</v>
      </c>
      <c r="CT107" s="58">
        <f>IF(DAY(INDEX('Сводный годовой график'!$BA$4:$BL$14,$C106,MONTH($B$104)))=N$3,1,0)</f>
        <v>0</v>
      </c>
      <c r="CU107" s="58">
        <f>IF(DAY(INDEX('Сводный годовой график'!$BA$4:$BL$14,$C106,MONTH($B$104)))=O$3,1,0)</f>
        <v>0</v>
      </c>
      <c r="CV107" s="58">
        <f>IF(DAY(INDEX('Сводный годовой график'!$BA$4:$BL$14,$C106,MONTH($B$104)))=P$3,1,0)</f>
        <v>1</v>
      </c>
      <c r="CW107" s="58">
        <f>IF(DAY(INDEX('Сводный годовой график'!$BA$4:$BL$14,$C106,MONTH($B$104)))=Q$3,1,0)</f>
        <v>0</v>
      </c>
      <c r="CX107" s="58">
        <f>IF(DAY(INDEX('Сводный годовой график'!$BA$4:$BL$14,$C106,MONTH($B$104)))=R$3,1,0)</f>
        <v>0</v>
      </c>
      <c r="CY107" s="58">
        <f>IF(DAY(INDEX('Сводный годовой график'!$BA$4:$BL$14,$C106,MONTH($B$104)))=S$3,1,0)</f>
        <v>0</v>
      </c>
      <c r="CZ107" s="58">
        <f>IF(DAY(INDEX('Сводный годовой график'!$BA$4:$BL$14,$C106,MONTH($B$104)))=T$3,1,0)</f>
        <v>0</v>
      </c>
      <c r="DA107" s="58">
        <f>IF(DAY(INDEX('Сводный годовой график'!$BA$4:$BL$14,$C106,MONTH($B$104)))=U$3,1,0)</f>
        <v>0</v>
      </c>
      <c r="DB107" s="58">
        <f>IF(DAY(INDEX('Сводный годовой график'!$BA$4:$BL$14,$C106,MONTH($B$104)))=V$3,1,0)</f>
        <v>0</v>
      </c>
      <c r="DC107" s="58">
        <f>IF(DAY(INDEX('Сводный годовой график'!$BA$4:$BL$14,$C106,MONTH($B$104)))=W$3,1,0)</f>
        <v>0</v>
      </c>
      <c r="DD107" s="58">
        <f>IF(DAY(INDEX('Сводный годовой график'!$BA$4:$BL$14,$C106,MONTH($B$104)))=X$3,1,0)</f>
        <v>0</v>
      </c>
      <c r="DE107" s="58">
        <f>IF(DAY(INDEX('Сводный годовой график'!$BA$4:$BL$14,$C106,MONTH($B$104)))=Y$3,1,0)</f>
        <v>0</v>
      </c>
      <c r="DF107" s="58">
        <f>IF(DAY(INDEX('Сводный годовой график'!$BA$4:$BL$14,$C106,MONTH($B$104)))=Z$3,1,0)</f>
        <v>0</v>
      </c>
      <c r="DG107" s="58">
        <f>IF(DAY(INDEX('Сводный годовой график'!$BA$4:$BL$14,$C106,MONTH($B$104)))=AA$3,1,0)</f>
        <v>0</v>
      </c>
      <c r="DH107" s="58">
        <f>IF(DAY(INDEX('Сводный годовой график'!$BA$4:$BL$14,$C106,MONTH($B$104)))=AB$3,1,0)</f>
        <v>0</v>
      </c>
      <c r="DI107" s="58">
        <f>IF(DAY(INDEX('Сводный годовой график'!$BA$4:$BL$14,$C106,MONTH($B$104)))=AC$3,1,0)</f>
        <v>0</v>
      </c>
      <c r="DJ107" s="58">
        <f>IF(DAY(INDEX('Сводный годовой график'!$BA$4:$BL$14,$C106,MONTH($B$104)))=AD$3,1,0)</f>
        <v>0</v>
      </c>
      <c r="DK107" s="58">
        <f>IF(DAY(INDEX('Сводный годовой график'!$BA$4:$BL$14,$C106,MONTH($B$104)))=AE$3,1,0)</f>
        <v>0</v>
      </c>
      <c r="DL107" s="58">
        <f>IF(DAY(INDEX('Сводный годовой график'!$BA$4:$BL$14,$C106,MONTH($B$104)))=AF$3,1,0)</f>
        <v>0</v>
      </c>
      <c r="DM107" s="58">
        <f>IF(DAY(INDEX('Сводный годовой график'!$BA$4:$BL$14,$C106,MONTH($B$104)))=AG$3,1,0)</f>
        <v>0</v>
      </c>
      <c r="DN107" s="58">
        <f>IF(DAY(INDEX('Сводный годовой график'!$BA$4:$BL$14,$C106,MONTH($B$104)))=AH$3,1,0)</f>
        <v>0</v>
      </c>
      <c r="DO107" s="58">
        <f>IF(DAY(INDEX('Сводный годовой график'!$BA$4:$BL$14,$C106,MONTH($B$104)))=AI$3,1,0)</f>
        <v>0</v>
      </c>
    </row>
    <row r="108" spans="2:119" ht="16.5" thickBot="1" x14ac:dyDescent="0.3">
      <c r="B108" s="201"/>
      <c r="C108" s="196">
        <v>3</v>
      </c>
      <c r="D108" s="81">
        <v>5</v>
      </c>
      <c r="E108" s="96" t="e">
        <f ca="1">IF(AND(INDEX('Сводный годовой график'!$C$1:$AR$4,MATCH($C$108,'Сводный годовой график'!$B$1:$B$4),MATCH(DATE($AV$1,MONTH($B$104),E$3),'Сводный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график'!$B$1:$B$4),MATCH(DATE($AV$1,MONTH($B$104),E$3),'Сводный годовой график'!$C$15:$AR$15)))</f>
        <v>#N/A</v>
      </c>
      <c r="F108" s="92" t="e">
        <f ca="1">IF(AND(INDEX('Сводный годовой график'!$C$1:$AR$4,MATCH($C$108,'Сводный годовой график'!$B$1:$B$4),MATCH(DATE($AV$1,MONTH($B$104),F$3),'Сводный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график'!$B$1:$B$4),MATCH(DATE($AV$1,MONTH($B$104),F$3),'Сводный годовой график'!$C$15:$AR$15)))</f>
        <v>#N/A</v>
      </c>
      <c r="G108" s="92" t="e">
        <f ca="1">IF(AND(INDEX('Сводный годовой график'!$C$1:$AR$4,MATCH($C$108,'Сводный годовой график'!$B$1:$B$4),MATCH(DATE($AV$1,MONTH($B$104),G$3),'Сводный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график'!$B$1:$B$4),MATCH(DATE($AV$1,MONTH($B$104),G$3),'Сводный годовой график'!$C$15:$AR$15)))</f>
        <v>#N/A</v>
      </c>
      <c r="H108" s="92" t="e">
        <f ca="1">IF(AND(INDEX('Сводный годовой график'!$C$1:$AR$4,MATCH($C$108,'Сводный годовой график'!$B$1:$B$4),MATCH(DATE($AV$1,MONTH($B$104),H$3),'Сводный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график'!$B$1:$B$4),MATCH(DATE($AV$1,MONTH($B$104),H$3),'Сводный годовой график'!$C$15:$AR$15)))</f>
        <v>#N/A</v>
      </c>
      <c r="I108" s="92" t="e">
        <f ca="1">IF(AND(INDEX('Сводный годовой график'!$C$1:$AR$4,MATCH($C$108,'Сводный годовой график'!$B$1:$B$4),MATCH(DATE($AV$1,MONTH($B$104),I$3),'Сводный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график'!$B$1:$B$4),MATCH(DATE($AV$1,MONTH($B$104),I$3),'Сводный годовой график'!$C$15:$AR$15)))</f>
        <v>#N/A</v>
      </c>
      <c r="J108" s="92" t="e">
        <f ca="1">IF(AND(INDEX('Сводный годовой график'!$C$1:$AR$4,MATCH($C$108,'Сводный годовой график'!$B$1:$B$4),MATCH(DATE($AV$1,MONTH($B$104),J$3),'Сводный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график'!$B$1:$B$4),MATCH(DATE($AV$1,MONTH($B$104),J$3),'Сводный годовой график'!$C$15:$AR$15)))</f>
        <v>#N/A</v>
      </c>
      <c r="K108" s="92" t="e">
        <f ca="1">IF(AND(INDEX('Сводный годовой график'!$C$1:$AR$4,MATCH($C$108,'Сводный годовой график'!$B$1:$B$4),MATCH(DATE($AV$1,MONTH($B$104),K$3),'Сводный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график'!$B$1:$B$4),MATCH(DATE($AV$1,MONTH($B$104),K$3),'Сводный годовой график'!$C$15:$AR$15)))</f>
        <v>#N/A</v>
      </c>
      <c r="L108" s="92" t="e">
        <f ca="1">IF(AND(INDEX('Сводный годовой график'!$C$1:$AR$4,MATCH($C$108,'Сводный годовой график'!$B$1:$B$4),MATCH(DATE($AV$1,MONTH($B$104),L$3),'Сводный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график'!$B$1:$B$4),MATCH(DATE($AV$1,MONTH($B$104),L$3),'Сводный годовой график'!$C$15:$AR$15)))</f>
        <v>#N/A</v>
      </c>
      <c r="M108" s="92" t="e">
        <f ca="1">IF(AND(INDEX('Сводный годовой график'!$C$1:$AR$4,MATCH($C$108,'Сводный годовой график'!$B$1:$B$4),MATCH(DATE($AV$1,MONTH($B$104),M$3),'Сводный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график'!$B$1:$B$4),MATCH(DATE($AV$1,MONTH($B$104),M$3),'Сводный годовой график'!$C$15:$AR$15)))</f>
        <v>#N/A</v>
      </c>
      <c r="N108" s="92" t="e">
        <f ca="1">IF(AND(INDEX('Сводный годовой график'!$C$1:$AR$4,MATCH($C$108,'Сводный годовой график'!$B$1:$B$4),MATCH(DATE($AV$1,MONTH($B$104),N$3),'Сводный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график'!$B$1:$B$4),MATCH(DATE($AV$1,MONTH($B$104),N$3),'Сводный годовой график'!$C$15:$AR$15)))</f>
        <v>#N/A</v>
      </c>
      <c r="O108" s="92" t="e">
        <f ca="1">IF(AND(INDEX('Сводный годовой график'!$C$1:$AR$4,MATCH($C$108,'Сводный годовой график'!$B$1:$B$4),MATCH(DATE($AV$1,MONTH($B$104),O$3),'Сводный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график'!$B$1:$B$4),MATCH(DATE($AV$1,MONTH($B$104),O$3),'Сводный годовой график'!$C$15:$AR$15)))</f>
        <v>#N/A</v>
      </c>
      <c r="P108" s="92" t="e">
        <f ca="1">IF(AND(INDEX('Сводный годовой график'!$C$1:$AR$4,MATCH($C$108,'Сводный годовой график'!$B$1:$B$4),MATCH(DATE($AV$1,MONTH($B$104),P$3),'Сводный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график'!$B$1:$B$4),MATCH(DATE($AV$1,MONTH($B$104),P$3),'Сводный годовой график'!$C$15:$AR$15)))</f>
        <v>#N/A</v>
      </c>
      <c r="Q108" s="92" t="e">
        <f ca="1">IF(AND(INDEX('Сводный годовой график'!$C$1:$AR$4,MATCH($C$108,'Сводный годовой график'!$B$1:$B$4),MATCH(DATE($AV$1,MONTH($B$104),Q$3),'Сводный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график'!$B$1:$B$4),MATCH(DATE($AV$1,MONTH($B$104),Q$3),'Сводный годовой график'!$C$15:$AR$15)))</f>
        <v>#N/A</v>
      </c>
      <c r="R108" s="92" t="e">
        <f ca="1">IF(AND(INDEX('Сводный годовой график'!$C$1:$AR$4,MATCH($C$108,'Сводный годовой график'!$B$1:$B$4),MATCH(DATE($AV$1,MONTH($B$104),R$3),'Сводный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график'!$B$1:$B$4),MATCH(DATE($AV$1,MONTH($B$104),R$3),'Сводный годовой график'!$C$15:$AR$15)))</f>
        <v>#N/A</v>
      </c>
      <c r="S108" s="92" t="e">
        <f ca="1">IF(AND(INDEX('Сводный годовой график'!$C$1:$AR$4,MATCH($C$108,'Сводный годовой график'!$B$1:$B$4),MATCH(DATE($AV$1,MONTH($B$104),S$3),'Сводный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график'!$B$1:$B$4),MATCH(DATE($AV$1,MONTH($B$104),S$3),'Сводный годовой график'!$C$15:$AR$15)))</f>
        <v>#N/A</v>
      </c>
      <c r="T108" s="92" t="e">
        <f ca="1">IF(AND(INDEX('Сводный годовой график'!$C$1:$AR$4,MATCH($C$108,'Сводный годовой график'!$B$1:$B$4),MATCH(DATE($AV$1,MONTH($B$104),T$3),'Сводный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график'!$B$1:$B$4),MATCH(DATE($AV$1,MONTH($B$104),T$3),'Сводный годовой график'!$C$15:$AR$15)))</f>
        <v>#N/A</v>
      </c>
      <c r="U108" s="92" t="e">
        <f ca="1">IF(AND(INDEX('Сводный годовой график'!$C$1:$AR$4,MATCH($C$108,'Сводный годовой график'!$B$1:$B$4),MATCH(DATE($AV$1,MONTH($B$104),U$3),'Сводный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график'!$B$1:$B$4),MATCH(DATE($AV$1,MONTH($B$104),U$3),'Сводный годовой график'!$C$15:$AR$15)))</f>
        <v>#N/A</v>
      </c>
      <c r="V108" s="92" t="e">
        <f ca="1">IF(AND(INDEX('Сводный годовой график'!$C$1:$AR$4,MATCH($C$108,'Сводный годовой график'!$B$1:$B$4),MATCH(DATE($AV$1,MONTH($B$104),V$3),'Сводный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график'!$B$1:$B$4),MATCH(DATE($AV$1,MONTH($B$104),V$3),'Сводный годовой график'!$C$15:$AR$15)))</f>
        <v>#N/A</v>
      </c>
      <c r="W108" s="92" t="e">
        <f ca="1">IF(AND(INDEX('Сводный годовой график'!$C$1:$AR$4,MATCH($C$108,'Сводный годовой график'!$B$1:$B$4),MATCH(DATE($AV$1,MONTH($B$104),W$3),'Сводный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график'!$B$1:$B$4),MATCH(DATE($AV$1,MONTH($B$104),W$3),'Сводный годовой график'!$C$15:$AR$15)))</f>
        <v>#N/A</v>
      </c>
      <c r="X108" s="92" t="e">
        <f ca="1">IF(AND(INDEX('Сводный годовой график'!$C$1:$AR$4,MATCH($C$108,'Сводный годовой график'!$B$1:$B$4),MATCH(DATE($AV$1,MONTH($B$104),X$3),'Сводный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график'!$B$1:$B$4),MATCH(DATE($AV$1,MONTH($B$104),X$3),'Сводный годовой график'!$C$15:$AR$15)))</f>
        <v>#N/A</v>
      </c>
      <c r="Y108" s="92" t="e">
        <f ca="1">IF(AND(INDEX('Сводный годовой график'!$C$1:$AR$4,MATCH($C$108,'Сводный годовой график'!$B$1:$B$4),MATCH(DATE($AV$1,MONTH($B$104),Y$3),'Сводный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график'!$B$1:$B$4),MATCH(DATE($AV$1,MONTH($B$104),Y$3),'Сводный годовой график'!$C$15:$AR$15)))</f>
        <v>#N/A</v>
      </c>
      <c r="Z108" s="92" t="e">
        <f ca="1">IF(AND(INDEX('Сводный годовой график'!$C$1:$AR$4,MATCH($C$108,'Сводный годовой график'!$B$1:$B$4),MATCH(DATE($AV$1,MONTH($B$104),Z$3),'Сводный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график'!$B$1:$B$4),MATCH(DATE($AV$1,MONTH($B$104),Z$3),'Сводный годовой график'!$C$15:$AR$15)))</f>
        <v>#N/A</v>
      </c>
      <c r="AA108" s="92" t="e">
        <f ca="1">IF(AND(INDEX('Сводный годовой график'!$C$1:$AR$4,MATCH($C$108,'Сводный годовой график'!$B$1:$B$4),MATCH(DATE($AV$1,MONTH($B$104),AA$3),'Сводный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график'!$B$1:$B$4),MATCH(DATE($AV$1,MONTH($B$104),AA$3),'Сводный годовой график'!$C$15:$AR$15)))</f>
        <v>#N/A</v>
      </c>
      <c r="AB108" s="92" t="e">
        <f ca="1">IF(AND(INDEX('Сводный годовой график'!$C$1:$AR$4,MATCH($C$108,'Сводный годовой график'!$B$1:$B$4),MATCH(DATE($AV$1,MONTH($B$104),AB$3),'Сводный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график'!$B$1:$B$4),MATCH(DATE($AV$1,MONTH($B$104),AB$3),'Сводный годовой график'!$C$15:$AR$15)))</f>
        <v>#N/A</v>
      </c>
      <c r="AC108" s="92" t="e">
        <f ca="1">IF(AND(INDEX('Сводный годовой график'!$C$1:$AR$4,MATCH($C$108,'Сводный годовой график'!$B$1:$B$4),MATCH(DATE($AV$1,MONTH($B$104),AC$3),'Сводный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график'!$B$1:$B$4),MATCH(DATE($AV$1,MONTH($B$104),AC$3),'Сводный годовой график'!$C$15:$AR$15)))</f>
        <v>#N/A</v>
      </c>
      <c r="AD108" s="92" t="e">
        <f ca="1">IF(AND(INDEX('Сводный годовой график'!$C$1:$AR$4,MATCH($C$108,'Сводный годовой график'!$B$1:$B$4),MATCH(DATE($AV$1,MONTH($B$104),AD$3),'Сводный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график'!$B$1:$B$4),MATCH(DATE($AV$1,MONTH($B$104),AD$3),'Сводный годовой график'!$C$15:$AR$15)))</f>
        <v>#N/A</v>
      </c>
      <c r="AE108" s="92" t="e">
        <f ca="1">IF(AND(INDEX('Сводный годовой график'!$C$1:$AR$4,MATCH($C$108,'Сводный годовой график'!$B$1:$B$4),MATCH(DATE($AV$1,MONTH($B$104),AE$3),'Сводный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график'!$B$1:$B$4),MATCH(DATE($AV$1,MONTH($B$104),AE$3),'Сводный годовой график'!$C$15:$AR$15)))</f>
        <v>#N/A</v>
      </c>
      <c r="AF108" s="92" t="e">
        <f ca="1">IF(AND(INDEX('Сводный годовой график'!$C$1:$AR$4,MATCH($C$108,'Сводный годовой график'!$B$1:$B$4),MATCH(DATE($AV$1,MONTH($B$104),AF$3),'Сводный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график'!$B$1:$B$4),MATCH(DATE($AV$1,MONTH($B$104),AF$3),'Сводный годовой график'!$C$15:$AR$15)))</f>
        <v>#N/A</v>
      </c>
      <c r="AG108" s="92" t="e">
        <f ca="1">IF(AND(INDEX('Сводный годовой график'!$C$1:$AR$4,MATCH($C$108,'Сводный годовой график'!$B$1:$B$4),MATCH(DATE($AV$1,MONTH($B$104),AG$3),'Сводный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график'!$B$1:$B$4),MATCH(DATE($AV$1,MONTH($B$104),AG$3),'Сводный годовой график'!$C$15:$AR$15)))</f>
        <v>#N/A</v>
      </c>
      <c r="AH108" s="92" t="e">
        <f ca="1">IF(AND(INDEX('Сводный годовой график'!$C$1:$AR$4,MATCH($C$108,'Сводный годовой график'!$B$1:$B$4),MATCH(DATE($AV$1,MONTH($B$104),AH$3),'Сводный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график'!$B$1:$B$4),MATCH(DATE($AV$1,MONTH($B$104),AH$3),'Сводный годовой график'!$C$15:$AR$15)))</f>
        <v>#N/A</v>
      </c>
      <c r="AI108" s="110"/>
      <c r="AJ108" s="206"/>
      <c r="AK108" s="209">
        <f>$AJ$104-SUM(AY108:CC109)</f>
        <v>151</v>
      </c>
      <c r="AL108" s="209" t="e">
        <f t="shared" ref="AL108" ca="1" si="188">SUM(E108:AI109)</f>
        <v>#N/A</v>
      </c>
      <c r="AM108" s="209" t="e">
        <f t="shared" ref="AM108" ca="1" si="189">SUM(H108)</f>
        <v>#N/A</v>
      </c>
      <c r="AN108" s="211" t="e">
        <f t="shared" ref="AN108" ca="1" si="190">-AM108-AK108+AL108</f>
        <v>#N/A</v>
      </c>
      <c r="AO108" s="211">
        <v>0</v>
      </c>
      <c r="AP108" s="211" t="e">
        <f t="shared" ref="AP108" ca="1" si="191">AN108+AP98</f>
        <v>#N/A</v>
      </c>
      <c r="AQ108" s="209">
        <v>0</v>
      </c>
      <c r="AR108" s="210">
        <v>1</v>
      </c>
      <c r="CK108" s="59"/>
      <c r="CL108" s="59"/>
      <c r="CM108" s="59"/>
      <c r="CN108" s="59"/>
      <c r="CO108" s="59"/>
      <c r="CP108" s="59"/>
      <c r="CQ108" s="59"/>
      <c r="CR108" s="59"/>
      <c r="CS108" s="59"/>
      <c r="CT108" s="59"/>
      <c r="CU108" s="59"/>
      <c r="CV108" s="59"/>
      <c r="CW108" s="59"/>
      <c r="CX108" s="59"/>
      <c r="CY108" s="59"/>
      <c r="CZ108" s="59"/>
      <c r="DA108" s="59"/>
      <c r="DB108" s="59"/>
      <c r="DC108" s="59"/>
      <c r="DD108" s="59"/>
      <c r="DE108" s="59"/>
      <c r="DF108" s="59"/>
      <c r="DG108" s="59"/>
      <c r="DH108" s="59"/>
      <c r="DI108" s="59"/>
      <c r="DJ108" s="59"/>
      <c r="DK108" s="59"/>
      <c r="DL108" s="59"/>
      <c r="DM108" s="59"/>
      <c r="DN108" s="59"/>
      <c r="DO108" s="59"/>
    </row>
    <row r="109" spans="2:119" ht="16.5" thickBot="1" x14ac:dyDescent="0.3">
      <c r="B109" s="201"/>
      <c r="C109" s="197"/>
      <c r="D109" s="82">
        <v>6</v>
      </c>
      <c r="E109" s="96" t="str">
        <f t="shared" ref="E109:AH109" si="192">IF(INDEX($CK$4:$DO$123,ROW()-3,E$3)=0,"","СП")</f>
        <v/>
      </c>
      <c r="F109" s="92" t="str">
        <f t="shared" si="192"/>
        <v/>
      </c>
      <c r="G109" s="92" t="str">
        <f t="shared" si="192"/>
        <v/>
      </c>
      <c r="H109" s="92" t="str">
        <f t="shared" si="192"/>
        <v/>
      </c>
      <c r="I109" s="92" t="str">
        <f t="shared" si="192"/>
        <v/>
      </c>
      <c r="J109" s="92" t="str">
        <f t="shared" si="192"/>
        <v/>
      </c>
      <c r="K109" s="92" t="str">
        <f t="shared" si="192"/>
        <v/>
      </c>
      <c r="L109" s="92" t="str">
        <f t="shared" si="192"/>
        <v/>
      </c>
      <c r="M109" s="92" t="str">
        <f t="shared" si="192"/>
        <v/>
      </c>
      <c r="N109" s="92" t="str">
        <f t="shared" si="192"/>
        <v/>
      </c>
      <c r="O109" s="92" t="str">
        <f t="shared" si="192"/>
        <v/>
      </c>
      <c r="P109" s="92" t="str">
        <f t="shared" si="192"/>
        <v/>
      </c>
      <c r="Q109" s="92" t="str">
        <f t="shared" si="192"/>
        <v>СП</v>
      </c>
      <c r="R109" s="92" t="str">
        <f t="shared" si="192"/>
        <v/>
      </c>
      <c r="S109" s="92" t="str">
        <f t="shared" si="192"/>
        <v/>
      </c>
      <c r="T109" s="92" t="str">
        <f t="shared" si="192"/>
        <v/>
      </c>
      <c r="U109" s="92" t="str">
        <f t="shared" si="192"/>
        <v/>
      </c>
      <c r="V109" s="92" t="str">
        <f t="shared" si="192"/>
        <v/>
      </c>
      <c r="W109" s="92" t="str">
        <f t="shared" si="192"/>
        <v/>
      </c>
      <c r="X109" s="92" t="str">
        <f t="shared" si="192"/>
        <v/>
      </c>
      <c r="Y109" s="92" t="str">
        <f t="shared" si="192"/>
        <v/>
      </c>
      <c r="Z109" s="92" t="str">
        <f t="shared" si="192"/>
        <v/>
      </c>
      <c r="AA109" s="92" t="str">
        <f t="shared" si="192"/>
        <v/>
      </c>
      <c r="AB109" s="92" t="str">
        <f t="shared" si="192"/>
        <v/>
      </c>
      <c r="AC109" s="92" t="str">
        <f t="shared" si="192"/>
        <v/>
      </c>
      <c r="AD109" s="92" t="str">
        <f t="shared" si="192"/>
        <v/>
      </c>
      <c r="AE109" s="92" t="str">
        <f t="shared" si="192"/>
        <v/>
      </c>
      <c r="AF109" s="92" t="str">
        <f t="shared" si="192"/>
        <v/>
      </c>
      <c r="AG109" s="92" t="str">
        <f t="shared" si="192"/>
        <v/>
      </c>
      <c r="AH109" s="92" t="str">
        <f t="shared" si="192"/>
        <v/>
      </c>
      <c r="AI109" s="110"/>
      <c r="AJ109" s="206"/>
      <c r="AK109" s="209"/>
      <c r="AL109" s="209"/>
      <c r="AM109" s="209"/>
      <c r="AN109" s="211"/>
      <c r="AO109" s="211"/>
      <c r="AP109" s="211"/>
      <c r="AQ109" s="209"/>
      <c r="AR109" s="210"/>
      <c r="CK109" s="58">
        <f>IF(DAY(INDEX('Сводный годовой график'!$BA$4:$BL$14,$C108,MONTH($B$104)))=E$3,1,0)</f>
        <v>0</v>
      </c>
      <c r="CL109" s="58">
        <f>IF(DAY(INDEX('Сводный годовой график'!$BA$4:$BL$14,$C108,MONTH($B$104)))=F$3,1,0)</f>
        <v>0</v>
      </c>
      <c r="CM109" s="58">
        <f>IF(DAY(INDEX('Сводный годовой график'!$BA$4:$BL$14,$C108,MONTH($B$104)))=G$3,1,0)</f>
        <v>0</v>
      </c>
      <c r="CN109" s="58">
        <f>IF(DAY(INDEX('Сводный годовой график'!$BA$4:$BL$14,$C108,MONTH($B$104)))=H$3,1,0)</f>
        <v>0</v>
      </c>
      <c r="CO109" s="58">
        <f>IF(DAY(INDEX('Сводный годовой график'!$BA$4:$BL$14,$C108,MONTH($B$104)))=I$3,1,0)</f>
        <v>0</v>
      </c>
      <c r="CP109" s="58">
        <f>IF(DAY(INDEX('Сводный годовой график'!$BA$4:$BL$14,$C108,MONTH($B$104)))=J$3,1,0)</f>
        <v>0</v>
      </c>
      <c r="CQ109" s="58">
        <f>IF(DAY(INDEX('Сводный годовой график'!$BA$4:$BL$14,$C108,MONTH($B$104)))=K$3,1,0)</f>
        <v>0</v>
      </c>
      <c r="CR109" s="58">
        <f>IF(DAY(INDEX('Сводный годовой график'!$BA$4:$BL$14,$C108,MONTH($B$104)))=L$3,1,0)</f>
        <v>0</v>
      </c>
      <c r="CS109" s="58">
        <f>IF(DAY(INDEX('Сводный годовой график'!$BA$4:$BL$14,$C108,MONTH($B$104)))=M$3,1,0)</f>
        <v>0</v>
      </c>
      <c r="CT109" s="58">
        <f>IF(DAY(INDEX('Сводный годовой график'!$BA$4:$BL$14,$C108,MONTH($B$104)))=N$3,1,0)</f>
        <v>0</v>
      </c>
      <c r="CU109" s="58">
        <f>IF(DAY(INDEX('Сводный годовой график'!$BA$4:$BL$14,$C108,MONTH($B$104)))=O$3,1,0)</f>
        <v>0</v>
      </c>
      <c r="CV109" s="58">
        <f>IF(DAY(INDEX('Сводный годовой график'!$BA$4:$BL$14,$C108,MONTH($B$104)))=P$3,1,0)</f>
        <v>0</v>
      </c>
      <c r="CW109" s="58">
        <f>IF(DAY(INDEX('Сводный годовой график'!$BA$4:$BL$14,$C108,MONTH($B$104)))=Q$3,1,0)</f>
        <v>1</v>
      </c>
      <c r="CX109" s="58">
        <f>IF(DAY(INDEX('Сводный годовой график'!$BA$4:$BL$14,$C108,MONTH($B$104)))=R$3,1,0)</f>
        <v>0</v>
      </c>
      <c r="CY109" s="58">
        <f>IF(DAY(INDEX('Сводный годовой график'!$BA$4:$BL$14,$C108,MONTH($B$104)))=S$3,1,0)</f>
        <v>0</v>
      </c>
      <c r="CZ109" s="58">
        <f>IF(DAY(INDEX('Сводный годовой график'!$BA$4:$BL$14,$C108,MONTH($B$104)))=T$3,1,0)</f>
        <v>0</v>
      </c>
      <c r="DA109" s="58">
        <f>IF(DAY(INDEX('Сводный годовой график'!$BA$4:$BL$14,$C108,MONTH($B$104)))=U$3,1,0)</f>
        <v>0</v>
      </c>
      <c r="DB109" s="58">
        <f>IF(DAY(INDEX('Сводный годовой график'!$BA$4:$BL$14,$C108,MONTH($B$104)))=V$3,1,0)</f>
        <v>0</v>
      </c>
      <c r="DC109" s="58">
        <f>IF(DAY(INDEX('Сводный годовой график'!$BA$4:$BL$14,$C108,MONTH($B$104)))=W$3,1,0)</f>
        <v>0</v>
      </c>
      <c r="DD109" s="58">
        <f>IF(DAY(INDEX('Сводный годовой график'!$BA$4:$BL$14,$C108,MONTH($B$104)))=X$3,1,0)</f>
        <v>0</v>
      </c>
      <c r="DE109" s="58">
        <f>IF(DAY(INDEX('Сводный годовой график'!$BA$4:$BL$14,$C108,MONTH($B$104)))=Y$3,1,0)</f>
        <v>0</v>
      </c>
      <c r="DF109" s="58">
        <f>IF(DAY(INDEX('Сводный годовой график'!$BA$4:$BL$14,$C108,MONTH($B$104)))=Z$3,1,0)</f>
        <v>0</v>
      </c>
      <c r="DG109" s="58">
        <f>IF(DAY(INDEX('Сводный годовой график'!$BA$4:$BL$14,$C108,MONTH($B$104)))=AA$3,1,0)</f>
        <v>0</v>
      </c>
      <c r="DH109" s="58">
        <f>IF(DAY(INDEX('Сводный годовой график'!$BA$4:$BL$14,$C108,MONTH($B$104)))=AB$3,1,0)</f>
        <v>0</v>
      </c>
      <c r="DI109" s="58">
        <f>IF(DAY(INDEX('Сводный годовой график'!$BA$4:$BL$14,$C108,MONTH($B$104)))=AC$3,1,0)</f>
        <v>0</v>
      </c>
      <c r="DJ109" s="58">
        <f>IF(DAY(INDEX('Сводный годовой график'!$BA$4:$BL$14,$C108,MONTH($B$104)))=AD$3,1,0)</f>
        <v>0</v>
      </c>
      <c r="DK109" s="58">
        <f>IF(DAY(INDEX('Сводный годовой график'!$BA$4:$BL$14,$C108,MONTH($B$104)))=AE$3,1,0)</f>
        <v>0</v>
      </c>
      <c r="DL109" s="58">
        <f>IF(DAY(INDEX('Сводный годовой график'!$BA$4:$BL$14,$C108,MONTH($B$104)))=AF$3,1,0)</f>
        <v>0</v>
      </c>
      <c r="DM109" s="58">
        <f>IF(DAY(INDEX('Сводный годовой график'!$BA$4:$BL$14,$C108,MONTH($B$104)))=AG$3,1,0)</f>
        <v>0</v>
      </c>
      <c r="DN109" s="58">
        <f>IF(DAY(INDEX('Сводный годовой график'!$BA$4:$BL$14,$C108,MONTH($B$104)))=AH$3,1,0)</f>
        <v>0</v>
      </c>
      <c r="DO109" s="58">
        <f>IF(DAY(INDEX('Сводный годовой график'!$BA$4:$BL$14,$C108,MONTH($B$104)))=AI$3,1,0)</f>
        <v>0</v>
      </c>
    </row>
    <row r="110" spans="2:119" ht="16.5" thickBot="1" x14ac:dyDescent="0.3">
      <c r="B110" s="201"/>
      <c r="C110" s="196">
        <v>4</v>
      </c>
      <c r="D110" s="81">
        <v>7</v>
      </c>
      <c r="E110" s="96" t="e">
        <f ca="1">IF(AND(INDEX('Сводный годовой график'!$C$1:$AR$4,MATCH($C$110,'Сводный годовой график'!$B$1:$B$4),MATCH(DATE($AV$1,MONTH($B$104),E$3),'Сводный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график'!$B$1:$B$4),MATCH(DATE($AV$1,MONTH($B$104),E$3),'Сводный годовой график'!$C$15:$AR$15)))</f>
        <v>#N/A</v>
      </c>
      <c r="F110" s="92" t="e">
        <f ca="1">IF(AND(INDEX('Сводный годовой график'!$C$1:$AR$4,MATCH($C$110,'Сводный годовой график'!$B$1:$B$4),MATCH(DATE($AV$1,MONTH($B$104),F$3),'Сводный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график'!$B$1:$B$4),MATCH(DATE($AV$1,MONTH($B$104),F$3),'Сводный годовой график'!$C$15:$AR$15)))</f>
        <v>#N/A</v>
      </c>
      <c r="G110" s="92" t="e">
        <f ca="1">IF(AND(INDEX('Сводный годовой график'!$C$1:$AR$4,MATCH($C$110,'Сводный годовой график'!$B$1:$B$4),MATCH(DATE($AV$1,MONTH($B$104),G$3),'Сводный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график'!$B$1:$B$4),MATCH(DATE($AV$1,MONTH($B$104),G$3),'Сводный годовой график'!$C$15:$AR$15)))</f>
        <v>#N/A</v>
      </c>
      <c r="H110" s="92" t="e">
        <f ca="1">IF(AND(INDEX('Сводный годовой график'!$C$1:$AR$4,MATCH($C$110,'Сводный годовой график'!$B$1:$B$4),MATCH(DATE($AV$1,MONTH($B$104),H$3),'Сводный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график'!$B$1:$B$4),MATCH(DATE($AV$1,MONTH($B$104),H$3),'Сводный годовой график'!$C$15:$AR$15)))</f>
        <v>#N/A</v>
      </c>
      <c r="I110" s="92" t="e">
        <f ca="1">IF(AND(INDEX('Сводный годовой график'!$C$1:$AR$4,MATCH($C$110,'Сводный годовой график'!$B$1:$B$4),MATCH(DATE($AV$1,MONTH($B$104),I$3),'Сводный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график'!$B$1:$B$4),MATCH(DATE($AV$1,MONTH($B$104),I$3),'Сводный годовой график'!$C$15:$AR$15)))</f>
        <v>#N/A</v>
      </c>
      <c r="J110" s="92" t="e">
        <f ca="1">IF(AND(INDEX('Сводный годовой график'!$C$1:$AR$4,MATCH($C$110,'Сводный годовой график'!$B$1:$B$4),MATCH(DATE($AV$1,MONTH($B$104),J$3),'Сводный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график'!$B$1:$B$4),MATCH(DATE($AV$1,MONTH($B$104),J$3),'Сводный годовой график'!$C$15:$AR$15)))</f>
        <v>#N/A</v>
      </c>
      <c r="K110" s="92" t="e">
        <f ca="1">IF(AND(INDEX('Сводный годовой график'!$C$1:$AR$4,MATCH($C$110,'Сводный годовой график'!$B$1:$B$4),MATCH(DATE($AV$1,MONTH($B$104),K$3),'Сводный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график'!$B$1:$B$4),MATCH(DATE($AV$1,MONTH($B$104),K$3),'Сводный годовой график'!$C$15:$AR$15)))</f>
        <v>#N/A</v>
      </c>
      <c r="L110" s="92" t="e">
        <f ca="1">IF(AND(INDEX('Сводный годовой график'!$C$1:$AR$4,MATCH($C$110,'Сводный годовой график'!$B$1:$B$4),MATCH(DATE($AV$1,MONTH($B$104),L$3),'Сводный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график'!$B$1:$B$4),MATCH(DATE($AV$1,MONTH($B$104),L$3),'Сводный годовой график'!$C$15:$AR$15)))</f>
        <v>#N/A</v>
      </c>
      <c r="M110" s="92" t="e">
        <f ca="1">IF(AND(INDEX('Сводный годовой график'!$C$1:$AR$4,MATCH($C$110,'Сводный годовой график'!$B$1:$B$4),MATCH(DATE($AV$1,MONTH($B$104),M$3),'Сводный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график'!$B$1:$B$4),MATCH(DATE($AV$1,MONTH($B$104),M$3),'Сводный годовой график'!$C$15:$AR$15)))</f>
        <v>#N/A</v>
      </c>
      <c r="N110" s="92" t="e">
        <f ca="1">IF(AND(INDEX('Сводный годовой график'!$C$1:$AR$4,MATCH($C$110,'Сводный годовой график'!$B$1:$B$4),MATCH(DATE($AV$1,MONTH($B$104),N$3),'Сводный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график'!$B$1:$B$4),MATCH(DATE($AV$1,MONTH($B$104),N$3),'Сводный годовой график'!$C$15:$AR$15)))</f>
        <v>#N/A</v>
      </c>
      <c r="O110" s="92" t="e">
        <f ca="1">IF(AND(INDEX('Сводный годовой график'!$C$1:$AR$4,MATCH($C$110,'Сводный годовой график'!$B$1:$B$4),MATCH(DATE($AV$1,MONTH($B$104),O$3),'Сводный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график'!$B$1:$B$4),MATCH(DATE($AV$1,MONTH($B$104),O$3),'Сводный годовой график'!$C$15:$AR$15)))</f>
        <v>#N/A</v>
      </c>
      <c r="P110" s="92" t="e">
        <f ca="1">IF(AND(INDEX('Сводный годовой график'!$C$1:$AR$4,MATCH($C$110,'Сводный годовой график'!$B$1:$B$4),MATCH(DATE($AV$1,MONTH($B$104),P$3),'Сводный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график'!$B$1:$B$4),MATCH(DATE($AV$1,MONTH($B$104),P$3),'Сводный годовой график'!$C$15:$AR$15)))</f>
        <v>#N/A</v>
      </c>
      <c r="Q110" s="92" t="e">
        <f ca="1">IF(AND(INDEX('Сводный годовой график'!$C$1:$AR$4,MATCH($C$110,'Сводный годовой график'!$B$1:$B$4),MATCH(DATE($AV$1,MONTH($B$104),Q$3),'Сводный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график'!$B$1:$B$4),MATCH(DATE($AV$1,MONTH($B$104),Q$3),'Сводный годовой график'!$C$15:$AR$15)))</f>
        <v>#N/A</v>
      </c>
      <c r="R110" s="92" t="e">
        <f ca="1">IF(AND(INDEX('Сводный годовой график'!$C$1:$AR$4,MATCH($C$110,'Сводный годовой график'!$B$1:$B$4),MATCH(DATE($AV$1,MONTH($B$104),R$3),'Сводный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график'!$B$1:$B$4),MATCH(DATE($AV$1,MONTH($B$104),R$3),'Сводный годовой график'!$C$15:$AR$15)))</f>
        <v>#N/A</v>
      </c>
      <c r="S110" s="92" t="e">
        <f ca="1">IF(AND(INDEX('Сводный годовой график'!$C$1:$AR$4,MATCH($C$110,'Сводный годовой график'!$B$1:$B$4),MATCH(DATE($AV$1,MONTH($B$104),S$3),'Сводный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график'!$B$1:$B$4),MATCH(DATE($AV$1,MONTH($B$104),S$3),'Сводный годовой график'!$C$15:$AR$15)))</f>
        <v>#N/A</v>
      </c>
      <c r="T110" s="92" t="e">
        <f ca="1">IF(AND(INDEX('Сводный годовой график'!$C$1:$AR$4,MATCH($C$110,'Сводный годовой график'!$B$1:$B$4),MATCH(DATE($AV$1,MONTH($B$104),T$3),'Сводный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график'!$B$1:$B$4),MATCH(DATE($AV$1,MONTH($B$104),T$3),'Сводный годовой график'!$C$15:$AR$15)))</f>
        <v>#N/A</v>
      </c>
      <c r="U110" s="92" t="e">
        <f ca="1">IF(AND(INDEX('Сводный годовой график'!$C$1:$AR$4,MATCH($C$110,'Сводный годовой график'!$B$1:$B$4),MATCH(DATE($AV$1,MONTH($B$104),U$3),'Сводный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график'!$B$1:$B$4),MATCH(DATE($AV$1,MONTH($B$104),U$3),'Сводный годовой график'!$C$15:$AR$15)))</f>
        <v>#N/A</v>
      </c>
      <c r="V110" s="92" t="e">
        <f ca="1">IF(AND(INDEX('Сводный годовой график'!$C$1:$AR$4,MATCH($C$110,'Сводный годовой график'!$B$1:$B$4),MATCH(DATE($AV$1,MONTH($B$104),V$3),'Сводный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график'!$B$1:$B$4),MATCH(DATE($AV$1,MONTH($B$104),V$3),'Сводный годовой график'!$C$15:$AR$15)))</f>
        <v>#N/A</v>
      </c>
      <c r="W110" s="92" t="e">
        <f ca="1">IF(AND(INDEX('Сводный годовой график'!$C$1:$AR$4,MATCH($C$110,'Сводный годовой график'!$B$1:$B$4),MATCH(DATE($AV$1,MONTH($B$104),W$3),'Сводный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график'!$B$1:$B$4),MATCH(DATE($AV$1,MONTH($B$104),W$3),'Сводный годовой график'!$C$15:$AR$15)))</f>
        <v>#N/A</v>
      </c>
      <c r="X110" s="92" t="e">
        <f ca="1">IF(AND(INDEX('Сводный годовой график'!$C$1:$AR$4,MATCH($C$110,'Сводный годовой график'!$B$1:$B$4),MATCH(DATE($AV$1,MONTH($B$104),X$3),'Сводный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график'!$B$1:$B$4),MATCH(DATE($AV$1,MONTH($B$104),X$3),'Сводный годовой график'!$C$15:$AR$15)))</f>
        <v>#N/A</v>
      </c>
      <c r="Y110" s="92" t="e">
        <f ca="1">IF(AND(INDEX('Сводный годовой график'!$C$1:$AR$4,MATCH($C$110,'Сводный годовой график'!$B$1:$B$4),MATCH(DATE($AV$1,MONTH($B$104),Y$3),'Сводный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график'!$B$1:$B$4),MATCH(DATE($AV$1,MONTH($B$104),Y$3),'Сводный годовой график'!$C$15:$AR$15)))</f>
        <v>#N/A</v>
      </c>
      <c r="Z110" s="92" t="e">
        <f ca="1">IF(AND(INDEX('Сводный годовой график'!$C$1:$AR$4,MATCH($C$110,'Сводный годовой график'!$B$1:$B$4),MATCH(DATE($AV$1,MONTH($B$104),Z$3),'Сводный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график'!$B$1:$B$4),MATCH(DATE($AV$1,MONTH($B$104),Z$3),'Сводный годовой график'!$C$15:$AR$15)))</f>
        <v>#N/A</v>
      </c>
      <c r="AA110" s="92" t="e">
        <f ca="1">IF(AND(INDEX('Сводный годовой график'!$C$1:$AR$4,MATCH($C$110,'Сводный годовой график'!$B$1:$B$4),MATCH(DATE($AV$1,MONTH($B$104),AA$3),'Сводный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график'!$B$1:$B$4),MATCH(DATE($AV$1,MONTH($B$104),AA$3),'Сводный годовой график'!$C$15:$AR$15)))</f>
        <v>#N/A</v>
      </c>
      <c r="AB110" s="92" t="e">
        <f ca="1">IF(AND(INDEX('Сводный годовой график'!$C$1:$AR$4,MATCH($C$110,'Сводный годовой график'!$B$1:$B$4),MATCH(DATE($AV$1,MONTH($B$104),AB$3),'Сводный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график'!$B$1:$B$4),MATCH(DATE($AV$1,MONTH($B$104),AB$3),'Сводный годовой график'!$C$15:$AR$15)))</f>
        <v>#N/A</v>
      </c>
      <c r="AC110" s="92" t="e">
        <f ca="1">IF(AND(INDEX('Сводный годовой график'!$C$1:$AR$4,MATCH($C$110,'Сводный годовой график'!$B$1:$B$4),MATCH(DATE($AV$1,MONTH($B$104),AC$3),'Сводный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график'!$B$1:$B$4),MATCH(DATE($AV$1,MONTH($B$104),AC$3),'Сводный годовой график'!$C$15:$AR$15)))</f>
        <v>#N/A</v>
      </c>
      <c r="AD110" s="92" t="e">
        <f ca="1">IF(AND(INDEX('Сводный годовой график'!$C$1:$AR$4,MATCH($C$110,'Сводный годовой график'!$B$1:$B$4),MATCH(DATE($AV$1,MONTH($B$104),AD$3),'Сводный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график'!$B$1:$B$4),MATCH(DATE($AV$1,MONTH($B$104),AD$3),'Сводный годовой график'!$C$15:$AR$15)))</f>
        <v>#N/A</v>
      </c>
      <c r="AE110" s="92" t="e">
        <f ca="1">IF(AND(INDEX('Сводный годовой график'!$C$1:$AR$4,MATCH($C$110,'Сводный годовой график'!$B$1:$B$4),MATCH(DATE($AV$1,MONTH($B$104),AE$3),'Сводный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график'!$B$1:$B$4),MATCH(DATE($AV$1,MONTH($B$104),AE$3),'Сводный годовой график'!$C$15:$AR$15)))</f>
        <v>#N/A</v>
      </c>
      <c r="AF110" s="92" t="e">
        <f ca="1">IF(AND(INDEX('Сводный годовой график'!$C$1:$AR$4,MATCH($C$110,'Сводный годовой график'!$B$1:$B$4),MATCH(DATE($AV$1,MONTH($B$104),AF$3),'Сводный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график'!$B$1:$B$4),MATCH(DATE($AV$1,MONTH($B$104),AF$3),'Сводный годовой график'!$C$15:$AR$15)))</f>
        <v>#N/A</v>
      </c>
      <c r="AG110" s="92" t="e">
        <f ca="1">IF(AND(INDEX('Сводный годовой график'!$C$1:$AR$4,MATCH($C$110,'Сводный годовой график'!$B$1:$B$4),MATCH(DATE($AV$1,MONTH($B$104),AG$3),'Сводный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график'!$B$1:$B$4),MATCH(DATE($AV$1,MONTH($B$104),AG$3),'Сводный годовой график'!$C$15:$AR$15)))</f>
        <v>#N/A</v>
      </c>
      <c r="AH110" s="92" t="e">
        <f ca="1">IF(AND(INDEX('Сводный годовой график'!$C$1:$AR$4,MATCH($C$110,'Сводный годовой график'!$B$1:$B$4),MATCH(DATE($AV$1,MONTH($B$104),AH$3),'Сводный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график'!$B$1:$B$4),MATCH(DATE($AV$1,MONTH($B$104),AH$3),'Сводный годовой график'!$C$15:$AR$15)))</f>
        <v>#N/A</v>
      </c>
      <c r="AI110" s="110"/>
      <c r="AJ110" s="206"/>
      <c r="AK110" s="209">
        <f>$AJ$104-SUM(AY110:CC111)</f>
        <v>151</v>
      </c>
      <c r="AL110" s="209" t="e">
        <f t="shared" ref="AL110" ca="1" si="193">SUM(E110:AI111)</f>
        <v>#N/A</v>
      </c>
      <c r="AM110" s="209" t="e">
        <f t="shared" ref="AM110" ca="1" si="194">SUM(H110)</f>
        <v>#N/A</v>
      </c>
      <c r="AN110" s="211" t="e">
        <f t="shared" ref="AN110" ca="1" si="195">-AM110-AK110+AL110</f>
        <v>#N/A</v>
      </c>
      <c r="AO110" s="211">
        <v>0</v>
      </c>
      <c r="AP110" s="211" t="e">
        <f t="shared" ref="AP110" ca="1" si="196">AN110+AP100</f>
        <v>#N/A</v>
      </c>
      <c r="AQ110" s="209">
        <v>0</v>
      </c>
      <c r="AR110" s="210">
        <v>1</v>
      </c>
      <c r="CK110" s="59"/>
      <c r="CL110" s="59"/>
      <c r="CM110" s="59"/>
      <c r="CN110" s="59"/>
      <c r="CO110" s="59"/>
      <c r="CP110" s="59"/>
      <c r="CQ110" s="59"/>
      <c r="CR110" s="59"/>
      <c r="CS110" s="59"/>
      <c r="CT110" s="59"/>
      <c r="CU110" s="59"/>
      <c r="CV110" s="59"/>
      <c r="CW110" s="59"/>
      <c r="CX110" s="59"/>
      <c r="CY110" s="59"/>
      <c r="CZ110" s="59"/>
      <c r="DA110" s="59"/>
      <c r="DB110" s="59"/>
      <c r="DC110" s="59"/>
      <c r="DD110" s="59"/>
      <c r="DE110" s="59"/>
      <c r="DF110" s="59"/>
      <c r="DG110" s="59"/>
      <c r="DH110" s="59"/>
      <c r="DI110" s="59"/>
      <c r="DJ110" s="59"/>
      <c r="DK110" s="59"/>
      <c r="DL110" s="59"/>
      <c r="DM110" s="59"/>
      <c r="DN110" s="59"/>
      <c r="DO110" s="59"/>
    </row>
    <row r="111" spans="2:119" ht="16.5" thickBot="1" x14ac:dyDescent="0.3">
      <c r="B111" s="201"/>
      <c r="C111" s="197"/>
      <c r="D111" s="82">
        <v>8</v>
      </c>
      <c r="E111" s="96" t="str">
        <f t="shared" ref="E111:AH111" si="197">IF(INDEX($CK$4:$DO$123,ROW()-3,E$3)=0,"","СП")</f>
        <v/>
      </c>
      <c r="F111" s="92" t="str">
        <f t="shared" si="197"/>
        <v/>
      </c>
      <c r="G111" s="92" t="str">
        <f t="shared" si="197"/>
        <v/>
      </c>
      <c r="H111" s="92" t="str">
        <f t="shared" si="197"/>
        <v/>
      </c>
      <c r="I111" s="92" t="str">
        <f t="shared" si="197"/>
        <v/>
      </c>
      <c r="J111" s="92" t="str">
        <f t="shared" si="197"/>
        <v/>
      </c>
      <c r="K111" s="92" t="str">
        <f t="shared" si="197"/>
        <v/>
      </c>
      <c r="L111" s="92" t="str">
        <f t="shared" si="197"/>
        <v/>
      </c>
      <c r="M111" s="92" t="str">
        <f t="shared" si="197"/>
        <v/>
      </c>
      <c r="N111" s="92" t="str">
        <f t="shared" si="197"/>
        <v/>
      </c>
      <c r="O111" s="92" t="str">
        <f t="shared" si="197"/>
        <v/>
      </c>
      <c r="P111" s="92" t="str">
        <f t="shared" si="197"/>
        <v/>
      </c>
      <c r="Q111" s="92" t="str">
        <f t="shared" si="197"/>
        <v/>
      </c>
      <c r="R111" s="92" t="str">
        <f t="shared" si="197"/>
        <v>СП</v>
      </c>
      <c r="S111" s="92" t="str">
        <f t="shared" si="197"/>
        <v/>
      </c>
      <c r="T111" s="92" t="str">
        <f t="shared" si="197"/>
        <v/>
      </c>
      <c r="U111" s="92" t="str">
        <f t="shared" si="197"/>
        <v/>
      </c>
      <c r="V111" s="92" t="str">
        <f t="shared" si="197"/>
        <v/>
      </c>
      <c r="W111" s="92" t="str">
        <f t="shared" si="197"/>
        <v/>
      </c>
      <c r="X111" s="92" t="str">
        <f t="shared" si="197"/>
        <v/>
      </c>
      <c r="Y111" s="92" t="str">
        <f t="shared" si="197"/>
        <v/>
      </c>
      <c r="Z111" s="92" t="str">
        <f t="shared" si="197"/>
        <v/>
      </c>
      <c r="AA111" s="92" t="str">
        <f t="shared" si="197"/>
        <v/>
      </c>
      <c r="AB111" s="92" t="str">
        <f t="shared" si="197"/>
        <v/>
      </c>
      <c r="AC111" s="92" t="str">
        <f t="shared" si="197"/>
        <v/>
      </c>
      <c r="AD111" s="92" t="str">
        <f t="shared" si="197"/>
        <v/>
      </c>
      <c r="AE111" s="92" t="str">
        <f t="shared" si="197"/>
        <v/>
      </c>
      <c r="AF111" s="92" t="str">
        <f t="shared" si="197"/>
        <v/>
      </c>
      <c r="AG111" s="92" t="str">
        <f t="shared" si="197"/>
        <v/>
      </c>
      <c r="AH111" s="92" t="str">
        <f t="shared" si="197"/>
        <v/>
      </c>
      <c r="AI111" s="110"/>
      <c r="AJ111" s="206"/>
      <c r="AK111" s="209"/>
      <c r="AL111" s="209"/>
      <c r="AM111" s="209"/>
      <c r="AN111" s="211"/>
      <c r="AO111" s="211"/>
      <c r="AP111" s="211"/>
      <c r="AQ111" s="209"/>
      <c r="AR111" s="210"/>
      <c r="CK111" s="58">
        <f>IF(DAY(INDEX('Сводный годовой график'!$BA$4:$BL$14,$C110,MONTH($B$104)))=E$3,1,0)</f>
        <v>0</v>
      </c>
      <c r="CL111" s="58">
        <f>IF(DAY(INDEX('Сводный годовой график'!$BA$4:$BL$14,$C110,MONTH($B$104)))=F$3,1,0)</f>
        <v>0</v>
      </c>
      <c r="CM111" s="58">
        <f>IF(DAY(INDEX('Сводный годовой график'!$BA$4:$BL$14,$C110,MONTH($B$104)))=G$3,1,0)</f>
        <v>0</v>
      </c>
      <c r="CN111" s="58">
        <f>IF(DAY(INDEX('Сводный годовой график'!$BA$4:$BL$14,$C110,MONTH($B$104)))=H$3,1,0)</f>
        <v>0</v>
      </c>
      <c r="CO111" s="58">
        <f>IF(DAY(INDEX('Сводный годовой график'!$BA$4:$BL$14,$C110,MONTH($B$104)))=I$3,1,0)</f>
        <v>0</v>
      </c>
      <c r="CP111" s="58">
        <f>IF(DAY(INDEX('Сводный годовой график'!$BA$4:$BL$14,$C110,MONTH($B$104)))=J$3,1,0)</f>
        <v>0</v>
      </c>
      <c r="CQ111" s="58">
        <f>IF(DAY(INDEX('Сводный годовой график'!$BA$4:$BL$14,$C110,MONTH($B$104)))=K$3,1,0)</f>
        <v>0</v>
      </c>
      <c r="CR111" s="58">
        <f>IF(DAY(INDEX('Сводный годовой график'!$BA$4:$BL$14,$C110,MONTH($B$104)))=L$3,1,0)</f>
        <v>0</v>
      </c>
      <c r="CS111" s="58">
        <f>IF(DAY(INDEX('Сводный годовой график'!$BA$4:$BL$14,$C110,MONTH($B$104)))=M$3,1,0)</f>
        <v>0</v>
      </c>
      <c r="CT111" s="58">
        <f>IF(DAY(INDEX('Сводный годовой график'!$BA$4:$BL$14,$C110,MONTH($B$104)))=N$3,1,0)</f>
        <v>0</v>
      </c>
      <c r="CU111" s="58">
        <f>IF(DAY(INDEX('Сводный годовой график'!$BA$4:$BL$14,$C110,MONTH($B$104)))=O$3,1,0)</f>
        <v>0</v>
      </c>
      <c r="CV111" s="58">
        <f>IF(DAY(INDEX('Сводный годовой график'!$BA$4:$BL$14,$C110,MONTH($B$104)))=P$3,1,0)</f>
        <v>0</v>
      </c>
      <c r="CW111" s="58">
        <f>IF(DAY(INDEX('Сводный годовой график'!$BA$4:$BL$14,$C110,MONTH($B$104)))=Q$3,1,0)</f>
        <v>0</v>
      </c>
      <c r="CX111" s="58">
        <f>IF(DAY(INDEX('Сводный годовой график'!$BA$4:$BL$14,$C110,MONTH($B$104)))=R$3,1,0)</f>
        <v>1</v>
      </c>
      <c r="CY111" s="58">
        <f>IF(DAY(INDEX('Сводный годовой график'!$BA$4:$BL$14,$C110,MONTH($B$104)))=S$3,1,0)</f>
        <v>0</v>
      </c>
      <c r="CZ111" s="58">
        <f>IF(DAY(INDEX('Сводный годовой график'!$BA$4:$BL$14,$C110,MONTH($B$104)))=T$3,1,0)</f>
        <v>0</v>
      </c>
      <c r="DA111" s="58">
        <f>IF(DAY(INDEX('Сводный годовой график'!$BA$4:$BL$14,$C110,MONTH($B$104)))=U$3,1,0)</f>
        <v>0</v>
      </c>
      <c r="DB111" s="58">
        <f>IF(DAY(INDEX('Сводный годовой график'!$BA$4:$BL$14,$C110,MONTH($B$104)))=V$3,1,0)</f>
        <v>0</v>
      </c>
      <c r="DC111" s="58">
        <f>IF(DAY(INDEX('Сводный годовой график'!$BA$4:$BL$14,$C110,MONTH($B$104)))=W$3,1,0)</f>
        <v>0</v>
      </c>
      <c r="DD111" s="58">
        <f>IF(DAY(INDEX('Сводный годовой график'!$BA$4:$BL$14,$C110,MONTH($B$104)))=X$3,1,0)</f>
        <v>0</v>
      </c>
      <c r="DE111" s="58">
        <f>IF(DAY(INDEX('Сводный годовой график'!$BA$4:$BL$14,$C110,MONTH($B$104)))=Y$3,1,0)</f>
        <v>0</v>
      </c>
      <c r="DF111" s="58">
        <f>IF(DAY(INDEX('Сводный годовой график'!$BA$4:$BL$14,$C110,MONTH($B$104)))=Z$3,1,0)</f>
        <v>0</v>
      </c>
      <c r="DG111" s="58">
        <f>IF(DAY(INDEX('Сводный годовой график'!$BA$4:$BL$14,$C110,MONTH($B$104)))=AA$3,1,0)</f>
        <v>0</v>
      </c>
      <c r="DH111" s="58">
        <f>IF(DAY(INDEX('Сводный годовой график'!$BA$4:$BL$14,$C110,MONTH($B$104)))=AB$3,1,0)</f>
        <v>0</v>
      </c>
      <c r="DI111" s="58">
        <f>IF(DAY(INDEX('Сводный годовой график'!$BA$4:$BL$14,$C110,MONTH($B$104)))=AC$3,1,0)</f>
        <v>0</v>
      </c>
      <c r="DJ111" s="58">
        <f>IF(DAY(INDEX('Сводный годовой график'!$BA$4:$BL$14,$C110,MONTH($B$104)))=AD$3,1,0)</f>
        <v>0</v>
      </c>
      <c r="DK111" s="58">
        <f>IF(DAY(INDEX('Сводный годовой график'!$BA$4:$BL$14,$C110,MONTH($B$104)))=AE$3,1,0)</f>
        <v>0</v>
      </c>
      <c r="DL111" s="58">
        <f>IF(DAY(INDEX('Сводный годовой график'!$BA$4:$BL$14,$C110,MONTH($B$104)))=AF$3,1,0)</f>
        <v>0</v>
      </c>
      <c r="DM111" s="58">
        <f>IF(DAY(INDEX('Сводный годовой график'!$BA$4:$BL$14,$C110,MONTH($B$104)))=AG$3,1,0)</f>
        <v>0</v>
      </c>
      <c r="DN111" s="58">
        <f>IF(DAY(INDEX('Сводный годовой график'!$BA$4:$BL$14,$C110,MONTH($B$104)))=AH$3,1,0)</f>
        <v>0</v>
      </c>
      <c r="DO111" s="58">
        <f>IF(DAY(INDEX('Сводный годовой график'!$BA$4:$BL$14,$C110,MONTH($B$104)))=AI$3,1,0)</f>
        <v>0</v>
      </c>
    </row>
    <row r="112" spans="2:119" ht="16.5" thickBot="1" x14ac:dyDescent="0.3">
      <c r="B112" s="201"/>
      <c r="C112" s="196">
        <v>5</v>
      </c>
      <c r="D112" s="81">
        <v>9</v>
      </c>
      <c r="E112" s="96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110"/>
      <c r="AJ112" s="206"/>
      <c r="AK112" s="209">
        <f>$AJ$104-SUM(AY112:CC113)</f>
        <v>151</v>
      </c>
      <c r="AL112" s="209">
        <f t="shared" ref="AL112" si="198">SUM(E112:AI113)</f>
        <v>0</v>
      </c>
      <c r="AM112" s="209">
        <f t="shared" ref="AM112" si="199">SUM(H112)</f>
        <v>0</v>
      </c>
      <c r="AN112" s="211">
        <f t="shared" ref="AN112" si="200">-AM112-AK112+AL112</f>
        <v>-151</v>
      </c>
      <c r="AO112" s="211">
        <v>0</v>
      </c>
      <c r="AP112" s="211">
        <f t="shared" ref="AP112" si="201">AN112+AP102</f>
        <v>-1868</v>
      </c>
      <c r="AQ112" s="209">
        <v>14</v>
      </c>
      <c r="AR112" s="210">
        <v>1</v>
      </c>
      <c r="CK112" s="59"/>
      <c r="CL112" s="59"/>
      <c r="CM112" s="59"/>
      <c r="CN112" s="59"/>
      <c r="CO112" s="59"/>
      <c r="CP112" s="59"/>
      <c r="CQ112" s="59"/>
      <c r="CR112" s="59"/>
      <c r="CS112" s="59"/>
      <c r="CT112" s="59"/>
      <c r="CU112" s="59"/>
      <c r="CV112" s="59"/>
      <c r="CW112" s="59"/>
      <c r="CX112" s="59"/>
      <c r="CY112" s="59"/>
      <c r="CZ112" s="59"/>
      <c r="DA112" s="59"/>
      <c r="DB112" s="59"/>
      <c r="DC112" s="59"/>
      <c r="DD112" s="59"/>
      <c r="DE112" s="59"/>
      <c r="DF112" s="59"/>
      <c r="DG112" s="59"/>
      <c r="DH112" s="59"/>
      <c r="DI112" s="59"/>
      <c r="DJ112" s="59"/>
      <c r="DK112" s="59"/>
      <c r="DL112" s="59"/>
      <c r="DM112" s="59"/>
      <c r="DN112" s="59"/>
      <c r="DO112" s="59"/>
    </row>
    <row r="113" spans="2:119" ht="16.5" thickBot="1" x14ac:dyDescent="0.3">
      <c r="B113" s="202"/>
      <c r="C113" s="212"/>
      <c r="D113" s="99">
        <v>10</v>
      </c>
      <c r="E113" s="87" t="str">
        <f t="shared" ref="E113:AH113" si="202">IF(INDEX($CK$4:$DO$123,ROW()-3,E$3)=0,"","СП")</f>
        <v/>
      </c>
      <c r="F113" s="30" t="str">
        <f t="shared" si="202"/>
        <v/>
      </c>
      <c r="G113" s="30" t="str">
        <f t="shared" si="202"/>
        <v/>
      </c>
      <c r="H113" s="30" t="str">
        <f t="shared" si="202"/>
        <v/>
      </c>
      <c r="I113" s="30" t="str">
        <f t="shared" si="202"/>
        <v/>
      </c>
      <c r="J113" s="30" t="str">
        <f t="shared" si="202"/>
        <v/>
      </c>
      <c r="K113" s="30" t="str">
        <f t="shared" si="202"/>
        <v/>
      </c>
      <c r="L113" s="30" t="str">
        <f t="shared" si="202"/>
        <v/>
      </c>
      <c r="M113" s="30" t="str">
        <f t="shared" si="202"/>
        <v/>
      </c>
      <c r="N113" s="30" t="str">
        <f t="shared" si="202"/>
        <v/>
      </c>
      <c r="O113" s="30" t="str">
        <f t="shared" si="202"/>
        <v/>
      </c>
      <c r="P113" s="30" t="str">
        <f t="shared" si="202"/>
        <v/>
      </c>
      <c r="Q113" s="30" t="str">
        <f t="shared" si="202"/>
        <v/>
      </c>
      <c r="R113" s="30" t="str">
        <f t="shared" si="202"/>
        <v/>
      </c>
      <c r="S113" s="30" t="str">
        <f t="shared" si="202"/>
        <v>СП</v>
      </c>
      <c r="T113" s="30" t="str">
        <f t="shared" si="202"/>
        <v/>
      </c>
      <c r="U113" s="30" t="str">
        <f t="shared" si="202"/>
        <v/>
      </c>
      <c r="V113" s="30" t="str">
        <f t="shared" si="202"/>
        <v/>
      </c>
      <c r="W113" s="30" t="str">
        <f t="shared" si="202"/>
        <v/>
      </c>
      <c r="X113" s="30" t="str">
        <f t="shared" si="202"/>
        <v/>
      </c>
      <c r="Y113" s="30" t="str">
        <f t="shared" si="202"/>
        <v/>
      </c>
      <c r="Z113" s="30" t="str">
        <f t="shared" si="202"/>
        <v/>
      </c>
      <c r="AA113" s="30" t="str">
        <f t="shared" si="202"/>
        <v/>
      </c>
      <c r="AB113" s="30" t="str">
        <f t="shared" si="202"/>
        <v/>
      </c>
      <c r="AC113" s="30" t="str">
        <f t="shared" si="202"/>
        <v/>
      </c>
      <c r="AD113" s="30" t="str">
        <f t="shared" si="202"/>
        <v/>
      </c>
      <c r="AE113" s="30" t="str">
        <f t="shared" si="202"/>
        <v/>
      </c>
      <c r="AF113" s="30" t="str">
        <f t="shared" si="202"/>
        <v/>
      </c>
      <c r="AG113" s="30" t="str">
        <f t="shared" si="202"/>
        <v/>
      </c>
      <c r="AH113" s="30" t="str">
        <f t="shared" si="202"/>
        <v/>
      </c>
      <c r="AI113" s="123"/>
      <c r="AJ113" s="207"/>
      <c r="AK113" s="213"/>
      <c r="AL113" s="213"/>
      <c r="AM113" s="213"/>
      <c r="AN113" s="214"/>
      <c r="AO113" s="214"/>
      <c r="AP113" s="214"/>
      <c r="AQ113" s="213"/>
      <c r="AR113" s="215"/>
      <c r="CK113" s="58">
        <f>IF(DAY(INDEX('Сводный годовой график'!$BA$4:$BL$14,$C112,MONTH($B$104)))=E$3,1,0)</f>
        <v>0</v>
      </c>
      <c r="CL113" s="58">
        <f>IF(DAY(INDEX('Сводный годовой график'!$BA$4:$BL$14,$C112,MONTH($B$104)))=F$3,1,0)</f>
        <v>0</v>
      </c>
      <c r="CM113" s="58">
        <f>IF(DAY(INDEX('Сводный годовой график'!$BA$4:$BL$14,$C112,MONTH($B$104)))=G$3,1,0)</f>
        <v>0</v>
      </c>
      <c r="CN113" s="58">
        <f>IF(DAY(INDEX('Сводный годовой график'!$BA$4:$BL$14,$C112,MONTH($B$104)))=H$3,1,0)</f>
        <v>0</v>
      </c>
      <c r="CO113" s="58">
        <f>IF(DAY(INDEX('Сводный годовой график'!$BA$4:$BL$14,$C112,MONTH($B$104)))=I$3,1,0)</f>
        <v>0</v>
      </c>
      <c r="CP113" s="58">
        <f>IF(DAY(INDEX('Сводный годовой график'!$BA$4:$BL$14,$C112,MONTH($B$104)))=J$3,1,0)</f>
        <v>0</v>
      </c>
      <c r="CQ113" s="58">
        <f>IF(DAY(INDEX('Сводный годовой график'!$BA$4:$BL$14,$C112,MONTH($B$104)))=K$3,1,0)</f>
        <v>0</v>
      </c>
      <c r="CR113" s="58">
        <f>IF(DAY(INDEX('Сводный годовой график'!$BA$4:$BL$14,$C112,MONTH($B$104)))=L$3,1,0)</f>
        <v>0</v>
      </c>
      <c r="CS113" s="58">
        <f>IF(DAY(INDEX('Сводный годовой график'!$BA$4:$BL$14,$C112,MONTH($B$104)))=M$3,1,0)</f>
        <v>0</v>
      </c>
      <c r="CT113" s="58">
        <f>IF(DAY(INDEX('Сводный годовой график'!$BA$4:$BL$14,$C112,MONTH($B$104)))=N$3,1,0)</f>
        <v>0</v>
      </c>
      <c r="CU113" s="58">
        <f>IF(DAY(INDEX('Сводный годовой график'!$BA$4:$BL$14,$C112,MONTH($B$104)))=O$3,1,0)</f>
        <v>0</v>
      </c>
      <c r="CV113" s="58">
        <f>IF(DAY(INDEX('Сводный годовой график'!$BA$4:$BL$14,$C112,MONTH($B$104)))=P$3,1,0)</f>
        <v>0</v>
      </c>
      <c r="CW113" s="58">
        <f>IF(DAY(INDEX('Сводный годовой график'!$BA$4:$BL$14,$C112,MONTH($B$104)))=Q$3,1,0)</f>
        <v>0</v>
      </c>
      <c r="CX113" s="58">
        <f>IF(DAY(INDEX('Сводный годовой график'!$BA$4:$BL$14,$C112,MONTH($B$104)))=R$3,1,0)</f>
        <v>0</v>
      </c>
      <c r="CY113" s="58">
        <f>IF(DAY(INDEX('Сводный годовой график'!$BA$4:$BL$14,$C112,MONTH($B$104)))=S$3,1,0)</f>
        <v>1</v>
      </c>
      <c r="CZ113" s="58">
        <f>IF(DAY(INDEX('Сводный годовой график'!$BA$4:$BL$14,$C112,MONTH($B$104)))=T$3,1,0)</f>
        <v>0</v>
      </c>
      <c r="DA113" s="58">
        <f>IF(DAY(INDEX('Сводный годовой график'!$BA$4:$BL$14,$C112,MONTH($B$104)))=U$3,1,0)</f>
        <v>0</v>
      </c>
      <c r="DB113" s="58">
        <f>IF(DAY(INDEX('Сводный годовой график'!$BA$4:$BL$14,$C112,MONTH($B$104)))=V$3,1,0)</f>
        <v>0</v>
      </c>
      <c r="DC113" s="58">
        <f>IF(DAY(INDEX('Сводный годовой график'!$BA$4:$BL$14,$C112,MONTH($B$104)))=W$3,1,0)</f>
        <v>0</v>
      </c>
      <c r="DD113" s="58">
        <f>IF(DAY(INDEX('Сводный годовой график'!$BA$4:$BL$14,$C112,MONTH($B$104)))=X$3,1,0)</f>
        <v>0</v>
      </c>
      <c r="DE113" s="58">
        <f>IF(DAY(INDEX('Сводный годовой график'!$BA$4:$BL$14,$C112,MONTH($B$104)))=Y$3,1,0)</f>
        <v>0</v>
      </c>
      <c r="DF113" s="58">
        <f>IF(DAY(INDEX('Сводный годовой график'!$BA$4:$BL$14,$C112,MONTH($B$104)))=Z$3,1,0)</f>
        <v>0</v>
      </c>
      <c r="DG113" s="58">
        <f>IF(DAY(INDEX('Сводный годовой график'!$BA$4:$BL$14,$C112,MONTH($B$104)))=AA$3,1,0)</f>
        <v>0</v>
      </c>
      <c r="DH113" s="58">
        <f>IF(DAY(INDEX('Сводный годовой график'!$BA$4:$BL$14,$C112,MONTH($B$104)))=AB$3,1,0)</f>
        <v>0</v>
      </c>
      <c r="DI113" s="58">
        <f>IF(DAY(INDEX('Сводный годовой график'!$BA$4:$BL$14,$C112,MONTH($B$104)))=AC$3,1,0)</f>
        <v>0</v>
      </c>
      <c r="DJ113" s="58">
        <f>IF(DAY(INDEX('Сводный годовой график'!$BA$4:$BL$14,$C112,MONTH($B$104)))=AD$3,1,0)</f>
        <v>0</v>
      </c>
      <c r="DK113" s="58">
        <f>IF(DAY(INDEX('Сводный годовой график'!$BA$4:$BL$14,$C112,MONTH($B$104)))=AE$3,1,0)</f>
        <v>0</v>
      </c>
      <c r="DL113" s="58">
        <f>IF(DAY(INDEX('Сводный годовой график'!$BA$4:$BL$14,$C112,MONTH($B$104)))=AF$3,1,0)</f>
        <v>0</v>
      </c>
      <c r="DM113" s="58">
        <f>IF(DAY(INDEX('Сводный годовой график'!$BA$4:$BL$14,$C112,MONTH($B$104)))=AG$3,1,0)</f>
        <v>0</v>
      </c>
      <c r="DN113" s="58">
        <f>IF(DAY(INDEX('Сводный годовой график'!$BA$4:$BL$14,$C112,MONTH($B$104)))=AH$3,1,0)</f>
        <v>0</v>
      </c>
      <c r="DO113" s="58">
        <f>IF(DAY(INDEX('Сводный годовой график'!$BA$4:$BL$14,$C112,MONTH($B$104)))=AI$3,1,0)</f>
        <v>0</v>
      </c>
    </row>
    <row r="114" spans="2:119" ht="17.25" customHeight="1" thickTop="1" thickBot="1" x14ac:dyDescent="0.3">
      <c r="B114" s="200">
        <f>DATE($AV$1,12,1)</f>
        <v>45992</v>
      </c>
      <c r="C114" s="196">
        <v>1</v>
      </c>
      <c r="D114" s="81">
        <v>1</v>
      </c>
      <c r="E114" s="83" t="e">
        <f ca="1">IF(AND(INDEX('Сводный годовой график'!$C$1:$AR$4,MATCH($C$114,'Сводный годовой график'!$B$1:$B$4),MATCH(DATE($AV$1,MONTH($B$114),E$3),'Сводный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график'!$B$1:$B$4),MATCH(DATE($AV$1,MONTH($B$114),E$3),'Сводный годовой график'!$C$16:$AR$16)))</f>
        <v>#N/A</v>
      </c>
      <c r="F114" s="28" t="e">
        <f ca="1">IF(AND(INDEX('Сводный годовой график'!$C$1:$AR$4,MATCH($C$114,'Сводный годовой график'!$B$1:$B$4),MATCH(DATE($AV$1,MONTH($B$114),F$3),'Сводный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график'!$B$1:$B$4),MATCH(DATE($AV$1,MONTH($B$114),F$3),'Сводный годовой график'!$C$16:$AR$16)))</f>
        <v>#N/A</v>
      </c>
      <c r="G114" s="28" t="e">
        <f ca="1">IF(AND(INDEX('Сводный годовой график'!$C$1:$AR$4,MATCH($C$114,'Сводный годовой график'!$B$1:$B$4),MATCH(DATE($AV$1,MONTH($B$114),G$3),'Сводный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график'!$B$1:$B$4),MATCH(DATE($AV$1,MONTH($B$114),G$3),'Сводный годовой график'!$C$16:$AR$16)))</f>
        <v>#N/A</v>
      </c>
      <c r="H114" s="28" t="e">
        <f ca="1">IF(AND(INDEX('Сводный годовой график'!$C$1:$AR$4,MATCH($C$114,'Сводный годовой график'!$B$1:$B$4),MATCH(DATE($AV$1,MONTH($B$114),H$3),'Сводный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график'!$B$1:$B$4),MATCH(DATE($AV$1,MONTH($B$114),H$3),'Сводный годовой график'!$C$16:$AR$16)))</f>
        <v>#N/A</v>
      </c>
      <c r="I114" s="28" t="e">
        <f ca="1">IF(AND(INDEX('Сводный годовой график'!$C$1:$AR$4,MATCH($C$114,'Сводный годовой график'!$B$1:$B$4),MATCH(DATE($AV$1,MONTH($B$114),I$3),'Сводный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график'!$B$1:$B$4),MATCH(DATE($AV$1,MONTH($B$114),I$3),'Сводный годовой график'!$C$16:$AR$16)))</f>
        <v>#N/A</v>
      </c>
      <c r="J114" s="28" t="e">
        <f ca="1">IF(AND(INDEX('Сводный годовой график'!$C$1:$AR$4,MATCH($C$114,'Сводный годовой график'!$B$1:$B$4),MATCH(DATE($AV$1,MONTH($B$114),J$3),'Сводный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график'!$B$1:$B$4),MATCH(DATE($AV$1,MONTH($B$114),J$3),'Сводный годовой график'!$C$16:$AR$16)))</f>
        <v>#N/A</v>
      </c>
      <c r="K114" s="28" t="e">
        <f ca="1">IF(AND(INDEX('Сводный годовой график'!$C$1:$AR$4,MATCH($C$114,'Сводный годовой график'!$B$1:$B$4),MATCH(DATE($AV$1,MONTH($B$114),K$3),'Сводный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график'!$B$1:$B$4),MATCH(DATE($AV$1,MONTH($B$114),K$3),'Сводный годовой график'!$C$16:$AR$16)))</f>
        <v>#N/A</v>
      </c>
      <c r="L114" s="28" t="e">
        <f ca="1">IF(AND(INDEX('Сводный годовой график'!$C$1:$AR$4,MATCH($C$114,'Сводный годовой график'!$B$1:$B$4),MATCH(DATE($AV$1,MONTH($B$114),L$3),'Сводный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график'!$B$1:$B$4),MATCH(DATE($AV$1,MONTH($B$114),L$3),'Сводный годовой график'!$C$16:$AR$16)))</f>
        <v>#N/A</v>
      </c>
      <c r="M114" s="28" t="e">
        <f ca="1">IF(AND(INDEX('Сводный годовой график'!$C$1:$AR$4,MATCH($C$114,'Сводный годовой график'!$B$1:$B$4),MATCH(DATE($AV$1,MONTH($B$114),M$3),'Сводный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график'!$B$1:$B$4),MATCH(DATE($AV$1,MONTH($B$114),M$3),'Сводный годовой график'!$C$16:$AR$16)))</f>
        <v>#N/A</v>
      </c>
      <c r="N114" s="28" t="e">
        <f ca="1">IF(AND(INDEX('Сводный годовой график'!$C$1:$AR$4,MATCH($C$114,'Сводный годовой график'!$B$1:$B$4),MATCH(DATE($AV$1,MONTH($B$114),N$3),'Сводный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график'!$B$1:$B$4),MATCH(DATE($AV$1,MONTH($B$114),N$3),'Сводный годовой график'!$C$16:$AR$16)))</f>
        <v>#N/A</v>
      </c>
      <c r="O114" s="28" t="e">
        <f ca="1">IF(AND(INDEX('Сводный годовой график'!$C$1:$AR$4,MATCH($C$114,'Сводный годовой график'!$B$1:$B$4),MATCH(DATE($AV$1,MONTH($B$114),O$3),'Сводный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график'!$B$1:$B$4),MATCH(DATE($AV$1,MONTH($B$114),O$3),'Сводный годовой график'!$C$16:$AR$16)))</f>
        <v>#N/A</v>
      </c>
      <c r="P114" s="28" t="e">
        <f ca="1">IF(AND(INDEX('Сводный годовой график'!$C$1:$AR$4,MATCH($C$114,'Сводный годовой график'!$B$1:$B$4),MATCH(DATE($AV$1,MONTH($B$114),P$3),'Сводный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график'!$B$1:$B$4),MATCH(DATE($AV$1,MONTH($B$114),P$3),'Сводный годовой график'!$C$16:$AR$16)))</f>
        <v>#N/A</v>
      </c>
      <c r="Q114" s="28" t="e">
        <f ca="1">IF(AND(INDEX('Сводный годовой график'!$C$1:$AR$4,MATCH($C$114,'Сводный годовой график'!$B$1:$B$4),MATCH(DATE($AV$1,MONTH($B$114),Q$3),'Сводный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график'!$B$1:$B$4),MATCH(DATE($AV$1,MONTH($B$114),Q$3),'Сводный годовой график'!$C$16:$AR$16)))</f>
        <v>#N/A</v>
      </c>
      <c r="R114" s="28" t="e">
        <f ca="1">IF(AND(INDEX('Сводный годовой график'!$C$1:$AR$4,MATCH($C$114,'Сводный годовой график'!$B$1:$B$4),MATCH(DATE($AV$1,MONTH($B$114),R$3),'Сводный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график'!$B$1:$B$4),MATCH(DATE($AV$1,MONTH($B$114),R$3),'Сводный годовой график'!$C$16:$AR$16)))</f>
        <v>#N/A</v>
      </c>
      <c r="S114" s="28" t="e">
        <f ca="1">IF(AND(INDEX('Сводный годовой график'!$C$1:$AR$4,MATCH($C$114,'Сводный годовой график'!$B$1:$B$4),MATCH(DATE($AV$1,MONTH($B$114),S$3),'Сводный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график'!$B$1:$B$4),MATCH(DATE($AV$1,MONTH($B$114),S$3),'Сводный годовой график'!$C$16:$AR$16)))</f>
        <v>#N/A</v>
      </c>
      <c r="T114" s="28" t="e">
        <f ca="1">IF(AND(INDEX('Сводный годовой график'!$C$1:$AR$4,MATCH($C$114,'Сводный годовой график'!$B$1:$B$4),MATCH(DATE($AV$1,MONTH($B$114),T$3),'Сводный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график'!$B$1:$B$4),MATCH(DATE($AV$1,MONTH($B$114),T$3),'Сводный годовой график'!$C$16:$AR$16)))</f>
        <v>#N/A</v>
      </c>
      <c r="U114" s="28" t="e">
        <f ca="1">IF(AND(INDEX('Сводный годовой график'!$C$1:$AR$4,MATCH($C$114,'Сводный годовой график'!$B$1:$B$4),MATCH(DATE($AV$1,MONTH($B$114),U$3),'Сводный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график'!$B$1:$B$4),MATCH(DATE($AV$1,MONTH($B$114),U$3),'Сводный годовой график'!$C$16:$AR$16)))</f>
        <v>#N/A</v>
      </c>
      <c r="V114" s="28" t="e">
        <f ca="1">IF(AND(INDEX('Сводный годовой график'!$C$1:$AR$4,MATCH($C$114,'Сводный годовой график'!$B$1:$B$4),MATCH(DATE($AV$1,MONTH($B$114),V$3),'Сводный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график'!$B$1:$B$4),MATCH(DATE($AV$1,MONTH($B$114),V$3),'Сводный годовой график'!$C$16:$AR$16)))</f>
        <v>#N/A</v>
      </c>
      <c r="W114" s="28" t="e">
        <f ca="1">IF(AND(INDEX('Сводный годовой график'!$C$1:$AR$4,MATCH($C$114,'Сводный годовой график'!$B$1:$B$4),MATCH(DATE($AV$1,MONTH($B$114),W$3),'Сводный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график'!$B$1:$B$4),MATCH(DATE($AV$1,MONTH($B$114),W$3),'Сводный годовой график'!$C$16:$AR$16)))</f>
        <v>#N/A</v>
      </c>
      <c r="X114" s="28" t="e">
        <f ca="1">IF(AND(INDEX('Сводный годовой график'!$C$1:$AR$4,MATCH($C$114,'Сводный годовой график'!$B$1:$B$4),MATCH(DATE($AV$1,MONTH($B$114),X$3),'Сводный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график'!$B$1:$B$4),MATCH(DATE($AV$1,MONTH($B$114),X$3),'Сводный годовой график'!$C$16:$AR$16)))</f>
        <v>#N/A</v>
      </c>
      <c r="Y114" s="28" t="e">
        <f ca="1">IF(AND(INDEX('Сводный годовой график'!$C$1:$AR$4,MATCH($C$114,'Сводный годовой график'!$B$1:$B$4),MATCH(DATE($AV$1,MONTH($B$114),Y$3),'Сводный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график'!$B$1:$B$4),MATCH(DATE($AV$1,MONTH($B$114),Y$3),'Сводный годовой график'!$C$16:$AR$16)))</f>
        <v>#N/A</v>
      </c>
      <c r="Z114" s="28" t="e">
        <f ca="1">IF(AND(INDEX('Сводный годовой график'!$C$1:$AR$4,MATCH($C$114,'Сводный годовой график'!$B$1:$B$4),MATCH(DATE($AV$1,MONTH($B$114),Z$3),'Сводный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график'!$B$1:$B$4),MATCH(DATE($AV$1,MONTH($B$114),Z$3),'Сводный годовой график'!$C$16:$AR$16)))</f>
        <v>#N/A</v>
      </c>
      <c r="AA114" s="28" t="e">
        <f ca="1">IF(AND(INDEX('Сводный годовой график'!$C$1:$AR$4,MATCH($C$114,'Сводный годовой график'!$B$1:$B$4),MATCH(DATE($AV$1,MONTH($B$114),AA$3),'Сводный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график'!$B$1:$B$4),MATCH(DATE($AV$1,MONTH($B$114),AA$3),'Сводный годовой график'!$C$16:$AR$16)))</f>
        <v>#N/A</v>
      </c>
      <c r="AB114" s="28" t="e">
        <f ca="1">IF(AND(INDEX('Сводный годовой график'!$C$1:$AR$4,MATCH($C$114,'Сводный годовой график'!$B$1:$B$4),MATCH(DATE($AV$1,MONTH($B$114),AB$3),'Сводный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график'!$B$1:$B$4),MATCH(DATE($AV$1,MONTH($B$114),AB$3),'Сводный годовой график'!$C$16:$AR$16)))</f>
        <v>#N/A</v>
      </c>
      <c r="AC114" s="28" t="e">
        <f ca="1">IF(AND(INDEX('Сводный годовой график'!$C$1:$AR$4,MATCH($C$114,'Сводный годовой график'!$B$1:$B$4),MATCH(DATE($AV$1,MONTH($B$114),AC$3),'Сводный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график'!$B$1:$B$4),MATCH(DATE($AV$1,MONTH($B$114),AC$3),'Сводный годовой график'!$C$16:$AR$16)))</f>
        <v>#N/A</v>
      </c>
      <c r="AD114" s="28" t="e">
        <f ca="1">IF(AND(INDEX('Сводный годовой график'!$C$1:$AR$4,MATCH($C$114,'Сводный годовой график'!$B$1:$B$4),MATCH(DATE($AV$1,MONTH($B$114),AD$3),'Сводный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график'!$B$1:$B$4),MATCH(DATE($AV$1,MONTH($B$114),AD$3),'Сводный годовой график'!$C$16:$AR$16)))</f>
        <v>#N/A</v>
      </c>
      <c r="AE114" s="28" t="e">
        <f ca="1">IF(AND(INDEX('Сводный годовой график'!$C$1:$AR$4,MATCH($C$114,'Сводный годовой график'!$B$1:$B$4),MATCH(DATE($AV$1,MONTH($B$114),AE$3),'Сводный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график'!$B$1:$B$4),MATCH(DATE($AV$1,MONTH($B$114),AE$3),'Сводный годовой график'!$C$16:$AR$16)))</f>
        <v>#N/A</v>
      </c>
      <c r="AF114" s="28" t="e">
        <f ca="1">IF(AND(INDEX('Сводный годовой график'!$C$1:$AR$4,MATCH($C$114,'Сводный годовой график'!$B$1:$B$4),MATCH(DATE($AV$1,MONTH($B$114),AF$3),'Сводный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график'!$B$1:$B$4),MATCH(DATE($AV$1,MONTH($B$114),AF$3),'Сводный годовой график'!$C$16:$AR$16)))</f>
        <v>#N/A</v>
      </c>
      <c r="AG114" s="28" t="e">
        <f ca="1">IF(AND(INDEX('Сводный годовой график'!$C$1:$AR$4,MATCH($C$114,'Сводный годовой график'!$B$1:$B$4),MATCH(DATE($AV$1,MONTH($B$114),AG$3),'Сводный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график'!$B$1:$B$4),MATCH(DATE($AV$1,MONTH($B$114),AG$3),'Сводный годовой график'!$C$16:$AR$16)))</f>
        <v>#N/A</v>
      </c>
      <c r="AH114" s="28" t="e">
        <f ca="1">IF(AND(INDEX('Сводный годовой график'!$C$1:$AR$4,MATCH($C$114,'Сводный годовой график'!$B$1:$B$4),MATCH(DATE($AV$1,MONTH($B$114),AH$3),'Сводный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график'!$B$1:$B$4),MATCH(DATE($AV$1,MONTH($B$114),AH$3),'Сводный годовой график'!$C$16:$AR$16)))</f>
        <v>#N/A</v>
      </c>
      <c r="AI114" s="95" t="e">
        <f ca="1">IF(AND(INDEX('Сводный годовой график'!$C$1:$AR$4,MATCH($C$114,'Сводный годовой график'!$B$1:$B$4),MATCH(DATE($AV$1,MONTH($B$114),AI$3),'Сводный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график'!$B$1:$B$4),MATCH(DATE($AV$1,MONTH($B$114),AI$3),'Сводный годовой график'!$C$16:$AR$16)))</f>
        <v>#N/A</v>
      </c>
      <c r="AJ114" s="205">
        <f>INDEX(Подключения!$D$3:$H$14,MONTH(B114),5)</f>
        <v>176</v>
      </c>
      <c r="AK114" s="203">
        <f>$AJ$114-SUM(AY114:CC115)</f>
        <v>176</v>
      </c>
      <c r="AL114" s="203" t="e">
        <f t="shared" ref="AL114" ca="1" si="203">SUM(E114:AI115)</f>
        <v>#N/A</v>
      </c>
      <c r="AM114" s="203">
        <v>0</v>
      </c>
      <c r="AN114" s="208" t="e">
        <f t="shared" ref="AN114" ca="1" si="204">-AM114-AK114+AL114</f>
        <v>#N/A</v>
      </c>
      <c r="AO114" s="208">
        <v>0</v>
      </c>
      <c r="AP114" s="208" t="e">
        <f t="shared" ref="AP114" ca="1" si="205">AN114+AP104</f>
        <v>#N/A</v>
      </c>
      <c r="AQ114" s="203">
        <v>0</v>
      </c>
      <c r="AR114" s="204">
        <v>1</v>
      </c>
      <c r="CK114" s="59"/>
      <c r="CL114" s="59"/>
      <c r="CM114" s="59"/>
      <c r="CN114" s="59"/>
      <c r="CO114" s="59"/>
      <c r="CP114" s="59"/>
      <c r="CQ114" s="59"/>
      <c r="CR114" s="59"/>
      <c r="CS114" s="59"/>
      <c r="CT114" s="59"/>
      <c r="CU114" s="59"/>
      <c r="CV114" s="59"/>
      <c r="CW114" s="59"/>
      <c r="CX114" s="59"/>
      <c r="CY114" s="59"/>
      <c r="CZ114" s="59"/>
      <c r="DA114" s="59"/>
      <c r="DB114" s="59"/>
      <c r="DC114" s="59"/>
      <c r="DD114" s="59"/>
      <c r="DE114" s="59"/>
      <c r="DF114" s="59"/>
      <c r="DG114" s="59"/>
      <c r="DH114" s="59"/>
      <c r="DI114" s="59"/>
      <c r="DJ114" s="59"/>
      <c r="DK114" s="59"/>
      <c r="DL114" s="59"/>
      <c r="DM114" s="59"/>
      <c r="DN114" s="59"/>
      <c r="DO114" s="59"/>
    </row>
    <row r="115" spans="2:119" ht="16.5" thickBot="1" x14ac:dyDescent="0.3">
      <c r="B115" s="201"/>
      <c r="C115" s="197"/>
      <c r="D115" s="82">
        <v>2</v>
      </c>
      <c r="E115" s="96" t="str">
        <f t="shared" ref="E115:AI115" si="206">IF(INDEX($CK$4:$DO$123,ROW()-3,E$3)=0,"","СП")</f>
        <v/>
      </c>
      <c r="F115" s="92" t="str">
        <f t="shared" si="206"/>
        <v/>
      </c>
      <c r="G115" s="92" t="str">
        <f t="shared" si="206"/>
        <v/>
      </c>
      <c r="H115" s="92" t="str">
        <f t="shared" si="206"/>
        <v/>
      </c>
      <c r="I115" s="92" t="str">
        <f t="shared" si="206"/>
        <v/>
      </c>
      <c r="J115" s="92" t="str">
        <f t="shared" si="206"/>
        <v/>
      </c>
      <c r="K115" s="92" t="str">
        <f t="shared" si="206"/>
        <v/>
      </c>
      <c r="L115" s="92" t="str">
        <f t="shared" si="206"/>
        <v/>
      </c>
      <c r="M115" s="92" t="str">
        <f t="shared" si="206"/>
        <v/>
      </c>
      <c r="N115" s="92" t="str">
        <f t="shared" si="206"/>
        <v/>
      </c>
      <c r="O115" s="92" t="str">
        <f t="shared" si="206"/>
        <v/>
      </c>
      <c r="P115" s="92" t="str">
        <f t="shared" si="206"/>
        <v>СП</v>
      </c>
      <c r="Q115" s="92" t="str">
        <f t="shared" si="206"/>
        <v/>
      </c>
      <c r="R115" s="92" t="str">
        <f t="shared" si="206"/>
        <v/>
      </c>
      <c r="S115" s="92" t="str">
        <f t="shared" si="206"/>
        <v/>
      </c>
      <c r="T115" s="92" t="str">
        <f t="shared" si="206"/>
        <v/>
      </c>
      <c r="U115" s="92" t="str">
        <f t="shared" si="206"/>
        <v/>
      </c>
      <c r="V115" s="92" t="str">
        <f t="shared" si="206"/>
        <v/>
      </c>
      <c r="W115" s="92" t="str">
        <f t="shared" si="206"/>
        <v/>
      </c>
      <c r="X115" s="92" t="str">
        <f t="shared" si="206"/>
        <v/>
      </c>
      <c r="Y115" s="92" t="str">
        <f t="shared" si="206"/>
        <v/>
      </c>
      <c r="Z115" s="92" t="str">
        <f t="shared" si="206"/>
        <v/>
      </c>
      <c r="AA115" s="92" t="str">
        <f t="shared" si="206"/>
        <v/>
      </c>
      <c r="AB115" s="92" t="str">
        <f t="shared" si="206"/>
        <v/>
      </c>
      <c r="AC115" s="92" t="str">
        <f t="shared" si="206"/>
        <v/>
      </c>
      <c r="AD115" s="92" t="str">
        <f t="shared" si="206"/>
        <v/>
      </c>
      <c r="AE115" s="92" t="str">
        <f t="shared" si="206"/>
        <v/>
      </c>
      <c r="AF115" s="92" t="str">
        <f t="shared" si="206"/>
        <v/>
      </c>
      <c r="AG115" s="92" t="str">
        <f t="shared" si="206"/>
        <v/>
      </c>
      <c r="AH115" s="92" t="str">
        <f t="shared" si="206"/>
        <v/>
      </c>
      <c r="AI115" s="97" t="str">
        <f t="shared" si="206"/>
        <v/>
      </c>
      <c r="AJ115" s="206"/>
      <c r="AK115" s="177"/>
      <c r="AL115" s="177"/>
      <c r="AM115" s="177"/>
      <c r="AN115" s="198"/>
      <c r="AO115" s="198"/>
      <c r="AP115" s="198"/>
      <c r="AQ115" s="177"/>
      <c r="AR115" s="179"/>
      <c r="CK115" s="58">
        <f>IF(DAY(INDEX('Сводный годовой график'!$BA$4:$BL$14,$C114,MONTH($B$114)))=E$3,1,0)</f>
        <v>0</v>
      </c>
      <c r="CL115" s="58">
        <f>IF(DAY(INDEX('Сводный годовой график'!$BA$4:$BL$14,$C114,MONTH($B$114)))=F$3,1,0)</f>
        <v>0</v>
      </c>
      <c r="CM115" s="58">
        <f>IF(DAY(INDEX('Сводный годовой график'!$BA$4:$BL$14,$C114,MONTH($B$114)))=G$3,1,0)</f>
        <v>0</v>
      </c>
      <c r="CN115" s="58">
        <f>IF(DAY(INDEX('Сводный годовой график'!$BA$4:$BL$14,$C114,MONTH($B$114)))=H$3,1,0)</f>
        <v>0</v>
      </c>
      <c r="CO115" s="58">
        <f>IF(DAY(INDEX('Сводный годовой график'!$BA$4:$BL$14,$C114,MONTH($B$114)))=I$3,1,0)</f>
        <v>0</v>
      </c>
      <c r="CP115" s="58">
        <f>IF(DAY(INDEX('Сводный годовой график'!$BA$4:$BL$14,$C114,MONTH($B$114)))=J$3,1,0)</f>
        <v>0</v>
      </c>
      <c r="CQ115" s="58">
        <f>IF(DAY(INDEX('Сводный годовой график'!$BA$4:$BL$14,$C114,MONTH($B$114)))=K$3,1,0)</f>
        <v>0</v>
      </c>
      <c r="CR115" s="58">
        <f>IF(DAY(INDEX('Сводный годовой график'!$BA$4:$BL$14,$C114,MONTH($B$114)))=L$3,1,0)</f>
        <v>0</v>
      </c>
      <c r="CS115" s="58">
        <f>IF(DAY(INDEX('Сводный годовой график'!$BA$4:$BL$14,$C114,MONTH($B$114)))=M$3,1,0)</f>
        <v>0</v>
      </c>
      <c r="CT115" s="58">
        <f>IF(DAY(INDEX('Сводный годовой график'!$BA$4:$BL$14,$C114,MONTH($B$114)))=N$3,1,0)</f>
        <v>0</v>
      </c>
      <c r="CU115" s="58">
        <f>IF(DAY(INDEX('Сводный годовой график'!$BA$4:$BL$14,$C114,MONTH($B$114)))=O$3,1,0)</f>
        <v>0</v>
      </c>
      <c r="CV115" s="58">
        <f>IF(DAY(INDEX('Сводный годовой график'!$BA$4:$BL$14,$C114,MONTH($B$114)))=P$3,1,0)</f>
        <v>1</v>
      </c>
      <c r="CW115" s="58">
        <f>IF(DAY(INDEX('Сводный годовой график'!$BA$4:$BL$14,$C114,MONTH($B$114)))=Q$3,1,0)</f>
        <v>0</v>
      </c>
      <c r="CX115" s="58">
        <f>IF(DAY(INDEX('Сводный годовой график'!$BA$4:$BL$14,$C114,MONTH($B$114)))=R$3,1,0)</f>
        <v>0</v>
      </c>
      <c r="CY115" s="58">
        <f>IF(DAY(INDEX('Сводный годовой график'!$BA$4:$BL$14,$C114,MONTH($B$114)))=S$3,1,0)</f>
        <v>0</v>
      </c>
      <c r="CZ115" s="58">
        <f>IF(DAY(INDEX('Сводный годовой график'!$BA$4:$BL$14,$C114,MONTH($B$114)))=T$3,1,0)</f>
        <v>0</v>
      </c>
      <c r="DA115" s="58">
        <f>IF(DAY(INDEX('Сводный годовой график'!$BA$4:$BL$14,$C114,MONTH($B$114)))=U$3,1,0)</f>
        <v>0</v>
      </c>
      <c r="DB115" s="58">
        <f>IF(DAY(INDEX('Сводный годовой график'!$BA$4:$BL$14,$C114,MONTH($B$114)))=V$3,1,0)</f>
        <v>0</v>
      </c>
      <c r="DC115" s="58">
        <f>IF(DAY(INDEX('Сводный годовой график'!$BA$4:$BL$14,$C114,MONTH($B$114)))=W$3,1,0)</f>
        <v>0</v>
      </c>
      <c r="DD115" s="58">
        <f>IF(DAY(INDEX('Сводный годовой график'!$BA$4:$BL$14,$C114,MONTH($B$114)))=X$3,1,0)</f>
        <v>0</v>
      </c>
      <c r="DE115" s="58">
        <f>IF(DAY(INDEX('Сводный годовой график'!$BA$4:$BL$14,$C114,MONTH($B$114)))=Y$3,1,0)</f>
        <v>0</v>
      </c>
      <c r="DF115" s="58">
        <f>IF(DAY(INDEX('Сводный годовой график'!$BA$4:$BL$14,$C114,MONTH($B$114)))=Z$3,1,0)</f>
        <v>0</v>
      </c>
      <c r="DG115" s="58">
        <f>IF(DAY(INDEX('Сводный годовой график'!$BA$4:$BL$14,$C114,MONTH($B$114)))=AA$3,1,0)</f>
        <v>0</v>
      </c>
      <c r="DH115" s="58">
        <f>IF(DAY(INDEX('Сводный годовой график'!$BA$4:$BL$14,$C114,MONTH($B$114)))=AB$3,1,0)</f>
        <v>0</v>
      </c>
      <c r="DI115" s="58">
        <f>IF(DAY(INDEX('Сводный годовой график'!$BA$4:$BL$14,$C114,MONTH($B$114)))=AC$3,1,0)</f>
        <v>0</v>
      </c>
      <c r="DJ115" s="58">
        <f>IF(DAY(INDEX('Сводный годовой график'!$BA$4:$BL$14,$C114,MONTH($B$114)))=AD$3,1,0)</f>
        <v>0</v>
      </c>
      <c r="DK115" s="58">
        <f>IF(DAY(INDEX('Сводный годовой график'!$BA$4:$BL$14,$C114,MONTH($B$114)))=AE$3,1,0)</f>
        <v>0</v>
      </c>
      <c r="DL115" s="58">
        <f>IF(DAY(INDEX('Сводный годовой график'!$BA$4:$BL$14,$C114,MONTH($B$114)))=AF$3,1,0)</f>
        <v>0</v>
      </c>
      <c r="DM115" s="58">
        <f>IF(DAY(INDEX('Сводный годовой график'!$BA$4:$BL$14,$C114,MONTH($B$114)))=AG$3,1,0)</f>
        <v>0</v>
      </c>
      <c r="DN115" s="58">
        <f>IF(DAY(INDEX('Сводный годовой график'!$BA$4:$BL$14,$C114,MONTH($B$114)))=AH$3,1,0)</f>
        <v>0</v>
      </c>
      <c r="DO115" s="58">
        <f>IF(DAY(INDEX('Сводный годовой график'!$BA$4:$BL$14,$C114,MONTH($B$114)))=AI$3,1,0)</f>
        <v>0</v>
      </c>
    </row>
    <row r="116" spans="2:119" ht="16.5" thickBot="1" x14ac:dyDescent="0.3">
      <c r="B116" s="201"/>
      <c r="C116" s="196">
        <v>2</v>
      </c>
      <c r="D116" s="81">
        <v>3</v>
      </c>
      <c r="E116" s="96" t="e">
        <f ca="1">IF(AND(INDEX('Сводный годовой график'!$C$1:$AR$4,MATCH($C$116,'Сводный годовой график'!$B$1:$B$4),MATCH(DATE($AV$1,MONTH($B$114),E$3),'Сводный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график'!$B$1:$B$4),MATCH(DATE($AV$1,MONTH($B$114),E$3),'Сводный годовой график'!$C$16:$AR$16)))</f>
        <v>#N/A</v>
      </c>
      <c r="F116" s="92" t="e">
        <f ca="1">IF(AND(INDEX('Сводный годовой график'!$C$1:$AR$4,MATCH($C$116,'Сводный годовой график'!$B$1:$B$4),MATCH(DATE($AV$1,MONTH($B$114),F$3),'Сводный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график'!$B$1:$B$4),MATCH(DATE($AV$1,MONTH($B$114),F$3),'Сводный годовой график'!$C$16:$AR$16)))</f>
        <v>#N/A</v>
      </c>
      <c r="G116" s="92" t="e">
        <f ca="1">IF(AND(INDEX('Сводный годовой график'!$C$1:$AR$4,MATCH($C$116,'Сводный годовой график'!$B$1:$B$4),MATCH(DATE($AV$1,MONTH($B$114),G$3),'Сводный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график'!$B$1:$B$4),MATCH(DATE($AV$1,MONTH($B$114),G$3),'Сводный годовой график'!$C$16:$AR$16)))</f>
        <v>#N/A</v>
      </c>
      <c r="H116" s="92" t="e">
        <f ca="1">IF(AND(INDEX('Сводный годовой график'!$C$1:$AR$4,MATCH($C$116,'Сводный годовой график'!$B$1:$B$4),MATCH(DATE($AV$1,MONTH($B$114),H$3),'Сводный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график'!$B$1:$B$4),MATCH(DATE($AV$1,MONTH($B$114),H$3),'Сводный годовой график'!$C$16:$AR$16)))</f>
        <v>#N/A</v>
      </c>
      <c r="I116" s="92" t="e">
        <f ca="1">IF(AND(INDEX('Сводный годовой график'!$C$1:$AR$4,MATCH($C$116,'Сводный годовой график'!$B$1:$B$4),MATCH(DATE($AV$1,MONTH($B$114),I$3),'Сводный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график'!$B$1:$B$4),MATCH(DATE($AV$1,MONTH($B$114),I$3),'Сводный годовой график'!$C$16:$AR$16)))</f>
        <v>#N/A</v>
      </c>
      <c r="J116" s="92" t="e">
        <f ca="1">IF(AND(INDEX('Сводный годовой график'!$C$1:$AR$4,MATCH($C$116,'Сводный годовой график'!$B$1:$B$4),MATCH(DATE($AV$1,MONTH($B$114),J$3),'Сводный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график'!$B$1:$B$4),MATCH(DATE($AV$1,MONTH($B$114),J$3),'Сводный годовой график'!$C$16:$AR$16)))</f>
        <v>#N/A</v>
      </c>
      <c r="K116" s="92" t="e">
        <f ca="1">IF(AND(INDEX('Сводный годовой график'!$C$1:$AR$4,MATCH($C$116,'Сводный годовой график'!$B$1:$B$4),MATCH(DATE($AV$1,MONTH($B$114),K$3),'Сводный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график'!$B$1:$B$4),MATCH(DATE($AV$1,MONTH($B$114),K$3),'Сводный годовой график'!$C$16:$AR$16)))</f>
        <v>#N/A</v>
      </c>
      <c r="L116" s="92" t="e">
        <f ca="1">IF(AND(INDEX('Сводный годовой график'!$C$1:$AR$4,MATCH($C$116,'Сводный годовой график'!$B$1:$B$4),MATCH(DATE($AV$1,MONTH($B$114),L$3),'Сводный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график'!$B$1:$B$4),MATCH(DATE($AV$1,MONTH($B$114),L$3),'Сводный годовой график'!$C$16:$AR$16)))</f>
        <v>#N/A</v>
      </c>
      <c r="M116" s="92" t="e">
        <f ca="1">IF(AND(INDEX('Сводный годовой график'!$C$1:$AR$4,MATCH($C$116,'Сводный годовой график'!$B$1:$B$4),MATCH(DATE($AV$1,MONTH($B$114),M$3),'Сводный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график'!$B$1:$B$4),MATCH(DATE($AV$1,MONTH($B$114),M$3),'Сводный годовой график'!$C$16:$AR$16)))</f>
        <v>#N/A</v>
      </c>
      <c r="N116" s="92" t="e">
        <f ca="1">IF(AND(INDEX('Сводный годовой график'!$C$1:$AR$4,MATCH($C$116,'Сводный годовой график'!$B$1:$B$4),MATCH(DATE($AV$1,MONTH($B$114),N$3),'Сводный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график'!$B$1:$B$4),MATCH(DATE($AV$1,MONTH($B$114),N$3),'Сводный годовой график'!$C$16:$AR$16)))</f>
        <v>#N/A</v>
      </c>
      <c r="O116" s="92" t="e">
        <f ca="1">IF(AND(INDEX('Сводный годовой график'!$C$1:$AR$4,MATCH($C$116,'Сводный годовой график'!$B$1:$B$4),MATCH(DATE($AV$1,MONTH($B$114),O$3),'Сводный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график'!$B$1:$B$4),MATCH(DATE($AV$1,MONTH($B$114),O$3),'Сводный годовой график'!$C$16:$AR$16)))</f>
        <v>#N/A</v>
      </c>
      <c r="P116" s="92" t="e">
        <f ca="1">IF(AND(INDEX('Сводный годовой график'!$C$1:$AR$4,MATCH($C$116,'Сводный годовой график'!$B$1:$B$4),MATCH(DATE($AV$1,MONTH($B$114),P$3),'Сводный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график'!$B$1:$B$4),MATCH(DATE($AV$1,MONTH($B$114),P$3),'Сводный годовой график'!$C$16:$AR$16)))</f>
        <v>#N/A</v>
      </c>
      <c r="Q116" s="92" t="e">
        <f ca="1">IF(AND(INDEX('Сводный годовой график'!$C$1:$AR$4,MATCH($C$116,'Сводный годовой график'!$B$1:$B$4),MATCH(DATE($AV$1,MONTH($B$114),Q$3),'Сводный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график'!$B$1:$B$4),MATCH(DATE($AV$1,MONTH($B$114),Q$3),'Сводный годовой график'!$C$16:$AR$16)))</f>
        <v>#N/A</v>
      </c>
      <c r="R116" s="92" t="e">
        <f ca="1">IF(AND(INDEX('Сводный годовой график'!$C$1:$AR$4,MATCH($C$116,'Сводный годовой график'!$B$1:$B$4),MATCH(DATE($AV$1,MONTH($B$114),R$3),'Сводный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график'!$B$1:$B$4),MATCH(DATE($AV$1,MONTH($B$114),R$3),'Сводный годовой график'!$C$16:$AR$16)))</f>
        <v>#N/A</v>
      </c>
      <c r="S116" s="92" t="e">
        <f ca="1">IF(AND(INDEX('Сводный годовой график'!$C$1:$AR$4,MATCH($C$116,'Сводный годовой график'!$B$1:$B$4),MATCH(DATE($AV$1,MONTH($B$114),S$3),'Сводный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график'!$B$1:$B$4),MATCH(DATE($AV$1,MONTH($B$114),S$3),'Сводный годовой график'!$C$16:$AR$16)))</f>
        <v>#N/A</v>
      </c>
      <c r="T116" s="92" t="e">
        <f ca="1">IF(AND(INDEX('Сводный годовой график'!$C$1:$AR$4,MATCH($C$116,'Сводный годовой график'!$B$1:$B$4),MATCH(DATE($AV$1,MONTH($B$114),T$3),'Сводный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график'!$B$1:$B$4),MATCH(DATE($AV$1,MONTH($B$114),T$3),'Сводный годовой график'!$C$16:$AR$16)))</f>
        <v>#N/A</v>
      </c>
      <c r="U116" s="92" t="e">
        <f ca="1">IF(AND(INDEX('Сводный годовой график'!$C$1:$AR$4,MATCH($C$116,'Сводный годовой график'!$B$1:$B$4),MATCH(DATE($AV$1,MONTH($B$114),U$3),'Сводный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график'!$B$1:$B$4),MATCH(DATE($AV$1,MONTH($B$114),U$3),'Сводный годовой график'!$C$16:$AR$16)))</f>
        <v>#N/A</v>
      </c>
      <c r="V116" s="92" t="e">
        <f ca="1">IF(AND(INDEX('Сводный годовой график'!$C$1:$AR$4,MATCH($C$116,'Сводный годовой график'!$B$1:$B$4),MATCH(DATE($AV$1,MONTH($B$114),V$3),'Сводный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график'!$B$1:$B$4),MATCH(DATE($AV$1,MONTH($B$114),V$3),'Сводный годовой график'!$C$16:$AR$16)))</f>
        <v>#N/A</v>
      </c>
      <c r="W116" s="92" t="e">
        <f ca="1">IF(AND(INDEX('Сводный годовой график'!$C$1:$AR$4,MATCH($C$116,'Сводный годовой график'!$B$1:$B$4),MATCH(DATE($AV$1,MONTH($B$114),W$3),'Сводный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график'!$B$1:$B$4),MATCH(DATE($AV$1,MONTH($B$114),W$3),'Сводный годовой график'!$C$16:$AR$16)))</f>
        <v>#N/A</v>
      </c>
      <c r="X116" s="92" t="e">
        <f ca="1">IF(AND(INDEX('Сводный годовой график'!$C$1:$AR$4,MATCH($C$116,'Сводный годовой график'!$B$1:$B$4),MATCH(DATE($AV$1,MONTH($B$114),X$3),'Сводный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график'!$B$1:$B$4),MATCH(DATE($AV$1,MONTH($B$114),X$3),'Сводный годовой график'!$C$16:$AR$16)))</f>
        <v>#N/A</v>
      </c>
      <c r="Y116" s="92" t="e">
        <f ca="1">IF(AND(INDEX('Сводный годовой график'!$C$1:$AR$4,MATCH($C$116,'Сводный годовой график'!$B$1:$B$4),MATCH(DATE($AV$1,MONTH($B$114),Y$3),'Сводный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график'!$B$1:$B$4),MATCH(DATE($AV$1,MONTH($B$114),Y$3),'Сводный годовой график'!$C$16:$AR$16)))</f>
        <v>#N/A</v>
      </c>
      <c r="Z116" s="92" t="e">
        <f ca="1">IF(AND(INDEX('Сводный годовой график'!$C$1:$AR$4,MATCH($C$116,'Сводный годовой график'!$B$1:$B$4),MATCH(DATE($AV$1,MONTH($B$114),Z$3),'Сводный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график'!$B$1:$B$4),MATCH(DATE($AV$1,MONTH($B$114),Z$3),'Сводный годовой график'!$C$16:$AR$16)))</f>
        <v>#N/A</v>
      </c>
      <c r="AA116" s="92" t="e">
        <f ca="1">IF(AND(INDEX('Сводный годовой график'!$C$1:$AR$4,MATCH($C$116,'Сводный годовой график'!$B$1:$B$4),MATCH(DATE($AV$1,MONTH($B$114),AA$3),'Сводный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график'!$B$1:$B$4),MATCH(DATE($AV$1,MONTH($B$114),AA$3),'Сводный годовой график'!$C$16:$AR$16)))</f>
        <v>#N/A</v>
      </c>
      <c r="AB116" s="92" t="e">
        <f ca="1">IF(AND(INDEX('Сводный годовой график'!$C$1:$AR$4,MATCH($C$116,'Сводный годовой график'!$B$1:$B$4),MATCH(DATE($AV$1,MONTH($B$114),AB$3),'Сводный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график'!$B$1:$B$4),MATCH(DATE($AV$1,MONTH($B$114),AB$3),'Сводный годовой график'!$C$16:$AR$16)))</f>
        <v>#N/A</v>
      </c>
      <c r="AC116" s="92" t="e">
        <f ca="1">IF(AND(INDEX('Сводный годовой график'!$C$1:$AR$4,MATCH($C$116,'Сводный годовой график'!$B$1:$B$4),MATCH(DATE($AV$1,MONTH($B$114),AC$3),'Сводный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график'!$B$1:$B$4),MATCH(DATE($AV$1,MONTH($B$114),AC$3),'Сводный годовой график'!$C$16:$AR$16)))</f>
        <v>#N/A</v>
      </c>
      <c r="AD116" s="92" t="e">
        <f ca="1">IF(AND(INDEX('Сводный годовой график'!$C$1:$AR$4,MATCH($C$116,'Сводный годовой график'!$B$1:$B$4),MATCH(DATE($AV$1,MONTH($B$114),AD$3),'Сводный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график'!$B$1:$B$4),MATCH(DATE($AV$1,MONTH($B$114),AD$3),'Сводный годовой график'!$C$16:$AR$16)))</f>
        <v>#N/A</v>
      </c>
      <c r="AE116" s="92" t="e">
        <f ca="1">IF(AND(INDEX('Сводный годовой график'!$C$1:$AR$4,MATCH($C$116,'Сводный годовой график'!$B$1:$B$4),MATCH(DATE($AV$1,MONTH($B$114),AE$3),'Сводный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график'!$B$1:$B$4),MATCH(DATE($AV$1,MONTH($B$114),AE$3),'Сводный годовой график'!$C$16:$AR$16)))</f>
        <v>#N/A</v>
      </c>
      <c r="AF116" s="92" t="e">
        <f ca="1">IF(AND(INDEX('Сводный годовой график'!$C$1:$AR$4,MATCH($C$116,'Сводный годовой график'!$B$1:$B$4),MATCH(DATE($AV$1,MONTH($B$114),AF$3),'Сводный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график'!$B$1:$B$4),MATCH(DATE($AV$1,MONTH($B$114),AF$3),'Сводный годовой график'!$C$16:$AR$16)))</f>
        <v>#N/A</v>
      </c>
      <c r="AG116" s="92" t="e">
        <f ca="1">IF(AND(INDEX('Сводный годовой график'!$C$1:$AR$4,MATCH($C$116,'Сводный годовой график'!$B$1:$B$4),MATCH(DATE($AV$1,MONTH($B$114),AG$3),'Сводный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график'!$B$1:$B$4),MATCH(DATE($AV$1,MONTH($B$114),AG$3),'Сводный годовой график'!$C$16:$AR$16)))</f>
        <v>#N/A</v>
      </c>
      <c r="AH116" s="92" t="e">
        <f ca="1">IF(AND(INDEX('Сводный годовой график'!$C$1:$AR$4,MATCH($C$116,'Сводный годовой график'!$B$1:$B$4),MATCH(DATE($AV$1,MONTH($B$114),AH$3),'Сводный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график'!$B$1:$B$4),MATCH(DATE($AV$1,MONTH($B$114),AH$3),'Сводный годовой график'!$C$16:$AR$16)))</f>
        <v>#N/A</v>
      </c>
      <c r="AI116" s="97" t="e">
        <f ca="1">IF(AND(INDEX('Сводный годовой график'!$C$1:$AR$4,MATCH($C$116,'Сводный годовой график'!$B$1:$B$4),MATCH(DATE($AV$1,MONTH($B$114),AI$3),'Сводный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график'!$B$1:$B$4),MATCH(DATE($AV$1,MONTH($B$114),AI$3),'Сводный годовой график'!$C$16:$AR$16)))</f>
        <v>#N/A</v>
      </c>
      <c r="AJ116" s="206"/>
      <c r="AK116" s="177">
        <f>$AJ$114-SUM(AY116:CC117)</f>
        <v>176</v>
      </c>
      <c r="AL116" s="177" t="e">
        <f t="shared" ref="AL116" ca="1" si="207">SUM(E116:AI117)</f>
        <v>#N/A</v>
      </c>
      <c r="AM116" s="177">
        <v>0</v>
      </c>
      <c r="AN116" s="198" t="e">
        <f t="shared" ref="AN116" ca="1" si="208">-AM116-AK116+AL116</f>
        <v>#N/A</v>
      </c>
      <c r="AO116" s="198">
        <v>0</v>
      </c>
      <c r="AP116" s="198" t="e">
        <f t="shared" ref="AP116" ca="1" si="209">AN116+AP106</f>
        <v>#N/A</v>
      </c>
      <c r="AQ116" s="177">
        <v>7</v>
      </c>
      <c r="AR116" s="179">
        <v>1</v>
      </c>
      <c r="CK116" s="59"/>
      <c r="CL116" s="59"/>
      <c r="CM116" s="59"/>
      <c r="CN116" s="59"/>
      <c r="CO116" s="59"/>
      <c r="CP116" s="59"/>
      <c r="CQ116" s="59"/>
      <c r="CR116" s="59"/>
      <c r="CS116" s="59"/>
      <c r="CT116" s="59"/>
      <c r="CU116" s="59"/>
      <c r="CV116" s="59"/>
      <c r="CW116" s="59"/>
      <c r="CX116" s="59"/>
      <c r="CY116" s="59"/>
      <c r="CZ116" s="59"/>
      <c r="DA116" s="59"/>
      <c r="DB116" s="59"/>
      <c r="DC116" s="59"/>
      <c r="DD116" s="59"/>
      <c r="DE116" s="59"/>
      <c r="DF116" s="59"/>
      <c r="DG116" s="59"/>
      <c r="DH116" s="59"/>
      <c r="DI116" s="59"/>
      <c r="DJ116" s="59"/>
      <c r="DK116" s="59"/>
      <c r="DL116" s="59"/>
      <c r="DM116" s="59"/>
      <c r="DN116" s="59"/>
      <c r="DO116" s="59"/>
    </row>
    <row r="117" spans="2:119" ht="16.5" thickBot="1" x14ac:dyDescent="0.3">
      <c r="B117" s="201"/>
      <c r="C117" s="197"/>
      <c r="D117" s="82">
        <v>4</v>
      </c>
      <c r="E117" s="96" t="str">
        <f t="shared" ref="E117:AI117" si="210">IF(INDEX($CK$4:$DO$123,ROW()-3,E$3)=0,"","СП")</f>
        <v/>
      </c>
      <c r="F117" s="92" t="str">
        <f t="shared" si="210"/>
        <v/>
      </c>
      <c r="G117" s="92" t="str">
        <f t="shared" si="210"/>
        <v/>
      </c>
      <c r="H117" s="92" t="str">
        <f t="shared" si="210"/>
        <v/>
      </c>
      <c r="I117" s="92" t="str">
        <f t="shared" si="210"/>
        <v/>
      </c>
      <c r="J117" s="92" t="str">
        <f t="shared" si="210"/>
        <v/>
      </c>
      <c r="K117" s="92" t="str">
        <f t="shared" si="210"/>
        <v/>
      </c>
      <c r="L117" s="92" t="str">
        <f t="shared" si="210"/>
        <v/>
      </c>
      <c r="M117" s="92" t="str">
        <f t="shared" si="210"/>
        <v/>
      </c>
      <c r="N117" s="92" t="str">
        <f t="shared" si="210"/>
        <v/>
      </c>
      <c r="O117" s="92" t="str">
        <f t="shared" si="210"/>
        <v/>
      </c>
      <c r="P117" s="92" t="str">
        <f t="shared" si="210"/>
        <v/>
      </c>
      <c r="Q117" s="92" t="str">
        <f t="shared" si="210"/>
        <v>СП</v>
      </c>
      <c r="R117" s="92" t="str">
        <f t="shared" si="210"/>
        <v/>
      </c>
      <c r="S117" s="92" t="str">
        <f t="shared" si="210"/>
        <v/>
      </c>
      <c r="T117" s="92" t="str">
        <f t="shared" si="210"/>
        <v/>
      </c>
      <c r="U117" s="92" t="str">
        <f t="shared" si="210"/>
        <v/>
      </c>
      <c r="V117" s="92" t="str">
        <f t="shared" si="210"/>
        <v/>
      </c>
      <c r="W117" s="92" t="str">
        <f t="shared" si="210"/>
        <v/>
      </c>
      <c r="X117" s="92" t="str">
        <f t="shared" si="210"/>
        <v/>
      </c>
      <c r="Y117" s="92" t="str">
        <f t="shared" si="210"/>
        <v/>
      </c>
      <c r="Z117" s="92" t="str">
        <f t="shared" si="210"/>
        <v/>
      </c>
      <c r="AA117" s="92" t="str">
        <f t="shared" si="210"/>
        <v/>
      </c>
      <c r="AB117" s="92" t="str">
        <f t="shared" si="210"/>
        <v/>
      </c>
      <c r="AC117" s="92" t="str">
        <f t="shared" si="210"/>
        <v/>
      </c>
      <c r="AD117" s="92" t="str">
        <f t="shared" si="210"/>
        <v/>
      </c>
      <c r="AE117" s="92" t="str">
        <f t="shared" si="210"/>
        <v/>
      </c>
      <c r="AF117" s="92" t="str">
        <f t="shared" si="210"/>
        <v/>
      </c>
      <c r="AG117" s="92" t="str">
        <f t="shared" si="210"/>
        <v/>
      </c>
      <c r="AH117" s="92" t="str">
        <f t="shared" si="210"/>
        <v/>
      </c>
      <c r="AI117" s="97" t="str">
        <f t="shared" si="210"/>
        <v/>
      </c>
      <c r="AJ117" s="206"/>
      <c r="AK117" s="177"/>
      <c r="AL117" s="177"/>
      <c r="AM117" s="177"/>
      <c r="AN117" s="198"/>
      <c r="AO117" s="198"/>
      <c r="AP117" s="198"/>
      <c r="AQ117" s="177"/>
      <c r="AR117" s="179"/>
      <c r="CK117" s="58">
        <f>IF(DAY(INDEX('Сводный годовой график'!$BA$4:$BL$14,$C116,MONTH($B$114)))=E$3,1,0)</f>
        <v>0</v>
      </c>
      <c r="CL117" s="58">
        <f>IF(DAY(INDEX('Сводный годовой график'!$BA$4:$BL$14,$C116,MONTH($B$114)))=F$3,1,0)</f>
        <v>0</v>
      </c>
      <c r="CM117" s="58">
        <f>IF(DAY(INDEX('Сводный годовой график'!$BA$4:$BL$14,$C116,MONTH($B$114)))=G$3,1,0)</f>
        <v>0</v>
      </c>
      <c r="CN117" s="58">
        <f>IF(DAY(INDEX('Сводный годовой график'!$BA$4:$BL$14,$C116,MONTH($B$114)))=H$3,1,0)</f>
        <v>0</v>
      </c>
      <c r="CO117" s="58">
        <f>IF(DAY(INDEX('Сводный годовой график'!$BA$4:$BL$14,$C116,MONTH($B$114)))=I$3,1,0)</f>
        <v>0</v>
      </c>
      <c r="CP117" s="58">
        <f>IF(DAY(INDEX('Сводный годовой график'!$BA$4:$BL$14,$C116,MONTH($B$114)))=J$3,1,0)</f>
        <v>0</v>
      </c>
      <c r="CQ117" s="58">
        <f>IF(DAY(INDEX('Сводный годовой график'!$BA$4:$BL$14,$C116,MONTH($B$114)))=K$3,1,0)</f>
        <v>0</v>
      </c>
      <c r="CR117" s="58">
        <f>IF(DAY(INDEX('Сводный годовой график'!$BA$4:$BL$14,$C116,MONTH($B$114)))=L$3,1,0)</f>
        <v>0</v>
      </c>
      <c r="CS117" s="58">
        <f>IF(DAY(INDEX('Сводный годовой график'!$BA$4:$BL$14,$C116,MONTH($B$114)))=M$3,1,0)</f>
        <v>0</v>
      </c>
      <c r="CT117" s="58">
        <f>IF(DAY(INDEX('Сводный годовой график'!$BA$4:$BL$14,$C116,MONTH($B$114)))=N$3,1,0)</f>
        <v>0</v>
      </c>
      <c r="CU117" s="58">
        <f>IF(DAY(INDEX('Сводный годовой график'!$BA$4:$BL$14,$C116,MONTH($B$114)))=O$3,1,0)</f>
        <v>0</v>
      </c>
      <c r="CV117" s="58">
        <f>IF(DAY(INDEX('Сводный годовой график'!$BA$4:$BL$14,$C116,MONTH($B$114)))=P$3,1,0)</f>
        <v>0</v>
      </c>
      <c r="CW117" s="58">
        <f>IF(DAY(INDEX('Сводный годовой график'!$BA$4:$BL$14,$C116,MONTH($B$114)))=Q$3,1,0)</f>
        <v>1</v>
      </c>
      <c r="CX117" s="58">
        <f>IF(DAY(INDEX('Сводный годовой график'!$BA$4:$BL$14,$C116,MONTH($B$114)))=R$3,1,0)</f>
        <v>0</v>
      </c>
      <c r="CY117" s="58">
        <f>IF(DAY(INDEX('Сводный годовой график'!$BA$4:$BL$14,$C116,MONTH($B$114)))=S$3,1,0)</f>
        <v>0</v>
      </c>
      <c r="CZ117" s="58">
        <f>IF(DAY(INDEX('Сводный годовой график'!$BA$4:$BL$14,$C116,MONTH($B$114)))=T$3,1,0)</f>
        <v>0</v>
      </c>
      <c r="DA117" s="58">
        <f>IF(DAY(INDEX('Сводный годовой график'!$BA$4:$BL$14,$C116,MONTH($B$114)))=U$3,1,0)</f>
        <v>0</v>
      </c>
      <c r="DB117" s="58">
        <f>IF(DAY(INDEX('Сводный годовой график'!$BA$4:$BL$14,$C116,MONTH($B$114)))=V$3,1,0)</f>
        <v>0</v>
      </c>
      <c r="DC117" s="58">
        <f>IF(DAY(INDEX('Сводный годовой график'!$BA$4:$BL$14,$C116,MONTH($B$114)))=W$3,1,0)</f>
        <v>0</v>
      </c>
      <c r="DD117" s="58">
        <f>IF(DAY(INDEX('Сводный годовой график'!$BA$4:$BL$14,$C116,MONTH($B$114)))=X$3,1,0)</f>
        <v>0</v>
      </c>
      <c r="DE117" s="58">
        <f>IF(DAY(INDEX('Сводный годовой график'!$BA$4:$BL$14,$C116,MONTH($B$114)))=Y$3,1,0)</f>
        <v>0</v>
      </c>
      <c r="DF117" s="58">
        <f>IF(DAY(INDEX('Сводный годовой график'!$BA$4:$BL$14,$C116,MONTH($B$114)))=Z$3,1,0)</f>
        <v>0</v>
      </c>
      <c r="DG117" s="58">
        <f>IF(DAY(INDEX('Сводный годовой график'!$BA$4:$BL$14,$C116,MONTH($B$114)))=AA$3,1,0)</f>
        <v>0</v>
      </c>
      <c r="DH117" s="58">
        <f>IF(DAY(INDEX('Сводный годовой график'!$BA$4:$BL$14,$C116,MONTH($B$114)))=AB$3,1,0)</f>
        <v>0</v>
      </c>
      <c r="DI117" s="58">
        <f>IF(DAY(INDEX('Сводный годовой график'!$BA$4:$BL$14,$C116,MONTH($B$114)))=AC$3,1,0)</f>
        <v>0</v>
      </c>
      <c r="DJ117" s="58">
        <f>IF(DAY(INDEX('Сводный годовой график'!$BA$4:$BL$14,$C116,MONTH($B$114)))=AD$3,1,0)</f>
        <v>0</v>
      </c>
      <c r="DK117" s="58">
        <f>IF(DAY(INDEX('Сводный годовой график'!$BA$4:$BL$14,$C116,MONTH($B$114)))=AE$3,1,0)</f>
        <v>0</v>
      </c>
      <c r="DL117" s="58">
        <f>IF(DAY(INDEX('Сводный годовой график'!$BA$4:$BL$14,$C116,MONTH($B$114)))=AF$3,1,0)</f>
        <v>0</v>
      </c>
      <c r="DM117" s="58">
        <f>IF(DAY(INDEX('Сводный годовой график'!$BA$4:$BL$14,$C116,MONTH($B$114)))=AG$3,1,0)</f>
        <v>0</v>
      </c>
      <c r="DN117" s="58">
        <f>IF(DAY(INDEX('Сводный годовой график'!$BA$4:$BL$14,$C116,MONTH($B$114)))=AH$3,1,0)</f>
        <v>0</v>
      </c>
      <c r="DO117" s="58">
        <f>IF(DAY(INDEX('Сводный годовой график'!$BA$4:$BL$14,$C116,MONTH($B$114)))=AI$3,1,0)</f>
        <v>0</v>
      </c>
    </row>
    <row r="118" spans="2:119" ht="16.5" thickBot="1" x14ac:dyDescent="0.3">
      <c r="B118" s="201"/>
      <c r="C118" s="196">
        <v>3</v>
      </c>
      <c r="D118" s="81">
        <v>5</v>
      </c>
      <c r="E118" s="96" t="e">
        <f ca="1">IF(AND(INDEX('Сводный годовой график'!$C$1:$AR$4,MATCH($C$118,'Сводный годовой график'!$B$1:$B$4),MATCH(DATE($AV$1,MONTH($B$114),E$3),'Сводный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график'!$B$1:$B$4),MATCH(DATE($AV$1,MONTH($B$114),E$3),'Сводный годовой график'!$C$16:$AR$16)))</f>
        <v>#N/A</v>
      </c>
      <c r="F118" s="92" t="e">
        <f ca="1">IF(AND(INDEX('Сводный годовой график'!$C$1:$AR$4,MATCH($C$118,'Сводный годовой график'!$B$1:$B$4),MATCH(DATE($AV$1,MONTH($B$114),F$3),'Сводный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график'!$B$1:$B$4),MATCH(DATE($AV$1,MONTH($B$114),F$3),'Сводный годовой график'!$C$16:$AR$16)))</f>
        <v>#N/A</v>
      </c>
      <c r="G118" s="92" t="e">
        <f ca="1">IF(AND(INDEX('Сводный годовой график'!$C$1:$AR$4,MATCH($C$118,'Сводный годовой график'!$B$1:$B$4),MATCH(DATE($AV$1,MONTH($B$114),G$3),'Сводный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график'!$B$1:$B$4),MATCH(DATE($AV$1,MONTH($B$114),G$3),'Сводный годовой график'!$C$16:$AR$16)))</f>
        <v>#N/A</v>
      </c>
      <c r="H118" s="92" t="e">
        <f ca="1">IF(AND(INDEX('Сводный годовой график'!$C$1:$AR$4,MATCH($C$118,'Сводный годовой график'!$B$1:$B$4),MATCH(DATE($AV$1,MONTH($B$114),H$3),'Сводный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график'!$B$1:$B$4),MATCH(DATE($AV$1,MONTH($B$114),H$3),'Сводный годовой график'!$C$16:$AR$16)))</f>
        <v>#N/A</v>
      </c>
      <c r="I118" s="92" t="e">
        <f ca="1">IF(AND(INDEX('Сводный годовой график'!$C$1:$AR$4,MATCH($C$118,'Сводный годовой график'!$B$1:$B$4),MATCH(DATE($AV$1,MONTH($B$114),I$3),'Сводный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график'!$B$1:$B$4),MATCH(DATE($AV$1,MONTH($B$114),I$3),'Сводный годовой график'!$C$16:$AR$16)))</f>
        <v>#N/A</v>
      </c>
      <c r="J118" s="92" t="e">
        <f ca="1">IF(AND(INDEX('Сводный годовой график'!$C$1:$AR$4,MATCH($C$118,'Сводный годовой график'!$B$1:$B$4),MATCH(DATE($AV$1,MONTH($B$114),J$3),'Сводный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график'!$B$1:$B$4),MATCH(DATE($AV$1,MONTH($B$114),J$3),'Сводный годовой график'!$C$16:$AR$16)))</f>
        <v>#N/A</v>
      </c>
      <c r="K118" s="92" t="e">
        <f ca="1">IF(AND(INDEX('Сводный годовой график'!$C$1:$AR$4,MATCH($C$118,'Сводный годовой график'!$B$1:$B$4),MATCH(DATE($AV$1,MONTH($B$114),K$3),'Сводный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график'!$B$1:$B$4),MATCH(DATE($AV$1,MONTH($B$114),K$3),'Сводный годовой график'!$C$16:$AR$16)))</f>
        <v>#N/A</v>
      </c>
      <c r="L118" s="92" t="e">
        <f ca="1">IF(AND(INDEX('Сводный годовой график'!$C$1:$AR$4,MATCH($C$118,'Сводный годовой график'!$B$1:$B$4),MATCH(DATE($AV$1,MONTH($B$114),L$3),'Сводный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график'!$B$1:$B$4),MATCH(DATE($AV$1,MONTH($B$114),L$3),'Сводный годовой график'!$C$16:$AR$16)))</f>
        <v>#N/A</v>
      </c>
      <c r="M118" s="92" t="e">
        <f ca="1">IF(AND(INDEX('Сводный годовой график'!$C$1:$AR$4,MATCH($C$118,'Сводный годовой график'!$B$1:$B$4),MATCH(DATE($AV$1,MONTH($B$114),M$3),'Сводный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график'!$B$1:$B$4),MATCH(DATE($AV$1,MONTH($B$114),M$3),'Сводный годовой график'!$C$16:$AR$16)))</f>
        <v>#N/A</v>
      </c>
      <c r="N118" s="92" t="e">
        <f ca="1">IF(AND(INDEX('Сводный годовой график'!$C$1:$AR$4,MATCH($C$118,'Сводный годовой график'!$B$1:$B$4),MATCH(DATE($AV$1,MONTH($B$114),N$3),'Сводный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график'!$B$1:$B$4),MATCH(DATE($AV$1,MONTH($B$114),N$3),'Сводный годовой график'!$C$16:$AR$16)))</f>
        <v>#N/A</v>
      </c>
      <c r="O118" s="92" t="e">
        <f ca="1">IF(AND(INDEX('Сводный годовой график'!$C$1:$AR$4,MATCH($C$118,'Сводный годовой график'!$B$1:$B$4),MATCH(DATE($AV$1,MONTH($B$114),O$3),'Сводный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график'!$B$1:$B$4),MATCH(DATE($AV$1,MONTH($B$114),O$3),'Сводный годовой график'!$C$16:$AR$16)))</f>
        <v>#N/A</v>
      </c>
      <c r="P118" s="92" t="e">
        <f ca="1">IF(AND(INDEX('Сводный годовой график'!$C$1:$AR$4,MATCH($C$118,'Сводный годовой график'!$B$1:$B$4),MATCH(DATE($AV$1,MONTH($B$114),P$3),'Сводный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график'!$B$1:$B$4),MATCH(DATE($AV$1,MONTH($B$114),P$3),'Сводный годовой график'!$C$16:$AR$16)))</f>
        <v>#N/A</v>
      </c>
      <c r="Q118" s="92" t="e">
        <f ca="1">IF(AND(INDEX('Сводный годовой график'!$C$1:$AR$4,MATCH($C$118,'Сводный годовой график'!$B$1:$B$4),MATCH(DATE($AV$1,MONTH($B$114),Q$3),'Сводный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график'!$B$1:$B$4),MATCH(DATE($AV$1,MONTH($B$114),Q$3),'Сводный годовой график'!$C$16:$AR$16)))</f>
        <v>#N/A</v>
      </c>
      <c r="R118" s="92" t="e">
        <f ca="1">IF(AND(INDEX('Сводный годовой график'!$C$1:$AR$4,MATCH($C$118,'Сводный годовой график'!$B$1:$B$4),MATCH(DATE($AV$1,MONTH($B$114),R$3),'Сводный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график'!$B$1:$B$4),MATCH(DATE($AV$1,MONTH($B$114),R$3),'Сводный годовой график'!$C$16:$AR$16)))</f>
        <v>#N/A</v>
      </c>
      <c r="S118" s="92" t="e">
        <f ca="1">IF(AND(INDEX('Сводный годовой график'!$C$1:$AR$4,MATCH($C$118,'Сводный годовой график'!$B$1:$B$4),MATCH(DATE($AV$1,MONTH($B$114),S$3),'Сводный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график'!$B$1:$B$4),MATCH(DATE($AV$1,MONTH($B$114),S$3),'Сводный годовой график'!$C$16:$AR$16)))</f>
        <v>#N/A</v>
      </c>
      <c r="T118" s="92" t="e">
        <f ca="1">IF(AND(INDEX('Сводный годовой график'!$C$1:$AR$4,MATCH($C$118,'Сводный годовой график'!$B$1:$B$4),MATCH(DATE($AV$1,MONTH($B$114),T$3),'Сводный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график'!$B$1:$B$4),MATCH(DATE($AV$1,MONTH($B$114),T$3),'Сводный годовой график'!$C$16:$AR$16)))</f>
        <v>#N/A</v>
      </c>
      <c r="U118" s="92" t="e">
        <f ca="1">IF(AND(INDEX('Сводный годовой график'!$C$1:$AR$4,MATCH($C$118,'Сводный годовой график'!$B$1:$B$4),MATCH(DATE($AV$1,MONTH($B$114),U$3),'Сводный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график'!$B$1:$B$4),MATCH(DATE($AV$1,MONTH($B$114),U$3),'Сводный годовой график'!$C$16:$AR$16)))</f>
        <v>#N/A</v>
      </c>
      <c r="V118" s="92" t="e">
        <f ca="1">IF(AND(INDEX('Сводный годовой график'!$C$1:$AR$4,MATCH($C$118,'Сводный годовой график'!$B$1:$B$4),MATCH(DATE($AV$1,MONTH($B$114),V$3),'Сводный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график'!$B$1:$B$4),MATCH(DATE($AV$1,MONTH($B$114),V$3),'Сводный годовой график'!$C$16:$AR$16)))</f>
        <v>#N/A</v>
      </c>
      <c r="W118" s="92" t="e">
        <f ca="1">IF(AND(INDEX('Сводный годовой график'!$C$1:$AR$4,MATCH($C$118,'Сводный годовой график'!$B$1:$B$4),MATCH(DATE($AV$1,MONTH($B$114),W$3),'Сводный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график'!$B$1:$B$4),MATCH(DATE($AV$1,MONTH($B$114),W$3),'Сводный годовой график'!$C$16:$AR$16)))</f>
        <v>#N/A</v>
      </c>
      <c r="X118" s="92" t="e">
        <f ca="1">IF(AND(INDEX('Сводный годовой график'!$C$1:$AR$4,MATCH($C$118,'Сводный годовой график'!$B$1:$B$4),MATCH(DATE($AV$1,MONTH($B$114),X$3),'Сводный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график'!$B$1:$B$4),MATCH(DATE($AV$1,MONTH($B$114),X$3),'Сводный годовой график'!$C$16:$AR$16)))</f>
        <v>#N/A</v>
      </c>
      <c r="Y118" s="92" t="e">
        <f ca="1">IF(AND(INDEX('Сводный годовой график'!$C$1:$AR$4,MATCH($C$118,'Сводный годовой график'!$B$1:$B$4),MATCH(DATE($AV$1,MONTH($B$114),Y$3),'Сводный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график'!$B$1:$B$4),MATCH(DATE($AV$1,MONTH($B$114),Y$3),'Сводный годовой график'!$C$16:$AR$16)))</f>
        <v>#N/A</v>
      </c>
      <c r="Z118" s="92" t="e">
        <f ca="1">IF(AND(INDEX('Сводный годовой график'!$C$1:$AR$4,MATCH($C$118,'Сводный годовой график'!$B$1:$B$4),MATCH(DATE($AV$1,MONTH($B$114),Z$3),'Сводный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график'!$B$1:$B$4),MATCH(DATE($AV$1,MONTH($B$114),Z$3),'Сводный годовой график'!$C$16:$AR$16)))</f>
        <v>#N/A</v>
      </c>
      <c r="AA118" s="92" t="e">
        <f ca="1">IF(AND(INDEX('Сводный годовой график'!$C$1:$AR$4,MATCH($C$118,'Сводный годовой график'!$B$1:$B$4),MATCH(DATE($AV$1,MONTH($B$114),AA$3),'Сводный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график'!$B$1:$B$4),MATCH(DATE($AV$1,MONTH($B$114),AA$3),'Сводный годовой график'!$C$16:$AR$16)))</f>
        <v>#N/A</v>
      </c>
      <c r="AB118" s="92" t="e">
        <f ca="1">IF(AND(INDEX('Сводный годовой график'!$C$1:$AR$4,MATCH($C$118,'Сводный годовой график'!$B$1:$B$4),MATCH(DATE($AV$1,MONTH($B$114),AB$3),'Сводный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график'!$B$1:$B$4),MATCH(DATE($AV$1,MONTH($B$114),AB$3),'Сводный годовой график'!$C$16:$AR$16)))</f>
        <v>#N/A</v>
      </c>
      <c r="AC118" s="92" t="e">
        <f ca="1">IF(AND(INDEX('Сводный годовой график'!$C$1:$AR$4,MATCH($C$118,'Сводный годовой график'!$B$1:$B$4),MATCH(DATE($AV$1,MONTH($B$114),AC$3),'Сводный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график'!$B$1:$B$4),MATCH(DATE($AV$1,MONTH($B$114),AC$3),'Сводный годовой график'!$C$16:$AR$16)))</f>
        <v>#N/A</v>
      </c>
      <c r="AD118" s="92" t="e">
        <f ca="1">IF(AND(INDEX('Сводный годовой график'!$C$1:$AR$4,MATCH($C$118,'Сводный годовой график'!$B$1:$B$4),MATCH(DATE($AV$1,MONTH($B$114),AD$3),'Сводный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график'!$B$1:$B$4),MATCH(DATE($AV$1,MONTH($B$114),AD$3),'Сводный годовой график'!$C$16:$AR$16)))</f>
        <v>#N/A</v>
      </c>
      <c r="AE118" s="92" t="e">
        <f ca="1">IF(AND(INDEX('Сводный годовой график'!$C$1:$AR$4,MATCH($C$118,'Сводный годовой график'!$B$1:$B$4),MATCH(DATE($AV$1,MONTH($B$114),AE$3),'Сводный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график'!$B$1:$B$4),MATCH(DATE($AV$1,MONTH($B$114),AE$3),'Сводный годовой график'!$C$16:$AR$16)))</f>
        <v>#N/A</v>
      </c>
      <c r="AF118" s="92" t="e">
        <f ca="1">IF(AND(INDEX('Сводный годовой график'!$C$1:$AR$4,MATCH($C$118,'Сводный годовой график'!$B$1:$B$4),MATCH(DATE($AV$1,MONTH($B$114),AF$3),'Сводный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график'!$B$1:$B$4),MATCH(DATE($AV$1,MONTH($B$114),AF$3),'Сводный годовой график'!$C$16:$AR$16)))</f>
        <v>#N/A</v>
      </c>
      <c r="AG118" s="92" t="e">
        <f ca="1">IF(AND(INDEX('Сводный годовой график'!$C$1:$AR$4,MATCH($C$118,'Сводный годовой график'!$B$1:$B$4),MATCH(DATE($AV$1,MONTH($B$114),AG$3),'Сводный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график'!$B$1:$B$4),MATCH(DATE($AV$1,MONTH($B$114),AG$3),'Сводный годовой график'!$C$16:$AR$16)))</f>
        <v>#N/A</v>
      </c>
      <c r="AH118" s="92" t="e">
        <f ca="1">IF(AND(INDEX('Сводный годовой график'!$C$1:$AR$4,MATCH($C$118,'Сводный годовой график'!$B$1:$B$4),MATCH(DATE($AV$1,MONTH($B$114),AH$3),'Сводный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график'!$B$1:$B$4),MATCH(DATE($AV$1,MONTH($B$114),AH$3),'Сводный годовой график'!$C$16:$AR$16)))</f>
        <v>#N/A</v>
      </c>
      <c r="AI118" s="97" t="e">
        <f ca="1">IF(AND(INDEX('Сводный годовой график'!$C$1:$AR$4,MATCH($C$118,'Сводный годовой график'!$B$1:$B$4),MATCH(DATE($AV$1,MONTH($B$114),AI$3),'Сводный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график'!$B$1:$B$4),MATCH(DATE($AV$1,MONTH($B$114),AI$3),'Сводный годовой график'!$C$16:$AR$16)))</f>
        <v>#N/A</v>
      </c>
      <c r="AJ118" s="206"/>
      <c r="AK118" s="177">
        <f>$AJ$114-SUM(AY118:CC119)</f>
        <v>176</v>
      </c>
      <c r="AL118" s="177" t="e">
        <f t="shared" ref="AL118" ca="1" si="211">SUM(E118:AI119)</f>
        <v>#N/A</v>
      </c>
      <c r="AM118" s="177">
        <v>0</v>
      </c>
      <c r="AN118" s="198" t="e">
        <f t="shared" ref="AN118" ca="1" si="212">-AM118-AK118+AL118</f>
        <v>#N/A</v>
      </c>
      <c r="AO118" s="198">
        <v>0</v>
      </c>
      <c r="AP118" s="198" t="e">
        <f t="shared" ref="AP118" ca="1" si="213">AN118+AP108</f>
        <v>#N/A</v>
      </c>
      <c r="AQ118" s="177">
        <v>0</v>
      </c>
      <c r="AR118" s="179">
        <v>1</v>
      </c>
      <c r="CK118" s="59"/>
      <c r="CL118" s="59"/>
      <c r="CM118" s="59"/>
      <c r="CN118" s="59"/>
      <c r="CO118" s="59"/>
      <c r="CP118" s="59"/>
      <c r="CQ118" s="59"/>
      <c r="CR118" s="59"/>
      <c r="CS118" s="59"/>
      <c r="CT118" s="59"/>
      <c r="CU118" s="59"/>
      <c r="CV118" s="59"/>
      <c r="CW118" s="59"/>
      <c r="CX118" s="59"/>
      <c r="CY118" s="59"/>
      <c r="CZ118" s="59"/>
      <c r="DA118" s="59"/>
      <c r="DB118" s="59"/>
      <c r="DC118" s="59"/>
      <c r="DD118" s="59"/>
      <c r="DE118" s="59"/>
      <c r="DF118" s="59"/>
      <c r="DG118" s="59"/>
      <c r="DH118" s="59"/>
      <c r="DI118" s="59"/>
      <c r="DJ118" s="59"/>
      <c r="DK118" s="59"/>
      <c r="DL118" s="59"/>
      <c r="DM118" s="59"/>
      <c r="DN118" s="59"/>
      <c r="DO118" s="59"/>
    </row>
    <row r="119" spans="2:119" ht="16.5" thickBot="1" x14ac:dyDescent="0.3">
      <c r="B119" s="201"/>
      <c r="C119" s="197"/>
      <c r="D119" s="82">
        <v>6</v>
      </c>
      <c r="E119" s="96" t="str">
        <f t="shared" ref="E119:AI119" si="214">IF(INDEX($CK$4:$DO$123,ROW()-3,E$3)=0,"","СП")</f>
        <v/>
      </c>
      <c r="F119" s="92" t="str">
        <f t="shared" si="214"/>
        <v/>
      </c>
      <c r="G119" s="92" t="str">
        <f t="shared" si="214"/>
        <v/>
      </c>
      <c r="H119" s="92" t="str">
        <f t="shared" si="214"/>
        <v/>
      </c>
      <c r="I119" s="92" t="str">
        <f t="shared" si="214"/>
        <v/>
      </c>
      <c r="J119" s="92" t="str">
        <f t="shared" si="214"/>
        <v/>
      </c>
      <c r="K119" s="92" t="str">
        <f t="shared" si="214"/>
        <v/>
      </c>
      <c r="L119" s="92" t="str">
        <f t="shared" si="214"/>
        <v/>
      </c>
      <c r="M119" s="92" t="str">
        <f t="shared" si="214"/>
        <v/>
      </c>
      <c r="N119" s="92" t="str">
        <f t="shared" si="214"/>
        <v/>
      </c>
      <c r="O119" s="92" t="str">
        <f t="shared" si="214"/>
        <v/>
      </c>
      <c r="P119" s="92" t="str">
        <f t="shared" si="214"/>
        <v/>
      </c>
      <c r="Q119" s="92" t="str">
        <f t="shared" si="214"/>
        <v/>
      </c>
      <c r="R119" s="92" t="str">
        <f t="shared" si="214"/>
        <v>СП</v>
      </c>
      <c r="S119" s="92" t="str">
        <f t="shared" si="214"/>
        <v/>
      </c>
      <c r="T119" s="92" t="str">
        <f t="shared" si="214"/>
        <v/>
      </c>
      <c r="U119" s="92" t="str">
        <f t="shared" si="214"/>
        <v/>
      </c>
      <c r="V119" s="92" t="str">
        <f t="shared" si="214"/>
        <v/>
      </c>
      <c r="W119" s="92" t="str">
        <f t="shared" si="214"/>
        <v/>
      </c>
      <c r="X119" s="92" t="str">
        <f t="shared" si="214"/>
        <v/>
      </c>
      <c r="Y119" s="92" t="str">
        <f t="shared" si="214"/>
        <v/>
      </c>
      <c r="Z119" s="92" t="str">
        <f t="shared" si="214"/>
        <v/>
      </c>
      <c r="AA119" s="92" t="str">
        <f t="shared" si="214"/>
        <v/>
      </c>
      <c r="AB119" s="92" t="str">
        <f t="shared" si="214"/>
        <v/>
      </c>
      <c r="AC119" s="92" t="str">
        <f t="shared" si="214"/>
        <v/>
      </c>
      <c r="AD119" s="92" t="str">
        <f t="shared" si="214"/>
        <v/>
      </c>
      <c r="AE119" s="92" t="str">
        <f t="shared" si="214"/>
        <v/>
      </c>
      <c r="AF119" s="92" t="str">
        <f t="shared" si="214"/>
        <v/>
      </c>
      <c r="AG119" s="92" t="str">
        <f t="shared" si="214"/>
        <v/>
      </c>
      <c r="AH119" s="92" t="str">
        <f t="shared" si="214"/>
        <v/>
      </c>
      <c r="AI119" s="97" t="str">
        <f t="shared" si="214"/>
        <v/>
      </c>
      <c r="AJ119" s="206"/>
      <c r="AK119" s="177"/>
      <c r="AL119" s="177"/>
      <c r="AM119" s="177"/>
      <c r="AN119" s="198"/>
      <c r="AO119" s="198"/>
      <c r="AP119" s="198"/>
      <c r="AQ119" s="177"/>
      <c r="AR119" s="179"/>
      <c r="CK119" s="58">
        <f>IF(DAY(INDEX('Сводный годовой график'!$BA$4:$BL$14,$C118,MONTH($B$114)))=E$3,1,0)</f>
        <v>0</v>
      </c>
      <c r="CL119" s="58">
        <f>IF(DAY(INDEX('Сводный годовой график'!$BA$4:$BL$14,$C118,MONTH($B$114)))=F$3,1,0)</f>
        <v>0</v>
      </c>
      <c r="CM119" s="58">
        <f>IF(DAY(INDEX('Сводный годовой график'!$BA$4:$BL$14,$C118,MONTH($B$114)))=G$3,1,0)</f>
        <v>0</v>
      </c>
      <c r="CN119" s="58">
        <f>IF(DAY(INDEX('Сводный годовой график'!$BA$4:$BL$14,$C118,MONTH($B$114)))=H$3,1,0)</f>
        <v>0</v>
      </c>
      <c r="CO119" s="58">
        <f>IF(DAY(INDEX('Сводный годовой график'!$BA$4:$BL$14,$C118,MONTH($B$114)))=I$3,1,0)</f>
        <v>0</v>
      </c>
      <c r="CP119" s="58">
        <f>IF(DAY(INDEX('Сводный годовой график'!$BA$4:$BL$14,$C118,MONTH($B$114)))=J$3,1,0)</f>
        <v>0</v>
      </c>
      <c r="CQ119" s="58">
        <f>IF(DAY(INDEX('Сводный годовой график'!$BA$4:$BL$14,$C118,MONTH($B$114)))=K$3,1,0)</f>
        <v>0</v>
      </c>
      <c r="CR119" s="58">
        <f>IF(DAY(INDEX('Сводный годовой график'!$BA$4:$BL$14,$C118,MONTH($B$114)))=L$3,1,0)</f>
        <v>0</v>
      </c>
      <c r="CS119" s="58">
        <f>IF(DAY(INDEX('Сводный годовой график'!$BA$4:$BL$14,$C118,MONTH($B$114)))=M$3,1,0)</f>
        <v>0</v>
      </c>
      <c r="CT119" s="58">
        <f>IF(DAY(INDEX('Сводный годовой график'!$BA$4:$BL$14,$C118,MONTH($B$114)))=N$3,1,0)</f>
        <v>0</v>
      </c>
      <c r="CU119" s="58">
        <f>IF(DAY(INDEX('Сводный годовой график'!$BA$4:$BL$14,$C118,MONTH($B$114)))=O$3,1,0)</f>
        <v>0</v>
      </c>
      <c r="CV119" s="58">
        <f>IF(DAY(INDEX('Сводный годовой график'!$BA$4:$BL$14,$C118,MONTH($B$114)))=P$3,1,0)</f>
        <v>0</v>
      </c>
      <c r="CW119" s="58">
        <f>IF(DAY(INDEX('Сводный годовой график'!$BA$4:$BL$14,$C118,MONTH($B$114)))=Q$3,1,0)</f>
        <v>0</v>
      </c>
      <c r="CX119" s="58">
        <f>IF(DAY(INDEX('Сводный годовой график'!$BA$4:$BL$14,$C118,MONTH($B$114)))=R$3,1,0)</f>
        <v>1</v>
      </c>
      <c r="CY119" s="58">
        <f>IF(DAY(INDEX('Сводный годовой график'!$BA$4:$BL$14,$C118,MONTH($B$114)))=S$3,1,0)</f>
        <v>0</v>
      </c>
      <c r="CZ119" s="58">
        <f>IF(DAY(INDEX('Сводный годовой график'!$BA$4:$BL$14,$C118,MONTH($B$114)))=T$3,1,0)</f>
        <v>0</v>
      </c>
      <c r="DA119" s="58">
        <f>IF(DAY(INDEX('Сводный годовой график'!$BA$4:$BL$14,$C118,MONTH($B$114)))=U$3,1,0)</f>
        <v>0</v>
      </c>
      <c r="DB119" s="58">
        <f>IF(DAY(INDEX('Сводный годовой график'!$BA$4:$BL$14,$C118,MONTH($B$114)))=V$3,1,0)</f>
        <v>0</v>
      </c>
      <c r="DC119" s="58">
        <f>IF(DAY(INDEX('Сводный годовой график'!$BA$4:$BL$14,$C118,MONTH($B$114)))=W$3,1,0)</f>
        <v>0</v>
      </c>
      <c r="DD119" s="58">
        <f>IF(DAY(INDEX('Сводный годовой график'!$BA$4:$BL$14,$C118,MONTH($B$114)))=X$3,1,0)</f>
        <v>0</v>
      </c>
      <c r="DE119" s="58">
        <f>IF(DAY(INDEX('Сводный годовой график'!$BA$4:$BL$14,$C118,MONTH($B$114)))=Y$3,1,0)</f>
        <v>0</v>
      </c>
      <c r="DF119" s="58">
        <f>IF(DAY(INDEX('Сводный годовой график'!$BA$4:$BL$14,$C118,MONTH($B$114)))=Z$3,1,0)</f>
        <v>0</v>
      </c>
      <c r="DG119" s="58">
        <f>IF(DAY(INDEX('Сводный годовой график'!$BA$4:$BL$14,$C118,MONTH($B$114)))=AA$3,1,0)</f>
        <v>0</v>
      </c>
      <c r="DH119" s="58">
        <f>IF(DAY(INDEX('Сводный годовой график'!$BA$4:$BL$14,$C118,MONTH($B$114)))=AB$3,1,0)</f>
        <v>0</v>
      </c>
      <c r="DI119" s="58">
        <f>IF(DAY(INDEX('Сводный годовой график'!$BA$4:$BL$14,$C118,MONTH($B$114)))=AC$3,1,0)</f>
        <v>0</v>
      </c>
      <c r="DJ119" s="58">
        <f>IF(DAY(INDEX('Сводный годовой график'!$BA$4:$BL$14,$C118,MONTH($B$114)))=AD$3,1,0)</f>
        <v>0</v>
      </c>
      <c r="DK119" s="58">
        <f>IF(DAY(INDEX('Сводный годовой график'!$BA$4:$BL$14,$C118,MONTH($B$114)))=AE$3,1,0)</f>
        <v>0</v>
      </c>
      <c r="DL119" s="58">
        <f>IF(DAY(INDEX('Сводный годовой график'!$BA$4:$BL$14,$C118,MONTH($B$114)))=AF$3,1,0)</f>
        <v>0</v>
      </c>
      <c r="DM119" s="58">
        <f>IF(DAY(INDEX('Сводный годовой график'!$BA$4:$BL$14,$C118,MONTH($B$114)))=AG$3,1,0)</f>
        <v>0</v>
      </c>
      <c r="DN119" s="58">
        <f>IF(DAY(INDEX('Сводный годовой график'!$BA$4:$BL$14,$C118,MONTH($B$114)))=AH$3,1,0)</f>
        <v>0</v>
      </c>
      <c r="DO119" s="58">
        <f>IF(DAY(INDEX('Сводный годовой график'!$BA$4:$BL$14,$C118,MONTH($B$114)))=AI$3,1,0)</f>
        <v>0</v>
      </c>
    </row>
    <row r="120" spans="2:119" ht="16.5" thickBot="1" x14ac:dyDescent="0.3">
      <c r="B120" s="201"/>
      <c r="C120" s="196">
        <v>4</v>
      </c>
      <c r="D120" s="81">
        <v>7</v>
      </c>
      <c r="E120" s="96" t="e">
        <f ca="1">IF(AND(INDEX('Сводный годовой график'!$C$1:$AR$4,MATCH($C$120,'Сводный годовой график'!$B$1:$B$4),MATCH(DATE($AV$1,MONTH($B$114),E$3),'Сводный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график'!$B$1:$B$4),MATCH(DATE($AV$1,MONTH($B$114),E$3),'Сводный годовой график'!$C$16:$AR$16)))</f>
        <v>#N/A</v>
      </c>
      <c r="F120" s="92" t="e">
        <f ca="1">IF(AND(INDEX('Сводный годовой график'!$C$1:$AR$4,MATCH($C$120,'Сводный годовой график'!$B$1:$B$4),MATCH(DATE($AV$1,MONTH($B$114),F$3),'Сводный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график'!$B$1:$B$4),MATCH(DATE($AV$1,MONTH($B$114),F$3),'Сводный годовой график'!$C$16:$AR$16)))</f>
        <v>#N/A</v>
      </c>
      <c r="G120" s="92" t="e">
        <f ca="1">IF(AND(INDEX('Сводный годовой график'!$C$1:$AR$4,MATCH($C$120,'Сводный годовой график'!$B$1:$B$4),MATCH(DATE($AV$1,MONTH($B$114),G$3),'Сводный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график'!$B$1:$B$4),MATCH(DATE($AV$1,MONTH($B$114),G$3),'Сводный годовой график'!$C$16:$AR$16)))</f>
        <v>#N/A</v>
      </c>
      <c r="H120" s="92" t="e">
        <f ca="1">IF(AND(INDEX('Сводный годовой график'!$C$1:$AR$4,MATCH($C$120,'Сводный годовой график'!$B$1:$B$4),MATCH(DATE($AV$1,MONTH($B$114),H$3),'Сводный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график'!$B$1:$B$4),MATCH(DATE($AV$1,MONTH($B$114),H$3),'Сводный годовой график'!$C$16:$AR$16)))</f>
        <v>#N/A</v>
      </c>
      <c r="I120" s="92" t="e">
        <f ca="1">IF(AND(INDEX('Сводный годовой график'!$C$1:$AR$4,MATCH($C$120,'Сводный годовой график'!$B$1:$B$4),MATCH(DATE($AV$1,MONTH($B$114),I$3),'Сводный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график'!$B$1:$B$4),MATCH(DATE($AV$1,MONTH($B$114),I$3),'Сводный годовой график'!$C$16:$AR$16)))</f>
        <v>#N/A</v>
      </c>
      <c r="J120" s="92" t="e">
        <f ca="1">IF(AND(INDEX('Сводный годовой график'!$C$1:$AR$4,MATCH($C$120,'Сводный годовой график'!$B$1:$B$4),MATCH(DATE($AV$1,MONTH($B$114),J$3),'Сводный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график'!$B$1:$B$4),MATCH(DATE($AV$1,MONTH($B$114),J$3),'Сводный годовой график'!$C$16:$AR$16)))</f>
        <v>#N/A</v>
      </c>
      <c r="K120" s="92" t="e">
        <f ca="1">IF(AND(INDEX('Сводный годовой график'!$C$1:$AR$4,MATCH($C$120,'Сводный годовой график'!$B$1:$B$4),MATCH(DATE($AV$1,MONTH($B$114),K$3),'Сводный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график'!$B$1:$B$4),MATCH(DATE($AV$1,MONTH($B$114),K$3),'Сводный годовой график'!$C$16:$AR$16)))</f>
        <v>#N/A</v>
      </c>
      <c r="L120" s="92" t="e">
        <f ca="1">IF(AND(INDEX('Сводный годовой график'!$C$1:$AR$4,MATCH($C$120,'Сводный годовой график'!$B$1:$B$4),MATCH(DATE($AV$1,MONTH($B$114),L$3),'Сводный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график'!$B$1:$B$4),MATCH(DATE($AV$1,MONTH($B$114),L$3),'Сводный годовой график'!$C$16:$AR$16)))</f>
        <v>#N/A</v>
      </c>
      <c r="M120" s="92" t="e">
        <f ca="1">IF(AND(INDEX('Сводный годовой график'!$C$1:$AR$4,MATCH($C$120,'Сводный годовой график'!$B$1:$B$4),MATCH(DATE($AV$1,MONTH($B$114),M$3),'Сводный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график'!$B$1:$B$4),MATCH(DATE($AV$1,MONTH($B$114),M$3),'Сводный годовой график'!$C$16:$AR$16)))</f>
        <v>#N/A</v>
      </c>
      <c r="N120" s="92" t="e">
        <f ca="1">IF(AND(INDEX('Сводный годовой график'!$C$1:$AR$4,MATCH($C$120,'Сводный годовой график'!$B$1:$B$4),MATCH(DATE($AV$1,MONTH($B$114),N$3),'Сводный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график'!$B$1:$B$4),MATCH(DATE($AV$1,MONTH($B$114),N$3),'Сводный годовой график'!$C$16:$AR$16)))</f>
        <v>#N/A</v>
      </c>
      <c r="O120" s="92" t="e">
        <f ca="1">IF(AND(INDEX('Сводный годовой график'!$C$1:$AR$4,MATCH($C$120,'Сводный годовой график'!$B$1:$B$4),MATCH(DATE($AV$1,MONTH($B$114),O$3),'Сводный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график'!$B$1:$B$4),MATCH(DATE($AV$1,MONTH($B$114),O$3),'Сводный годовой график'!$C$16:$AR$16)))</f>
        <v>#N/A</v>
      </c>
      <c r="P120" s="92" t="e">
        <f ca="1">IF(AND(INDEX('Сводный годовой график'!$C$1:$AR$4,MATCH($C$120,'Сводный годовой график'!$B$1:$B$4),MATCH(DATE($AV$1,MONTH($B$114),P$3),'Сводный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график'!$B$1:$B$4),MATCH(DATE($AV$1,MONTH($B$114),P$3),'Сводный годовой график'!$C$16:$AR$16)))</f>
        <v>#N/A</v>
      </c>
      <c r="Q120" s="92" t="e">
        <f ca="1">IF(AND(INDEX('Сводный годовой график'!$C$1:$AR$4,MATCH($C$120,'Сводный годовой график'!$B$1:$B$4),MATCH(DATE($AV$1,MONTH($B$114),Q$3),'Сводный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график'!$B$1:$B$4),MATCH(DATE($AV$1,MONTH($B$114),Q$3),'Сводный годовой график'!$C$16:$AR$16)))</f>
        <v>#N/A</v>
      </c>
      <c r="R120" s="92" t="e">
        <f ca="1">IF(AND(INDEX('Сводный годовой график'!$C$1:$AR$4,MATCH($C$120,'Сводный годовой график'!$B$1:$B$4),MATCH(DATE($AV$1,MONTH($B$114),R$3),'Сводный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график'!$B$1:$B$4),MATCH(DATE($AV$1,MONTH($B$114),R$3),'Сводный годовой график'!$C$16:$AR$16)))</f>
        <v>#N/A</v>
      </c>
      <c r="S120" s="92" t="e">
        <f ca="1">IF(AND(INDEX('Сводный годовой график'!$C$1:$AR$4,MATCH($C$120,'Сводный годовой график'!$B$1:$B$4),MATCH(DATE($AV$1,MONTH($B$114),S$3),'Сводный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график'!$B$1:$B$4),MATCH(DATE($AV$1,MONTH($B$114),S$3),'Сводный годовой график'!$C$16:$AR$16)))</f>
        <v>#N/A</v>
      </c>
      <c r="T120" s="92" t="e">
        <f ca="1">IF(AND(INDEX('Сводный годовой график'!$C$1:$AR$4,MATCH($C$120,'Сводный годовой график'!$B$1:$B$4),MATCH(DATE($AV$1,MONTH($B$114),T$3),'Сводный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график'!$B$1:$B$4),MATCH(DATE($AV$1,MONTH($B$114),T$3),'Сводный годовой график'!$C$16:$AR$16)))</f>
        <v>#N/A</v>
      </c>
      <c r="U120" s="92" t="e">
        <f ca="1">IF(AND(INDEX('Сводный годовой график'!$C$1:$AR$4,MATCH($C$120,'Сводный годовой график'!$B$1:$B$4),MATCH(DATE($AV$1,MONTH($B$114),U$3),'Сводный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график'!$B$1:$B$4),MATCH(DATE($AV$1,MONTH($B$114),U$3),'Сводный годовой график'!$C$16:$AR$16)))</f>
        <v>#N/A</v>
      </c>
      <c r="V120" s="92" t="e">
        <f ca="1">IF(AND(INDEX('Сводный годовой график'!$C$1:$AR$4,MATCH($C$120,'Сводный годовой график'!$B$1:$B$4),MATCH(DATE($AV$1,MONTH($B$114),V$3),'Сводный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график'!$B$1:$B$4),MATCH(DATE($AV$1,MONTH($B$114),V$3),'Сводный годовой график'!$C$16:$AR$16)))</f>
        <v>#N/A</v>
      </c>
      <c r="W120" s="92" t="e">
        <f ca="1">IF(AND(INDEX('Сводный годовой график'!$C$1:$AR$4,MATCH($C$120,'Сводный годовой график'!$B$1:$B$4),MATCH(DATE($AV$1,MONTH($B$114),W$3),'Сводный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график'!$B$1:$B$4),MATCH(DATE($AV$1,MONTH($B$114),W$3),'Сводный годовой график'!$C$16:$AR$16)))</f>
        <v>#N/A</v>
      </c>
      <c r="X120" s="92" t="e">
        <f ca="1">IF(AND(INDEX('Сводный годовой график'!$C$1:$AR$4,MATCH($C$120,'Сводный годовой график'!$B$1:$B$4),MATCH(DATE($AV$1,MONTH($B$114),X$3),'Сводный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график'!$B$1:$B$4),MATCH(DATE($AV$1,MONTH($B$114),X$3),'Сводный годовой график'!$C$16:$AR$16)))</f>
        <v>#N/A</v>
      </c>
      <c r="Y120" s="92" t="e">
        <f ca="1">IF(AND(INDEX('Сводный годовой график'!$C$1:$AR$4,MATCH($C$120,'Сводный годовой график'!$B$1:$B$4),MATCH(DATE($AV$1,MONTH($B$114),Y$3),'Сводный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график'!$B$1:$B$4),MATCH(DATE($AV$1,MONTH($B$114),Y$3),'Сводный годовой график'!$C$16:$AR$16)))</f>
        <v>#N/A</v>
      </c>
      <c r="Z120" s="92" t="e">
        <f ca="1">IF(AND(INDEX('Сводный годовой график'!$C$1:$AR$4,MATCH($C$120,'Сводный годовой график'!$B$1:$B$4),MATCH(DATE($AV$1,MONTH($B$114),Z$3),'Сводный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график'!$B$1:$B$4),MATCH(DATE($AV$1,MONTH($B$114),Z$3),'Сводный годовой график'!$C$16:$AR$16)))</f>
        <v>#N/A</v>
      </c>
      <c r="AA120" s="92" t="e">
        <f ca="1">IF(AND(INDEX('Сводный годовой график'!$C$1:$AR$4,MATCH($C$120,'Сводный годовой график'!$B$1:$B$4),MATCH(DATE($AV$1,MONTH($B$114),AA$3),'Сводный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график'!$B$1:$B$4),MATCH(DATE($AV$1,MONTH($B$114),AA$3),'Сводный годовой график'!$C$16:$AR$16)))</f>
        <v>#N/A</v>
      </c>
      <c r="AB120" s="92" t="e">
        <f ca="1">IF(AND(INDEX('Сводный годовой график'!$C$1:$AR$4,MATCH($C$120,'Сводный годовой график'!$B$1:$B$4),MATCH(DATE($AV$1,MONTH($B$114),AB$3),'Сводный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график'!$B$1:$B$4),MATCH(DATE($AV$1,MONTH($B$114),AB$3),'Сводный годовой график'!$C$16:$AR$16)))</f>
        <v>#N/A</v>
      </c>
      <c r="AC120" s="92" t="e">
        <f ca="1">IF(AND(INDEX('Сводный годовой график'!$C$1:$AR$4,MATCH($C$120,'Сводный годовой график'!$B$1:$B$4),MATCH(DATE($AV$1,MONTH($B$114),AC$3),'Сводный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график'!$B$1:$B$4),MATCH(DATE($AV$1,MONTH($B$114),AC$3),'Сводный годовой график'!$C$16:$AR$16)))</f>
        <v>#N/A</v>
      </c>
      <c r="AD120" s="92" t="e">
        <f ca="1">IF(AND(INDEX('Сводный годовой график'!$C$1:$AR$4,MATCH($C$120,'Сводный годовой график'!$B$1:$B$4),MATCH(DATE($AV$1,MONTH($B$114),AD$3),'Сводный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график'!$B$1:$B$4),MATCH(DATE($AV$1,MONTH($B$114),AD$3),'Сводный годовой график'!$C$16:$AR$16)))</f>
        <v>#N/A</v>
      </c>
      <c r="AE120" s="92" t="e">
        <f ca="1">IF(AND(INDEX('Сводный годовой график'!$C$1:$AR$4,MATCH($C$120,'Сводный годовой график'!$B$1:$B$4),MATCH(DATE($AV$1,MONTH($B$114),AE$3),'Сводный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график'!$B$1:$B$4),MATCH(DATE($AV$1,MONTH($B$114),AE$3),'Сводный годовой график'!$C$16:$AR$16)))</f>
        <v>#N/A</v>
      </c>
      <c r="AF120" s="92" t="e">
        <f ca="1">IF(AND(INDEX('Сводный годовой график'!$C$1:$AR$4,MATCH($C$120,'Сводный годовой график'!$B$1:$B$4),MATCH(DATE($AV$1,MONTH($B$114),AF$3),'Сводный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график'!$B$1:$B$4),MATCH(DATE($AV$1,MONTH($B$114),AF$3),'Сводный годовой график'!$C$16:$AR$16)))</f>
        <v>#N/A</v>
      </c>
      <c r="AG120" s="92" t="e">
        <f ca="1">IF(AND(INDEX('Сводный годовой график'!$C$1:$AR$4,MATCH($C$120,'Сводный годовой график'!$B$1:$B$4),MATCH(DATE($AV$1,MONTH($B$114),AG$3),'Сводный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график'!$B$1:$B$4),MATCH(DATE($AV$1,MONTH($B$114),AG$3),'Сводный годовой график'!$C$16:$AR$16)))</f>
        <v>#N/A</v>
      </c>
      <c r="AH120" s="92" t="e">
        <f ca="1">IF(AND(INDEX('Сводный годовой график'!$C$1:$AR$4,MATCH($C$120,'Сводный годовой график'!$B$1:$B$4),MATCH(DATE($AV$1,MONTH($B$114),AH$3),'Сводный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график'!$B$1:$B$4),MATCH(DATE($AV$1,MONTH($B$114),AH$3),'Сводный годовой график'!$C$16:$AR$16)))</f>
        <v>#N/A</v>
      </c>
      <c r="AI120" s="97" t="e">
        <f ca="1">IF(AND(INDEX('Сводный годовой график'!$C$1:$AR$4,MATCH($C$120,'Сводный годовой график'!$B$1:$B$4),MATCH(DATE($AV$1,MONTH($B$114),AI$3),'Сводный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график'!$B$1:$B$4),MATCH(DATE($AV$1,MONTH($B$114),AI$3),'Сводный годовой график'!$C$16:$AR$16)))</f>
        <v>#N/A</v>
      </c>
      <c r="AJ120" s="206"/>
      <c r="AK120" s="177">
        <f>$AJ$114-SUM(AY120:CC121)</f>
        <v>176</v>
      </c>
      <c r="AL120" s="177" t="e">
        <f t="shared" ref="AL120" ca="1" si="215">SUM(E120:AI121)</f>
        <v>#N/A</v>
      </c>
      <c r="AM120" s="177">
        <v>0</v>
      </c>
      <c r="AN120" s="198" t="e">
        <f t="shared" ref="AN120" ca="1" si="216">-AM120-AK120+AL120</f>
        <v>#N/A</v>
      </c>
      <c r="AO120" s="198">
        <v>0</v>
      </c>
      <c r="AP120" s="198" t="e">
        <f t="shared" ref="AP120:AP122" ca="1" si="217">AN120+AP110</f>
        <v>#N/A</v>
      </c>
      <c r="AQ120" s="177">
        <v>0</v>
      </c>
      <c r="AR120" s="179">
        <v>1</v>
      </c>
      <c r="CK120" s="59"/>
      <c r="CL120" s="59"/>
      <c r="CM120" s="59"/>
      <c r="CN120" s="59"/>
      <c r="CO120" s="59"/>
      <c r="CP120" s="59"/>
      <c r="CQ120" s="59"/>
      <c r="CR120" s="59"/>
      <c r="CS120" s="59"/>
      <c r="CT120" s="59"/>
      <c r="CU120" s="59"/>
      <c r="CV120" s="59"/>
      <c r="CW120" s="59"/>
      <c r="CX120" s="59"/>
      <c r="CY120" s="59"/>
      <c r="CZ120" s="59"/>
      <c r="DA120" s="59"/>
      <c r="DB120" s="59"/>
      <c r="DC120" s="59"/>
      <c r="DD120" s="59"/>
      <c r="DE120" s="59"/>
      <c r="DF120" s="59"/>
      <c r="DG120" s="59"/>
      <c r="DH120" s="59"/>
      <c r="DI120" s="59"/>
      <c r="DJ120" s="59"/>
      <c r="DK120" s="59"/>
      <c r="DL120" s="59"/>
      <c r="DM120" s="59"/>
      <c r="DN120" s="59"/>
      <c r="DO120" s="59"/>
    </row>
    <row r="121" spans="2:119" ht="16.5" thickBot="1" x14ac:dyDescent="0.3">
      <c r="B121" s="201"/>
      <c r="C121" s="197"/>
      <c r="D121" s="82">
        <v>8</v>
      </c>
      <c r="E121" s="96" t="str">
        <f t="shared" ref="E121:AI121" si="218">IF(INDEX($CK$4:$DO$123,ROW()-3,E$3)=0,"","СП")</f>
        <v/>
      </c>
      <c r="F121" s="92" t="str">
        <f t="shared" si="218"/>
        <v/>
      </c>
      <c r="G121" s="92" t="str">
        <f t="shared" si="218"/>
        <v/>
      </c>
      <c r="H121" s="92" t="str">
        <f t="shared" si="218"/>
        <v/>
      </c>
      <c r="I121" s="92" t="str">
        <f t="shared" si="218"/>
        <v/>
      </c>
      <c r="J121" s="92" t="str">
        <f t="shared" si="218"/>
        <v/>
      </c>
      <c r="K121" s="92" t="str">
        <f t="shared" si="218"/>
        <v/>
      </c>
      <c r="L121" s="92" t="str">
        <f t="shared" si="218"/>
        <v/>
      </c>
      <c r="M121" s="92" t="str">
        <f t="shared" si="218"/>
        <v/>
      </c>
      <c r="N121" s="92" t="str">
        <f t="shared" si="218"/>
        <v/>
      </c>
      <c r="O121" s="92" t="str">
        <f t="shared" si="218"/>
        <v/>
      </c>
      <c r="P121" s="92" t="str">
        <f t="shared" si="218"/>
        <v/>
      </c>
      <c r="Q121" s="92" t="str">
        <f t="shared" si="218"/>
        <v/>
      </c>
      <c r="R121" s="92" t="str">
        <f t="shared" si="218"/>
        <v/>
      </c>
      <c r="S121" s="92" t="str">
        <f t="shared" si="218"/>
        <v>СП</v>
      </c>
      <c r="T121" s="92" t="str">
        <f t="shared" si="218"/>
        <v/>
      </c>
      <c r="U121" s="92" t="str">
        <f t="shared" si="218"/>
        <v/>
      </c>
      <c r="V121" s="92" t="str">
        <f t="shared" si="218"/>
        <v/>
      </c>
      <c r="W121" s="92" t="str">
        <f t="shared" si="218"/>
        <v/>
      </c>
      <c r="X121" s="92" t="str">
        <f t="shared" si="218"/>
        <v/>
      </c>
      <c r="Y121" s="92" t="str">
        <f t="shared" si="218"/>
        <v/>
      </c>
      <c r="Z121" s="92" t="str">
        <f t="shared" si="218"/>
        <v/>
      </c>
      <c r="AA121" s="92" t="str">
        <f t="shared" si="218"/>
        <v/>
      </c>
      <c r="AB121" s="92" t="str">
        <f t="shared" si="218"/>
        <v/>
      </c>
      <c r="AC121" s="92" t="str">
        <f t="shared" si="218"/>
        <v/>
      </c>
      <c r="AD121" s="92" t="str">
        <f t="shared" si="218"/>
        <v/>
      </c>
      <c r="AE121" s="92" t="str">
        <f t="shared" si="218"/>
        <v/>
      </c>
      <c r="AF121" s="92" t="str">
        <f t="shared" si="218"/>
        <v/>
      </c>
      <c r="AG121" s="92" t="str">
        <f t="shared" si="218"/>
        <v/>
      </c>
      <c r="AH121" s="92" t="str">
        <f t="shared" si="218"/>
        <v/>
      </c>
      <c r="AI121" s="97" t="str">
        <f t="shared" si="218"/>
        <v/>
      </c>
      <c r="AJ121" s="206"/>
      <c r="AK121" s="177"/>
      <c r="AL121" s="177"/>
      <c r="AM121" s="177"/>
      <c r="AN121" s="198"/>
      <c r="AO121" s="198"/>
      <c r="AP121" s="198"/>
      <c r="AQ121" s="177"/>
      <c r="AR121" s="179"/>
      <c r="CK121" s="58">
        <f>IF(DAY(INDEX('Сводный годовой график'!$BA$4:$BL$14,$C120,MONTH($B$114)))=E$3,1,0)</f>
        <v>0</v>
      </c>
      <c r="CL121" s="58">
        <f>IF(DAY(INDEX('Сводный годовой график'!$BA$4:$BL$14,$C120,MONTH($B$114)))=F$3,1,0)</f>
        <v>0</v>
      </c>
      <c r="CM121" s="58">
        <f>IF(DAY(INDEX('Сводный годовой график'!$BA$4:$BL$14,$C120,MONTH($B$114)))=G$3,1,0)</f>
        <v>0</v>
      </c>
      <c r="CN121" s="58">
        <f>IF(DAY(INDEX('Сводный годовой график'!$BA$4:$BL$14,$C120,MONTH($B$114)))=H$3,1,0)</f>
        <v>0</v>
      </c>
      <c r="CO121" s="58">
        <f>IF(DAY(INDEX('Сводный годовой график'!$BA$4:$BL$14,$C120,MONTH($B$114)))=I$3,1,0)</f>
        <v>0</v>
      </c>
      <c r="CP121" s="58">
        <f>IF(DAY(INDEX('Сводный годовой график'!$BA$4:$BL$14,$C120,MONTH($B$114)))=J$3,1,0)</f>
        <v>0</v>
      </c>
      <c r="CQ121" s="58">
        <f>IF(DAY(INDEX('Сводный годовой график'!$BA$4:$BL$14,$C120,MONTH($B$114)))=K$3,1,0)</f>
        <v>0</v>
      </c>
      <c r="CR121" s="58">
        <f>IF(DAY(INDEX('Сводный годовой график'!$BA$4:$BL$14,$C120,MONTH($B$114)))=L$3,1,0)</f>
        <v>0</v>
      </c>
      <c r="CS121" s="58">
        <f>IF(DAY(INDEX('Сводный годовой график'!$BA$4:$BL$14,$C120,MONTH($B$114)))=M$3,1,0)</f>
        <v>0</v>
      </c>
      <c r="CT121" s="58">
        <f>IF(DAY(INDEX('Сводный годовой график'!$BA$4:$BL$14,$C120,MONTH($B$114)))=N$3,1,0)</f>
        <v>0</v>
      </c>
      <c r="CU121" s="58">
        <f>IF(DAY(INDEX('Сводный годовой график'!$BA$4:$BL$14,$C120,MONTH($B$114)))=O$3,1,0)</f>
        <v>0</v>
      </c>
      <c r="CV121" s="58">
        <f>IF(DAY(INDEX('Сводный годовой график'!$BA$4:$BL$14,$C120,MONTH($B$114)))=P$3,1,0)</f>
        <v>0</v>
      </c>
      <c r="CW121" s="58">
        <f>IF(DAY(INDEX('Сводный годовой график'!$BA$4:$BL$14,$C120,MONTH($B$114)))=Q$3,1,0)</f>
        <v>0</v>
      </c>
      <c r="CX121" s="58">
        <f>IF(DAY(INDEX('Сводный годовой график'!$BA$4:$BL$14,$C120,MONTH($B$114)))=R$3,1,0)</f>
        <v>0</v>
      </c>
      <c r="CY121" s="58">
        <f>IF(DAY(INDEX('Сводный годовой график'!$BA$4:$BL$14,$C120,MONTH($B$114)))=S$3,1,0)</f>
        <v>1</v>
      </c>
      <c r="CZ121" s="58">
        <f>IF(DAY(INDEX('Сводный годовой график'!$BA$4:$BL$14,$C120,MONTH($B$114)))=T$3,1,0)</f>
        <v>0</v>
      </c>
      <c r="DA121" s="58">
        <f>IF(DAY(INDEX('Сводный годовой график'!$BA$4:$BL$14,$C120,MONTH($B$114)))=U$3,1,0)</f>
        <v>0</v>
      </c>
      <c r="DB121" s="58">
        <f>IF(DAY(INDEX('Сводный годовой график'!$BA$4:$BL$14,$C120,MONTH($B$114)))=V$3,1,0)</f>
        <v>0</v>
      </c>
      <c r="DC121" s="58">
        <f>IF(DAY(INDEX('Сводный годовой график'!$BA$4:$BL$14,$C120,MONTH($B$114)))=W$3,1,0)</f>
        <v>0</v>
      </c>
      <c r="DD121" s="58">
        <f>IF(DAY(INDEX('Сводный годовой график'!$BA$4:$BL$14,$C120,MONTH($B$114)))=X$3,1,0)</f>
        <v>0</v>
      </c>
      <c r="DE121" s="58">
        <f>IF(DAY(INDEX('Сводный годовой график'!$BA$4:$BL$14,$C120,MONTH($B$114)))=Y$3,1,0)</f>
        <v>0</v>
      </c>
      <c r="DF121" s="58">
        <f>IF(DAY(INDEX('Сводный годовой график'!$BA$4:$BL$14,$C120,MONTH($B$114)))=Z$3,1,0)</f>
        <v>0</v>
      </c>
      <c r="DG121" s="58">
        <f>IF(DAY(INDEX('Сводный годовой график'!$BA$4:$BL$14,$C120,MONTH($B$114)))=AA$3,1,0)</f>
        <v>0</v>
      </c>
      <c r="DH121" s="58">
        <f>IF(DAY(INDEX('Сводный годовой график'!$BA$4:$BL$14,$C120,MONTH($B$114)))=AB$3,1,0)</f>
        <v>0</v>
      </c>
      <c r="DI121" s="58">
        <f>IF(DAY(INDEX('Сводный годовой график'!$BA$4:$BL$14,$C120,MONTH($B$114)))=AC$3,1,0)</f>
        <v>0</v>
      </c>
      <c r="DJ121" s="58">
        <f>IF(DAY(INDEX('Сводный годовой график'!$BA$4:$BL$14,$C120,MONTH($B$114)))=AD$3,1,0)</f>
        <v>0</v>
      </c>
      <c r="DK121" s="58">
        <f>IF(DAY(INDEX('Сводный годовой график'!$BA$4:$BL$14,$C120,MONTH($B$114)))=AE$3,1,0)</f>
        <v>0</v>
      </c>
      <c r="DL121" s="58">
        <f>IF(DAY(INDEX('Сводный годовой график'!$BA$4:$BL$14,$C120,MONTH($B$114)))=AF$3,1,0)</f>
        <v>0</v>
      </c>
      <c r="DM121" s="58">
        <f>IF(DAY(INDEX('Сводный годовой график'!$BA$4:$BL$14,$C120,MONTH($B$114)))=AG$3,1,0)</f>
        <v>0</v>
      </c>
      <c r="DN121" s="58">
        <f>IF(DAY(INDEX('Сводный годовой график'!$BA$4:$BL$14,$C120,MONTH($B$114)))=AH$3,1,0)</f>
        <v>0</v>
      </c>
      <c r="DO121" s="58">
        <f>IF(DAY(INDEX('Сводный годовой график'!$BA$4:$BL$14,$C120,MONTH($B$114)))=AI$3,1,0)</f>
        <v>0</v>
      </c>
    </row>
    <row r="122" spans="2:119" ht="16.5" thickBot="1" x14ac:dyDescent="0.3">
      <c r="B122" s="201"/>
      <c r="C122" s="196">
        <v>5</v>
      </c>
      <c r="D122" s="81">
        <v>9</v>
      </c>
      <c r="E122" s="96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92"/>
      <c r="Y122" s="92"/>
      <c r="Z122" s="92"/>
      <c r="AA122" s="92"/>
      <c r="AB122" s="92"/>
      <c r="AC122" s="92"/>
      <c r="AD122" s="92"/>
      <c r="AE122" s="92"/>
      <c r="AF122" s="92"/>
      <c r="AG122" s="92"/>
      <c r="AH122" s="92"/>
      <c r="AI122" s="97"/>
      <c r="AJ122" s="206"/>
      <c r="AK122" s="177">
        <f>$AJ$114-SUM(AY122:CC123)</f>
        <v>176</v>
      </c>
      <c r="AL122" s="177">
        <f t="shared" ref="AL122" si="219">SUM(E122:AI123)</f>
        <v>0</v>
      </c>
      <c r="AM122" s="177">
        <v>0</v>
      </c>
      <c r="AN122" s="198">
        <f t="shared" ref="AN122" si="220">-AM122-AK122+AL122</f>
        <v>-176</v>
      </c>
      <c r="AO122" s="198">
        <v>0</v>
      </c>
      <c r="AP122" s="198">
        <f t="shared" si="217"/>
        <v>-2044</v>
      </c>
      <c r="AQ122" s="177">
        <v>0</v>
      </c>
      <c r="AR122" s="179">
        <v>1</v>
      </c>
      <c r="CK122" s="59"/>
      <c r="CL122" s="59"/>
      <c r="CM122" s="59"/>
      <c r="CN122" s="59"/>
      <c r="CO122" s="59"/>
      <c r="CP122" s="59"/>
      <c r="CQ122" s="59"/>
      <c r="CR122" s="59"/>
      <c r="CS122" s="59"/>
      <c r="CT122" s="59"/>
      <c r="CU122" s="59"/>
      <c r="CV122" s="59"/>
      <c r="CW122" s="59"/>
      <c r="CX122" s="59"/>
      <c r="CY122" s="59"/>
      <c r="CZ122" s="59"/>
      <c r="DA122" s="59"/>
      <c r="DB122" s="59"/>
      <c r="DC122" s="59"/>
      <c r="DD122" s="59"/>
      <c r="DE122" s="59"/>
      <c r="DF122" s="59"/>
      <c r="DG122" s="59"/>
      <c r="DH122" s="59"/>
      <c r="DI122" s="59"/>
      <c r="DJ122" s="59"/>
      <c r="DK122" s="59"/>
      <c r="DL122" s="59"/>
      <c r="DM122" s="59"/>
      <c r="DN122" s="59"/>
      <c r="DO122" s="59"/>
    </row>
    <row r="123" spans="2:119" ht="16.5" thickBot="1" x14ac:dyDescent="0.3">
      <c r="B123" s="202"/>
      <c r="C123" s="197"/>
      <c r="D123" s="82">
        <v>10</v>
      </c>
      <c r="E123" s="84" t="str">
        <f t="shared" ref="E123:AI123" si="221">IF(INDEX($CK$4:$DO$123,ROW()-3,E$3)=0,"","СП")</f>
        <v/>
      </c>
      <c r="F123" s="29" t="str">
        <f t="shared" si="221"/>
        <v/>
      </c>
      <c r="G123" s="29" t="str">
        <f t="shared" si="221"/>
        <v/>
      </c>
      <c r="H123" s="29" t="str">
        <f t="shared" si="221"/>
        <v/>
      </c>
      <c r="I123" s="29" t="str">
        <f t="shared" si="221"/>
        <v/>
      </c>
      <c r="J123" s="29" t="str">
        <f t="shared" si="221"/>
        <v/>
      </c>
      <c r="K123" s="29" t="str">
        <f t="shared" si="221"/>
        <v/>
      </c>
      <c r="L123" s="29" t="str">
        <f t="shared" si="221"/>
        <v/>
      </c>
      <c r="M123" s="29" t="str">
        <f t="shared" si="221"/>
        <v/>
      </c>
      <c r="N123" s="29" t="str">
        <f t="shared" si="221"/>
        <v/>
      </c>
      <c r="O123" s="29" t="str">
        <f t="shared" si="221"/>
        <v/>
      </c>
      <c r="P123" s="29" t="str">
        <f t="shared" si="221"/>
        <v/>
      </c>
      <c r="Q123" s="29" t="str">
        <f t="shared" si="221"/>
        <v/>
      </c>
      <c r="R123" s="29" t="str">
        <f t="shared" si="221"/>
        <v/>
      </c>
      <c r="S123" s="29" t="str">
        <f t="shared" si="221"/>
        <v/>
      </c>
      <c r="T123" s="29" t="str">
        <f t="shared" si="221"/>
        <v>СП</v>
      </c>
      <c r="U123" s="29" t="str">
        <f t="shared" si="221"/>
        <v/>
      </c>
      <c r="V123" s="29" t="str">
        <f t="shared" si="221"/>
        <v/>
      </c>
      <c r="W123" s="29" t="str">
        <f t="shared" si="221"/>
        <v/>
      </c>
      <c r="X123" s="29" t="str">
        <f t="shared" si="221"/>
        <v/>
      </c>
      <c r="Y123" s="29" t="str">
        <f t="shared" si="221"/>
        <v/>
      </c>
      <c r="Z123" s="29" t="str">
        <f t="shared" si="221"/>
        <v/>
      </c>
      <c r="AA123" s="29" t="str">
        <f t="shared" si="221"/>
        <v/>
      </c>
      <c r="AB123" s="29" t="str">
        <f t="shared" si="221"/>
        <v/>
      </c>
      <c r="AC123" s="29" t="str">
        <f t="shared" si="221"/>
        <v/>
      </c>
      <c r="AD123" s="29" t="str">
        <f t="shared" si="221"/>
        <v/>
      </c>
      <c r="AE123" s="29" t="str">
        <f t="shared" si="221"/>
        <v/>
      </c>
      <c r="AF123" s="29" t="str">
        <f t="shared" si="221"/>
        <v/>
      </c>
      <c r="AG123" s="29" t="str">
        <f t="shared" si="221"/>
        <v/>
      </c>
      <c r="AH123" s="29" t="str">
        <f t="shared" si="221"/>
        <v/>
      </c>
      <c r="AI123" s="85" t="str">
        <f t="shared" si="221"/>
        <v/>
      </c>
      <c r="AJ123" s="207"/>
      <c r="AK123" s="178"/>
      <c r="AL123" s="178"/>
      <c r="AM123" s="178"/>
      <c r="AN123" s="199"/>
      <c r="AO123" s="199"/>
      <c r="AP123" s="199"/>
      <c r="AQ123" s="178"/>
      <c r="AR123" s="180"/>
      <c r="CK123" s="58">
        <f>IF(DAY(INDEX('Сводный годовой график'!$BA$4:$BL$14,$C122,MONTH($B$114)))=E$3,1,0)</f>
        <v>0</v>
      </c>
      <c r="CL123" s="58">
        <f>IF(DAY(INDEX('Сводный годовой график'!$BA$4:$BL$14,$C122,MONTH($B$114)))=F$3,1,0)</f>
        <v>0</v>
      </c>
      <c r="CM123" s="58">
        <f>IF(DAY(INDEX('Сводный годовой график'!$BA$4:$BL$14,$C122,MONTH($B$114)))=G$3,1,0)</f>
        <v>0</v>
      </c>
      <c r="CN123" s="58">
        <f>IF(DAY(INDEX('Сводный годовой график'!$BA$4:$BL$14,$C122,MONTH($B$114)))=H$3,1,0)</f>
        <v>0</v>
      </c>
      <c r="CO123" s="58">
        <f>IF(DAY(INDEX('Сводный годовой график'!$BA$4:$BL$14,$C122,MONTH($B$114)))=I$3,1,0)</f>
        <v>0</v>
      </c>
      <c r="CP123" s="58">
        <f>IF(DAY(INDEX('Сводный годовой график'!$BA$4:$BL$14,$C122,MONTH($B$114)))=J$3,1,0)</f>
        <v>0</v>
      </c>
      <c r="CQ123" s="58">
        <f>IF(DAY(INDEX('Сводный годовой график'!$BA$4:$BL$14,$C122,MONTH($B$114)))=K$3,1,0)</f>
        <v>0</v>
      </c>
      <c r="CR123" s="58">
        <f>IF(DAY(INDEX('Сводный годовой график'!$BA$4:$BL$14,$C122,MONTH($B$114)))=L$3,1,0)</f>
        <v>0</v>
      </c>
      <c r="CS123" s="58">
        <f>IF(DAY(INDEX('Сводный годовой график'!$BA$4:$BL$14,$C122,MONTH($B$114)))=M$3,1,0)</f>
        <v>0</v>
      </c>
      <c r="CT123" s="58">
        <f>IF(DAY(INDEX('Сводный годовой график'!$BA$4:$BL$14,$C122,MONTH($B$114)))=N$3,1,0)</f>
        <v>0</v>
      </c>
      <c r="CU123" s="58">
        <f>IF(DAY(INDEX('Сводный годовой график'!$BA$4:$BL$14,$C122,MONTH($B$114)))=O$3,1,0)</f>
        <v>0</v>
      </c>
      <c r="CV123" s="58">
        <f>IF(DAY(INDEX('Сводный годовой график'!$BA$4:$BL$14,$C122,MONTH($B$114)))=P$3,1,0)</f>
        <v>0</v>
      </c>
      <c r="CW123" s="58">
        <f>IF(DAY(INDEX('Сводный годовой график'!$BA$4:$BL$14,$C122,MONTH($B$114)))=Q$3,1,0)</f>
        <v>0</v>
      </c>
      <c r="CX123" s="58">
        <f>IF(DAY(INDEX('Сводный годовой график'!$BA$4:$BL$14,$C122,MONTH($B$114)))=R$3,1,0)</f>
        <v>0</v>
      </c>
      <c r="CY123" s="58">
        <f>IF(DAY(INDEX('Сводный годовой график'!$BA$4:$BL$14,$C122,MONTH($B$114)))=S$3,1,0)</f>
        <v>0</v>
      </c>
      <c r="CZ123" s="58">
        <f>IF(DAY(INDEX('Сводный годовой график'!$BA$4:$BL$14,$C122,MONTH($B$114)))=T$3,1,0)</f>
        <v>1</v>
      </c>
      <c r="DA123" s="58">
        <f>IF(DAY(INDEX('Сводный годовой график'!$BA$4:$BL$14,$C122,MONTH($B$114)))=U$3,1,0)</f>
        <v>0</v>
      </c>
      <c r="DB123" s="58">
        <f>IF(DAY(INDEX('Сводный годовой график'!$BA$4:$BL$14,$C122,MONTH($B$114)))=V$3,1,0)</f>
        <v>0</v>
      </c>
      <c r="DC123" s="58">
        <f>IF(DAY(INDEX('Сводный годовой график'!$BA$4:$BL$14,$C122,MONTH($B$114)))=W$3,1,0)</f>
        <v>0</v>
      </c>
      <c r="DD123" s="58">
        <f>IF(DAY(INDEX('Сводный годовой график'!$BA$4:$BL$14,$C122,MONTH($B$114)))=X$3,1,0)</f>
        <v>0</v>
      </c>
      <c r="DE123" s="58">
        <f>IF(DAY(INDEX('Сводный годовой график'!$BA$4:$BL$14,$C122,MONTH($B$114)))=Y$3,1,0)</f>
        <v>0</v>
      </c>
      <c r="DF123" s="58">
        <f>IF(DAY(INDEX('Сводный годовой график'!$BA$4:$BL$14,$C122,MONTH($B$114)))=Z$3,1,0)</f>
        <v>0</v>
      </c>
      <c r="DG123" s="58">
        <f>IF(DAY(INDEX('Сводный годовой график'!$BA$4:$BL$14,$C122,MONTH($B$114)))=AA$3,1,0)</f>
        <v>0</v>
      </c>
      <c r="DH123" s="58">
        <f>IF(DAY(INDEX('Сводный годовой график'!$BA$4:$BL$14,$C122,MONTH($B$114)))=AB$3,1,0)</f>
        <v>0</v>
      </c>
      <c r="DI123" s="58">
        <f>IF(DAY(INDEX('Сводный годовой график'!$BA$4:$BL$14,$C122,MONTH($B$114)))=AC$3,1,0)</f>
        <v>0</v>
      </c>
      <c r="DJ123" s="58">
        <f>IF(DAY(INDEX('Сводный годовой график'!$BA$4:$BL$14,$C122,MONTH($B$114)))=AD$3,1,0)</f>
        <v>0</v>
      </c>
      <c r="DK123" s="58">
        <f>IF(DAY(INDEX('Сводный годовой график'!$BA$4:$BL$14,$C122,MONTH($B$114)))=AE$3,1,0)</f>
        <v>0</v>
      </c>
      <c r="DL123" s="58">
        <f>IF(DAY(INDEX('Сводный годовой график'!$BA$4:$BL$14,$C122,MONTH($B$114)))=AF$3,1,0)</f>
        <v>0</v>
      </c>
      <c r="DM123" s="58">
        <f>IF(DAY(INDEX('Сводный годовой график'!$BA$4:$BL$14,$C122,MONTH($B$114)))=AG$3,1,0)</f>
        <v>0</v>
      </c>
      <c r="DN123" s="58">
        <f>IF(DAY(INDEX('Сводный годовой график'!$BA$4:$BL$14,$C122,MONTH($B$114)))=AH$3,1,0)</f>
        <v>0</v>
      </c>
      <c r="DO123" s="58">
        <f>IF(DAY(INDEX('Сводный годовой график'!$BA$4:$BL$14,$C122,MONTH($B$114)))=AI$3,1,0)</f>
        <v>0</v>
      </c>
    </row>
    <row r="124" spans="2:119" ht="24.95" customHeight="1" thickTop="1" thickBot="1" x14ac:dyDescent="0.3">
      <c r="B124" s="181" t="s">
        <v>38</v>
      </c>
      <c r="C124" s="184">
        <v>1</v>
      </c>
      <c r="D124" s="185"/>
      <c r="E124" s="185"/>
      <c r="F124" s="185"/>
      <c r="G124" s="185"/>
      <c r="H124" s="185"/>
      <c r="I124" s="185"/>
      <c r="J124" s="185"/>
      <c r="K124" s="185"/>
      <c r="L124" s="185"/>
      <c r="M124" s="185"/>
      <c r="N124" s="185"/>
      <c r="O124" s="185"/>
      <c r="P124" s="185"/>
      <c r="Q124" s="185"/>
      <c r="R124" s="185"/>
      <c r="S124" s="185"/>
      <c r="T124" s="185"/>
      <c r="U124" s="185"/>
      <c r="V124" s="185"/>
      <c r="W124" s="185"/>
      <c r="X124" s="185"/>
      <c r="Y124" s="185"/>
      <c r="Z124" s="185"/>
      <c r="AA124" s="185"/>
      <c r="AB124" s="185"/>
      <c r="AC124" s="185"/>
      <c r="AD124" s="185"/>
      <c r="AE124" s="185"/>
      <c r="AF124" s="185"/>
      <c r="AG124" s="185"/>
      <c r="AH124" s="185"/>
      <c r="AI124" s="186"/>
      <c r="AJ124" s="187">
        <f>IF(SUM($AJ$4:$AJ$123)=SUM(Подключения!H3:H14),SUM($AJ$4:$AJ$123),"!")</f>
        <v>1972</v>
      </c>
      <c r="AK124" s="36">
        <f t="shared" ref="AK124:AR124" si="222">AK4+AK14+AK24+AK34+AK44+AK54+AK64+AK74+AK84+AK94+AK104+AK114</f>
        <v>1972</v>
      </c>
      <c r="AL124" s="36" t="e">
        <f t="shared" ca="1" si="222"/>
        <v>#N/A</v>
      </c>
      <c r="AM124" s="36" t="e">
        <f t="shared" ca="1" si="222"/>
        <v>#N/A</v>
      </c>
      <c r="AN124" s="36" t="e">
        <f t="shared" ca="1" si="222"/>
        <v>#N/A</v>
      </c>
      <c r="AO124" s="36">
        <f t="shared" si="222"/>
        <v>72</v>
      </c>
      <c r="AP124" s="36" t="e">
        <f ca="1">AP114</f>
        <v>#N/A</v>
      </c>
      <c r="AQ124" s="36">
        <f t="shared" si="222"/>
        <v>30</v>
      </c>
      <c r="AR124" s="37">
        <f t="shared" si="222"/>
        <v>12</v>
      </c>
    </row>
    <row r="125" spans="2:119" ht="24.95" customHeight="1" thickBot="1" x14ac:dyDescent="0.3">
      <c r="B125" s="182"/>
      <c r="C125" s="190">
        <v>2</v>
      </c>
      <c r="D125" s="191"/>
      <c r="E125" s="191"/>
      <c r="F125" s="191"/>
      <c r="G125" s="191"/>
      <c r="H125" s="191"/>
      <c r="I125" s="191"/>
      <c r="J125" s="191"/>
      <c r="K125" s="191"/>
      <c r="L125" s="191"/>
      <c r="M125" s="191"/>
      <c r="N125" s="191"/>
      <c r="O125" s="191"/>
      <c r="P125" s="191"/>
      <c r="Q125" s="191"/>
      <c r="R125" s="191"/>
      <c r="S125" s="191"/>
      <c r="T125" s="191"/>
      <c r="U125" s="191"/>
      <c r="V125" s="191"/>
      <c r="W125" s="191"/>
      <c r="X125" s="191"/>
      <c r="Y125" s="191"/>
      <c r="Z125" s="191"/>
      <c r="AA125" s="191"/>
      <c r="AB125" s="191"/>
      <c r="AC125" s="191"/>
      <c r="AD125" s="191"/>
      <c r="AE125" s="191"/>
      <c r="AF125" s="191"/>
      <c r="AG125" s="191"/>
      <c r="AH125" s="191"/>
      <c r="AI125" s="192"/>
      <c r="AJ125" s="188"/>
      <c r="AK125" s="38">
        <f t="shared" ref="AK125:AR125" si="223">AK6+AK16+AK26+AK36+AK46+AK56+AK66+AK76+AK86+AK96+AK106+AK116</f>
        <v>1972</v>
      </c>
      <c r="AL125" s="38" t="e">
        <f t="shared" ca="1" si="223"/>
        <v>#N/A</v>
      </c>
      <c r="AM125" s="38" t="e">
        <f t="shared" ca="1" si="223"/>
        <v>#N/A</v>
      </c>
      <c r="AN125" s="38" t="e">
        <f t="shared" ca="1" si="223"/>
        <v>#N/A</v>
      </c>
      <c r="AO125" s="38">
        <f t="shared" si="223"/>
        <v>60</v>
      </c>
      <c r="AP125" s="38" t="e">
        <f ca="1">AP116</f>
        <v>#N/A</v>
      </c>
      <c r="AQ125" s="38">
        <f t="shared" si="223"/>
        <v>30</v>
      </c>
      <c r="AR125" s="39">
        <f t="shared" si="223"/>
        <v>12</v>
      </c>
    </row>
    <row r="126" spans="2:119" ht="24.95" customHeight="1" thickBot="1" x14ac:dyDescent="0.3">
      <c r="B126" s="182"/>
      <c r="C126" s="190">
        <v>3</v>
      </c>
      <c r="D126" s="191"/>
      <c r="E126" s="191"/>
      <c r="F126" s="191"/>
      <c r="G126" s="191"/>
      <c r="H126" s="191"/>
      <c r="I126" s="191"/>
      <c r="J126" s="191"/>
      <c r="K126" s="191"/>
      <c r="L126" s="191"/>
      <c r="M126" s="191"/>
      <c r="N126" s="191"/>
      <c r="O126" s="191"/>
      <c r="P126" s="191"/>
      <c r="Q126" s="191"/>
      <c r="R126" s="191"/>
      <c r="S126" s="191"/>
      <c r="T126" s="191"/>
      <c r="U126" s="191"/>
      <c r="V126" s="191"/>
      <c r="W126" s="191"/>
      <c r="X126" s="191"/>
      <c r="Y126" s="191"/>
      <c r="Z126" s="191"/>
      <c r="AA126" s="191"/>
      <c r="AB126" s="191"/>
      <c r="AC126" s="191"/>
      <c r="AD126" s="191"/>
      <c r="AE126" s="191"/>
      <c r="AF126" s="191"/>
      <c r="AG126" s="191"/>
      <c r="AH126" s="191"/>
      <c r="AI126" s="192"/>
      <c r="AJ126" s="188"/>
      <c r="AK126" s="38">
        <f t="shared" ref="AK126:AR126" si="224">AK8+AK18+AK28+AK38+AK48+AK58+AK68+AK78+AK88+AK98+AK108+AK118</f>
        <v>1972</v>
      </c>
      <c r="AL126" s="38" t="e">
        <f t="shared" ca="1" si="224"/>
        <v>#N/A</v>
      </c>
      <c r="AM126" s="38" t="e">
        <f t="shared" ca="1" si="224"/>
        <v>#N/A</v>
      </c>
      <c r="AN126" s="38" t="e">
        <f t="shared" ca="1" si="224"/>
        <v>#N/A</v>
      </c>
      <c r="AO126" s="38">
        <f t="shared" si="224"/>
        <v>42</v>
      </c>
      <c r="AP126" s="38" t="e">
        <f ca="1">AP118</f>
        <v>#N/A</v>
      </c>
      <c r="AQ126" s="38">
        <f t="shared" si="224"/>
        <v>30</v>
      </c>
      <c r="AR126" s="39">
        <f t="shared" si="224"/>
        <v>11</v>
      </c>
    </row>
    <row r="127" spans="2:119" ht="24.95" customHeight="1" thickBot="1" x14ac:dyDescent="0.3">
      <c r="B127" s="182"/>
      <c r="C127" s="190">
        <v>4</v>
      </c>
      <c r="D127" s="191"/>
      <c r="E127" s="191"/>
      <c r="F127" s="191"/>
      <c r="G127" s="191"/>
      <c r="H127" s="191"/>
      <c r="I127" s="191"/>
      <c r="J127" s="191"/>
      <c r="K127" s="191"/>
      <c r="L127" s="191"/>
      <c r="M127" s="191"/>
      <c r="N127" s="191"/>
      <c r="O127" s="191"/>
      <c r="P127" s="191"/>
      <c r="Q127" s="191"/>
      <c r="R127" s="191"/>
      <c r="S127" s="191"/>
      <c r="T127" s="191"/>
      <c r="U127" s="191"/>
      <c r="V127" s="191"/>
      <c r="W127" s="191"/>
      <c r="X127" s="191"/>
      <c r="Y127" s="191"/>
      <c r="Z127" s="191"/>
      <c r="AA127" s="191"/>
      <c r="AB127" s="191"/>
      <c r="AC127" s="191"/>
      <c r="AD127" s="191"/>
      <c r="AE127" s="191"/>
      <c r="AF127" s="191"/>
      <c r="AG127" s="191"/>
      <c r="AH127" s="191"/>
      <c r="AI127" s="192"/>
      <c r="AJ127" s="188"/>
      <c r="AK127" s="38">
        <f t="shared" ref="AK127:AR127" si="225">AK10+AK20+AK30+AK40+AK50+AK60+AK70+AK80+AK90+AK100+AK110+AK120</f>
        <v>1972</v>
      </c>
      <c r="AL127" s="38" t="e">
        <f t="shared" ca="1" si="225"/>
        <v>#N/A</v>
      </c>
      <c r="AM127" s="38" t="e">
        <f t="shared" ca="1" si="225"/>
        <v>#N/A</v>
      </c>
      <c r="AN127" s="38" t="e">
        <f t="shared" ca="1" si="225"/>
        <v>#N/A</v>
      </c>
      <c r="AO127" s="38">
        <f t="shared" si="225"/>
        <v>0</v>
      </c>
      <c r="AP127" s="38" t="e">
        <f ca="1">AP120</f>
        <v>#N/A</v>
      </c>
      <c r="AQ127" s="38">
        <f t="shared" si="225"/>
        <v>30</v>
      </c>
      <c r="AR127" s="39">
        <f t="shared" si="225"/>
        <v>11</v>
      </c>
    </row>
    <row r="128" spans="2:119" ht="24.95" customHeight="1" thickBot="1" x14ac:dyDescent="0.3">
      <c r="B128" s="183"/>
      <c r="C128" s="193">
        <v>5</v>
      </c>
      <c r="D128" s="194"/>
      <c r="E128" s="194"/>
      <c r="F128" s="194"/>
      <c r="G128" s="194"/>
      <c r="H128" s="194"/>
      <c r="I128" s="194"/>
      <c r="J128" s="194"/>
      <c r="K128" s="194"/>
      <c r="L128" s="194"/>
      <c r="M128" s="194"/>
      <c r="N128" s="194"/>
      <c r="O128" s="194"/>
      <c r="P128" s="194"/>
      <c r="Q128" s="194"/>
      <c r="R128" s="194"/>
      <c r="S128" s="194"/>
      <c r="T128" s="194"/>
      <c r="U128" s="194"/>
      <c r="V128" s="194"/>
      <c r="W128" s="194"/>
      <c r="X128" s="194"/>
      <c r="Y128" s="194"/>
      <c r="Z128" s="194"/>
      <c r="AA128" s="194"/>
      <c r="AB128" s="194"/>
      <c r="AC128" s="194"/>
      <c r="AD128" s="194"/>
      <c r="AE128" s="194"/>
      <c r="AF128" s="194"/>
      <c r="AG128" s="194"/>
      <c r="AH128" s="194"/>
      <c r="AI128" s="195"/>
      <c r="AJ128" s="189"/>
      <c r="AK128" s="40">
        <f t="shared" ref="AK128:AR128" si="226">AK12+AK22+AK32+AK42+AK52+AK62+AK72+AK82+AK92+AK102+AK112+AK122</f>
        <v>1972</v>
      </c>
      <c r="AL128" s="40">
        <f t="shared" si="226"/>
        <v>0</v>
      </c>
      <c r="AM128" s="40">
        <f t="shared" si="226"/>
        <v>0</v>
      </c>
      <c r="AN128" s="40">
        <f t="shared" si="226"/>
        <v>-1972</v>
      </c>
      <c r="AO128" s="40">
        <f t="shared" si="226"/>
        <v>72</v>
      </c>
      <c r="AP128" s="40">
        <f>AP122</f>
        <v>-2044</v>
      </c>
      <c r="AQ128" s="40">
        <f t="shared" si="226"/>
        <v>30</v>
      </c>
      <c r="AR128" s="41">
        <f t="shared" si="226"/>
        <v>11</v>
      </c>
    </row>
    <row r="129" spans="3:42" ht="15.75" thickTop="1" x14ac:dyDescent="0.25"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</row>
  </sheetData>
  <mergeCells count="584">
    <mergeCell ref="CK2:DO2"/>
    <mergeCell ref="AM2:AM3"/>
    <mergeCell ref="AN2:AN3"/>
    <mergeCell ref="AO2:AO3"/>
    <mergeCell ref="AP2:AP3"/>
    <mergeCell ref="AQ2:AQ3"/>
    <mergeCell ref="AR2:AR3"/>
    <mergeCell ref="B2:B3"/>
    <mergeCell ref="C2:C3"/>
    <mergeCell ref="E2:AI2"/>
    <mergeCell ref="AJ2:AJ3"/>
    <mergeCell ref="AK2:AK3"/>
    <mergeCell ref="AL2:AL3"/>
    <mergeCell ref="AN4:AN5"/>
    <mergeCell ref="AO4:AO5"/>
    <mergeCell ref="AP4:AP5"/>
    <mergeCell ref="AQ4:AQ5"/>
    <mergeCell ref="AR4:AR5"/>
    <mergeCell ref="C6:C7"/>
    <mergeCell ref="AK6:AK7"/>
    <mergeCell ref="AL6:AL7"/>
    <mergeCell ref="AM6:AM7"/>
    <mergeCell ref="AN6:AN7"/>
    <mergeCell ref="C4:C5"/>
    <mergeCell ref="AJ4:AJ13"/>
    <mergeCell ref="AK4:AK5"/>
    <mergeCell ref="AL4:AL5"/>
    <mergeCell ref="AM4:AM5"/>
    <mergeCell ref="AO6:AO7"/>
    <mergeCell ref="AP6:AP7"/>
    <mergeCell ref="AQ6:AQ7"/>
    <mergeCell ref="AR6:AR7"/>
    <mergeCell ref="C8:C9"/>
    <mergeCell ref="AK8:AK9"/>
    <mergeCell ref="AL8:AL9"/>
    <mergeCell ref="AM8:AM9"/>
    <mergeCell ref="AN8:AN9"/>
    <mergeCell ref="AO8:AO9"/>
    <mergeCell ref="AP8:AP9"/>
    <mergeCell ref="AQ8:AQ9"/>
    <mergeCell ref="AR8:AR9"/>
    <mergeCell ref="C10:C11"/>
    <mergeCell ref="AK10:AK11"/>
    <mergeCell ref="AL10:AL11"/>
    <mergeCell ref="AM10:AM11"/>
    <mergeCell ref="AN10:AN11"/>
    <mergeCell ref="AO10:AO11"/>
    <mergeCell ref="AP10:AP11"/>
    <mergeCell ref="AQ10:AQ11"/>
    <mergeCell ref="AR10:AR11"/>
    <mergeCell ref="C12:C13"/>
    <mergeCell ref="AK12:AK13"/>
    <mergeCell ref="AL12:AL13"/>
    <mergeCell ref="AM12:AM13"/>
    <mergeCell ref="AN12:AN13"/>
    <mergeCell ref="AO12:AO13"/>
    <mergeCell ref="AP12:AP13"/>
    <mergeCell ref="AQ12:AQ13"/>
    <mergeCell ref="AR12:AR13"/>
    <mergeCell ref="B4:B13"/>
    <mergeCell ref="AQ14:AQ15"/>
    <mergeCell ref="AR14:AR15"/>
    <mergeCell ref="C16:C17"/>
    <mergeCell ref="AK16:AK17"/>
    <mergeCell ref="AL16:AL17"/>
    <mergeCell ref="AM16:AM17"/>
    <mergeCell ref="AN16:AN17"/>
    <mergeCell ref="AO16:AO17"/>
    <mergeCell ref="AP16:AP17"/>
    <mergeCell ref="AQ16:AQ17"/>
    <mergeCell ref="AR16:AR17"/>
    <mergeCell ref="B14:B23"/>
    <mergeCell ref="C14:C15"/>
    <mergeCell ref="AJ14:AJ23"/>
    <mergeCell ref="AK14:AK15"/>
    <mergeCell ref="AL14:AL15"/>
    <mergeCell ref="AM14:AM15"/>
    <mergeCell ref="AN14:AN15"/>
    <mergeCell ref="AO14:AO15"/>
    <mergeCell ref="AP14:AP15"/>
    <mergeCell ref="C18:C19"/>
    <mergeCell ref="AK18:AK19"/>
    <mergeCell ref="AL18:AL19"/>
    <mergeCell ref="AQ18:AQ19"/>
    <mergeCell ref="AR18:AR19"/>
    <mergeCell ref="AP20:AP21"/>
    <mergeCell ref="AQ20:AQ21"/>
    <mergeCell ref="AR20:AR21"/>
    <mergeCell ref="C22:C23"/>
    <mergeCell ref="AK22:AK23"/>
    <mergeCell ref="AL22:AL23"/>
    <mergeCell ref="AM22:AM23"/>
    <mergeCell ref="AN22:AN23"/>
    <mergeCell ref="AO22:AO23"/>
    <mergeCell ref="AP22:AP23"/>
    <mergeCell ref="C20:C21"/>
    <mergeCell ref="AK20:AK21"/>
    <mergeCell ref="AL20:AL21"/>
    <mergeCell ref="AM20:AM21"/>
    <mergeCell ref="AN20:AN21"/>
    <mergeCell ref="AO20:AO21"/>
    <mergeCell ref="AQ22:AQ23"/>
    <mergeCell ref="AR22:AR23"/>
    <mergeCell ref="AM18:AM19"/>
    <mergeCell ref="AN18:AN19"/>
    <mergeCell ref="AO18:AO19"/>
    <mergeCell ref="AP18:AP19"/>
    <mergeCell ref="B24:B33"/>
    <mergeCell ref="C24:C25"/>
    <mergeCell ref="AJ24:AJ33"/>
    <mergeCell ref="AK24:AK25"/>
    <mergeCell ref="AL24:AL25"/>
    <mergeCell ref="AM24:AM25"/>
    <mergeCell ref="AN24:AN25"/>
    <mergeCell ref="AO24:AO25"/>
    <mergeCell ref="AP24:AP25"/>
    <mergeCell ref="C28:C29"/>
    <mergeCell ref="AK28:AK29"/>
    <mergeCell ref="AL28:AL29"/>
    <mergeCell ref="AM28:AM29"/>
    <mergeCell ref="AN28:AN29"/>
    <mergeCell ref="AO28:AO29"/>
    <mergeCell ref="AP28:AP29"/>
    <mergeCell ref="AP32:AP33"/>
    <mergeCell ref="AQ24:AQ25"/>
    <mergeCell ref="AR24:AR25"/>
    <mergeCell ref="C26:C27"/>
    <mergeCell ref="AK26:AK27"/>
    <mergeCell ref="AL26:AL27"/>
    <mergeCell ref="AM26:AM27"/>
    <mergeCell ref="AN26:AN27"/>
    <mergeCell ref="AO26:AO27"/>
    <mergeCell ref="AP26:AP27"/>
    <mergeCell ref="AQ26:AQ27"/>
    <mergeCell ref="AR26:AR27"/>
    <mergeCell ref="AQ28:AQ29"/>
    <mergeCell ref="AR28:AR29"/>
    <mergeCell ref="C30:C31"/>
    <mergeCell ref="AK30:AK31"/>
    <mergeCell ref="AL30:AL31"/>
    <mergeCell ref="AM30:AM31"/>
    <mergeCell ref="AN30:AN31"/>
    <mergeCell ref="AO30:AO31"/>
    <mergeCell ref="AP30:AP31"/>
    <mergeCell ref="AQ30:AQ31"/>
    <mergeCell ref="AR30:AR31"/>
    <mergeCell ref="AQ32:AQ33"/>
    <mergeCell ref="AR32:AR33"/>
    <mergeCell ref="B34:B43"/>
    <mergeCell ref="C34:C35"/>
    <mergeCell ref="AJ34:AJ43"/>
    <mergeCell ref="AK34:AK35"/>
    <mergeCell ref="AL34:AL35"/>
    <mergeCell ref="AM34:AM35"/>
    <mergeCell ref="AN34:AN35"/>
    <mergeCell ref="C32:C33"/>
    <mergeCell ref="AK32:AK33"/>
    <mergeCell ref="AL32:AL33"/>
    <mergeCell ref="AM32:AM33"/>
    <mergeCell ref="AN32:AN33"/>
    <mergeCell ref="AO32:AO33"/>
    <mergeCell ref="AO34:AO35"/>
    <mergeCell ref="AP34:AP35"/>
    <mergeCell ref="AQ34:AQ35"/>
    <mergeCell ref="AR34:AR35"/>
    <mergeCell ref="C36:C37"/>
    <mergeCell ref="AK36:AK37"/>
    <mergeCell ref="AL36:AL37"/>
    <mergeCell ref="AM36:AM37"/>
    <mergeCell ref="AN36:AN37"/>
    <mergeCell ref="AO36:AO37"/>
    <mergeCell ref="AP36:AP37"/>
    <mergeCell ref="AQ36:AQ37"/>
    <mergeCell ref="AR36:AR37"/>
    <mergeCell ref="C38:C39"/>
    <mergeCell ref="AK38:AK39"/>
    <mergeCell ref="AL38:AL39"/>
    <mergeCell ref="AM38:AM39"/>
    <mergeCell ref="AN38:AN39"/>
    <mergeCell ref="AO38:AO39"/>
    <mergeCell ref="AP38:AP39"/>
    <mergeCell ref="AQ38:AQ39"/>
    <mergeCell ref="AR38:AR39"/>
    <mergeCell ref="C40:C41"/>
    <mergeCell ref="AK40:AK41"/>
    <mergeCell ref="AL40:AL41"/>
    <mergeCell ref="AM40:AM41"/>
    <mergeCell ref="AN40:AN41"/>
    <mergeCell ref="AO40:AO41"/>
    <mergeCell ref="AP40:AP41"/>
    <mergeCell ref="AQ40:AQ41"/>
    <mergeCell ref="AR40:AR41"/>
    <mergeCell ref="C42:C43"/>
    <mergeCell ref="AK42:AK43"/>
    <mergeCell ref="AL42:AL43"/>
    <mergeCell ref="AM42:AM43"/>
    <mergeCell ref="AN42:AN43"/>
    <mergeCell ref="AO42:AO43"/>
    <mergeCell ref="AP42:AP43"/>
    <mergeCell ref="AQ42:AQ43"/>
    <mergeCell ref="AR42:AR43"/>
    <mergeCell ref="B44:B53"/>
    <mergeCell ref="C44:C45"/>
    <mergeCell ref="AJ44:AJ53"/>
    <mergeCell ref="AK44:AK45"/>
    <mergeCell ref="AL44:AL45"/>
    <mergeCell ref="AM44:AM45"/>
    <mergeCell ref="AN44:AN45"/>
    <mergeCell ref="AO44:AO45"/>
    <mergeCell ref="AP44:AP45"/>
    <mergeCell ref="C48:C49"/>
    <mergeCell ref="AK48:AK49"/>
    <mergeCell ref="AL48:AL49"/>
    <mergeCell ref="AM48:AM49"/>
    <mergeCell ref="AN48:AN49"/>
    <mergeCell ref="AO48:AO49"/>
    <mergeCell ref="AP48:AP49"/>
    <mergeCell ref="AQ44:AQ45"/>
    <mergeCell ref="AR44:AR45"/>
    <mergeCell ref="C46:C47"/>
    <mergeCell ref="AK46:AK47"/>
    <mergeCell ref="AL46:AL47"/>
    <mergeCell ref="AM46:AM47"/>
    <mergeCell ref="AN46:AN47"/>
    <mergeCell ref="AO46:AO47"/>
    <mergeCell ref="AP46:AP47"/>
    <mergeCell ref="AQ46:AQ47"/>
    <mergeCell ref="AR46:AR47"/>
    <mergeCell ref="AQ48:AQ49"/>
    <mergeCell ref="AR48:AR49"/>
    <mergeCell ref="AN50:AN51"/>
    <mergeCell ref="AO50:AO51"/>
    <mergeCell ref="AP50:AP51"/>
    <mergeCell ref="AQ50:AQ51"/>
    <mergeCell ref="AR50:AR51"/>
    <mergeCell ref="C52:C53"/>
    <mergeCell ref="AK52:AK53"/>
    <mergeCell ref="AL52:AL53"/>
    <mergeCell ref="AM52:AM53"/>
    <mergeCell ref="AN52:AN53"/>
    <mergeCell ref="C50:C51"/>
    <mergeCell ref="AK50:AK51"/>
    <mergeCell ref="AL50:AL51"/>
    <mergeCell ref="AM50:AM51"/>
    <mergeCell ref="AO52:AO53"/>
    <mergeCell ref="AP52:AP53"/>
    <mergeCell ref="AQ52:AQ53"/>
    <mergeCell ref="AR52:AR53"/>
    <mergeCell ref="B54:B63"/>
    <mergeCell ref="C54:C55"/>
    <mergeCell ref="AJ54:AJ63"/>
    <mergeCell ref="AK54:AK55"/>
    <mergeCell ref="AL54:AL55"/>
    <mergeCell ref="AM54:AM55"/>
    <mergeCell ref="AN54:AN55"/>
    <mergeCell ref="AO54:AO55"/>
    <mergeCell ref="AP54:AP55"/>
    <mergeCell ref="C58:C59"/>
    <mergeCell ref="AK58:AK59"/>
    <mergeCell ref="AL58:AL59"/>
    <mergeCell ref="AM58:AM59"/>
    <mergeCell ref="AN58:AN59"/>
    <mergeCell ref="AO58:AO59"/>
    <mergeCell ref="AP58:AP59"/>
    <mergeCell ref="C62:C63"/>
    <mergeCell ref="AK62:AK63"/>
    <mergeCell ref="AL62:AL63"/>
    <mergeCell ref="AM62:AM63"/>
    <mergeCell ref="AN62:AN63"/>
    <mergeCell ref="AO62:AO63"/>
    <mergeCell ref="AP62:AP63"/>
    <mergeCell ref="AQ54:AQ55"/>
    <mergeCell ref="AR54:AR55"/>
    <mergeCell ref="C56:C57"/>
    <mergeCell ref="AK56:AK57"/>
    <mergeCell ref="AL56:AL57"/>
    <mergeCell ref="AM56:AM57"/>
    <mergeCell ref="AN56:AN57"/>
    <mergeCell ref="AO56:AO57"/>
    <mergeCell ref="AP56:AP57"/>
    <mergeCell ref="AQ56:AQ57"/>
    <mergeCell ref="AR56:AR57"/>
    <mergeCell ref="AQ58:AQ59"/>
    <mergeCell ref="AR58:AR59"/>
    <mergeCell ref="C60:C61"/>
    <mergeCell ref="AK60:AK61"/>
    <mergeCell ref="AL60:AL61"/>
    <mergeCell ref="AM60:AM61"/>
    <mergeCell ref="AN60:AN61"/>
    <mergeCell ref="AO60:AO61"/>
    <mergeCell ref="AP60:AP61"/>
    <mergeCell ref="AQ60:AQ61"/>
    <mergeCell ref="AR60:AR61"/>
    <mergeCell ref="AQ62:AQ63"/>
    <mergeCell ref="AR62:AR63"/>
    <mergeCell ref="B64:B73"/>
    <mergeCell ref="C64:C65"/>
    <mergeCell ref="AJ64:AJ73"/>
    <mergeCell ref="AK64:AK65"/>
    <mergeCell ref="AL64:AL65"/>
    <mergeCell ref="AM64:AM65"/>
    <mergeCell ref="AN64:AN65"/>
    <mergeCell ref="AO64:AO65"/>
    <mergeCell ref="AP64:AP65"/>
    <mergeCell ref="AQ64:AQ65"/>
    <mergeCell ref="AR64:AR65"/>
    <mergeCell ref="C66:C67"/>
    <mergeCell ref="AK66:AK67"/>
    <mergeCell ref="AL66:AL67"/>
    <mergeCell ref="AM66:AM67"/>
    <mergeCell ref="AN66:AN67"/>
    <mergeCell ref="AO66:AO67"/>
    <mergeCell ref="AP66:AP67"/>
    <mergeCell ref="AQ66:AQ67"/>
    <mergeCell ref="AR66:AR67"/>
    <mergeCell ref="C68:C69"/>
    <mergeCell ref="AK68:AK69"/>
    <mergeCell ref="AL68:AL69"/>
    <mergeCell ref="AM68:AM69"/>
    <mergeCell ref="AN68:AN69"/>
    <mergeCell ref="AO68:AO69"/>
    <mergeCell ref="AP68:AP69"/>
    <mergeCell ref="AQ68:AQ69"/>
    <mergeCell ref="AR68:AR69"/>
    <mergeCell ref="AP70:AP71"/>
    <mergeCell ref="AQ70:AQ71"/>
    <mergeCell ref="AR70:AR71"/>
    <mergeCell ref="C72:C73"/>
    <mergeCell ref="AK72:AK73"/>
    <mergeCell ref="AL72:AL73"/>
    <mergeCell ref="AM72:AM73"/>
    <mergeCell ref="AN72:AN73"/>
    <mergeCell ref="AO72:AO73"/>
    <mergeCell ref="AP72:AP73"/>
    <mergeCell ref="C70:C71"/>
    <mergeCell ref="AK70:AK71"/>
    <mergeCell ref="AL70:AL71"/>
    <mergeCell ref="AM70:AM71"/>
    <mergeCell ref="AN70:AN71"/>
    <mergeCell ref="AO70:AO71"/>
    <mergeCell ref="AQ72:AQ73"/>
    <mergeCell ref="AR72:AR73"/>
    <mergeCell ref="B74:B83"/>
    <mergeCell ref="C74:C75"/>
    <mergeCell ref="AJ74:AJ83"/>
    <mergeCell ref="AK74:AK75"/>
    <mergeCell ref="AL74:AL75"/>
    <mergeCell ref="AM74:AM75"/>
    <mergeCell ref="AN74:AN75"/>
    <mergeCell ref="AO74:AO75"/>
    <mergeCell ref="AP74:AP75"/>
    <mergeCell ref="AQ74:AQ75"/>
    <mergeCell ref="AR74:AR75"/>
    <mergeCell ref="C76:C77"/>
    <mergeCell ref="AK76:AK77"/>
    <mergeCell ref="AL76:AL77"/>
    <mergeCell ref="AM76:AM77"/>
    <mergeCell ref="AN76:AN77"/>
    <mergeCell ref="AO76:AO77"/>
    <mergeCell ref="AP76:AP77"/>
    <mergeCell ref="AQ76:AQ77"/>
    <mergeCell ref="AR76:AR77"/>
    <mergeCell ref="C78:C79"/>
    <mergeCell ref="AK78:AK79"/>
    <mergeCell ref="AL78:AL79"/>
    <mergeCell ref="AM78:AM79"/>
    <mergeCell ref="AN78:AN79"/>
    <mergeCell ref="AO78:AO79"/>
    <mergeCell ref="AP78:AP79"/>
    <mergeCell ref="AQ78:AQ79"/>
    <mergeCell ref="AR78:AR79"/>
    <mergeCell ref="C80:C81"/>
    <mergeCell ref="AK80:AK81"/>
    <mergeCell ref="AL80:AL81"/>
    <mergeCell ref="AM80:AM81"/>
    <mergeCell ref="AN80:AN81"/>
    <mergeCell ref="AO80:AO81"/>
    <mergeCell ref="AP80:AP81"/>
    <mergeCell ref="AQ80:AQ81"/>
    <mergeCell ref="AR80:AR81"/>
    <mergeCell ref="AP82:AP83"/>
    <mergeCell ref="AQ82:AQ83"/>
    <mergeCell ref="AR82:AR83"/>
    <mergeCell ref="B84:B93"/>
    <mergeCell ref="C84:C85"/>
    <mergeCell ref="AJ84:AJ93"/>
    <mergeCell ref="AK84:AK85"/>
    <mergeCell ref="AL84:AL85"/>
    <mergeCell ref="AM84:AM85"/>
    <mergeCell ref="AN84:AN85"/>
    <mergeCell ref="C82:C83"/>
    <mergeCell ref="AK82:AK83"/>
    <mergeCell ref="AL82:AL83"/>
    <mergeCell ref="AM82:AM83"/>
    <mergeCell ref="AN82:AN83"/>
    <mergeCell ref="AO82:AO83"/>
    <mergeCell ref="AO84:AO85"/>
    <mergeCell ref="AP84:AP85"/>
    <mergeCell ref="AQ84:AQ85"/>
    <mergeCell ref="AR84:AR85"/>
    <mergeCell ref="C86:C87"/>
    <mergeCell ref="AK86:AK87"/>
    <mergeCell ref="AL86:AL87"/>
    <mergeCell ref="AM86:AM87"/>
    <mergeCell ref="AN86:AN87"/>
    <mergeCell ref="AO86:AO87"/>
    <mergeCell ref="AP86:AP87"/>
    <mergeCell ref="AQ86:AQ87"/>
    <mergeCell ref="AR86:AR87"/>
    <mergeCell ref="C88:C89"/>
    <mergeCell ref="AK88:AK89"/>
    <mergeCell ref="AL88:AL89"/>
    <mergeCell ref="AM88:AM89"/>
    <mergeCell ref="AN88:AN89"/>
    <mergeCell ref="AO88:AO89"/>
    <mergeCell ref="AP88:AP89"/>
    <mergeCell ref="AQ88:AQ89"/>
    <mergeCell ref="AR88:AR89"/>
    <mergeCell ref="C90:C91"/>
    <mergeCell ref="AK90:AK91"/>
    <mergeCell ref="AL90:AL91"/>
    <mergeCell ref="AM90:AM91"/>
    <mergeCell ref="AN90:AN91"/>
    <mergeCell ref="AO90:AO91"/>
    <mergeCell ref="AP90:AP91"/>
    <mergeCell ref="AQ90:AQ91"/>
    <mergeCell ref="AR90:AR91"/>
    <mergeCell ref="C92:C93"/>
    <mergeCell ref="AK92:AK93"/>
    <mergeCell ref="AL92:AL93"/>
    <mergeCell ref="AM92:AM93"/>
    <mergeCell ref="AN92:AN93"/>
    <mergeCell ref="AO92:AO93"/>
    <mergeCell ref="AP92:AP93"/>
    <mergeCell ref="AQ92:AQ93"/>
    <mergeCell ref="AR92:AR93"/>
    <mergeCell ref="AN94:AN95"/>
    <mergeCell ref="AO94:AO95"/>
    <mergeCell ref="AP94:AP95"/>
    <mergeCell ref="AQ94:AQ95"/>
    <mergeCell ref="AR94:AR95"/>
    <mergeCell ref="C96:C97"/>
    <mergeCell ref="AK96:AK97"/>
    <mergeCell ref="AL96:AL97"/>
    <mergeCell ref="AM96:AM97"/>
    <mergeCell ref="AN96:AN97"/>
    <mergeCell ref="C94:C95"/>
    <mergeCell ref="AJ94:AJ103"/>
    <mergeCell ref="AK94:AK95"/>
    <mergeCell ref="AL94:AL95"/>
    <mergeCell ref="AM94:AM95"/>
    <mergeCell ref="AO96:AO97"/>
    <mergeCell ref="AP96:AP97"/>
    <mergeCell ref="AQ96:AQ97"/>
    <mergeCell ref="AR96:AR97"/>
    <mergeCell ref="C98:C99"/>
    <mergeCell ref="AK98:AK99"/>
    <mergeCell ref="AL98:AL99"/>
    <mergeCell ref="AM98:AM99"/>
    <mergeCell ref="AN98:AN99"/>
    <mergeCell ref="AQ102:AQ103"/>
    <mergeCell ref="AR102:AR103"/>
    <mergeCell ref="AO98:AO99"/>
    <mergeCell ref="AP98:AP99"/>
    <mergeCell ref="AQ98:AQ99"/>
    <mergeCell ref="AR98:AR99"/>
    <mergeCell ref="C100:C101"/>
    <mergeCell ref="AK100:AK101"/>
    <mergeCell ref="AL100:AL101"/>
    <mergeCell ref="AM100:AM101"/>
    <mergeCell ref="AN100:AN101"/>
    <mergeCell ref="AO100:AO101"/>
    <mergeCell ref="AP100:AP101"/>
    <mergeCell ref="AQ100:AQ101"/>
    <mergeCell ref="AR100:AR101"/>
    <mergeCell ref="AN104:AN105"/>
    <mergeCell ref="AO104:AO105"/>
    <mergeCell ref="AP104:AP105"/>
    <mergeCell ref="C108:C109"/>
    <mergeCell ref="AK108:AK109"/>
    <mergeCell ref="AL108:AL109"/>
    <mergeCell ref="C102:C103"/>
    <mergeCell ref="AK102:AK103"/>
    <mergeCell ref="AL102:AL103"/>
    <mergeCell ref="AM102:AM103"/>
    <mergeCell ref="AN102:AN103"/>
    <mergeCell ref="AO102:AO103"/>
    <mergeCell ref="AP102:AP103"/>
    <mergeCell ref="AQ112:AQ113"/>
    <mergeCell ref="AR112:AR113"/>
    <mergeCell ref="AM108:AM109"/>
    <mergeCell ref="AN108:AN109"/>
    <mergeCell ref="AO108:AO109"/>
    <mergeCell ref="AP108:AP109"/>
    <mergeCell ref="B94:B103"/>
    <mergeCell ref="AQ104:AQ105"/>
    <mergeCell ref="AR104:AR105"/>
    <mergeCell ref="C106:C107"/>
    <mergeCell ref="AK106:AK107"/>
    <mergeCell ref="AL106:AL107"/>
    <mergeCell ref="AM106:AM107"/>
    <mergeCell ref="AN106:AN107"/>
    <mergeCell ref="AO106:AO107"/>
    <mergeCell ref="AP106:AP107"/>
    <mergeCell ref="AQ106:AQ107"/>
    <mergeCell ref="AR106:AR107"/>
    <mergeCell ref="B104:B113"/>
    <mergeCell ref="C104:C105"/>
    <mergeCell ref="AJ104:AJ113"/>
    <mergeCell ref="AK104:AK105"/>
    <mergeCell ref="AL104:AL105"/>
    <mergeCell ref="AM104:AM105"/>
    <mergeCell ref="AP122:AP123"/>
    <mergeCell ref="AQ120:AQ121"/>
    <mergeCell ref="AR120:AR121"/>
    <mergeCell ref="AQ116:AQ117"/>
    <mergeCell ref="AR116:AR117"/>
    <mergeCell ref="C118:C119"/>
    <mergeCell ref="AQ108:AQ109"/>
    <mergeCell ref="AR108:AR109"/>
    <mergeCell ref="AP110:AP111"/>
    <mergeCell ref="AQ110:AQ111"/>
    <mergeCell ref="AR110:AR111"/>
    <mergeCell ref="C112:C113"/>
    <mergeCell ref="AK112:AK113"/>
    <mergeCell ref="AL112:AL113"/>
    <mergeCell ref="AM112:AM113"/>
    <mergeCell ref="AN112:AN113"/>
    <mergeCell ref="AO112:AO113"/>
    <mergeCell ref="AP112:AP113"/>
    <mergeCell ref="C110:C111"/>
    <mergeCell ref="AK110:AK111"/>
    <mergeCell ref="AL110:AL111"/>
    <mergeCell ref="AM110:AM111"/>
    <mergeCell ref="AN110:AN111"/>
    <mergeCell ref="AO110:AO111"/>
    <mergeCell ref="C120:C121"/>
    <mergeCell ref="AK120:AK121"/>
    <mergeCell ref="AL120:AL121"/>
    <mergeCell ref="AM120:AM121"/>
    <mergeCell ref="AN120:AN121"/>
    <mergeCell ref="AO120:AO121"/>
    <mergeCell ref="AQ114:AQ115"/>
    <mergeCell ref="AR114:AR115"/>
    <mergeCell ref="C116:C117"/>
    <mergeCell ref="AK116:AK117"/>
    <mergeCell ref="AL116:AL117"/>
    <mergeCell ref="AM116:AM117"/>
    <mergeCell ref="AN116:AN117"/>
    <mergeCell ref="AO116:AO117"/>
    <mergeCell ref="AP116:AP117"/>
    <mergeCell ref="C114:C115"/>
    <mergeCell ref="AJ114:AJ123"/>
    <mergeCell ref="AK114:AK115"/>
    <mergeCell ref="AL114:AL115"/>
    <mergeCell ref="AM114:AM115"/>
    <mergeCell ref="AN114:AN115"/>
    <mergeCell ref="AO114:AO115"/>
    <mergeCell ref="AP114:AP115"/>
    <mergeCell ref="AP120:AP121"/>
    <mergeCell ref="AQ122:AQ123"/>
    <mergeCell ref="AR122:AR123"/>
    <mergeCell ref="B124:B128"/>
    <mergeCell ref="C124:AI124"/>
    <mergeCell ref="AJ124:AJ128"/>
    <mergeCell ref="C125:AI125"/>
    <mergeCell ref="C126:AI126"/>
    <mergeCell ref="C127:AI127"/>
    <mergeCell ref="C128:AI128"/>
    <mergeCell ref="C122:C123"/>
    <mergeCell ref="AK122:AK123"/>
    <mergeCell ref="AL122:AL123"/>
    <mergeCell ref="AM122:AM123"/>
    <mergeCell ref="AN122:AN123"/>
    <mergeCell ref="AO122:AO123"/>
    <mergeCell ref="B114:B123"/>
    <mergeCell ref="AK118:AK119"/>
    <mergeCell ref="AL118:AL119"/>
    <mergeCell ref="AM118:AM119"/>
    <mergeCell ref="AN118:AN119"/>
    <mergeCell ref="AO118:AO119"/>
    <mergeCell ref="AP118:AP119"/>
    <mergeCell ref="AQ118:AQ119"/>
    <mergeCell ref="AR118:AR119"/>
  </mergeCells>
  <conditionalFormatting sqref="E4:AI13 E114:AI123 E104:AH113 E14:AF23 E24:AI33 E34:AH43 E44:AI103">
    <cfRule type="cellIs" dxfId="77" priority="11" operator="equal">
      <formula>"СП"</formula>
    </cfRule>
    <cfRule type="cellIs" dxfId="76" priority="12" operator="equal">
      <formula>"ОТ"</formula>
    </cfRule>
    <cfRule type="expression" dxfId="75" priority="13">
      <formula>AND(INDIRECT(ADDRESS(ROW(),COLUMN()))=8,INDIRECT(ADDRESS(ROW()+1,COLUMN()))="СП")</formula>
    </cfRule>
  </conditionalFormatting>
  <conditionalFormatting sqref="E4:AI13 E14:AF23 E24:AI33 E34:AH43 E44:AI123">
    <cfRule type="cellIs" dxfId="74" priority="10" operator="equal">
      <formula>0</formula>
    </cfRule>
  </conditionalFormatting>
  <conditionalFormatting sqref="AH14:AI23">
    <cfRule type="cellIs" dxfId="73" priority="9" operator="equal">
      <formula>0</formula>
    </cfRule>
  </conditionalFormatting>
  <conditionalFormatting sqref="AG14:AG23">
    <cfRule type="cellIs" dxfId="72" priority="8" operator="equal">
      <formula>0</formula>
    </cfRule>
  </conditionalFormatting>
  <conditionalFormatting sqref="AI34:AI43">
    <cfRule type="cellIs" dxfId="71" priority="2" operator="equal">
      <formula>"СП"</formula>
    </cfRule>
    <cfRule type="cellIs" dxfId="70" priority="3" operator="equal">
      <formula>"ОТ"</formula>
    </cfRule>
    <cfRule type="expression" dxfId="69" priority="4">
      <formula>AND(INDIRECT(ADDRESS(ROW(),COLUMN()))=8,INDIRECT(ADDRESS(ROW()+1,COLUMN()))="СП")</formula>
    </cfRule>
  </conditionalFormatting>
  <conditionalFormatting sqref="AI34:AI43">
    <cfRule type="cellIs" dxfId="68" priority="1" operator="equal">
      <formula>0</formula>
    </cfRule>
  </conditionalFormatting>
  <pageMargins left="0.7" right="0.7" top="0.75" bottom="0.75" header="0.3" footer="0.3"/>
  <pageSetup paperSize="9" scale="2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6" id="{00000000-000E-0000-0500-000009000000}">
            <xm:f>OR(WEEKDAY(DATE($AV$1,MONTH($B$64),E$3),2)&gt;5,ISNUMBER(MATCH(DATE($AV$1,MONTH($B$64),E$3),Подключения!$A$2:$A$1039,0)))</xm:f>
            <x14:dxf>
              <fill>
                <patternFill>
                  <bgColor theme="4" tint="0.59996337778862885"/>
                </patternFill>
              </fill>
            </x14:dxf>
          </x14:cfRule>
          <xm:sqref>E64:AI73</xm:sqref>
        </x14:conditionalFormatting>
        <x14:conditionalFormatting xmlns:xm="http://schemas.microsoft.com/office/excel/2006/main">
          <x14:cfRule type="expression" priority="247" id="{00000000-000E-0000-0500-000008000000}">
            <xm:f>OR(WEEKDAY(DATE($AV$1,MONTH($B$74),E$3),2)&gt;5,ISNUMBER(MATCH(DATE($AV$1,MONTH($B$74),E$3),Подключения!$A$2:$A$1039,0)))</xm:f>
            <x14:dxf>
              <fill>
                <patternFill>
                  <bgColor theme="4" tint="0.59996337778862885"/>
                </patternFill>
              </fill>
            </x14:dxf>
          </x14:cfRule>
          <xm:sqref>E74:AI83</xm:sqref>
        </x14:conditionalFormatting>
        <x14:conditionalFormatting xmlns:xm="http://schemas.microsoft.com/office/excel/2006/main">
          <x14:cfRule type="expression" priority="248" id="{00000000-000E-0000-0500-000007000000}">
            <xm:f>OR(WEEKDAY(DATE($AV$1,MONTH($B$84),E$3),2)&gt;5,ISNUMBER(MATCH(DATE($AV$1,MONTH($B$84),E$3),Подключения!$A$2:$A$1039,0)))</xm:f>
            <x14:dxf>
              <fill>
                <patternFill>
                  <bgColor theme="4" tint="0.59996337778862885"/>
                </patternFill>
              </fill>
            </x14:dxf>
          </x14:cfRule>
          <xm:sqref>E84:AI93</xm:sqref>
        </x14:conditionalFormatting>
        <x14:conditionalFormatting xmlns:xm="http://schemas.microsoft.com/office/excel/2006/main">
          <x14:cfRule type="expression" priority="249" id="{00000000-000E-0000-0500-000006000000}">
            <xm:f>OR(WEEKDAY(DATE($AV$1,MONTH($B$94),E$3),2)&gt;5,ISNUMBER(MATCH(DATE($AV$1,MONTH($B$94),E$3),Подключения!$A$2:$A$1039,0)))</xm:f>
            <x14:dxf>
              <fill>
                <patternFill>
                  <bgColor theme="4" tint="0.59996337778862885"/>
                </patternFill>
              </fill>
            </x14:dxf>
          </x14:cfRule>
          <xm:sqref>E94:AI103</xm:sqref>
        </x14:conditionalFormatting>
        <x14:conditionalFormatting xmlns:xm="http://schemas.microsoft.com/office/excel/2006/main">
          <x14:cfRule type="expression" priority="250" id="{00000000-000E-0000-0500-000005000000}">
            <xm:f>OR(WEEKDAY(DATE($AV$1,MONTH($B$104),E$3),2)&gt;5,ISNUMBER(MATCH(DATE($AV$1,MONTH($B$104),E$3),Подключения!$A$2:$A$1039,0)))</xm:f>
            <x14:dxf>
              <fill>
                <patternFill>
                  <bgColor theme="4" tint="0.59996337778862885"/>
                </patternFill>
              </fill>
            </x14:dxf>
          </x14:cfRule>
          <xm:sqref>E104:AH113</xm:sqref>
        </x14:conditionalFormatting>
        <x14:conditionalFormatting xmlns:xm="http://schemas.microsoft.com/office/excel/2006/main">
          <x14:cfRule type="expression" priority="251" id="{00000000-000E-0000-0500-000004000000}">
            <xm:f>OR(WEEKDAY(DATE($AV$1,MONTH($B$114),E$3),2)&gt;5,ISNUMBER(MATCH(DATE($AV$1,MONTH($B$114),E$3),Подключения!$A$2:$A$1039,0)))</xm:f>
            <x14:dxf>
              <fill>
                <patternFill>
                  <bgColor theme="4" tint="0.59996337778862885"/>
                </patternFill>
              </fill>
            </x14:dxf>
          </x14:cfRule>
          <xm:sqref>E114:AI123</xm:sqref>
        </x14:conditionalFormatting>
        <x14:conditionalFormatting xmlns:xm="http://schemas.microsoft.com/office/excel/2006/main">
          <x14:cfRule type="expression" priority="252" id="{883DA5B7-7242-4073-A97E-1AA68A801216}">
            <xm:f>OR(WEEKDAY(DATE($AV$1,MONTH($B$4),E$3),2)&gt;5,ISNUMBER(MATCH(DATE($AV$1,MONTH($B$4),E$3),Подключения!$A$2:$A$1039,0)))</xm:f>
            <x14:dxf>
              <fill>
                <patternFill>
                  <bgColor theme="3" tint="0.79998168889431442"/>
                </patternFill>
              </fill>
            </x14:dxf>
          </x14:cfRule>
          <xm:sqref>E4:AI13</xm:sqref>
        </x14:conditionalFormatting>
        <x14:conditionalFormatting xmlns:xm="http://schemas.microsoft.com/office/excel/2006/main">
          <x14:cfRule type="expression" priority="253" id="{910B1F89-C573-470B-9CCB-03C6487ACC04}">
            <xm:f>OR(WEEKDAY(DATE($AV$1,MONTH($B$54),E$3),2)&gt;5,ISNUMBER(MATCH(DATE($AV$1,MONTH($B$54),E$3),Подключения!$A$2:$A$1039,0)))</xm:f>
            <x14:dxf>
              <fill>
                <patternFill>
                  <bgColor theme="3" tint="0.79998168889431442"/>
                </patternFill>
              </fill>
            </x14:dxf>
          </x14:cfRule>
          <xm:sqref>E54:AI63</xm:sqref>
        </x14:conditionalFormatting>
        <x14:conditionalFormatting xmlns:xm="http://schemas.microsoft.com/office/excel/2006/main">
          <x14:cfRule type="expression" priority="254" id="{03796AB4-3F6B-4872-A402-C0D15435A688}">
            <xm:f>OR(WEEKDAY(DATE($AV$1,MONTH($B$44),E$3),2)&gt;5,ISNUMBER(MATCH(DATE($AV$1,MONTH($B$44),E$3),Подключения!$A$2:$A$1039,0)))</xm:f>
            <x14:dxf>
              <fill>
                <patternFill>
                  <bgColor theme="3" tint="0.79998168889431442"/>
                </patternFill>
              </fill>
            </x14:dxf>
          </x14:cfRule>
          <xm:sqref>E44:AI53</xm:sqref>
        </x14:conditionalFormatting>
        <x14:conditionalFormatting xmlns:xm="http://schemas.microsoft.com/office/excel/2006/main">
          <x14:cfRule type="expression" priority="255" id="{F961EF29-E864-446F-AD2E-482664277DAC}">
            <xm:f>OR(WEEKDAY(DATE($AV$1,MONTH($B$34),E$3),2)&gt;5,ISNUMBER(MATCH(DATE($AV$1,MONTH($B$34),E$3),Подключения!$A$2:$A$1039,0)))</xm:f>
            <x14:dxf>
              <fill>
                <patternFill>
                  <bgColor theme="3" tint="0.79998168889431442"/>
                </patternFill>
              </fill>
            </x14:dxf>
          </x14:cfRule>
          <xm:sqref>E34:AH43</xm:sqref>
        </x14:conditionalFormatting>
        <x14:conditionalFormatting xmlns:xm="http://schemas.microsoft.com/office/excel/2006/main">
          <x14:cfRule type="expression" priority="256" id="{32055F2D-DB78-4BC3-80EE-ED57DD09036B}">
            <xm:f>OR(WEEKDAY(DATE($AV$1,MONTH($B$24),E$3),2)&gt;5,ISNUMBER(MATCH(DATE($AV$1,MONTH($B$24),E$3),Подключения!$A$2:$A$1039,0)))</xm:f>
            <x14:dxf>
              <fill>
                <patternFill>
                  <bgColor theme="3" tint="0.79998168889431442"/>
                </patternFill>
              </fill>
            </x14:dxf>
          </x14:cfRule>
          <xm:sqref>E24:AI33</xm:sqref>
        </x14:conditionalFormatting>
        <x14:conditionalFormatting xmlns:xm="http://schemas.microsoft.com/office/excel/2006/main">
          <x14:cfRule type="expression" priority="257" id="{73CDDBF6-1264-4633-B730-6D1721E48F4B}">
            <xm:f>OR(WEEKDAY(DATE($AV$1,MONTH($B$14),E$3),2)&gt;5,ISNUMBER(MATCH(DATE($AV$1,MONTH($B$14),E$3),Подключения!$A$2:$A$1039,0)))</xm:f>
            <x14:dxf>
              <fill>
                <patternFill>
                  <bgColor theme="3" tint="0.79998168889431442"/>
                </patternFill>
              </fill>
            </x14:dxf>
          </x14:cfRule>
          <xm:sqref>E14:AF23</xm:sqref>
        </x14:conditionalFormatting>
        <x14:conditionalFormatting xmlns:xm="http://schemas.microsoft.com/office/excel/2006/main">
          <x14:cfRule type="expression" priority="7" id="{537F6F8F-6C1C-43BA-AB33-8C24843C15AF}">
            <xm:f>OR(WEEKDAY(DATE($AV$1,MONTH($B$34),E$3),2)&gt;5,ISNUMBER(MATCH(DATE($AV$1,MONTH($B$34),E$3),Подключения!$A$2:$A$1039,0)))</xm:f>
            <x14:dxf>
              <fill>
                <patternFill>
                  <bgColor theme="3" tint="0.79998168889431442"/>
                </patternFill>
              </fill>
            </x14:dxf>
          </x14:cfRule>
          <xm:sqref>E44</xm:sqref>
        </x14:conditionalFormatting>
        <x14:conditionalFormatting xmlns:xm="http://schemas.microsoft.com/office/excel/2006/main">
          <x14:cfRule type="expression" priority="5" id="{661FAB0C-F2D8-4AE5-B211-AF8071C94B42}">
            <xm:f>OR(WEEKDAY(DATE($AV$1,MONTH($B$54),AI$3),2)&gt;5,ISNUMBER(MATCH(DATE($AV$1,MONTH($B$54),AI$3),Подключения!$A$2:$A$1039,0)))</xm:f>
            <x14:dxf>
              <fill>
                <patternFill>
                  <bgColor theme="3" tint="0.79998168889431442"/>
                </patternFill>
              </fill>
            </x14:dxf>
          </x14:cfRule>
          <xm:sqref>AI34:AI43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5">
    <tabColor theme="7" tint="-0.249977111117893"/>
    <pageSetUpPr fitToPage="1"/>
  </sheetPr>
  <dimension ref="B1:DO129"/>
  <sheetViews>
    <sheetView zoomScale="70" zoomScaleNormal="70" workbookViewId="0">
      <pane ySplit="3" topLeftCell="A4" activePane="bottomLeft" state="frozen"/>
      <selection activeCell="AY1" sqref="AY1:CC1048576"/>
      <selection pane="bottomLeft" activeCell="AU17" sqref="AU17"/>
    </sheetView>
  </sheetViews>
  <sheetFormatPr defaultRowHeight="15" x14ac:dyDescent="0.25"/>
  <cols>
    <col min="2" max="3" width="10.7109375" customWidth="1"/>
    <col min="4" max="4" width="4.5703125" customWidth="1"/>
    <col min="5" max="5" width="5.28515625" customWidth="1"/>
    <col min="6" max="6" width="5.7109375" customWidth="1"/>
    <col min="7" max="35" width="4.7109375" customWidth="1"/>
    <col min="36" max="42" width="10.7109375" customWidth="1"/>
    <col min="45" max="46" width="10.7109375" bestFit="1" customWidth="1"/>
    <col min="51" max="119" width="2.7109375" customWidth="1"/>
  </cols>
  <sheetData>
    <row r="1" spans="2:119" ht="21.75" thickBot="1" x14ac:dyDescent="0.3">
      <c r="AV1" s="42">
        <f>'Сводный годовой график'!$AX$1</f>
        <v>2025</v>
      </c>
    </row>
    <row r="2" spans="2:119" ht="25.5" customHeight="1" thickTop="1" thickBot="1" x14ac:dyDescent="0.3">
      <c r="B2" s="242" t="s">
        <v>24</v>
      </c>
      <c r="C2" s="244" t="s">
        <v>25</v>
      </c>
      <c r="D2" s="46"/>
      <c r="E2" s="203" t="s">
        <v>26</v>
      </c>
      <c r="F2" s="203"/>
      <c r="G2" s="203"/>
      <c r="H2" s="203"/>
      <c r="I2" s="203"/>
      <c r="J2" s="203"/>
      <c r="K2" s="203"/>
      <c r="L2" s="203"/>
      <c r="M2" s="203"/>
      <c r="N2" s="203"/>
      <c r="O2" s="203"/>
      <c r="P2" s="203"/>
      <c r="Q2" s="203"/>
      <c r="R2" s="203"/>
      <c r="S2" s="203"/>
      <c r="T2" s="203"/>
      <c r="U2" s="203"/>
      <c r="V2" s="203"/>
      <c r="W2" s="203"/>
      <c r="X2" s="203"/>
      <c r="Y2" s="203"/>
      <c r="Z2" s="203"/>
      <c r="AA2" s="203"/>
      <c r="AB2" s="203"/>
      <c r="AC2" s="203"/>
      <c r="AD2" s="203"/>
      <c r="AE2" s="203"/>
      <c r="AF2" s="203"/>
      <c r="AG2" s="203"/>
      <c r="AH2" s="203"/>
      <c r="AI2" s="204"/>
      <c r="AJ2" s="246" t="s">
        <v>27</v>
      </c>
      <c r="AK2" s="248" t="s">
        <v>28</v>
      </c>
      <c r="AL2" s="250" t="s">
        <v>29</v>
      </c>
      <c r="AM2" s="232" t="s">
        <v>30</v>
      </c>
      <c r="AN2" s="234" t="s">
        <v>31</v>
      </c>
      <c r="AO2" s="234" t="s">
        <v>32</v>
      </c>
      <c r="AP2" s="236" t="s">
        <v>33</v>
      </c>
      <c r="AQ2" s="238" t="s">
        <v>34</v>
      </c>
      <c r="AR2" s="240" t="s">
        <v>35</v>
      </c>
      <c r="CK2" s="231" t="s">
        <v>79</v>
      </c>
      <c r="CL2" s="231"/>
      <c r="CM2" s="231"/>
      <c r="CN2" s="231"/>
      <c r="CO2" s="231"/>
      <c r="CP2" s="231"/>
      <c r="CQ2" s="231"/>
      <c r="CR2" s="231"/>
      <c r="CS2" s="231"/>
      <c r="CT2" s="231"/>
      <c r="CU2" s="231"/>
      <c r="CV2" s="231"/>
      <c r="CW2" s="231"/>
      <c r="CX2" s="231"/>
      <c r="CY2" s="231"/>
      <c r="CZ2" s="231"/>
      <c r="DA2" s="231"/>
      <c r="DB2" s="231"/>
      <c r="DC2" s="231"/>
      <c r="DD2" s="231"/>
      <c r="DE2" s="231"/>
      <c r="DF2" s="231"/>
      <c r="DG2" s="231"/>
      <c r="DH2" s="231"/>
      <c r="DI2" s="231"/>
      <c r="DJ2" s="231"/>
      <c r="DK2" s="231"/>
      <c r="DL2" s="231"/>
      <c r="DM2" s="231"/>
      <c r="DN2" s="231"/>
      <c r="DO2" s="231"/>
    </row>
    <row r="3" spans="2:119" ht="27" customHeight="1" thickBot="1" x14ac:dyDescent="0.3">
      <c r="B3" s="243"/>
      <c r="C3" s="245"/>
      <c r="D3" s="47"/>
      <c r="E3" s="43">
        <v>1</v>
      </c>
      <c r="F3" s="44">
        <f>E3+1</f>
        <v>2</v>
      </c>
      <c r="G3" s="44">
        <f t="shared" ref="G3:AH3" si="0">F3+1</f>
        <v>3</v>
      </c>
      <c r="H3" s="44">
        <f t="shared" si="0"/>
        <v>4</v>
      </c>
      <c r="I3" s="44">
        <f t="shared" si="0"/>
        <v>5</v>
      </c>
      <c r="J3" s="44">
        <f t="shared" si="0"/>
        <v>6</v>
      </c>
      <c r="K3" s="44">
        <f t="shared" si="0"/>
        <v>7</v>
      </c>
      <c r="L3" s="44">
        <f t="shared" si="0"/>
        <v>8</v>
      </c>
      <c r="M3" s="44">
        <f t="shared" si="0"/>
        <v>9</v>
      </c>
      <c r="N3" s="44">
        <f t="shared" si="0"/>
        <v>10</v>
      </c>
      <c r="O3" s="44">
        <f t="shared" si="0"/>
        <v>11</v>
      </c>
      <c r="P3" s="44">
        <f t="shared" si="0"/>
        <v>12</v>
      </c>
      <c r="Q3" s="44">
        <f t="shared" si="0"/>
        <v>13</v>
      </c>
      <c r="R3" s="44">
        <f t="shared" si="0"/>
        <v>14</v>
      </c>
      <c r="S3" s="44">
        <f t="shared" si="0"/>
        <v>15</v>
      </c>
      <c r="T3" s="44">
        <f t="shared" si="0"/>
        <v>16</v>
      </c>
      <c r="U3" s="44">
        <f t="shared" si="0"/>
        <v>17</v>
      </c>
      <c r="V3" s="44">
        <f t="shared" si="0"/>
        <v>18</v>
      </c>
      <c r="W3" s="44">
        <f t="shared" si="0"/>
        <v>19</v>
      </c>
      <c r="X3" s="44">
        <f t="shared" si="0"/>
        <v>20</v>
      </c>
      <c r="Y3" s="44">
        <f t="shared" si="0"/>
        <v>21</v>
      </c>
      <c r="Z3" s="44">
        <f t="shared" si="0"/>
        <v>22</v>
      </c>
      <c r="AA3" s="44">
        <f>Z3+1</f>
        <v>23</v>
      </c>
      <c r="AB3" s="44">
        <f t="shared" si="0"/>
        <v>24</v>
      </c>
      <c r="AC3" s="44">
        <f t="shared" si="0"/>
        <v>25</v>
      </c>
      <c r="AD3" s="44">
        <f t="shared" si="0"/>
        <v>26</v>
      </c>
      <c r="AE3" s="44">
        <f t="shared" si="0"/>
        <v>27</v>
      </c>
      <c r="AF3" s="44">
        <f t="shared" si="0"/>
        <v>28</v>
      </c>
      <c r="AG3" s="44">
        <f>AF3+1</f>
        <v>29</v>
      </c>
      <c r="AH3" s="44">
        <f t="shared" si="0"/>
        <v>30</v>
      </c>
      <c r="AI3" s="45">
        <f>AH3+1</f>
        <v>31</v>
      </c>
      <c r="AJ3" s="247"/>
      <c r="AK3" s="249"/>
      <c r="AL3" s="251"/>
      <c r="AM3" s="233"/>
      <c r="AN3" s="235"/>
      <c r="AO3" s="235"/>
      <c r="AP3" s="237"/>
      <c r="AQ3" s="239"/>
      <c r="AR3" s="241"/>
      <c r="CK3">
        <v>1</v>
      </c>
      <c r="CL3">
        <v>2</v>
      </c>
      <c r="CM3">
        <v>3</v>
      </c>
      <c r="CN3">
        <v>4</v>
      </c>
      <c r="CO3">
        <v>5</v>
      </c>
      <c r="CP3">
        <v>6</v>
      </c>
      <c r="CQ3">
        <v>7</v>
      </c>
      <c r="CR3">
        <v>8</v>
      </c>
      <c r="CS3">
        <v>9</v>
      </c>
      <c r="CT3">
        <v>10</v>
      </c>
      <c r="CU3">
        <v>11</v>
      </c>
      <c r="CV3">
        <v>12</v>
      </c>
      <c r="CW3">
        <v>13</v>
      </c>
      <c r="CX3">
        <v>14</v>
      </c>
      <c r="CY3">
        <v>15</v>
      </c>
      <c r="CZ3">
        <v>16</v>
      </c>
      <c r="DA3">
        <v>17</v>
      </c>
      <c r="DB3">
        <v>18</v>
      </c>
      <c r="DC3">
        <v>19</v>
      </c>
      <c r="DD3">
        <v>20</v>
      </c>
      <c r="DE3">
        <v>21</v>
      </c>
      <c r="DF3">
        <v>22</v>
      </c>
      <c r="DG3">
        <v>23</v>
      </c>
      <c r="DH3">
        <v>24</v>
      </c>
      <c r="DI3">
        <v>25</v>
      </c>
      <c r="DJ3">
        <v>26</v>
      </c>
      <c r="DK3">
        <v>27</v>
      </c>
      <c r="DL3">
        <v>28</v>
      </c>
      <c r="DM3">
        <v>29</v>
      </c>
      <c r="DN3">
        <v>30</v>
      </c>
      <c r="DO3">
        <v>31</v>
      </c>
    </row>
    <row r="4" spans="2:119" ht="17.25" customHeight="1" thickTop="1" thickBot="1" x14ac:dyDescent="0.3">
      <c r="B4" s="200">
        <f>DATE($AV$1,1,1)</f>
        <v>45658</v>
      </c>
      <c r="C4" s="196">
        <v>1</v>
      </c>
      <c r="D4" s="81">
        <v>1</v>
      </c>
      <c r="E4" s="83">
        <f ca="1">IF(AND(INDEX('Сводный годовой график'!$C$1:$AR$4,MATCH($C$4,'Сводный годовой график'!$B$1:$B$4),MATCH(DATE($AV$1,MONTH($B$4),E$3),'Сводный годовой график'!$C$5:$AR$5))&lt;&gt;12,INDIRECT(ADDRESS(ROW()+1,COLUMN()))="СП"),8,INDEX('Сводный годовой график'!$C$1:$AR$4,MATCH($C$4,'Сводный годовой график'!$B$1:$B$4),MATCH(DATE($AV$1,MONTH($B$4),E$3),'Сводный годовой график'!$C$5:$AR$5)))</f>
        <v>8</v>
      </c>
      <c r="F4" s="28">
        <f ca="1">IF(AND(INDEX('Сводный годовой график'!$C$1:$AR$4,MATCH($C$4,'Сводный годовой график'!$B$1:$B$4),MATCH(DATE($AV$1,MONTH($B$4),F$3),'Сводный годовой график'!$C$5:$AR$5))&lt;&gt;12,INDIRECT(ADDRESS(ROW()+1,COLUMN()))="СП"),8,INDEX('Сводный годовой график'!$C$1:$AR$4,MATCH($C$4,'Сводный годовой график'!$B$1:$B$4),MATCH(DATE($AV$1,MONTH($B$4),F$3),'Сводный годовой график'!$C$5:$AR$5)))</f>
        <v>0</v>
      </c>
      <c r="G4" s="28">
        <f ca="1">IF(AND(INDEX('Сводный годовой график'!$C$1:$AR$4,MATCH($C$4,'Сводный годовой график'!$B$1:$B$4),MATCH(DATE($AV$1,MONTH($B$4),G$3),'Сводный годовой график'!$C$5:$AR$5))&lt;&gt;12,INDIRECT(ADDRESS(ROW()+1,COLUMN()))="СП"),8,INDEX('Сводный годовой график'!$C$1:$AR$4,MATCH($C$4,'Сводный годовой график'!$B$1:$B$4),MATCH(DATE($AV$1,MONTH($B$4),G$3),'Сводный годовой график'!$C$5:$AR$5)))</f>
        <v>4</v>
      </c>
      <c r="H4" s="28">
        <f ca="1">IF(AND(INDEX('Сводный годовой график'!$C$1:$AR$4,MATCH($C$4,'Сводный годовой график'!$B$1:$B$4),MATCH(DATE($AV$1,MONTH($B$4),H$3),'Сводный годовой график'!$C$5:$AR$5))&lt;&gt;12,INDIRECT(ADDRESS(ROW()+1,COLUMN()))="СП"),8,INDEX('Сводный годовой график'!$C$1:$AR$4,MATCH($C$4,'Сводный годовой график'!$B$1:$B$4),MATCH(DATE($AV$1,MONTH($B$4),H$3),'Сводный годовой график'!$C$5:$AR$5)))</f>
        <v>8</v>
      </c>
      <c r="I4" s="28">
        <f ca="1">IF(AND(INDEX('Сводный годовой график'!$C$1:$AR$4,MATCH($C$4,'Сводный годовой график'!$B$1:$B$4),MATCH(DATE($AV$1,MONTH($B$4),I$3),'Сводный годовой график'!$C$5:$AR$5))&lt;&gt;12,INDIRECT(ADDRESS(ROW()+1,COLUMN()))="СП"),8,INDEX('Сводный годовой график'!$C$1:$AR$4,MATCH($C$4,'Сводный годовой график'!$B$1:$B$4),MATCH(DATE($AV$1,MONTH($B$4),I$3),'Сводный годовой график'!$C$5:$AR$5)))</f>
        <v>12</v>
      </c>
      <c r="J4" s="28">
        <f ca="1">IF(AND(INDEX('Сводный годовой график'!$C$1:$AR$4,MATCH($C$4,'Сводный годовой график'!$B$1:$B$4),MATCH(DATE($AV$1,MONTH($B$4),J$3),'Сводный годовой график'!$C$5:$AR$5))&lt;&gt;12,INDIRECT(ADDRESS(ROW()+1,COLUMN()))="СП"),8,INDEX('Сводный годовой график'!$C$1:$AR$4,MATCH($C$4,'Сводный годовой график'!$B$1:$B$4),MATCH(DATE($AV$1,MONTH($B$4),J$3),'Сводный годовой график'!$C$5:$AR$5)))</f>
        <v>4</v>
      </c>
      <c r="K4" s="28">
        <f ca="1">IF(AND(INDEX('Сводный годовой график'!$C$1:$AR$4,MATCH($C$4,'Сводный годовой график'!$B$1:$B$4),MATCH(DATE($AV$1,MONTH($B$4),K$3),'Сводный годовой график'!$C$5:$AR$5))&lt;&gt;12,INDIRECT(ADDRESS(ROW()+1,COLUMN()))="СП"),8,INDEX('Сводный годовой график'!$C$1:$AR$4,MATCH($C$4,'Сводный годовой график'!$B$1:$B$4),MATCH(DATE($AV$1,MONTH($B$4),K$3),'Сводный годовой график'!$C$5:$AR$5)))</f>
        <v>8</v>
      </c>
      <c r="L4" s="28">
        <f ca="1">IF(AND(INDEX('Сводный годовой график'!$C$1:$AR$4,MATCH($C$4,'Сводный годовой график'!$B$1:$B$4),MATCH(DATE($AV$1,MONTH($B$4),L$3),'Сводный годовой график'!$C$5:$AR$5))&lt;&gt;12,INDIRECT(ADDRESS(ROW()+1,COLUMN()))="СП"),8,INDEX('Сводный годовой график'!$C$1:$AR$4,MATCH($C$4,'Сводный годовой график'!$B$1:$B$4),MATCH(DATE($AV$1,MONTH($B$4),L$3),'Сводный годовой график'!$C$5:$AR$5)))</f>
        <v>12</v>
      </c>
      <c r="M4" s="28">
        <f ca="1">IF(AND(INDEX('Сводный годовой график'!$C$1:$AR$4,MATCH($C$4,'Сводный годовой график'!$B$1:$B$4),MATCH(DATE($AV$1,MONTH($B$4),M$3),'Сводный годовой график'!$C$5:$AR$5))&lt;&gt;12,INDIRECT(ADDRESS(ROW()+1,COLUMN()))="СП"),8,INDEX('Сводный годовой график'!$C$1:$AR$4,MATCH($C$4,'Сводный годовой график'!$B$1:$B$4),MATCH(DATE($AV$1,MONTH($B$4),M$3),'Сводный годовой график'!$C$5:$AR$5)))</f>
        <v>0</v>
      </c>
      <c r="N4" s="28">
        <f ca="1">IF(AND(INDEX('Сводный годовой график'!$C$1:$AR$4,MATCH($C$4,'Сводный годовой график'!$B$1:$B$4),MATCH(DATE($AV$1,MONTH($B$4),N$3),'Сводный годовой график'!$C$5:$AR$5))&lt;&gt;12,INDIRECT(ADDRESS(ROW()+1,COLUMN()))="СП"),8,INDEX('Сводный годовой график'!$C$1:$AR$4,MATCH($C$4,'Сводный годовой график'!$B$1:$B$4),MATCH(DATE($AV$1,MONTH($B$4),N$3),'Сводный годовой график'!$C$5:$AR$5)))</f>
        <v>0</v>
      </c>
      <c r="O4" s="28">
        <f ca="1">IF(AND(INDEX('Сводный годовой график'!$C$1:$AR$4,MATCH($C$4,'Сводный годовой график'!$B$1:$B$4),MATCH(DATE($AV$1,MONTH($B$4),O$3),'Сводный годовой график'!$C$5:$AR$5))&lt;&gt;12,INDIRECT(ADDRESS(ROW()+1,COLUMN()))="СП"),8,INDEX('Сводный годовой график'!$C$1:$AR$4,MATCH($C$4,'Сводный годовой график'!$B$1:$B$4),MATCH(DATE($AV$1,MONTH($B$4),O$3),'Сводный годовой график'!$C$5:$AR$5)))</f>
        <v>4</v>
      </c>
      <c r="P4" s="28">
        <f ca="1">IF(AND(INDEX('Сводный годовой график'!$C$1:$AR$4,MATCH($C$4,'Сводный годовой график'!$B$1:$B$4),MATCH(DATE($AV$1,MONTH($B$4),P$3),'Сводный годовой график'!$C$5:$AR$5))&lt;&gt;12,INDIRECT(ADDRESS(ROW()+1,COLUMN()))="СП"),8,INDEX('Сводный годовой график'!$C$1:$AR$4,MATCH($C$4,'Сводный годовой график'!$B$1:$B$4),MATCH(DATE($AV$1,MONTH($B$4),P$3),'Сводный годовой график'!$C$5:$AR$5)))</f>
        <v>8</v>
      </c>
      <c r="Q4" s="28">
        <f ca="1">IF(AND(INDEX('Сводный годовой график'!$C$1:$AR$4,MATCH($C$4,'Сводный годовой график'!$B$1:$B$4),MATCH(DATE($AV$1,MONTH($B$4),Q$3),'Сводный годовой график'!$C$5:$AR$5))&lt;&gt;12,INDIRECT(ADDRESS(ROW()+1,COLUMN()))="СП"),8,INDEX('Сводный годовой график'!$C$1:$AR$4,MATCH($C$4,'Сводный годовой график'!$B$1:$B$4),MATCH(DATE($AV$1,MONTH($B$4),Q$3),'Сводный годовой график'!$C$5:$AR$5)))</f>
        <v>12</v>
      </c>
      <c r="R4" s="28">
        <f ca="1">IF(AND(INDEX('Сводный годовой график'!$C$1:$AR$4,MATCH($C$4,'Сводный годовой график'!$B$1:$B$4),MATCH(DATE($AV$1,MONTH($B$4),R$3),'Сводный годовой график'!$C$5:$AR$5))&lt;&gt;12,INDIRECT(ADDRESS(ROW()+1,COLUMN()))="СП"),8,INDEX('Сводный годовой график'!$C$1:$AR$4,MATCH($C$4,'Сводный годовой график'!$B$1:$B$4),MATCH(DATE($AV$1,MONTH($B$4),R$3),'Сводный годовой график'!$C$5:$AR$5)))</f>
        <v>4</v>
      </c>
      <c r="S4" s="28">
        <f ca="1">IF(AND(INDEX('Сводный годовой график'!$C$1:$AR$4,MATCH($C$4,'Сводный годовой график'!$B$1:$B$4),MATCH(DATE($AV$1,MONTH($B$4),S$3),'Сводный годовой график'!$C$5:$AR$5))&lt;&gt;12,INDIRECT(ADDRESS(ROW()+1,COLUMN()))="СП"),8,INDEX('Сводный годовой график'!$C$1:$AR$4,MATCH($C$4,'Сводный годовой график'!$B$1:$B$4),MATCH(DATE($AV$1,MONTH($B$4),S$3),'Сводный годовой график'!$C$5:$AR$5)))</f>
        <v>8</v>
      </c>
      <c r="T4" s="28">
        <f ca="1">IF(AND(INDEX('Сводный годовой график'!$C$1:$AR$4,MATCH($C$4,'Сводный годовой график'!$B$1:$B$4),MATCH(DATE($AV$1,MONTH($B$4),T$3),'Сводный годовой график'!$C$5:$AR$5))&lt;&gt;12,INDIRECT(ADDRESS(ROW()+1,COLUMN()))="СП"),8,INDEX('Сводный годовой график'!$C$1:$AR$4,MATCH($C$4,'Сводный годовой график'!$B$1:$B$4),MATCH(DATE($AV$1,MONTH($B$4),T$3),'Сводный годовой график'!$C$5:$AR$5)))</f>
        <v>12</v>
      </c>
      <c r="U4" s="28">
        <f ca="1">IF(AND(INDEX('Сводный годовой график'!$C$1:$AR$4,MATCH($C$4,'Сводный годовой график'!$B$1:$B$4),MATCH(DATE($AV$1,MONTH($B$4),U$3),'Сводный годовой график'!$C$5:$AR$5))&lt;&gt;12,INDIRECT(ADDRESS(ROW()+1,COLUMN()))="СП"),8,INDEX('Сводный годовой график'!$C$1:$AR$4,MATCH($C$4,'Сводный годовой график'!$B$1:$B$4),MATCH(DATE($AV$1,MONTH($B$4),U$3),'Сводный годовой график'!$C$5:$AR$5)))</f>
        <v>0</v>
      </c>
      <c r="V4" s="28">
        <f ca="1">IF(AND(INDEX('Сводный годовой график'!$C$1:$AR$4,MATCH($C$4,'Сводный годовой график'!$B$1:$B$4),MATCH(DATE($AV$1,MONTH($B$4),V$3),'Сводный годовой график'!$C$5:$AR$5))&lt;&gt;12,INDIRECT(ADDRESS(ROW()+1,COLUMN()))="СП"),8,INDEX('Сводный годовой график'!$C$1:$AR$4,MATCH($C$4,'Сводный годовой график'!$B$1:$B$4),MATCH(DATE($AV$1,MONTH($B$4),V$3),'Сводный годовой график'!$C$5:$AR$5)))</f>
        <v>0</v>
      </c>
      <c r="W4" s="28">
        <f ca="1">IF(AND(INDEX('Сводный годовой график'!$C$1:$AR$4,MATCH($C$4,'Сводный годовой график'!$B$1:$B$4),MATCH(DATE($AV$1,MONTH($B$4),W$3),'Сводный годовой график'!$C$5:$AR$5))&lt;&gt;12,INDIRECT(ADDRESS(ROW()+1,COLUMN()))="СП"),8,INDEX('Сводный годовой график'!$C$1:$AR$4,MATCH($C$4,'Сводный годовой график'!$B$1:$B$4),MATCH(DATE($AV$1,MONTH($B$4),W$3),'Сводный годовой график'!$C$5:$AR$5)))</f>
        <v>4</v>
      </c>
      <c r="X4" s="28">
        <f ca="1">IF(AND(INDEX('Сводный годовой график'!$C$1:$AR$4,MATCH($C$4,'Сводный годовой график'!$B$1:$B$4),MATCH(DATE($AV$1,MONTH($B$4),X$3),'Сводный годовой график'!$C$5:$AR$5))&lt;&gt;12,INDIRECT(ADDRESS(ROW()+1,COLUMN()))="СП"),8,INDEX('Сводный годовой график'!$C$1:$AR$4,MATCH($C$4,'Сводный годовой график'!$B$1:$B$4),MATCH(DATE($AV$1,MONTH($B$4),X$3),'Сводный годовой график'!$C$5:$AR$5)))</f>
        <v>8</v>
      </c>
      <c r="Y4" s="28">
        <f ca="1">IF(AND(INDEX('Сводный годовой график'!$C$1:$AR$4,MATCH($C$4,'Сводный годовой график'!$B$1:$B$4),MATCH(DATE($AV$1,MONTH($B$4),Y$3),'Сводный годовой график'!$C$5:$AR$5))&lt;&gt;12,INDIRECT(ADDRESS(ROW()+1,COLUMN()))="СП"),8,INDEX('Сводный годовой график'!$C$1:$AR$4,MATCH($C$4,'Сводный годовой график'!$B$1:$B$4),MATCH(DATE($AV$1,MONTH($B$4),Y$3),'Сводный годовой график'!$C$5:$AR$5)))</f>
        <v>12</v>
      </c>
      <c r="Z4" s="28">
        <f ca="1">IF(AND(INDEX('Сводный годовой график'!$C$1:$AR$4,MATCH($C$4,'Сводный годовой график'!$B$1:$B$4),MATCH(DATE($AV$1,MONTH($B$4),Z$3),'Сводный годовой график'!$C$5:$AR$5))&lt;&gt;12,INDIRECT(ADDRESS(ROW()+1,COLUMN()))="СП"),8,INDEX('Сводный годовой график'!$C$1:$AR$4,MATCH($C$4,'Сводный годовой график'!$B$1:$B$4),MATCH(DATE($AV$1,MONTH($B$4),Z$3),'Сводный годовой график'!$C$5:$AR$5)))</f>
        <v>4</v>
      </c>
      <c r="AA4" s="28">
        <f ca="1">IF(AND(INDEX('Сводный годовой график'!$C$1:$AR$4,MATCH($C$4,'Сводный годовой график'!$B$1:$B$4),MATCH(DATE($AV$1,MONTH($B$4),AA$3),'Сводный годовой график'!$C$5:$AR$5))&lt;&gt;12,INDIRECT(ADDRESS(ROW()+1,COLUMN()))="СП"),8,INDEX('Сводный годовой график'!$C$1:$AR$4,MATCH($C$4,'Сводный годовой график'!$B$1:$B$4),MATCH(DATE($AV$1,MONTH($B$4),AA$3),'Сводный годовой график'!$C$5:$AR$5)))</f>
        <v>8</v>
      </c>
      <c r="AB4" s="28">
        <f ca="1">IF(AND(INDEX('Сводный годовой график'!$C$1:$AR$4,MATCH($C$4,'Сводный годовой график'!$B$1:$B$4),MATCH(DATE($AV$1,MONTH($B$4),AB$3),'Сводный годовой график'!$C$5:$AR$5))&lt;&gt;12,INDIRECT(ADDRESS(ROW()+1,COLUMN()))="СП"),8,INDEX('Сводный годовой график'!$C$1:$AR$4,MATCH($C$4,'Сводный годовой график'!$B$1:$B$4),MATCH(DATE($AV$1,MONTH($B$4),AB$3),'Сводный годовой график'!$C$5:$AR$5)))</f>
        <v>12</v>
      </c>
      <c r="AC4" s="28">
        <f ca="1">IF(AND(INDEX('Сводный годовой график'!$C$1:$AR$4,MATCH($C$4,'Сводный годовой график'!$B$1:$B$4),MATCH(DATE($AV$1,MONTH($B$4),AC$3),'Сводный годовой график'!$C$5:$AR$5))&lt;&gt;12,INDIRECT(ADDRESS(ROW()+1,COLUMN()))="СП"),8,INDEX('Сводный годовой график'!$C$1:$AR$4,MATCH($C$4,'Сводный годовой график'!$B$1:$B$4),MATCH(DATE($AV$1,MONTH($B$4),AC$3),'Сводный годовой график'!$C$5:$AR$5)))</f>
        <v>0</v>
      </c>
      <c r="AD4" s="28">
        <f ca="1">IF(AND(INDEX('Сводный годовой график'!$C$1:$AR$4,MATCH($C$4,'Сводный годовой график'!$B$1:$B$4),MATCH(DATE($AV$1,MONTH($B$4),AD$3),'Сводный годовой график'!$C$5:$AR$5))&lt;&gt;12,INDIRECT(ADDRESS(ROW()+1,COLUMN()))="СП"),8,INDEX('Сводный годовой график'!$C$1:$AR$4,MATCH($C$4,'Сводный годовой график'!$B$1:$B$4),MATCH(DATE($AV$1,MONTH($B$4),AD$3),'Сводный годовой график'!$C$5:$AR$5)))</f>
        <v>0</v>
      </c>
      <c r="AE4" s="28">
        <f ca="1">IF(AND(INDEX('Сводный годовой график'!$C$1:$AR$4,MATCH($C$4,'Сводный годовой график'!$B$1:$B$4),MATCH(DATE($AV$1,MONTH($B$4),AE$3),'Сводный годовой график'!$C$5:$AR$5))&lt;&gt;12,INDIRECT(ADDRESS(ROW()+1,COLUMN()))="СП"),8,INDEX('Сводный годовой график'!$C$1:$AR$4,MATCH($C$4,'Сводный годовой график'!$B$1:$B$4),MATCH(DATE($AV$1,MONTH($B$4),AE$3),'Сводный годовой график'!$C$5:$AR$5)))</f>
        <v>4</v>
      </c>
      <c r="AF4" s="28">
        <f ca="1">IF(AND(INDEX('Сводный годовой график'!$C$1:$AR$4,MATCH($C$4,'Сводный годовой график'!$B$1:$B$4),MATCH(DATE($AV$1,MONTH($B$4),AF$3),'Сводный годовой график'!$C$5:$AR$5))&lt;&gt;12,INDIRECT(ADDRESS(ROW()+1,COLUMN()))="СП"),8,INDEX('Сводный годовой график'!$C$1:$AR$4,MATCH($C$4,'Сводный годовой график'!$B$1:$B$4),MATCH(DATE($AV$1,MONTH($B$4),AF$3),'Сводный годовой график'!$C$5:$AR$5)))</f>
        <v>8</v>
      </c>
      <c r="AG4" s="28">
        <f ca="1">IF(AND(INDEX('Сводный годовой график'!$C$1:$AR$4,MATCH($C$4,'Сводный годовой график'!$B$1:$B$4),MATCH(DATE($AV$1,MONTH($B$4),AG$3),'Сводный годовой график'!$C$5:$AR$5))&lt;&gt;12,INDIRECT(ADDRESS(ROW()+1,COLUMN()))="СП"),8,INDEX('Сводный годовой график'!$C$1:$AR$4,MATCH($C$4,'Сводный годовой график'!$B$1:$B$4),MATCH(DATE($AV$1,MONTH($B$4),AG$3),'Сводный годовой график'!$C$5:$AR$5)))</f>
        <v>12</v>
      </c>
      <c r="AH4" s="28">
        <f ca="1">IF(AND(INDEX('Сводный годовой график'!$C$1:$AR$4,MATCH($C$4,'Сводный годовой график'!$B$1:$B$4),MATCH(DATE($AV$1,MONTH($B$4),AH$3),'Сводный годовой график'!$C$5:$AR$5))&lt;&gt;12,INDIRECT(ADDRESS(ROW()+1,COLUMN()))="СП"),8,INDEX('Сводный годовой график'!$C$1:$AR$4,MATCH($C$4,'Сводный годовой график'!$B$1:$B$4),MATCH(DATE($AV$1,MONTH($B$4),AH$3),'Сводный годовой график'!$C$5:$AR$5)))</f>
        <v>4</v>
      </c>
      <c r="AI4" s="95">
        <f ca="1">IF(AND(INDEX('Сводный годовой график'!$C$1:$AR$4,MATCH($C$4,'Сводный годовой график'!$B$1:$B$4),MATCH(DATE($AV$1,MONTH($B$4),AI$3),'Сводный годовой график'!$C$5:$AR$5))&lt;&gt;12,INDIRECT(ADDRESS(ROW()+1,COLUMN()))="СП"),8,INDEX('Сводный годовой график'!$C$1:$AR$4,MATCH($C$4,'Сводный годовой график'!$B$1:$B$4),MATCH(DATE($AV$1,MONTH($B$4),AI$3),'Сводный годовой график'!$C$5:$AR$5)))</f>
        <v>8</v>
      </c>
      <c r="AJ4" s="205">
        <f>INDEX(Подключения!$D$3:$H$14,MONTH(B4),5)</f>
        <v>136</v>
      </c>
      <c r="AK4" s="216">
        <f>$AJ$4-SUM(AY4:CC5)</f>
        <v>136</v>
      </c>
      <c r="AL4" s="216">
        <f ca="1">SUM(E4:AI5)</f>
        <v>188</v>
      </c>
      <c r="AM4" s="216">
        <f ca="1">SUM(E4:L4)</f>
        <v>56</v>
      </c>
      <c r="AN4" s="218">
        <f ca="1">-AM4-AK4+AL4</f>
        <v>-4</v>
      </c>
      <c r="AO4" s="218">
        <v>0</v>
      </c>
      <c r="AP4" s="218">
        <f ca="1">AN4-AO4</f>
        <v>-4</v>
      </c>
      <c r="AQ4" s="218" t="s">
        <v>37</v>
      </c>
      <c r="AR4" s="229">
        <v>1</v>
      </c>
      <c r="CK4" s="59"/>
      <c r="CL4" s="59"/>
      <c r="CM4" s="59"/>
      <c r="CN4" s="59"/>
      <c r="CO4" s="59"/>
      <c r="CP4" s="59"/>
      <c r="CQ4" s="59"/>
      <c r="CR4" s="59"/>
      <c r="CS4" s="59"/>
      <c r="CT4" s="59"/>
      <c r="CU4" s="59"/>
      <c r="CV4" s="59"/>
      <c r="CW4" s="59"/>
      <c r="CX4" s="59"/>
      <c r="CY4" s="59"/>
      <c r="CZ4" s="59"/>
      <c r="DA4" s="59"/>
      <c r="DB4" s="59"/>
      <c r="DC4" s="59"/>
      <c r="DD4" s="59"/>
      <c r="DE4" s="59"/>
      <c r="DF4" s="59"/>
      <c r="DG4" s="59"/>
      <c r="DH4" s="59"/>
      <c r="DI4" s="59"/>
      <c r="DJ4" s="59"/>
      <c r="DK4" s="59"/>
      <c r="DL4" s="59"/>
      <c r="DM4" s="59"/>
      <c r="DN4" s="59"/>
      <c r="DO4" s="59"/>
    </row>
    <row r="5" spans="2:119" ht="16.5" thickBot="1" x14ac:dyDescent="0.3">
      <c r="B5" s="201"/>
      <c r="C5" s="197"/>
      <c r="D5" s="82">
        <v>2</v>
      </c>
      <c r="E5" s="96" t="str">
        <f>IF(INDEX($CK$4:$DO$123,ROW()-3,E$3)=0,"","СП")</f>
        <v>СП</v>
      </c>
      <c r="F5" s="92" t="str">
        <f>IF(INDEX($CK$4:$DO$123,ROW()-3,F$3)=0,"","СП")</f>
        <v/>
      </c>
      <c r="G5" s="92" t="str">
        <f>IF(INDEX($CK$4:$DO$123,ROW()-3,G$3)=0,"","СП")</f>
        <v/>
      </c>
      <c r="H5" s="92" t="str">
        <f>IF(INDEX($CK$4:$DO$123,ROW()-3,H$3)=0,"","СП")</f>
        <v/>
      </c>
      <c r="I5" s="92" t="str">
        <f>IF(INDEX($CK$4:$DO$123,ROW()-3,I$3)=0,"","СП")</f>
        <v/>
      </c>
      <c r="J5" s="92" t="str">
        <f>IF(INDEX($CK$4:$DO$123,ROW()-3,J$3)=0,"","СП")</f>
        <v/>
      </c>
      <c r="K5" s="92" t="str">
        <f>IF(INDEX($CK$4:$DO$123,ROW()-3,K$3)=0,"","СП")</f>
        <v/>
      </c>
      <c r="L5" s="92" t="str">
        <f>IF(INDEX($CK$4:$DO$123,ROW()-3,L$3)=0,"","СП")</f>
        <v/>
      </c>
      <c r="M5" s="92" t="str">
        <f>IF(INDEX($CK$4:$DO$123,ROW()-3,M$3)=0,"","СП")</f>
        <v/>
      </c>
      <c r="N5" s="92" t="str">
        <f>IF(INDEX($CK$4:$DO$123,ROW()-3,N$3)=0,"","СП")</f>
        <v/>
      </c>
      <c r="O5" s="92" t="str">
        <f>IF(INDEX($CK$4:$DO$123,ROW()-3,O$3)=0,"","СП")</f>
        <v/>
      </c>
      <c r="P5" s="92" t="str">
        <f>IF(INDEX($CK$4:$DO$123,ROW()-3,P$3)=0,"","СП")</f>
        <v/>
      </c>
      <c r="Q5" s="92" t="str">
        <f>IF(INDEX($CK$4:$DO$123,ROW()-3,Q$3)=0,"","СП")</f>
        <v/>
      </c>
      <c r="R5" s="92" t="str">
        <f>IF(INDEX($CK$4:$DO$123,ROW()-3,R$3)=0,"","СП")</f>
        <v/>
      </c>
      <c r="S5" s="92" t="str">
        <f>IF(INDEX($CK$4:$DO$123,ROW()-3,S$3)=0,"","СП")</f>
        <v/>
      </c>
      <c r="T5" s="92" t="str">
        <f>IF(INDEX($CK$4:$DO$123,ROW()-3,T$3)=0,"","СП")</f>
        <v/>
      </c>
      <c r="U5" s="92" t="str">
        <f>IF(INDEX($CK$4:$DO$123,ROW()-3,U$3)=0,"","СП")</f>
        <v/>
      </c>
      <c r="V5" s="92" t="str">
        <f>IF(INDEX($CK$4:$DO$123,ROW()-3,V$3)=0,"","СП")</f>
        <v/>
      </c>
      <c r="W5" s="92" t="str">
        <f>IF(INDEX($CK$4:$DO$123,ROW()-3,W$3)=0,"","СП")</f>
        <v/>
      </c>
      <c r="X5" s="92" t="str">
        <f>IF(INDEX($CK$4:$DO$123,ROW()-3,X$3)=0,"","СП")</f>
        <v/>
      </c>
      <c r="Y5" s="92" t="str">
        <f>IF(INDEX($CK$4:$DO$123,ROW()-3,Y$3)=0,"","СП")</f>
        <v/>
      </c>
      <c r="Z5" s="92" t="str">
        <f>IF(INDEX($CK$4:$DO$123,ROW()-3,Z$3)=0,"","СП")</f>
        <v/>
      </c>
      <c r="AA5" s="92" t="str">
        <f>IF(INDEX($CK$4:$DO$123,ROW()-3,AA$3)=0,"","СП")</f>
        <v/>
      </c>
      <c r="AB5" s="92" t="str">
        <f>IF(INDEX($CK$4:$DO$123,ROW()-3,AB$3)=0,"","СП")</f>
        <v/>
      </c>
      <c r="AC5" s="92" t="str">
        <f>IF(INDEX($CK$4:$DO$123,ROW()-3,AC$3)=0,"","СП")</f>
        <v/>
      </c>
      <c r="AD5" s="92" t="str">
        <f>IF(INDEX($CK$4:$DO$123,ROW()-3,AD$3)=0,"","СП")</f>
        <v/>
      </c>
      <c r="AE5" s="92" t="str">
        <f>IF(INDEX($CK$4:$DO$123,ROW()-3,AE$3)=0,"","СП")</f>
        <v/>
      </c>
      <c r="AF5" s="92" t="str">
        <f>IF(INDEX($CK$4:$DO$123,ROW()-3,AF$3)=0,"","СП")</f>
        <v/>
      </c>
      <c r="AG5" s="92" t="str">
        <f>IF(INDEX($CK$4:$DO$123,ROW()-3,AG$3)=0,"","СП")</f>
        <v/>
      </c>
      <c r="AH5" s="92" t="str">
        <f>IF(INDEX($CK$4:$DO$123,ROW()-3,AH$3)=0,"","СП")</f>
        <v/>
      </c>
      <c r="AI5" s="97" t="str">
        <f>IF(INDEX($CK$4:$DO$123,ROW()-3,AI$3)=0,"","СП")</f>
        <v/>
      </c>
      <c r="AJ5" s="206"/>
      <c r="AK5" s="209"/>
      <c r="AL5" s="209"/>
      <c r="AM5" s="209"/>
      <c r="AN5" s="211"/>
      <c r="AO5" s="211"/>
      <c r="AP5" s="211"/>
      <c r="AQ5" s="211"/>
      <c r="AR5" s="230"/>
      <c r="CK5" s="58">
        <f>IF(DAY(INDEX('Сводный годовой график'!$BA$4:$BL$14,$C4,MONTH($B$4)))=E$3,1,0)</f>
        <v>1</v>
      </c>
      <c r="CL5" s="58">
        <f>IF(DAY(INDEX('Сводный годовой график'!$BA$4:$BL$14,$C4,MONTH($B$4)))=F$3,1,0)</f>
        <v>0</v>
      </c>
      <c r="CM5" s="58">
        <f>IF(DAY(INDEX('Сводный годовой график'!$BA$4:$BL$14,$C4,MONTH($B$4)))=G$3,1,0)</f>
        <v>0</v>
      </c>
      <c r="CN5" s="58">
        <f>IF(DAY(INDEX('Сводный годовой график'!$BA$4:$BL$14,$C4,MONTH($B$4)))=H$3,1,0)</f>
        <v>0</v>
      </c>
      <c r="CO5" s="58">
        <f>IF(DAY(INDEX('Сводный годовой график'!$BA$4:$BL$14,$C4,MONTH($B$4)))=I$3,1,0)</f>
        <v>0</v>
      </c>
      <c r="CP5" s="58">
        <f>IF(DAY(INDEX('Сводный годовой график'!$BA$4:$BL$14,$C4,MONTH($B$4)))=J$3,1,0)</f>
        <v>0</v>
      </c>
      <c r="CQ5" s="58">
        <f>IF(DAY(INDEX('Сводный годовой график'!$BA$4:$BL$14,$C4,MONTH($B$4)))=K$3,1,0)</f>
        <v>0</v>
      </c>
      <c r="CR5" s="58">
        <f>IF(DAY(INDEX('Сводный годовой график'!$BA$4:$BL$14,$C4,MONTH($B$4)))=L$3,1,0)</f>
        <v>0</v>
      </c>
      <c r="CS5" s="58">
        <f>IF(DAY(INDEX('Сводный годовой график'!$BA$4:$BL$14,$C4,MONTH($B$4)))=M$3,1,0)</f>
        <v>0</v>
      </c>
      <c r="CT5" s="58">
        <f>IF(DAY(INDEX('Сводный годовой график'!$BA$4:$BL$14,$C4,MONTH($B$4)))=N$3,1,0)</f>
        <v>0</v>
      </c>
      <c r="CU5" s="58">
        <f>IF(DAY(INDEX('Сводный годовой график'!$BA$4:$BL$14,$C4,MONTH($B$4)))=O$3,1,0)</f>
        <v>0</v>
      </c>
      <c r="CV5" s="58">
        <f>IF(DAY(INDEX('Сводный годовой график'!$BA$4:$BL$14,$C4,MONTH($B$4)))=P$3,1,0)</f>
        <v>0</v>
      </c>
      <c r="CW5" s="58">
        <f>IF(DAY(INDEX('Сводный годовой график'!$BA$4:$BL$14,$C4,MONTH($B$4)))=Q$3,1,0)</f>
        <v>0</v>
      </c>
      <c r="CX5" s="58">
        <f>IF(DAY(INDEX('Сводный годовой график'!$BA$4:$BL$14,$C4,MONTH($B$4)))=R$3,1,0)</f>
        <v>0</v>
      </c>
      <c r="CY5" s="58">
        <f>IF(DAY(INDEX('Сводный годовой график'!$BA$4:$BL$14,$C4,MONTH($B$4)))=S$3,1,0)</f>
        <v>0</v>
      </c>
      <c r="CZ5" s="58">
        <f>IF(DAY(INDEX('Сводный годовой график'!$BA$4:$BL$14,$C4,MONTH($B$4)))=T$3,1,0)</f>
        <v>0</v>
      </c>
      <c r="DA5" s="58">
        <f>IF(DAY(INDEX('Сводный годовой график'!$BA$4:$BL$14,$C4,MONTH($B$4)))=U$3,1,0)</f>
        <v>0</v>
      </c>
      <c r="DB5" s="58">
        <f>IF(DAY(INDEX('Сводный годовой график'!$BA$4:$BL$14,$C4,MONTH($B$4)))=V$3,1,0)</f>
        <v>0</v>
      </c>
      <c r="DC5" s="58">
        <f>IF(DAY(INDEX('Сводный годовой график'!$BA$4:$BL$14,$C4,MONTH($B$4)))=W$3,1,0)</f>
        <v>0</v>
      </c>
      <c r="DD5" s="58">
        <f>IF(DAY(INDEX('Сводный годовой график'!$BA$4:$BL$14,$C4,MONTH($B$4)))=X$3,1,0)</f>
        <v>0</v>
      </c>
      <c r="DE5" s="58">
        <f>IF(DAY(INDEX('Сводный годовой график'!$BA$4:$BL$14,$C4,MONTH($B$4)))=Y$3,1,0)</f>
        <v>0</v>
      </c>
      <c r="DF5" s="58">
        <f>IF(DAY(INDEX('Сводный годовой график'!$BA$4:$BL$14,$C4,MONTH($B$4)))=Z$3,1,0)</f>
        <v>0</v>
      </c>
      <c r="DG5" s="58">
        <f>IF(DAY(INDEX('Сводный годовой график'!$BA$4:$BL$14,$C4,MONTH($B$4)))=AA$3,1,0)</f>
        <v>0</v>
      </c>
      <c r="DH5" s="58">
        <f>IF(DAY(INDEX('Сводный годовой график'!$BA$4:$BL$14,$C4,MONTH($B$4)))=AB$3,1,0)</f>
        <v>0</v>
      </c>
      <c r="DI5" s="58">
        <f>IF(DAY(INDEX('Сводный годовой график'!$BA$4:$BL$14,$C4,MONTH($B$4)))=AC$3,1,0)</f>
        <v>0</v>
      </c>
      <c r="DJ5" s="58">
        <f>IF(DAY(INDEX('Сводный годовой график'!$BA$4:$BL$14,$C4,MONTH($B$4)))=AD$3,1,0)</f>
        <v>0</v>
      </c>
      <c r="DK5" s="58">
        <f>IF(DAY(INDEX('Сводный годовой график'!$BA$4:$BL$14,$C4,MONTH($B$4)))=AE$3,1,0)</f>
        <v>0</v>
      </c>
      <c r="DL5" s="58">
        <f>IF(DAY(INDEX('Сводный годовой график'!$BA$4:$BL$14,$C4,MONTH($B$4)))=AF$3,1,0)</f>
        <v>0</v>
      </c>
      <c r="DM5" s="58">
        <f>IF(DAY(INDEX('Сводный годовой график'!$BA$4:$BL$14,$C4,MONTH($B$4)))=AG$3,1,0)</f>
        <v>0</v>
      </c>
      <c r="DN5" s="58">
        <f>IF(DAY(INDEX('Сводный годовой график'!$BA$4:$BL$14,$C4,MONTH($B$4)))=AH$3,1,0)</f>
        <v>0</v>
      </c>
      <c r="DO5" s="58">
        <f>IF(DAY(INDEX('Сводный годовой график'!$BA$4:$BL$14,$C4,MONTH($B$4)))=AI$3,1,0)</f>
        <v>0</v>
      </c>
    </row>
    <row r="6" spans="2:119" ht="16.5" thickBot="1" x14ac:dyDescent="0.3">
      <c r="B6" s="201"/>
      <c r="C6" s="196">
        <v>2</v>
      </c>
      <c r="D6" s="81">
        <v>3</v>
      </c>
      <c r="E6" s="96">
        <f ca="1">IF(AND(INDEX('Сводный годовой график'!$C$1:$AR$4,MATCH($C$6,'Сводный годовой график'!$B$1:$B$4),MATCH(DATE($AV$1,MONTH($B$4),E$3),'Сводный годовой график'!$C$5:$AR$5))&lt;&gt;12,INDIRECT(ADDRESS(ROW()+1,COLUMN()))="СП"),8,INDEX('Сводный годовой график'!$C$1:$AR$4,MATCH($C$6,'Сводный годовой график'!$B$1:$B$4),MATCH(DATE($AV$1,MONTH($B$4),E$3),'Сводный годовой график'!$C$5:$AR$5)))</f>
        <v>4</v>
      </c>
      <c r="F6" s="92">
        <f ca="1">IF(AND(INDEX('Сводный годовой график'!$C$1:$AR$4,MATCH($C$6,'Сводный годовой график'!$B$1:$B$4),MATCH(DATE($AV$1,MONTH($B$4),F$3),'Сводный годовой график'!$C$5:$AR$5))&lt;&gt;12,INDIRECT(ADDRESS(ROW()+1,COLUMN()))="СП"),8,INDEX('Сводный годовой график'!$C$1:$AR$4,MATCH($C$6,'Сводный годовой график'!$B$1:$B$4),MATCH(DATE($AV$1,MONTH($B$4),F$3),'Сводный годовой график'!$C$5:$AR$5)))</f>
        <v>8</v>
      </c>
      <c r="G6" s="92">
        <f ca="1">IF(AND(INDEX('Сводный годовой график'!$C$1:$AR$4,MATCH($C$6,'Сводный годовой график'!$B$1:$B$4),MATCH(DATE($AV$1,MONTH($B$4),G$3),'Сводный годовой график'!$C$5:$AR$5))&lt;&gt;12,INDIRECT(ADDRESS(ROW()+1,COLUMN()))="СП"),8,INDEX('Сводный годовой график'!$C$1:$AR$4,MATCH($C$6,'Сводный годовой график'!$B$1:$B$4),MATCH(DATE($AV$1,MONTH($B$4),G$3),'Сводный годовой график'!$C$5:$AR$5)))</f>
        <v>12</v>
      </c>
      <c r="H6" s="92">
        <f ca="1">IF(AND(INDEX('Сводный годовой график'!$C$1:$AR$4,MATCH($C$6,'Сводный годовой график'!$B$1:$B$4),MATCH(DATE($AV$1,MONTH($B$4),H$3),'Сводный годовой график'!$C$5:$AR$5))&lt;&gt;12,INDIRECT(ADDRESS(ROW()+1,COLUMN()))="СП"),8,INDEX('Сводный годовой график'!$C$1:$AR$4,MATCH($C$6,'Сводный годовой график'!$B$1:$B$4),MATCH(DATE($AV$1,MONTH($B$4),H$3),'Сводный годовой график'!$C$5:$AR$5)))</f>
        <v>4</v>
      </c>
      <c r="I6" s="92">
        <f ca="1">IF(AND(INDEX('Сводный годовой график'!$C$1:$AR$4,MATCH($C$6,'Сводный годовой график'!$B$1:$B$4),MATCH(DATE($AV$1,MONTH($B$4),I$3),'Сводный годовой график'!$C$5:$AR$5))&lt;&gt;12,INDIRECT(ADDRESS(ROW()+1,COLUMN()))="СП"),8,INDEX('Сводный годовой график'!$C$1:$AR$4,MATCH($C$6,'Сводный годовой график'!$B$1:$B$4),MATCH(DATE($AV$1,MONTH($B$4),I$3),'Сводный годовой график'!$C$5:$AR$5)))</f>
        <v>8</v>
      </c>
      <c r="J6" s="92">
        <f ca="1">IF(AND(INDEX('Сводный годовой график'!$C$1:$AR$4,MATCH($C$6,'Сводный годовой график'!$B$1:$B$4),MATCH(DATE($AV$1,MONTH($B$4),J$3),'Сводный годовой график'!$C$5:$AR$5))&lt;&gt;12,INDIRECT(ADDRESS(ROW()+1,COLUMN()))="СП"),8,INDEX('Сводный годовой график'!$C$1:$AR$4,MATCH($C$6,'Сводный годовой график'!$B$1:$B$4),MATCH(DATE($AV$1,MONTH($B$4),J$3),'Сводный годовой график'!$C$5:$AR$5)))</f>
        <v>12</v>
      </c>
      <c r="K6" s="92">
        <f ca="1">IF(AND(INDEX('Сводный годовой график'!$C$1:$AR$4,MATCH($C$6,'Сводный годовой график'!$B$1:$B$4),MATCH(DATE($AV$1,MONTH($B$4),K$3),'Сводный годовой график'!$C$5:$AR$5))&lt;&gt;12,INDIRECT(ADDRESS(ROW()+1,COLUMN()))="СП"),8,INDEX('Сводный годовой график'!$C$1:$AR$4,MATCH($C$6,'Сводный годовой график'!$B$1:$B$4),MATCH(DATE($AV$1,MONTH($B$4),K$3),'Сводный годовой график'!$C$5:$AR$5)))</f>
        <v>0</v>
      </c>
      <c r="L6" s="92">
        <f ca="1">IF(AND(INDEX('Сводный годовой график'!$C$1:$AR$4,MATCH($C$6,'Сводный годовой график'!$B$1:$B$4),MATCH(DATE($AV$1,MONTH($B$4),L$3),'Сводный годовой график'!$C$5:$AR$5))&lt;&gt;12,INDIRECT(ADDRESS(ROW()+1,COLUMN()))="СП"),8,INDEX('Сводный годовой график'!$C$1:$AR$4,MATCH($C$6,'Сводный годовой график'!$B$1:$B$4),MATCH(DATE($AV$1,MONTH($B$4),L$3),'Сводный годовой график'!$C$5:$AR$5)))</f>
        <v>0</v>
      </c>
      <c r="M6" s="92">
        <f ca="1">IF(AND(INDEX('Сводный годовой график'!$C$1:$AR$4,MATCH($C$6,'Сводный годовой график'!$B$1:$B$4),MATCH(DATE($AV$1,MONTH($B$4),M$3),'Сводный годовой график'!$C$5:$AR$5))&lt;&gt;12,INDIRECT(ADDRESS(ROW()+1,COLUMN()))="СП"),8,INDEX('Сводный годовой график'!$C$1:$AR$4,MATCH($C$6,'Сводный годовой график'!$B$1:$B$4),MATCH(DATE($AV$1,MONTH($B$4),M$3),'Сводный годовой график'!$C$5:$AR$5)))</f>
        <v>4</v>
      </c>
      <c r="N6" s="92">
        <f ca="1">IF(AND(INDEX('Сводный годовой график'!$C$1:$AR$4,MATCH($C$6,'Сводный годовой график'!$B$1:$B$4),MATCH(DATE($AV$1,MONTH($B$4),N$3),'Сводный годовой график'!$C$5:$AR$5))&lt;&gt;12,INDIRECT(ADDRESS(ROW()+1,COLUMN()))="СП"),8,INDEX('Сводный годовой график'!$C$1:$AR$4,MATCH($C$6,'Сводный годовой график'!$B$1:$B$4),MATCH(DATE($AV$1,MONTH($B$4),N$3),'Сводный годовой график'!$C$5:$AR$5)))</f>
        <v>8</v>
      </c>
      <c r="O6" s="92">
        <f ca="1">IF(AND(INDEX('Сводный годовой график'!$C$1:$AR$4,MATCH($C$6,'Сводный годовой график'!$B$1:$B$4),MATCH(DATE($AV$1,MONTH($B$4),O$3),'Сводный годовой график'!$C$5:$AR$5))&lt;&gt;12,INDIRECT(ADDRESS(ROW()+1,COLUMN()))="СП"),8,INDEX('Сводный годовой график'!$C$1:$AR$4,MATCH($C$6,'Сводный годовой график'!$B$1:$B$4),MATCH(DATE($AV$1,MONTH($B$4),O$3),'Сводный годовой график'!$C$5:$AR$5)))</f>
        <v>12</v>
      </c>
      <c r="P6" s="92">
        <f ca="1">IF(AND(INDEX('Сводный годовой график'!$C$1:$AR$4,MATCH($C$6,'Сводный годовой график'!$B$1:$B$4),MATCH(DATE($AV$1,MONTH($B$4),P$3),'Сводный годовой график'!$C$5:$AR$5))&lt;&gt;12,INDIRECT(ADDRESS(ROW()+1,COLUMN()))="СП"),8,INDEX('Сводный годовой график'!$C$1:$AR$4,MATCH($C$6,'Сводный годовой график'!$B$1:$B$4),MATCH(DATE($AV$1,MONTH($B$4),P$3),'Сводный годовой график'!$C$5:$AR$5)))</f>
        <v>4</v>
      </c>
      <c r="Q6" s="92">
        <f ca="1">IF(AND(INDEX('Сводный годовой график'!$C$1:$AR$4,MATCH($C$6,'Сводный годовой график'!$B$1:$B$4),MATCH(DATE($AV$1,MONTH($B$4),Q$3),'Сводный годовой график'!$C$5:$AR$5))&lt;&gt;12,INDIRECT(ADDRESS(ROW()+1,COLUMN()))="СП"),8,INDEX('Сводный годовой график'!$C$1:$AR$4,MATCH($C$6,'Сводный годовой график'!$B$1:$B$4),MATCH(DATE($AV$1,MONTH($B$4),Q$3),'Сводный годовой график'!$C$5:$AR$5)))</f>
        <v>8</v>
      </c>
      <c r="R6" s="92">
        <f ca="1">IF(AND(INDEX('Сводный годовой график'!$C$1:$AR$4,MATCH($C$6,'Сводный годовой график'!$B$1:$B$4),MATCH(DATE($AV$1,MONTH($B$4),R$3),'Сводный годовой график'!$C$5:$AR$5))&lt;&gt;12,INDIRECT(ADDRESS(ROW()+1,COLUMN()))="СП"),8,INDEX('Сводный годовой график'!$C$1:$AR$4,MATCH($C$6,'Сводный годовой график'!$B$1:$B$4),MATCH(DATE($AV$1,MONTH($B$4),R$3),'Сводный годовой график'!$C$5:$AR$5)))</f>
        <v>12</v>
      </c>
      <c r="S6" s="92">
        <f ca="1">IF(AND(INDEX('Сводный годовой график'!$C$1:$AR$4,MATCH($C$6,'Сводный годовой график'!$B$1:$B$4),MATCH(DATE($AV$1,MONTH($B$4),S$3),'Сводный годовой график'!$C$5:$AR$5))&lt;&gt;12,INDIRECT(ADDRESS(ROW()+1,COLUMN()))="СП"),8,INDEX('Сводный годовой график'!$C$1:$AR$4,MATCH($C$6,'Сводный годовой график'!$B$1:$B$4),MATCH(DATE($AV$1,MONTH($B$4),S$3),'Сводный годовой график'!$C$5:$AR$5)))</f>
        <v>0</v>
      </c>
      <c r="T6" s="92">
        <f ca="1">IF(AND(INDEX('Сводный годовой график'!$C$1:$AR$4,MATCH($C$6,'Сводный годовой график'!$B$1:$B$4),MATCH(DATE($AV$1,MONTH($B$4),T$3),'Сводный годовой график'!$C$5:$AR$5))&lt;&gt;12,INDIRECT(ADDRESS(ROW()+1,COLUMN()))="СП"),8,INDEX('Сводный годовой график'!$C$1:$AR$4,MATCH($C$6,'Сводный годовой график'!$B$1:$B$4),MATCH(DATE($AV$1,MONTH($B$4),T$3),'Сводный годовой график'!$C$5:$AR$5)))</f>
        <v>0</v>
      </c>
      <c r="U6" s="92">
        <f ca="1">IF(AND(INDEX('Сводный годовой график'!$C$1:$AR$4,MATCH($C$6,'Сводный годовой график'!$B$1:$B$4),MATCH(DATE($AV$1,MONTH($B$4),U$3),'Сводный годовой график'!$C$5:$AR$5))&lt;&gt;12,INDIRECT(ADDRESS(ROW()+1,COLUMN()))="СП"),8,INDEX('Сводный годовой график'!$C$1:$AR$4,MATCH($C$6,'Сводный годовой график'!$B$1:$B$4),MATCH(DATE($AV$1,MONTH($B$4),U$3),'Сводный годовой график'!$C$5:$AR$5)))</f>
        <v>4</v>
      </c>
      <c r="V6" s="92">
        <f ca="1">IF(AND(INDEX('Сводный годовой график'!$C$1:$AR$4,MATCH($C$6,'Сводный годовой график'!$B$1:$B$4),MATCH(DATE($AV$1,MONTH($B$4),V$3),'Сводный годовой график'!$C$5:$AR$5))&lt;&gt;12,INDIRECT(ADDRESS(ROW()+1,COLUMN()))="СП"),8,INDEX('Сводный годовой график'!$C$1:$AR$4,MATCH($C$6,'Сводный годовой график'!$B$1:$B$4),MATCH(DATE($AV$1,MONTH($B$4),V$3),'Сводный годовой график'!$C$5:$AR$5)))</f>
        <v>8</v>
      </c>
      <c r="W6" s="92">
        <f ca="1">IF(AND(INDEX('Сводный годовой график'!$C$1:$AR$4,MATCH($C$6,'Сводный годовой график'!$B$1:$B$4),MATCH(DATE($AV$1,MONTH($B$4),W$3),'Сводный годовой график'!$C$5:$AR$5))&lt;&gt;12,INDIRECT(ADDRESS(ROW()+1,COLUMN()))="СП"),8,INDEX('Сводный годовой график'!$C$1:$AR$4,MATCH($C$6,'Сводный годовой график'!$B$1:$B$4),MATCH(DATE($AV$1,MONTH($B$4),W$3),'Сводный годовой график'!$C$5:$AR$5)))</f>
        <v>12</v>
      </c>
      <c r="X6" s="92">
        <f ca="1">IF(AND(INDEX('Сводный годовой график'!$C$1:$AR$4,MATCH($C$6,'Сводный годовой график'!$B$1:$B$4),MATCH(DATE($AV$1,MONTH($B$4),X$3),'Сводный годовой график'!$C$5:$AR$5))&lt;&gt;12,INDIRECT(ADDRESS(ROW()+1,COLUMN()))="СП"),8,INDEX('Сводный годовой график'!$C$1:$AR$4,MATCH($C$6,'Сводный годовой график'!$B$1:$B$4),MATCH(DATE($AV$1,MONTH($B$4),X$3),'Сводный годовой график'!$C$5:$AR$5)))</f>
        <v>4</v>
      </c>
      <c r="Y6" s="92">
        <f ca="1">IF(AND(INDEX('Сводный годовой график'!$C$1:$AR$4,MATCH($C$6,'Сводный годовой график'!$B$1:$B$4),MATCH(DATE($AV$1,MONTH($B$4),Y$3),'Сводный годовой график'!$C$5:$AR$5))&lt;&gt;12,INDIRECT(ADDRESS(ROW()+1,COLUMN()))="СП"),8,INDEX('Сводный годовой график'!$C$1:$AR$4,MATCH($C$6,'Сводный годовой график'!$B$1:$B$4),MATCH(DATE($AV$1,MONTH($B$4),Y$3),'Сводный годовой график'!$C$5:$AR$5)))</f>
        <v>8</v>
      </c>
      <c r="Z6" s="92">
        <f ca="1">IF(AND(INDEX('Сводный годовой график'!$C$1:$AR$4,MATCH($C$6,'Сводный годовой график'!$B$1:$B$4),MATCH(DATE($AV$1,MONTH($B$4),Z$3),'Сводный годовой график'!$C$5:$AR$5))&lt;&gt;12,INDIRECT(ADDRESS(ROW()+1,COLUMN()))="СП"),8,INDEX('Сводный годовой график'!$C$1:$AR$4,MATCH($C$6,'Сводный годовой график'!$B$1:$B$4),MATCH(DATE($AV$1,MONTH($B$4),Z$3),'Сводный годовой график'!$C$5:$AR$5)))</f>
        <v>12</v>
      </c>
      <c r="AA6" s="92">
        <f ca="1">IF(AND(INDEX('Сводный годовой график'!$C$1:$AR$4,MATCH($C$6,'Сводный годовой график'!$B$1:$B$4),MATCH(DATE($AV$1,MONTH($B$4),AA$3),'Сводный годовой график'!$C$5:$AR$5))&lt;&gt;12,INDIRECT(ADDRESS(ROW()+1,COLUMN()))="СП"),8,INDEX('Сводный годовой график'!$C$1:$AR$4,MATCH($C$6,'Сводный годовой график'!$B$1:$B$4),MATCH(DATE($AV$1,MONTH($B$4),AA$3),'Сводный годовой график'!$C$5:$AR$5)))</f>
        <v>0</v>
      </c>
      <c r="AB6" s="92">
        <f ca="1">IF(AND(INDEX('Сводный годовой график'!$C$1:$AR$4,MATCH($C$6,'Сводный годовой график'!$B$1:$B$4),MATCH(DATE($AV$1,MONTH($B$4),AB$3),'Сводный годовой график'!$C$5:$AR$5))&lt;&gt;12,INDIRECT(ADDRESS(ROW()+1,COLUMN()))="СП"),8,INDEX('Сводный годовой график'!$C$1:$AR$4,MATCH($C$6,'Сводный годовой график'!$B$1:$B$4),MATCH(DATE($AV$1,MONTH($B$4),AB$3),'Сводный годовой график'!$C$5:$AR$5)))</f>
        <v>0</v>
      </c>
      <c r="AC6" s="92">
        <f ca="1">IF(AND(INDEX('Сводный годовой график'!$C$1:$AR$4,MATCH($C$6,'Сводный годовой график'!$B$1:$B$4),MATCH(DATE($AV$1,MONTH($B$4),AC$3),'Сводный годовой график'!$C$5:$AR$5))&lt;&gt;12,INDIRECT(ADDRESS(ROW()+1,COLUMN()))="СП"),8,INDEX('Сводный годовой график'!$C$1:$AR$4,MATCH($C$6,'Сводный годовой график'!$B$1:$B$4),MATCH(DATE($AV$1,MONTH($B$4),AC$3),'Сводный годовой график'!$C$5:$AR$5)))</f>
        <v>4</v>
      </c>
      <c r="AD6" s="92">
        <f ca="1">IF(AND(INDEX('Сводный годовой график'!$C$1:$AR$4,MATCH($C$6,'Сводный годовой график'!$B$1:$B$4),MATCH(DATE($AV$1,MONTH($B$4),AD$3),'Сводный годовой график'!$C$5:$AR$5))&lt;&gt;12,INDIRECT(ADDRESS(ROW()+1,COLUMN()))="СП"),8,INDEX('Сводный годовой график'!$C$1:$AR$4,MATCH($C$6,'Сводный годовой график'!$B$1:$B$4),MATCH(DATE($AV$1,MONTH($B$4),AD$3),'Сводный годовой график'!$C$5:$AR$5)))</f>
        <v>8</v>
      </c>
      <c r="AE6" s="92">
        <f ca="1">IF(AND(INDEX('Сводный годовой график'!$C$1:$AR$4,MATCH($C$6,'Сводный годовой график'!$B$1:$B$4),MATCH(DATE($AV$1,MONTH($B$4),AE$3),'Сводный годовой график'!$C$5:$AR$5))&lt;&gt;12,INDIRECT(ADDRESS(ROW()+1,COLUMN()))="СП"),8,INDEX('Сводный годовой график'!$C$1:$AR$4,MATCH($C$6,'Сводный годовой график'!$B$1:$B$4),MATCH(DATE($AV$1,MONTH($B$4),AE$3),'Сводный годовой график'!$C$5:$AR$5)))</f>
        <v>12</v>
      </c>
      <c r="AF6" s="92">
        <f ca="1">IF(AND(INDEX('Сводный годовой график'!$C$1:$AR$4,MATCH($C$6,'Сводный годовой график'!$B$1:$B$4),MATCH(DATE($AV$1,MONTH($B$4),AF$3),'Сводный годовой график'!$C$5:$AR$5))&lt;&gt;12,INDIRECT(ADDRESS(ROW()+1,COLUMN()))="СП"),8,INDEX('Сводный годовой график'!$C$1:$AR$4,MATCH($C$6,'Сводный годовой график'!$B$1:$B$4),MATCH(DATE($AV$1,MONTH($B$4),AF$3),'Сводный годовой график'!$C$5:$AR$5)))</f>
        <v>4</v>
      </c>
      <c r="AG6" s="92">
        <f ca="1">IF(AND(INDEX('Сводный годовой график'!$C$1:$AR$4,MATCH($C$6,'Сводный годовой график'!$B$1:$B$4),MATCH(DATE($AV$1,MONTH($B$4),AG$3),'Сводный годовой график'!$C$5:$AR$5))&lt;&gt;12,INDIRECT(ADDRESS(ROW()+1,COLUMN()))="СП"),8,INDEX('Сводный годовой график'!$C$1:$AR$4,MATCH($C$6,'Сводный годовой график'!$B$1:$B$4),MATCH(DATE($AV$1,MONTH($B$4),AG$3),'Сводный годовой график'!$C$5:$AR$5)))</f>
        <v>8</v>
      </c>
      <c r="AH6" s="92">
        <f ca="1">IF(AND(INDEX('Сводный годовой график'!$C$1:$AR$4,MATCH($C$6,'Сводный годовой график'!$B$1:$B$4),MATCH(DATE($AV$1,MONTH($B$4),AH$3),'Сводный годовой график'!$C$5:$AR$5))&lt;&gt;12,INDIRECT(ADDRESS(ROW()+1,COLUMN()))="СП"),8,INDEX('Сводный годовой график'!$C$1:$AR$4,MATCH($C$6,'Сводный годовой график'!$B$1:$B$4),MATCH(DATE($AV$1,MONTH($B$4),AH$3),'Сводный годовой график'!$C$5:$AR$5)))</f>
        <v>12</v>
      </c>
      <c r="AI6" s="97">
        <f ca="1">IF(AND(INDEX('Сводный годовой график'!$C$1:$AR$4,MATCH($C$6,'Сводный годовой график'!$B$1:$B$4),MATCH(DATE($AV$1,MONTH($B$4),AI$3),'Сводный годовой график'!$C$5:$AR$5))&lt;&gt;12,INDIRECT(ADDRESS(ROW()+1,COLUMN()))="СП"),8,INDEX('Сводный годовой график'!$C$1:$AR$4,MATCH($C$6,'Сводный годовой график'!$B$1:$B$4),MATCH(DATE($AV$1,MONTH($B$4),AI$3),'Сводный годовой график'!$C$5:$AR$5)))</f>
        <v>0</v>
      </c>
      <c r="AJ6" s="206"/>
      <c r="AK6" s="209">
        <f>$AJ$4-SUM(AY6:CC7)</f>
        <v>136</v>
      </c>
      <c r="AL6" s="209">
        <f t="shared" ref="AL6" ca="1" si="1">SUM(E6:AI7)</f>
        <v>192</v>
      </c>
      <c r="AM6" s="209">
        <f t="shared" ref="AM6" ca="1" si="2">SUM(E6:L6)</f>
        <v>48</v>
      </c>
      <c r="AN6" s="211">
        <f t="shared" ref="AN6" ca="1" si="3">-AM6-AK6+AL6</f>
        <v>8</v>
      </c>
      <c r="AO6" s="211">
        <v>0</v>
      </c>
      <c r="AP6" s="211">
        <f t="shared" ref="AP6" ca="1" si="4">AN6-AO6</f>
        <v>8</v>
      </c>
      <c r="AQ6" s="209">
        <v>0</v>
      </c>
      <c r="AR6" s="210">
        <v>1</v>
      </c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  <c r="DH6" s="59"/>
      <c r="DI6" s="59"/>
      <c r="DJ6" s="59"/>
      <c r="DK6" s="59"/>
      <c r="DL6" s="59"/>
      <c r="DM6" s="59"/>
      <c r="DN6" s="59"/>
      <c r="DO6" s="59"/>
    </row>
    <row r="7" spans="2:119" ht="16.5" thickBot="1" x14ac:dyDescent="0.3">
      <c r="B7" s="201"/>
      <c r="C7" s="197"/>
      <c r="D7" s="82">
        <v>4</v>
      </c>
      <c r="E7" s="96" t="str">
        <f>IF(INDEX($CK$4:$DO$123,ROW()-3,E$3)=0,"","СП")</f>
        <v/>
      </c>
      <c r="F7" s="92" t="str">
        <f>IF(INDEX($CK$4:$DO$123,ROW()-3,F$3)=0,"","СП")</f>
        <v>СП</v>
      </c>
      <c r="G7" s="92" t="str">
        <f>IF(INDEX($CK$4:$DO$123,ROW()-3,G$3)=0,"","СП")</f>
        <v/>
      </c>
      <c r="H7" s="92" t="str">
        <f>IF(INDEX($CK$4:$DO$123,ROW()-3,H$3)=0,"","СП")</f>
        <v/>
      </c>
      <c r="I7" s="92" t="str">
        <f>IF(INDEX($CK$4:$DO$123,ROW()-3,I$3)=0,"","СП")</f>
        <v/>
      </c>
      <c r="J7" s="92" t="str">
        <f>IF(INDEX($CK$4:$DO$123,ROW()-3,J$3)=0,"","СП")</f>
        <v/>
      </c>
      <c r="K7" s="92" t="str">
        <f>IF(INDEX($CK$4:$DO$123,ROW()-3,K$3)=0,"","СП")</f>
        <v/>
      </c>
      <c r="L7" s="92" t="str">
        <f>IF(INDEX($CK$4:$DO$123,ROW()-3,L$3)=0,"","СП")</f>
        <v/>
      </c>
      <c r="M7" s="92" t="str">
        <f>IF(INDEX($CK$4:$DO$123,ROW()-3,M$3)=0,"","СП")</f>
        <v/>
      </c>
      <c r="N7" s="92" t="str">
        <f>IF(INDEX($CK$4:$DO$123,ROW()-3,N$3)=0,"","СП")</f>
        <v/>
      </c>
      <c r="O7" s="92" t="str">
        <f>IF(INDEX($CK$4:$DO$123,ROW()-3,O$3)=0,"","СП")</f>
        <v/>
      </c>
      <c r="P7" s="92" t="str">
        <f>IF(INDEX($CK$4:$DO$123,ROW()-3,P$3)=0,"","СП")</f>
        <v/>
      </c>
      <c r="Q7" s="92" t="str">
        <f>IF(INDEX($CK$4:$DO$123,ROW()-3,Q$3)=0,"","СП")</f>
        <v/>
      </c>
      <c r="R7" s="92" t="str">
        <f>IF(INDEX($CK$4:$DO$123,ROW()-3,R$3)=0,"","СП")</f>
        <v/>
      </c>
      <c r="S7" s="92" t="str">
        <f>IF(INDEX($CK$4:$DO$123,ROW()-3,S$3)=0,"","СП")</f>
        <v/>
      </c>
      <c r="T7" s="92" t="str">
        <f>IF(INDEX($CK$4:$DO$123,ROW()-3,T$3)=0,"","СП")</f>
        <v/>
      </c>
      <c r="U7" s="92" t="str">
        <f>IF(INDEX($CK$4:$DO$123,ROW()-3,U$3)=0,"","СП")</f>
        <v/>
      </c>
      <c r="V7" s="92" t="str">
        <f>IF(INDEX($CK$4:$DO$123,ROW()-3,V$3)=0,"","СП")</f>
        <v/>
      </c>
      <c r="W7" s="92" t="str">
        <f>IF(INDEX($CK$4:$DO$123,ROW()-3,W$3)=0,"","СП")</f>
        <v/>
      </c>
      <c r="X7" s="92" t="str">
        <f>IF(INDEX($CK$4:$DO$123,ROW()-3,X$3)=0,"","СП")</f>
        <v/>
      </c>
      <c r="Y7" s="92" t="str">
        <f>IF(INDEX($CK$4:$DO$123,ROW()-3,Y$3)=0,"","СП")</f>
        <v/>
      </c>
      <c r="Z7" s="92" t="str">
        <f>IF(INDEX($CK$4:$DO$123,ROW()-3,Z$3)=0,"","СП")</f>
        <v/>
      </c>
      <c r="AA7" s="92" t="str">
        <f>IF(INDEX($CK$4:$DO$123,ROW()-3,AA$3)=0,"","СП")</f>
        <v/>
      </c>
      <c r="AB7" s="92" t="str">
        <f>IF(INDEX($CK$4:$DO$123,ROW()-3,AB$3)=0,"","СП")</f>
        <v/>
      </c>
      <c r="AC7" s="92" t="str">
        <f>IF(INDEX($CK$4:$DO$123,ROW()-3,AC$3)=0,"","СП")</f>
        <v/>
      </c>
      <c r="AD7" s="92" t="str">
        <f>IF(INDEX($CK$4:$DO$123,ROW()-3,AD$3)=0,"","СП")</f>
        <v/>
      </c>
      <c r="AE7" s="92" t="str">
        <f>IF(INDEX($CK$4:$DO$123,ROW()-3,AE$3)=0,"","СП")</f>
        <v/>
      </c>
      <c r="AF7" s="92" t="str">
        <f>IF(INDEX($CK$4:$DO$123,ROW()-3,AF$3)=0,"","СП")</f>
        <v/>
      </c>
      <c r="AG7" s="92" t="str">
        <f>IF(INDEX($CK$4:$DO$123,ROW()-3,AG$3)=0,"","СП")</f>
        <v/>
      </c>
      <c r="AH7" s="92" t="str">
        <f>IF(INDEX($CK$4:$DO$123,ROW()-3,AH$3)=0,"","СП")</f>
        <v/>
      </c>
      <c r="AI7" s="97" t="str">
        <f>IF(INDEX($CK$4:$DO$123,ROW()-3,AI$3)=0,"","СП")</f>
        <v/>
      </c>
      <c r="AJ7" s="206"/>
      <c r="AK7" s="209"/>
      <c r="AL7" s="209"/>
      <c r="AM7" s="209"/>
      <c r="AN7" s="211"/>
      <c r="AO7" s="211"/>
      <c r="AP7" s="211"/>
      <c r="AQ7" s="209"/>
      <c r="AR7" s="210"/>
      <c r="CK7" s="58">
        <f>IF(DAY(INDEX('Сводный годовой график'!$BA$4:$BL$14,$C6,MONTH($B$4)))=E$3,1,0)</f>
        <v>0</v>
      </c>
      <c r="CL7" s="58">
        <f>IF(DAY(INDEX('Сводный годовой график'!$BA$4:$BL$14,$C6,MONTH($B$4)))=F$3,1,0)</f>
        <v>1</v>
      </c>
      <c r="CM7" s="58">
        <f>IF(DAY(INDEX('Сводный годовой график'!$BA$4:$BL$14,$C6,MONTH($B$4)))=G$3,1,0)</f>
        <v>0</v>
      </c>
      <c r="CN7" s="58">
        <f>IF(DAY(INDEX('Сводный годовой график'!$BA$4:$BL$14,$C6,MONTH($B$4)))=H$3,1,0)</f>
        <v>0</v>
      </c>
      <c r="CO7" s="58">
        <f>IF(DAY(INDEX('Сводный годовой график'!$BA$4:$BL$14,$C6,MONTH($B$4)))=I$3,1,0)</f>
        <v>0</v>
      </c>
      <c r="CP7" s="58">
        <f>IF(DAY(INDEX('Сводный годовой график'!$BA$4:$BL$14,$C6,MONTH($B$4)))=J$3,1,0)</f>
        <v>0</v>
      </c>
      <c r="CQ7" s="58">
        <f>IF(DAY(INDEX('Сводный годовой график'!$BA$4:$BL$14,$C6,MONTH($B$4)))=K$3,1,0)</f>
        <v>0</v>
      </c>
      <c r="CR7" s="58">
        <f>IF(DAY(INDEX('Сводный годовой график'!$BA$4:$BL$14,$C6,MONTH($B$4)))=L$3,1,0)</f>
        <v>0</v>
      </c>
      <c r="CS7" s="58">
        <f>IF(DAY(INDEX('Сводный годовой график'!$BA$4:$BL$14,$C6,MONTH($B$4)))=M$3,1,0)</f>
        <v>0</v>
      </c>
      <c r="CT7" s="58">
        <f>IF(DAY(INDEX('Сводный годовой график'!$BA$4:$BL$14,$C6,MONTH($B$4)))=N$3,1,0)</f>
        <v>0</v>
      </c>
      <c r="CU7" s="58">
        <f>IF(DAY(INDEX('Сводный годовой график'!$BA$4:$BL$14,$C6,MONTH($B$4)))=O$3,1,0)</f>
        <v>0</v>
      </c>
      <c r="CV7" s="58">
        <f>IF(DAY(INDEX('Сводный годовой график'!$BA$4:$BL$14,$C6,MONTH($B$4)))=P$3,1,0)</f>
        <v>0</v>
      </c>
      <c r="CW7" s="58">
        <f>IF(DAY(INDEX('Сводный годовой график'!$BA$4:$BL$14,$C6,MONTH($B$4)))=Q$3,1,0)</f>
        <v>0</v>
      </c>
      <c r="CX7" s="58">
        <f>IF(DAY(INDEX('Сводный годовой график'!$BA$4:$BL$14,$C6,MONTH($B$4)))=R$3,1,0)</f>
        <v>0</v>
      </c>
      <c r="CY7" s="58">
        <f>IF(DAY(INDEX('Сводный годовой график'!$BA$4:$BL$14,$C6,MONTH($B$4)))=S$3,1,0)</f>
        <v>0</v>
      </c>
      <c r="CZ7" s="58">
        <f>IF(DAY(INDEX('Сводный годовой график'!$BA$4:$BL$14,$C6,MONTH($B$4)))=T$3,1,0)</f>
        <v>0</v>
      </c>
      <c r="DA7" s="58">
        <f>IF(DAY(INDEX('Сводный годовой график'!$BA$4:$BL$14,$C6,MONTH($B$4)))=U$3,1,0)</f>
        <v>0</v>
      </c>
      <c r="DB7" s="58">
        <f>IF(DAY(INDEX('Сводный годовой график'!$BA$4:$BL$14,$C6,MONTH($B$4)))=V$3,1,0)</f>
        <v>0</v>
      </c>
      <c r="DC7" s="58">
        <f>IF(DAY(INDEX('Сводный годовой график'!$BA$4:$BL$14,$C6,MONTH($B$4)))=W$3,1,0)</f>
        <v>0</v>
      </c>
      <c r="DD7" s="58">
        <f>IF(DAY(INDEX('Сводный годовой график'!$BA$4:$BL$14,$C6,MONTH($B$4)))=X$3,1,0)</f>
        <v>0</v>
      </c>
      <c r="DE7" s="58">
        <f>IF(DAY(INDEX('Сводный годовой график'!$BA$4:$BL$14,$C6,MONTH($B$4)))=Y$3,1,0)</f>
        <v>0</v>
      </c>
      <c r="DF7" s="58">
        <f>IF(DAY(INDEX('Сводный годовой график'!$BA$4:$BL$14,$C6,MONTH($B$4)))=Z$3,1,0)</f>
        <v>0</v>
      </c>
      <c r="DG7" s="58">
        <f>IF(DAY(INDEX('Сводный годовой график'!$BA$4:$BL$14,$C6,MONTH($B$4)))=AA$3,1,0)</f>
        <v>0</v>
      </c>
      <c r="DH7" s="58">
        <f>IF(DAY(INDEX('Сводный годовой график'!$BA$4:$BL$14,$C6,MONTH($B$4)))=AB$3,1,0)</f>
        <v>0</v>
      </c>
      <c r="DI7" s="58">
        <f>IF(DAY(INDEX('Сводный годовой график'!$BA$4:$BL$14,$C6,MONTH($B$4)))=AC$3,1,0)</f>
        <v>0</v>
      </c>
      <c r="DJ7" s="58">
        <f>IF(DAY(INDEX('Сводный годовой график'!$BA$4:$BL$14,$C6,MONTH($B$4)))=AD$3,1,0)</f>
        <v>0</v>
      </c>
      <c r="DK7" s="58">
        <f>IF(DAY(INDEX('Сводный годовой график'!$BA$4:$BL$14,$C6,MONTH($B$4)))=AE$3,1,0)</f>
        <v>0</v>
      </c>
      <c r="DL7" s="58">
        <f>IF(DAY(INDEX('Сводный годовой график'!$BA$4:$BL$14,$C6,MONTH($B$4)))=AF$3,1,0)</f>
        <v>0</v>
      </c>
      <c r="DM7" s="58">
        <f>IF(DAY(INDEX('Сводный годовой график'!$BA$4:$BL$14,$C6,MONTH($B$4)))=AG$3,1,0)</f>
        <v>0</v>
      </c>
      <c r="DN7" s="58">
        <f>IF(DAY(INDEX('Сводный годовой график'!$BA$4:$BL$14,$C6,MONTH($B$4)))=AH$3,1,0)</f>
        <v>0</v>
      </c>
      <c r="DO7" s="58">
        <f>IF(DAY(INDEX('Сводный годовой график'!$BA$4:$BL$14,$C6,MONTH($B$4)))=AI$3,1,0)</f>
        <v>0</v>
      </c>
    </row>
    <row r="8" spans="2:119" ht="16.5" thickBot="1" x14ac:dyDescent="0.3">
      <c r="B8" s="201"/>
      <c r="C8" s="196">
        <v>3</v>
      </c>
      <c r="D8" s="81">
        <v>5</v>
      </c>
      <c r="E8" s="96">
        <f ca="1">IF(AND(INDEX('Сводный годовой график'!$C$1:$AR$4,MATCH($C$8,'Сводный годовой график'!$B$1:$B$4),MATCH(DATE($AV$1,MONTH($B$4),E$3),'Сводный годовой график'!$C$5:$AR$5))&lt;&gt;12,INDIRECT(ADDRESS(ROW()+1,COLUMN()))="СП"),8,INDEX('Сводный годовой график'!$C$1:$AR$4,MATCH($C$8,'Сводный годовой график'!$B$1:$B$4),MATCH(DATE($AV$1,MONTH($B$4),E$3),'Сводный годовой график'!$C$5:$AR$5)))</f>
        <v>8</v>
      </c>
      <c r="F8" s="92">
        <f ca="1">IF(AND(INDEX('Сводный годовой график'!$C$1:$AR$4,MATCH($C$8,'Сводный годовой график'!$B$1:$B$4),MATCH(DATE($AV$1,MONTH($B$4),F$3),'Сводный годовой график'!$C$5:$AR$5))&lt;&gt;12,INDIRECT(ADDRESS(ROW()+1,COLUMN()))="СП"),8,INDEX('Сводный годовой график'!$C$1:$AR$4,MATCH($C$8,'Сводный годовой график'!$B$1:$B$4),MATCH(DATE($AV$1,MONTH($B$4),F$3),'Сводный годовой график'!$C$5:$AR$5)))</f>
        <v>12</v>
      </c>
      <c r="G8" s="92">
        <f ca="1">IF(AND(INDEX('Сводный годовой график'!$C$1:$AR$4,MATCH($C$8,'Сводный годовой график'!$B$1:$B$4),MATCH(DATE($AV$1,MONTH($B$4),G$3),'Сводный годовой график'!$C$5:$AR$5))&lt;&gt;12,INDIRECT(ADDRESS(ROW()+1,COLUMN()))="СП"),8,INDEX('Сводный годовой график'!$C$1:$AR$4,MATCH($C$8,'Сводный годовой график'!$B$1:$B$4),MATCH(DATE($AV$1,MONTH($B$4),G$3),'Сводный годовой график'!$C$5:$AR$5)))</f>
        <v>8</v>
      </c>
      <c r="H8" s="92">
        <f ca="1">IF(AND(INDEX('Сводный годовой график'!$C$1:$AR$4,MATCH($C$8,'Сводный годовой график'!$B$1:$B$4),MATCH(DATE($AV$1,MONTH($B$4),H$3),'Сводный годовой график'!$C$5:$AR$5))&lt;&gt;12,INDIRECT(ADDRESS(ROW()+1,COLUMN()))="СП"),8,INDEX('Сводный годовой график'!$C$1:$AR$4,MATCH($C$8,'Сводный годовой график'!$B$1:$B$4),MATCH(DATE($AV$1,MONTH($B$4),H$3),'Сводный годовой график'!$C$5:$AR$5)))</f>
        <v>0</v>
      </c>
      <c r="I8" s="92">
        <f ca="1">IF(AND(INDEX('Сводный годовой график'!$C$1:$AR$4,MATCH($C$8,'Сводный годовой график'!$B$1:$B$4),MATCH(DATE($AV$1,MONTH($B$4),I$3),'Сводный годовой график'!$C$5:$AR$5))&lt;&gt;12,INDIRECT(ADDRESS(ROW()+1,COLUMN()))="СП"),8,INDEX('Сводный годовой график'!$C$1:$AR$4,MATCH($C$8,'Сводный годовой график'!$B$1:$B$4),MATCH(DATE($AV$1,MONTH($B$4),I$3),'Сводный годовой график'!$C$5:$AR$5)))</f>
        <v>4</v>
      </c>
      <c r="J8" s="92">
        <f ca="1">IF(AND(INDEX('Сводный годовой график'!$C$1:$AR$4,MATCH($C$8,'Сводный годовой график'!$B$1:$B$4),MATCH(DATE($AV$1,MONTH($B$4),J$3),'Сводный годовой график'!$C$5:$AR$5))&lt;&gt;12,INDIRECT(ADDRESS(ROW()+1,COLUMN()))="СП"),8,INDEX('Сводный годовой график'!$C$1:$AR$4,MATCH($C$8,'Сводный годовой график'!$B$1:$B$4),MATCH(DATE($AV$1,MONTH($B$4),J$3),'Сводный годовой график'!$C$5:$AR$5)))</f>
        <v>8</v>
      </c>
      <c r="K8" s="92">
        <f ca="1">IF(AND(INDEX('Сводный годовой график'!$C$1:$AR$4,MATCH($C$8,'Сводный годовой график'!$B$1:$B$4),MATCH(DATE($AV$1,MONTH($B$4),K$3),'Сводный годовой график'!$C$5:$AR$5))&lt;&gt;12,INDIRECT(ADDRESS(ROW()+1,COLUMN()))="СП"),8,INDEX('Сводный годовой график'!$C$1:$AR$4,MATCH($C$8,'Сводный годовой график'!$B$1:$B$4),MATCH(DATE($AV$1,MONTH($B$4),K$3),'Сводный годовой график'!$C$5:$AR$5)))</f>
        <v>12</v>
      </c>
      <c r="L8" s="92">
        <f ca="1">IF(AND(INDEX('Сводный годовой график'!$C$1:$AR$4,MATCH($C$8,'Сводный годовой график'!$B$1:$B$4),MATCH(DATE($AV$1,MONTH($B$4),L$3),'Сводный годовой график'!$C$5:$AR$5))&lt;&gt;12,INDIRECT(ADDRESS(ROW()+1,COLUMN()))="СП"),8,INDEX('Сводный годовой график'!$C$1:$AR$4,MATCH($C$8,'Сводный годовой график'!$B$1:$B$4),MATCH(DATE($AV$1,MONTH($B$4),L$3),'Сводный годовой график'!$C$5:$AR$5)))</f>
        <v>4</v>
      </c>
      <c r="M8" s="92">
        <f ca="1">IF(AND(INDEX('Сводный годовой график'!$C$1:$AR$4,MATCH($C$8,'Сводный годовой график'!$B$1:$B$4),MATCH(DATE($AV$1,MONTH($B$4),M$3),'Сводный годовой график'!$C$5:$AR$5))&lt;&gt;12,INDIRECT(ADDRESS(ROW()+1,COLUMN()))="СП"),8,INDEX('Сводный годовой график'!$C$1:$AR$4,MATCH($C$8,'Сводный годовой график'!$B$1:$B$4),MATCH(DATE($AV$1,MONTH($B$4),M$3),'Сводный годовой график'!$C$5:$AR$5)))</f>
        <v>8</v>
      </c>
      <c r="N8" s="92">
        <f ca="1">IF(AND(INDEX('Сводный годовой график'!$C$1:$AR$4,MATCH($C$8,'Сводный годовой график'!$B$1:$B$4),MATCH(DATE($AV$1,MONTH($B$4),N$3),'Сводный годовой график'!$C$5:$AR$5))&lt;&gt;12,INDIRECT(ADDRESS(ROW()+1,COLUMN()))="СП"),8,INDEX('Сводный годовой график'!$C$1:$AR$4,MATCH($C$8,'Сводный годовой график'!$B$1:$B$4),MATCH(DATE($AV$1,MONTH($B$4),N$3),'Сводный годовой график'!$C$5:$AR$5)))</f>
        <v>12</v>
      </c>
      <c r="O8" s="92">
        <f ca="1">IF(AND(INDEX('Сводный годовой график'!$C$1:$AR$4,MATCH($C$8,'Сводный годовой график'!$B$1:$B$4),MATCH(DATE($AV$1,MONTH($B$4),O$3),'Сводный годовой график'!$C$5:$AR$5))&lt;&gt;12,INDIRECT(ADDRESS(ROW()+1,COLUMN()))="СП"),8,INDEX('Сводный годовой график'!$C$1:$AR$4,MATCH($C$8,'Сводный годовой график'!$B$1:$B$4),MATCH(DATE($AV$1,MONTH($B$4),O$3),'Сводный годовой график'!$C$5:$AR$5)))</f>
        <v>0</v>
      </c>
      <c r="P8" s="92">
        <f ca="1">IF(AND(INDEX('Сводный годовой график'!$C$1:$AR$4,MATCH($C$8,'Сводный годовой график'!$B$1:$B$4),MATCH(DATE($AV$1,MONTH($B$4),P$3),'Сводный годовой график'!$C$5:$AR$5))&lt;&gt;12,INDIRECT(ADDRESS(ROW()+1,COLUMN()))="СП"),8,INDEX('Сводный годовой график'!$C$1:$AR$4,MATCH($C$8,'Сводный годовой график'!$B$1:$B$4),MATCH(DATE($AV$1,MONTH($B$4),P$3),'Сводный годовой график'!$C$5:$AR$5)))</f>
        <v>0</v>
      </c>
      <c r="Q8" s="92">
        <f ca="1">IF(AND(INDEX('Сводный годовой график'!$C$1:$AR$4,MATCH($C$8,'Сводный годовой график'!$B$1:$B$4),MATCH(DATE($AV$1,MONTH($B$4),Q$3),'Сводный годовой график'!$C$5:$AR$5))&lt;&gt;12,INDIRECT(ADDRESS(ROW()+1,COLUMN()))="СП"),8,INDEX('Сводный годовой график'!$C$1:$AR$4,MATCH($C$8,'Сводный годовой график'!$B$1:$B$4),MATCH(DATE($AV$1,MONTH($B$4),Q$3),'Сводный годовой график'!$C$5:$AR$5)))</f>
        <v>4</v>
      </c>
      <c r="R8" s="92">
        <f ca="1">IF(AND(INDEX('Сводный годовой график'!$C$1:$AR$4,MATCH($C$8,'Сводный годовой график'!$B$1:$B$4),MATCH(DATE($AV$1,MONTH($B$4),R$3),'Сводный годовой график'!$C$5:$AR$5))&lt;&gt;12,INDIRECT(ADDRESS(ROW()+1,COLUMN()))="СП"),8,INDEX('Сводный годовой график'!$C$1:$AR$4,MATCH($C$8,'Сводный годовой график'!$B$1:$B$4),MATCH(DATE($AV$1,MONTH($B$4),R$3),'Сводный годовой график'!$C$5:$AR$5)))</f>
        <v>8</v>
      </c>
      <c r="S8" s="92">
        <f ca="1">IF(AND(INDEX('Сводный годовой график'!$C$1:$AR$4,MATCH($C$8,'Сводный годовой график'!$B$1:$B$4),MATCH(DATE($AV$1,MONTH($B$4),S$3),'Сводный годовой график'!$C$5:$AR$5))&lt;&gt;12,INDIRECT(ADDRESS(ROW()+1,COLUMN()))="СП"),8,INDEX('Сводный годовой график'!$C$1:$AR$4,MATCH($C$8,'Сводный годовой график'!$B$1:$B$4),MATCH(DATE($AV$1,MONTH($B$4),S$3),'Сводный годовой график'!$C$5:$AR$5)))</f>
        <v>12</v>
      </c>
      <c r="T8" s="92">
        <f ca="1">IF(AND(INDEX('Сводный годовой график'!$C$1:$AR$4,MATCH($C$8,'Сводный годовой график'!$B$1:$B$4),MATCH(DATE($AV$1,MONTH($B$4),T$3),'Сводный годовой график'!$C$5:$AR$5))&lt;&gt;12,INDIRECT(ADDRESS(ROW()+1,COLUMN()))="СП"),8,INDEX('Сводный годовой график'!$C$1:$AR$4,MATCH($C$8,'Сводный годовой график'!$B$1:$B$4),MATCH(DATE($AV$1,MONTH($B$4),T$3),'Сводный годовой график'!$C$5:$AR$5)))</f>
        <v>4</v>
      </c>
      <c r="U8" s="92">
        <f ca="1">IF(AND(INDEX('Сводный годовой график'!$C$1:$AR$4,MATCH($C$8,'Сводный годовой график'!$B$1:$B$4),MATCH(DATE($AV$1,MONTH($B$4),U$3),'Сводный годовой график'!$C$5:$AR$5))&lt;&gt;12,INDIRECT(ADDRESS(ROW()+1,COLUMN()))="СП"),8,INDEX('Сводный годовой график'!$C$1:$AR$4,MATCH($C$8,'Сводный годовой график'!$B$1:$B$4),MATCH(DATE($AV$1,MONTH($B$4),U$3),'Сводный годовой график'!$C$5:$AR$5)))</f>
        <v>8</v>
      </c>
      <c r="V8" s="92">
        <f ca="1">IF(AND(INDEX('Сводный годовой график'!$C$1:$AR$4,MATCH($C$8,'Сводный годовой график'!$B$1:$B$4),MATCH(DATE($AV$1,MONTH($B$4),V$3),'Сводный годовой график'!$C$5:$AR$5))&lt;&gt;12,INDIRECT(ADDRESS(ROW()+1,COLUMN()))="СП"),8,INDEX('Сводный годовой график'!$C$1:$AR$4,MATCH($C$8,'Сводный годовой график'!$B$1:$B$4),MATCH(DATE($AV$1,MONTH($B$4),V$3),'Сводный годовой график'!$C$5:$AR$5)))</f>
        <v>12</v>
      </c>
      <c r="W8" s="92">
        <f ca="1">IF(AND(INDEX('Сводный годовой график'!$C$1:$AR$4,MATCH($C$8,'Сводный годовой график'!$B$1:$B$4),MATCH(DATE($AV$1,MONTH($B$4),W$3),'Сводный годовой график'!$C$5:$AR$5))&lt;&gt;12,INDIRECT(ADDRESS(ROW()+1,COLUMN()))="СП"),8,INDEX('Сводный годовой график'!$C$1:$AR$4,MATCH($C$8,'Сводный годовой график'!$B$1:$B$4),MATCH(DATE($AV$1,MONTH($B$4),W$3),'Сводный годовой график'!$C$5:$AR$5)))</f>
        <v>0</v>
      </c>
      <c r="X8" s="92">
        <f ca="1">IF(AND(INDEX('Сводный годовой график'!$C$1:$AR$4,MATCH($C$8,'Сводный годовой график'!$B$1:$B$4),MATCH(DATE($AV$1,MONTH($B$4),X$3),'Сводный годовой график'!$C$5:$AR$5))&lt;&gt;12,INDIRECT(ADDRESS(ROW()+1,COLUMN()))="СП"),8,INDEX('Сводный годовой график'!$C$1:$AR$4,MATCH($C$8,'Сводный годовой график'!$B$1:$B$4),MATCH(DATE($AV$1,MONTH($B$4),X$3),'Сводный годовой график'!$C$5:$AR$5)))</f>
        <v>0</v>
      </c>
      <c r="Y8" s="92">
        <f ca="1">IF(AND(INDEX('Сводный годовой график'!$C$1:$AR$4,MATCH($C$8,'Сводный годовой график'!$B$1:$B$4),MATCH(DATE($AV$1,MONTH($B$4),Y$3),'Сводный годовой график'!$C$5:$AR$5))&lt;&gt;12,INDIRECT(ADDRESS(ROW()+1,COLUMN()))="СП"),8,INDEX('Сводный годовой график'!$C$1:$AR$4,MATCH($C$8,'Сводный годовой график'!$B$1:$B$4),MATCH(DATE($AV$1,MONTH($B$4),Y$3),'Сводный годовой график'!$C$5:$AR$5)))</f>
        <v>4</v>
      </c>
      <c r="Z8" s="92">
        <f ca="1">IF(AND(INDEX('Сводный годовой график'!$C$1:$AR$4,MATCH($C$8,'Сводный годовой график'!$B$1:$B$4),MATCH(DATE($AV$1,MONTH($B$4),Z$3),'Сводный годовой график'!$C$5:$AR$5))&lt;&gt;12,INDIRECT(ADDRESS(ROW()+1,COLUMN()))="СП"),8,INDEX('Сводный годовой график'!$C$1:$AR$4,MATCH($C$8,'Сводный годовой график'!$B$1:$B$4),MATCH(DATE($AV$1,MONTH($B$4),Z$3),'Сводный годовой график'!$C$5:$AR$5)))</f>
        <v>8</v>
      </c>
      <c r="AA8" s="92">
        <f ca="1">IF(AND(INDEX('Сводный годовой график'!$C$1:$AR$4,MATCH($C$8,'Сводный годовой график'!$B$1:$B$4),MATCH(DATE($AV$1,MONTH($B$4),AA$3),'Сводный годовой график'!$C$5:$AR$5))&lt;&gt;12,INDIRECT(ADDRESS(ROW()+1,COLUMN()))="СП"),8,INDEX('Сводный годовой график'!$C$1:$AR$4,MATCH($C$8,'Сводный годовой график'!$B$1:$B$4),MATCH(DATE($AV$1,MONTH($B$4),AA$3),'Сводный годовой график'!$C$5:$AR$5)))</f>
        <v>12</v>
      </c>
      <c r="AB8" s="92">
        <f ca="1">IF(AND(INDEX('Сводный годовой график'!$C$1:$AR$4,MATCH($C$8,'Сводный годовой график'!$B$1:$B$4),MATCH(DATE($AV$1,MONTH($B$4),AB$3),'Сводный годовой график'!$C$5:$AR$5))&lt;&gt;12,INDIRECT(ADDRESS(ROW()+1,COLUMN()))="СП"),8,INDEX('Сводный годовой график'!$C$1:$AR$4,MATCH($C$8,'Сводный годовой график'!$B$1:$B$4),MATCH(DATE($AV$1,MONTH($B$4),AB$3),'Сводный годовой график'!$C$5:$AR$5)))</f>
        <v>4</v>
      </c>
      <c r="AC8" s="92">
        <f ca="1">IF(AND(INDEX('Сводный годовой график'!$C$1:$AR$4,MATCH($C$8,'Сводный годовой график'!$B$1:$B$4),MATCH(DATE($AV$1,MONTH($B$4),AC$3),'Сводный годовой график'!$C$5:$AR$5))&lt;&gt;12,INDIRECT(ADDRESS(ROW()+1,COLUMN()))="СП"),8,INDEX('Сводный годовой график'!$C$1:$AR$4,MATCH($C$8,'Сводный годовой график'!$B$1:$B$4),MATCH(DATE($AV$1,MONTH($B$4),AC$3),'Сводный годовой график'!$C$5:$AR$5)))</f>
        <v>8</v>
      </c>
      <c r="AD8" s="92">
        <f ca="1">IF(AND(INDEX('Сводный годовой график'!$C$1:$AR$4,MATCH($C$8,'Сводный годовой график'!$B$1:$B$4),MATCH(DATE($AV$1,MONTH($B$4),AD$3),'Сводный годовой график'!$C$5:$AR$5))&lt;&gt;12,INDIRECT(ADDRESS(ROW()+1,COLUMN()))="СП"),8,INDEX('Сводный годовой график'!$C$1:$AR$4,MATCH($C$8,'Сводный годовой график'!$B$1:$B$4),MATCH(DATE($AV$1,MONTH($B$4),AD$3),'Сводный годовой график'!$C$5:$AR$5)))</f>
        <v>12</v>
      </c>
      <c r="AE8" s="92">
        <f ca="1">IF(AND(INDEX('Сводный годовой график'!$C$1:$AR$4,MATCH($C$8,'Сводный годовой график'!$B$1:$B$4),MATCH(DATE($AV$1,MONTH($B$4),AE$3),'Сводный годовой график'!$C$5:$AR$5))&lt;&gt;12,INDIRECT(ADDRESS(ROW()+1,COLUMN()))="СП"),8,INDEX('Сводный годовой график'!$C$1:$AR$4,MATCH($C$8,'Сводный годовой график'!$B$1:$B$4),MATCH(DATE($AV$1,MONTH($B$4),AE$3),'Сводный годовой график'!$C$5:$AR$5)))</f>
        <v>0</v>
      </c>
      <c r="AF8" s="92">
        <f ca="1">IF(AND(INDEX('Сводный годовой график'!$C$1:$AR$4,MATCH($C$8,'Сводный годовой график'!$B$1:$B$4),MATCH(DATE($AV$1,MONTH($B$4),AF$3),'Сводный годовой график'!$C$5:$AR$5))&lt;&gt;12,INDIRECT(ADDRESS(ROW()+1,COLUMN()))="СП"),8,INDEX('Сводный годовой график'!$C$1:$AR$4,MATCH($C$8,'Сводный годовой график'!$B$1:$B$4),MATCH(DATE($AV$1,MONTH($B$4),AF$3),'Сводный годовой график'!$C$5:$AR$5)))</f>
        <v>0</v>
      </c>
      <c r="AG8" s="92">
        <f ca="1">IF(AND(INDEX('Сводный годовой график'!$C$1:$AR$4,MATCH($C$8,'Сводный годовой график'!$B$1:$B$4),MATCH(DATE($AV$1,MONTH($B$4),AG$3),'Сводный годовой график'!$C$5:$AR$5))&lt;&gt;12,INDIRECT(ADDRESS(ROW()+1,COLUMN()))="СП"),8,INDEX('Сводный годовой график'!$C$1:$AR$4,MATCH($C$8,'Сводный годовой график'!$B$1:$B$4),MATCH(DATE($AV$1,MONTH($B$4),AG$3),'Сводный годовой график'!$C$5:$AR$5)))</f>
        <v>4</v>
      </c>
      <c r="AH8" s="92">
        <f ca="1">IF(AND(INDEX('Сводный годовой график'!$C$1:$AR$4,MATCH($C$8,'Сводный годовой график'!$B$1:$B$4),MATCH(DATE($AV$1,MONTH($B$4),AH$3),'Сводный годовой график'!$C$5:$AR$5))&lt;&gt;12,INDIRECT(ADDRESS(ROW()+1,COLUMN()))="СП"),8,INDEX('Сводный годовой график'!$C$1:$AR$4,MATCH($C$8,'Сводный годовой график'!$B$1:$B$4),MATCH(DATE($AV$1,MONTH($B$4),AH$3),'Сводный годовой график'!$C$5:$AR$5)))</f>
        <v>8</v>
      </c>
      <c r="AI8" s="97">
        <f ca="1">IF(AND(INDEX('Сводный годовой график'!$C$1:$AR$4,MATCH($C$8,'Сводный годовой график'!$B$1:$B$4),MATCH(DATE($AV$1,MONTH($B$4),AI$3),'Сводный годовой график'!$C$5:$AR$5))&lt;&gt;12,INDIRECT(ADDRESS(ROW()+1,COLUMN()))="СП"),8,INDEX('Сводный годовой график'!$C$1:$AR$4,MATCH($C$8,'Сводный годовой график'!$B$1:$B$4),MATCH(DATE($AV$1,MONTH($B$4),AI$3),'Сводный годовой график'!$C$5:$AR$5)))</f>
        <v>12</v>
      </c>
      <c r="AJ8" s="206"/>
      <c r="AK8" s="209">
        <f>$AJ$4-SUM(AY8:CC9)</f>
        <v>136</v>
      </c>
      <c r="AL8" s="209">
        <f t="shared" ref="AL8" ca="1" si="5">SUM(E8:AI9)</f>
        <v>196</v>
      </c>
      <c r="AM8" s="209">
        <f ca="1">SUM(E8:L8)</f>
        <v>56</v>
      </c>
      <c r="AN8" s="211">
        <f t="shared" ref="AN8" ca="1" si="6">-AM8-AK8+AL8</f>
        <v>4</v>
      </c>
      <c r="AO8" s="211">
        <v>0</v>
      </c>
      <c r="AP8" s="211">
        <f t="shared" ref="AP8" ca="1" si="7">AN8-AO8</f>
        <v>4</v>
      </c>
      <c r="AQ8" s="209">
        <v>0</v>
      </c>
      <c r="AR8" s="210">
        <v>1</v>
      </c>
      <c r="CK8" s="59"/>
      <c r="CL8" s="59"/>
      <c r="CM8" s="59"/>
      <c r="CN8" s="59"/>
      <c r="CO8" s="59"/>
      <c r="CP8" s="59"/>
      <c r="CQ8" s="59"/>
      <c r="CR8" s="59"/>
      <c r="CS8" s="59"/>
      <c r="CT8" s="59"/>
      <c r="CU8" s="59"/>
      <c r="CV8" s="59"/>
      <c r="CW8" s="59"/>
      <c r="CX8" s="59"/>
      <c r="CY8" s="59"/>
      <c r="CZ8" s="59"/>
      <c r="DA8" s="59"/>
      <c r="DB8" s="59"/>
      <c r="DC8" s="59"/>
      <c r="DD8" s="59"/>
      <c r="DE8" s="59"/>
      <c r="DF8" s="59"/>
      <c r="DG8" s="59"/>
      <c r="DH8" s="59"/>
      <c r="DI8" s="59"/>
      <c r="DJ8" s="59"/>
      <c r="DK8" s="59"/>
      <c r="DL8" s="59"/>
      <c r="DM8" s="59"/>
      <c r="DN8" s="59"/>
      <c r="DO8" s="59"/>
    </row>
    <row r="9" spans="2:119" ht="16.5" thickBot="1" x14ac:dyDescent="0.3">
      <c r="B9" s="201"/>
      <c r="C9" s="197"/>
      <c r="D9" s="82">
        <v>6</v>
      </c>
      <c r="E9" s="96" t="str">
        <f>IF(INDEX($CK$4:$DO$123,ROW()-3,E$3)=0,"","СП")</f>
        <v/>
      </c>
      <c r="F9" s="92" t="str">
        <f>IF(INDEX($CK$4:$DO$123,ROW()-3,F$3)=0,"","СП")</f>
        <v/>
      </c>
      <c r="G9" s="92" t="str">
        <f>IF(INDEX($CK$4:$DO$123,ROW()-3,G$3)=0,"","СП")</f>
        <v>СП</v>
      </c>
      <c r="H9" s="92" t="str">
        <f>IF(INDEX($CK$4:$DO$123,ROW()-3,H$3)=0,"","СП")</f>
        <v/>
      </c>
      <c r="I9" s="92" t="str">
        <f>IF(INDEX($CK$4:$DO$123,ROW()-3,I$3)=0,"","СП")</f>
        <v/>
      </c>
      <c r="J9" s="92" t="str">
        <f>IF(INDEX($CK$4:$DO$123,ROW()-3,J$3)=0,"","СП")</f>
        <v/>
      </c>
      <c r="K9" s="92" t="str">
        <f>IF(INDEX($CK$4:$DO$123,ROW()-3,K$3)=0,"","СП")</f>
        <v/>
      </c>
      <c r="L9" s="92" t="str">
        <f>IF(INDEX($CK$4:$DO$123,ROW()-3,L$3)=0,"","СП")</f>
        <v/>
      </c>
      <c r="M9" s="92" t="str">
        <f>IF(INDEX($CK$4:$DO$123,ROW()-3,M$3)=0,"","СП")</f>
        <v/>
      </c>
      <c r="N9" s="92" t="str">
        <f>IF(INDEX($CK$4:$DO$123,ROW()-3,N$3)=0,"","СП")</f>
        <v/>
      </c>
      <c r="O9" s="92" t="str">
        <f>IF(INDEX($CK$4:$DO$123,ROW()-3,O$3)=0,"","СП")</f>
        <v/>
      </c>
      <c r="P9" s="92" t="str">
        <f>IF(INDEX($CK$4:$DO$123,ROW()-3,P$3)=0,"","СП")</f>
        <v/>
      </c>
      <c r="Q9" s="92" t="str">
        <f>IF(INDEX($CK$4:$DO$123,ROW()-3,Q$3)=0,"","СП")</f>
        <v/>
      </c>
      <c r="R9" s="92" t="str">
        <f>IF(INDEX($CK$4:$DO$123,ROW()-3,R$3)=0,"","СП")</f>
        <v/>
      </c>
      <c r="S9" s="92" t="str">
        <f>IF(INDEX($CK$4:$DO$123,ROW()-3,S$3)=0,"","СП")</f>
        <v/>
      </c>
      <c r="T9" s="92" t="str">
        <f>IF(INDEX($CK$4:$DO$123,ROW()-3,T$3)=0,"","СП")</f>
        <v/>
      </c>
      <c r="U9" s="92" t="str">
        <f>IF(INDEX($CK$4:$DO$123,ROW()-3,U$3)=0,"","СП")</f>
        <v/>
      </c>
      <c r="V9" s="92" t="str">
        <f>IF(INDEX($CK$4:$DO$123,ROW()-3,V$3)=0,"","СП")</f>
        <v/>
      </c>
      <c r="W9" s="92" t="str">
        <f>IF(INDEX($CK$4:$DO$123,ROW()-3,W$3)=0,"","СП")</f>
        <v/>
      </c>
      <c r="X9" s="92" t="str">
        <f>IF(INDEX($CK$4:$DO$123,ROW()-3,X$3)=0,"","СП")</f>
        <v/>
      </c>
      <c r="Y9" s="92" t="str">
        <f>IF(INDEX($CK$4:$DO$123,ROW()-3,Y$3)=0,"","СП")</f>
        <v/>
      </c>
      <c r="Z9" s="92" t="str">
        <f>IF(INDEX($CK$4:$DO$123,ROW()-3,Z$3)=0,"","СП")</f>
        <v/>
      </c>
      <c r="AA9" s="92" t="str">
        <f>IF(INDEX($CK$4:$DO$123,ROW()-3,AA$3)=0,"","СП")</f>
        <v/>
      </c>
      <c r="AB9" s="92" t="str">
        <f>IF(INDEX($CK$4:$DO$123,ROW()-3,AB$3)=0,"","СП")</f>
        <v/>
      </c>
      <c r="AC9" s="92" t="str">
        <f>IF(INDEX($CK$4:$DO$123,ROW()-3,AC$3)=0,"","СП")</f>
        <v/>
      </c>
      <c r="AD9" s="92" t="str">
        <f>IF(INDEX($CK$4:$DO$123,ROW()-3,AD$3)=0,"","СП")</f>
        <v/>
      </c>
      <c r="AE9" s="92" t="str">
        <f>IF(INDEX($CK$4:$DO$123,ROW()-3,AE$3)=0,"","СП")</f>
        <v/>
      </c>
      <c r="AF9" s="92" t="str">
        <f>IF(INDEX($CK$4:$DO$123,ROW()-3,AF$3)=0,"","СП")</f>
        <v/>
      </c>
      <c r="AG9" s="92" t="str">
        <f>IF(INDEX($CK$4:$DO$123,ROW()-3,AG$3)=0,"","СП")</f>
        <v/>
      </c>
      <c r="AH9" s="92" t="str">
        <f>IF(INDEX($CK$4:$DO$123,ROW()-3,AH$3)=0,"","СП")</f>
        <v/>
      </c>
      <c r="AI9" s="97" t="str">
        <f>IF(INDEX($CK$4:$DO$123,ROW()-3,AI$3)=0,"","СП")</f>
        <v/>
      </c>
      <c r="AJ9" s="206"/>
      <c r="AK9" s="209"/>
      <c r="AL9" s="209"/>
      <c r="AM9" s="209"/>
      <c r="AN9" s="211"/>
      <c r="AO9" s="211"/>
      <c r="AP9" s="211"/>
      <c r="AQ9" s="209"/>
      <c r="AR9" s="210"/>
      <c r="CK9" s="58">
        <f>IF(DAY(INDEX('Сводный годовой график'!$BA$4:$BL$14,$C8,MONTH($B$4)))=E$3,1,0)</f>
        <v>0</v>
      </c>
      <c r="CL9" s="58">
        <f>IF(DAY(INDEX('Сводный годовой график'!$BA$4:$BL$14,$C8,MONTH($B$4)))=F$3,1,0)</f>
        <v>0</v>
      </c>
      <c r="CM9" s="58">
        <f>IF(DAY(INDEX('Сводный годовой график'!$BA$4:$BL$14,$C8,MONTH($B$4)))=G$3,1,0)</f>
        <v>1</v>
      </c>
      <c r="CN9" s="58">
        <f>IF(DAY(INDEX('Сводный годовой график'!$BA$4:$BL$14,$C8,MONTH($B$4)))=H$3,1,0)</f>
        <v>0</v>
      </c>
      <c r="CO9" s="58">
        <f>IF(DAY(INDEX('Сводный годовой график'!$BA$4:$BL$14,$C8,MONTH($B$4)))=I$3,1,0)</f>
        <v>0</v>
      </c>
      <c r="CP9" s="58">
        <f>IF(DAY(INDEX('Сводный годовой график'!$BA$4:$BL$14,$C8,MONTH($B$4)))=J$3,1,0)</f>
        <v>0</v>
      </c>
      <c r="CQ9" s="58">
        <f>IF(DAY(INDEX('Сводный годовой график'!$BA$4:$BL$14,$C8,MONTH($B$4)))=K$3,1,0)</f>
        <v>0</v>
      </c>
      <c r="CR9" s="58">
        <f>IF(DAY(INDEX('Сводный годовой график'!$BA$4:$BL$14,$C8,MONTH($B$4)))=L$3,1,0)</f>
        <v>0</v>
      </c>
      <c r="CS9" s="58">
        <f>IF(DAY(INDEX('Сводный годовой график'!$BA$4:$BL$14,$C8,MONTH($B$4)))=M$3,1,0)</f>
        <v>0</v>
      </c>
      <c r="CT9" s="58">
        <f>IF(DAY(INDEX('Сводный годовой график'!$BA$4:$BL$14,$C8,MONTH($B$4)))=N$3,1,0)</f>
        <v>0</v>
      </c>
      <c r="CU9" s="58">
        <f>IF(DAY(INDEX('Сводный годовой график'!$BA$4:$BL$14,$C8,MONTH($B$4)))=O$3,1,0)</f>
        <v>0</v>
      </c>
      <c r="CV9" s="58">
        <f>IF(DAY(INDEX('Сводный годовой график'!$BA$4:$BL$14,$C8,MONTH($B$4)))=P$3,1,0)</f>
        <v>0</v>
      </c>
      <c r="CW9" s="58">
        <f>IF(DAY(INDEX('Сводный годовой график'!$BA$4:$BL$14,$C8,MONTH($B$4)))=Q$3,1,0)</f>
        <v>0</v>
      </c>
      <c r="CX9" s="58">
        <f>IF(DAY(INDEX('Сводный годовой график'!$BA$4:$BL$14,$C8,MONTH($B$4)))=R$3,1,0)</f>
        <v>0</v>
      </c>
      <c r="CY9" s="58">
        <f>IF(DAY(INDEX('Сводный годовой график'!$BA$4:$BL$14,$C8,MONTH($B$4)))=S$3,1,0)</f>
        <v>0</v>
      </c>
      <c r="CZ9" s="58">
        <f>IF(DAY(INDEX('Сводный годовой график'!$BA$4:$BL$14,$C8,MONTH($B$4)))=T$3,1,0)</f>
        <v>0</v>
      </c>
      <c r="DA9" s="58">
        <f>IF(DAY(INDEX('Сводный годовой график'!$BA$4:$BL$14,$C8,MONTH($B$4)))=U$3,1,0)</f>
        <v>0</v>
      </c>
      <c r="DB9" s="58">
        <f>IF(DAY(INDEX('Сводный годовой график'!$BA$4:$BL$14,$C8,MONTH($B$4)))=V$3,1,0)</f>
        <v>0</v>
      </c>
      <c r="DC9" s="58">
        <f>IF(DAY(INDEX('Сводный годовой график'!$BA$4:$BL$14,$C8,MONTH($B$4)))=W$3,1,0)</f>
        <v>0</v>
      </c>
      <c r="DD9" s="58">
        <f>IF(DAY(INDEX('Сводный годовой график'!$BA$4:$BL$14,$C8,MONTH($B$4)))=X$3,1,0)</f>
        <v>0</v>
      </c>
      <c r="DE9" s="58">
        <f>IF(DAY(INDEX('Сводный годовой график'!$BA$4:$BL$14,$C8,MONTH($B$4)))=Y$3,1,0)</f>
        <v>0</v>
      </c>
      <c r="DF9" s="58">
        <f>IF(DAY(INDEX('Сводный годовой график'!$BA$4:$BL$14,$C8,MONTH($B$4)))=Z$3,1,0)</f>
        <v>0</v>
      </c>
      <c r="DG9" s="58">
        <f>IF(DAY(INDEX('Сводный годовой график'!$BA$4:$BL$14,$C8,MONTH($B$4)))=AA$3,1,0)</f>
        <v>0</v>
      </c>
      <c r="DH9" s="58">
        <f>IF(DAY(INDEX('Сводный годовой график'!$BA$4:$BL$14,$C8,MONTH($B$4)))=AB$3,1,0)</f>
        <v>0</v>
      </c>
      <c r="DI9" s="58">
        <f>IF(DAY(INDEX('Сводный годовой график'!$BA$4:$BL$14,$C8,MONTH($B$4)))=AC$3,1,0)</f>
        <v>0</v>
      </c>
      <c r="DJ9" s="58">
        <f>IF(DAY(INDEX('Сводный годовой график'!$BA$4:$BL$14,$C8,MONTH($B$4)))=AD$3,1,0)</f>
        <v>0</v>
      </c>
      <c r="DK9" s="58">
        <f>IF(DAY(INDEX('Сводный годовой график'!$BA$4:$BL$14,$C8,MONTH($B$4)))=AE$3,1,0)</f>
        <v>0</v>
      </c>
      <c r="DL9" s="58">
        <f>IF(DAY(INDEX('Сводный годовой график'!$BA$4:$BL$14,$C8,MONTH($B$4)))=AF$3,1,0)</f>
        <v>0</v>
      </c>
      <c r="DM9" s="58">
        <f>IF(DAY(INDEX('Сводный годовой график'!$BA$4:$BL$14,$C8,MONTH($B$4)))=AG$3,1,0)</f>
        <v>0</v>
      </c>
      <c r="DN9" s="58">
        <f>IF(DAY(INDEX('Сводный годовой график'!$BA$4:$BL$14,$C8,MONTH($B$4)))=AH$3,1,0)</f>
        <v>0</v>
      </c>
      <c r="DO9" s="58">
        <f>IF(DAY(INDEX('Сводный годовой график'!$BA$4:$BL$14,$C8,MONTH($B$4)))=AI$3,1,0)</f>
        <v>0</v>
      </c>
    </row>
    <row r="10" spans="2:119" ht="16.5" thickBot="1" x14ac:dyDescent="0.3">
      <c r="B10" s="201"/>
      <c r="C10" s="196">
        <v>4</v>
      </c>
      <c r="D10" s="81">
        <v>7</v>
      </c>
      <c r="E10" s="96">
        <f ca="1">IF(AND(INDEX('Сводный годовой график'!$C$1:$AR$4,MATCH($C$10,'Сводный годовой график'!$B$1:$B$4),MATCH(DATE($AV$1,MONTH($B$4),E$3),'Сводный годовой график'!$C$5:$AR$5))&lt;&gt;12,INDIRECT(ADDRESS(ROW()+1,COLUMN()))="СП"),8,INDEX('Сводный годовой график'!$C$1:$AR$4,MATCH($C$10,'Сводный годовой график'!$B$1:$B$4),MATCH(DATE($AV$1,MONTH($B$4),E$3),'Сводный годовой график'!$C$5:$AR$5)))</f>
        <v>12</v>
      </c>
      <c r="F10" s="92">
        <f ca="1">IF(AND(INDEX('Сводный годовой график'!$C$1:$AR$4,MATCH($C$10,'Сводный годовой график'!$B$1:$B$4),MATCH(DATE($AV$1,MONTH($B$4),F$3),'Сводный годовой график'!$C$5:$AR$5))&lt;&gt;12,INDIRECT(ADDRESS(ROW()+1,COLUMN()))="СП"),8,INDEX('Сводный годовой график'!$C$1:$AR$4,MATCH($C$10,'Сводный годовой график'!$B$1:$B$4),MATCH(DATE($AV$1,MONTH($B$4),F$3),'Сводный годовой график'!$C$5:$AR$5)))</f>
        <v>4</v>
      </c>
      <c r="G10" s="92">
        <f ca="1">IF(AND(INDEX('Сводный годовой график'!$C$1:$AR$4,MATCH($C$10,'Сводный годовой график'!$B$1:$B$4),MATCH(DATE($AV$1,MONTH($B$4),G$3),'Сводный годовой график'!$C$5:$AR$5))&lt;&gt;12,INDIRECT(ADDRESS(ROW()+1,COLUMN()))="СП"),8,INDEX('Сводный годовой график'!$C$1:$AR$4,MATCH($C$10,'Сводный годовой график'!$B$1:$B$4),MATCH(DATE($AV$1,MONTH($B$4),G$3),'Сводный годовой график'!$C$5:$AR$5)))</f>
        <v>8</v>
      </c>
      <c r="H10" s="92">
        <f ca="1">IF(AND(INDEX('Сводный годовой график'!$C$1:$AR$4,MATCH($C$10,'Сводный годовой график'!$B$1:$B$4),MATCH(DATE($AV$1,MONTH($B$4),H$3),'Сводный годовой график'!$C$5:$AR$5))&lt;&gt;12,INDIRECT(ADDRESS(ROW()+1,COLUMN()))="СП"),8,INDEX('Сводный годовой график'!$C$1:$AR$4,MATCH($C$10,'Сводный годовой график'!$B$1:$B$4),MATCH(DATE($AV$1,MONTH($B$4),H$3),'Сводный годовой график'!$C$5:$AR$5)))</f>
        <v>12</v>
      </c>
      <c r="I10" s="92">
        <f ca="1">IF(AND(INDEX('Сводный годовой график'!$C$1:$AR$4,MATCH($C$10,'Сводный годовой график'!$B$1:$B$4),MATCH(DATE($AV$1,MONTH($B$4),I$3),'Сводный годовой график'!$C$5:$AR$5))&lt;&gt;12,INDIRECT(ADDRESS(ROW()+1,COLUMN()))="СП"),8,INDEX('Сводный годовой график'!$C$1:$AR$4,MATCH($C$10,'Сводный годовой график'!$B$1:$B$4),MATCH(DATE($AV$1,MONTH($B$4),I$3),'Сводный годовой график'!$C$5:$AR$5)))</f>
        <v>0</v>
      </c>
      <c r="J10" s="92">
        <f ca="1">IF(AND(INDEX('Сводный годовой график'!$C$1:$AR$4,MATCH($C$10,'Сводный годовой график'!$B$1:$B$4),MATCH(DATE($AV$1,MONTH($B$4),J$3),'Сводный годовой график'!$C$5:$AR$5))&lt;&gt;12,INDIRECT(ADDRESS(ROW()+1,COLUMN()))="СП"),8,INDEX('Сводный годовой график'!$C$1:$AR$4,MATCH($C$10,'Сводный годовой график'!$B$1:$B$4),MATCH(DATE($AV$1,MONTH($B$4),J$3),'Сводный годовой график'!$C$5:$AR$5)))</f>
        <v>0</v>
      </c>
      <c r="K10" s="92">
        <f ca="1">IF(AND(INDEX('Сводный годовой график'!$C$1:$AR$4,MATCH($C$10,'Сводный годовой график'!$B$1:$B$4),MATCH(DATE($AV$1,MONTH($B$4),K$3),'Сводный годовой график'!$C$5:$AR$5))&lt;&gt;12,INDIRECT(ADDRESS(ROW()+1,COLUMN()))="СП"),8,INDEX('Сводный годовой график'!$C$1:$AR$4,MATCH($C$10,'Сводный годовой график'!$B$1:$B$4),MATCH(DATE($AV$1,MONTH($B$4),K$3),'Сводный годовой график'!$C$5:$AR$5)))</f>
        <v>4</v>
      </c>
      <c r="L10" s="92">
        <f ca="1">IF(AND(INDEX('Сводный годовой график'!$C$1:$AR$4,MATCH($C$10,'Сводный годовой график'!$B$1:$B$4),MATCH(DATE($AV$1,MONTH($B$4),L$3),'Сводный годовой график'!$C$5:$AR$5))&lt;&gt;12,INDIRECT(ADDRESS(ROW()+1,COLUMN()))="СП"),8,INDEX('Сводный годовой график'!$C$1:$AR$4,MATCH($C$10,'Сводный годовой график'!$B$1:$B$4),MATCH(DATE($AV$1,MONTH($B$4),L$3),'Сводный годовой график'!$C$5:$AR$5)))</f>
        <v>8</v>
      </c>
      <c r="M10" s="92">
        <f ca="1">IF(AND(INDEX('Сводный годовой график'!$C$1:$AR$4,MATCH($C$10,'Сводный годовой график'!$B$1:$B$4),MATCH(DATE($AV$1,MONTH($B$4),M$3),'Сводный годовой график'!$C$5:$AR$5))&lt;&gt;12,INDIRECT(ADDRESS(ROW()+1,COLUMN()))="СП"),8,INDEX('Сводный годовой график'!$C$1:$AR$4,MATCH($C$10,'Сводный годовой график'!$B$1:$B$4),MATCH(DATE($AV$1,MONTH($B$4),M$3),'Сводный годовой график'!$C$5:$AR$5)))</f>
        <v>12</v>
      </c>
      <c r="N10" s="92">
        <f ca="1">IF(AND(INDEX('Сводный годовой график'!$C$1:$AR$4,MATCH($C$10,'Сводный годовой график'!$B$1:$B$4),MATCH(DATE($AV$1,MONTH($B$4),N$3),'Сводный годовой график'!$C$5:$AR$5))&lt;&gt;12,INDIRECT(ADDRESS(ROW()+1,COLUMN()))="СП"),8,INDEX('Сводный годовой график'!$C$1:$AR$4,MATCH($C$10,'Сводный годовой график'!$B$1:$B$4),MATCH(DATE($AV$1,MONTH($B$4),N$3),'Сводный годовой график'!$C$5:$AR$5)))</f>
        <v>4</v>
      </c>
      <c r="O10" s="92">
        <f ca="1">IF(AND(INDEX('Сводный годовой график'!$C$1:$AR$4,MATCH($C$10,'Сводный годовой график'!$B$1:$B$4),MATCH(DATE($AV$1,MONTH($B$4),O$3),'Сводный годовой график'!$C$5:$AR$5))&lt;&gt;12,INDIRECT(ADDRESS(ROW()+1,COLUMN()))="СП"),8,INDEX('Сводный годовой график'!$C$1:$AR$4,MATCH($C$10,'Сводный годовой график'!$B$1:$B$4),MATCH(DATE($AV$1,MONTH($B$4),O$3),'Сводный годовой график'!$C$5:$AR$5)))</f>
        <v>8</v>
      </c>
      <c r="P10" s="92">
        <f ca="1">IF(AND(INDEX('Сводный годовой график'!$C$1:$AR$4,MATCH($C$10,'Сводный годовой график'!$B$1:$B$4),MATCH(DATE($AV$1,MONTH($B$4),P$3),'Сводный годовой график'!$C$5:$AR$5))&lt;&gt;12,INDIRECT(ADDRESS(ROW()+1,COLUMN()))="СП"),8,INDEX('Сводный годовой график'!$C$1:$AR$4,MATCH($C$10,'Сводный годовой график'!$B$1:$B$4),MATCH(DATE($AV$1,MONTH($B$4),P$3),'Сводный годовой график'!$C$5:$AR$5)))</f>
        <v>12</v>
      </c>
      <c r="Q10" s="92">
        <f ca="1">IF(AND(INDEX('Сводный годовой график'!$C$1:$AR$4,MATCH($C$10,'Сводный годовой график'!$B$1:$B$4),MATCH(DATE($AV$1,MONTH($B$4),Q$3),'Сводный годовой график'!$C$5:$AR$5))&lt;&gt;12,INDIRECT(ADDRESS(ROW()+1,COLUMN()))="СП"),8,INDEX('Сводный годовой график'!$C$1:$AR$4,MATCH($C$10,'Сводный годовой график'!$B$1:$B$4),MATCH(DATE($AV$1,MONTH($B$4),Q$3),'Сводный годовой график'!$C$5:$AR$5)))</f>
        <v>0</v>
      </c>
      <c r="R10" s="92">
        <f ca="1">IF(AND(INDEX('Сводный годовой график'!$C$1:$AR$4,MATCH($C$10,'Сводный годовой график'!$B$1:$B$4),MATCH(DATE($AV$1,MONTH($B$4),R$3),'Сводный годовой график'!$C$5:$AR$5))&lt;&gt;12,INDIRECT(ADDRESS(ROW()+1,COLUMN()))="СП"),8,INDEX('Сводный годовой график'!$C$1:$AR$4,MATCH($C$10,'Сводный годовой график'!$B$1:$B$4),MATCH(DATE($AV$1,MONTH($B$4),R$3),'Сводный годовой график'!$C$5:$AR$5)))</f>
        <v>0</v>
      </c>
      <c r="S10" s="92">
        <f ca="1">IF(AND(INDEX('Сводный годовой график'!$C$1:$AR$4,MATCH($C$10,'Сводный годовой график'!$B$1:$B$4),MATCH(DATE($AV$1,MONTH($B$4),S$3),'Сводный годовой график'!$C$5:$AR$5))&lt;&gt;12,INDIRECT(ADDRESS(ROW()+1,COLUMN()))="СП"),8,INDEX('Сводный годовой график'!$C$1:$AR$4,MATCH($C$10,'Сводный годовой график'!$B$1:$B$4),MATCH(DATE($AV$1,MONTH($B$4),S$3),'Сводный годовой график'!$C$5:$AR$5)))</f>
        <v>4</v>
      </c>
      <c r="T10" s="92">
        <f ca="1">IF(AND(INDEX('Сводный годовой график'!$C$1:$AR$4,MATCH($C$10,'Сводный годовой график'!$B$1:$B$4),MATCH(DATE($AV$1,MONTH($B$4),T$3),'Сводный годовой график'!$C$5:$AR$5))&lt;&gt;12,INDIRECT(ADDRESS(ROW()+1,COLUMN()))="СП"),8,INDEX('Сводный годовой график'!$C$1:$AR$4,MATCH($C$10,'Сводный годовой график'!$B$1:$B$4),MATCH(DATE($AV$1,MONTH($B$4),T$3),'Сводный годовой график'!$C$5:$AR$5)))</f>
        <v>8</v>
      </c>
      <c r="U10" s="92">
        <f ca="1">IF(AND(INDEX('Сводный годовой график'!$C$1:$AR$4,MATCH($C$10,'Сводный годовой график'!$B$1:$B$4),MATCH(DATE($AV$1,MONTH($B$4),U$3),'Сводный годовой график'!$C$5:$AR$5))&lt;&gt;12,INDIRECT(ADDRESS(ROW()+1,COLUMN()))="СП"),8,INDEX('Сводный годовой график'!$C$1:$AR$4,MATCH($C$10,'Сводный годовой график'!$B$1:$B$4),MATCH(DATE($AV$1,MONTH($B$4),U$3),'Сводный годовой график'!$C$5:$AR$5)))</f>
        <v>12</v>
      </c>
      <c r="V10" s="92">
        <f ca="1">IF(AND(INDEX('Сводный годовой график'!$C$1:$AR$4,MATCH($C$10,'Сводный годовой график'!$B$1:$B$4),MATCH(DATE($AV$1,MONTH($B$4),V$3),'Сводный годовой график'!$C$5:$AR$5))&lt;&gt;12,INDIRECT(ADDRESS(ROW()+1,COLUMN()))="СП"),8,INDEX('Сводный годовой график'!$C$1:$AR$4,MATCH($C$10,'Сводный годовой график'!$B$1:$B$4),MATCH(DATE($AV$1,MONTH($B$4),V$3),'Сводный годовой график'!$C$5:$AR$5)))</f>
        <v>4</v>
      </c>
      <c r="W10" s="92">
        <f ca="1">IF(AND(INDEX('Сводный годовой график'!$C$1:$AR$4,MATCH($C$10,'Сводный годовой график'!$B$1:$B$4),MATCH(DATE($AV$1,MONTH($B$4),W$3),'Сводный годовой график'!$C$5:$AR$5))&lt;&gt;12,INDIRECT(ADDRESS(ROW()+1,COLUMN()))="СП"),8,INDEX('Сводный годовой график'!$C$1:$AR$4,MATCH($C$10,'Сводный годовой график'!$B$1:$B$4),MATCH(DATE($AV$1,MONTH($B$4),W$3),'Сводный годовой график'!$C$5:$AR$5)))</f>
        <v>8</v>
      </c>
      <c r="X10" s="92">
        <f ca="1">IF(AND(INDEX('Сводный годовой график'!$C$1:$AR$4,MATCH($C$10,'Сводный годовой график'!$B$1:$B$4),MATCH(DATE($AV$1,MONTH($B$4),X$3),'Сводный годовой график'!$C$5:$AR$5))&lt;&gt;12,INDIRECT(ADDRESS(ROW()+1,COLUMN()))="СП"),8,INDEX('Сводный годовой график'!$C$1:$AR$4,MATCH($C$10,'Сводный годовой график'!$B$1:$B$4),MATCH(DATE($AV$1,MONTH($B$4),X$3),'Сводный годовой график'!$C$5:$AR$5)))</f>
        <v>12</v>
      </c>
      <c r="Y10" s="92">
        <f ca="1">IF(AND(INDEX('Сводный годовой график'!$C$1:$AR$4,MATCH($C$10,'Сводный годовой график'!$B$1:$B$4),MATCH(DATE($AV$1,MONTH($B$4),Y$3),'Сводный годовой график'!$C$5:$AR$5))&lt;&gt;12,INDIRECT(ADDRESS(ROW()+1,COLUMN()))="СП"),8,INDEX('Сводный годовой график'!$C$1:$AR$4,MATCH($C$10,'Сводный годовой график'!$B$1:$B$4),MATCH(DATE($AV$1,MONTH($B$4),Y$3),'Сводный годовой график'!$C$5:$AR$5)))</f>
        <v>0</v>
      </c>
      <c r="Z10" s="92">
        <f ca="1">IF(AND(INDEX('Сводный годовой график'!$C$1:$AR$4,MATCH($C$10,'Сводный годовой график'!$B$1:$B$4),MATCH(DATE($AV$1,MONTH($B$4),Z$3),'Сводный годовой график'!$C$5:$AR$5))&lt;&gt;12,INDIRECT(ADDRESS(ROW()+1,COLUMN()))="СП"),8,INDEX('Сводный годовой график'!$C$1:$AR$4,MATCH($C$10,'Сводный годовой график'!$B$1:$B$4),MATCH(DATE($AV$1,MONTH($B$4),Z$3),'Сводный годовой график'!$C$5:$AR$5)))</f>
        <v>0</v>
      </c>
      <c r="AA10" s="92">
        <f ca="1">IF(AND(INDEX('Сводный годовой график'!$C$1:$AR$4,MATCH($C$10,'Сводный годовой график'!$B$1:$B$4),MATCH(DATE($AV$1,MONTH($B$4),AA$3),'Сводный годовой график'!$C$5:$AR$5))&lt;&gt;12,INDIRECT(ADDRESS(ROW()+1,COLUMN()))="СП"),8,INDEX('Сводный годовой график'!$C$1:$AR$4,MATCH($C$10,'Сводный годовой график'!$B$1:$B$4),MATCH(DATE($AV$1,MONTH($B$4),AA$3),'Сводный годовой график'!$C$5:$AR$5)))</f>
        <v>4</v>
      </c>
      <c r="AB10" s="92">
        <f ca="1">IF(AND(INDEX('Сводный годовой график'!$C$1:$AR$4,MATCH($C$10,'Сводный годовой график'!$B$1:$B$4),MATCH(DATE($AV$1,MONTH($B$4),AB$3),'Сводный годовой график'!$C$5:$AR$5))&lt;&gt;12,INDIRECT(ADDRESS(ROW()+1,COLUMN()))="СП"),8,INDEX('Сводный годовой график'!$C$1:$AR$4,MATCH($C$10,'Сводный годовой график'!$B$1:$B$4),MATCH(DATE($AV$1,MONTH($B$4),AB$3),'Сводный годовой график'!$C$5:$AR$5)))</f>
        <v>8</v>
      </c>
      <c r="AC10" s="92">
        <f ca="1">IF(AND(INDEX('Сводный годовой график'!$C$1:$AR$4,MATCH($C$10,'Сводный годовой график'!$B$1:$B$4),MATCH(DATE($AV$1,MONTH($B$4),AC$3),'Сводный годовой график'!$C$5:$AR$5))&lt;&gt;12,INDIRECT(ADDRESS(ROW()+1,COLUMN()))="СП"),8,INDEX('Сводный годовой график'!$C$1:$AR$4,MATCH($C$10,'Сводный годовой график'!$B$1:$B$4),MATCH(DATE($AV$1,MONTH($B$4),AC$3),'Сводный годовой график'!$C$5:$AR$5)))</f>
        <v>12</v>
      </c>
      <c r="AD10" s="92">
        <f ca="1">IF(AND(INDEX('Сводный годовой график'!$C$1:$AR$4,MATCH($C$10,'Сводный годовой график'!$B$1:$B$4),MATCH(DATE($AV$1,MONTH($B$4),AD$3),'Сводный годовой график'!$C$5:$AR$5))&lt;&gt;12,INDIRECT(ADDRESS(ROW()+1,COLUMN()))="СП"),8,INDEX('Сводный годовой график'!$C$1:$AR$4,MATCH($C$10,'Сводный годовой график'!$B$1:$B$4),MATCH(DATE($AV$1,MONTH($B$4),AD$3),'Сводный годовой график'!$C$5:$AR$5)))</f>
        <v>4</v>
      </c>
      <c r="AE10" s="92">
        <f ca="1">IF(AND(INDEX('Сводный годовой график'!$C$1:$AR$4,MATCH($C$10,'Сводный годовой график'!$B$1:$B$4),MATCH(DATE($AV$1,MONTH($B$4),AE$3),'Сводный годовой график'!$C$5:$AR$5))&lt;&gt;12,INDIRECT(ADDRESS(ROW()+1,COLUMN()))="СП"),8,INDEX('Сводный годовой график'!$C$1:$AR$4,MATCH($C$10,'Сводный годовой график'!$B$1:$B$4),MATCH(DATE($AV$1,MONTH($B$4),AE$3),'Сводный годовой график'!$C$5:$AR$5)))</f>
        <v>8</v>
      </c>
      <c r="AF10" s="92">
        <f ca="1">IF(AND(INDEX('Сводный годовой график'!$C$1:$AR$4,MATCH($C$10,'Сводный годовой график'!$B$1:$B$4),MATCH(DATE($AV$1,MONTH($B$4),AF$3),'Сводный годовой график'!$C$5:$AR$5))&lt;&gt;12,INDIRECT(ADDRESS(ROW()+1,COLUMN()))="СП"),8,INDEX('Сводный годовой график'!$C$1:$AR$4,MATCH($C$10,'Сводный годовой график'!$B$1:$B$4),MATCH(DATE($AV$1,MONTH($B$4),AF$3),'Сводный годовой график'!$C$5:$AR$5)))</f>
        <v>12</v>
      </c>
      <c r="AG10" s="92">
        <f ca="1">IF(AND(INDEX('Сводный годовой график'!$C$1:$AR$4,MATCH($C$10,'Сводный годовой график'!$B$1:$B$4),MATCH(DATE($AV$1,MONTH($B$4),AG$3),'Сводный годовой график'!$C$5:$AR$5))&lt;&gt;12,INDIRECT(ADDRESS(ROW()+1,COLUMN()))="СП"),8,INDEX('Сводный годовой график'!$C$1:$AR$4,MATCH($C$10,'Сводный годовой график'!$B$1:$B$4),MATCH(DATE($AV$1,MONTH($B$4),AG$3),'Сводный годовой график'!$C$5:$AR$5)))</f>
        <v>0</v>
      </c>
      <c r="AH10" s="92">
        <f ca="1">IF(AND(INDEX('Сводный годовой график'!$C$1:$AR$4,MATCH($C$10,'Сводный годовой график'!$B$1:$B$4),MATCH(DATE($AV$1,MONTH($B$4),AH$3),'Сводный годовой график'!$C$5:$AR$5))&lt;&gt;12,INDIRECT(ADDRESS(ROW()+1,COLUMN()))="СП"),8,INDEX('Сводный годовой график'!$C$1:$AR$4,MATCH($C$10,'Сводный годовой график'!$B$1:$B$4),MATCH(DATE($AV$1,MONTH($B$4),AH$3),'Сводный годовой график'!$C$5:$AR$5)))</f>
        <v>0</v>
      </c>
      <c r="AI10" s="97">
        <f ca="1">IF(AND(INDEX('Сводный годовой график'!$C$1:$AR$4,MATCH($C$10,'Сводный годовой график'!$B$1:$B$4),MATCH(DATE($AV$1,MONTH($B$4),AI$3),'Сводный годовой график'!$C$5:$AR$5))&lt;&gt;12,INDIRECT(ADDRESS(ROW()+1,COLUMN()))="СП"),8,INDEX('Сводный годовой график'!$C$1:$AR$4,MATCH($C$10,'Сводный годовой график'!$B$1:$B$4),MATCH(DATE($AV$1,MONTH($B$4),AI$3),'Сводный годовой график'!$C$5:$AR$5)))</f>
        <v>4</v>
      </c>
      <c r="AJ10" s="206"/>
      <c r="AK10" s="209">
        <f>$AJ$4-SUM(AY10:CC11)</f>
        <v>136</v>
      </c>
      <c r="AL10" s="209">
        <f t="shared" ref="AL10" ca="1" si="8">SUM(E10:AI11)</f>
        <v>184</v>
      </c>
      <c r="AM10" s="209">
        <f t="shared" ref="AM10" ca="1" si="9">SUM(E10:L10)</f>
        <v>48</v>
      </c>
      <c r="AN10" s="211">
        <f t="shared" ref="AN10" ca="1" si="10">-AM10-AK10+AL10</f>
        <v>0</v>
      </c>
      <c r="AO10" s="211">
        <v>0</v>
      </c>
      <c r="AP10" s="211">
        <f t="shared" ref="AP10" ca="1" si="11">AN10-AO10</f>
        <v>0</v>
      </c>
      <c r="AQ10" s="209">
        <v>0</v>
      </c>
      <c r="AR10" s="210">
        <v>1</v>
      </c>
      <c r="CK10" s="59"/>
      <c r="CL10" s="59"/>
      <c r="CM10" s="59"/>
      <c r="CN10" s="59"/>
      <c r="CO10" s="59"/>
      <c r="CP10" s="59"/>
      <c r="CQ10" s="59"/>
      <c r="CR10" s="59"/>
      <c r="CS10" s="59"/>
      <c r="CT10" s="59"/>
      <c r="CU10" s="59"/>
      <c r="CV10" s="59"/>
      <c r="CW10" s="59"/>
      <c r="CX10" s="59"/>
      <c r="CY10" s="59"/>
      <c r="CZ10" s="59"/>
      <c r="DA10" s="59"/>
      <c r="DB10" s="59"/>
      <c r="DC10" s="59"/>
      <c r="DD10" s="59"/>
      <c r="DE10" s="59"/>
      <c r="DF10" s="59"/>
      <c r="DG10" s="59"/>
      <c r="DH10" s="59"/>
      <c r="DI10" s="59"/>
      <c r="DJ10" s="59"/>
      <c r="DK10" s="59"/>
      <c r="DL10" s="59"/>
      <c r="DM10" s="59"/>
      <c r="DN10" s="59"/>
      <c r="DO10" s="59"/>
    </row>
    <row r="11" spans="2:119" ht="16.5" thickBot="1" x14ac:dyDescent="0.3">
      <c r="B11" s="201"/>
      <c r="C11" s="197"/>
      <c r="D11" s="82">
        <v>8</v>
      </c>
      <c r="E11" s="96" t="str">
        <f>IF(INDEX($CK$4:$DO$123,ROW()-3,E$3)=0,"","СП")</f>
        <v/>
      </c>
      <c r="F11" s="92" t="str">
        <f>IF(INDEX($CK$4:$DO$123,ROW()-3,F$3)=0,"","СП")</f>
        <v/>
      </c>
      <c r="G11" s="92" t="str">
        <f>IF(INDEX($CK$4:$DO$123,ROW()-3,G$3)=0,"","СП")</f>
        <v/>
      </c>
      <c r="H11" s="92" t="str">
        <f>IF(INDEX($CK$4:$DO$123,ROW()-3,H$3)=0,"","СП")</f>
        <v>СП</v>
      </c>
      <c r="I11" s="92" t="str">
        <f>IF(INDEX($CK$4:$DO$123,ROW()-3,I$3)=0,"","СП")</f>
        <v/>
      </c>
      <c r="J11" s="92" t="str">
        <f>IF(INDEX($CK$4:$DO$123,ROW()-3,J$3)=0,"","СП")</f>
        <v/>
      </c>
      <c r="K11" s="92" t="str">
        <f>IF(INDEX($CK$4:$DO$123,ROW()-3,K$3)=0,"","СП")</f>
        <v/>
      </c>
      <c r="L11" s="92" t="str">
        <f>IF(INDEX($CK$4:$DO$123,ROW()-3,L$3)=0,"","СП")</f>
        <v/>
      </c>
      <c r="M11" s="92" t="str">
        <f>IF(INDEX($CK$4:$DO$123,ROW()-3,M$3)=0,"","СП")</f>
        <v/>
      </c>
      <c r="N11" s="92" t="str">
        <f>IF(INDEX($CK$4:$DO$123,ROW()-3,N$3)=0,"","СП")</f>
        <v/>
      </c>
      <c r="O11" s="92" t="str">
        <f>IF(INDEX($CK$4:$DO$123,ROW()-3,O$3)=0,"","СП")</f>
        <v/>
      </c>
      <c r="P11" s="92" t="str">
        <f>IF(INDEX($CK$4:$DO$123,ROW()-3,P$3)=0,"","СП")</f>
        <v/>
      </c>
      <c r="Q11" s="92" t="str">
        <f>IF(INDEX($CK$4:$DO$123,ROW()-3,Q$3)=0,"","СП")</f>
        <v/>
      </c>
      <c r="R11" s="92" t="str">
        <f>IF(INDEX($CK$4:$DO$123,ROW()-3,R$3)=0,"","СП")</f>
        <v/>
      </c>
      <c r="S11" s="92" t="str">
        <f>IF(INDEX($CK$4:$DO$123,ROW()-3,S$3)=0,"","СП")</f>
        <v/>
      </c>
      <c r="T11" s="92" t="str">
        <f>IF(INDEX($CK$4:$DO$123,ROW()-3,T$3)=0,"","СП")</f>
        <v/>
      </c>
      <c r="U11" s="92" t="str">
        <f>IF(INDEX($CK$4:$DO$123,ROW()-3,U$3)=0,"","СП")</f>
        <v/>
      </c>
      <c r="V11" s="92" t="str">
        <f>IF(INDEX($CK$4:$DO$123,ROW()-3,V$3)=0,"","СП")</f>
        <v/>
      </c>
      <c r="W11" s="92" t="str">
        <f>IF(INDEX($CK$4:$DO$123,ROW()-3,W$3)=0,"","СП")</f>
        <v/>
      </c>
      <c r="X11" s="92" t="str">
        <f>IF(INDEX($CK$4:$DO$123,ROW()-3,X$3)=0,"","СП")</f>
        <v/>
      </c>
      <c r="Y11" s="92" t="str">
        <f>IF(INDEX($CK$4:$DO$123,ROW()-3,Y$3)=0,"","СП")</f>
        <v/>
      </c>
      <c r="Z11" s="92" t="str">
        <f>IF(INDEX($CK$4:$DO$123,ROW()-3,Z$3)=0,"","СП")</f>
        <v/>
      </c>
      <c r="AA11" s="92" t="str">
        <f>IF(INDEX($CK$4:$DO$123,ROW()-3,AA$3)=0,"","СП")</f>
        <v/>
      </c>
      <c r="AB11" s="92" t="str">
        <f>IF(INDEX($CK$4:$DO$123,ROW()-3,AB$3)=0,"","СП")</f>
        <v/>
      </c>
      <c r="AC11" s="92" t="str">
        <f>IF(INDEX($CK$4:$DO$123,ROW()-3,AC$3)=0,"","СП")</f>
        <v/>
      </c>
      <c r="AD11" s="92" t="str">
        <f>IF(INDEX($CK$4:$DO$123,ROW()-3,AD$3)=0,"","СП")</f>
        <v/>
      </c>
      <c r="AE11" s="92" t="str">
        <f>IF(INDEX($CK$4:$DO$123,ROW()-3,AE$3)=0,"","СП")</f>
        <v/>
      </c>
      <c r="AF11" s="92" t="str">
        <f>IF(INDEX($CK$4:$DO$123,ROW()-3,AF$3)=0,"","СП")</f>
        <v/>
      </c>
      <c r="AG11" s="92" t="str">
        <f>IF(INDEX($CK$4:$DO$123,ROW()-3,AG$3)=0,"","СП")</f>
        <v/>
      </c>
      <c r="AH11" s="92" t="str">
        <f>IF(INDEX($CK$4:$DO$123,ROW()-3,AH$3)=0,"","СП")</f>
        <v/>
      </c>
      <c r="AI11" s="97" t="str">
        <f>IF(INDEX($CK$4:$DO$123,ROW()-3,AI$3)=0,"","СП")</f>
        <v/>
      </c>
      <c r="AJ11" s="206"/>
      <c r="AK11" s="209"/>
      <c r="AL11" s="209"/>
      <c r="AM11" s="209"/>
      <c r="AN11" s="211"/>
      <c r="AO11" s="211"/>
      <c r="AP11" s="211"/>
      <c r="AQ11" s="209"/>
      <c r="AR11" s="210"/>
      <c r="CK11" s="58">
        <f>IF(DAY(INDEX('Сводный годовой график'!$BA$4:$BL$14,$C10,MONTH($B$4)))=E$3,1,0)</f>
        <v>0</v>
      </c>
      <c r="CL11" s="58">
        <f>IF(DAY(INDEX('Сводный годовой график'!$BA$4:$BL$14,$C10,MONTH($B$4)))=F$3,1,0)</f>
        <v>0</v>
      </c>
      <c r="CM11" s="58">
        <f>IF(DAY(INDEX('Сводный годовой график'!$BA$4:$BL$14,$C10,MONTH($B$4)))=G$3,1,0)</f>
        <v>0</v>
      </c>
      <c r="CN11" s="58">
        <f>IF(DAY(INDEX('Сводный годовой график'!$BA$4:$BL$14,$C10,MONTH($B$4)))=H$3,1,0)</f>
        <v>1</v>
      </c>
      <c r="CO11" s="58">
        <f>IF(DAY(INDEX('Сводный годовой график'!$BA$4:$BL$14,$C10,MONTH($B$4)))=I$3,1,0)</f>
        <v>0</v>
      </c>
      <c r="CP11" s="58">
        <f>IF(DAY(INDEX('Сводный годовой график'!$BA$4:$BL$14,$C10,MONTH($B$4)))=J$3,1,0)</f>
        <v>0</v>
      </c>
      <c r="CQ11" s="58">
        <f>IF(DAY(INDEX('Сводный годовой график'!$BA$4:$BL$14,$C10,MONTH($B$4)))=K$3,1,0)</f>
        <v>0</v>
      </c>
      <c r="CR11" s="58">
        <f>IF(DAY(INDEX('Сводный годовой график'!$BA$4:$BL$14,$C10,MONTH($B$4)))=L$3,1,0)</f>
        <v>0</v>
      </c>
      <c r="CS11" s="58">
        <f>IF(DAY(INDEX('Сводный годовой график'!$BA$4:$BL$14,$C10,MONTH($B$4)))=M$3,1,0)</f>
        <v>0</v>
      </c>
      <c r="CT11" s="58">
        <f>IF(DAY(INDEX('Сводный годовой график'!$BA$4:$BL$14,$C10,MONTH($B$4)))=N$3,1,0)</f>
        <v>0</v>
      </c>
      <c r="CU11" s="58">
        <f>IF(DAY(INDEX('Сводный годовой график'!$BA$4:$BL$14,$C10,MONTH($B$4)))=O$3,1,0)</f>
        <v>0</v>
      </c>
      <c r="CV11" s="58">
        <f>IF(DAY(INDEX('Сводный годовой график'!$BA$4:$BL$14,$C10,MONTH($B$4)))=P$3,1,0)</f>
        <v>0</v>
      </c>
      <c r="CW11" s="58">
        <f>IF(DAY(INDEX('Сводный годовой график'!$BA$4:$BL$14,$C10,MONTH($B$4)))=Q$3,1,0)</f>
        <v>0</v>
      </c>
      <c r="CX11" s="58">
        <f>IF(DAY(INDEX('Сводный годовой график'!$BA$4:$BL$14,$C10,MONTH($B$4)))=R$3,1,0)</f>
        <v>0</v>
      </c>
      <c r="CY11" s="58">
        <f>IF(DAY(INDEX('Сводный годовой график'!$BA$4:$BL$14,$C10,MONTH($B$4)))=S$3,1,0)</f>
        <v>0</v>
      </c>
      <c r="CZ11" s="58">
        <f>IF(DAY(INDEX('Сводный годовой график'!$BA$4:$BL$14,$C10,MONTH($B$4)))=T$3,1,0)</f>
        <v>0</v>
      </c>
      <c r="DA11" s="58">
        <f>IF(DAY(INDEX('Сводный годовой график'!$BA$4:$BL$14,$C10,MONTH($B$4)))=U$3,1,0)</f>
        <v>0</v>
      </c>
      <c r="DB11" s="58">
        <f>IF(DAY(INDEX('Сводный годовой график'!$BA$4:$BL$14,$C10,MONTH($B$4)))=V$3,1,0)</f>
        <v>0</v>
      </c>
      <c r="DC11" s="58">
        <f>IF(DAY(INDEX('Сводный годовой график'!$BA$4:$BL$14,$C10,MONTH($B$4)))=W$3,1,0)</f>
        <v>0</v>
      </c>
      <c r="DD11" s="58">
        <f>IF(DAY(INDEX('Сводный годовой график'!$BA$4:$BL$14,$C10,MONTH($B$4)))=X$3,1,0)</f>
        <v>0</v>
      </c>
      <c r="DE11" s="58">
        <f>IF(DAY(INDEX('Сводный годовой график'!$BA$4:$BL$14,$C10,MONTH($B$4)))=Y$3,1,0)</f>
        <v>0</v>
      </c>
      <c r="DF11" s="58">
        <f>IF(DAY(INDEX('Сводный годовой график'!$BA$4:$BL$14,$C10,MONTH($B$4)))=Z$3,1,0)</f>
        <v>0</v>
      </c>
      <c r="DG11" s="58">
        <f>IF(DAY(INDEX('Сводный годовой график'!$BA$4:$BL$14,$C10,MONTH($B$4)))=AA$3,1,0)</f>
        <v>0</v>
      </c>
      <c r="DH11" s="58">
        <f>IF(DAY(INDEX('Сводный годовой график'!$BA$4:$BL$14,$C10,MONTH($B$4)))=AB$3,1,0)</f>
        <v>0</v>
      </c>
      <c r="DI11" s="58">
        <f>IF(DAY(INDEX('Сводный годовой график'!$BA$4:$BL$14,$C10,MONTH($B$4)))=AC$3,1,0)</f>
        <v>0</v>
      </c>
      <c r="DJ11" s="58">
        <f>IF(DAY(INDEX('Сводный годовой график'!$BA$4:$BL$14,$C10,MONTH($B$4)))=AD$3,1,0)</f>
        <v>0</v>
      </c>
      <c r="DK11" s="58">
        <f>IF(DAY(INDEX('Сводный годовой график'!$BA$4:$BL$14,$C10,MONTH($B$4)))=AE$3,1,0)</f>
        <v>0</v>
      </c>
      <c r="DL11" s="58">
        <f>IF(DAY(INDEX('Сводный годовой график'!$BA$4:$BL$14,$C10,MONTH($B$4)))=AF$3,1,0)</f>
        <v>0</v>
      </c>
      <c r="DM11" s="58">
        <f>IF(DAY(INDEX('Сводный годовой график'!$BA$4:$BL$14,$C10,MONTH($B$4)))=AG$3,1,0)</f>
        <v>0</v>
      </c>
      <c r="DN11" s="58">
        <f>IF(DAY(INDEX('Сводный годовой график'!$BA$4:$BL$14,$C10,MONTH($B$4)))=AH$3,1,0)</f>
        <v>0</v>
      </c>
      <c r="DO11" s="58">
        <f>IF(DAY(INDEX('Сводный годовой график'!$BA$4:$BL$14,$C10,MONTH($B$4)))=AI$3,1,0)</f>
        <v>0</v>
      </c>
    </row>
    <row r="12" spans="2:119" ht="16.5" thickBot="1" x14ac:dyDescent="0.3">
      <c r="B12" s="201"/>
      <c r="C12" s="196">
        <v>5</v>
      </c>
      <c r="D12" s="81">
        <v>9</v>
      </c>
      <c r="E12" s="96" t="s">
        <v>36</v>
      </c>
      <c r="F12" s="92" t="s">
        <v>36</v>
      </c>
      <c r="G12" s="92" t="s">
        <v>36</v>
      </c>
      <c r="H12" s="92" t="s">
        <v>36</v>
      </c>
      <c r="I12" s="92" t="s">
        <v>36</v>
      </c>
      <c r="J12" s="92" t="s">
        <v>36</v>
      </c>
      <c r="K12" s="92" t="s">
        <v>36</v>
      </c>
      <c r="L12" s="92" t="s">
        <v>36</v>
      </c>
      <c r="M12" s="92" t="s">
        <v>36</v>
      </c>
      <c r="N12" s="92" t="s">
        <v>36</v>
      </c>
      <c r="O12" s="92" t="s">
        <v>36</v>
      </c>
      <c r="P12" s="92" t="s">
        <v>36</v>
      </c>
      <c r="Q12" s="92" t="s">
        <v>36</v>
      </c>
      <c r="R12" s="92" t="s">
        <v>36</v>
      </c>
      <c r="S12" s="92" t="s">
        <v>36</v>
      </c>
      <c r="T12" s="92" t="s">
        <v>36</v>
      </c>
      <c r="U12" s="92" t="s">
        <v>36</v>
      </c>
      <c r="V12" s="92" t="s">
        <v>36</v>
      </c>
      <c r="W12" s="92" t="s">
        <v>36</v>
      </c>
      <c r="X12" s="92" t="s">
        <v>36</v>
      </c>
      <c r="Y12" s="92" t="s">
        <v>36</v>
      </c>
      <c r="Z12" s="92" t="s">
        <v>36</v>
      </c>
      <c r="AA12" s="92" t="s">
        <v>36</v>
      </c>
      <c r="AB12" s="92" t="s">
        <v>36</v>
      </c>
      <c r="AC12" s="92" t="s">
        <v>36</v>
      </c>
      <c r="AD12" s="92" t="s">
        <v>36</v>
      </c>
      <c r="AE12" s="92" t="s">
        <v>36</v>
      </c>
      <c r="AF12" s="92" t="s">
        <v>36</v>
      </c>
      <c r="AG12" s="92" t="s">
        <v>36</v>
      </c>
      <c r="AH12" s="92" t="s">
        <v>36</v>
      </c>
      <c r="AI12" s="97" t="s">
        <v>36</v>
      </c>
      <c r="AJ12" s="206"/>
      <c r="AK12" s="209">
        <f>$AJ$4-SUM(AY12:CC13)</f>
        <v>136</v>
      </c>
      <c r="AL12" s="209">
        <f t="shared" ref="AL12" si="12">SUM(E12:AI13)</f>
        <v>0</v>
      </c>
      <c r="AM12" s="209">
        <f t="shared" ref="AM12" si="13">SUM(E12:L12)</f>
        <v>0</v>
      </c>
      <c r="AN12" s="211">
        <f t="shared" ref="AN12" si="14">-AM12-AK12+AL12</f>
        <v>-136</v>
      </c>
      <c r="AO12" s="211">
        <v>0</v>
      </c>
      <c r="AP12" s="211">
        <f t="shared" ref="AP12" si="15">AN12-AO12</f>
        <v>-136</v>
      </c>
      <c r="AQ12" s="209">
        <v>7</v>
      </c>
      <c r="AR12" s="210">
        <v>1</v>
      </c>
      <c r="CK12" s="59"/>
      <c r="CL12" s="59"/>
      <c r="CM12" s="59"/>
      <c r="CN12" s="59"/>
      <c r="CO12" s="59"/>
      <c r="CP12" s="59"/>
      <c r="CQ12" s="59"/>
      <c r="CR12" s="59"/>
      <c r="CS12" s="59"/>
      <c r="CT12" s="59"/>
      <c r="CU12" s="59"/>
      <c r="CV12" s="59"/>
      <c r="CW12" s="59"/>
      <c r="CX12" s="59"/>
      <c r="CY12" s="59"/>
      <c r="CZ12" s="59"/>
      <c r="DA12" s="59"/>
      <c r="DB12" s="59"/>
      <c r="DC12" s="59"/>
      <c r="DD12" s="59"/>
      <c r="DE12" s="59"/>
      <c r="DF12" s="59"/>
      <c r="DG12" s="59"/>
      <c r="DH12" s="59"/>
      <c r="DI12" s="59"/>
      <c r="DJ12" s="59"/>
      <c r="DK12" s="59"/>
      <c r="DL12" s="59"/>
      <c r="DM12" s="59"/>
      <c r="DN12" s="59"/>
      <c r="DO12" s="59"/>
    </row>
    <row r="13" spans="2:119" ht="16.5" thickBot="1" x14ac:dyDescent="0.3">
      <c r="B13" s="201"/>
      <c r="C13" s="212"/>
      <c r="D13" s="99">
        <v>10</v>
      </c>
      <c r="E13" s="87" t="str">
        <f>IF(INDEX($CK$4:$DO$123,ROW()-3,E$3)=0,"","СП")</f>
        <v/>
      </c>
      <c r="F13" s="30" t="str">
        <f>IF(INDEX($CK$4:$DO$123,ROW()-3,F$3)=0,"","СП")</f>
        <v/>
      </c>
      <c r="G13" s="30" t="str">
        <f>IF(INDEX($CK$4:$DO$123,ROW()-3,G$3)=0,"","СП")</f>
        <v/>
      </c>
      <c r="H13" s="30" t="str">
        <f>IF(INDEX($CK$4:$DO$123,ROW()-3,H$3)=0,"","СП")</f>
        <v/>
      </c>
      <c r="I13" s="30" t="str">
        <f>IF(INDEX($CK$4:$DO$123,ROW()-3,I$3)=0,"","СП")</f>
        <v>СП</v>
      </c>
      <c r="J13" s="30" t="str">
        <f>IF(INDEX($CK$4:$DO$123,ROW()-3,J$3)=0,"","СП")</f>
        <v/>
      </c>
      <c r="K13" s="30" t="str">
        <f>IF(INDEX($CK$4:$DO$123,ROW()-3,K$3)=0,"","СП")</f>
        <v/>
      </c>
      <c r="L13" s="30" t="str">
        <f>IF(INDEX($CK$4:$DO$123,ROW()-3,L$3)=0,"","СП")</f>
        <v/>
      </c>
      <c r="M13" s="30" t="str">
        <f>IF(INDEX($CK$4:$DO$123,ROW()-3,M$3)=0,"","СП")</f>
        <v/>
      </c>
      <c r="N13" s="30" t="str">
        <f>IF(INDEX($CK$4:$DO$123,ROW()-3,N$3)=0,"","СП")</f>
        <v/>
      </c>
      <c r="O13" s="30" t="str">
        <f>IF(INDEX($CK$4:$DO$123,ROW()-3,O$3)=0,"","СП")</f>
        <v/>
      </c>
      <c r="P13" s="30" t="str">
        <f>IF(INDEX($CK$4:$DO$123,ROW()-3,P$3)=0,"","СП")</f>
        <v/>
      </c>
      <c r="Q13" s="30" t="str">
        <f>IF(INDEX($CK$4:$DO$123,ROW()-3,Q$3)=0,"","СП")</f>
        <v/>
      </c>
      <c r="R13" s="30" t="str">
        <f>IF(INDEX($CK$4:$DO$123,ROW()-3,R$3)=0,"","СП")</f>
        <v/>
      </c>
      <c r="S13" s="30" t="str">
        <f>IF(INDEX($CK$4:$DO$123,ROW()-3,S$3)=0,"","СП")</f>
        <v/>
      </c>
      <c r="T13" s="30" t="str">
        <f>IF(INDEX($CK$4:$DO$123,ROW()-3,T$3)=0,"","СП")</f>
        <v/>
      </c>
      <c r="U13" s="30" t="str">
        <f>IF(INDEX($CK$4:$DO$123,ROW()-3,U$3)=0,"","СП")</f>
        <v/>
      </c>
      <c r="V13" s="30" t="str">
        <f>IF(INDEX($CK$4:$DO$123,ROW()-3,V$3)=0,"","СП")</f>
        <v/>
      </c>
      <c r="W13" s="30" t="str">
        <f>IF(INDEX($CK$4:$DO$123,ROW()-3,W$3)=0,"","СП")</f>
        <v/>
      </c>
      <c r="X13" s="30" t="str">
        <f>IF(INDEX($CK$4:$DO$123,ROW()-3,X$3)=0,"","СП")</f>
        <v/>
      </c>
      <c r="Y13" s="30" t="str">
        <f>IF(INDEX($CK$4:$DO$123,ROW()-3,Y$3)=0,"","СП")</f>
        <v/>
      </c>
      <c r="Z13" s="30" t="str">
        <f>IF(INDEX($CK$4:$DO$123,ROW()-3,Z$3)=0,"","СП")</f>
        <v/>
      </c>
      <c r="AA13" s="30" t="str">
        <f>IF(INDEX($CK$4:$DO$123,ROW()-3,AA$3)=0,"","СП")</f>
        <v/>
      </c>
      <c r="AB13" s="30" t="str">
        <f>IF(INDEX($CK$4:$DO$123,ROW()-3,AB$3)=0,"","СП")</f>
        <v/>
      </c>
      <c r="AC13" s="30" t="str">
        <f>IF(INDEX($CK$4:$DO$123,ROW()-3,AC$3)=0,"","СП")</f>
        <v/>
      </c>
      <c r="AD13" s="30" t="str">
        <f>IF(INDEX($CK$4:$DO$123,ROW()-3,AD$3)=0,"","СП")</f>
        <v/>
      </c>
      <c r="AE13" s="30" t="str">
        <f>IF(INDEX($CK$4:$DO$123,ROW()-3,AE$3)=0,"","СП")</f>
        <v/>
      </c>
      <c r="AF13" s="30" t="str">
        <f>IF(INDEX($CK$4:$DO$123,ROW()-3,AF$3)=0,"","СП")</f>
        <v/>
      </c>
      <c r="AG13" s="30" t="str">
        <f>IF(INDEX($CK$4:$DO$123,ROW()-3,AG$3)=0,"","СП")</f>
        <v/>
      </c>
      <c r="AH13" s="30" t="str">
        <f>IF(INDEX($CK$4:$DO$123,ROW()-3,AH$3)=0,"","СП")</f>
        <v/>
      </c>
      <c r="AI13" s="91" t="str">
        <f>IF(INDEX($CK$4:$DO$123,ROW()-3,AI$3)=0,"","СП")</f>
        <v/>
      </c>
      <c r="AJ13" s="207"/>
      <c r="AK13" s="213"/>
      <c r="AL13" s="213"/>
      <c r="AM13" s="213"/>
      <c r="AN13" s="214"/>
      <c r="AO13" s="214"/>
      <c r="AP13" s="214"/>
      <c r="AQ13" s="213"/>
      <c r="AR13" s="215"/>
      <c r="CK13" s="58">
        <f>IF(DAY(INDEX('Сводный годовой график'!$BA$4:$BL$14,$C12,MONTH($B$4)))=E$3,1,0)</f>
        <v>0</v>
      </c>
      <c r="CL13" s="58">
        <f>IF(DAY(INDEX('Сводный годовой график'!$BA$4:$BL$14,$C12,MONTH($B$4)))=F$3,1,0)</f>
        <v>0</v>
      </c>
      <c r="CM13" s="58">
        <f>IF(DAY(INDEX('Сводный годовой график'!$BA$4:$BL$14,$C12,MONTH($B$4)))=G$3,1,0)</f>
        <v>0</v>
      </c>
      <c r="CN13" s="58">
        <f>IF(DAY(INDEX('Сводный годовой график'!$BA$4:$BL$14,$C12,MONTH($B$4)))=H$3,1,0)</f>
        <v>0</v>
      </c>
      <c r="CO13" s="58">
        <f>IF(DAY(INDEX('Сводный годовой график'!$BA$4:$BL$14,$C12,MONTH($B$4)))=I$3,1,0)</f>
        <v>1</v>
      </c>
      <c r="CP13" s="58">
        <f>IF(DAY(INDEX('Сводный годовой график'!$BA$4:$BL$14,$C12,MONTH($B$4)))=J$3,1,0)</f>
        <v>0</v>
      </c>
      <c r="CQ13" s="58">
        <f>IF(DAY(INDEX('Сводный годовой график'!$BA$4:$BL$14,$C12,MONTH($B$4)))=K$3,1,0)</f>
        <v>0</v>
      </c>
      <c r="CR13" s="58">
        <f>IF(DAY(INDEX('Сводный годовой график'!$BA$4:$BL$14,$C12,MONTH($B$4)))=L$3,1,0)</f>
        <v>0</v>
      </c>
      <c r="CS13" s="58">
        <f>IF(DAY(INDEX('Сводный годовой график'!$BA$4:$BL$14,$C12,MONTH($B$4)))=M$3,1,0)</f>
        <v>0</v>
      </c>
      <c r="CT13" s="58">
        <f>IF(DAY(INDEX('Сводный годовой график'!$BA$4:$BL$14,$C12,MONTH($B$4)))=N$3,1,0)</f>
        <v>0</v>
      </c>
      <c r="CU13" s="58">
        <f>IF(DAY(INDEX('Сводный годовой график'!$BA$4:$BL$14,$C12,MONTH($B$4)))=O$3,1,0)</f>
        <v>0</v>
      </c>
      <c r="CV13" s="58">
        <f>IF(DAY(INDEX('Сводный годовой график'!$BA$4:$BL$14,$C12,MONTH($B$4)))=P$3,1,0)</f>
        <v>0</v>
      </c>
      <c r="CW13" s="58">
        <f>IF(DAY(INDEX('Сводный годовой график'!$BA$4:$BL$14,$C12,MONTH($B$4)))=Q$3,1,0)</f>
        <v>0</v>
      </c>
      <c r="CX13" s="58">
        <f>IF(DAY(INDEX('Сводный годовой график'!$BA$4:$BL$14,$C12,MONTH($B$4)))=R$3,1,0)</f>
        <v>0</v>
      </c>
      <c r="CY13" s="58">
        <f>IF(DAY(INDEX('Сводный годовой график'!$BA$4:$BL$14,$C12,MONTH($B$4)))=S$3,1,0)</f>
        <v>0</v>
      </c>
      <c r="CZ13" s="58">
        <f>IF(DAY(INDEX('Сводный годовой график'!$BA$4:$BL$14,$C12,MONTH($B$4)))=T$3,1,0)</f>
        <v>0</v>
      </c>
      <c r="DA13" s="58">
        <f>IF(DAY(INDEX('Сводный годовой график'!$BA$4:$BL$14,$C12,MONTH($B$4)))=U$3,1,0)</f>
        <v>0</v>
      </c>
      <c r="DB13" s="58">
        <f>IF(DAY(INDEX('Сводный годовой график'!$BA$4:$BL$14,$C12,MONTH($B$4)))=V$3,1,0)</f>
        <v>0</v>
      </c>
      <c r="DC13" s="58">
        <f>IF(DAY(INDEX('Сводный годовой график'!$BA$4:$BL$14,$C12,MONTH($B$4)))=W$3,1,0)</f>
        <v>0</v>
      </c>
      <c r="DD13" s="58">
        <f>IF(DAY(INDEX('Сводный годовой график'!$BA$4:$BL$14,$C12,MONTH($B$4)))=X$3,1,0)</f>
        <v>0</v>
      </c>
      <c r="DE13" s="58">
        <f>IF(DAY(INDEX('Сводный годовой график'!$BA$4:$BL$14,$C12,MONTH($B$4)))=Y$3,1,0)</f>
        <v>0</v>
      </c>
      <c r="DF13" s="58">
        <f>IF(DAY(INDEX('Сводный годовой график'!$BA$4:$BL$14,$C12,MONTH($B$4)))=Z$3,1,0)</f>
        <v>0</v>
      </c>
      <c r="DG13" s="58">
        <f>IF(DAY(INDEX('Сводный годовой график'!$BA$4:$BL$14,$C12,MONTH($B$4)))=AA$3,1,0)</f>
        <v>0</v>
      </c>
      <c r="DH13" s="58">
        <f>IF(DAY(INDEX('Сводный годовой график'!$BA$4:$BL$14,$C12,MONTH($B$4)))=AB$3,1,0)</f>
        <v>0</v>
      </c>
      <c r="DI13" s="58">
        <f>IF(DAY(INDEX('Сводный годовой график'!$BA$4:$BL$14,$C12,MONTH($B$4)))=AC$3,1,0)</f>
        <v>0</v>
      </c>
      <c r="DJ13" s="58">
        <f>IF(DAY(INDEX('Сводный годовой график'!$BA$4:$BL$14,$C12,MONTH($B$4)))=AD$3,1,0)</f>
        <v>0</v>
      </c>
      <c r="DK13" s="58">
        <f>IF(DAY(INDEX('Сводный годовой график'!$BA$4:$BL$14,$C12,MONTH($B$4)))=AE$3,1,0)</f>
        <v>0</v>
      </c>
      <c r="DL13" s="58">
        <f>IF(DAY(INDEX('Сводный годовой график'!$BA$4:$BL$14,$C12,MONTH($B$4)))=AF$3,1,0)</f>
        <v>0</v>
      </c>
      <c r="DM13" s="58">
        <f>IF(DAY(INDEX('Сводный годовой график'!$BA$4:$BL$14,$C12,MONTH($B$4)))=AG$3,1,0)</f>
        <v>0</v>
      </c>
      <c r="DN13" s="58">
        <f>IF(DAY(INDEX('Сводный годовой график'!$BA$4:$BL$14,$C12,MONTH($B$4)))=AH$3,1,0)</f>
        <v>0</v>
      </c>
      <c r="DO13" s="58">
        <f>IF(DAY(INDEX('Сводный годовой график'!$BA$4:$BL$14,$C12,MONTH($B$4)))=AI$3,1,0)</f>
        <v>0</v>
      </c>
    </row>
    <row r="14" spans="2:119" ht="17.25" customHeight="1" thickTop="1" thickBot="1" x14ac:dyDescent="0.3">
      <c r="B14" s="200">
        <f>DATE($AV$1,2,1)</f>
        <v>45689</v>
      </c>
      <c r="C14" s="196">
        <v>1</v>
      </c>
      <c r="D14" s="81">
        <v>1</v>
      </c>
      <c r="E14" s="83">
        <f ca="1">IF(AND(INDEX('Сводный годовой график'!$C$1:$AR$4,MATCH($C$14,'Сводный годовой график'!$B$1:$B$4),MATCH(DATE($AV$1,MONTH($B$14),E$3),'Сводный годовой график'!$C$6:$AR$6))&lt;&gt;12,INDIRECT(ADDRESS(ROW()+1,COLUMN()))="СП"),8,INDEX('Сводный годовой график'!$C$1:$AR$4,MATCH($C$14,'Сводный годовой график'!$B$1:$B$4),MATCH(DATE($AV$1,MONTH($B$14),E$3),'Сводный годовой график'!$C$6:$AR$6)))</f>
        <v>12</v>
      </c>
      <c r="F14" s="28">
        <f ca="1">IF(AND(INDEX('Сводный годовой график'!$C$1:$AR$4,MATCH($C$14,'Сводный годовой график'!$B$1:$B$4),MATCH(DATE($AV$1,MONTH($B$14),F$3),'Сводный годовой график'!$C$6:$AR$6))&lt;&gt;12,INDIRECT(ADDRESS(ROW()+1,COLUMN()))="СП"),8,INDEX('Сводный годовой график'!$C$1:$AR$4,MATCH($C$14,'Сводный годовой график'!$B$1:$B$4),MATCH(DATE($AV$1,MONTH($B$14),F$3),'Сводный годовой график'!$C$6:$AR$6)))</f>
        <v>8</v>
      </c>
      <c r="G14" s="28">
        <f ca="1">IF(AND(INDEX('Сводный годовой график'!$C$1:$AR$4,MATCH($C$14,'Сводный годовой график'!$B$1:$B$4),MATCH(DATE($AV$1,MONTH($B$14),G$3),'Сводный годовой график'!$C$6:$AR$6))&lt;&gt;12,INDIRECT(ADDRESS(ROW()+1,COLUMN()))="СП"),8,INDEX('Сводный годовой график'!$C$1:$AR$4,MATCH($C$14,'Сводный годовой график'!$B$1:$B$4),MATCH(DATE($AV$1,MONTH($B$14),G$3),'Сводный годовой график'!$C$6:$AR$6)))</f>
        <v>0</v>
      </c>
      <c r="H14" s="28">
        <f ca="1">IF(AND(INDEX('Сводный годовой график'!$C$1:$AR$4,MATCH($C$14,'Сводный годовой график'!$B$1:$B$4),MATCH(DATE($AV$1,MONTH($B$14),H$3),'Сводный годовой график'!$C$6:$AR$6))&lt;&gt;12,INDIRECT(ADDRESS(ROW()+1,COLUMN()))="СП"),8,INDEX('Сводный годовой график'!$C$1:$AR$4,MATCH($C$14,'Сводный годовой график'!$B$1:$B$4),MATCH(DATE($AV$1,MONTH($B$14),H$3),'Сводный годовой график'!$C$6:$AR$6)))</f>
        <v>4</v>
      </c>
      <c r="I14" s="28">
        <f ca="1">IF(AND(INDEX('Сводный годовой график'!$C$1:$AR$4,MATCH($C$14,'Сводный годовой график'!$B$1:$B$4),MATCH(DATE($AV$1,MONTH($B$14),I$3),'Сводный годовой график'!$C$6:$AR$6))&lt;&gt;12,INDIRECT(ADDRESS(ROW()+1,COLUMN()))="СП"),8,INDEX('Сводный годовой график'!$C$1:$AR$4,MATCH($C$14,'Сводный годовой график'!$B$1:$B$4),MATCH(DATE($AV$1,MONTH($B$14),I$3),'Сводный годовой график'!$C$6:$AR$6)))</f>
        <v>8</v>
      </c>
      <c r="J14" s="28">
        <f ca="1">IF(AND(INDEX('Сводный годовой график'!$C$1:$AR$4,MATCH($C$14,'Сводный годовой график'!$B$1:$B$4),MATCH(DATE($AV$1,MONTH($B$14),J$3),'Сводный годовой график'!$C$6:$AR$6))&lt;&gt;12,INDIRECT(ADDRESS(ROW()+1,COLUMN()))="СП"),8,INDEX('Сводный годовой график'!$C$1:$AR$4,MATCH($C$14,'Сводный годовой график'!$B$1:$B$4),MATCH(DATE($AV$1,MONTH($B$14),J$3),'Сводный годовой график'!$C$6:$AR$6)))</f>
        <v>12</v>
      </c>
      <c r="K14" s="28">
        <f ca="1">IF(AND(INDEX('Сводный годовой график'!$C$1:$AR$4,MATCH($C$14,'Сводный годовой график'!$B$1:$B$4),MATCH(DATE($AV$1,MONTH($B$14),K$3),'Сводный годовой график'!$C$6:$AR$6))&lt;&gt;12,INDIRECT(ADDRESS(ROW()+1,COLUMN()))="СП"),8,INDEX('Сводный годовой график'!$C$1:$AR$4,MATCH($C$14,'Сводный годовой график'!$B$1:$B$4),MATCH(DATE($AV$1,MONTH($B$14),K$3),'Сводный годовой график'!$C$6:$AR$6)))</f>
        <v>4</v>
      </c>
      <c r="L14" s="28">
        <f ca="1">IF(AND(INDEX('Сводный годовой график'!$C$1:$AR$4,MATCH($C$14,'Сводный годовой график'!$B$1:$B$4),MATCH(DATE($AV$1,MONTH($B$14),L$3),'Сводный годовой график'!$C$6:$AR$6))&lt;&gt;12,INDIRECT(ADDRESS(ROW()+1,COLUMN()))="СП"),8,INDEX('Сводный годовой график'!$C$1:$AR$4,MATCH($C$14,'Сводный годовой график'!$B$1:$B$4),MATCH(DATE($AV$1,MONTH($B$14),L$3),'Сводный годовой график'!$C$6:$AR$6)))</f>
        <v>8</v>
      </c>
      <c r="M14" s="28">
        <f ca="1">IF(AND(INDEX('Сводный годовой график'!$C$1:$AR$4,MATCH($C$14,'Сводный годовой график'!$B$1:$B$4),MATCH(DATE($AV$1,MONTH($B$14),M$3),'Сводный годовой график'!$C$6:$AR$6))&lt;&gt;12,INDIRECT(ADDRESS(ROW()+1,COLUMN()))="СП"),8,INDEX('Сводный годовой график'!$C$1:$AR$4,MATCH($C$14,'Сводный годовой график'!$B$1:$B$4),MATCH(DATE($AV$1,MONTH($B$14),M$3),'Сводный годовой график'!$C$6:$AR$6)))</f>
        <v>12</v>
      </c>
      <c r="N14" s="28">
        <f ca="1">IF(AND(INDEX('Сводный годовой график'!$C$1:$AR$4,MATCH($C$14,'Сводный годовой график'!$B$1:$B$4),MATCH(DATE($AV$1,MONTH($B$14),N$3),'Сводный годовой график'!$C$6:$AR$6))&lt;&gt;12,INDIRECT(ADDRESS(ROW()+1,COLUMN()))="СП"),8,INDEX('Сводный годовой график'!$C$1:$AR$4,MATCH($C$14,'Сводный годовой график'!$B$1:$B$4),MATCH(DATE($AV$1,MONTH($B$14),N$3),'Сводный годовой график'!$C$6:$AR$6)))</f>
        <v>0</v>
      </c>
      <c r="O14" s="28">
        <f ca="1">IF(AND(INDEX('Сводный годовой график'!$C$1:$AR$4,MATCH($C$14,'Сводный годовой график'!$B$1:$B$4),MATCH(DATE($AV$1,MONTH($B$14),O$3),'Сводный годовой график'!$C$6:$AR$6))&lt;&gt;12,INDIRECT(ADDRESS(ROW()+1,COLUMN()))="СП"),8,INDEX('Сводный годовой график'!$C$1:$AR$4,MATCH($C$14,'Сводный годовой график'!$B$1:$B$4),MATCH(DATE($AV$1,MONTH($B$14),O$3),'Сводный годовой график'!$C$6:$AR$6)))</f>
        <v>0</v>
      </c>
      <c r="P14" s="28">
        <f ca="1">IF(AND(INDEX('Сводный годовой график'!$C$1:$AR$4,MATCH($C$14,'Сводный годовой график'!$B$1:$B$4),MATCH(DATE($AV$1,MONTH($B$14),P$3),'Сводный годовой график'!$C$6:$AR$6))&lt;&gt;12,INDIRECT(ADDRESS(ROW()+1,COLUMN()))="СП"),8,INDEX('Сводный годовой график'!$C$1:$AR$4,MATCH($C$14,'Сводный годовой график'!$B$1:$B$4),MATCH(DATE($AV$1,MONTH($B$14),P$3),'Сводный годовой график'!$C$6:$AR$6)))</f>
        <v>4</v>
      </c>
      <c r="Q14" s="28">
        <f ca="1">IF(AND(INDEX('Сводный годовой график'!$C$1:$AR$4,MATCH($C$14,'Сводный годовой график'!$B$1:$B$4),MATCH(DATE($AV$1,MONTH($B$14),Q$3),'Сводный годовой график'!$C$6:$AR$6))&lt;&gt;12,INDIRECT(ADDRESS(ROW()+1,COLUMN()))="СП"),8,INDEX('Сводный годовой график'!$C$1:$AR$4,MATCH($C$14,'Сводный годовой график'!$B$1:$B$4),MATCH(DATE($AV$1,MONTH($B$14),Q$3),'Сводный годовой график'!$C$6:$AR$6)))</f>
        <v>8</v>
      </c>
      <c r="R14" s="28">
        <f ca="1">IF(AND(INDEX('Сводный годовой график'!$C$1:$AR$4,MATCH($C$14,'Сводный годовой график'!$B$1:$B$4),MATCH(DATE($AV$1,MONTH($B$14),R$3),'Сводный годовой график'!$C$6:$AR$6))&lt;&gt;12,INDIRECT(ADDRESS(ROW()+1,COLUMN()))="СП"),8,INDEX('Сводный годовой график'!$C$1:$AR$4,MATCH($C$14,'Сводный годовой график'!$B$1:$B$4),MATCH(DATE($AV$1,MONTH($B$14),R$3),'Сводный годовой график'!$C$6:$AR$6)))</f>
        <v>12</v>
      </c>
      <c r="S14" s="28">
        <f ca="1">IF(AND(INDEX('Сводный годовой график'!$C$1:$AR$4,MATCH($C$14,'Сводный годовой график'!$B$1:$B$4),MATCH(DATE($AV$1,MONTH($B$14),S$3),'Сводный годовой график'!$C$6:$AR$6))&lt;&gt;12,INDIRECT(ADDRESS(ROW()+1,COLUMN()))="СП"),8,INDEX('Сводный годовой график'!$C$1:$AR$4,MATCH($C$14,'Сводный годовой график'!$B$1:$B$4),MATCH(DATE($AV$1,MONTH($B$14),S$3),'Сводный годовой график'!$C$6:$AR$6)))</f>
        <v>4</v>
      </c>
      <c r="T14" s="28">
        <f ca="1">IF(AND(INDEX('Сводный годовой график'!$C$1:$AR$4,MATCH($C$14,'Сводный годовой график'!$B$1:$B$4),MATCH(DATE($AV$1,MONTH($B$14),T$3),'Сводный годовой график'!$C$6:$AR$6))&lt;&gt;12,INDIRECT(ADDRESS(ROW()+1,COLUMN()))="СП"),8,INDEX('Сводный годовой график'!$C$1:$AR$4,MATCH($C$14,'Сводный годовой график'!$B$1:$B$4),MATCH(DATE($AV$1,MONTH($B$14),T$3),'Сводный годовой график'!$C$6:$AR$6)))</f>
        <v>8</v>
      </c>
      <c r="U14" s="28">
        <f ca="1">IF(AND(INDEX('Сводный годовой график'!$C$1:$AR$4,MATCH($C$14,'Сводный годовой график'!$B$1:$B$4),MATCH(DATE($AV$1,MONTH($B$14),U$3),'Сводный годовой график'!$C$6:$AR$6))&lt;&gt;12,INDIRECT(ADDRESS(ROW()+1,COLUMN()))="СП"),8,INDEX('Сводный годовой график'!$C$1:$AR$4,MATCH($C$14,'Сводный годовой график'!$B$1:$B$4),MATCH(DATE($AV$1,MONTH($B$14),U$3),'Сводный годовой график'!$C$6:$AR$6)))</f>
        <v>12</v>
      </c>
      <c r="V14" s="28">
        <f ca="1">IF(AND(INDEX('Сводный годовой график'!$C$1:$AR$4,MATCH($C$14,'Сводный годовой график'!$B$1:$B$4),MATCH(DATE($AV$1,MONTH($B$14),V$3),'Сводный годовой график'!$C$6:$AR$6))&lt;&gt;12,INDIRECT(ADDRESS(ROW()+1,COLUMN()))="СП"),8,INDEX('Сводный годовой график'!$C$1:$AR$4,MATCH($C$14,'Сводный годовой график'!$B$1:$B$4),MATCH(DATE($AV$1,MONTH($B$14),V$3),'Сводный годовой график'!$C$6:$AR$6)))</f>
        <v>0</v>
      </c>
      <c r="W14" s="28">
        <f ca="1">IF(AND(INDEX('Сводный годовой график'!$C$1:$AR$4,MATCH($C$14,'Сводный годовой график'!$B$1:$B$4),MATCH(DATE($AV$1,MONTH($B$14),W$3),'Сводный годовой график'!$C$6:$AR$6))&lt;&gt;12,INDIRECT(ADDRESS(ROW()+1,COLUMN()))="СП"),8,INDEX('Сводный годовой график'!$C$1:$AR$4,MATCH($C$14,'Сводный годовой график'!$B$1:$B$4),MATCH(DATE($AV$1,MONTH($B$14),W$3),'Сводный годовой график'!$C$6:$AR$6)))</f>
        <v>0</v>
      </c>
      <c r="X14" s="28">
        <f ca="1">IF(AND(INDEX('Сводный годовой график'!$C$1:$AR$4,MATCH($C$14,'Сводный годовой график'!$B$1:$B$4),MATCH(DATE($AV$1,MONTH($B$14),X$3),'Сводный годовой график'!$C$6:$AR$6))&lt;&gt;12,INDIRECT(ADDRESS(ROW()+1,COLUMN()))="СП"),8,INDEX('Сводный годовой график'!$C$1:$AR$4,MATCH($C$14,'Сводный годовой график'!$B$1:$B$4),MATCH(DATE($AV$1,MONTH($B$14),X$3),'Сводный годовой график'!$C$6:$AR$6)))</f>
        <v>4</v>
      </c>
      <c r="Y14" s="28">
        <f ca="1">IF(AND(INDEX('Сводный годовой график'!$C$1:$AR$4,MATCH($C$14,'Сводный годовой график'!$B$1:$B$4),MATCH(DATE($AV$1,MONTH($B$14),Y$3),'Сводный годовой график'!$C$6:$AR$6))&lt;&gt;12,INDIRECT(ADDRESS(ROW()+1,COLUMN()))="СП"),8,INDEX('Сводный годовой график'!$C$1:$AR$4,MATCH($C$14,'Сводный годовой график'!$B$1:$B$4),MATCH(DATE($AV$1,MONTH($B$14),Y$3),'Сводный годовой график'!$C$6:$AR$6)))</f>
        <v>8</v>
      </c>
      <c r="Z14" s="28">
        <f ca="1">IF(AND(INDEX('Сводный годовой график'!$C$1:$AR$4,MATCH($C$14,'Сводный годовой график'!$B$1:$B$4),MATCH(DATE($AV$1,MONTH($B$14),Z$3),'Сводный годовой график'!$C$6:$AR$6))&lt;&gt;12,INDIRECT(ADDRESS(ROW()+1,COLUMN()))="СП"),8,INDEX('Сводный годовой график'!$C$1:$AR$4,MATCH($C$14,'Сводный годовой график'!$B$1:$B$4),MATCH(DATE($AV$1,MONTH($B$14),Z$3),'Сводный годовой график'!$C$6:$AR$6)))</f>
        <v>12</v>
      </c>
      <c r="AA14" s="28">
        <f ca="1">IF(AND(INDEX('Сводный годовой график'!$C$1:$AR$4,MATCH($C$14,'Сводный годовой график'!$B$1:$B$4),MATCH(DATE($AV$1,MONTH($B$14),AA$3),'Сводный годовой график'!$C$6:$AR$6))&lt;&gt;12,INDIRECT(ADDRESS(ROW()+1,COLUMN()))="СП"),8,INDEX('Сводный годовой график'!$C$1:$AR$4,MATCH($C$14,'Сводный годовой график'!$B$1:$B$4),MATCH(DATE($AV$1,MONTH($B$14),AA$3),'Сводный годовой график'!$C$6:$AR$6)))</f>
        <v>4</v>
      </c>
      <c r="AB14" s="28">
        <f ca="1">IF(AND(INDEX('Сводный годовой график'!$C$1:$AR$4,MATCH($C$14,'Сводный годовой график'!$B$1:$B$4),MATCH(DATE($AV$1,MONTH($B$14),AB$3),'Сводный годовой график'!$C$6:$AR$6))&lt;&gt;12,INDIRECT(ADDRESS(ROW()+1,COLUMN()))="СП"),8,INDEX('Сводный годовой график'!$C$1:$AR$4,MATCH($C$14,'Сводный годовой график'!$B$1:$B$4),MATCH(DATE($AV$1,MONTH($B$14),AB$3),'Сводный годовой график'!$C$6:$AR$6)))</f>
        <v>8</v>
      </c>
      <c r="AC14" s="28">
        <f ca="1">IF(AND(INDEX('Сводный годовой график'!$C$1:$AR$4,MATCH($C$14,'Сводный годовой график'!$B$1:$B$4),MATCH(DATE($AV$1,MONTH($B$14),AC$3),'Сводный годовой график'!$C$6:$AR$6))&lt;&gt;12,INDIRECT(ADDRESS(ROW()+1,COLUMN()))="СП"),8,INDEX('Сводный годовой график'!$C$1:$AR$4,MATCH($C$14,'Сводный годовой график'!$B$1:$B$4),MATCH(DATE($AV$1,MONTH($B$14),AC$3),'Сводный годовой график'!$C$6:$AR$6)))</f>
        <v>12</v>
      </c>
      <c r="AD14" s="28">
        <f ca="1">IF(AND(INDEX('Сводный годовой график'!$C$1:$AR$4,MATCH($C$14,'Сводный годовой график'!$B$1:$B$4),MATCH(DATE($AV$1,MONTH($B$14),AD$3),'Сводный годовой график'!$C$6:$AR$6))&lt;&gt;12,INDIRECT(ADDRESS(ROW()+1,COLUMN()))="СП"),8,INDEX('Сводный годовой график'!$C$1:$AR$4,MATCH($C$14,'Сводный годовой график'!$B$1:$B$4),MATCH(DATE($AV$1,MONTH($B$14),AD$3),'Сводный годовой график'!$C$6:$AR$6)))</f>
        <v>0</v>
      </c>
      <c r="AE14" s="28">
        <f ca="1">IF(AND(INDEX('Сводный годовой график'!$C$1:$AR$4,MATCH($C$14,'Сводный годовой график'!$B$1:$B$4),MATCH(DATE($AV$1,MONTH($B$14),AE$3),'Сводный годовой график'!$C$6:$AR$6))&lt;&gt;12,INDIRECT(ADDRESS(ROW()+1,COLUMN()))="СП"),8,INDEX('Сводный годовой график'!$C$1:$AR$4,MATCH($C$14,'Сводный годовой график'!$B$1:$B$4),MATCH(DATE($AV$1,MONTH($B$14),AE$3),'Сводный годовой график'!$C$6:$AR$6)))</f>
        <v>0</v>
      </c>
      <c r="AF14" s="28">
        <f ca="1">IF(AND(INDEX('Сводный годовой график'!$C$1:$AR$4,MATCH($C$14,'Сводный годовой график'!$B$1:$B$4),MATCH(DATE($AV$1,MONTH($B$14),AF$3),'Сводный годовой график'!$C$6:$AR$6))&lt;&gt;12,INDIRECT(ADDRESS(ROW()+1,COLUMN()))="СП"),8,INDEX('Сводный годовой график'!$C$1:$AR$4,MATCH($C$14,'Сводный годовой график'!$B$1:$B$4),MATCH(DATE($AV$1,MONTH($B$14),AF$3),'Сводный годовой график'!$C$6:$AR$6)))</f>
        <v>4</v>
      </c>
      <c r="AG14" s="121"/>
      <c r="AH14" s="121"/>
      <c r="AI14" s="109"/>
      <c r="AJ14" s="205">
        <f>INDEX(Подключения!$D$3:$H$14,MONTH(B14),5)</f>
        <v>160</v>
      </c>
      <c r="AK14" s="203">
        <f>$AJ$14-SUM(AY14:CC15)</f>
        <v>160</v>
      </c>
      <c r="AL14" s="203">
        <f t="shared" ref="AL14" ca="1" si="16">SUM(E14:AI15)</f>
        <v>168</v>
      </c>
      <c r="AM14" s="203">
        <f ca="1">SUM(AA14)</f>
        <v>4</v>
      </c>
      <c r="AN14" s="208">
        <f t="shared" ref="AN14" ca="1" si="17">-AM14-AK14+AL14</f>
        <v>4</v>
      </c>
      <c r="AO14" s="208">
        <v>18</v>
      </c>
      <c r="AP14" s="208">
        <f ca="1">AN14+AP4-AO14</f>
        <v>-18</v>
      </c>
      <c r="AQ14" s="203">
        <v>0</v>
      </c>
      <c r="AR14" s="204">
        <v>1</v>
      </c>
      <c r="CK14" s="59"/>
      <c r="CL14" s="59"/>
      <c r="CM14" s="59"/>
      <c r="CN14" s="59"/>
      <c r="CO14" s="59"/>
      <c r="CP14" s="59"/>
      <c r="CQ14" s="59"/>
      <c r="CR14" s="59"/>
      <c r="CS14" s="59"/>
      <c r="CT14" s="59"/>
      <c r="CU14" s="59"/>
      <c r="CV14" s="59"/>
      <c r="CW14" s="59"/>
      <c r="CX14" s="59"/>
      <c r="CY14" s="59"/>
      <c r="CZ14" s="59"/>
      <c r="DA14" s="59"/>
      <c r="DB14" s="59"/>
      <c r="DC14" s="59"/>
      <c r="DD14" s="59"/>
      <c r="DE14" s="59"/>
      <c r="DF14" s="59"/>
      <c r="DG14" s="59"/>
      <c r="DH14" s="59"/>
      <c r="DI14" s="59"/>
      <c r="DJ14" s="59"/>
      <c r="DK14" s="59"/>
      <c r="DL14" s="59"/>
      <c r="DM14" s="59"/>
      <c r="DN14" s="59"/>
      <c r="DO14" s="59"/>
    </row>
    <row r="15" spans="2:119" ht="16.5" thickBot="1" x14ac:dyDescent="0.3">
      <c r="B15" s="201"/>
      <c r="C15" s="197"/>
      <c r="D15" s="82">
        <v>2</v>
      </c>
      <c r="E15" s="96" t="str">
        <f>IF(INDEX($CK$4:$DO$123,ROW()-3,E$3)=0,"","СП")</f>
        <v/>
      </c>
      <c r="F15" s="92" t="str">
        <f>IF(INDEX($CK$4:$DO$123,ROW()-3,F$3)=0,"","СП")</f>
        <v>СП</v>
      </c>
      <c r="G15" s="92" t="str">
        <f>IF(INDEX($CK$4:$DO$123,ROW()-3,G$3)=0,"","СП")</f>
        <v/>
      </c>
      <c r="H15" s="92" t="str">
        <f>IF(INDEX($CK$4:$DO$123,ROW()-3,H$3)=0,"","СП")</f>
        <v/>
      </c>
      <c r="I15" s="92" t="str">
        <f>IF(INDEX($CK$4:$DO$123,ROW()-3,I$3)=0,"","СП")</f>
        <v/>
      </c>
      <c r="J15" s="92" t="str">
        <f>IF(INDEX($CK$4:$DO$123,ROW()-3,J$3)=0,"","СП")</f>
        <v/>
      </c>
      <c r="K15" s="92" t="str">
        <f>IF(INDEX($CK$4:$DO$123,ROW()-3,K$3)=0,"","СП")</f>
        <v/>
      </c>
      <c r="L15" s="92" t="str">
        <f>IF(INDEX($CK$4:$DO$123,ROW()-3,L$3)=0,"","СП")</f>
        <v/>
      </c>
      <c r="M15" s="92" t="str">
        <f>IF(INDEX($CK$4:$DO$123,ROW()-3,M$3)=0,"","СП")</f>
        <v/>
      </c>
      <c r="N15" s="92" t="str">
        <f>IF(INDEX($CK$4:$DO$123,ROW()-3,N$3)=0,"","СП")</f>
        <v/>
      </c>
      <c r="O15" s="92" t="str">
        <f>IF(INDEX($CK$4:$DO$123,ROW()-3,O$3)=0,"","СП")</f>
        <v/>
      </c>
      <c r="P15" s="92" t="str">
        <f>IF(INDEX($CK$4:$DO$123,ROW()-3,P$3)=0,"","СП")</f>
        <v/>
      </c>
      <c r="Q15" s="92" t="str">
        <f>IF(INDEX($CK$4:$DO$123,ROW()-3,Q$3)=0,"","СП")</f>
        <v/>
      </c>
      <c r="R15" s="92" t="str">
        <f>IF(INDEX($CK$4:$DO$123,ROW()-3,R$3)=0,"","СП")</f>
        <v/>
      </c>
      <c r="S15" s="92" t="str">
        <f>IF(INDEX($CK$4:$DO$123,ROW()-3,S$3)=0,"","СП")</f>
        <v/>
      </c>
      <c r="T15" s="92" t="str">
        <f>IF(INDEX($CK$4:$DO$123,ROW()-3,T$3)=0,"","СП")</f>
        <v/>
      </c>
      <c r="U15" s="92" t="str">
        <f>IF(INDEX($CK$4:$DO$123,ROW()-3,U$3)=0,"","СП")</f>
        <v/>
      </c>
      <c r="V15" s="92" t="str">
        <f>IF(INDEX($CK$4:$DO$123,ROW()-3,V$3)=0,"","СП")</f>
        <v/>
      </c>
      <c r="W15" s="92" t="str">
        <f>IF(INDEX($CK$4:$DO$123,ROW()-3,W$3)=0,"","СП")</f>
        <v/>
      </c>
      <c r="X15" s="92" t="str">
        <f>IF(INDEX($CK$4:$DO$123,ROW()-3,X$3)=0,"","СП")</f>
        <v/>
      </c>
      <c r="Y15" s="92" t="str">
        <f>IF(INDEX($CK$4:$DO$123,ROW()-3,Y$3)=0,"","СП")</f>
        <v/>
      </c>
      <c r="Z15" s="92" t="str">
        <f>IF(INDEX($CK$4:$DO$123,ROW()-3,Z$3)=0,"","СП")</f>
        <v/>
      </c>
      <c r="AA15" s="92" t="str">
        <f>IF(INDEX($CK$4:$DO$123,ROW()-3,AA$3)=0,"","СП")</f>
        <v/>
      </c>
      <c r="AB15" s="92" t="str">
        <f>IF(INDEX($CK$4:$DO$123,ROW()-3,AB$3)=0,"","СП")</f>
        <v/>
      </c>
      <c r="AC15" s="92" t="str">
        <f>IF(INDEX($CK$4:$DO$123,ROW()-3,AC$3)=0,"","СП")</f>
        <v/>
      </c>
      <c r="AD15" s="92" t="str">
        <f>IF(INDEX($CK$4:$DO$123,ROW()-3,AD$3)=0,"","СП")</f>
        <v/>
      </c>
      <c r="AE15" s="92" t="str">
        <f>IF(INDEX($CK$4:$DO$123,ROW()-3,AE$3)=0,"","СП")</f>
        <v/>
      </c>
      <c r="AF15" s="92" t="str">
        <f>IF(INDEX($CK$4:$DO$123,ROW()-3,AF$3)=0,"","СП")</f>
        <v/>
      </c>
      <c r="AG15" s="119"/>
      <c r="AH15" s="119"/>
      <c r="AI15" s="110"/>
      <c r="AJ15" s="206"/>
      <c r="AK15" s="177"/>
      <c r="AL15" s="177"/>
      <c r="AM15" s="177"/>
      <c r="AN15" s="198"/>
      <c r="AO15" s="198"/>
      <c r="AP15" s="198"/>
      <c r="AQ15" s="177"/>
      <c r="AR15" s="179"/>
      <c r="CK15" s="58">
        <f>IF(DAY(INDEX('Сводный годовой график'!$BA$4:$BL$14,$C14,MONTH($B$14)))=E$3,1,0)</f>
        <v>0</v>
      </c>
      <c r="CL15" s="58">
        <f>IF(DAY(INDEX('Сводный годовой график'!$BA$4:$BL$14,$C14,MONTH($B$14)))=F$3,1,0)</f>
        <v>1</v>
      </c>
      <c r="CM15" s="58">
        <f>IF(DAY(INDEX('Сводный годовой график'!$BA$4:$BL$14,$C14,MONTH($B$14)))=G$3,1,0)</f>
        <v>0</v>
      </c>
      <c r="CN15" s="58">
        <f>IF(DAY(INDEX('Сводный годовой график'!$BA$4:$BL$14,$C14,MONTH($B$14)))=H$3,1,0)</f>
        <v>0</v>
      </c>
      <c r="CO15" s="58">
        <f>IF(DAY(INDEX('Сводный годовой график'!$BA$4:$BL$14,$C14,MONTH($B$14)))=I$3,1,0)</f>
        <v>0</v>
      </c>
      <c r="CP15" s="58">
        <f>IF(DAY(INDEX('Сводный годовой график'!$BA$4:$BL$14,$C14,MONTH($B$14)))=J$3,1,0)</f>
        <v>0</v>
      </c>
      <c r="CQ15" s="58">
        <f>IF(DAY(INDEX('Сводный годовой график'!$BA$4:$BL$14,$C14,MONTH($B$14)))=K$3,1,0)</f>
        <v>0</v>
      </c>
      <c r="CR15" s="58">
        <f>IF(DAY(INDEX('Сводный годовой график'!$BA$4:$BL$14,$C14,MONTH($B$14)))=L$3,1,0)</f>
        <v>0</v>
      </c>
      <c r="CS15" s="58">
        <f>IF(DAY(INDEX('Сводный годовой график'!$BA$4:$BL$14,$C14,MONTH($B$14)))=M$3,1,0)</f>
        <v>0</v>
      </c>
      <c r="CT15" s="58">
        <f>IF(DAY(INDEX('Сводный годовой график'!$BA$4:$BL$14,$C14,MONTH($B$14)))=N$3,1,0)</f>
        <v>0</v>
      </c>
      <c r="CU15" s="58">
        <f>IF(DAY(INDEX('Сводный годовой график'!$BA$4:$BL$14,$C14,MONTH($B$14)))=O$3,1,0)</f>
        <v>0</v>
      </c>
      <c r="CV15" s="58">
        <f>IF(DAY(INDEX('Сводный годовой график'!$BA$4:$BL$14,$C14,MONTH($B$14)))=P$3,1,0)</f>
        <v>0</v>
      </c>
      <c r="CW15" s="58">
        <f>IF(DAY(INDEX('Сводный годовой график'!$BA$4:$BL$14,$C14,MONTH($B$14)))=Q$3,1,0)</f>
        <v>0</v>
      </c>
      <c r="CX15" s="58">
        <f>IF(DAY(INDEX('Сводный годовой график'!$BA$4:$BL$14,$C14,MONTH($B$14)))=R$3,1,0)</f>
        <v>0</v>
      </c>
      <c r="CY15" s="58">
        <f>IF(DAY(INDEX('Сводный годовой график'!$BA$4:$BL$14,$C14,MONTH($B$14)))=S$3,1,0)</f>
        <v>0</v>
      </c>
      <c r="CZ15" s="58">
        <f>IF(DAY(INDEX('Сводный годовой график'!$BA$4:$BL$14,$C14,MONTH($B$14)))=T$3,1,0)</f>
        <v>0</v>
      </c>
      <c r="DA15" s="58">
        <f>IF(DAY(INDEX('Сводный годовой график'!$BA$4:$BL$14,$C14,MONTH($B$14)))=U$3,1,0)</f>
        <v>0</v>
      </c>
      <c r="DB15" s="58">
        <f>IF(DAY(INDEX('Сводный годовой график'!$BA$4:$BL$14,$C14,MONTH($B$14)))=V$3,1,0)</f>
        <v>0</v>
      </c>
      <c r="DC15" s="58">
        <f>IF(DAY(INDEX('Сводный годовой график'!$BA$4:$BL$14,$C14,MONTH($B$14)))=W$3,1,0)</f>
        <v>0</v>
      </c>
      <c r="DD15" s="58">
        <f>IF(DAY(INDEX('Сводный годовой график'!$BA$4:$BL$14,$C14,MONTH($B$14)))=X$3,1,0)</f>
        <v>0</v>
      </c>
      <c r="DE15" s="58">
        <f>IF(DAY(INDEX('Сводный годовой график'!$BA$4:$BL$14,$C14,MONTH($B$14)))=Y$3,1,0)</f>
        <v>0</v>
      </c>
      <c r="DF15" s="58">
        <f>IF(DAY(INDEX('Сводный годовой график'!$BA$4:$BL$14,$C14,MONTH($B$14)))=Z$3,1,0)</f>
        <v>0</v>
      </c>
      <c r="DG15" s="58">
        <f>IF(DAY(INDEX('Сводный годовой график'!$BA$4:$BL$14,$C14,MONTH($B$14)))=AA$3,1,0)</f>
        <v>0</v>
      </c>
      <c r="DH15" s="58">
        <f>IF(DAY(INDEX('Сводный годовой график'!$BA$4:$BL$14,$C14,MONTH($B$14)))=AB$3,1,0)</f>
        <v>0</v>
      </c>
      <c r="DI15" s="58">
        <f>IF(DAY(INDEX('Сводный годовой график'!$BA$4:$BL$14,$C14,MONTH($B$14)))=AC$3,1,0)</f>
        <v>0</v>
      </c>
      <c r="DJ15" s="58">
        <f>IF(DAY(INDEX('Сводный годовой график'!$BA$4:$BL$14,$C14,MONTH($B$14)))=AD$3,1,0)</f>
        <v>0</v>
      </c>
      <c r="DK15" s="58">
        <f>IF(DAY(INDEX('Сводный годовой график'!$BA$4:$BL$14,$C14,MONTH($B$14)))=AE$3,1,0)</f>
        <v>0</v>
      </c>
      <c r="DL15" s="58">
        <f>IF(DAY(INDEX('Сводный годовой график'!$BA$4:$BL$14,$C14,MONTH($B$14)))=AF$3,1,0)</f>
        <v>0</v>
      </c>
      <c r="DM15" s="58">
        <f>IF(DAY(INDEX('Сводный годовой график'!$BA$4:$BL$14,$C14,MONTH($B$14)))=AG$3,1,0)</f>
        <v>0</v>
      </c>
      <c r="DN15" s="58">
        <f>IF(DAY(INDEX('Сводный годовой график'!$BA$4:$BL$14,$C14,MONTH($B$14)))=AH$3,1,0)</f>
        <v>0</v>
      </c>
      <c r="DO15" s="58">
        <f>IF(DAY(INDEX('Сводный годовой график'!$BA$4:$BL$14,$C14,MONTH($B$14)))=AI$3,1,0)</f>
        <v>0</v>
      </c>
    </row>
    <row r="16" spans="2:119" ht="17.25" thickTop="1" thickBot="1" x14ac:dyDescent="0.3">
      <c r="B16" s="201"/>
      <c r="C16" s="196">
        <v>2</v>
      </c>
      <c r="D16" s="81">
        <v>3</v>
      </c>
      <c r="E16" s="96">
        <f ca="1">IF(AND(INDEX('Сводный годовой график'!$C$1:$AR$4,MATCH($C$16,'Сводный годовой график'!$B$1:$B$4),MATCH(DATE($AV$1,MONTH($B$14),E$3),'Сводный годовой график'!$C$6:$AR$6))&lt;&gt;12,INDIRECT(ADDRESS(ROW()+1,COLUMN()))="СП"),8,INDEX('Сводный годовой график'!$C$1:$AR$4,MATCH($C$16,'Сводный годовой график'!$B$1:$B$4),MATCH(DATE($AV$1,MONTH($B$14),E$3),'Сводный годовой график'!$C$6:$AR$6)))</f>
        <v>0</v>
      </c>
      <c r="F16" s="92">
        <f ca="1">IF(AND(INDEX('Сводный годовой график'!$C$1:$AR$4,MATCH($C$16,'Сводный годовой график'!$B$1:$B$4),MATCH(DATE($AV$1,MONTH($B$14),F$3),'Сводный годовой график'!$C$6:$AR$6))&lt;&gt;12,INDIRECT(ADDRESS(ROW()+1,COLUMN()))="СП"),8,INDEX('Сводный годовой график'!$C$1:$AR$4,MATCH($C$16,'Сводный годовой график'!$B$1:$B$4),MATCH(DATE($AV$1,MONTH($B$14),F$3),'Сводный годовой график'!$C$6:$AR$6)))</f>
        <v>4</v>
      </c>
      <c r="G16" s="92">
        <f ca="1">IF(AND(INDEX('Сводный годовой график'!$C$1:$AR$4,MATCH($C$16,'Сводный годовой график'!$B$1:$B$4),MATCH(DATE($AV$1,MONTH($B$14),G$3),'Сводный годовой график'!$C$6:$AR$6))&lt;&gt;12,INDIRECT(ADDRESS(ROW()+1,COLUMN()))="СП"),8,INDEX('Сводный годовой график'!$C$1:$AR$4,MATCH($C$16,'Сводный годовой график'!$B$1:$B$4),MATCH(DATE($AV$1,MONTH($B$14),G$3),'Сводный годовой график'!$C$6:$AR$6)))</f>
        <v>8</v>
      </c>
      <c r="H16" s="92">
        <f ca="1">IF(AND(INDEX('Сводный годовой график'!$C$1:$AR$4,MATCH($C$16,'Сводный годовой график'!$B$1:$B$4),MATCH(DATE($AV$1,MONTH($B$14),H$3),'Сводный годовой график'!$C$6:$AR$6))&lt;&gt;12,INDIRECT(ADDRESS(ROW()+1,COLUMN()))="СП"),8,INDEX('Сводный годовой график'!$C$1:$AR$4,MATCH($C$16,'Сводный годовой график'!$B$1:$B$4),MATCH(DATE($AV$1,MONTH($B$14),H$3),'Сводный годовой график'!$C$6:$AR$6)))</f>
        <v>12</v>
      </c>
      <c r="I16" s="92">
        <f ca="1">IF(AND(INDEX('Сводный годовой график'!$C$1:$AR$4,MATCH($C$16,'Сводный годовой график'!$B$1:$B$4),MATCH(DATE($AV$1,MONTH($B$14),I$3),'Сводный годовой график'!$C$6:$AR$6))&lt;&gt;12,INDIRECT(ADDRESS(ROW()+1,COLUMN()))="СП"),8,INDEX('Сводный годовой график'!$C$1:$AR$4,MATCH($C$16,'Сводный годовой график'!$B$1:$B$4),MATCH(DATE($AV$1,MONTH($B$14),I$3),'Сводный годовой график'!$C$6:$AR$6)))</f>
        <v>4</v>
      </c>
      <c r="J16" s="92">
        <f ca="1">IF(AND(INDEX('Сводный годовой график'!$C$1:$AR$4,MATCH($C$16,'Сводный годовой график'!$B$1:$B$4),MATCH(DATE($AV$1,MONTH($B$14),J$3),'Сводный годовой график'!$C$6:$AR$6))&lt;&gt;12,INDIRECT(ADDRESS(ROW()+1,COLUMN()))="СП"),8,INDEX('Сводный годовой график'!$C$1:$AR$4,MATCH($C$16,'Сводный годовой график'!$B$1:$B$4),MATCH(DATE($AV$1,MONTH($B$14),J$3),'Сводный годовой график'!$C$6:$AR$6)))</f>
        <v>8</v>
      </c>
      <c r="K16" s="92">
        <f ca="1">IF(AND(INDEX('Сводный годовой график'!$C$1:$AR$4,MATCH($C$16,'Сводный годовой график'!$B$1:$B$4),MATCH(DATE($AV$1,MONTH($B$14),K$3),'Сводный годовой график'!$C$6:$AR$6))&lt;&gt;12,INDIRECT(ADDRESS(ROW()+1,COLUMN()))="СП"),8,INDEX('Сводный годовой график'!$C$1:$AR$4,MATCH($C$16,'Сводный годовой график'!$B$1:$B$4),MATCH(DATE($AV$1,MONTH($B$14),K$3),'Сводный годовой график'!$C$6:$AR$6)))</f>
        <v>12</v>
      </c>
      <c r="L16" s="92">
        <f ca="1">IF(AND(INDEX('Сводный годовой график'!$C$1:$AR$4,MATCH($C$16,'Сводный годовой график'!$B$1:$B$4),MATCH(DATE($AV$1,MONTH($B$14),L$3),'Сводный годовой график'!$C$6:$AR$6))&lt;&gt;12,INDIRECT(ADDRESS(ROW()+1,COLUMN()))="СП"),8,INDEX('Сводный годовой график'!$C$1:$AR$4,MATCH($C$16,'Сводный годовой график'!$B$1:$B$4),MATCH(DATE($AV$1,MONTH($B$14),L$3),'Сводный годовой график'!$C$6:$AR$6)))</f>
        <v>0</v>
      </c>
      <c r="M16" s="92">
        <f ca="1">IF(AND(INDEX('Сводный годовой график'!$C$1:$AR$4,MATCH($C$16,'Сводный годовой график'!$B$1:$B$4),MATCH(DATE($AV$1,MONTH($B$14),M$3),'Сводный годовой график'!$C$6:$AR$6))&lt;&gt;12,INDIRECT(ADDRESS(ROW()+1,COLUMN()))="СП"),8,INDEX('Сводный годовой график'!$C$1:$AR$4,MATCH($C$16,'Сводный годовой график'!$B$1:$B$4),MATCH(DATE($AV$1,MONTH($B$14),M$3),'Сводный годовой график'!$C$6:$AR$6)))</f>
        <v>0</v>
      </c>
      <c r="N16" s="92">
        <f ca="1">IF(AND(INDEX('Сводный годовой график'!$C$1:$AR$4,MATCH($C$16,'Сводный годовой график'!$B$1:$B$4),MATCH(DATE($AV$1,MONTH($B$14),N$3),'Сводный годовой график'!$C$6:$AR$6))&lt;&gt;12,INDIRECT(ADDRESS(ROW()+1,COLUMN()))="СП"),8,INDEX('Сводный годовой график'!$C$1:$AR$4,MATCH($C$16,'Сводный годовой график'!$B$1:$B$4),MATCH(DATE($AV$1,MONTH($B$14),N$3),'Сводный годовой график'!$C$6:$AR$6)))</f>
        <v>4</v>
      </c>
      <c r="O16" s="92">
        <f ca="1">IF(AND(INDEX('Сводный годовой график'!$C$1:$AR$4,MATCH($C$16,'Сводный годовой график'!$B$1:$B$4),MATCH(DATE($AV$1,MONTH($B$14),O$3),'Сводный годовой график'!$C$6:$AR$6))&lt;&gt;12,INDIRECT(ADDRESS(ROW()+1,COLUMN()))="СП"),8,INDEX('Сводный годовой график'!$C$1:$AR$4,MATCH($C$16,'Сводный годовой график'!$B$1:$B$4),MATCH(DATE($AV$1,MONTH($B$14),O$3),'Сводный годовой график'!$C$6:$AR$6)))</f>
        <v>8</v>
      </c>
      <c r="P16" s="92">
        <f ca="1">IF(AND(INDEX('Сводный годовой график'!$C$1:$AR$4,MATCH($C$16,'Сводный годовой график'!$B$1:$B$4),MATCH(DATE($AV$1,MONTH($B$14),P$3),'Сводный годовой график'!$C$6:$AR$6))&lt;&gt;12,INDIRECT(ADDRESS(ROW()+1,COLUMN()))="СП"),8,INDEX('Сводный годовой график'!$C$1:$AR$4,MATCH($C$16,'Сводный годовой график'!$B$1:$B$4),MATCH(DATE($AV$1,MONTH($B$14),P$3),'Сводный годовой график'!$C$6:$AR$6)))</f>
        <v>12</v>
      </c>
      <c r="Q16" s="92">
        <f ca="1">IF(AND(INDEX('Сводный годовой график'!$C$1:$AR$4,MATCH($C$16,'Сводный годовой график'!$B$1:$B$4),MATCH(DATE($AV$1,MONTH($B$14),Q$3),'Сводный годовой график'!$C$6:$AR$6))&lt;&gt;12,INDIRECT(ADDRESS(ROW()+1,COLUMN()))="СП"),8,INDEX('Сводный годовой график'!$C$1:$AR$4,MATCH($C$16,'Сводный годовой график'!$B$1:$B$4),MATCH(DATE($AV$1,MONTH($B$14),Q$3),'Сводный годовой график'!$C$6:$AR$6)))</f>
        <v>4</v>
      </c>
      <c r="R16" s="92">
        <f ca="1">IF(AND(INDEX('Сводный годовой график'!$C$1:$AR$4,MATCH($C$16,'Сводный годовой график'!$B$1:$B$4),MATCH(DATE($AV$1,MONTH($B$14),R$3),'Сводный годовой график'!$C$6:$AR$6))&lt;&gt;12,INDIRECT(ADDRESS(ROW()+1,COLUMN()))="СП"),8,INDEX('Сводный годовой график'!$C$1:$AR$4,MATCH($C$16,'Сводный годовой график'!$B$1:$B$4),MATCH(DATE($AV$1,MONTH($B$14),R$3),'Сводный годовой график'!$C$6:$AR$6)))</f>
        <v>8</v>
      </c>
      <c r="S16" s="92">
        <f ca="1">IF(AND(INDEX('Сводный годовой график'!$C$1:$AR$4,MATCH($C$16,'Сводный годовой график'!$B$1:$B$4),MATCH(DATE($AV$1,MONTH($B$14),S$3),'Сводный годовой график'!$C$6:$AR$6))&lt;&gt;12,INDIRECT(ADDRESS(ROW()+1,COLUMN()))="СП"),8,INDEX('Сводный годовой график'!$C$1:$AR$4,MATCH($C$16,'Сводный годовой график'!$B$1:$B$4),MATCH(DATE($AV$1,MONTH($B$14),S$3),'Сводный годовой график'!$C$6:$AR$6)))</f>
        <v>12</v>
      </c>
      <c r="T16" s="92">
        <f ca="1">IF(AND(INDEX('Сводный годовой график'!$C$1:$AR$4,MATCH($C$16,'Сводный годовой график'!$B$1:$B$4),MATCH(DATE($AV$1,MONTH($B$14),T$3),'Сводный годовой график'!$C$6:$AR$6))&lt;&gt;12,INDIRECT(ADDRESS(ROW()+1,COLUMN()))="СП"),8,INDEX('Сводный годовой график'!$C$1:$AR$4,MATCH($C$16,'Сводный годовой график'!$B$1:$B$4),MATCH(DATE($AV$1,MONTH($B$14),T$3),'Сводный годовой график'!$C$6:$AR$6)))</f>
        <v>0</v>
      </c>
      <c r="U16" s="92">
        <f ca="1">IF(AND(INDEX('Сводный годовой график'!$C$1:$AR$4,MATCH($C$16,'Сводный годовой график'!$B$1:$B$4),MATCH(DATE($AV$1,MONTH($B$14),U$3),'Сводный годовой график'!$C$6:$AR$6))&lt;&gt;12,INDIRECT(ADDRESS(ROW()+1,COLUMN()))="СП"),8,INDEX('Сводный годовой график'!$C$1:$AR$4,MATCH($C$16,'Сводный годовой график'!$B$1:$B$4),MATCH(DATE($AV$1,MONTH($B$14),U$3),'Сводный годовой график'!$C$6:$AR$6)))</f>
        <v>0</v>
      </c>
      <c r="V16" s="92">
        <f ca="1">IF(AND(INDEX('Сводный годовой график'!$C$1:$AR$4,MATCH($C$16,'Сводный годовой график'!$B$1:$B$4),MATCH(DATE($AV$1,MONTH($B$14),V$3),'Сводный годовой график'!$C$6:$AR$6))&lt;&gt;12,INDIRECT(ADDRESS(ROW()+1,COLUMN()))="СП"),8,INDEX('Сводный годовой график'!$C$1:$AR$4,MATCH($C$16,'Сводный годовой график'!$B$1:$B$4),MATCH(DATE($AV$1,MONTH($B$14),V$3),'Сводный годовой график'!$C$6:$AR$6)))</f>
        <v>4</v>
      </c>
      <c r="W16" s="92">
        <f ca="1">IF(AND(INDEX('Сводный годовой график'!$C$1:$AR$4,MATCH($C$16,'Сводный годовой график'!$B$1:$B$4),MATCH(DATE($AV$1,MONTH($B$14),W$3),'Сводный годовой график'!$C$6:$AR$6))&lt;&gt;12,INDIRECT(ADDRESS(ROW()+1,COLUMN()))="СП"),8,INDEX('Сводный годовой график'!$C$1:$AR$4,MATCH($C$16,'Сводный годовой график'!$B$1:$B$4),MATCH(DATE($AV$1,MONTH($B$14),W$3),'Сводный годовой график'!$C$6:$AR$6)))</f>
        <v>8</v>
      </c>
      <c r="X16" s="92">
        <f ca="1">IF(AND(INDEX('Сводный годовой график'!$C$1:$AR$4,MATCH($C$16,'Сводный годовой график'!$B$1:$B$4),MATCH(DATE($AV$1,MONTH($B$14),X$3),'Сводный годовой график'!$C$6:$AR$6))&lt;&gt;12,INDIRECT(ADDRESS(ROW()+1,COLUMN()))="СП"),8,INDEX('Сводный годовой график'!$C$1:$AR$4,MATCH($C$16,'Сводный годовой график'!$B$1:$B$4),MATCH(DATE($AV$1,MONTH($B$14),X$3),'Сводный годовой график'!$C$6:$AR$6)))</f>
        <v>12</v>
      </c>
      <c r="Y16" s="92">
        <f ca="1">IF(AND(INDEX('Сводный годовой график'!$C$1:$AR$4,MATCH($C$16,'Сводный годовой график'!$B$1:$B$4),MATCH(DATE($AV$1,MONTH($B$14),Y$3),'Сводный годовой график'!$C$6:$AR$6))&lt;&gt;12,INDIRECT(ADDRESS(ROW()+1,COLUMN()))="СП"),8,INDEX('Сводный годовой график'!$C$1:$AR$4,MATCH($C$16,'Сводный годовой график'!$B$1:$B$4),MATCH(DATE($AV$1,MONTH($B$14),Y$3),'Сводный годовой график'!$C$6:$AR$6)))</f>
        <v>4</v>
      </c>
      <c r="Z16" s="92">
        <f ca="1">IF(AND(INDEX('Сводный годовой график'!$C$1:$AR$4,MATCH($C$16,'Сводный годовой график'!$B$1:$B$4),MATCH(DATE($AV$1,MONTH($B$14),Z$3),'Сводный годовой график'!$C$6:$AR$6))&lt;&gt;12,INDIRECT(ADDRESS(ROW()+1,COLUMN()))="СП"),8,INDEX('Сводный годовой график'!$C$1:$AR$4,MATCH($C$16,'Сводный годовой график'!$B$1:$B$4),MATCH(DATE($AV$1,MONTH($B$14),Z$3),'Сводный годовой график'!$C$6:$AR$6)))</f>
        <v>8</v>
      </c>
      <c r="AA16" s="92">
        <f ca="1">IF(AND(INDEX('Сводный годовой график'!$C$1:$AR$4,MATCH($C$16,'Сводный годовой график'!$B$1:$B$4),MATCH(DATE($AV$1,MONTH($B$14),AA$3),'Сводный годовой график'!$C$6:$AR$6))&lt;&gt;12,INDIRECT(ADDRESS(ROW()+1,COLUMN()))="СП"),8,INDEX('Сводный годовой график'!$C$1:$AR$4,MATCH($C$16,'Сводный годовой график'!$B$1:$B$4),MATCH(DATE($AV$1,MONTH($B$14),AA$3),'Сводный годовой график'!$C$6:$AR$6)))</f>
        <v>12</v>
      </c>
      <c r="AB16" s="92">
        <f ca="1">IF(AND(INDEX('Сводный годовой график'!$C$1:$AR$4,MATCH($C$16,'Сводный годовой график'!$B$1:$B$4),MATCH(DATE($AV$1,MONTH($B$14),AB$3),'Сводный годовой график'!$C$6:$AR$6))&lt;&gt;12,INDIRECT(ADDRESS(ROW()+1,COLUMN()))="СП"),8,INDEX('Сводный годовой график'!$C$1:$AR$4,MATCH($C$16,'Сводный годовой график'!$B$1:$B$4),MATCH(DATE($AV$1,MONTH($B$14),AB$3),'Сводный годовой график'!$C$6:$AR$6)))</f>
        <v>0</v>
      </c>
      <c r="AC16" s="92">
        <f ca="1">IF(AND(INDEX('Сводный годовой график'!$C$1:$AR$4,MATCH($C$16,'Сводный годовой график'!$B$1:$B$4),MATCH(DATE($AV$1,MONTH($B$14),AC$3),'Сводный годовой график'!$C$6:$AR$6))&lt;&gt;12,INDIRECT(ADDRESS(ROW()+1,COLUMN()))="СП"),8,INDEX('Сводный годовой график'!$C$1:$AR$4,MATCH($C$16,'Сводный годовой график'!$B$1:$B$4),MATCH(DATE($AV$1,MONTH($B$14),AC$3),'Сводный годовой график'!$C$6:$AR$6)))</f>
        <v>0</v>
      </c>
      <c r="AD16" s="92">
        <f ca="1">IF(AND(INDEX('Сводный годовой график'!$C$1:$AR$4,MATCH($C$16,'Сводный годовой график'!$B$1:$B$4),MATCH(DATE($AV$1,MONTH($B$14),AD$3),'Сводный годовой график'!$C$6:$AR$6))&lt;&gt;12,INDIRECT(ADDRESS(ROW()+1,COLUMN()))="СП"),8,INDEX('Сводный годовой график'!$C$1:$AR$4,MATCH($C$16,'Сводный годовой график'!$B$1:$B$4),MATCH(DATE($AV$1,MONTH($B$14),AD$3),'Сводный годовой график'!$C$6:$AR$6)))</f>
        <v>4</v>
      </c>
      <c r="AE16" s="92">
        <f ca="1">IF(AND(INDEX('Сводный годовой график'!$C$1:$AR$4,MATCH($C$16,'Сводный годовой график'!$B$1:$B$4),MATCH(DATE($AV$1,MONTH($B$14),AE$3),'Сводный годовой график'!$C$6:$AR$6))&lt;&gt;12,INDIRECT(ADDRESS(ROW()+1,COLUMN()))="СП"),8,INDEX('Сводный годовой график'!$C$1:$AR$4,MATCH($C$16,'Сводный годовой график'!$B$1:$B$4),MATCH(DATE($AV$1,MONTH($B$14),AE$3),'Сводный годовой график'!$C$6:$AR$6)))</f>
        <v>8</v>
      </c>
      <c r="AF16" s="92">
        <f ca="1">IF(AND(INDEX('Сводный годовой график'!$C$1:$AR$4,MATCH($C$16,'Сводный годовой график'!$B$1:$B$4),MATCH(DATE($AV$1,MONTH($B$14),AF$3),'Сводный годовой график'!$C$6:$AR$6))&lt;&gt;12,INDIRECT(ADDRESS(ROW()+1,COLUMN()))="СП"),8,INDEX('Сводный годовой график'!$C$1:$AR$4,MATCH($C$16,'Сводный годовой график'!$B$1:$B$4),MATCH(DATE($AV$1,MONTH($B$14),AF$3),'Сводный годовой график'!$C$6:$AR$6)))</f>
        <v>12</v>
      </c>
      <c r="AG16" s="119"/>
      <c r="AH16" s="119"/>
      <c r="AI16" s="110"/>
      <c r="AJ16" s="206"/>
      <c r="AK16" s="177">
        <f>$AJ$14-SUM(AY16:CC17)</f>
        <v>160</v>
      </c>
      <c r="AL16" s="177">
        <f t="shared" ref="AL16" ca="1" si="18">SUM(E16:AI17)</f>
        <v>168</v>
      </c>
      <c r="AM16" s="177">
        <f ca="1">SUM(AA16)</f>
        <v>12</v>
      </c>
      <c r="AN16" s="198">
        <f t="shared" ref="AN16" ca="1" si="19">-AM16-AK16+AL16</f>
        <v>-4</v>
      </c>
      <c r="AO16" s="198">
        <v>12</v>
      </c>
      <c r="AP16" s="208">
        <f ca="1">AN16+AP6-AO16</f>
        <v>-8</v>
      </c>
      <c r="AQ16" s="177">
        <v>0</v>
      </c>
      <c r="AR16" s="179">
        <v>1</v>
      </c>
      <c r="CK16" s="59"/>
      <c r="CL16" s="59"/>
      <c r="CM16" s="59"/>
      <c r="CN16" s="59"/>
      <c r="CO16" s="59"/>
      <c r="CP16" s="59"/>
      <c r="CQ16" s="59"/>
      <c r="CR16" s="59"/>
      <c r="CS16" s="59"/>
      <c r="CT16" s="59"/>
      <c r="CU16" s="59"/>
      <c r="CV16" s="59"/>
      <c r="CW16" s="59"/>
      <c r="CX16" s="59"/>
      <c r="CY16" s="59"/>
      <c r="CZ16" s="59"/>
      <c r="DA16" s="59"/>
      <c r="DB16" s="59"/>
      <c r="DC16" s="59"/>
      <c r="DD16" s="59"/>
      <c r="DE16" s="59"/>
      <c r="DF16" s="59"/>
      <c r="DG16" s="59"/>
      <c r="DH16" s="59"/>
      <c r="DI16" s="59"/>
      <c r="DJ16" s="59"/>
      <c r="DK16" s="59"/>
      <c r="DL16" s="59"/>
      <c r="DM16" s="59"/>
      <c r="DN16" s="59"/>
      <c r="DO16" s="59"/>
    </row>
    <row r="17" spans="2:119" ht="16.5" thickBot="1" x14ac:dyDescent="0.3">
      <c r="B17" s="201"/>
      <c r="C17" s="197"/>
      <c r="D17" s="82">
        <v>4</v>
      </c>
      <c r="E17" s="96" t="str">
        <f>IF(INDEX($CK$4:$DO$123,ROW()-3,E$3)=0,"","СП")</f>
        <v/>
      </c>
      <c r="F17" s="92" t="str">
        <f>IF(INDEX($CK$4:$DO$123,ROW()-3,F$3)=0,"","СП")</f>
        <v/>
      </c>
      <c r="G17" s="92" t="str">
        <f>IF(INDEX($CK$4:$DO$123,ROW()-3,G$3)=0,"","СП")</f>
        <v>СП</v>
      </c>
      <c r="H17" s="92" t="str">
        <f>IF(INDEX($CK$4:$DO$123,ROW()-3,H$3)=0,"","СП")</f>
        <v/>
      </c>
      <c r="I17" s="92" t="str">
        <f>IF(INDEX($CK$4:$DO$123,ROW()-3,I$3)=0,"","СП")</f>
        <v/>
      </c>
      <c r="J17" s="92" t="str">
        <f>IF(INDEX($CK$4:$DO$123,ROW()-3,J$3)=0,"","СП")</f>
        <v/>
      </c>
      <c r="K17" s="92" t="str">
        <f>IF(INDEX($CK$4:$DO$123,ROW()-3,K$3)=0,"","СП")</f>
        <v/>
      </c>
      <c r="L17" s="92" t="str">
        <f>IF(INDEX($CK$4:$DO$123,ROW()-3,L$3)=0,"","СП")</f>
        <v/>
      </c>
      <c r="M17" s="92" t="str">
        <f>IF(INDEX($CK$4:$DO$123,ROW()-3,M$3)=0,"","СП")</f>
        <v/>
      </c>
      <c r="N17" s="92" t="str">
        <f>IF(INDEX($CK$4:$DO$123,ROW()-3,N$3)=0,"","СП")</f>
        <v/>
      </c>
      <c r="O17" s="92" t="str">
        <f>IF(INDEX($CK$4:$DO$123,ROW()-3,O$3)=0,"","СП")</f>
        <v/>
      </c>
      <c r="P17" s="92" t="str">
        <f>IF(INDEX($CK$4:$DO$123,ROW()-3,P$3)=0,"","СП")</f>
        <v/>
      </c>
      <c r="Q17" s="92" t="str">
        <f>IF(INDEX($CK$4:$DO$123,ROW()-3,Q$3)=0,"","СП")</f>
        <v/>
      </c>
      <c r="R17" s="92" t="str">
        <f>IF(INDEX($CK$4:$DO$123,ROW()-3,R$3)=0,"","СП")</f>
        <v/>
      </c>
      <c r="S17" s="92" t="str">
        <f>IF(INDEX($CK$4:$DO$123,ROW()-3,S$3)=0,"","СП")</f>
        <v/>
      </c>
      <c r="T17" s="92" t="str">
        <f>IF(INDEX($CK$4:$DO$123,ROW()-3,T$3)=0,"","СП")</f>
        <v/>
      </c>
      <c r="U17" s="92" t="str">
        <f>IF(INDEX($CK$4:$DO$123,ROW()-3,U$3)=0,"","СП")</f>
        <v/>
      </c>
      <c r="V17" s="92" t="str">
        <f>IF(INDEX($CK$4:$DO$123,ROW()-3,V$3)=0,"","СП")</f>
        <v/>
      </c>
      <c r="W17" s="92" t="str">
        <f>IF(INDEX($CK$4:$DO$123,ROW()-3,W$3)=0,"","СП")</f>
        <v/>
      </c>
      <c r="X17" s="92" t="str">
        <f>IF(INDEX($CK$4:$DO$123,ROW()-3,X$3)=0,"","СП")</f>
        <v/>
      </c>
      <c r="Y17" s="92" t="str">
        <f>IF(INDEX($CK$4:$DO$123,ROW()-3,Y$3)=0,"","СП")</f>
        <v/>
      </c>
      <c r="Z17" s="92" t="str">
        <f>IF(INDEX($CK$4:$DO$123,ROW()-3,Z$3)=0,"","СП")</f>
        <v/>
      </c>
      <c r="AA17" s="92" t="str">
        <f>IF(INDEX($CK$4:$DO$123,ROW()-3,AA$3)=0,"","СП")</f>
        <v/>
      </c>
      <c r="AB17" s="92" t="str">
        <f>IF(INDEX($CK$4:$DO$123,ROW()-3,AB$3)=0,"","СП")</f>
        <v/>
      </c>
      <c r="AC17" s="92" t="str">
        <f>IF(INDEX($CK$4:$DO$123,ROW()-3,AC$3)=0,"","СП")</f>
        <v/>
      </c>
      <c r="AD17" s="92" t="str">
        <f>IF(INDEX($CK$4:$DO$123,ROW()-3,AD$3)=0,"","СП")</f>
        <v/>
      </c>
      <c r="AE17" s="92" t="str">
        <f>IF(INDEX($CK$4:$DO$123,ROW()-3,AE$3)=0,"","СП")</f>
        <v/>
      </c>
      <c r="AF17" s="92" t="str">
        <f>IF(INDEX($CK$4:$DO$123,ROW()-3,AF$3)=0,"","СП")</f>
        <v/>
      </c>
      <c r="AG17" s="119"/>
      <c r="AH17" s="119"/>
      <c r="AI17" s="110"/>
      <c r="AJ17" s="206"/>
      <c r="AK17" s="177"/>
      <c r="AL17" s="177"/>
      <c r="AM17" s="177"/>
      <c r="AN17" s="198"/>
      <c r="AO17" s="198"/>
      <c r="AP17" s="198"/>
      <c r="AQ17" s="177"/>
      <c r="AR17" s="179"/>
      <c r="CK17" s="58">
        <f>IF(DAY(INDEX('Сводный годовой график'!$BA$4:$BL$14,$C16,MONTH($B$14)))=E$3,1,0)</f>
        <v>0</v>
      </c>
      <c r="CL17" s="58">
        <f>IF(DAY(INDEX('Сводный годовой график'!$BA$4:$BL$14,$C16,MONTH($B$14)))=F$3,1,0)</f>
        <v>0</v>
      </c>
      <c r="CM17" s="58">
        <f>IF(DAY(INDEX('Сводный годовой график'!$BA$4:$BL$14,$C16,MONTH($B$14)))=G$3,1,0)</f>
        <v>1</v>
      </c>
      <c r="CN17" s="58">
        <f>IF(DAY(INDEX('Сводный годовой график'!$BA$4:$BL$14,$C16,MONTH($B$14)))=H$3,1,0)</f>
        <v>0</v>
      </c>
      <c r="CO17" s="58">
        <f>IF(DAY(INDEX('Сводный годовой график'!$BA$4:$BL$14,$C16,MONTH($B$14)))=I$3,1,0)</f>
        <v>0</v>
      </c>
      <c r="CP17" s="58">
        <f>IF(DAY(INDEX('Сводный годовой график'!$BA$4:$BL$14,$C16,MONTH($B$14)))=J$3,1,0)</f>
        <v>0</v>
      </c>
      <c r="CQ17" s="58">
        <f>IF(DAY(INDEX('Сводный годовой график'!$BA$4:$BL$14,$C16,MONTH($B$14)))=K$3,1,0)</f>
        <v>0</v>
      </c>
      <c r="CR17" s="58">
        <f>IF(DAY(INDEX('Сводный годовой график'!$BA$4:$BL$14,$C16,MONTH($B$14)))=L$3,1,0)</f>
        <v>0</v>
      </c>
      <c r="CS17" s="58">
        <f>IF(DAY(INDEX('Сводный годовой график'!$BA$4:$BL$14,$C16,MONTH($B$14)))=M$3,1,0)</f>
        <v>0</v>
      </c>
      <c r="CT17" s="58">
        <f>IF(DAY(INDEX('Сводный годовой график'!$BA$4:$BL$14,$C16,MONTH($B$14)))=N$3,1,0)</f>
        <v>0</v>
      </c>
      <c r="CU17" s="58">
        <f>IF(DAY(INDEX('Сводный годовой график'!$BA$4:$BL$14,$C16,MONTH($B$14)))=O$3,1,0)</f>
        <v>0</v>
      </c>
      <c r="CV17" s="58">
        <f>IF(DAY(INDEX('Сводный годовой график'!$BA$4:$BL$14,$C16,MONTH($B$14)))=P$3,1,0)</f>
        <v>0</v>
      </c>
      <c r="CW17" s="58">
        <f>IF(DAY(INDEX('Сводный годовой график'!$BA$4:$BL$14,$C16,MONTH($B$14)))=Q$3,1,0)</f>
        <v>0</v>
      </c>
      <c r="CX17" s="58">
        <f>IF(DAY(INDEX('Сводный годовой график'!$BA$4:$BL$14,$C16,MONTH($B$14)))=R$3,1,0)</f>
        <v>0</v>
      </c>
      <c r="CY17" s="58">
        <f>IF(DAY(INDEX('Сводный годовой график'!$BA$4:$BL$14,$C16,MONTH($B$14)))=S$3,1,0)</f>
        <v>0</v>
      </c>
      <c r="CZ17" s="58">
        <f>IF(DAY(INDEX('Сводный годовой график'!$BA$4:$BL$14,$C16,MONTH($B$14)))=T$3,1,0)</f>
        <v>0</v>
      </c>
      <c r="DA17" s="58">
        <f>IF(DAY(INDEX('Сводный годовой график'!$BA$4:$BL$14,$C16,MONTH($B$14)))=U$3,1,0)</f>
        <v>0</v>
      </c>
      <c r="DB17" s="58">
        <f>IF(DAY(INDEX('Сводный годовой график'!$BA$4:$BL$14,$C16,MONTH($B$14)))=V$3,1,0)</f>
        <v>0</v>
      </c>
      <c r="DC17" s="58">
        <f>IF(DAY(INDEX('Сводный годовой график'!$BA$4:$BL$14,$C16,MONTH($B$14)))=W$3,1,0)</f>
        <v>0</v>
      </c>
      <c r="DD17" s="58">
        <f>IF(DAY(INDEX('Сводный годовой график'!$BA$4:$BL$14,$C16,MONTH($B$14)))=X$3,1,0)</f>
        <v>0</v>
      </c>
      <c r="DE17" s="58">
        <f>IF(DAY(INDEX('Сводный годовой график'!$BA$4:$BL$14,$C16,MONTH($B$14)))=Y$3,1,0)</f>
        <v>0</v>
      </c>
      <c r="DF17" s="58">
        <f>IF(DAY(INDEX('Сводный годовой график'!$BA$4:$BL$14,$C16,MONTH($B$14)))=Z$3,1,0)</f>
        <v>0</v>
      </c>
      <c r="DG17" s="58">
        <f>IF(DAY(INDEX('Сводный годовой график'!$BA$4:$BL$14,$C16,MONTH($B$14)))=AA$3,1,0)</f>
        <v>0</v>
      </c>
      <c r="DH17" s="58">
        <f>IF(DAY(INDEX('Сводный годовой график'!$BA$4:$BL$14,$C16,MONTH($B$14)))=AB$3,1,0)</f>
        <v>0</v>
      </c>
      <c r="DI17" s="58">
        <f>IF(DAY(INDEX('Сводный годовой график'!$BA$4:$BL$14,$C16,MONTH($B$14)))=AC$3,1,0)</f>
        <v>0</v>
      </c>
      <c r="DJ17" s="58">
        <f>IF(DAY(INDEX('Сводный годовой график'!$BA$4:$BL$14,$C16,MONTH($B$14)))=AD$3,1,0)</f>
        <v>0</v>
      </c>
      <c r="DK17" s="58">
        <f>IF(DAY(INDEX('Сводный годовой график'!$BA$4:$BL$14,$C16,MONTH($B$14)))=AE$3,1,0)</f>
        <v>0</v>
      </c>
      <c r="DL17" s="58">
        <f>IF(DAY(INDEX('Сводный годовой график'!$BA$4:$BL$14,$C16,MONTH($B$14)))=AF$3,1,0)</f>
        <v>0</v>
      </c>
      <c r="DM17" s="58">
        <f>IF(DAY(INDEX('Сводный годовой график'!$BA$4:$BL$14,$C16,MONTH($B$14)))=AG$3,1,0)</f>
        <v>0</v>
      </c>
      <c r="DN17" s="58">
        <f>IF(DAY(INDEX('Сводный годовой график'!$BA$4:$BL$14,$C16,MONTH($B$14)))=AH$3,1,0)</f>
        <v>0</v>
      </c>
      <c r="DO17" s="58">
        <f>IF(DAY(INDEX('Сводный годовой график'!$BA$4:$BL$14,$C16,MONTH($B$14)))=AI$3,1,0)</f>
        <v>0</v>
      </c>
    </row>
    <row r="18" spans="2:119" ht="17.25" thickTop="1" thickBot="1" x14ac:dyDescent="0.3">
      <c r="B18" s="201"/>
      <c r="C18" s="196">
        <v>3</v>
      </c>
      <c r="D18" s="81">
        <v>5</v>
      </c>
      <c r="E18" s="96">
        <f ca="1">IF(AND(INDEX('Сводный годовой график'!$C$1:$AR$4,MATCH($C$18,'Сводный годовой график'!$B$1:$B$4),MATCH(DATE($AV$1,MONTH($B$14),E$3),'Сводный годовой график'!$C$6:$AR$6))&lt;&gt;12,INDIRECT(ADDRESS(ROW()+1,COLUMN()))="СП"),8,INDEX('Сводный годовой график'!$C$1:$AR$4,MATCH($C$18,'Сводный годовой график'!$B$1:$B$4),MATCH(DATE($AV$1,MONTH($B$14),E$3),'Сводный годовой график'!$C$6:$AR$6)))</f>
        <v>4</v>
      </c>
      <c r="F18" s="92">
        <f ca="1">IF(AND(INDEX('Сводный годовой график'!$C$1:$AR$4,MATCH($C$18,'Сводный годовой график'!$B$1:$B$4),MATCH(DATE($AV$1,MONTH($B$14),F$3),'Сводный годовой график'!$C$6:$AR$6))&lt;&gt;12,INDIRECT(ADDRESS(ROW()+1,COLUMN()))="СП"),8,INDEX('Сводный годовой график'!$C$1:$AR$4,MATCH($C$18,'Сводный годовой график'!$B$1:$B$4),MATCH(DATE($AV$1,MONTH($B$14),F$3),'Сводный годовой график'!$C$6:$AR$6)))</f>
        <v>8</v>
      </c>
      <c r="G18" s="92">
        <f ca="1">IF(AND(INDEX('Сводный годовой график'!$C$1:$AR$4,MATCH($C$18,'Сводный годовой график'!$B$1:$B$4),MATCH(DATE($AV$1,MONTH($B$14),G$3),'Сводный годовой график'!$C$6:$AR$6))&lt;&gt;12,INDIRECT(ADDRESS(ROW()+1,COLUMN()))="СП"),8,INDEX('Сводный годовой график'!$C$1:$AR$4,MATCH($C$18,'Сводный годовой график'!$B$1:$B$4),MATCH(DATE($AV$1,MONTH($B$14),G$3),'Сводный годовой график'!$C$6:$AR$6)))</f>
        <v>12</v>
      </c>
      <c r="H18" s="92">
        <f ca="1">IF(AND(INDEX('Сводный годовой график'!$C$1:$AR$4,MATCH($C$18,'Сводный годовой график'!$B$1:$B$4),MATCH(DATE($AV$1,MONTH($B$14),H$3),'Сводный годовой график'!$C$6:$AR$6))&lt;&gt;12,INDIRECT(ADDRESS(ROW()+1,COLUMN()))="СП"),8,INDEX('Сводный годовой график'!$C$1:$AR$4,MATCH($C$18,'Сводный годовой график'!$B$1:$B$4),MATCH(DATE($AV$1,MONTH($B$14),H$3),'Сводный годовой график'!$C$6:$AR$6)))</f>
        <v>8</v>
      </c>
      <c r="I18" s="92">
        <f ca="1">IF(AND(INDEX('Сводный годовой график'!$C$1:$AR$4,MATCH($C$18,'Сводный годовой график'!$B$1:$B$4),MATCH(DATE($AV$1,MONTH($B$14),I$3),'Сводный годовой график'!$C$6:$AR$6))&lt;&gt;12,INDIRECT(ADDRESS(ROW()+1,COLUMN()))="СП"),8,INDEX('Сводный годовой график'!$C$1:$AR$4,MATCH($C$18,'Сводный годовой график'!$B$1:$B$4),MATCH(DATE($AV$1,MONTH($B$14),I$3),'Сводный годовой график'!$C$6:$AR$6)))</f>
        <v>0</v>
      </c>
      <c r="J18" s="92">
        <f ca="1">IF(AND(INDEX('Сводный годовой график'!$C$1:$AR$4,MATCH($C$18,'Сводный годовой график'!$B$1:$B$4),MATCH(DATE($AV$1,MONTH($B$14),J$3),'Сводный годовой график'!$C$6:$AR$6))&lt;&gt;12,INDIRECT(ADDRESS(ROW()+1,COLUMN()))="СП"),8,INDEX('Сводный годовой график'!$C$1:$AR$4,MATCH($C$18,'Сводный годовой график'!$B$1:$B$4),MATCH(DATE($AV$1,MONTH($B$14),J$3),'Сводный годовой график'!$C$6:$AR$6)))</f>
        <v>4</v>
      </c>
      <c r="K18" s="92">
        <f ca="1">IF(AND(INDEX('Сводный годовой график'!$C$1:$AR$4,MATCH($C$18,'Сводный годовой график'!$B$1:$B$4),MATCH(DATE($AV$1,MONTH($B$14),K$3),'Сводный годовой график'!$C$6:$AR$6))&lt;&gt;12,INDIRECT(ADDRESS(ROW()+1,COLUMN()))="СП"),8,INDEX('Сводный годовой график'!$C$1:$AR$4,MATCH($C$18,'Сводный годовой график'!$B$1:$B$4),MATCH(DATE($AV$1,MONTH($B$14),K$3),'Сводный годовой график'!$C$6:$AR$6)))</f>
        <v>8</v>
      </c>
      <c r="L18" s="92">
        <f ca="1">IF(AND(INDEX('Сводный годовой график'!$C$1:$AR$4,MATCH($C$18,'Сводный годовой график'!$B$1:$B$4),MATCH(DATE($AV$1,MONTH($B$14),L$3),'Сводный годовой график'!$C$6:$AR$6))&lt;&gt;12,INDIRECT(ADDRESS(ROW()+1,COLUMN()))="СП"),8,INDEX('Сводный годовой график'!$C$1:$AR$4,MATCH($C$18,'Сводный годовой график'!$B$1:$B$4),MATCH(DATE($AV$1,MONTH($B$14),L$3),'Сводный годовой график'!$C$6:$AR$6)))</f>
        <v>12</v>
      </c>
      <c r="M18" s="92">
        <f ca="1">IF(AND(INDEX('Сводный годовой график'!$C$1:$AR$4,MATCH($C$18,'Сводный годовой график'!$B$1:$B$4),MATCH(DATE($AV$1,MONTH($B$14),M$3),'Сводный годовой график'!$C$6:$AR$6))&lt;&gt;12,INDIRECT(ADDRESS(ROW()+1,COLUMN()))="СП"),8,INDEX('Сводный годовой график'!$C$1:$AR$4,MATCH($C$18,'Сводный годовой график'!$B$1:$B$4),MATCH(DATE($AV$1,MONTH($B$14),M$3),'Сводный годовой график'!$C$6:$AR$6)))</f>
        <v>4</v>
      </c>
      <c r="N18" s="92">
        <f ca="1">IF(AND(INDEX('Сводный годовой график'!$C$1:$AR$4,MATCH($C$18,'Сводный годовой график'!$B$1:$B$4),MATCH(DATE($AV$1,MONTH($B$14),N$3),'Сводный годовой график'!$C$6:$AR$6))&lt;&gt;12,INDIRECT(ADDRESS(ROW()+1,COLUMN()))="СП"),8,INDEX('Сводный годовой график'!$C$1:$AR$4,MATCH($C$18,'Сводный годовой график'!$B$1:$B$4),MATCH(DATE($AV$1,MONTH($B$14),N$3),'Сводный годовой график'!$C$6:$AR$6)))</f>
        <v>8</v>
      </c>
      <c r="O18" s="92">
        <f ca="1">IF(AND(INDEX('Сводный годовой график'!$C$1:$AR$4,MATCH($C$18,'Сводный годовой график'!$B$1:$B$4),MATCH(DATE($AV$1,MONTH($B$14),O$3),'Сводный годовой график'!$C$6:$AR$6))&lt;&gt;12,INDIRECT(ADDRESS(ROW()+1,COLUMN()))="СП"),8,INDEX('Сводный годовой график'!$C$1:$AR$4,MATCH($C$18,'Сводный годовой график'!$B$1:$B$4),MATCH(DATE($AV$1,MONTH($B$14),O$3),'Сводный годовой график'!$C$6:$AR$6)))</f>
        <v>12</v>
      </c>
      <c r="P18" s="92">
        <f ca="1">IF(AND(INDEX('Сводный годовой график'!$C$1:$AR$4,MATCH($C$18,'Сводный годовой график'!$B$1:$B$4),MATCH(DATE($AV$1,MONTH($B$14),P$3),'Сводный годовой график'!$C$6:$AR$6))&lt;&gt;12,INDIRECT(ADDRESS(ROW()+1,COLUMN()))="СП"),8,INDEX('Сводный годовой график'!$C$1:$AR$4,MATCH($C$18,'Сводный годовой график'!$B$1:$B$4),MATCH(DATE($AV$1,MONTH($B$14),P$3),'Сводный годовой график'!$C$6:$AR$6)))</f>
        <v>0</v>
      </c>
      <c r="Q18" s="92">
        <f ca="1">IF(AND(INDEX('Сводный годовой график'!$C$1:$AR$4,MATCH($C$18,'Сводный годовой график'!$B$1:$B$4),MATCH(DATE($AV$1,MONTH($B$14),Q$3),'Сводный годовой график'!$C$6:$AR$6))&lt;&gt;12,INDIRECT(ADDRESS(ROW()+1,COLUMN()))="СП"),8,INDEX('Сводный годовой график'!$C$1:$AR$4,MATCH($C$18,'Сводный годовой график'!$B$1:$B$4),MATCH(DATE($AV$1,MONTH($B$14),Q$3),'Сводный годовой график'!$C$6:$AR$6)))</f>
        <v>0</v>
      </c>
      <c r="R18" s="92">
        <f ca="1">IF(AND(INDEX('Сводный годовой график'!$C$1:$AR$4,MATCH($C$18,'Сводный годовой график'!$B$1:$B$4),MATCH(DATE($AV$1,MONTH($B$14),R$3),'Сводный годовой график'!$C$6:$AR$6))&lt;&gt;12,INDIRECT(ADDRESS(ROW()+1,COLUMN()))="СП"),8,INDEX('Сводный годовой график'!$C$1:$AR$4,MATCH($C$18,'Сводный годовой график'!$B$1:$B$4),MATCH(DATE($AV$1,MONTH($B$14),R$3),'Сводный годовой график'!$C$6:$AR$6)))</f>
        <v>4</v>
      </c>
      <c r="S18" s="92">
        <f ca="1">IF(AND(INDEX('Сводный годовой график'!$C$1:$AR$4,MATCH($C$18,'Сводный годовой график'!$B$1:$B$4),MATCH(DATE($AV$1,MONTH($B$14),S$3),'Сводный годовой график'!$C$6:$AR$6))&lt;&gt;12,INDIRECT(ADDRESS(ROW()+1,COLUMN()))="СП"),8,INDEX('Сводный годовой график'!$C$1:$AR$4,MATCH($C$18,'Сводный годовой график'!$B$1:$B$4),MATCH(DATE($AV$1,MONTH($B$14),S$3),'Сводный годовой график'!$C$6:$AR$6)))</f>
        <v>8</v>
      </c>
      <c r="T18" s="92">
        <f ca="1">IF(AND(INDEX('Сводный годовой график'!$C$1:$AR$4,MATCH($C$18,'Сводный годовой график'!$B$1:$B$4),MATCH(DATE($AV$1,MONTH($B$14),T$3),'Сводный годовой график'!$C$6:$AR$6))&lt;&gt;12,INDIRECT(ADDRESS(ROW()+1,COLUMN()))="СП"),8,INDEX('Сводный годовой график'!$C$1:$AR$4,MATCH($C$18,'Сводный годовой график'!$B$1:$B$4),MATCH(DATE($AV$1,MONTH($B$14),T$3),'Сводный годовой график'!$C$6:$AR$6)))</f>
        <v>12</v>
      </c>
      <c r="U18" s="92">
        <f ca="1">IF(AND(INDEX('Сводный годовой график'!$C$1:$AR$4,MATCH($C$18,'Сводный годовой график'!$B$1:$B$4),MATCH(DATE($AV$1,MONTH($B$14),U$3),'Сводный годовой график'!$C$6:$AR$6))&lt;&gt;12,INDIRECT(ADDRESS(ROW()+1,COLUMN()))="СП"),8,INDEX('Сводный годовой график'!$C$1:$AR$4,MATCH($C$18,'Сводный годовой график'!$B$1:$B$4),MATCH(DATE($AV$1,MONTH($B$14),U$3),'Сводный годовой график'!$C$6:$AR$6)))</f>
        <v>4</v>
      </c>
      <c r="V18" s="92">
        <f ca="1">IF(AND(INDEX('Сводный годовой график'!$C$1:$AR$4,MATCH($C$18,'Сводный годовой график'!$B$1:$B$4),MATCH(DATE($AV$1,MONTH($B$14),V$3),'Сводный годовой график'!$C$6:$AR$6))&lt;&gt;12,INDIRECT(ADDRESS(ROW()+1,COLUMN()))="СП"),8,INDEX('Сводный годовой график'!$C$1:$AR$4,MATCH($C$18,'Сводный годовой график'!$B$1:$B$4),MATCH(DATE($AV$1,MONTH($B$14),V$3),'Сводный годовой график'!$C$6:$AR$6)))</f>
        <v>8</v>
      </c>
      <c r="W18" s="92">
        <f ca="1">IF(AND(INDEX('Сводный годовой график'!$C$1:$AR$4,MATCH($C$18,'Сводный годовой график'!$B$1:$B$4),MATCH(DATE($AV$1,MONTH($B$14),W$3),'Сводный годовой график'!$C$6:$AR$6))&lt;&gt;12,INDIRECT(ADDRESS(ROW()+1,COLUMN()))="СП"),8,INDEX('Сводный годовой график'!$C$1:$AR$4,MATCH($C$18,'Сводный годовой график'!$B$1:$B$4),MATCH(DATE($AV$1,MONTH($B$14),W$3),'Сводный годовой график'!$C$6:$AR$6)))</f>
        <v>12</v>
      </c>
      <c r="X18" s="92">
        <f ca="1">IF(AND(INDEX('Сводный годовой график'!$C$1:$AR$4,MATCH($C$18,'Сводный годовой график'!$B$1:$B$4),MATCH(DATE($AV$1,MONTH($B$14),X$3),'Сводный годовой график'!$C$6:$AR$6))&lt;&gt;12,INDIRECT(ADDRESS(ROW()+1,COLUMN()))="СП"),8,INDEX('Сводный годовой график'!$C$1:$AR$4,MATCH($C$18,'Сводный годовой график'!$B$1:$B$4),MATCH(DATE($AV$1,MONTH($B$14),X$3),'Сводный годовой график'!$C$6:$AR$6)))</f>
        <v>0</v>
      </c>
      <c r="Y18" s="92">
        <f ca="1">IF(AND(INDEX('Сводный годовой график'!$C$1:$AR$4,MATCH($C$18,'Сводный годовой график'!$B$1:$B$4),MATCH(DATE($AV$1,MONTH($B$14),Y$3),'Сводный годовой график'!$C$6:$AR$6))&lt;&gt;12,INDIRECT(ADDRESS(ROW()+1,COLUMN()))="СП"),8,INDEX('Сводный годовой график'!$C$1:$AR$4,MATCH($C$18,'Сводный годовой график'!$B$1:$B$4),MATCH(DATE($AV$1,MONTH($B$14),Y$3),'Сводный годовой график'!$C$6:$AR$6)))</f>
        <v>0</v>
      </c>
      <c r="Z18" s="92">
        <f ca="1">IF(AND(INDEX('Сводный годовой график'!$C$1:$AR$4,MATCH($C$18,'Сводный годовой график'!$B$1:$B$4),MATCH(DATE($AV$1,MONTH($B$14),Z$3),'Сводный годовой график'!$C$6:$AR$6))&lt;&gt;12,INDIRECT(ADDRESS(ROW()+1,COLUMN()))="СП"),8,INDEX('Сводный годовой график'!$C$1:$AR$4,MATCH($C$18,'Сводный годовой график'!$B$1:$B$4),MATCH(DATE($AV$1,MONTH($B$14),Z$3),'Сводный годовой график'!$C$6:$AR$6)))</f>
        <v>4</v>
      </c>
      <c r="AA18" s="92">
        <f ca="1">IF(AND(INDEX('Сводный годовой график'!$C$1:$AR$4,MATCH($C$18,'Сводный годовой график'!$B$1:$B$4),MATCH(DATE($AV$1,MONTH($B$14),AA$3),'Сводный годовой график'!$C$6:$AR$6))&lt;&gt;12,INDIRECT(ADDRESS(ROW()+1,COLUMN()))="СП"),8,INDEX('Сводный годовой график'!$C$1:$AR$4,MATCH($C$18,'Сводный годовой график'!$B$1:$B$4),MATCH(DATE($AV$1,MONTH($B$14),AA$3),'Сводный годовой график'!$C$6:$AR$6)))</f>
        <v>8</v>
      </c>
      <c r="AB18" s="92">
        <f ca="1">IF(AND(INDEX('Сводный годовой график'!$C$1:$AR$4,MATCH($C$18,'Сводный годовой график'!$B$1:$B$4),MATCH(DATE($AV$1,MONTH($B$14),AB$3),'Сводный годовой график'!$C$6:$AR$6))&lt;&gt;12,INDIRECT(ADDRESS(ROW()+1,COLUMN()))="СП"),8,INDEX('Сводный годовой график'!$C$1:$AR$4,MATCH($C$18,'Сводный годовой график'!$B$1:$B$4),MATCH(DATE($AV$1,MONTH($B$14),AB$3),'Сводный годовой график'!$C$6:$AR$6)))</f>
        <v>12</v>
      </c>
      <c r="AC18" s="92">
        <f ca="1">IF(AND(INDEX('Сводный годовой график'!$C$1:$AR$4,MATCH($C$18,'Сводный годовой график'!$B$1:$B$4),MATCH(DATE($AV$1,MONTH($B$14),AC$3),'Сводный годовой график'!$C$6:$AR$6))&lt;&gt;12,INDIRECT(ADDRESS(ROW()+1,COLUMN()))="СП"),8,INDEX('Сводный годовой график'!$C$1:$AR$4,MATCH($C$18,'Сводный годовой график'!$B$1:$B$4),MATCH(DATE($AV$1,MONTH($B$14),AC$3),'Сводный годовой график'!$C$6:$AR$6)))</f>
        <v>4</v>
      </c>
      <c r="AD18" s="92">
        <f ca="1">IF(AND(INDEX('Сводный годовой график'!$C$1:$AR$4,MATCH($C$18,'Сводный годовой график'!$B$1:$B$4),MATCH(DATE($AV$1,MONTH($B$14),AD$3),'Сводный годовой график'!$C$6:$AR$6))&lt;&gt;12,INDIRECT(ADDRESS(ROW()+1,COLUMN()))="СП"),8,INDEX('Сводный годовой график'!$C$1:$AR$4,MATCH($C$18,'Сводный годовой график'!$B$1:$B$4),MATCH(DATE($AV$1,MONTH($B$14),AD$3),'Сводный годовой график'!$C$6:$AR$6)))</f>
        <v>8</v>
      </c>
      <c r="AE18" s="92">
        <f ca="1">IF(AND(INDEX('Сводный годовой график'!$C$1:$AR$4,MATCH($C$18,'Сводный годовой график'!$B$1:$B$4),MATCH(DATE($AV$1,MONTH($B$14),AE$3),'Сводный годовой график'!$C$6:$AR$6))&lt;&gt;12,INDIRECT(ADDRESS(ROW()+1,COLUMN()))="СП"),8,INDEX('Сводный годовой график'!$C$1:$AR$4,MATCH($C$18,'Сводный годовой график'!$B$1:$B$4),MATCH(DATE($AV$1,MONTH($B$14),AE$3),'Сводный годовой график'!$C$6:$AR$6)))</f>
        <v>12</v>
      </c>
      <c r="AF18" s="92">
        <f ca="1">IF(AND(INDEX('Сводный годовой график'!$C$1:$AR$4,MATCH($C$18,'Сводный годовой график'!$B$1:$B$4),MATCH(DATE($AV$1,MONTH($B$14),AF$3),'Сводный годовой график'!$C$6:$AR$6))&lt;&gt;12,INDIRECT(ADDRESS(ROW()+1,COLUMN()))="СП"),8,INDEX('Сводный годовой график'!$C$1:$AR$4,MATCH($C$18,'Сводный годовой график'!$B$1:$B$4),MATCH(DATE($AV$1,MONTH($B$14),AF$3),'Сводный годовой график'!$C$6:$AR$6)))</f>
        <v>0</v>
      </c>
      <c r="AG18" s="119"/>
      <c r="AH18" s="119"/>
      <c r="AI18" s="110"/>
      <c r="AJ18" s="206"/>
      <c r="AK18" s="177">
        <f>$AJ$14-SUM(AY18:CC19)</f>
        <v>160</v>
      </c>
      <c r="AL18" s="177">
        <f t="shared" ref="AL18" ca="1" si="20">SUM(E18:AI19)</f>
        <v>176</v>
      </c>
      <c r="AM18" s="177">
        <f ca="1">SUM(AA18)</f>
        <v>8</v>
      </c>
      <c r="AN18" s="198">
        <f t="shared" ref="AN18" ca="1" si="21">-AM18-AK18+AL18</f>
        <v>8</v>
      </c>
      <c r="AO18" s="198">
        <v>24</v>
      </c>
      <c r="AP18" s="208">
        <f t="shared" ref="AP18" ca="1" si="22">AN18+AP8-AO18</f>
        <v>-12</v>
      </c>
      <c r="AQ18" s="177">
        <v>0</v>
      </c>
      <c r="AR18" s="179">
        <v>1</v>
      </c>
      <c r="CK18" s="59"/>
      <c r="CL18" s="59"/>
      <c r="CM18" s="59"/>
      <c r="CN18" s="59"/>
      <c r="CO18" s="59"/>
      <c r="CP18" s="59"/>
      <c r="CQ18" s="59"/>
      <c r="CR18" s="59"/>
      <c r="CS18" s="59"/>
      <c r="CT18" s="59"/>
      <c r="CU18" s="59"/>
      <c r="CV18" s="59"/>
      <c r="CW18" s="59"/>
      <c r="CX18" s="59"/>
      <c r="CY18" s="59"/>
      <c r="CZ18" s="59"/>
      <c r="DA18" s="59"/>
      <c r="DB18" s="59"/>
      <c r="DC18" s="59"/>
      <c r="DD18" s="59"/>
      <c r="DE18" s="59"/>
      <c r="DF18" s="59"/>
      <c r="DG18" s="59"/>
      <c r="DH18" s="59"/>
      <c r="DI18" s="59"/>
      <c r="DJ18" s="59"/>
      <c r="DK18" s="59"/>
      <c r="DL18" s="59"/>
      <c r="DM18" s="59"/>
      <c r="DN18" s="59"/>
      <c r="DO18" s="59"/>
    </row>
    <row r="19" spans="2:119" ht="16.5" thickBot="1" x14ac:dyDescent="0.3">
      <c r="B19" s="201"/>
      <c r="C19" s="197"/>
      <c r="D19" s="82">
        <v>6</v>
      </c>
      <c r="E19" s="96" t="str">
        <f>IF(INDEX($CK$4:$DO$123,ROW()-3,E$3)=0,"","СП")</f>
        <v/>
      </c>
      <c r="F19" s="92" t="str">
        <f>IF(INDEX($CK$4:$DO$123,ROW()-3,F$3)=0,"","СП")</f>
        <v/>
      </c>
      <c r="G19" s="92" t="str">
        <f>IF(INDEX($CK$4:$DO$123,ROW()-3,G$3)=0,"","СП")</f>
        <v/>
      </c>
      <c r="H19" s="92" t="str">
        <f>IF(INDEX($CK$4:$DO$123,ROW()-3,H$3)=0,"","СП")</f>
        <v>СП</v>
      </c>
      <c r="I19" s="92" t="str">
        <f>IF(INDEX($CK$4:$DO$123,ROW()-3,I$3)=0,"","СП")</f>
        <v/>
      </c>
      <c r="J19" s="92" t="str">
        <f>IF(INDEX($CK$4:$DO$123,ROW()-3,J$3)=0,"","СП")</f>
        <v/>
      </c>
      <c r="K19" s="92" t="str">
        <f>IF(INDEX($CK$4:$DO$123,ROW()-3,K$3)=0,"","СП")</f>
        <v/>
      </c>
      <c r="L19" s="92" t="str">
        <f>IF(INDEX($CK$4:$DO$123,ROW()-3,L$3)=0,"","СП")</f>
        <v/>
      </c>
      <c r="M19" s="92" t="str">
        <f>IF(INDEX($CK$4:$DO$123,ROW()-3,M$3)=0,"","СП")</f>
        <v/>
      </c>
      <c r="N19" s="92" t="str">
        <f>IF(INDEX($CK$4:$DO$123,ROW()-3,N$3)=0,"","СП")</f>
        <v/>
      </c>
      <c r="O19" s="92" t="str">
        <f>IF(INDEX($CK$4:$DO$123,ROW()-3,O$3)=0,"","СП")</f>
        <v/>
      </c>
      <c r="P19" s="92" t="str">
        <f>IF(INDEX($CK$4:$DO$123,ROW()-3,P$3)=0,"","СП")</f>
        <v/>
      </c>
      <c r="Q19" s="92" t="str">
        <f>IF(INDEX($CK$4:$DO$123,ROW()-3,Q$3)=0,"","СП")</f>
        <v/>
      </c>
      <c r="R19" s="92" t="str">
        <f>IF(INDEX($CK$4:$DO$123,ROW()-3,R$3)=0,"","СП")</f>
        <v/>
      </c>
      <c r="S19" s="92" t="str">
        <f>IF(INDEX($CK$4:$DO$123,ROW()-3,S$3)=0,"","СП")</f>
        <v/>
      </c>
      <c r="T19" s="92" t="str">
        <f>IF(INDEX($CK$4:$DO$123,ROW()-3,T$3)=0,"","СП")</f>
        <v/>
      </c>
      <c r="U19" s="92" t="str">
        <f>IF(INDEX($CK$4:$DO$123,ROW()-3,U$3)=0,"","СП")</f>
        <v/>
      </c>
      <c r="V19" s="92" t="str">
        <f>IF(INDEX($CK$4:$DO$123,ROW()-3,V$3)=0,"","СП")</f>
        <v/>
      </c>
      <c r="W19" s="92" t="str">
        <f>IF(INDEX($CK$4:$DO$123,ROW()-3,W$3)=0,"","СП")</f>
        <v/>
      </c>
      <c r="X19" s="92" t="str">
        <f>IF(INDEX($CK$4:$DO$123,ROW()-3,X$3)=0,"","СП")</f>
        <v/>
      </c>
      <c r="Y19" s="92" t="str">
        <f>IF(INDEX($CK$4:$DO$123,ROW()-3,Y$3)=0,"","СП")</f>
        <v/>
      </c>
      <c r="Z19" s="92" t="str">
        <f>IF(INDEX($CK$4:$DO$123,ROW()-3,Z$3)=0,"","СП")</f>
        <v/>
      </c>
      <c r="AA19" s="92" t="str">
        <f>IF(INDEX($CK$4:$DO$123,ROW()-3,AA$3)=0,"","СП")</f>
        <v/>
      </c>
      <c r="AB19" s="92" t="str">
        <f>IF(INDEX($CK$4:$DO$123,ROW()-3,AB$3)=0,"","СП")</f>
        <v/>
      </c>
      <c r="AC19" s="92" t="str">
        <f>IF(INDEX($CK$4:$DO$123,ROW()-3,AC$3)=0,"","СП")</f>
        <v/>
      </c>
      <c r="AD19" s="92" t="str">
        <f>IF(INDEX($CK$4:$DO$123,ROW()-3,AD$3)=0,"","СП")</f>
        <v/>
      </c>
      <c r="AE19" s="92" t="str">
        <f>IF(INDEX($CK$4:$DO$123,ROW()-3,AE$3)=0,"","СП")</f>
        <v/>
      </c>
      <c r="AF19" s="92" t="str">
        <f>IF(INDEX($CK$4:$DO$123,ROW()-3,AF$3)=0,"","СП")</f>
        <v/>
      </c>
      <c r="AG19" s="119"/>
      <c r="AH19" s="119"/>
      <c r="AI19" s="110"/>
      <c r="AJ19" s="206"/>
      <c r="AK19" s="177"/>
      <c r="AL19" s="177"/>
      <c r="AM19" s="177"/>
      <c r="AN19" s="198"/>
      <c r="AO19" s="198"/>
      <c r="AP19" s="198"/>
      <c r="AQ19" s="177"/>
      <c r="AR19" s="179"/>
      <c r="CK19" s="58">
        <f>IF(DAY(INDEX('Сводный годовой график'!$BA$4:$BL$14,$C18,MONTH($B$14)))=E$3,1,0)</f>
        <v>0</v>
      </c>
      <c r="CL19" s="58">
        <f>IF(DAY(INDEX('Сводный годовой график'!$BA$4:$BL$14,$C18,MONTH($B$14)))=F$3,1,0)</f>
        <v>0</v>
      </c>
      <c r="CM19" s="58">
        <f>IF(DAY(INDEX('Сводный годовой график'!$BA$4:$BL$14,$C18,MONTH($B$14)))=G$3,1,0)</f>
        <v>0</v>
      </c>
      <c r="CN19" s="58">
        <f>IF(DAY(INDEX('Сводный годовой график'!$BA$4:$BL$14,$C18,MONTH($B$14)))=H$3,1,0)</f>
        <v>1</v>
      </c>
      <c r="CO19" s="58">
        <f>IF(DAY(INDEX('Сводный годовой график'!$BA$4:$BL$14,$C18,MONTH($B$14)))=I$3,1,0)</f>
        <v>0</v>
      </c>
      <c r="CP19" s="58">
        <f>IF(DAY(INDEX('Сводный годовой график'!$BA$4:$BL$14,$C18,MONTH($B$14)))=J$3,1,0)</f>
        <v>0</v>
      </c>
      <c r="CQ19" s="58">
        <f>IF(DAY(INDEX('Сводный годовой график'!$BA$4:$BL$14,$C18,MONTH($B$14)))=K$3,1,0)</f>
        <v>0</v>
      </c>
      <c r="CR19" s="58">
        <f>IF(DAY(INDEX('Сводный годовой график'!$BA$4:$BL$14,$C18,MONTH($B$14)))=L$3,1,0)</f>
        <v>0</v>
      </c>
      <c r="CS19" s="58">
        <f>IF(DAY(INDEX('Сводный годовой график'!$BA$4:$BL$14,$C18,MONTH($B$14)))=M$3,1,0)</f>
        <v>0</v>
      </c>
      <c r="CT19" s="58">
        <f>IF(DAY(INDEX('Сводный годовой график'!$BA$4:$BL$14,$C18,MONTH($B$14)))=N$3,1,0)</f>
        <v>0</v>
      </c>
      <c r="CU19" s="58">
        <f>IF(DAY(INDEX('Сводный годовой график'!$BA$4:$BL$14,$C18,MONTH($B$14)))=O$3,1,0)</f>
        <v>0</v>
      </c>
      <c r="CV19" s="58">
        <f>IF(DAY(INDEX('Сводный годовой график'!$BA$4:$BL$14,$C18,MONTH($B$14)))=P$3,1,0)</f>
        <v>0</v>
      </c>
      <c r="CW19" s="58">
        <f>IF(DAY(INDEX('Сводный годовой график'!$BA$4:$BL$14,$C18,MONTH($B$14)))=Q$3,1,0)</f>
        <v>0</v>
      </c>
      <c r="CX19" s="58">
        <f>IF(DAY(INDEX('Сводный годовой график'!$BA$4:$BL$14,$C18,MONTH($B$14)))=R$3,1,0)</f>
        <v>0</v>
      </c>
      <c r="CY19" s="58">
        <f>IF(DAY(INDEX('Сводный годовой график'!$BA$4:$BL$14,$C18,MONTH($B$14)))=S$3,1,0)</f>
        <v>0</v>
      </c>
      <c r="CZ19" s="58">
        <f>IF(DAY(INDEX('Сводный годовой график'!$BA$4:$BL$14,$C18,MONTH($B$14)))=T$3,1,0)</f>
        <v>0</v>
      </c>
      <c r="DA19" s="58">
        <f>IF(DAY(INDEX('Сводный годовой график'!$BA$4:$BL$14,$C18,MONTH($B$14)))=U$3,1,0)</f>
        <v>0</v>
      </c>
      <c r="DB19" s="58">
        <f>IF(DAY(INDEX('Сводный годовой график'!$BA$4:$BL$14,$C18,MONTH($B$14)))=V$3,1,0)</f>
        <v>0</v>
      </c>
      <c r="DC19" s="58">
        <f>IF(DAY(INDEX('Сводный годовой график'!$BA$4:$BL$14,$C18,MONTH($B$14)))=W$3,1,0)</f>
        <v>0</v>
      </c>
      <c r="DD19" s="58">
        <f>IF(DAY(INDEX('Сводный годовой график'!$BA$4:$BL$14,$C18,MONTH($B$14)))=X$3,1,0)</f>
        <v>0</v>
      </c>
      <c r="DE19" s="58">
        <f>IF(DAY(INDEX('Сводный годовой график'!$BA$4:$BL$14,$C18,MONTH($B$14)))=Y$3,1,0)</f>
        <v>0</v>
      </c>
      <c r="DF19" s="58">
        <f>IF(DAY(INDEX('Сводный годовой график'!$BA$4:$BL$14,$C18,MONTH($B$14)))=Z$3,1,0)</f>
        <v>0</v>
      </c>
      <c r="DG19" s="58">
        <f>IF(DAY(INDEX('Сводный годовой график'!$BA$4:$BL$14,$C18,MONTH($B$14)))=AA$3,1,0)</f>
        <v>0</v>
      </c>
      <c r="DH19" s="58">
        <f>IF(DAY(INDEX('Сводный годовой график'!$BA$4:$BL$14,$C18,MONTH($B$14)))=AB$3,1,0)</f>
        <v>0</v>
      </c>
      <c r="DI19" s="58">
        <f>IF(DAY(INDEX('Сводный годовой график'!$BA$4:$BL$14,$C18,MONTH($B$14)))=AC$3,1,0)</f>
        <v>0</v>
      </c>
      <c r="DJ19" s="58">
        <f>IF(DAY(INDEX('Сводный годовой график'!$BA$4:$BL$14,$C18,MONTH($B$14)))=AD$3,1,0)</f>
        <v>0</v>
      </c>
      <c r="DK19" s="58">
        <f>IF(DAY(INDEX('Сводный годовой график'!$BA$4:$BL$14,$C18,MONTH($B$14)))=AE$3,1,0)</f>
        <v>0</v>
      </c>
      <c r="DL19" s="58">
        <f>IF(DAY(INDEX('Сводный годовой график'!$BA$4:$BL$14,$C18,MONTH($B$14)))=AF$3,1,0)</f>
        <v>0</v>
      </c>
      <c r="DM19" s="58">
        <f>IF(DAY(INDEX('Сводный годовой график'!$BA$4:$BL$14,$C18,MONTH($B$14)))=AG$3,1,0)</f>
        <v>0</v>
      </c>
      <c r="DN19" s="58">
        <f>IF(DAY(INDEX('Сводный годовой график'!$BA$4:$BL$14,$C18,MONTH($B$14)))=AH$3,1,0)</f>
        <v>0</v>
      </c>
      <c r="DO19" s="58">
        <f>IF(DAY(INDEX('Сводный годовой график'!$BA$4:$BL$14,$C18,MONTH($B$14)))=AI$3,1,0)</f>
        <v>0</v>
      </c>
    </row>
    <row r="20" spans="2:119" ht="17.25" thickTop="1" thickBot="1" x14ac:dyDescent="0.3">
      <c r="B20" s="201"/>
      <c r="C20" s="196">
        <v>4</v>
      </c>
      <c r="D20" s="81">
        <v>7</v>
      </c>
      <c r="E20" s="96">
        <f ca="1">IF(AND(INDEX('Сводный годовой график'!$C$1:$AR$4,MATCH($C$20,'Сводный годовой график'!$B$1:$B$4),MATCH(DATE($AV$1,MONTH($B$14),E$3),'Сводный годовой график'!$C$6:$AR$6))&lt;&gt;12,INDIRECT(ADDRESS(ROW()+1,COLUMN()))="СП"),8,INDEX('Сводный годовой график'!$C$1:$AR$4,MATCH($C$20,'Сводный годовой график'!$B$1:$B$4),MATCH(DATE($AV$1,MONTH($B$14),E$3),'Сводный годовой график'!$C$6:$AR$6)))</f>
        <v>8</v>
      </c>
      <c r="F20" s="92">
        <f ca="1">IF(AND(INDEX('Сводный годовой график'!$C$1:$AR$4,MATCH($C$20,'Сводный годовой график'!$B$1:$B$4),MATCH(DATE($AV$1,MONTH($B$14),F$3),'Сводный годовой график'!$C$6:$AR$6))&lt;&gt;12,INDIRECT(ADDRESS(ROW()+1,COLUMN()))="СП"),8,INDEX('Сводный годовой график'!$C$1:$AR$4,MATCH($C$20,'Сводный годовой график'!$B$1:$B$4),MATCH(DATE($AV$1,MONTH($B$14),F$3),'Сводный годовой график'!$C$6:$AR$6)))</f>
        <v>12</v>
      </c>
      <c r="G20" s="92">
        <f ca="1">IF(AND(INDEX('Сводный годовой график'!$C$1:$AR$4,MATCH($C$20,'Сводный годовой график'!$B$1:$B$4),MATCH(DATE($AV$1,MONTH($B$14),G$3),'Сводный годовой график'!$C$6:$AR$6))&lt;&gt;12,INDIRECT(ADDRESS(ROW()+1,COLUMN()))="СП"),8,INDEX('Сводный годовой график'!$C$1:$AR$4,MATCH($C$20,'Сводный годовой график'!$B$1:$B$4),MATCH(DATE($AV$1,MONTH($B$14),G$3),'Сводный годовой график'!$C$6:$AR$6)))</f>
        <v>4</v>
      </c>
      <c r="H20" s="92">
        <f ca="1">IF(AND(INDEX('Сводный годовой график'!$C$1:$AR$4,MATCH($C$20,'Сводный годовой график'!$B$1:$B$4),MATCH(DATE($AV$1,MONTH($B$14),H$3),'Сводный годовой график'!$C$6:$AR$6))&lt;&gt;12,INDIRECT(ADDRESS(ROW()+1,COLUMN()))="СП"),8,INDEX('Сводный годовой график'!$C$1:$AR$4,MATCH($C$20,'Сводный годовой график'!$B$1:$B$4),MATCH(DATE($AV$1,MONTH($B$14),H$3),'Сводный годовой график'!$C$6:$AR$6)))</f>
        <v>8</v>
      </c>
      <c r="I20" s="92">
        <f ca="1">IF(AND(INDEX('Сводный годовой график'!$C$1:$AR$4,MATCH($C$20,'Сводный годовой график'!$B$1:$B$4),MATCH(DATE($AV$1,MONTH($B$14),I$3),'Сводный годовой график'!$C$6:$AR$6))&lt;&gt;12,INDIRECT(ADDRESS(ROW()+1,COLUMN()))="СП"),8,INDEX('Сводный годовой график'!$C$1:$AR$4,MATCH($C$20,'Сводный годовой график'!$B$1:$B$4),MATCH(DATE($AV$1,MONTH($B$14),I$3),'Сводный годовой график'!$C$6:$AR$6)))</f>
        <v>12</v>
      </c>
      <c r="J20" s="92">
        <f ca="1">IF(AND(INDEX('Сводный годовой график'!$C$1:$AR$4,MATCH($C$20,'Сводный годовой график'!$B$1:$B$4),MATCH(DATE($AV$1,MONTH($B$14),J$3),'Сводный годовой график'!$C$6:$AR$6))&lt;&gt;12,INDIRECT(ADDRESS(ROW()+1,COLUMN()))="СП"),8,INDEX('Сводный годовой график'!$C$1:$AR$4,MATCH($C$20,'Сводный годовой график'!$B$1:$B$4),MATCH(DATE($AV$1,MONTH($B$14),J$3),'Сводный годовой график'!$C$6:$AR$6)))</f>
        <v>0</v>
      </c>
      <c r="K20" s="92">
        <f ca="1">IF(AND(INDEX('Сводный годовой график'!$C$1:$AR$4,MATCH($C$20,'Сводный годовой график'!$B$1:$B$4),MATCH(DATE($AV$1,MONTH($B$14),K$3),'Сводный годовой график'!$C$6:$AR$6))&lt;&gt;12,INDIRECT(ADDRESS(ROW()+1,COLUMN()))="СП"),8,INDEX('Сводный годовой график'!$C$1:$AR$4,MATCH($C$20,'Сводный годовой график'!$B$1:$B$4),MATCH(DATE($AV$1,MONTH($B$14),K$3),'Сводный годовой график'!$C$6:$AR$6)))</f>
        <v>0</v>
      </c>
      <c r="L20" s="92">
        <f ca="1">IF(AND(INDEX('Сводный годовой график'!$C$1:$AR$4,MATCH($C$20,'Сводный годовой график'!$B$1:$B$4),MATCH(DATE($AV$1,MONTH($B$14),L$3),'Сводный годовой график'!$C$6:$AR$6))&lt;&gt;12,INDIRECT(ADDRESS(ROW()+1,COLUMN()))="СП"),8,INDEX('Сводный годовой график'!$C$1:$AR$4,MATCH($C$20,'Сводный годовой график'!$B$1:$B$4),MATCH(DATE($AV$1,MONTH($B$14),L$3),'Сводный годовой график'!$C$6:$AR$6)))</f>
        <v>4</v>
      </c>
      <c r="M20" s="92">
        <f ca="1">IF(AND(INDEX('Сводный годовой график'!$C$1:$AR$4,MATCH($C$20,'Сводный годовой график'!$B$1:$B$4),MATCH(DATE($AV$1,MONTH($B$14),M$3),'Сводный годовой график'!$C$6:$AR$6))&lt;&gt;12,INDIRECT(ADDRESS(ROW()+1,COLUMN()))="СП"),8,INDEX('Сводный годовой график'!$C$1:$AR$4,MATCH($C$20,'Сводный годовой график'!$B$1:$B$4),MATCH(DATE($AV$1,MONTH($B$14),M$3),'Сводный годовой график'!$C$6:$AR$6)))</f>
        <v>8</v>
      </c>
      <c r="N20" s="92">
        <f ca="1">IF(AND(INDEX('Сводный годовой график'!$C$1:$AR$4,MATCH($C$20,'Сводный годовой график'!$B$1:$B$4),MATCH(DATE($AV$1,MONTH($B$14),N$3),'Сводный годовой график'!$C$6:$AR$6))&lt;&gt;12,INDIRECT(ADDRESS(ROW()+1,COLUMN()))="СП"),8,INDEX('Сводный годовой график'!$C$1:$AR$4,MATCH($C$20,'Сводный годовой график'!$B$1:$B$4),MATCH(DATE($AV$1,MONTH($B$14),N$3),'Сводный годовой график'!$C$6:$AR$6)))</f>
        <v>12</v>
      </c>
      <c r="O20" s="92">
        <f ca="1">IF(AND(INDEX('Сводный годовой график'!$C$1:$AR$4,MATCH($C$20,'Сводный годовой график'!$B$1:$B$4),MATCH(DATE($AV$1,MONTH($B$14),O$3),'Сводный годовой график'!$C$6:$AR$6))&lt;&gt;12,INDIRECT(ADDRESS(ROW()+1,COLUMN()))="СП"),8,INDEX('Сводный годовой график'!$C$1:$AR$4,MATCH($C$20,'Сводный годовой график'!$B$1:$B$4),MATCH(DATE($AV$1,MONTH($B$14),O$3),'Сводный годовой график'!$C$6:$AR$6)))</f>
        <v>4</v>
      </c>
      <c r="P20" s="92">
        <f ca="1">IF(AND(INDEX('Сводный годовой график'!$C$1:$AR$4,MATCH($C$20,'Сводный годовой график'!$B$1:$B$4),MATCH(DATE($AV$1,MONTH($B$14),P$3),'Сводный годовой график'!$C$6:$AR$6))&lt;&gt;12,INDIRECT(ADDRESS(ROW()+1,COLUMN()))="СП"),8,INDEX('Сводный годовой график'!$C$1:$AR$4,MATCH($C$20,'Сводный годовой график'!$B$1:$B$4),MATCH(DATE($AV$1,MONTH($B$14),P$3),'Сводный годовой график'!$C$6:$AR$6)))</f>
        <v>8</v>
      </c>
      <c r="Q20" s="92">
        <f ca="1">IF(AND(INDEX('Сводный годовой график'!$C$1:$AR$4,MATCH($C$20,'Сводный годовой график'!$B$1:$B$4),MATCH(DATE($AV$1,MONTH($B$14),Q$3),'Сводный годовой график'!$C$6:$AR$6))&lt;&gt;12,INDIRECT(ADDRESS(ROW()+1,COLUMN()))="СП"),8,INDEX('Сводный годовой график'!$C$1:$AR$4,MATCH($C$20,'Сводный годовой график'!$B$1:$B$4),MATCH(DATE($AV$1,MONTH($B$14),Q$3),'Сводный годовой график'!$C$6:$AR$6)))</f>
        <v>12</v>
      </c>
      <c r="R20" s="92">
        <f ca="1">IF(AND(INDEX('Сводный годовой график'!$C$1:$AR$4,MATCH($C$20,'Сводный годовой график'!$B$1:$B$4),MATCH(DATE($AV$1,MONTH($B$14),R$3),'Сводный годовой график'!$C$6:$AR$6))&lt;&gt;12,INDIRECT(ADDRESS(ROW()+1,COLUMN()))="СП"),8,INDEX('Сводный годовой график'!$C$1:$AR$4,MATCH($C$20,'Сводный годовой график'!$B$1:$B$4),MATCH(DATE($AV$1,MONTH($B$14),R$3),'Сводный годовой график'!$C$6:$AR$6)))</f>
        <v>0</v>
      </c>
      <c r="S20" s="92">
        <f ca="1">IF(AND(INDEX('Сводный годовой график'!$C$1:$AR$4,MATCH($C$20,'Сводный годовой график'!$B$1:$B$4),MATCH(DATE($AV$1,MONTH($B$14),S$3),'Сводный годовой график'!$C$6:$AR$6))&lt;&gt;12,INDIRECT(ADDRESS(ROW()+1,COLUMN()))="СП"),8,INDEX('Сводный годовой график'!$C$1:$AR$4,MATCH($C$20,'Сводный годовой график'!$B$1:$B$4),MATCH(DATE($AV$1,MONTH($B$14),S$3),'Сводный годовой график'!$C$6:$AR$6)))</f>
        <v>0</v>
      </c>
      <c r="T20" s="92">
        <f ca="1">IF(AND(INDEX('Сводный годовой график'!$C$1:$AR$4,MATCH($C$20,'Сводный годовой график'!$B$1:$B$4),MATCH(DATE($AV$1,MONTH($B$14),T$3),'Сводный годовой график'!$C$6:$AR$6))&lt;&gt;12,INDIRECT(ADDRESS(ROW()+1,COLUMN()))="СП"),8,INDEX('Сводный годовой график'!$C$1:$AR$4,MATCH($C$20,'Сводный годовой график'!$B$1:$B$4),MATCH(DATE($AV$1,MONTH($B$14),T$3),'Сводный годовой график'!$C$6:$AR$6)))</f>
        <v>4</v>
      </c>
      <c r="U20" s="92">
        <f ca="1">IF(AND(INDEX('Сводный годовой график'!$C$1:$AR$4,MATCH($C$20,'Сводный годовой график'!$B$1:$B$4),MATCH(DATE($AV$1,MONTH($B$14),U$3),'Сводный годовой график'!$C$6:$AR$6))&lt;&gt;12,INDIRECT(ADDRESS(ROW()+1,COLUMN()))="СП"),8,INDEX('Сводный годовой график'!$C$1:$AR$4,MATCH($C$20,'Сводный годовой график'!$B$1:$B$4),MATCH(DATE($AV$1,MONTH($B$14),U$3),'Сводный годовой график'!$C$6:$AR$6)))</f>
        <v>8</v>
      </c>
      <c r="V20" s="92">
        <f ca="1">IF(AND(INDEX('Сводный годовой график'!$C$1:$AR$4,MATCH($C$20,'Сводный годовой график'!$B$1:$B$4),MATCH(DATE($AV$1,MONTH($B$14),V$3),'Сводный годовой график'!$C$6:$AR$6))&lt;&gt;12,INDIRECT(ADDRESS(ROW()+1,COLUMN()))="СП"),8,INDEX('Сводный годовой график'!$C$1:$AR$4,MATCH($C$20,'Сводный годовой график'!$B$1:$B$4),MATCH(DATE($AV$1,MONTH($B$14),V$3),'Сводный годовой график'!$C$6:$AR$6)))</f>
        <v>12</v>
      </c>
      <c r="W20" s="92">
        <f ca="1">IF(AND(INDEX('Сводный годовой график'!$C$1:$AR$4,MATCH($C$20,'Сводный годовой график'!$B$1:$B$4),MATCH(DATE($AV$1,MONTH($B$14),W$3),'Сводный годовой график'!$C$6:$AR$6))&lt;&gt;12,INDIRECT(ADDRESS(ROW()+1,COLUMN()))="СП"),8,INDEX('Сводный годовой график'!$C$1:$AR$4,MATCH($C$20,'Сводный годовой график'!$B$1:$B$4),MATCH(DATE($AV$1,MONTH($B$14),W$3),'Сводный годовой график'!$C$6:$AR$6)))</f>
        <v>4</v>
      </c>
      <c r="X20" s="92">
        <f ca="1">IF(AND(INDEX('Сводный годовой график'!$C$1:$AR$4,MATCH($C$20,'Сводный годовой график'!$B$1:$B$4),MATCH(DATE($AV$1,MONTH($B$14),X$3),'Сводный годовой график'!$C$6:$AR$6))&lt;&gt;12,INDIRECT(ADDRESS(ROW()+1,COLUMN()))="СП"),8,INDEX('Сводный годовой график'!$C$1:$AR$4,MATCH($C$20,'Сводный годовой график'!$B$1:$B$4),MATCH(DATE($AV$1,MONTH($B$14),X$3),'Сводный годовой график'!$C$6:$AR$6)))</f>
        <v>8</v>
      </c>
      <c r="Y20" s="92">
        <f ca="1">IF(AND(INDEX('Сводный годовой график'!$C$1:$AR$4,MATCH($C$20,'Сводный годовой график'!$B$1:$B$4),MATCH(DATE($AV$1,MONTH($B$14),Y$3),'Сводный годовой график'!$C$6:$AR$6))&lt;&gt;12,INDIRECT(ADDRESS(ROW()+1,COLUMN()))="СП"),8,INDEX('Сводный годовой график'!$C$1:$AR$4,MATCH($C$20,'Сводный годовой график'!$B$1:$B$4),MATCH(DATE($AV$1,MONTH($B$14),Y$3),'Сводный годовой график'!$C$6:$AR$6)))</f>
        <v>12</v>
      </c>
      <c r="Z20" s="92">
        <f ca="1">IF(AND(INDEX('Сводный годовой график'!$C$1:$AR$4,MATCH($C$20,'Сводный годовой график'!$B$1:$B$4),MATCH(DATE($AV$1,MONTH($B$14),Z$3),'Сводный годовой график'!$C$6:$AR$6))&lt;&gt;12,INDIRECT(ADDRESS(ROW()+1,COLUMN()))="СП"),8,INDEX('Сводный годовой график'!$C$1:$AR$4,MATCH($C$20,'Сводный годовой график'!$B$1:$B$4),MATCH(DATE($AV$1,MONTH($B$14),Z$3),'Сводный годовой график'!$C$6:$AR$6)))</f>
        <v>0</v>
      </c>
      <c r="AA20" s="92">
        <f ca="1">IF(AND(INDEX('Сводный годовой график'!$C$1:$AR$4,MATCH($C$20,'Сводный годовой график'!$B$1:$B$4),MATCH(DATE($AV$1,MONTH($B$14),AA$3),'Сводный годовой график'!$C$6:$AR$6))&lt;&gt;12,INDIRECT(ADDRESS(ROW()+1,COLUMN()))="СП"),8,INDEX('Сводный годовой график'!$C$1:$AR$4,MATCH($C$20,'Сводный годовой график'!$B$1:$B$4),MATCH(DATE($AV$1,MONTH($B$14),AA$3),'Сводный годовой график'!$C$6:$AR$6)))</f>
        <v>0</v>
      </c>
      <c r="AB20" s="92">
        <f ca="1">IF(AND(INDEX('Сводный годовой график'!$C$1:$AR$4,MATCH($C$20,'Сводный годовой график'!$B$1:$B$4),MATCH(DATE($AV$1,MONTH($B$14),AB$3),'Сводный годовой график'!$C$6:$AR$6))&lt;&gt;12,INDIRECT(ADDRESS(ROW()+1,COLUMN()))="СП"),8,INDEX('Сводный годовой график'!$C$1:$AR$4,MATCH($C$20,'Сводный годовой график'!$B$1:$B$4),MATCH(DATE($AV$1,MONTH($B$14),AB$3),'Сводный годовой график'!$C$6:$AR$6)))</f>
        <v>4</v>
      </c>
      <c r="AC20" s="92">
        <f ca="1">IF(AND(INDEX('Сводный годовой график'!$C$1:$AR$4,MATCH($C$20,'Сводный годовой график'!$B$1:$B$4),MATCH(DATE($AV$1,MONTH($B$14),AC$3),'Сводный годовой график'!$C$6:$AR$6))&lt;&gt;12,INDIRECT(ADDRESS(ROW()+1,COLUMN()))="СП"),8,INDEX('Сводный годовой график'!$C$1:$AR$4,MATCH($C$20,'Сводный годовой график'!$B$1:$B$4),MATCH(DATE($AV$1,MONTH($B$14),AC$3),'Сводный годовой график'!$C$6:$AR$6)))</f>
        <v>8</v>
      </c>
      <c r="AD20" s="92">
        <f ca="1">IF(AND(INDEX('Сводный годовой график'!$C$1:$AR$4,MATCH($C$20,'Сводный годовой график'!$B$1:$B$4),MATCH(DATE($AV$1,MONTH($B$14),AD$3),'Сводный годовой график'!$C$6:$AR$6))&lt;&gt;12,INDIRECT(ADDRESS(ROW()+1,COLUMN()))="СП"),8,INDEX('Сводный годовой график'!$C$1:$AR$4,MATCH($C$20,'Сводный годовой график'!$B$1:$B$4),MATCH(DATE($AV$1,MONTH($B$14),AD$3),'Сводный годовой график'!$C$6:$AR$6)))</f>
        <v>12</v>
      </c>
      <c r="AE20" s="92">
        <f ca="1">IF(AND(INDEX('Сводный годовой график'!$C$1:$AR$4,MATCH($C$20,'Сводный годовой график'!$B$1:$B$4),MATCH(DATE($AV$1,MONTH($B$14),AE$3),'Сводный годовой график'!$C$6:$AR$6))&lt;&gt;12,INDIRECT(ADDRESS(ROW()+1,COLUMN()))="СП"),8,INDEX('Сводный годовой график'!$C$1:$AR$4,MATCH($C$20,'Сводный годовой график'!$B$1:$B$4),MATCH(DATE($AV$1,MONTH($B$14),AE$3),'Сводный годовой график'!$C$6:$AR$6)))</f>
        <v>4</v>
      </c>
      <c r="AF20" s="92">
        <f ca="1">IF(AND(INDEX('Сводный годовой график'!$C$1:$AR$4,MATCH($C$20,'Сводный годовой график'!$B$1:$B$4),MATCH(DATE($AV$1,MONTH($B$14),AF$3),'Сводный годовой график'!$C$6:$AR$6))&lt;&gt;12,INDIRECT(ADDRESS(ROW()+1,COLUMN()))="СП"),8,INDEX('Сводный годовой график'!$C$1:$AR$4,MATCH($C$20,'Сводный годовой график'!$B$1:$B$4),MATCH(DATE($AV$1,MONTH($B$14),AF$3),'Сводный годовой график'!$C$6:$AR$6)))</f>
        <v>8</v>
      </c>
      <c r="AG20" s="119"/>
      <c r="AH20" s="119"/>
      <c r="AI20" s="110"/>
      <c r="AJ20" s="206"/>
      <c r="AK20" s="177">
        <f>$AJ$14-SUM(AY20:CC21)</f>
        <v>160</v>
      </c>
      <c r="AL20" s="177">
        <f t="shared" ref="AL20" ca="1" si="23">SUM(E20:AI21)</f>
        <v>176</v>
      </c>
      <c r="AM20" s="177">
        <f ca="1">SUM(AA20)</f>
        <v>0</v>
      </c>
      <c r="AN20" s="198">
        <f t="shared" ref="AN20" ca="1" si="24">-AM20-AK20+AL20</f>
        <v>16</v>
      </c>
      <c r="AO20" s="198">
        <v>0</v>
      </c>
      <c r="AP20" s="208">
        <f t="shared" ref="AP20" ca="1" si="25">AN20+AP10-AO20</f>
        <v>16</v>
      </c>
      <c r="AQ20" s="177">
        <v>0</v>
      </c>
      <c r="AR20" s="179">
        <v>1</v>
      </c>
      <c r="CK20" s="59"/>
      <c r="CL20" s="59"/>
      <c r="CM20" s="59"/>
      <c r="CN20" s="59"/>
      <c r="CO20" s="59"/>
      <c r="CP20" s="59"/>
      <c r="CQ20" s="59"/>
      <c r="CR20" s="59"/>
      <c r="CS20" s="59"/>
      <c r="CT20" s="59"/>
      <c r="CU20" s="59"/>
      <c r="CV20" s="59"/>
      <c r="CW20" s="59"/>
      <c r="CX20" s="59"/>
      <c r="CY20" s="59"/>
      <c r="CZ20" s="59"/>
      <c r="DA20" s="59"/>
      <c r="DB20" s="59"/>
      <c r="DC20" s="59"/>
      <c r="DD20" s="59"/>
      <c r="DE20" s="59"/>
      <c r="DF20" s="59"/>
      <c r="DG20" s="59"/>
      <c r="DH20" s="59"/>
      <c r="DI20" s="59"/>
      <c r="DJ20" s="59"/>
      <c r="DK20" s="59"/>
      <c r="DL20" s="59"/>
      <c r="DM20" s="59"/>
      <c r="DN20" s="59"/>
      <c r="DO20" s="59"/>
    </row>
    <row r="21" spans="2:119" ht="16.5" thickBot="1" x14ac:dyDescent="0.3">
      <c r="B21" s="201"/>
      <c r="C21" s="197"/>
      <c r="D21" s="82">
        <v>8</v>
      </c>
      <c r="E21" s="96" t="str">
        <f>IF(INDEX($CK$4:$DO$123,ROW()-3,E$3)=0,"","СП")</f>
        <v/>
      </c>
      <c r="F21" s="92" t="str">
        <f>IF(INDEX($CK$4:$DO$123,ROW()-3,F$3)=0,"","СП")</f>
        <v/>
      </c>
      <c r="G21" s="92" t="str">
        <f>IF(INDEX($CK$4:$DO$123,ROW()-3,G$3)=0,"","СП")</f>
        <v/>
      </c>
      <c r="H21" s="92" t="str">
        <f>IF(INDEX($CK$4:$DO$123,ROW()-3,H$3)=0,"","СП")</f>
        <v/>
      </c>
      <c r="I21" s="92" t="str">
        <f>IF(INDEX($CK$4:$DO$123,ROW()-3,I$3)=0,"","СП")</f>
        <v>СП</v>
      </c>
      <c r="J21" s="92" t="str">
        <f>IF(INDEX($CK$4:$DO$123,ROW()-3,J$3)=0,"","СП")</f>
        <v/>
      </c>
      <c r="K21" s="92" t="str">
        <f>IF(INDEX($CK$4:$DO$123,ROW()-3,K$3)=0,"","СП")</f>
        <v/>
      </c>
      <c r="L21" s="92" t="str">
        <f>IF(INDEX($CK$4:$DO$123,ROW()-3,L$3)=0,"","СП")</f>
        <v/>
      </c>
      <c r="M21" s="92" t="str">
        <f>IF(INDEX($CK$4:$DO$123,ROW()-3,M$3)=0,"","СП")</f>
        <v/>
      </c>
      <c r="N21" s="92" t="str">
        <f>IF(INDEX($CK$4:$DO$123,ROW()-3,N$3)=0,"","СП")</f>
        <v/>
      </c>
      <c r="O21" s="92" t="str">
        <f>IF(INDEX($CK$4:$DO$123,ROW()-3,O$3)=0,"","СП")</f>
        <v/>
      </c>
      <c r="P21" s="92" t="str">
        <f>IF(INDEX($CK$4:$DO$123,ROW()-3,P$3)=0,"","СП")</f>
        <v/>
      </c>
      <c r="Q21" s="92" t="str">
        <f>IF(INDEX($CK$4:$DO$123,ROW()-3,Q$3)=0,"","СП")</f>
        <v/>
      </c>
      <c r="R21" s="92" t="str">
        <f>IF(INDEX($CK$4:$DO$123,ROW()-3,R$3)=0,"","СП")</f>
        <v/>
      </c>
      <c r="S21" s="92" t="str">
        <f>IF(INDEX($CK$4:$DO$123,ROW()-3,S$3)=0,"","СП")</f>
        <v/>
      </c>
      <c r="T21" s="92" t="str">
        <f>IF(INDEX($CK$4:$DO$123,ROW()-3,T$3)=0,"","СП")</f>
        <v/>
      </c>
      <c r="U21" s="92" t="str">
        <f>IF(INDEX($CK$4:$DO$123,ROW()-3,U$3)=0,"","СП")</f>
        <v/>
      </c>
      <c r="V21" s="92" t="str">
        <f>IF(INDEX($CK$4:$DO$123,ROW()-3,V$3)=0,"","СП")</f>
        <v/>
      </c>
      <c r="W21" s="92" t="str">
        <f>IF(INDEX($CK$4:$DO$123,ROW()-3,W$3)=0,"","СП")</f>
        <v/>
      </c>
      <c r="X21" s="92" t="str">
        <f>IF(INDEX($CK$4:$DO$123,ROW()-3,X$3)=0,"","СП")</f>
        <v/>
      </c>
      <c r="Y21" s="92" t="str">
        <f>IF(INDEX($CK$4:$DO$123,ROW()-3,Y$3)=0,"","СП")</f>
        <v/>
      </c>
      <c r="Z21" s="92" t="str">
        <f>IF(INDEX($CK$4:$DO$123,ROW()-3,Z$3)=0,"","СП")</f>
        <v/>
      </c>
      <c r="AA21" s="92" t="str">
        <f>IF(INDEX($CK$4:$DO$123,ROW()-3,AA$3)=0,"","СП")</f>
        <v/>
      </c>
      <c r="AB21" s="92" t="str">
        <f>IF(INDEX($CK$4:$DO$123,ROW()-3,AB$3)=0,"","СП")</f>
        <v/>
      </c>
      <c r="AC21" s="92" t="str">
        <f>IF(INDEX($CK$4:$DO$123,ROW()-3,AC$3)=0,"","СП")</f>
        <v/>
      </c>
      <c r="AD21" s="92" t="str">
        <f>IF(INDEX($CK$4:$DO$123,ROW()-3,AD$3)=0,"","СП")</f>
        <v/>
      </c>
      <c r="AE21" s="92" t="str">
        <f>IF(INDEX($CK$4:$DO$123,ROW()-3,AE$3)=0,"","СП")</f>
        <v/>
      </c>
      <c r="AF21" s="92" t="str">
        <f>IF(INDEX($CK$4:$DO$123,ROW()-3,AF$3)=0,"","СП")</f>
        <v/>
      </c>
      <c r="AG21" s="119"/>
      <c r="AH21" s="119"/>
      <c r="AI21" s="110"/>
      <c r="AJ21" s="206"/>
      <c r="AK21" s="177"/>
      <c r="AL21" s="177"/>
      <c r="AM21" s="177"/>
      <c r="AN21" s="198"/>
      <c r="AO21" s="198"/>
      <c r="AP21" s="198"/>
      <c r="AQ21" s="177"/>
      <c r="AR21" s="179"/>
      <c r="CK21" s="58">
        <f>IF(DAY(INDEX('Сводный годовой график'!$BA$4:$BL$14,$C20,MONTH($B$14)))=E$3,1,0)</f>
        <v>0</v>
      </c>
      <c r="CL21" s="58">
        <f>IF(DAY(INDEX('Сводный годовой график'!$BA$4:$BL$14,$C20,MONTH($B$14)))=F$3,1,0)</f>
        <v>0</v>
      </c>
      <c r="CM21" s="58">
        <f>IF(DAY(INDEX('Сводный годовой график'!$BA$4:$BL$14,$C20,MONTH($B$14)))=G$3,1,0)</f>
        <v>0</v>
      </c>
      <c r="CN21" s="58">
        <f>IF(DAY(INDEX('Сводный годовой график'!$BA$4:$BL$14,$C20,MONTH($B$14)))=H$3,1,0)</f>
        <v>0</v>
      </c>
      <c r="CO21" s="58">
        <f>IF(DAY(INDEX('Сводный годовой график'!$BA$4:$BL$14,$C20,MONTH($B$14)))=I$3,1,0)</f>
        <v>1</v>
      </c>
      <c r="CP21" s="58">
        <f>IF(DAY(INDEX('Сводный годовой график'!$BA$4:$BL$14,$C20,MONTH($B$14)))=J$3,1,0)</f>
        <v>0</v>
      </c>
      <c r="CQ21" s="58">
        <f>IF(DAY(INDEX('Сводный годовой график'!$BA$4:$BL$14,$C20,MONTH($B$14)))=K$3,1,0)</f>
        <v>0</v>
      </c>
      <c r="CR21" s="58">
        <f>IF(DAY(INDEX('Сводный годовой график'!$BA$4:$BL$14,$C20,MONTH($B$14)))=L$3,1,0)</f>
        <v>0</v>
      </c>
      <c r="CS21" s="58">
        <f>IF(DAY(INDEX('Сводный годовой график'!$BA$4:$BL$14,$C20,MONTH($B$14)))=M$3,1,0)</f>
        <v>0</v>
      </c>
      <c r="CT21" s="58">
        <f>IF(DAY(INDEX('Сводный годовой график'!$BA$4:$BL$14,$C20,MONTH($B$14)))=N$3,1,0)</f>
        <v>0</v>
      </c>
      <c r="CU21" s="58">
        <f>IF(DAY(INDEX('Сводный годовой график'!$BA$4:$BL$14,$C20,MONTH($B$14)))=O$3,1,0)</f>
        <v>0</v>
      </c>
      <c r="CV21" s="58">
        <f>IF(DAY(INDEX('Сводный годовой график'!$BA$4:$BL$14,$C20,MONTH($B$14)))=P$3,1,0)</f>
        <v>0</v>
      </c>
      <c r="CW21" s="58">
        <f>IF(DAY(INDEX('Сводный годовой график'!$BA$4:$BL$14,$C20,MONTH($B$14)))=Q$3,1,0)</f>
        <v>0</v>
      </c>
      <c r="CX21" s="58">
        <f>IF(DAY(INDEX('Сводный годовой график'!$BA$4:$BL$14,$C20,MONTH($B$14)))=R$3,1,0)</f>
        <v>0</v>
      </c>
      <c r="CY21" s="58">
        <f>IF(DAY(INDEX('Сводный годовой график'!$BA$4:$BL$14,$C20,MONTH($B$14)))=S$3,1,0)</f>
        <v>0</v>
      </c>
      <c r="CZ21" s="58">
        <f>IF(DAY(INDEX('Сводный годовой график'!$BA$4:$BL$14,$C20,MONTH($B$14)))=T$3,1,0)</f>
        <v>0</v>
      </c>
      <c r="DA21" s="58">
        <f>IF(DAY(INDEX('Сводный годовой график'!$BA$4:$BL$14,$C20,MONTH($B$14)))=U$3,1,0)</f>
        <v>0</v>
      </c>
      <c r="DB21" s="58">
        <f>IF(DAY(INDEX('Сводный годовой график'!$BA$4:$BL$14,$C20,MONTH($B$14)))=V$3,1,0)</f>
        <v>0</v>
      </c>
      <c r="DC21" s="58">
        <f>IF(DAY(INDEX('Сводный годовой график'!$BA$4:$BL$14,$C20,MONTH($B$14)))=W$3,1,0)</f>
        <v>0</v>
      </c>
      <c r="DD21" s="58">
        <f>IF(DAY(INDEX('Сводный годовой график'!$BA$4:$BL$14,$C20,MONTH($B$14)))=X$3,1,0)</f>
        <v>0</v>
      </c>
      <c r="DE21" s="58">
        <f>IF(DAY(INDEX('Сводный годовой график'!$BA$4:$BL$14,$C20,MONTH($B$14)))=Y$3,1,0)</f>
        <v>0</v>
      </c>
      <c r="DF21" s="58">
        <f>IF(DAY(INDEX('Сводный годовой график'!$BA$4:$BL$14,$C20,MONTH($B$14)))=Z$3,1,0)</f>
        <v>0</v>
      </c>
      <c r="DG21" s="58">
        <f>IF(DAY(INDEX('Сводный годовой график'!$BA$4:$BL$14,$C20,MONTH($B$14)))=AA$3,1,0)</f>
        <v>0</v>
      </c>
      <c r="DH21" s="58">
        <f>IF(DAY(INDEX('Сводный годовой график'!$BA$4:$BL$14,$C20,MONTH($B$14)))=AB$3,1,0)</f>
        <v>0</v>
      </c>
      <c r="DI21" s="58">
        <f>IF(DAY(INDEX('Сводный годовой график'!$BA$4:$BL$14,$C20,MONTH($B$14)))=AC$3,1,0)</f>
        <v>0</v>
      </c>
      <c r="DJ21" s="58">
        <f>IF(DAY(INDEX('Сводный годовой график'!$BA$4:$BL$14,$C20,MONTH($B$14)))=AD$3,1,0)</f>
        <v>0</v>
      </c>
      <c r="DK21" s="58">
        <f>IF(DAY(INDEX('Сводный годовой график'!$BA$4:$BL$14,$C20,MONTH($B$14)))=AE$3,1,0)</f>
        <v>0</v>
      </c>
      <c r="DL21" s="58">
        <f>IF(DAY(INDEX('Сводный годовой график'!$BA$4:$BL$14,$C20,MONTH($B$14)))=AF$3,1,0)</f>
        <v>0</v>
      </c>
      <c r="DM21" s="58">
        <f>IF(DAY(INDEX('Сводный годовой график'!$BA$4:$BL$14,$C20,MONTH($B$14)))=AG$3,1,0)</f>
        <v>0</v>
      </c>
      <c r="DN21" s="58">
        <f>IF(DAY(INDEX('Сводный годовой график'!$BA$4:$BL$14,$C20,MONTH($B$14)))=AH$3,1,0)</f>
        <v>0</v>
      </c>
      <c r="DO21" s="58">
        <f>IF(DAY(INDEX('Сводный годовой график'!$BA$4:$BL$14,$C20,MONTH($B$14)))=AI$3,1,0)</f>
        <v>0</v>
      </c>
    </row>
    <row r="22" spans="2:119" ht="17.25" thickTop="1" thickBot="1" x14ac:dyDescent="0.3">
      <c r="B22" s="201"/>
      <c r="C22" s="196">
        <v>5</v>
      </c>
      <c r="D22" s="81">
        <v>9</v>
      </c>
      <c r="E22" s="96" t="s">
        <v>36</v>
      </c>
      <c r="F22" s="92" t="s">
        <v>36</v>
      </c>
      <c r="G22" s="92" t="s">
        <v>36</v>
      </c>
      <c r="H22" s="92" t="s">
        <v>36</v>
      </c>
      <c r="I22" s="92" t="s">
        <v>36</v>
      </c>
      <c r="J22" s="92" t="s">
        <v>36</v>
      </c>
      <c r="K22" s="92" t="s">
        <v>36</v>
      </c>
      <c r="L22" s="92" t="s">
        <v>36</v>
      </c>
      <c r="M22" s="92" t="s">
        <v>36</v>
      </c>
      <c r="N22" s="92" t="s">
        <v>36</v>
      </c>
      <c r="O22" s="92" t="s">
        <v>36</v>
      </c>
      <c r="P22" s="92" t="s">
        <v>36</v>
      </c>
      <c r="Q22" s="92" t="s">
        <v>36</v>
      </c>
      <c r="R22" s="92" t="s">
        <v>36</v>
      </c>
      <c r="S22" s="92" t="s">
        <v>36</v>
      </c>
      <c r="T22" s="92" t="s">
        <v>36</v>
      </c>
      <c r="U22" s="92" t="s">
        <v>36</v>
      </c>
      <c r="V22" s="92" t="s">
        <v>36</v>
      </c>
      <c r="W22" s="92" t="s">
        <v>36</v>
      </c>
      <c r="X22" s="92" t="s">
        <v>36</v>
      </c>
      <c r="Y22" s="92" t="s">
        <v>36</v>
      </c>
      <c r="Z22" s="92" t="s">
        <v>36</v>
      </c>
      <c r="AA22" s="92" t="s">
        <v>36</v>
      </c>
      <c r="AB22" s="92" t="s">
        <v>36</v>
      </c>
      <c r="AC22" s="92" t="s">
        <v>36</v>
      </c>
      <c r="AD22" s="92" t="s">
        <v>36</v>
      </c>
      <c r="AE22" s="92" t="s">
        <v>36</v>
      </c>
      <c r="AF22" s="92" t="s">
        <v>36</v>
      </c>
      <c r="AG22" s="119"/>
      <c r="AH22" s="119"/>
      <c r="AI22" s="110"/>
      <c r="AJ22" s="206"/>
      <c r="AK22" s="177">
        <f>$AJ$14-SUM(AY22:CC23)</f>
        <v>160</v>
      </c>
      <c r="AL22" s="177">
        <f t="shared" ref="AL22" si="26">SUM(E22:AI23)</f>
        <v>0</v>
      </c>
      <c r="AM22" s="177">
        <f>SUM(AA22)</f>
        <v>0</v>
      </c>
      <c r="AN22" s="198">
        <f t="shared" ref="AN22" si="27">-AM22-AK22+AL22</f>
        <v>-160</v>
      </c>
      <c r="AO22" s="198">
        <v>0</v>
      </c>
      <c r="AP22" s="208">
        <f t="shared" ref="AP22" si="28">AN22+AP12-AO22</f>
        <v>-296</v>
      </c>
      <c r="AQ22" s="177">
        <v>0</v>
      </c>
      <c r="AR22" s="179">
        <v>1</v>
      </c>
      <c r="CK22" s="59"/>
      <c r="CL22" s="59"/>
      <c r="CM22" s="59"/>
      <c r="CN22" s="59"/>
      <c r="CO22" s="59"/>
      <c r="CP22" s="59"/>
      <c r="CQ22" s="59"/>
      <c r="CR22" s="59"/>
      <c r="CS22" s="59"/>
      <c r="CT22" s="59"/>
      <c r="CU22" s="59"/>
      <c r="CV22" s="59"/>
      <c r="CW22" s="59"/>
      <c r="CX22" s="59"/>
      <c r="CY22" s="59"/>
      <c r="CZ22" s="59"/>
      <c r="DA22" s="59"/>
      <c r="DB22" s="59"/>
      <c r="DC22" s="59"/>
      <c r="DD22" s="59"/>
      <c r="DE22" s="59"/>
      <c r="DF22" s="59"/>
      <c r="DG22" s="59"/>
      <c r="DH22" s="59"/>
      <c r="DI22" s="59"/>
      <c r="DJ22" s="59"/>
      <c r="DK22" s="59"/>
      <c r="DL22" s="59"/>
      <c r="DM22" s="59"/>
      <c r="DN22" s="59"/>
      <c r="DO22" s="59"/>
    </row>
    <row r="23" spans="2:119" ht="16.5" thickBot="1" x14ac:dyDescent="0.3">
      <c r="B23" s="202"/>
      <c r="C23" s="197"/>
      <c r="D23" s="82">
        <v>10</v>
      </c>
      <c r="E23" s="84" t="str">
        <f>IF(INDEX($CK$4:$DO$123,ROW()-3,E$3)=0,"","СП")</f>
        <v/>
      </c>
      <c r="F23" s="29" t="str">
        <f>IF(INDEX($CK$4:$DO$123,ROW()-3,F$3)=0,"","СП")</f>
        <v/>
      </c>
      <c r="G23" s="29" t="str">
        <f>IF(INDEX($CK$4:$DO$123,ROW()-3,G$3)=0,"","СП")</f>
        <v/>
      </c>
      <c r="H23" s="29" t="str">
        <f>IF(INDEX($CK$4:$DO$123,ROW()-3,H$3)=0,"","СП")</f>
        <v/>
      </c>
      <c r="I23" s="29" t="str">
        <f>IF(INDEX($CK$4:$DO$123,ROW()-3,I$3)=0,"","СП")</f>
        <v/>
      </c>
      <c r="J23" s="29" t="str">
        <f>IF(INDEX($CK$4:$DO$123,ROW()-3,J$3)=0,"","СП")</f>
        <v>СП</v>
      </c>
      <c r="K23" s="29" t="str">
        <f>IF(INDEX($CK$4:$DO$123,ROW()-3,K$3)=0,"","СП")</f>
        <v/>
      </c>
      <c r="L23" s="29" t="str">
        <f>IF(INDEX($CK$4:$DO$123,ROW()-3,L$3)=0,"","СП")</f>
        <v/>
      </c>
      <c r="M23" s="29" t="str">
        <f>IF(INDEX($CK$4:$DO$123,ROW()-3,M$3)=0,"","СП")</f>
        <v/>
      </c>
      <c r="N23" s="29" t="str">
        <f>IF(INDEX($CK$4:$DO$123,ROW()-3,N$3)=0,"","СП")</f>
        <v/>
      </c>
      <c r="O23" s="29" t="str">
        <f>IF(INDEX($CK$4:$DO$123,ROW()-3,O$3)=0,"","СП")</f>
        <v/>
      </c>
      <c r="P23" s="29" t="str">
        <f>IF(INDEX($CK$4:$DO$123,ROW()-3,P$3)=0,"","СП")</f>
        <v/>
      </c>
      <c r="Q23" s="29" t="str">
        <f>IF(INDEX($CK$4:$DO$123,ROW()-3,Q$3)=0,"","СП")</f>
        <v/>
      </c>
      <c r="R23" s="29" t="str">
        <f>IF(INDEX($CK$4:$DO$123,ROW()-3,R$3)=0,"","СП")</f>
        <v/>
      </c>
      <c r="S23" s="29" t="str">
        <f>IF(INDEX($CK$4:$DO$123,ROW()-3,S$3)=0,"","СП")</f>
        <v/>
      </c>
      <c r="T23" s="29" t="str">
        <f>IF(INDEX($CK$4:$DO$123,ROW()-3,T$3)=0,"","СП")</f>
        <v/>
      </c>
      <c r="U23" s="29" t="str">
        <f>IF(INDEX($CK$4:$DO$123,ROW()-3,U$3)=0,"","СП")</f>
        <v/>
      </c>
      <c r="V23" s="29" t="str">
        <f>IF(INDEX($CK$4:$DO$123,ROW()-3,V$3)=0,"","СП")</f>
        <v/>
      </c>
      <c r="W23" s="29" t="str">
        <f>IF(INDEX($CK$4:$DO$123,ROW()-3,W$3)=0,"","СП")</f>
        <v/>
      </c>
      <c r="X23" s="29" t="str">
        <f>IF(INDEX($CK$4:$DO$123,ROW()-3,X$3)=0,"","СП")</f>
        <v/>
      </c>
      <c r="Y23" s="29" t="str">
        <f>IF(INDEX($CK$4:$DO$123,ROW()-3,Y$3)=0,"","СП")</f>
        <v/>
      </c>
      <c r="Z23" s="29" t="str">
        <f>IF(INDEX($CK$4:$DO$123,ROW()-3,Z$3)=0,"","СП")</f>
        <v/>
      </c>
      <c r="AA23" s="29" t="str">
        <f>IF(INDEX($CK$4:$DO$123,ROW()-3,AA$3)=0,"","СП")</f>
        <v/>
      </c>
      <c r="AB23" s="29" t="str">
        <f>IF(INDEX($CK$4:$DO$123,ROW()-3,AB$3)=0,"","СП")</f>
        <v/>
      </c>
      <c r="AC23" s="29" t="str">
        <f>IF(INDEX($CK$4:$DO$123,ROW()-3,AC$3)=0,"","СП")</f>
        <v/>
      </c>
      <c r="AD23" s="29" t="str">
        <f>IF(INDEX($CK$4:$DO$123,ROW()-3,AD$3)=0,"","СП")</f>
        <v/>
      </c>
      <c r="AE23" s="29" t="str">
        <f>IF(INDEX($CK$4:$DO$123,ROW()-3,AE$3)=0,"","СП")</f>
        <v/>
      </c>
      <c r="AF23" s="29" t="str">
        <f>IF(INDEX($CK$4:$DO$123,ROW()-3,AF$3)=0,"","СП")</f>
        <v/>
      </c>
      <c r="AG23" s="124"/>
      <c r="AH23" s="124"/>
      <c r="AI23" s="111"/>
      <c r="AJ23" s="207"/>
      <c r="AK23" s="178"/>
      <c r="AL23" s="178"/>
      <c r="AM23" s="178"/>
      <c r="AN23" s="199"/>
      <c r="AO23" s="199"/>
      <c r="AP23" s="198"/>
      <c r="AQ23" s="178"/>
      <c r="AR23" s="180"/>
      <c r="CK23" s="58">
        <f>IF(DAY(INDEX('Сводный годовой график'!$BA$4:$BL$14,$C22,MONTH($B$14)))=E$3,1,0)</f>
        <v>0</v>
      </c>
      <c r="CL23" s="58">
        <f>IF(DAY(INDEX('Сводный годовой график'!$BA$4:$BL$14,$C22,MONTH($B$14)))=F$3,1,0)</f>
        <v>0</v>
      </c>
      <c r="CM23" s="58">
        <f>IF(DAY(INDEX('Сводный годовой график'!$BA$4:$BL$14,$C22,MONTH($B$14)))=G$3,1,0)</f>
        <v>0</v>
      </c>
      <c r="CN23" s="58">
        <f>IF(DAY(INDEX('Сводный годовой график'!$BA$4:$BL$14,$C22,MONTH($B$14)))=H$3,1,0)</f>
        <v>0</v>
      </c>
      <c r="CO23" s="58">
        <f>IF(DAY(INDEX('Сводный годовой график'!$BA$4:$BL$14,$C22,MONTH($B$14)))=I$3,1,0)</f>
        <v>0</v>
      </c>
      <c r="CP23" s="58">
        <f>IF(DAY(INDEX('Сводный годовой график'!$BA$4:$BL$14,$C22,MONTH($B$14)))=J$3,1,0)</f>
        <v>1</v>
      </c>
      <c r="CQ23" s="58">
        <f>IF(DAY(INDEX('Сводный годовой график'!$BA$4:$BL$14,$C22,MONTH($B$14)))=K$3,1,0)</f>
        <v>0</v>
      </c>
      <c r="CR23" s="58">
        <f>IF(DAY(INDEX('Сводный годовой график'!$BA$4:$BL$14,$C22,MONTH($B$14)))=L$3,1,0)</f>
        <v>0</v>
      </c>
      <c r="CS23" s="58">
        <f>IF(DAY(INDEX('Сводный годовой график'!$BA$4:$BL$14,$C22,MONTH($B$14)))=M$3,1,0)</f>
        <v>0</v>
      </c>
      <c r="CT23" s="58">
        <f>IF(DAY(INDEX('Сводный годовой график'!$BA$4:$BL$14,$C22,MONTH($B$14)))=N$3,1,0)</f>
        <v>0</v>
      </c>
      <c r="CU23" s="58">
        <f>IF(DAY(INDEX('Сводный годовой график'!$BA$4:$BL$14,$C22,MONTH($B$14)))=O$3,1,0)</f>
        <v>0</v>
      </c>
      <c r="CV23" s="58">
        <f>IF(DAY(INDEX('Сводный годовой график'!$BA$4:$BL$14,$C22,MONTH($B$14)))=P$3,1,0)</f>
        <v>0</v>
      </c>
      <c r="CW23" s="58">
        <f>IF(DAY(INDEX('Сводный годовой график'!$BA$4:$BL$14,$C22,MONTH($B$14)))=Q$3,1,0)</f>
        <v>0</v>
      </c>
      <c r="CX23" s="58">
        <f>IF(DAY(INDEX('Сводный годовой график'!$BA$4:$BL$14,$C22,MONTH($B$14)))=R$3,1,0)</f>
        <v>0</v>
      </c>
      <c r="CY23" s="58">
        <f>IF(DAY(INDEX('Сводный годовой график'!$BA$4:$BL$14,$C22,MONTH($B$14)))=S$3,1,0)</f>
        <v>0</v>
      </c>
      <c r="CZ23" s="58">
        <f>IF(DAY(INDEX('Сводный годовой график'!$BA$4:$BL$14,$C22,MONTH($B$14)))=T$3,1,0)</f>
        <v>0</v>
      </c>
      <c r="DA23" s="58">
        <f>IF(DAY(INDEX('Сводный годовой график'!$BA$4:$BL$14,$C22,MONTH($B$14)))=U$3,1,0)</f>
        <v>0</v>
      </c>
      <c r="DB23" s="58">
        <f>IF(DAY(INDEX('Сводный годовой график'!$BA$4:$BL$14,$C22,MONTH($B$14)))=V$3,1,0)</f>
        <v>0</v>
      </c>
      <c r="DC23" s="58">
        <f>IF(DAY(INDEX('Сводный годовой график'!$BA$4:$BL$14,$C22,MONTH($B$14)))=W$3,1,0)</f>
        <v>0</v>
      </c>
      <c r="DD23" s="58">
        <f>IF(DAY(INDEX('Сводный годовой график'!$BA$4:$BL$14,$C22,MONTH($B$14)))=X$3,1,0)</f>
        <v>0</v>
      </c>
      <c r="DE23" s="58">
        <f>IF(DAY(INDEX('Сводный годовой график'!$BA$4:$BL$14,$C22,MONTH($B$14)))=Y$3,1,0)</f>
        <v>0</v>
      </c>
      <c r="DF23" s="58">
        <f>IF(DAY(INDEX('Сводный годовой график'!$BA$4:$BL$14,$C22,MONTH($B$14)))=Z$3,1,0)</f>
        <v>0</v>
      </c>
      <c r="DG23" s="58">
        <f>IF(DAY(INDEX('Сводный годовой график'!$BA$4:$BL$14,$C22,MONTH($B$14)))=AA$3,1,0)</f>
        <v>0</v>
      </c>
      <c r="DH23" s="58">
        <f>IF(DAY(INDEX('Сводный годовой график'!$BA$4:$BL$14,$C22,MONTH($B$14)))=AB$3,1,0)</f>
        <v>0</v>
      </c>
      <c r="DI23" s="58">
        <f>IF(DAY(INDEX('Сводный годовой график'!$BA$4:$BL$14,$C22,MONTH($B$14)))=AC$3,1,0)</f>
        <v>0</v>
      </c>
      <c r="DJ23" s="58">
        <f>IF(DAY(INDEX('Сводный годовой график'!$BA$4:$BL$14,$C22,MONTH($B$14)))=AD$3,1,0)</f>
        <v>0</v>
      </c>
      <c r="DK23" s="58">
        <f>IF(DAY(INDEX('Сводный годовой график'!$BA$4:$BL$14,$C22,MONTH($B$14)))=AE$3,1,0)</f>
        <v>0</v>
      </c>
      <c r="DL23" s="58">
        <f>IF(DAY(INDEX('Сводный годовой график'!$BA$4:$BL$14,$C22,MONTH($B$14)))=AF$3,1,0)</f>
        <v>0</v>
      </c>
      <c r="DM23" s="58">
        <f>IF(DAY(INDEX('Сводный годовой график'!$BA$4:$BL$14,$C22,MONTH($B$14)))=AG$3,1,0)</f>
        <v>0</v>
      </c>
      <c r="DN23" s="58">
        <f>IF(DAY(INDEX('Сводный годовой график'!$BA$4:$BL$14,$C22,MONTH($B$14)))=AH$3,1,0)</f>
        <v>0</v>
      </c>
      <c r="DO23" s="58">
        <f>IF(DAY(INDEX('Сводный годовой график'!$BA$4:$BL$14,$C22,MONTH($B$14)))=AI$3,1,0)</f>
        <v>0</v>
      </c>
    </row>
    <row r="24" spans="2:119" ht="17.25" customHeight="1" thickTop="1" thickBot="1" x14ac:dyDescent="0.3">
      <c r="B24" s="201">
        <f>DATE($AV$1,3,1)</f>
        <v>45717</v>
      </c>
      <c r="C24" s="212">
        <v>1</v>
      </c>
      <c r="D24" s="99">
        <v>1</v>
      </c>
      <c r="E24" s="86">
        <f ca="1">IF(AND(INDEX('Сводный годовой график'!$C$1:$AR$4,MATCH($C$24,'Сводный годовой график'!$B$1:$B$4),MATCH(DATE($AV$1,MONTH($B$24),E$3),'Сводный годовой график'!$C$7:$AR$7))&lt;&gt;12,INDIRECT(ADDRESS(ROW()+1,COLUMN()))="СП"),8,INDEX('Сводный годовой график'!$C$1:$AR$4,MATCH($C$24,'Сводный годовой график'!$B$1:$B$4),MATCH(DATE($AV$1,MONTH($B$24),E$3),'Сводный годовой график'!$C$7:$AR$7)))</f>
        <v>8</v>
      </c>
      <c r="F24" s="27">
        <f ca="1">IF(AND(INDEX('Сводный годовой график'!$C$1:$AR$4,MATCH($C$24,'Сводный годовой график'!$B$1:$B$4),MATCH(DATE($AV$1,MONTH($B$24),F$3),'Сводный годовой график'!$C$7:$AR$7))&lt;&gt;12,INDIRECT(ADDRESS(ROW()+1,COLUMN()))="СП"),8,INDEX('Сводный годовой график'!$C$1:$AR$4,MATCH($C$24,'Сводный годовой график'!$B$1:$B$4),MATCH(DATE($AV$1,MONTH($B$24),F$3),'Сводный годовой график'!$C$7:$AR$7)))</f>
        <v>12</v>
      </c>
      <c r="G24" s="27">
        <f ca="1">IF(AND(INDEX('Сводный годовой график'!$C$1:$AR$4,MATCH($C$24,'Сводный годовой график'!$B$1:$B$4),MATCH(DATE($AV$1,MONTH($B$24),G$3),'Сводный годовой график'!$C$7:$AR$7))&lt;&gt;12,INDIRECT(ADDRESS(ROW()+1,COLUMN()))="СП"),8,INDEX('Сводный годовой график'!$C$1:$AR$4,MATCH($C$24,'Сводный годовой график'!$B$1:$B$4),MATCH(DATE($AV$1,MONTH($B$24),G$3),'Сводный годовой график'!$C$7:$AR$7)))</f>
        <v>8</v>
      </c>
      <c r="H24" s="27">
        <f ca="1">IF(AND(INDEX('Сводный годовой график'!$C$1:$AR$4,MATCH($C$24,'Сводный годовой график'!$B$1:$B$4),MATCH(DATE($AV$1,MONTH($B$24),H$3),'Сводный годовой график'!$C$7:$AR$7))&lt;&gt;12,INDIRECT(ADDRESS(ROW()+1,COLUMN()))="СП"),8,INDEX('Сводный годовой график'!$C$1:$AR$4,MATCH($C$24,'Сводный годовой график'!$B$1:$B$4),MATCH(DATE($AV$1,MONTH($B$24),H$3),'Сводный годовой график'!$C$7:$AR$7)))</f>
        <v>8</v>
      </c>
      <c r="I24" s="27">
        <f ca="1">IF(AND(INDEX('Сводный годовой график'!$C$1:$AR$4,MATCH($C$24,'Сводный годовой график'!$B$1:$B$4),MATCH(DATE($AV$1,MONTH($B$24),I$3),'Сводный годовой график'!$C$7:$AR$7))&lt;&gt;12,INDIRECT(ADDRESS(ROW()+1,COLUMN()))="СП"),8,INDEX('Сводный годовой график'!$C$1:$AR$4,MATCH($C$24,'Сводный годовой график'!$B$1:$B$4),MATCH(DATE($AV$1,MONTH($B$24),I$3),'Сводный годовой график'!$C$7:$AR$7)))</f>
        <v>12</v>
      </c>
      <c r="J24" s="27">
        <f ca="1">IF(AND(INDEX('Сводный годовой график'!$C$1:$AR$4,MATCH($C$24,'Сводный годовой график'!$B$1:$B$4),MATCH(DATE($AV$1,MONTH($B$24),J$3),'Сводный годовой график'!$C$7:$AR$7))&lt;&gt;12,INDIRECT(ADDRESS(ROW()+1,COLUMN()))="СП"),8,INDEX('Сводный годовой график'!$C$1:$AR$4,MATCH($C$24,'Сводный годовой график'!$B$1:$B$4),MATCH(DATE($AV$1,MONTH($B$24),J$3),'Сводный годовой график'!$C$7:$AR$7)))</f>
        <v>0</v>
      </c>
      <c r="K24" s="27">
        <f ca="1">IF(AND(INDEX('Сводный годовой график'!$C$1:$AR$4,MATCH($C$24,'Сводный годовой график'!$B$1:$B$4),MATCH(DATE($AV$1,MONTH($B$24),K$3),'Сводный годовой график'!$C$7:$AR$7))&lt;&gt;12,INDIRECT(ADDRESS(ROW()+1,COLUMN()))="СП"),8,INDEX('Сводный годовой график'!$C$1:$AR$4,MATCH($C$24,'Сводный годовой график'!$B$1:$B$4),MATCH(DATE($AV$1,MONTH($B$24),K$3),'Сводный годовой график'!$C$7:$AR$7)))</f>
        <v>0</v>
      </c>
      <c r="L24" s="27">
        <f ca="1">IF(AND(INDEX('Сводный годовой график'!$C$1:$AR$4,MATCH($C$24,'Сводный годовой график'!$B$1:$B$4),MATCH(DATE($AV$1,MONTH($B$24),L$3),'Сводный годовой график'!$C$7:$AR$7))&lt;&gt;12,INDIRECT(ADDRESS(ROW()+1,COLUMN()))="СП"),8,INDEX('Сводный годовой график'!$C$1:$AR$4,MATCH($C$24,'Сводный годовой график'!$B$1:$B$4),MATCH(DATE($AV$1,MONTH($B$24),L$3),'Сводный годовой график'!$C$7:$AR$7)))</f>
        <v>4</v>
      </c>
      <c r="M24" s="27">
        <f ca="1">IF(AND(INDEX('Сводный годовой график'!$C$1:$AR$4,MATCH($C$24,'Сводный годовой график'!$B$1:$B$4),MATCH(DATE($AV$1,MONTH($B$24),M$3),'Сводный годовой график'!$C$7:$AR$7))&lt;&gt;12,INDIRECT(ADDRESS(ROW()+1,COLUMN()))="СП"),8,INDEX('Сводный годовой график'!$C$1:$AR$4,MATCH($C$24,'Сводный годовой график'!$B$1:$B$4),MATCH(DATE($AV$1,MONTH($B$24),M$3),'Сводный годовой график'!$C$7:$AR$7)))</f>
        <v>8</v>
      </c>
      <c r="N24" s="27">
        <f ca="1">IF(AND(INDEX('Сводный годовой график'!$C$1:$AR$4,MATCH($C$24,'Сводный годовой график'!$B$1:$B$4),MATCH(DATE($AV$1,MONTH($B$24),N$3),'Сводный годовой график'!$C$7:$AR$7))&lt;&gt;12,INDIRECT(ADDRESS(ROW()+1,COLUMN()))="СП"),8,INDEX('Сводный годовой график'!$C$1:$AR$4,MATCH($C$24,'Сводный годовой график'!$B$1:$B$4),MATCH(DATE($AV$1,MONTH($B$24),N$3),'Сводный годовой график'!$C$7:$AR$7)))</f>
        <v>12</v>
      </c>
      <c r="O24" s="27">
        <f ca="1">IF(AND(INDEX('Сводный годовой график'!$C$1:$AR$4,MATCH($C$24,'Сводный годовой график'!$B$1:$B$4),MATCH(DATE($AV$1,MONTH($B$24),O$3),'Сводный годовой график'!$C$7:$AR$7))&lt;&gt;12,INDIRECT(ADDRESS(ROW()+1,COLUMN()))="СП"),8,INDEX('Сводный годовой график'!$C$1:$AR$4,MATCH($C$24,'Сводный годовой график'!$B$1:$B$4),MATCH(DATE($AV$1,MONTH($B$24),O$3),'Сводный годовой график'!$C$7:$AR$7)))</f>
        <v>4</v>
      </c>
      <c r="P24" s="27">
        <f ca="1">IF(AND(INDEX('Сводный годовой график'!$C$1:$AR$4,MATCH($C$24,'Сводный годовой график'!$B$1:$B$4),MATCH(DATE($AV$1,MONTH($B$24),P$3),'Сводный годовой график'!$C$7:$AR$7))&lt;&gt;12,INDIRECT(ADDRESS(ROW()+1,COLUMN()))="СП"),8,INDEX('Сводный годовой график'!$C$1:$AR$4,MATCH($C$24,'Сводный годовой график'!$B$1:$B$4),MATCH(DATE($AV$1,MONTH($B$24),P$3),'Сводный годовой график'!$C$7:$AR$7)))</f>
        <v>8</v>
      </c>
      <c r="Q24" s="27">
        <f ca="1">IF(AND(INDEX('Сводный годовой график'!$C$1:$AR$4,MATCH($C$24,'Сводный годовой график'!$B$1:$B$4),MATCH(DATE($AV$1,MONTH($B$24),Q$3),'Сводный годовой график'!$C$7:$AR$7))&lt;&gt;12,INDIRECT(ADDRESS(ROW()+1,COLUMN()))="СП"),8,INDEX('Сводный годовой график'!$C$1:$AR$4,MATCH($C$24,'Сводный годовой график'!$B$1:$B$4),MATCH(DATE($AV$1,MONTH($B$24),Q$3),'Сводный годовой график'!$C$7:$AR$7)))</f>
        <v>12</v>
      </c>
      <c r="R24" s="27">
        <f ca="1">IF(AND(INDEX('Сводный годовой график'!$C$1:$AR$4,MATCH($C$24,'Сводный годовой график'!$B$1:$B$4),MATCH(DATE($AV$1,MONTH($B$24),R$3),'Сводный годовой график'!$C$7:$AR$7))&lt;&gt;12,INDIRECT(ADDRESS(ROW()+1,COLUMN()))="СП"),8,INDEX('Сводный годовой график'!$C$1:$AR$4,MATCH($C$24,'Сводный годовой график'!$B$1:$B$4),MATCH(DATE($AV$1,MONTH($B$24),R$3),'Сводный годовой график'!$C$7:$AR$7)))</f>
        <v>0</v>
      </c>
      <c r="S24" s="27">
        <f ca="1">IF(AND(INDEX('Сводный годовой график'!$C$1:$AR$4,MATCH($C$24,'Сводный годовой график'!$B$1:$B$4),MATCH(DATE($AV$1,MONTH($B$24),S$3),'Сводный годовой график'!$C$7:$AR$7))&lt;&gt;12,INDIRECT(ADDRESS(ROW()+1,COLUMN()))="СП"),8,INDEX('Сводный годовой график'!$C$1:$AR$4,MATCH($C$24,'Сводный годовой график'!$B$1:$B$4),MATCH(DATE($AV$1,MONTH($B$24),S$3),'Сводный годовой график'!$C$7:$AR$7)))</f>
        <v>0</v>
      </c>
      <c r="T24" s="27">
        <f ca="1">IF(AND(INDEX('Сводный годовой график'!$C$1:$AR$4,MATCH($C$24,'Сводный годовой график'!$B$1:$B$4),MATCH(DATE($AV$1,MONTH($B$24),T$3),'Сводный годовой график'!$C$7:$AR$7))&lt;&gt;12,INDIRECT(ADDRESS(ROW()+1,COLUMN()))="СП"),8,INDEX('Сводный годовой график'!$C$1:$AR$4,MATCH($C$24,'Сводный годовой график'!$B$1:$B$4),MATCH(DATE($AV$1,MONTH($B$24),T$3),'Сводный годовой график'!$C$7:$AR$7)))</f>
        <v>4</v>
      </c>
      <c r="U24" s="27">
        <f ca="1">IF(AND(INDEX('Сводный годовой график'!$C$1:$AR$4,MATCH($C$24,'Сводный годовой график'!$B$1:$B$4),MATCH(DATE($AV$1,MONTH($B$24),U$3),'Сводный годовой график'!$C$7:$AR$7))&lt;&gt;12,INDIRECT(ADDRESS(ROW()+1,COLUMN()))="СП"),8,INDEX('Сводный годовой график'!$C$1:$AR$4,MATCH($C$24,'Сводный годовой график'!$B$1:$B$4),MATCH(DATE($AV$1,MONTH($B$24),U$3),'Сводный годовой график'!$C$7:$AR$7)))</f>
        <v>8</v>
      </c>
      <c r="V24" s="27">
        <f ca="1">IF(AND(INDEX('Сводный годовой график'!$C$1:$AR$4,MATCH($C$24,'Сводный годовой график'!$B$1:$B$4),MATCH(DATE($AV$1,MONTH($B$24),V$3),'Сводный годовой график'!$C$7:$AR$7))&lt;&gt;12,INDIRECT(ADDRESS(ROW()+1,COLUMN()))="СП"),8,INDEX('Сводный годовой график'!$C$1:$AR$4,MATCH($C$24,'Сводный годовой график'!$B$1:$B$4),MATCH(DATE($AV$1,MONTH($B$24),V$3),'Сводный годовой график'!$C$7:$AR$7)))</f>
        <v>12</v>
      </c>
      <c r="W24" s="27">
        <f ca="1">IF(AND(INDEX('Сводный годовой график'!$C$1:$AR$4,MATCH($C$24,'Сводный годовой график'!$B$1:$B$4),MATCH(DATE($AV$1,MONTH($B$24),W$3),'Сводный годовой график'!$C$7:$AR$7))&lt;&gt;12,INDIRECT(ADDRESS(ROW()+1,COLUMN()))="СП"),8,INDEX('Сводный годовой график'!$C$1:$AR$4,MATCH($C$24,'Сводный годовой график'!$B$1:$B$4),MATCH(DATE($AV$1,MONTH($B$24),W$3),'Сводный годовой график'!$C$7:$AR$7)))</f>
        <v>4</v>
      </c>
      <c r="X24" s="27">
        <f ca="1">IF(AND(INDEX('Сводный годовой график'!$C$1:$AR$4,MATCH($C$24,'Сводный годовой график'!$B$1:$B$4),MATCH(DATE($AV$1,MONTH($B$24),X$3),'Сводный годовой график'!$C$7:$AR$7))&lt;&gt;12,INDIRECT(ADDRESS(ROW()+1,COLUMN()))="СП"),8,INDEX('Сводный годовой график'!$C$1:$AR$4,MATCH($C$24,'Сводный годовой график'!$B$1:$B$4),MATCH(DATE($AV$1,MONTH($B$24),X$3),'Сводный годовой график'!$C$7:$AR$7)))</f>
        <v>8</v>
      </c>
      <c r="Y24" s="27">
        <f ca="1">IF(AND(INDEX('Сводный годовой график'!$C$1:$AR$4,MATCH($C$24,'Сводный годовой график'!$B$1:$B$4),MATCH(DATE($AV$1,MONTH($B$24),Y$3),'Сводный годовой график'!$C$7:$AR$7))&lt;&gt;12,INDIRECT(ADDRESS(ROW()+1,COLUMN()))="СП"),8,INDEX('Сводный годовой график'!$C$1:$AR$4,MATCH($C$24,'Сводный годовой график'!$B$1:$B$4),MATCH(DATE($AV$1,MONTH($B$24),Y$3),'Сводный годовой график'!$C$7:$AR$7)))</f>
        <v>12</v>
      </c>
      <c r="Z24" s="27">
        <f ca="1">IF(AND(INDEX('Сводный годовой график'!$C$1:$AR$4,MATCH($C$24,'Сводный годовой график'!$B$1:$B$4),MATCH(DATE($AV$1,MONTH($B$24),Z$3),'Сводный годовой график'!$C$7:$AR$7))&lt;&gt;12,INDIRECT(ADDRESS(ROW()+1,COLUMN()))="СП"),8,INDEX('Сводный годовой график'!$C$1:$AR$4,MATCH($C$24,'Сводный годовой график'!$B$1:$B$4),MATCH(DATE($AV$1,MONTH($B$24),Z$3),'Сводный годовой график'!$C$7:$AR$7)))</f>
        <v>0</v>
      </c>
      <c r="AA24" s="27">
        <f ca="1">IF(AND(INDEX('Сводный годовой график'!$C$1:$AR$4,MATCH($C$24,'Сводный годовой график'!$B$1:$B$4),MATCH(DATE($AV$1,MONTH($B$24),AA$3),'Сводный годовой график'!$C$7:$AR$7))&lt;&gt;12,INDIRECT(ADDRESS(ROW()+1,COLUMN()))="СП"),8,INDEX('Сводный годовой график'!$C$1:$AR$4,MATCH($C$24,'Сводный годовой график'!$B$1:$B$4),MATCH(DATE($AV$1,MONTH($B$24),AA$3),'Сводный годовой график'!$C$7:$AR$7)))</f>
        <v>0</v>
      </c>
      <c r="AB24" s="27">
        <f ca="1">IF(AND(INDEX('Сводный годовой график'!$C$1:$AR$4,MATCH($C$24,'Сводный годовой график'!$B$1:$B$4),MATCH(DATE($AV$1,MONTH($B$24),AB$3),'Сводный годовой график'!$C$7:$AR$7))&lt;&gt;12,INDIRECT(ADDRESS(ROW()+1,COLUMN()))="СП"),8,INDEX('Сводный годовой график'!$C$1:$AR$4,MATCH($C$24,'Сводный годовой график'!$B$1:$B$4),MATCH(DATE($AV$1,MONTH($B$24),AB$3),'Сводный годовой график'!$C$7:$AR$7)))</f>
        <v>4</v>
      </c>
      <c r="AC24" s="27">
        <f ca="1">IF(AND(INDEX('Сводный годовой график'!$C$1:$AR$4,MATCH($C$24,'Сводный годовой график'!$B$1:$B$4),MATCH(DATE($AV$1,MONTH($B$24),AC$3),'Сводный годовой график'!$C$7:$AR$7))&lt;&gt;12,INDIRECT(ADDRESS(ROW()+1,COLUMN()))="СП"),8,INDEX('Сводный годовой график'!$C$1:$AR$4,MATCH($C$24,'Сводный годовой график'!$B$1:$B$4),MATCH(DATE($AV$1,MONTH($B$24),AC$3),'Сводный годовой график'!$C$7:$AR$7)))</f>
        <v>8</v>
      </c>
      <c r="AD24" s="27">
        <f ca="1">IF(AND(INDEX('Сводный годовой график'!$C$1:$AR$4,MATCH($C$24,'Сводный годовой график'!$B$1:$B$4),MATCH(DATE($AV$1,MONTH($B$24),AD$3),'Сводный годовой график'!$C$7:$AR$7))&lt;&gt;12,INDIRECT(ADDRESS(ROW()+1,COLUMN()))="СП"),8,INDEX('Сводный годовой график'!$C$1:$AR$4,MATCH($C$24,'Сводный годовой график'!$B$1:$B$4),MATCH(DATE($AV$1,MONTH($B$24),AD$3),'Сводный годовой график'!$C$7:$AR$7)))</f>
        <v>12</v>
      </c>
      <c r="AE24" s="27">
        <f ca="1">IF(AND(INDEX('Сводный годовой график'!$C$1:$AR$4,MATCH($C$24,'Сводный годовой график'!$B$1:$B$4),MATCH(DATE($AV$1,MONTH($B$24),AE$3),'Сводный годовой график'!$C$7:$AR$7))&lt;&gt;12,INDIRECT(ADDRESS(ROW()+1,COLUMN()))="СП"),8,INDEX('Сводный годовой график'!$C$1:$AR$4,MATCH($C$24,'Сводный годовой график'!$B$1:$B$4),MATCH(DATE($AV$1,MONTH($B$24),AE$3),'Сводный годовой график'!$C$7:$AR$7)))</f>
        <v>4</v>
      </c>
      <c r="AF24" s="27">
        <f ca="1">IF(AND(INDEX('Сводный годовой график'!$C$1:$AR$4,MATCH($C$24,'Сводный годовой график'!$B$1:$B$4),MATCH(DATE($AV$1,MONTH($B$24),AF$3),'Сводный годовой график'!$C$7:$AR$7))&lt;&gt;12,INDIRECT(ADDRESS(ROW()+1,COLUMN()))="СП"),8,INDEX('Сводный годовой график'!$C$1:$AR$4,MATCH($C$24,'Сводный годовой график'!$B$1:$B$4),MATCH(DATE($AV$1,MONTH($B$24),AF$3),'Сводный годовой график'!$C$7:$AR$7)))</f>
        <v>8</v>
      </c>
      <c r="AG24" s="27">
        <f ca="1">IF(AND(INDEX('Сводный годовой график'!$C$1:$AR$4,MATCH($C$24,'Сводный годовой график'!$B$1:$B$4),MATCH(DATE($AV$1,MONTH($B$24),AG$3),'Сводный годовой график'!$C$7:$AR$7))&lt;&gt;12,INDIRECT(ADDRESS(ROW()+1,COLUMN()))="СП"),8,INDEX('Сводный годовой график'!$C$1:$AR$4,MATCH($C$24,'Сводный годовой график'!$B$1:$B$4),MATCH(DATE($AV$1,MONTH($B$24),AG$3),'Сводный годовой график'!$C$7:$AR$7)))</f>
        <v>12</v>
      </c>
      <c r="AH24" s="27">
        <f ca="1">IF(AND(INDEX('Сводный годовой график'!$C$1:$AR$4,MATCH($C$24,'Сводный годовой график'!$B$1:$B$4),MATCH(DATE($AV$1,MONTH($B$24),AH$3),'Сводный годовой график'!$C$7:$AR$7))&lt;&gt;12,INDIRECT(ADDRESS(ROW()+1,COLUMN()))="СП"),8,INDEX('Сводный годовой график'!$C$1:$AR$4,MATCH($C$24,'Сводный годовой график'!$B$1:$B$4),MATCH(DATE($AV$1,MONTH($B$24),AH$3),'Сводный годовой график'!$C$7:$AR$7)))</f>
        <v>0</v>
      </c>
      <c r="AI24" s="98">
        <f ca="1">IF(AND(INDEX('Сводный годовой график'!$C$1:$AR$4,MATCH($C$24,'Сводный годовой график'!$B$1:$B$4),MATCH(DATE($AV$1,MONTH($B$24),AI$3),'Сводный годовой график'!$C$7:$AR$7))&lt;&gt;12,INDIRECT(ADDRESS(ROW()+1,COLUMN()))="СП"),8,INDEX('Сводный годовой график'!$C$1:$AR$4,MATCH($C$24,'Сводный годовой график'!$B$1:$B$4),MATCH(DATE($AV$1,MONTH($B$24),AI$3),'Сводный годовой график'!$C$7:$AR$7)))</f>
        <v>0</v>
      </c>
      <c r="AJ24" s="205">
        <f>INDEX(Подключения!$D$3:$H$14,MONTH(B24),5)</f>
        <v>167</v>
      </c>
      <c r="AK24" s="216">
        <f>$AJ$24-SUM(AY24:CC25)</f>
        <v>167</v>
      </c>
      <c r="AL24" s="216">
        <f t="shared" ref="AL24" ca="1" si="29">SUM(E24:AI25)</f>
        <v>192</v>
      </c>
      <c r="AM24" s="216">
        <f ca="1">SUM(L24)</f>
        <v>4</v>
      </c>
      <c r="AN24" s="218">
        <f t="shared" ref="AN24" ca="1" si="30">-AM24-AK24+AL24</f>
        <v>21</v>
      </c>
      <c r="AO24" s="218">
        <v>12</v>
      </c>
      <c r="AP24" s="218">
        <f ca="1">AN24+AP14-AO24</f>
        <v>-9</v>
      </c>
      <c r="AQ24" s="216">
        <v>0</v>
      </c>
      <c r="AR24" s="217">
        <v>1</v>
      </c>
      <c r="CK24" s="59"/>
      <c r="CL24" s="59"/>
      <c r="CM24" s="59"/>
      <c r="CN24" s="59"/>
      <c r="CO24" s="59"/>
      <c r="CP24" s="59"/>
      <c r="CQ24" s="59"/>
      <c r="CR24" s="59"/>
      <c r="CS24" s="59"/>
      <c r="CT24" s="59"/>
      <c r="CU24" s="59"/>
      <c r="CV24" s="59"/>
      <c r="CW24" s="59"/>
      <c r="CX24" s="59"/>
      <c r="CY24" s="59"/>
      <c r="CZ24" s="59"/>
      <c r="DA24" s="59"/>
      <c r="DB24" s="59"/>
      <c r="DC24" s="59"/>
      <c r="DD24" s="59"/>
      <c r="DE24" s="59"/>
      <c r="DF24" s="59"/>
      <c r="DG24" s="59"/>
      <c r="DH24" s="59"/>
      <c r="DI24" s="59"/>
      <c r="DJ24" s="59"/>
      <c r="DK24" s="59"/>
      <c r="DL24" s="59"/>
      <c r="DM24" s="59"/>
      <c r="DN24" s="59"/>
      <c r="DO24" s="59"/>
    </row>
    <row r="25" spans="2:119" ht="16.5" thickBot="1" x14ac:dyDescent="0.3">
      <c r="B25" s="201"/>
      <c r="C25" s="197"/>
      <c r="D25" s="82">
        <v>2</v>
      </c>
      <c r="E25" s="96" t="str">
        <f>IF(INDEX($CK$4:$DO$123,ROW()-3,E$3)=0,"","СП")</f>
        <v/>
      </c>
      <c r="F25" s="92" t="str">
        <f>IF(INDEX($CK$4:$DO$123,ROW()-3,F$3)=0,"","СП")</f>
        <v/>
      </c>
      <c r="G25" s="92" t="str">
        <f>IF(INDEX($CK$4:$DO$123,ROW()-3,G$3)=0,"","СП")</f>
        <v>СП</v>
      </c>
      <c r="H25" s="92" t="str">
        <f>IF(INDEX($CK$4:$DO$123,ROW()-3,H$3)=0,"","СП")</f>
        <v/>
      </c>
      <c r="I25" s="92" t="str">
        <f>IF(INDEX($CK$4:$DO$123,ROW()-3,I$3)=0,"","СП")</f>
        <v/>
      </c>
      <c r="J25" s="92" t="str">
        <f>IF(INDEX($CK$4:$DO$123,ROW()-3,J$3)=0,"","СП")</f>
        <v/>
      </c>
      <c r="K25" s="92" t="str">
        <f>IF(INDEX($CK$4:$DO$123,ROW()-3,K$3)=0,"","СП")</f>
        <v/>
      </c>
      <c r="L25" s="92" t="str">
        <f>IF(INDEX($CK$4:$DO$123,ROW()-3,L$3)=0,"","СП")</f>
        <v/>
      </c>
      <c r="M25" s="92" t="str">
        <f>IF(INDEX($CK$4:$DO$123,ROW()-3,M$3)=0,"","СП")</f>
        <v/>
      </c>
      <c r="N25" s="92" t="str">
        <f>IF(INDEX($CK$4:$DO$123,ROW()-3,N$3)=0,"","СП")</f>
        <v/>
      </c>
      <c r="O25" s="92" t="str">
        <f>IF(INDEX($CK$4:$DO$123,ROW()-3,O$3)=0,"","СП")</f>
        <v/>
      </c>
      <c r="P25" s="92" t="str">
        <f>IF(INDEX($CK$4:$DO$123,ROW()-3,P$3)=0,"","СП")</f>
        <v/>
      </c>
      <c r="Q25" s="92" t="str">
        <f>IF(INDEX($CK$4:$DO$123,ROW()-3,Q$3)=0,"","СП")</f>
        <v/>
      </c>
      <c r="R25" s="92" t="str">
        <f>IF(INDEX($CK$4:$DO$123,ROW()-3,R$3)=0,"","СП")</f>
        <v/>
      </c>
      <c r="S25" s="92" t="str">
        <f>IF(INDEX($CK$4:$DO$123,ROW()-3,S$3)=0,"","СП")</f>
        <v/>
      </c>
      <c r="T25" s="92" t="str">
        <f>IF(INDEX($CK$4:$DO$123,ROW()-3,T$3)=0,"","СП")</f>
        <v/>
      </c>
      <c r="U25" s="92" t="str">
        <f>IF(INDEX($CK$4:$DO$123,ROW()-3,U$3)=0,"","СП")</f>
        <v/>
      </c>
      <c r="V25" s="92" t="str">
        <f>IF(INDEX($CK$4:$DO$123,ROW()-3,V$3)=0,"","СП")</f>
        <v/>
      </c>
      <c r="W25" s="92" t="str">
        <f>IF(INDEX($CK$4:$DO$123,ROW()-3,W$3)=0,"","СП")</f>
        <v/>
      </c>
      <c r="X25" s="92" t="str">
        <f>IF(INDEX($CK$4:$DO$123,ROW()-3,X$3)=0,"","СП")</f>
        <v/>
      </c>
      <c r="Y25" s="92" t="str">
        <f>IF(INDEX($CK$4:$DO$123,ROW()-3,Y$3)=0,"","СП")</f>
        <v/>
      </c>
      <c r="Z25" s="92" t="str">
        <f>IF(INDEX($CK$4:$DO$123,ROW()-3,Z$3)=0,"","СП")</f>
        <v/>
      </c>
      <c r="AA25" s="92" t="str">
        <f>IF(INDEX($CK$4:$DO$123,ROW()-3,AA$3)=0,"","СП")</f>
        <v/>
      </c>
      <c r="AB25" s="92" t="str">
        <f>IF(INDEX($CK$4:$DO$123,ROW()-3,AB$3)=0,"","СП")</f>
        <v/>
      </c>
      <c r="AC25" s="92" t="str">
        <f>IF(INDEX($CK$4:$DO$123,ROW()-3,AC$3)=0,"","СП")</f>
        <v/>
      </c>
      <c r="AD25" s="92" t="str">
        <f>IF(INDEX($CK$4:$DO$123,ROW()-3,AD$3)=0,"","СП")</f>
        <v/>
      </c>
      <c r="AE25" s="92" t="str">
        <f>IF(INDEX($CK$4:$DO$123,ROW()-3,AE$3)=0,"","СП")</f>
        <v/>
      </c>
      <c r="AF25" s="92" t="str">
        <f>IF(INDEX($CK$4:$DO$123,ROW()-3,AF$3)=0,"","СП")</f>
        <v/>
      </c>
      <c r="AG25" s="92" t="str">
        <f>IF(INDEX($CK$4:$DO$123,ROW()-3,AG$3)=0,"","СП")</f>
        <v/>
      </c>
      <c r="AH25" s="92" t="str">
        <f>IF(INDEX($CK$4:$DO$123,ROW()-3,AH$3)=0,"","СП")</f>
        <v/>
      </c>
      <c r="AI25" s="97" t="str">
        <f>IF(INDEX($CK$4:$DO$123,ROW()-3,AI$3)=0,"","СП")</f>
        <v/>
      </c>
      <c r="AJ25" s="206"/>
      <c r="AK25" s="209"/>
      <c r="AL25" s="209"/>
      <c r="AM25" s="209"/>
      <c r="AN25" s="211"/>
      <c r="AO25" s="211"/>
      <c r="AP25" s="211"/>
      <c r="AQ25" s="209"/>
      <c r="AR25" s="210"/>
      <c r="CK25" s="58">
        <f>IF(DAY(INDEX('Сводный годовой график'!$BA$4:$BL$14,$C24,MONTH($B$24)))=E$3,1,0)</f>
        <v>0</v>
      </c>
      <c r="CL25" s="58">
        <f>IF(DAY(INDEX('Сводный годовой график'!$BA$4:$BL$14,$C24,MONTH($B$24)))=F$3,1,0)</f>
        <v>0</v>
      </c>
      <c r="CM25" s="58">
        <f>IF(DAY(INDEX('Сводный годовой график'!$BA$4:$BL$14,$C24,MONTH($B$24)))=G$3,1,0)</f>
        <v>1</v>
      </c>
      <c r="CN25" s="58">
        <f>IF(DAY(INDEX('Сводный годовой график'!$BA$4:$BL$14,$C24,MONTH($B$24)))=H$3,1,0)</f>
        <v>0</v>
      </c>
      <c r="CO25" s="58">
        <f>IF(DAY(INDEX('Сводный годовой график'!$BA$4:$BL$14,$C24,MONTH($B$24)))=I$3,1,0)</f>
        <v>0</v>
      </c>
      <c r="CP25" s="58">
        <f>IF(DAY(INDEX('Сводный годовой график'!$BA$4:$BL$14,$C24,MONTH($B$24)))=J$3,1,0)</f>
        <v>0</v>
      </c>
      <c r="CQ25" s="58">
        <f>IF(DAY(INDEX('Сводный годовой график'!$BA$4:$BL$14,$C24,MONTH($B$24)))=K$3,1,0)</f>
        <v>0</v>
      </c>
      <c r="CR25" s="58">
        <f>IF(DAY(INDEX('Сводный годовой график'!$BA$4:$BL$14,$C24,MONTH($B$24)))=L$3,1,0)</f>
        <v>0</v>
      </c>
      <c r="CS25" s="58">
        <f>IF(DAY(INDEX('Сводный годовой график'!$BA$4:$BL$14,$C24,MONTH($B$24)))=M$3,1,0)</f>
        <v>0</v>
      </c>
      <c r="CT25" s="58">
        <f>IF(DAY(INDEX('Сводный годовой график'!$BA$4:$BL$14,$C24,MONTH($B$24)))=N$3,1,0)</f>
        <v>0</v>
      </c>
      <c r="CU25" s="58">
        <f>IF(DAY(INDEX('Сводный годовой график'!$BA$4:$BL$14,$C24,MONTH($B$24)))=O$3,1,0)</f>
        <v>0</v>
      </c>
      <c r="CV25" s="58">
        <f>IF(DAY(INDEX('Сводный годовой график'!$BA$4:$BL$14,$C24,MONTH($B$24)))=P$3,1,0)</f>
        <v>0</v>
      </c>
      <c r="CW25" s="58">
        <f>IF(DAY(INDEX('Сводный годовой график'!$BA$4:$BL$14,$C24,MONTH($B$24)))=Q$3,1,0)</f>
        <v>0</v>
      </c>
      <c r="CX25" s="58">
        <f>IF(DAY(INDEX('Сводный годовой график'!$BA$4:$BL$14,$C24,MONTH($B$24)))=R$3,1,0)</f>
        <v>0</v>
      </c>
      <c r="CY25" s="58">
        <f>IF(DAY(INDEX('Сводный годовой график'!$BA$4:$BL$14,$C24,MONTH($B$24)))=S$3,1,0)</f>
        <v>0</v>
      </c>
      <c r="CZ25" s="58">
        <f>IF(DAY(INDEX('Сводный годовой график'!$BA$4:$BL$14,$C24,MONTH($B$24)))=T$3,1,0)</f>
        <v>0</v>
      </c>
      <c r="DA25" s="58">
        <f>IF(DAY(INDEX('Сводный годовой график'!$BA$4:$BL$14,$C24,MONTH($B$24)))=U$3,1,0)</f>
        <v>0</v>
      </c>
      <c r="DB25" s="58">
        <f>IF(DAY(INDEX('Сводный годовой график'!$BA$4:$BL$14,$C24,MONTH($B$24)))=V$3,1,0)</f>
        <v>0</v>
      </c>
      <c r="DC25" s="58">
        <f>IF(DAY(INDEX('Сводный годовой график'!$BA$4:$BL$14,$C24,MONTH($B$24)))=W$3,1,0)</f>
        <v>0</v>
      </c>
      <c r="DD25" s="58">
        <f>IF(DAY(INDEX('Сводный годовой график'!$BA$4:$BL$14,$C24,MONTH($B$24)))=X$3,1,0)</f>
        <v>0</v>
      </c>
      <c r="DE25" s="58">
        <f>IF(DAY(INDEX('Сводный годовой график'!$BA$4:$BL$14,$C24,MONTH($B$24)))=Y$3,1,0)</f>
        <v>0</v>
      </c>
      <c r="DF25" s="58">
        <f>IF(DAY(INDEX('Сводный годовой график'!$BA$4:$BL$14,$C24,MONTH($B$24)))=Z$3,1,0)</f>
        <v>0</v>
      </c>
      <c r="DG25" s="58">
        <f>IF(DAY(INDEX('Сводный годовой график'!$BA$4:$BL$14,$C24,MONTH($B$24)))=AA$3,1,0)</f>
        <v>0</v>
      </c>
      <c r="DH25" s="58">
        <f>IF(DAY(INDEX('Сводный годовой график'!$BA$4:$BL$14,$C24,MONTH($B$24)))=AB$3,1,0)</f>
        <v>0</v>
      </c>
      <c r="DI25" s="58">
        <f>IF(DAY(INDEX('Сводный годовой график'!$BA$4:$BL$14,$C24,MONTH($B$24)))=AC$3,1,0)</f>
        <v>0</v>
      </c>
      <c r="DJ25" s="58">
        <f>IF(DAY(INDEX('Сводный годовой график'!$BA$4:$BL$14,$C24,MONTH($B$24)))=AD$3,1,0)</f>
        <v>0</v>
      </c>
      <c r="DK25" s="58">
        <f>IF(DAY(INDEX('Сводный годовой график'!$BA$4:$BL$14,$C24,MONTH($B$24)))=AE$3,1,0)</f>
        <v>0</v>
      </c>
      <c r="DL25" s="58">
        <f>IF(DAY(INDEX('Сводный годовой график'!$BA$4:$BL$14,$C24,MONTH($B$24)))=AF$3,1,0)</f>
        <v>0</v>
      </c>
      <c r="DM25" s="58">
        <f>IF(DAY(INDEX('Сводный годовой график'!$BA$4:$BL$14,$C24,MONTH($B$24)))=AG$3,1,0)</f>
        <v>0</v>
      </c>
      <c r="DN25" s="58">
        <f>IF(DAY(INDEX('Сводный годовой график'!$BA$4:$BL$14,$C24,MONTH($B$24)))=AH$3,1,0)</f>
        <v>0</v>
      </c>
      <c r="DO25" s="58">
        <f>IF(DAY(INDEX('Сводный годовой график'!$BA$4:$BL$14,$C24,MONTH($B$24)))=AI$3,1,0)</f>
        <v>0</v>
      </c>
    </row>
    <row r="26" spans="2:119" ht="16.5" thickBot="1" x14ac:dyDescent="0.3">
      <c r="B26" s="201"/>
      <c r="C26" s="196">
        <v>2</v>
      </c>
      <c r="D26" s="81">
        <v>3</v>
      </c>
      <c r="E26" s="96">
        <f ca="1">IF(AND(INDEX('Сводный годовой график'!$C$1:$AR$4,MATCH($C$26,'Сводный годовой график'!$B$1:$B$4),MATCH(DATE($AV$1,MONTH($B$24),E$3),'Сводный годовой график'!$C$7:$AR$7))&lt;&gt;12,INDIRECT(ADDRESS(ROW()+1,COLUMN()))="СП"),8,INDEX('Сводный годовой график'!$C$1:$AR$4,MATCH($C$26,'Сводный годовой график'!$B$1:$B$4),MATCH(DATE($AV$1,MONTH($B$24),E$3),'Сводный годовой график'!$C$7:$AR$7)))</f>
        <v>4</v>
      </c>
      <c r="F26" s="92">
        <f ca="1">IF(AND(INDEX('Сводный годовой график'!$C$1:$AR$4,MATCH($C$26,'Сводный годовой график'!$B$1:$B$4),MATCH(DATE($AV$1,MONTH($B$24),F$3),'Сводный годовой график'!$C$7:$AR$7))&lt;&gt;12,INDIRECT(ADDRESS(ROW()+1,COLUMN()))="СП"),8,INDEX('Сводный годовой график'!$C$1:$AR$4,MATCH($C$26,'Сводный годовой график'!$B$1:$B$4),MATCH(DATE($AV$1,MONTH($B$24),F$3),'Сводный годовой график'!$C$7:$AR$7)))</f>
        <v>8</v>
      </c>
      <c r="G26" s="92">
        <f ca="1">IF(AND(INDEX('Сводный годовой график'!$C$1:$AR$4,MATCH($C$26,'Сводный годовой график'!$B$1:$B$4),MATCH(DATE($AV$1,MONTH($B$24),G$3),'Сводный годовой график'!$C$7:$AR$7))&lt;&gt;12,INDIRECT(ADDRESS(ROW()+1,COLUMN()))="СП"),8,INDEX('Сводный годовой график'!$C$1:$AR$4,MATCH($C$26,'Сводный годовой график'!$B$1:$B$4),MATCH(DATE($AV$1,MONTH($B$24),G$3),'Сводный годовой график'!$C$7:$AR$7)))</f>
        <v>12</v>
      </c>
      <c r="H26" s="92">
        <f ca="1">IF(AND(INDEX('Сводный годовой график'!$C$1:$AR$4,MATCH($C$26,'Сводный годовой график'!$B$1:$B$4),MATCH(DATE($AV$1,MONTH($B$24),H$3),'Сводный годовой график'!$C$7:$AR$7))&lt;&gt;12,INDIRECT(ADDRESS(ROW()+1,COLUMN()))="СП"),8,INDEX('Сводный годовой график'!$C$1:$AR$4,MATCH($C$26,'Сводный годовой график'!$B$1:$B$4),MATCH(DATE($AV$1,MONTH($B$24),H$3),'Сводный годовой график'!$C$7:$AR$7)))</f>
        <v>8</v>
      </c>
      <c r="I26" s="92">
        <f ca="1">IF(AND(INDEX('Сводный годовой график'!$C$1:$AR$4,MATCH($C$26,'Сводный годовой график'!$B$1:$B$4),MATCH(DATE($AV$1,MONTH($B$24),I$3),'Сводный годовой график'!$C$7:$AR$7))&lt;&gt;12,INDIRECT(ADDRESS(ROW()+1,COLUMN()))="СП"),8,INDEX('Сводный годовой график'!$C$1:$AR$4,MATCH($C$26,'Сводный годовой график'!$B$1:$B$4),MATCH(DATE($AV$1,MONTH($B$24),I$3),'Сводный годовой график'!$C$7:$AR$7)))</f>
        <v>0</v>
      </c>
      <c r="J26" s="92">
        <f ca="1">IF(AND(INDEX('Сводный годовой график'!$C$1:$AR$4,MATCH($C$26,'Сводный годовой график'!$B$1:$B$4),MATCH(DATE($AV$1,MONTH($B$24),J$3),'Сводный годовой график'!$C$7:$AR$7))&lt;&gt;12,INDIRECT(ADDRESS(ROW()+1,COLUMN()))="СП"),8,INDEX('Сводный годовой график'!$C$1:$AR$4,MATCH($C$26,'Сводный годовой график'!$B$1:$B$4),MATCH(DATE($AV$1,MONTH($B$24),J$3),'Сводный годовой график'!$C$7:$AR$7)))</f>
        <v>4</v>
      </c>
      <c r="K26" s="92">
        <f ca="1">IF(AND(INDEX('Сводный годовой график'!$C$1:$AR$4,MATCH($C$26,'Сводный годовой график'!$B$1:$B$4),MATCH(DATE($AV$1,MONTH($B$24),K$3),'Сводный годовой график'!$C$7:$AR$7))&lt;&gt;12,INDIRECT(ADDRESS(ROW()+1,COLUMN()))="СП"),8,INDEX('Сводный годовой график'!$C$1:$AR$4,MATCH($C$26,'Сводный годовой график'!$B$1:$B$4),MATCH(DATE($AV$1,MONTH($B$24),K$3),'Сводный годовой график'!$C$7:$AR$7)))</f>
        <v>8</v>
      </c>
      <c r="L26" s="92">
        <f ca="1">IF(AND(INDEX('Сводный годовой график'!$C$1:$AR$4,MATCH($C$26,'Сводный годовой график'!$B$1:$B$4),MATCH(DATE($AV$1,MONTH($B$24),L$3),'Сводный годовой график'!$C$7:$AR$7))&lt;&gt;12,INDIRECT(ADDRESS(ROW()+1,COLUMN()))="СП"),8,INDEX('Сводный годовой график'!$C$1:$AR$4,MATCH($C$26,'Сводный годовой график'!$B$1:$B$4),MATCH(DATE($AV$1,MONTH($B$24),L$3),'Сводный годовой график'!$C$7:$AR$7)))</f>
        <v>12</v>
      </c>
      <c r="M26" s="92">
        <f ca="1">IF(AND(INDEX('Сводный годовой график'!$C$1:$AR$4,MATCH($C$26,'Сводный годовой график'!$B$1:$B$4),MATCH(DATE($AV$1,MONTH($B$24),M$3),'Сводный годовой график'!$C$7:$AR$7))&lt;&gt;12,INDIRECT(ADDRESS(ROW()+1,COLUMN()))="СП"),8,INDEX('Сводный годовой график'!$C$1:$AR$4,MATCH($C$26,'Сводный годовой график'!$B$1:$B$4),MATCH(DATE($AV$1,MONTH($B$24),M$3),'Сводный годовой график'!$C$7:$AR$7)))</f>
        <v>4</v>
      </c>
      <c r="N26" s="92">
        <f ca="1">IF(AND(INDEX('Сводный годовой график'!$C$1:$AR$4,MATCH($C$26,'Сводный годовой график'!$B$1:$B$4),MATCH(DATE($AV$1,MONTH($B$24),N$3),'Сводный годовой график'!$C$7:$AR$7))&lt;&gt;12,INDIRECT(ADDRESS(ROW()+1,COLUMN()))="СП"),8,INDEX('Сводный годовой график'!$C$1:$AR$4,MATCH($C$26,'Сводный годовой график'!$B$1:$B$4),MATCH(DATE($AV$1,MONTH($B$24),N$3),'Сводный годовой график'!$C$7:$AR$7)))</f>
        <v>8</v>
      </c>
      <c r="O26" s="92">
        <f ca="1">IF(AND(INDEX('Сводный годовой график'!$C$1:$AR$4,MATCH($C$26,'Сводный годовой график'!$B$1:$B$4),MATCH(DATE($AV$1,MONTH($B$24),O$3),'Сводный годовой график'!$C$7:$AR$7))&lt;&gt;12,INDIRECT(ADDRESS(ROW()+1,COLUMN()))="СП"),8,INDEX('Сводный годовой график'!$C$1:$AR$4,MATCH($C$26,'Сводный годовой график'!$B$1:$B$4),MATCH(DATE($AV$1,MONTH($B$24),O$3),'Сводный годовой график'!$C$7:$AR$7)))</f>
        <v>12</v>
      </c>
      <c r="P26" s="92">
        <f ca="1">IF(AND(INDEX('Сводный годовой график'!$C$1:$AR$4,MATCH($C$26,'Сводный годовой график'!$B$1:$B$4),MATCH(DATE($AV$1,MONTH($B$24),P$3),'Сводный годовой график'!$C$7:$AR$7))&lt;&gt;12,INDIRECT(ADDRESS(ROW()+1,COLUMN()))="СП"),8,INDEX('Сводный годовой график'!$C$1:$AR$4,MATCH($C$26,'Сводный годовой график'!$B$1:$B$4),MATCH(DATE($AV$1,MONTH($B$24),P$3),'Сводный годовой график'!$C$7:$AR$7)))</f>
        <v>0</v>
      </c>
      <c r="Q26" s="92">
        <f ca="1">IF(AND(INDEX('Сводный годовой график'!$C$1:$AR$4,MATCH($C$26,'Сводный годовой график'!$B$1:$B$4),MATCH(DATE($AV$1,MONTH($B$24),Q$3),'Сводный годовой график'!$C$7:$AR$7))&lt;&gt;12,INDIRECT(ADDRESS(ROW()+1,COLUMN()))="СП"),8,INDEX('Сводный годовой график'!$C$1:$AR$4,MATCH($C$26,'Сводный годовой график'!$B$1:$B$4),MATCH(DATE($AV$1,MONTH($B$24),Q$3),'Сводный годовой график'!$C$7:$AR$7)))</f>
        <v>0</v>
      </c>
      <c r="R26" s="92">
        <f ca="1">IF(AND(INDEX('Сводный годовой график'!$C$1:$AR$4,MATCH($C$26,'Сводный годовой график'!$B$1:$B$4),MATCH(DATE($AV$1,MONTH($B$24),R$3),'Сводный годовой график'!$C$7:$AR$7))&lt;&gt;12,INDIRECT(ADDRESS(ROW()+1,COLUMN()))="СП"),8,INDEX('Сводный годовой график'!$C$1:$AR$4,MATCH($C$26,'Сводный годовой график'!$B$1:$B$4),MATCH(DATE($AV$1,MONTH($B$24),R$3),'Сводный годовой график'!$C$7:$AR$7)))</f>
        <v>4</v>
      </c>
      <c r="S26" s="92">
        <f ca="1">IF(AND(INDEX('Сводный годовой график'!$C$1:$AR$4,MATCH($C$26,'Сводный годовой график'!$B$1:$B$4),MATCH(DATE($AV$1,MONTH($B$24),S$3),'Сводный годовой график'!$C$7:$AR$7))&lt;&gt;12,INDIRECT(ADDRESS(ROW()+1,COLUMN()))="СП"),8,INDEX('Сводный годовой график'!$C$1:$AR$4,MATCH($C$26,'Сводный годовой график'!$B$1:$B$4),MATCH(DATE($AV$1,MONTH($B$24),S$3),'Сводный годовой график'!$C$7:$AR$7)))</f>
        <v>8</v>
      </c>
      <c r="T26" s="92">
        <f ca="1">IF(AND(INDEX('Сводный годовой график'!$C$1:$AR$4,MATCH($C$26,'Сводный годовой график'!$B$1:$B$4),MATCH(DATE($AV$1,MONTH($B$24),T$3),'Сводный годовой график'!$C$7:$AR$7))&lt;&gt;12,INDIRECT(ADDRESS(ROW()+1,COLUMN()))="СП"),8,INDEX('Сводный годовой график'!$C$1:$AR$4,MATCH($C$26,'Сводный годовой график'!$B$1:$B$4),MATCH(DATE($AV$1,MONTH($B$24),T$3),'Сводный годовой график'!$C$7:$AR$7)))</f>
        <v>12</v>
      </c>
      <c r="U26" s="92">
        <f ca="1">IF(AND(INDEX('Сводный годовой график'!$C$1:$AR$4,MATCH($C$26,'Сводный годовой график'!$B$1:$B$4),MATCH(DATE($AV$1,MONTH($B$24),U$3),'Сводный годовой график'!$C$7:$AR$7))&lt;&gt;12,INDIRECT(ADDRESS(ROW()+1,COLUMN()))="СП"),8,INDEX('Сводный годовой график'!$C$1:$AR$4,MATCH($C$26,'Сводный годовой график'!$B$1:$B$4),MATCH(DATE($AV$1,MONTH($B$24),U$3),'Сводный годовой график'!$C$7:$AR$7)))</f>
        <v>4</v>
      </c>
      <c r="V26" s="92">
        <f ca="1">IF(AND(INDEX('Сводный годовой график'!$C$1:$AR$4,MATCH($C$26,'Сводный годовой график'!$B$1:$B$4),MATCH(DATE($AV$1,MONTH($B$24),V$3),'Сводный годовой график'!$C$7:$AR$7))&lt;&gt;12,INDIRECT(ADDRESS(ROW()+1,COLUMN()))="СП"),8,INDEX('Сводный годовой график'!$C$1:$AR$4,MATCH($C$26,'Сводный годовой график'!$B$1:$B$4),MATCH(DATE($AV$1,MONTH($B$24),V$3),'Сводный годовой график'!$C$7:$AR$7)))</f>
        <v>8</v>
      </c>
      <c r="W26" s="92">
        <f ca="1">IF(AND(INDEX('Сводный годовой график'!$C$1:$AR$4,MATCH($C$26,'Сводный годовой график'!$B$1:$B$4),MATCH(DATE($AV$1,MONTH($B$24),W$3),'Сводный годовой график'!$C$7:$AR$7))&lt;&gt;12,INDIRECT(ADDRESS(ROW()+1,COLUMN()))="СП"),8,INDEX('Сводный годовой график'!$C$1:$AR$4,MATCH($C$26,'Сводный годовой график'!$B$1:$B$4),MATCH(DATE($AV$1,MONTH($B$24),W$3),'Сводный годовой график'!$C$7:$AR$7)))</f>
        <v>12</v>
      </c>
      <c r="X26" s="92">
        <f ca="1">IF(AND(INDEX('Сводный годовой график'!$C$1:$AR$4,MATCH($C$26,'Сводный годовой график'!$B$1:$B$4),MATCH(DATE($AV$1,MONTH($B$24),X$3),'Сводный годовой график'!$C$7:$AR$7))&lt;&gt;12,INDIRECT(ADDRESS(ROW()+1,COLUMN()))="СП"),8,INDEX('Сводный годовой график'!$C$1:$AR$4,MATCH($C$26,'Сводный годовой график'!$B$1:$B$4),MATCH(DATE($AV$1,MONTH($B$24),X$3),'Сводный годовой график'!$C$7:$AR$7)))</f>
        <v>0</v>
      </c>
      <c r="Y26" s="92">
        <f ca="1">IF(AND(INDEX('Сводный годовой график'!$C$1:$AR$4,MATCH($C$26,'Сводный годовой график'!$B$1:$B$4),MATCH(DATE($AV$1,MONTH($B$24),Y$3),'Сводный годовой график'!$C$7:$AR$7))&lt;&gt;12,INDIRECT(ADDRESS(ROW()+1,COLUMN()))="СП"),8,INDEX('Сводный годовой график'!$C$1:$AR$4,MATCH($C$26,'Сводный годовой график'!$B$1:$B$4),MATCH(DATE($AV$1,MONTH($B$24),Y$3),'Сводный годовой график'!$C$7:$AR$7)))</f>
        <v>0</v>
      </c>
      <c r="Z26" s="92">
        <f ca="1">IF(AND(INDEX('Сводный годовой график'!$C$1:$AR$4,MATCH($C$26,'Сводный годовой график'!$B$1:$B$4),MATCH(DATE($AV$1,MONTH($B$24),Z$3),'Сводный годовой график'!$C$7:$AR$7))&lt;&gt;12,INDIRECT(ADDRESS(ROW()+1,COLUMN()))="СП"),8,INDEX('Сводный годовой график'!$C$1:$AR$4,MATCH($C$26,'Сводный годовой график'!$B$1:$B$4),MATCH(DATE($AV$1,MONTH($B$24),Z$3),'Сводный годовой график'!$C$7:$AR$7)))</f>
        <v>4</v>
      </c>
      <c r="AA26" s="92">
        <f ca="1">IF(AND(INDEX('Сводный годовой график'!$C$1:$AR$4,MATCH($C$26,'Сводный годовой график'!$B$1:$B$4),MATCH(DATE($AV$1,MONTH($B$24),AA$3),'Сводный годовой график'!$C$7:$AR$7))&lt;&gt;12,INDIRECT(ADDRESS(ROW()+1,COLUMN()))="СП"),8,INDEX('Сводный годовой график'!$C$1:$AR$4,MATCH($C$26,'Сводный годовой график'!$B$1:$B$4),MATCH(DATE($AV$1,MONTH($B$24),AA$3),'Сводный годовой график'!$C$7:$AR$7)))</f>
        <v>8</v>
      </c>
      <c r="AB26" s="92">
        <f ca="1">IF(AND(INDEX('Сводный годовой график'!$C$1:$AR$4,MATCH($C$26,'Сводный годовой график'!$B$1:$B$4),MATCH(DATE($AV$1,MONTH($B$24),AB$3),'Сводный годовой график'!$C$7:$AR$7))&lt;&gt;12,INDIRECT(ADDRESS(ROW()+1,COLUMN()))="СП"),8,INDEX('Сводный годовой график'!$C$1:$AR$4,MATCH($C$26,'Сводный годовой график'!$B$1:$B$4),MATCH(DATE($AV$1,MONTH($B$24),AB$3),'Сводный годовой график'!$C$7:$AR$7)))</f>
        <v>12</v>
      </c>
      <c r="AC26" s="92">
        <f ca="1">IF(AND(INDEX('Сводный годовой график'!$C$1:$AR$4,MATCH($C$26,'Сводный годовой график'!$B$1:$B$4),MATCH(DATE($AV$1,MONTH($B$24),AC$3),'Сводный годовой график'!$C$7:$AR$7))&lt;&gt;12,INDIRECT(ADDRESS(ROW()+1,COLUMN()))="СП"),8,INDEX('Сводный годовой график'!$C$1:$AR$4,MATCH($C$26,'Сводный годовой график'!$B$1:$B$4),MATCH(DATE($AV$1,MONTH($B$24),AC$3),'Сводный годовой график'!$C$7:$AR$7)))</f>
        <v>4</v>
      </c>
      <c r="AD26" s="92">
        <f ca="1">IF(AND(INDEX('Сводный годовой график'!$C$1:$AR$4,MATCH($C$26,'Сводный годовой график'!$B$1:$B$4),MATCH(DATE($AV$1,MONTH($B$24),AD$3),'Сводный годовой график'!$C$7:$AR$7))&lt;&gt;12,INDIRECT(ADDRESS(ROW()+1,COLUMN()))="СП"),8,INDEX('Сводный годовой график'!$C$1:$AR$4,MATCH($C$26,'Сводный годовой график'!$B$1:$B$4),MATCH(DATE($AV$1,MONTH($B$24),AD$3),'Сводный годовой график'!$C$7:$AR$7)))</f>
        <v>8</v>
      </c>
      <c r="AE26" s="92">
        <f ca="1">IF(AND(INDEX('Сводный годовой график'!$C$1:$AR$4,MATCH($C$26,'Сводный годовой график'!$B$1:$B$4),MATCH(DATE($AV$1,MONTH($B$24),AE$3),'Сводный годовой график'!$C$7:$AR$7))&lt;&gt;12,INDIRECT(ADDRESS(ROW()+1,COLUMN()))="СП"),8,INDEX('Сводный годовой график'!$C$1:$AR$4,MATCH($C$26,'Сводный годовой график'!$B$1:$B$4),MATCH(DATE($AV$1,MONTH($B$24),AE$3),'Сводный годовой график'!$C$7:$AR$7)))</f>
        <v>12</v>
      </c>
      <c r="AF26" s="92">
        <f ca="1">IF(AND(INDEX('Сводный годовой график'!$C$1:$AR$4,MATCH($C$26,'Сводный годовой график'!$B$1:$B$4),MATCH(DATE($AV$1,MONTH($B$24),AF$3),'Сводный годовой график'!$C$7:$AR$7))&lt;&gt;12,INDIRECT(ADDRESS(ROW()+1,COLUMN()))="СП"),8,INDEX('Сводный годовой график'!$C$1:$AR$4,MATCH($C$26,'Сводный годовой график'!$B$1:$B$4),MATCH(DATE($AV$1,MONTH($B$24),AF$3),'Сводный годовой график'!$C$7:$AR$7)))</f>
        <v>0</v>
      </c>
      <c r="AG26" s="92">
        <f ca="1">IF(AND(INDEX('Сводный годовой график'!$C$1:$AR$4,MATCH($C$26,'Сводный годовой график'!$B$1:$B$4),MATCH(DATE($AV$1,MONTH($B$24),AG$3),'Сводный годовой график'!$C$7:$AR$7))&lt;&gt;12,INDIRECT(ADDRESS(ROW()+1,COLUMN()))="СП"),8,INDEX('Сводный годовой график'!$C$1:$AR$4,MATCH($C$26,'Сводный годовой график'!$B$1:$B$4),MATCH(DATE($AV$1,MONTH($B$24),AG$3),'Сводный годовой график'!$C$7:$AR$7)))</f>
        <v>0</v>
      </c>
      <c r="AH26" s="92">
        <f ca="1">IF(AND(INDEX('Сводный годовой график'!$C$1:$AR$4,MATCH($C$26,'Сводный годовой график'!$B$1:$B$4),MATCH(DATE($AV$1,MONTH($B$24),AH$3),'Сводный годовой график'!$C$7:$AR$7))&lt;&gt;12,INDIRECT(ADDRESS(ROW()+1,COLUMN()))="СП"),8,INDEX('Сводный годовой график'!$C$1:$AR$4,MATCH($C$26,'Сводный годовой график'!$B$1:$B$4),MATCH(DATE($AV$1,MONTH($B$24),AH$3),'Сводный годовой график'!$C$7:$AR$7)))</f>
        <v>4</v>
      </c>
      <c r="AI26" s="97">
        <f ca="1">IF(AND(INDEX('Сводный годовой график'!$C$1:$AR$4,MATCH($C$26,'Сводный годовой график'!$B$1:$B$4),MATCH(DATE($AV$1,MONTH($B$24),AI$3),'Сводный годовой график'!$C$7:$AR$7))&lt;&gt;12,INDIRECT(ADDRESS(ROW()+1,COLUMN()))="СП"),8,INDEX('Сводный годовой график'!$C$1:$AR$4,MATCH($C$26,'Сводный годовой график'!$B$1:$B$4),MATCH(DATE($AV$1,MONTH($B$24),AI$3),'Сводный годовой график'!$C$7:$AR$7)))</f>
        <v>8</v>
      </c>
      <c r="AJ26" s="206"/>
      <c r="AK26" s="209">
        <f>$AJ$24-SUM(AY26:CC27)</f>
        <v>167</v>
      </c>
      <c r="AL26" s="209">
        <f t="shared" ref="AL26" ca="1" si="31">SUM(E26:AI27)</f>
        <v>188</v>
      </c>
      <c r="AM26" s="209">
        <f ca="1">SUM(L26)</f>
        <v>12</v>
      </c>
      <c r="AN26" s="211">
        <f t="shared" ref="AN26" ca="1" si="32">-AM26-AK26+AL26</f>
        <v>9</v>
      </c>
      <c r="AO26" s="211">
        <v>18</v>
      </c>
      <c r="AP26" s="211">
        <f ca="1">AN26+AP16-AO26</f>
        <v>-17</v>
      </c>
      <c r="AQ26" s="209">
        <v>0</v>
      </c>
      <c r="AR26" s="210">
        <v>1</v>
      </c>
      <c r="CK26" s="59"/>
      <c r="CL26" s="59"/>
      <c r="CM26" s="59"/>
      <c r="CN26" s="59"/>
      <c r="CO26" s="59"/>
      <c r="CP26" s="59"/>
      <c r="CQ26" s="59"/>
      <c r="CR26" s="59"/>
      <c r="CS26" s="59"/>
      <c r="CT26" s="59"/>
      <c r="CU26" s="59"/>
      <c r="CV26" s="59"/>
      <c r="CW26" s="59"/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59"/>
      <c r="DI26" s="59"/>
      <c r="DJ26" s="59"/>
      <c r="DK26" s="59"/>
      <c r="DL26" s="59"/>
      <c r="DM26" s="59"/>
      <c r="DN26" s="59"/>
      <c r="DO26" s="59"/>
    </row>
    <row r="27" spans="2:119" ht="16.5" thickBot="1" x14ac:dyDescent="0.3">
      <c r="B27" s="201"/>
      <c r="C27" s="197"/>
      <c r="D27" s="82">
        <v>4</v>
      </c>
      <c r="E27" s="96" t="str">
        <f>IF(INDEX($CK$4:$DO$123,ROW()-3,E$3)=0,"","СП")</f>
        <v/>
      </c>
      <c r="F27" s="92" t="str">
        <f>IF(INDEX($CK$4:$DO$123,ROW()-3,F$3)=0,"","СП")</f>
        <v/>
      </c>
      <c r="G27" s="92" t="str">
        <f>IF(INDEX($CK$4:$DO$123,ROW()-3,G$3)=0,"","СП")</f>
        <v/>
      </c>
      <c r="H27" s="92" t="str">
        <f>IF(INDEX($CK$4:$DO$123,ROW()-3,H$3)=0,"","СП")</f>
        <v>СП</v>
      </c>
      <c r="I27" s="92" t="str">
        <f>IF(INDEX($CK$4:$DO$123,ROW()-3,I$3)=0,"","СП")</f>
        <v/>
      </c>
      <c r="J27" s="92" t="str">
        <f>IF(INDEX($CK$4:$DO$123,ROW()-3,J$3)=0,"","СП")</f>
        <v/>
      </c>
      <c r="K27" s="92" t="str">
        <f>IF(INDEX($CK$4:$DO$123,ROW()-3,K$3)=0,"","СП")</f>
        <v/>
      </c>
      <c r="L27" s="92" t="str">
        <f>IF(INDEX($CK$4:$DO$123,ROW()-3,L$3)=0,"","СП")</f>
        <v/>
      </c>
      <c r="M27" s="92" t="str">
        <f>IF(INDEX($CK$4:$DO$123,ROW()-3,M$3)=0,"","СП")</f>
        <v/>
      </c>
      <c r="N27" s="92" t="str">
        <f>IF(INDEX($CK$4:$DO$123,ROW()-3,N$3)=0,"","СП")</f>
        <v/>
      </c>
      <c r="O27" s="92" t="str">
        <f>IF(INDEX($CK$4:$DO$123,ROW()-3,O$3)=0,"","СП")</f>
        <v/>
      </c>
      <c r="P27" s="92" t="str">
        <f>IF(INDEX($CK$4:$DO$123,ROW()-3,P$3)=0,"","СП")</f>
        <v/>
      </c>
      <c r="Q27" s="92" t="str">
        <f>IF(INDEX($CK$4:$DO$123,ROW()-3,Q$3)=0,"","СП")</f>
        <v/>
      </c>
      <c r="R27" s="92" t="str">
        <f>IF(INDEX($CK$4:$DO$123,ROW()-3,R$3)=0,"","СП")</f>
        <v/>
      </c>
      <c r="S27" s="92" t="str">
        <f>IF(INDEX($CK$4:$DO$123,ROW()-3,S$3)=0,"","СП")</f>
        <v/>
      </c>
      <c r="T27" s="92" t="str">
        <f>IF(INDEX($CK$4:$DO$123,ROW()-3,T$3)=0,"","СП")</f>
        <v/>
      </c>
      <c r="U27" s="92" t="str">
        <f>IF(INDEX($CK$4:$DO$123,ROW()-3,U$3)=0,"","СП")</f>
        <v/>
      </c>
      <c r="V27" s="92" t="str">
        <f>IF(INDEX($CK$4:$DO$123,ROW()-3,V$3)=0,"","СП")</f>
        <v/>
      </c>
      <c r="W27" s="92" t="str">
        <f>IF(INDEX($CK$4:$DO$123,ROW()-3,W$3)=0,"","СП")</f>
        <v/>
      </c>
      <c r="X27" s="92" t="str">
        <f>IF(INDEX($CK$4:$DO$123,ROW()-3,X$3)=0,"","СП")</f>
        <v/>
      </c>
      <c r="Y27" s="92" t="str">
        <f>IF(INDEX($CK$4:$DO$123,ROW()-3,Y$3)=0,"","СП")</f>
        <v/>
      </c>
      <c r="Z27" s="92" t="str">
        <f>IF(INDEX($CK$4:$DO$123,ROW()-3,Z$3)=0,"","СП")</f>
        <v/>
      </c>
      <c r="AA27" s="92" t="str">
        <f>IF(INDEX($CK$4:$DO$123,ROW()-3,AA$3)=0,"","СП")</f>
        <v/>
      </c>
      <c r="AB27" s="92" t="str">
        <f>IF(INDEX($CK$4:$DO$123,ROW()-3,AB$3)=0,"","СП")</f>
        <v/>
      </c>
      <c r="AC27" s="92" t="str">
        <f>IF(INDEX($CK$4:$DO$123,ROW()-3,AC$3)=0,"","СП")</f>
        <v/>
      </c>
      <c r="AD27" s="92" t="str">
        <f>IF(INDEX($CK$4:$DO$123,ROW()-3,AD$3)=0,"","СП")</f>
        <v/>
      </c>
      <c r="AE27" s="92" t="str">
        <f>IF(INDEX($CK$4:$DO$123,ROW()-3,AE$3)=0,"","СП")</f>
        <v/>
      </c>
      <c r="AF27" s="92" t="str">
        <f>IF(INDEX($CK$4:$DO$123,ROW()-3,AF$3)=0,"","СП")</f>
        <v/>
      </c>
      <c r="AG27" s="92" t="str">
        <f>IF(INDEX($CK$4:$DO$123,ROW()-3,AG$3)=0,"","СП")</f>
        <v/>
      </c>
      <c r="AH27" s="92" t="str">
        <f>IF(INDEX($CK$4:$DO$123,ROW()-3,AH$3)=0,"","СП")</f>
        <v/>
      </c>
      <c r="AI27" s="97" t="str">
        <f>IF(INDEX($CK$4:$DO$123,ROW()-3,AI$3)=0,"","СП")</f>
        <v/>
      </c>
      <c r="AJ27" s="206"/>
      <c r="AK27" s="209"/>
      <c r="AL27" s="209"/>
      <c r="AM27" s="209"/>
      <c r="AN27" s="211"/>
      <c r="AO27" s="211"/>
      <c r="AP27" s="211"/>
      <c r="AQ27" s="209"/>
      <c r="AR27" s="210"/>
      <c r="CK27" s="58">
        <f>IF(DAY(INDEX('Сводный годовой график'!$BA$4:$BL$14,$C26,MONTH($B$24)))=E$3,1,0)</f>
        <v>0</v>
      </c>
      <c r="CL27" s="58">
        <f>IF(DAY(INDEX('Сводный годовой график'!$BA$4:$BL$14,$C26,MONTH($B$24)))=F$3,1,0)</f>
        <v>0</v>
      </c>
      <c r="CM27" s="58">
        <f>IF(DAY(INDEX('Сводный годовой график'!$BA$4:$BL$14,$C26,MONTH($B$24)))=G$3,1,0)</f>
        <v>0</v>
      </c>
      <c r="CN27" s="58">
        <f>IF(DAY(INDEX('Сводный годовой график'!$BA$4:$BL$14,$C26,MONTH($B$24)))=H$3,1,0)</f>
        <v>1</v>
      </c>
      <c r="CO27" s="58">
        <f>IF(DAY(INDEX('Сводный годовой график'!$BA$4:$BL$14,$C26,MONTH($B$24)))=I$3,1,0)</f>
        <v>0</v>
      </c>
      <c r="CP27" s="58">
        <f>IF(DAY(INDEX('Сводный годовой график'!$BA$4:$BL$14,$C26,MONTH($B$24)))=J$3,1,0)</f>
        <v>0</v>
      </c>
      <c r="CQ27" s="58">
        <f>IF(DAY(INDEX('Сводный годовой график'!$BA$4:$BL$14,$C26,MONTH($B$24)))=K$3,1,0)</f>
        <v>0</v>
      </c>
      <c r="CR27" s="58">
        <f>IF(DAY(INDEX('Сводный годовой график'!$BA$4:$BL$14,$C26,MONTH($B$24)))=L$3,1,0)</f>
        <v>0</v>
      </c>
      <c r="CS27" s="58">
        <f>IF(DAY(INDEX('Сводный годовой график'!$BA$4:$BL$14,$C26,MONTH($B$24)))=M$3,1,0)</f>
        <v>0</v>
      </c>
      <c r="CT27" s="58">
        <f>IF(DAY(INDEX('Сводный годовой график'!$BA$4:$BL$14,$C26,MONTH($B$24)))=N$3,1,0)</f>
        <v>0</v>
      </c>
      <c r="CU27" s="58">
        <f>IF(DAY(INDEX('Сводный годовой график'!$BA$4:$BL$14,$C26,MONTH($B$24)))=O$3,1,0)</f>
        <v>0</v>
      </c>
      <c r="CV27" s="58">
        <f>IF(DAY(INDEX('Сводный годовой график'!$BA$4:$BL$14,$C26,MONTH($B$24)))=P$3,1,0)</f>
        <v>0</v>
      </c>
      <c r="CW27" s="58">
        <f>IF(DAY(INDEX('Сводный годовой график'!$BA$4:$BL$14,$C26,MONTH($B$24)))=Q$3,1,0)</f>
        <v>0</v>
      </c>
      <c r="CX27" s="58">
        <f>IF(DAY(INDEX('Сводный годовой график'!$BA$4:$BL$14,$C26,MONTH($B$24)))=R$3,1,0)</f>
        <v>0</v>
      </c>
      <c r="CY27" s="58">
        <f>IF(DAY(INDEX('Сводный годовой график'!$BA$4:$BL$14,$C26,MONTH($B$24)))=S$3,1,0)</f>
        <v>0</v>
      </c>
      <c r="CZ27" s="58">
        <f>IF(DAY(INDEX('Сводный годовой график'!$BA$4:$BL$14,$C26,MONTH($B$24)))=T$3,1,0)</f>
        <v>0</v>
      </c>
      <c r="DA27" s="58">
        <f>IF(DAY(INDEX('Сводный годовой график'!$BA$4:$BL$14,$C26,MONTH($B$24)))=U$3,1,0)</f>
        <v>0</v>
      </c>
      <c r="DB27" s="58">
        <f>IF(DAY(INDEX('Сводный годовой график'!$BA$4:$BL$14,$C26,MONTH($B$24)))=V$3,1,0)</f>
        <v>0</v>
      </c>
      <c r="DC27" s="58">
        <f>IF(DAY(INDEX('Сводный годовой график'!$BA$4:$BL$14,$C26,MONTH($B$24)))=W$3,1,0)</f>
        <v>0</v>
      </c>
      <c r="DD27" s="58">
        <f>IF(DAY(INDEX('Сводный годовой график'!$BA$4:$BL$14,$C26,MONTH($B$24)))=X$3,1,0)</f>
        <v>0</v>
      </c>
      <c r="DE27" s="58">
        <f>IF(DAY(INDEX('Сводный годовой график'!$BA$4:$BL$14,$C26,MONTH($B$24)))=Y$3,1,0)</f>
        <v>0</v>
      </c>
      <c r="DF27" s="58">
        <f>IF(DAY(INDEX('Сводный годовой график'!$BA$4:$BL$14,$C26,MONTH($B$24)))=Z$3,1,0)</f>
        <v>0</v>
      </c>
      <c r="DG27" s="58">
        <f>IF(DAY(INDEX('Сводный годовой график'!$BA$4:$BL$14,$C26,MONTH($B$24)))=AA$3,1,0)</f>
        <v>0</v>
      </c>
      <c r="DH27" s="58">
        <f>IF(DAY(INDEX('Сводный годовой график'!$BA$4:$BL$14,$C26,MONTH($B$24)))=AB$3,1,0)</f>
        <v>0</v>
      </c>
      <c r="DI27" s="58">
        <f>IF(DAY(INDEX('Сводный годовой график'!$BA$4:$BL$14,$C26,MONTH($B$24)))=AC$3,1,0)</f>
        <v>0</v>
      </c>
      <c r="DJ27" s="58">
        <f>IF(DAY(INDEX('Сводный годовой график'!$BA$4:$BL$14,$C26,MONTH($B$24)))=AD$3,1,0)</f>
        <v>0</v>
      </c>
      <c r="DK27" s="58">
        <f>IF(DAY(INDEX('Сводный годовой график'!$BA$4:$BL$14,$C26,MONTH($B$24)))=AE$3,1,0)</f>
        <v>0</v>
      </c>
      <c r="DL27" s="58">
        <f>IF(DAY(INDEX('Сводный годовой график'!$BA$4:$BL$14,$C26,MONTH($B$24)))=AF$3,1,0)</f>
        <v>0</v>
      </c>
      <c r="DM27" s="58">
        <f>IF(DAY(INDEX('Сводный годовой график'!$BA$4:$BL$14,$C26,MONTH($B$24)))=AG$3,1,0)</f>
        <v>0</v>
      </c>
      <c r="DN27" s="58">
        <f>IF(DAY(INDEX('Сводный годовой график'!$BA$4:$BL$14,$C26,MONTH($B$24)))=AH$3,1,0)</f>
        <v>0</v>
      </c>
      <c r="DO27" s="58">
        <f>IF(DAY(INDEX('Сводный годовой график'!$BA$4:$BL$14,$C26,MONTH($B$24)))=AI$3,1,0)</f>
        <v>0</v>
      </c>
    </row>
    <row r="28" spans="2:119" ht="16.5" thickBot="1" x14ac:dyDescent="0.3">
      <c r="B28" s="201"/>
      <c r="C28" s="196">
        <v>3</v>
      </c>
      <c r="D28" s="81">
        <v>5</v>
      </c>
      <c r="E28" s="96">
        <f ca="1">IF(AND(INDEX('Сводный годовой график'!$C$1:$AR$4,MATCH($C$28,'Сводный годовой график'!$B$1:$B$4),MATCH(DATE($AV$1,MONTH($B$24),E$3),'Сводный годовой график'!$C$7:$AR$7))&lt;&gt;12,INDIRECT(ADDRESS(ROW()+1,COLUMN()))="СП"),8,INDEX('Сводный годовой график'!$C$1:$AR$4,MATCH($C$28,'Сводный годовой график'!$B$1:$B$4),MATCH(DATE($AV$1,MONTH($B$24),E$3),'Сводный годовой график'!$C$7:$AR$7)))</f>
        <v>0</v>
      </c>
      <c r="F28" s="92">
        <f ca="1">IF(AND(INDEX('Сводный годовой график'!$C$1:$AR$4,MATCH($C$28,'Сводный годовой график'!$B$1:$B$4),MATCH(DATE($AV$1,MONTH($B$24),F$3),'Сводный годовой график'!$C$7:$AR$7))&lt;&gt;12,INDIRECT(ADDRESS(ROW()+1,COLUMN()))="СП"),8,INDEX('Сводный годовой график'!$C$1:$AR$4,MATCH($C$28,'Сводный годовой график'!$B$1:$B$4),MATCH(DATE($AV$1,MONTH($B$24),F$3),'Сводный годовой график'!$C$7:$AR$7)))</f>
        <v>4</v>
      </c>
      <c r="G28" s="92">
        <f ca="1">IF(AND(INDEX('Сводный годовой график'!$C$1:$AR$4,MATCH($C$28,'Сводный годовой график'!$B$1:$B$4),MATCH(DATE($AV$1,MONTH($B$24),G$3),'Сводный годовой график'!$C$7:$AR$7))&lt;&gt;12,INDIRECT(ADDRESS(ROW()+1,COLUMN()))="СП"),8,INDEX('Сводный годовой график'!$C$1:$AR$4,MATCH($C$28,'Сводный годовой график'!$B$1:$B$4),MATCH(DATE($AV$1,MONTH($B$24),G$3),'Сводный годовой график'!$C$7:$AR$7)))</f>
        <v>8</v>
      </c>
      <c r="H28" s="92">
        <f ca="1">IF(AND(INDEX('Сводный годовой график'!$C$1:$AR$4,MATCH($C$28,'Сводный годовой график'!$B$1:$B$4),MATCH(DATE($AV$1,MONTH($B$24),H$3),'Сводный годовой график'!$C$7:$AR$7))&lt;&gt;12,INDIRECT(ADDRESS(ROW()+1,COLUMN()))="СП"),8,INDEX('Сводный годовой график'!$C$1:$AR$4,MATCH($C$28,'Сводный годовой график'!$B$1:$B$4),MATCH(DATE($AV$1,MONTH($B$24),H$3),'Сводный годовой график'!$C$7:$AR$7)))</f>
        <v>12</v>
      </c>
      <c r="I28" s="92">
        <f ca="1">IF(AND(INDEX('Сводный годовой график'!$C$1:$AR$4,MATCH($C$28,'Сводный годовой график'!$B$1:$B$4),MATCH(DATE($AV$1,MONTH($B$24),I$3),'Сводный годовой график'!$C$7:$AR$7))&lt;&gt;12,INDIRECT(ADDRESS(ROW()+1,COLUMN()))="СП"),8,INDEX('Сводный годовой график'!$C$1:$AR$4,MATCH($C$28,'Сводный годовой график'!$B$1:$B$4),MATCH(DATE($AV$1,MONTH($B$24),I$3),'Сводный годовой график'!$C$7:$AR$7)))</f>
        <v>8</v>
      </c>
      <c r="J28" s="92">
        <f ca="1">IF(AND(INDEX('Сводный годовой график'!$C$1:$AR$4,MATCH($C$28,'Сводный годовой график'!$B$1:$B$4),MATCH(DATE($AV$1,MONTH($B$24),J$3),'Сводный годовой график'!$C$7:$AR$7))&lt;&gt;12,INDIRECT(ADDRESS(ROW()+1,COLUMN()))="СП"),8,INDEX('Сводный годовой график'!$C$1:$AR$4,MATCH($C$28,'Сводный годовой график'!$B$1:$B$4),MATCH(DATE($AV$1,MONTH($B$24),J$3),'Сводный годовой график'!$C$7:$AR$7)))</f>
        <v>8</v>
      </c>
      <c r="K28" s="92">
        <f ca="1">IF(AND(INDEX('Сводный годовой график'!$C$1:$AR$4,MATCH($C$28,'Сводный годовой график'!$B$1:$B$4),MATCH(DATE($AV$1,MONTH($B$24),K$3),'Сводный годовой график'!$C$7:$AR$7))&lt;&gt;12,INDIRECT(ADDRESS(ROW()+1,COLUMN()))="СП"),8,INDEX('Сводный годовой график'!$C$1:$AR$4,MATCH($C$28,'Сводный годовой график'!$B$1:$B$4),MATCH(DATE($AV$1,MONTH($B$24),K$3),'Сводный годовой график'!$C$7:$AR$7)))</f>
        <v>12</v>
      </c>
      <c r="L28" s="92">
        <f ca="1">IF(AND(INDEX('Сводный годовой график'!$C$1:$AR$4,MATCH($C$28,'Сводный годовой график'!$B$1:$B$4),MATCH(DATE($AV$1,MONTH($B$24),L$3),'Сводный годовой график'!$C$7:$AR$7))&lt;&gt;12,INDIRECT(ADDRESS(ROW()+1,COLUMN()))="СП"),8,INDEX('Сводный годовой график'!$C$1:$AR$4,MATCH($C$28,'Сводный годовой график'!$B$1:$B$4),MATCH(DATE($AV$1,MONTH($B$24),L$3),'Сводный годовой график'!$C$7:$AR$7)))</f>
        <v>0</v>
      </c>
      <c r="M28" s="92">
        <f ca="1">IF(AND(INDEX('Сводный годовой график'!$C$1:$AR$4,MATCH($C$28,'Сводный годовой график'!$B$1:$B$4),MATCH(DATE($AV$1,MONTH($B$24),M$3),'Сводный годовой график'!$C$7:$AR$7))&lt;&gt;12,INDIRECT(ADDRESS(ROW()+1,COLUMN()))="СП"),8,INDEX('Сводный годовой график'!$C$1:$AR$4,MATCH($C$28,'Сводный годовой график'!$B$1:$B$4),MATCH(DATE($AV$1,MONTH($B$24),M$3),'Сводный годовой график'!$C$7:$AR$7)))</f>
        <v>0</v>
      </c>
      <c r="N28" s="92">
        <f ca="1">IF(AND(INDEX('Сводный годовой график'!$C$1:$AR$4,MATCH($C$28,'Сводный годовой график'!$B$1:$B$4),MATCH(DATE($AV$1,MONTH($B$24),N$3),'Сводный годовой график'!$C$7:$AR$7))&lt;&gt;12,INDIRECT(ADDRESS(ROW()+1,COLUMN()))="СП"),8,INDEX('Сводный годовой график'!$C$1:$AR$4,MATCH($C$28,'Сводный годовой график'!$B$1:$B$4),MATCH(DATE($AV$1,MONTH($B$24),N$3),'Сводный годовой график'!$C$7:$AR$7)))</f>
        <v>4</v>
      </c>
      <c r="O28" s="92">
        <f ca="1">IF(AND(INDEX('Сводный годовой график'!$C$1:$AR$4,MATCH($C$28,'Сводный годовой график'!$B$1:$B$4),MATCH(DATE($AV$1,MONTH($B$24),O$3),'Сводный годовой график'!$C$7:$AR$7))&lt;&gt;12,INDIRECT(ADDRESS(ROW()+1,COLUMN()))="СП"),8,INDEX('Сводный годовой график'!$C$1:$AR$4,MATCH($C$28,'Сводный годовой график'!$B$1:$B$4),MATCH(DATE($AV$1,MONTH($B$24),O$3),'Сводный годовой график'!$C$7:$AR$7)))</f>
        <v>8</v>
      </c>
      <c r="P28" s="92">
        <f ca="1">IF(AND(INDEX('Сводный годовой график'!$C$1:$AR$4,MATCH($C$28,'Сводный годовой график'!$B$1:$B$4),MATCH(DATE($AV$1,MONTH($B$24),P$3),'Сводный годовой график'!$C$7:$AR$7))&lt;&gt;12,INDIRECT(ADDRESS(ROW()+1,COLUMN()))="СП"),8,INDEX('Сводный годовой график'!$C$1:$AR$4,MATCH($C$28,'Сводный годовой график'!$B$1:$B$4),MATCH(DATE($AV$1,MONTH($B$24),P$3),'Сводный годовой график'!$C$7:$AR$7)))</f>
        <v>12</v>
      </c>
      <c r="Q28" s="92">
        <f ca="1">IF(AND(INDEX('Сводный годовой график'!$C$1:$AR$4,MATCH($C$28,'Сводный годовой график'!$B$1:$B$4),MATCH(DATE($AV$1,MONTH($B$24),Q$3),'Сводный годовой график'!$C$7:$AR$7))&lt;&gt;12,INDIRECT(ADDRESS(ROW()+1,COLUMN()))="СП"),8,INDEX('Сводный годовой график'!$C$1:$AR$4,MATCH($C$28,'Сводный годовой график'!$B$1:$B$4),MATCH(DATE($AV$1,MONTH($B$24),Q$3),'Сводный годовой график'!$C$7:$AR$7)))</f>
        <v>4</v>
      </c>
      <c r="R28" s="92">
        <f ca="1">IF(AND(INDEX('Сводный годовой график'!$C$1:$AR$4,MATCH($C$28,'Сводный годовой график'!$B$1:$B$4),MATCH(DATE($AV$1,MONTH($B$24),R$3),'Сводный годовой график'!$C$7:$AR$7))&lt;&gt;12,INDIRECT(ADDRESS(ROW()+1,COLUMN()))="СП"),8,INDEX('Сводный годовой график'!$C$1:$AR$4,MATCH($C$28,'Сводный годовой график'!$B$1:$B$4),MATCH(DATE($AV$1,MONTH($B$24),R$3),'Сводный годовой график'!$C$7:$AR$7)))</f>
        <v>8</v>
      </c>
      <c r="S28" s="92">
        <f ca="1">IF(AND(INDEX('Сводный годовой график'!$C$1:$AR$4,MATCH($C$28,'Сводный годовой график'!$B$1:$B$4),MATCH(DATE($AV$1,MONTH($B$24),S$3),'Сводный годовой график'!$C$7:$AR$7))&lt;&gt;12,INDIRECT(ADDRESS(ROW()+1,COLUMN()))="СП"),8,INDEX('Сводный годовой график'!$C$1:$AR$4,MATCH($C$28,'Сводный годовой график'!$B$1:$B$4),MATCH(DATE($AV$1,MONTH($B$24),S$3),'Сводный годовой график'!$C$7:$AR$7)))</f>
        <v>12</v>
      </c>
      <c r="T28" s="92">
        <f ca="1">IF(AND(INDEX('Сводный годовой график'!$C$1:$AR$4,MATCH($C$28,'Сводный годовой график'!$B$1:$B$4),MATCH(DATE($AV$1,MONTH($B$24),T$3),'Сводный годовой график'!$C$7:$AR$7))&lt;&gt;12,INDIRECT(ADDRESS(ROW()+1,COLUMN()))="СП"),8,INDEX('Сводный годовой график'!$C$1:$AR$4,MATCH($C$28,'Сводный годовой график'!$B$1:$B$4),MATCH(DATE($AV$1,MONTH($B$24),T$3),'Сводный годовой график'!$C$7:$AR$7)))</f>
        <v>0</v>
      </c>
      <c r="U28" s="92">
        <f ca="1">IF(AND(INDEX('Сводный годовой график'!$C$1:$AR$4,MATCH($C$28,'Сводный годовой график'!$B$1:$B$4),MATCH(DATE($AV$1,MONTH($B$24),U$3),'Сводный годовой график'!$C$7:$AR$7))&lt;&gt;12,INDIRECT(ADDRESS(ROW()+1,COLUMN()))="СП"),8,INDEX('Сводный годовой график'!$C$1:$AR$4,MATCH($C$28,'Сводный годовой график'!$B$1:$B$4),MATCH(DATE($AV$1,MONTH($B$24),U$3),'Сводный годовой график'!$C$7:$AR$7)))</f>
        <v>0</v>
      </c>
      <c r="V28" s="92">
        <f ca="1">IF(AND(INDEX('Сводный годовой график'!$C$1:$AR$4,MATCH($C$28,'Сводный годовой график'!$B$1:$B$4),MATCH(DATE($AV$1,MONTH($B$24),V$3),'Сводный годовой график'!$C$7:$AR$7))&lt;&gt;12,INDIRECT(ADDRESS(ROW()+1,COLUMN()))="СП"),8,INDEX('Сводный годовой график'!$C$1:$AR$4,MATCH($C$28,'Сводный годовой график'!$B$1:$B$4),MATCH(DATE($AV$1,MONTH($B$24),V$3),'Сводный годовой график'!$C$7:$AR$7)))</f>
        <v>4</v>
      </c>
      <c r="W28" s="92">
        <f ca="1">IF(AND(INDEX('Сводный годовой график'!$C$1:$AR$4,MATCH($C$28,'Сводный годовой график'!$B$1:$B$4),MATCH(DATE($AV$1,MONTH($B$24),W$3),'Сводный годовой график'!$C$7:$AR$7))&lt;&gt;12,INDIRECT(ADDRESS(ROW()+1,COLUMN()))="СП"),8,INDEX('Сводный годовой график'!$C$1:$AR$4,MATCH($C$28,'Сводный годовой график'!$B$1:$B$4),MATCH(DATE($AV$1,MONTH($B$24),W$3),'Сводный годовой график'!$C$7:$AR$7)))</f>
        <v>8</v>
      </c>
      <c r="X28" s="92">
        <f ca="1">IF(AND(INDEX('Сводный годовой график'!$C$1:$AR$4,MATCH($C$28,'Сводный годовой график'!$B$1:$B$4),MATCH(DATE($AV$1,MONTH($B$24),X$3),'Сводный годовой график'!$C$7:$AR$7))&lt;&gt;12,INDIRECT(ADDRESS(ROW()+1,COLUMN()))="СП"),8,INDEX('Сводный годовой график'!$C$1:$AR$4,MATCH($C$28,'Сводный годовой график'!$B$1:$B$4),MATCH(DATE($AV$1,MONTH($B$24),X$3),'Сводный годовой график'!$C$7:$AR$7)))</f>
        <v>12</v>
      </c>
      <c r="Y28" s="92">
        <f ca="1">IF(AND(INDEX('Сводный годовой график'!$C$1:$AR$4,MATCH($C$28,'Сводный годовой график'!$B$1:$B$4),MATCH(DATE($AV$1,MONTH($B$24),Y$3),'Сводный годовой график'!$C$7:$AR$7))&lt;&gt;12,INDIRECT(ADDRESS(ROW()+1,COLUMN()))="СП"),8,INDEX('Сводный годовой график'!$C$1:$AR$4,MATCH($C$28,'Сводный годовой график'!$B$1:$B$4),MATCH(DATE($AV$1,MONTH($B$24),Y$3),'Сводный годовой график'!$C$7:$AR$7)))</f>
        <v>4</v>
      </c>
      <c r="Z28" s="92">
        <f ca="1">IF(AND(INDEX('Сводный годовой график'!$C$1:$AR$4,MATCH($C$28,'Сводный годовой график'!$B$1:$B$4),MATCH(DATE($AV$1,MONTH($B$24),Z$3),'Сводный годовой график'!$C$7:$AR$7))&lt;&gt;12,INDIRECT(ADDRESS(ROW()+1,COLUMN()))="СП"),8,INDEX('Сводный годовой график'!$C$1:$AR$4,MATCH($C$28,'Сводный годовой график'!$B$1:$B$4),MATCH(DATE($AV$1,MONTH($B$24),Z$3),'Сводный годовой график'!$C$7:$AR$7)))</f>
        <v>8</v>
      </c>
      <c r="AA28" s="92">
        <f ca="1">IF(AND(INDEX('Сводный годовой график'!$C$1:$AR$4,MATCH($C$28,'Сводный годовой график'!$B$1:$B$4),MATCH(DATE($AV$1,MONTH($B$24),AA$3),'Сводный годовой график'!$C$7:$AR$7))&lt;&gt;12,INDIRECT(ADDRESS(ROW()+1,COLUMN()))="СП"),8,INDEX('Сводный годовой график'!$C$1:$AR$4,MATCH($C$28,'Сводный годовой график'!$B$1:$B$4),MATCH(DATE($AV$1,MONTH($B$24),AA$3),'Сводный годовой график'!$C$7:$AR$7)))</f>
        <v>12</v>
      </c>
      <c r="AB28" s="92">
        <f ca="1">IF(AND(INDEX('Сводный годовой график'!$C$1:$AR$4,MATCH($C$28,'Сводный годовой график'!$B$1:$B$4),MATCH(DATE($AV$1,MONTH($B$24),AB$3),'Сводный годовой график'!$C$7:$AR$7))&lt;&gt;12,INDIRECT(ADDRESS(ROW()+1,COLUMN()))="СП"),8,INDEX('Сводный годовой график'!$C$1:$AR$4,MATCH($C$28,'Сводный годовой график'!$B$1:$B$4),MATCH(DATE($AV$1,MONTH($B$24),AB$3),'Сводный годовой график'!$C$7:$AR$7)))</f>
        <v>0</v>
      </c>
      <c r="AC28" s="92">
        <f ca="1">IF(AND(INDEX('Сводный годовой график'!$C$1:$AR$4,MATCH($C$28,'Сводный годовой график'!$B$1:$B$4),MATCH(DATE($AV$1,MONTH($B$24),AC$3),'Сводный годовой график'!$C$7:$AR$7))&lt;&gt;12,INDIRECT(ADDRESS(ROW()+1,COLUMN()))="СП"),8,INDEX('Сводный годовой график'!$C$1:$AR$4,MATCH($C$28,'Сводный годовой график'!$B$1:$B$4),MATCH(DATE($AV$1,MONTH($B$24),AC$3),'Сводный годовой график'!$C$7:$AR$7)))</f>
        <v>0</v>
      </c>
      <c r="AD28" s="92">
        <f ca="1">IF(AND(INDEX('Сводный годовой график'!$C$1:$AR$4,MATCH($C$28,'Сводный годовой график'!$B$1:$B$4),MATCH(DATE($AV$1,MONTH($B$24),AD$3),'Сводный годовой график'!$C$7:$AR$7))&lt;&gt;12,INDIRECT(ADDRESS(ROW()+1,COLUMN()))="СП"),8,INDEX('Сводный годовой график'!$C$1:$AR$4,MATCH($C$28,'Сводный годовой график'!$B$1:$B$4),MATCH(DATE($AV$1,MONTH($B$24),AD$3),'Сводный годовой график'!$C$7:$AR$7)))</f>
        <v>4</v>
      </c>
      <c r="AE28" s="92">
        <f ca="1">IF(AND(INDEX('Сводный годовой график'!$C$1:$AR$4,MATCH($C$28,'Сводный годовой график'!$B$1:$B$4),MATCH(DATE($AV$1,MONTH($B$24),AE$3),'Сводный годовой график'!$C$7:$AR$7))&lt;&gt;12,INDIRECT(ADDRESS(ROW()+1,COLUMN()))="СП"),8,INDEX('Сводный годовой график'!$C$1:$AR$4,MATCH($C$28,'Сводный годовой график'!$B$1:$B$4),MATCH(DATE($AV$1,MONTH($B$24),AE$3),'Сводный годовой график'!$C$7:$AR$7)))</f>
        <v>8</v>
      </c>
      <c r="AF28" s="92">
        <f ca="1">IF(AND(INDEX('Сводный годовой график'!$C$1:$AR$4,MATCH($C$28,'Сводный годовой график'!$B$1:$B$4),MATCH(DATE($AV$1,MONTH($B$24),AF$3),'Сводный годовой график'!$C$7:$AR$7))&lt;&gt;12,INDIRECT(ADDRESS(ROW()+1,COLUMN()))="СП"),8,INDEX('Сводный годовой график'!$C$1:$AR$4,MATCH($C$28,'Сводный годовой график'!$B$1:$B$4),MATCH(DATE($AV$1,MONTH($B$24),AF$3),'Сводный годовой график'!$C$7:$AR$7)))</f>
        <v>12</v>
      </c>
      <c r="AG28" s="92">
        <f ca="1">IF(AND(INDEX('Сводный годовой график'!$C$1:$AR$4,MATCH($C$28,'Сводный годовой график'!$B$1:$B$4),MATCH(DATE($AV$1,MONTH($B$24),AG$3),'Сводный годовой график'!$C$7:$AR$7))&lt;&gt;12,INDIRECT(ADDRESS(ROW()+1,COLUMN()))="СП"),8,INDEX('Сводный годовой график'!$C$1:$AR$4,MATCH($C$28,'Сводный годовой график'!$B$1:$B$4),MATCH(DATE($AV$1,MONTH($B$24),AG$3),'Сводный годовой график'!$C$7:$AR$7)))</f>
        <v>4</v>
      </c>
      <c r="AH28" s="92">
        <f ca="1">IF(AND(INDEX('Сводный годовой график'!$C$1:$AR$4,MATCH($C$28,'Сводный годовой график'!$B$1:$B$4),MATCH(DATE($AV$1,MONTH($B$24),AH$3),'Сводный годовой график'!$C$7:$AR$7))&lt;&gt;12,INDIRECT(ADDRESS(ROW()+1,COLUMN()))="СП"),8,INDEX('Сводный годовой график'!$C$1:$AR$4,MATCH($C$28,'Сводный годовой график'!$B$1:$B$4),MATCH(DATE($AV$1,MONTH($B$24),AH$3),'Сводный годовой график'!$C$7:$AR$7)))</f>
        <v>8</v>
      </c>
      <c r="AI28" s="97">
        <f ca="1">IF(AND(INDEX('Сводный годовой график'!$C$1:$AR$4,MATCH($C$28,'Сводный годовой график'!$B$1:$B$4),MATCH(DATE($AV$1,MONTH($B$24),AI$3),'Сводный годовой график'!$C$7:$AR$7))&lt;&gt;12,INDIRECT(ADDRESS(ROW()+1,COLUMN()))="СП"),8,INDEX('Сводный годовой график'!$C$1:$AR$4,MATCH($C$28,'Сводный годовой график'!$B$1:$B$4),MATCH(DATE($AV$1,MONTH($B$24),AI$3),'Сводный годовой график'!$C$7:$AR$7)))</f>
        <v>12</v>
      </c>
      <c r="AJ28" s="206"/>
      <c r="AK28" s="209">
        <f>$AJ$24-SUM(AY28:CC29)</f>
        <v>167</v>
      </c>
      <c r="AL28" s="209">
        <f t="shared" ref="AL28" ca="1" si="33">SUM(E28:AI29)</f>
        <v>196</v>
      </c>
      <c r="AM28" s="209">
        <f ca="1">SUM(L28)</f>
        <v>0</v>
      </c>
      <c r="AN28" s="211">
        <f t="shared" ref="AN28" ca="1" si="34">-AM28-AK28+AL28</f>
        <v>29</v>
      </c>
      <c r="AO28" s="211">
        <v>0</v>
      </c>
      <c r="AP28" s="211">
        <f ca="1">AN28+AP18-AO28</f>
        <v>17</v>
      </c>
      <c r="AQ28" s="209">
        <v>0</v>
      </c>
      <c r="AR28" s="210">
        <v>1</v>
      </c>
      <c r="CK28" s="59"/>
      <c r="CL28" s="59"/>
      <c r="CM28" s="59"/>
      <c r="CN28" s="59"/>
      <c r="CO28" s="59"/>
      <c r="CP28" s="59"/>
      <c r="CQ28" s="59"/>
      <c r="CR28" s="59"/>
      <c r="CS28" s="59"/>
      <c r="CT28" s="59"/>
      <c r="CU28" s="59"/>
      <c r="CV28" s="59"/>
      <c r="CW28" s="59"/>
      <c r="CX28" s="59"/>
      <c r="CY28" s="59"/>
      <c r="CZ28" s="59"/>
      <c r="DA28" s="59"/>
      <c r="DB28" s="59"/>
      <c r="DC28" s="59"/>
      <c r="DD28" s="59"/>
      <c r="DE28" s="59"/>
      <c r="DF28" s="59"/>
      <c r="DG28" s="59"/>
      <c r="DH28" s="59"/>
      <c r="DI28" s="59"/>
      <c r="DJ28" s="59"/>
      <c r="DK28" s="59"/>
      <c r="DL28" s="59"/>
      <c r="DM28" s="59"/>
      <c r="DN28" s="59"/>
      <c r="DO28" s="59"/>
    </row>
    <row r="29" spans="2:119" ht="16.5" thickBot="1" x14ac:dyDescent="0.3">
      <c r="B29" s="201"/>
      <c r="C29" s="197"/>
      <c r="D29" s="82">
        <v>6</v>
      </c>
      <c r="E29" s="96" t="str">
        <f>IF(INDEX($CK$4:$DO$123,ROW()-3,E$3)=0,"","СП")</f>
        <v/>
      </c>
      <c r="F29" s="92" t="str">
        <f>IF(INDEX($CK$4:$DO$123,ROW()-3,F$3)=0,"","СП")</f>
        <v/>
      </c>
      <c r="G29" s="92" t="str">
        <f>IF(INDEX($CK$4:$DO$123,ROW()-3,G$3)=0,"","СП")</f>
        <v/>
      </c>
      <c r="H29" s="92" t="str">
        <f>IF(INDEX($CK$4:$DO$123,ROW()-3,H$3)=0,"","СП")</f>
        <v/>
      </c>
      <c r="I29" s="92" t="str">
        <f>IF(INDEX($CK$4:$DO$123,ROW()-3,I$3)=0,"","СП")</f>
        <v>СП</v>
      </c>
      <c r="J29" s="92" t="str">
        <f>IF(INDEX($CK$4:$DO$123,ROW()-3,J$3)=0,"","СП")</f>
        <v/>
      </c>
      <c r="K29" s="92" t="str">
        <f>IF(INDEX($CK$4:$DO$123,ROW()-3,K$3)=0,"","СП")</f>
        <v/>
      </c>
      <c r="L29" s="92" t="str">
        <f>IF(INDEX($CK$4:$DO$123,ROW()-3,L$3)=0,"","СП")</f>
        <v/>
      </c>
      <c r="M29" s="92" t="str">
        <f>IF(INDEX($CK$4:$DO$123,ROW()-3,M$3)=0,"","СП")</f>
        <v/>
      </c>
      <c r="N29" s="92" t="str">
        <f>IF(INDEX($CK$4:$DO$123,ROW()-3,N$3)=0,"","СП")</f>
        <v/>
      </c>
      <c r="O29" s="92" t="str">
        <f>IF(INDEX($CK$4:$DO$123,ROW()-3,O$3)=0,"","СП")</f>
        <v/>
      </c>
      <c r="P29" s="92" t="str">
        <f>IF(INDEX($CK$4:$DO$123,ROW()-3,P$3)=0,"","СП")</f>
        <v/>
      </c>
      <c r="Q29" s="92" t="str">
        <f>IF(INDEX($CK$4:$DO$123,ROW()-3,Q$3)=0,"","СП")</f>
        <v/>
      </c>
      <c r="R29" s="92" t="str">
        <f>IF(INDEX($CK$4:$DO$123,ROW()-3,R$3)=0,"","СП")</f>
        <v/>
      </c>
      <c r="S29" s="92" t="str">
        <f>IF(INDEX($CK$4:$DO$123,ROW()-3,S$3)=0,"","СП")</f>
        <v/>
      </c>
      <c r="T29" s="92" t="str">
        <f>IF(INDEX($CK$4:$DO$123,ROW()-3,T$3)=0,"","СП")</f>
        <v/>
      </c>
      <c r="U29" s="92" t="str">
        <f>IF(INDEX($CK$4:$DO$123,ROW()-3,U$3)=0,"","СП")</f>
        <v/>
      </c>
      <c r="V29" s="92" t="str">
        <f>IF(INDEX($CK$4:$DO$123,ROW()-3,V$3)=0,"","СП")</f>
        <v/>
      </c>
      <c r="W29" s="92" t="str">
        <f>IF(INDEX($CK$4:$DO$123,ROW()-3,W$3)=0,"","СП")</f>
        <v/>
      </c>
      <c r="X29" s="92" t="str">
        <f>IF(INDEX($CK$4:$DO$123,ROW()-3,X$3)=0,"","СП")</f>
        <v/>
      </c>
      <c r="Y29" s="92" t="str">
        <f>IF(INDEX($CK$4:$DO$123,ROW()-3,Y$3)=0,"","СП")</f>
        <v/>
      </c>
      <c r="Z29" s="92" t="str">
        <f>IF(INDEX($CK$4:$DO$123,ROW()-3,Z$3)=0,"","СП")</f>
        <v/>
      </c>
      <c r="AA29" s="92" t="str">
        <f>IF(INDEX($CK$4:$DO$123,ROW()-3,AA$3)=0,"","СП")</f>
        <v/>
      </c>
      <c r="AB29" s="92" t="str">
        <f>IF(INDEX($CK$4:$DO$123,ROW()-3,AB$3)=0,"","СП")</f>
        <v/>
      </c>
      <c r="AC29" s="92" t="str">
        <f>IF(INDEX($CK$4:$DO$123,ROW()-3,AC$3)=0,"","СП")</f>
        <v/>
      </c>
      <c r="AD29" s="92" t="str">
        <f>IF(INDEX($CK$4:$DO$123,ROW()-3,AD$3)=0,"","СП")</f>
        <v/>
      </c>
      <c r="AE29" s="92" t="str">
        <f>IF(INDEX($CK$4:$DO$123,ROW()-3,AE$3)=0,"","СП")</f>
        <v/>
      </c>
      <c r="AF29" s="92" t="str">
        <f>IF(INDEX($CK$4:$DO$123,ROW()-3,AF$3)=0,"","СП")</f>
        <v/>
      </c>
      <c r="AG29" s="92" t="str">
        <f>IF(INDEX($CK$4:$DO$123,ROW()-3,AG$3)=0,"","СП")</f>
        <v/>
      </c>
      <c r="AH29" s="92" t="str">
        <f>IF(INDEX($CK$4:$DO$123,ROW()-3,AH$3)=0,"","СП")</f>
        <v/>
      </c>
      <c r="AI29" s="97" t="str">
        <f>IF(INDEX($CK$4:$DO$123,ROW()-3,AI$3)=0,"","СП")</f>
        <v/>
      </c>
      <c r="AJ29" s="206"/>
      <c r="AK29" s="209"/>
      <c r="AL29" s="209"/>
      <c r="AM29" s="209"/>
      <c r="AN29" s="211"/>
      <c r="AO29" s="211"/>
      <c r="AP29" s="211"/>
      <c r="AQ29" s="209"/>
      <c r="AR29" s="210"/>
      <c r="CK29" s="58">
        <f>IF(DAY(INDEX('Сводный годовой график'!$BA$4:$BL$14,$C28,MONTH($B$24)))=E$3,1,0)</f>
        <v>0</v>
      </c>
      <c r="CL29" s="58">
        <f>IF(DAY(INDEX('Сводный годовой график'!$BA$4:$BL$14,$C28,MONTH($B$24)))=F$3,1,0)</f>
        <v>0</v>
      </c>
      <c r="CM29" s="58">
        <f>IF(DAY(INDEX('Сводный годовой график'!$BA$4:$BL$14,$C28,MONTH($B$24)))=G$3,1,0)</f>
        <v>0</v>
      </c>
      <c r="CN29" s="58">
        <f>IF(DAY(INDEX('Сводный годовой график'!$BA$4:$BL$14,$C28,MONTH($B$24)))=H$3,1,0)</f>
        <v>0</v>
      </c>
      <c r="CO29" s="58">
        <f>IF(DAY(INDEX('Сводный годовой график'!$BA$4:$BL$14,$C28,MONTH($B$24)))=I$3,1,0)</f>
        <v>1</v>
      </c>
      <c r="CP29" s="58">
        <f>IF(DAY(INDEX('Сводный годовой график'!$BA$4:$BL$14,$C28,MONTH($B$24)))=J$3,1,0)</f>
        <v>0</v>
      </c>
      <c r="CQ29" s="58">
        <f>IF(DAY(INDEX('Сводный годовой график'!$BA$4:$BL$14,$C28,MONTH($B$24)))=K$3,1,0)</f>
        <v>0</v>
      </c>
      <c r="CR29" s="58">
        <f>IF(DAY(INDEX('Сводный годовой график'!$BA$4:$BL$14,$C28,MONTH($B$24)))=L$3,1,0)</f>
        <v>0</v>
      </c>
      <c r="CS29" s="58">
        <f>IF(DAY(INDEX('Сводный годовой график'!$BA$4:$BL$14,$C28,MONTH($B$24)))=M$3,1,0)</f>
        <v>0</v>
      </c>
      <c r="CT29" s="58">
        <f>IF(DAY(INDEX('Сводный годовой график'!$BA$4:$BL$14,$C28,MONTH($B$24)))=N$3,1,0)</f>
        <v>0</v>
      </c>
      <c r="CU29" s="58">
        <f>IF(DAY(INDEX('Сводный годовой график'!$BA$4:$BL$14,$C28,MONTH($B$24)))=O$3,1,0)</f>
        <v>0</v>
      </c>
      <c r="CV29" s="58">
        <f>IF(DAY(INDEX('Сводный годовой график'!$BA$4:$BL$14,$C28,MONTH($B$24)))=P$3,1,0)</f>
        <v>0</v>
      </c>
      <c r="CW29" s="58">
        <f>IF(DAY(INDEX('Сводный годовой график'!$BA$4:$BL$14,$C28,MONTH($B$24)))=Q$3,1,0)</f>
        <v>0</v>
      </c>
      <c r="CX29" s="58">
        <f>IF(DAY(INDEX('Сводный годовой график'!$BA$4:$BL$14,$C28,MONTH($B$24)))=R$3,1,0)</f>
        <v>0</v>
      </c>
      <c r="CY29" s="58">
        <f>IF(DAY(INDEX('Сводный годовой график'!$BA$4:$BL$14,$C28,MONTH($B$24)))=S$3,1,0)</f>
        <v>0</v>
      </c>
      <c r="CZ29" s="58">
        <f>IF(DAY(INDEX('Сводный годовой график'!$BA$4:$BL$14,$C28,MONTH($B$24)))=T$3,1,0)</f>
        <v>0</v>
      </c>
      <c r="DA29" s="58">
        <f>IF(DAY(INDEX('Сводный годовой график'!$BA$4:$BL$14,$C28,MONTH($B$24)))=U$3,1,0)</f>
        <v>0</v>
      </c>
      <c r="DB29" s="58">
        <f>IF(DAY(INDEX('Сводный годовой график'!$BA$4:$BL$14,$C28,MONTH($B$24)))=V$3,1,0)</f>
        <v>0</v>
      </c>
      <c r="DC29" s="58">
        <f>IF(DAY(INDEX('Сводный годовой график'!$BA$4:$BL$14,$C28,MONTH($B$24)))=W$3,1,0)</f>
        <v>0</v>
      </c>
      <c r="DD29" s="58">
        <f>IF(DAY(INDEX('Сводный годовой график'!$BA$4:$BL$14,$C28,MONTH($B$24)))=X$3,1,0)</f>
        <v>0</v>
      </c>
      <c r="DE29" s="58">
        <f>IF(DAY(INDEX('Сводный годовой график'!$BA$4:$BL$14,$C28,MONTH($B$24)))=Y$3,1,0)</f>
        <v>0</v>
      </c>
      <c r="DF29" s="58">
        <f>IF(DAY(INDEX('Сводный годовой график'!$BA$4:$BL$14,$C28,MONTH($B$24)))=Z$3,1,0)</f>
        <v>0</v>
      </c>
      <c r="DG29" s="58">
        <f>IF(DAY(INDEX('Сводный годовой график'!$BA$4:$BL$14,$C28,MONTH($B$24)))=AA$3,1,0)</f>
        <v>0</v>
      </c>
      <c r="DH29" s="58">
        <f>IF(DAY(INDEX('Сводный годовой график'!$BA$4:$BL$14,$C28,MONTH($B$24)))=AB$3,1,0)</f>
        <v>0</v>
      </c>
      <c r="DI29" s="58">
        <f>IF(DAY(INDEX('Сводный годовой график'!$BA$4:$BL$14,$C28,MONTH($B$24)))=AC$3,1,0)</f>
        <v>0</v>
      </c>
      <c r="DJ29" s="58">
        <f>IF(DAY(INDEX('Сводный годовой график'!$BA$4:$BL$14,$C28,MONTH($B$24)))=AD$3,1,0)</f>
        <v>0</v>
      </c>
      <c r="DK29" s="58">
        <f>IF(DAY(INDEX('Сводный годовой график'!$BA$4:$BL$14,$C28,MONTH($B$24)))=AE$3,1,0)</f>
        <v>0</v>
      </c>
      <c r="DL29" s="58">
        <f>IF(DAY(INDEX('Сводный годовой график'!$BA$4:$BL$14,$C28,MONTH($B$24)))=AF$3,1,0)</f>
        <v>0</v>
      </c>
      <c r="DM29" s="58">
        <f>IF(DAY(INDEX('Сводный годовой график'!$BA$4:$BL$14,$C28,MONTH($B$24)))=AG$3,1,0)</f>
        <v>0</v>
      </c>
      <c r="DN29" s="58">
        <f>IF(DAY(INDEX('Сводный годовой график'!$BA$4:$BL$14,$C28,MONTH($B$24)))=AH$3,1,0)</f>
        <v>0</v>
      </c>
      <c r="DO29" s="58">
        <f>IF(DAY(INDEX('Сводный годовой график'!$BA$4:$BL$14,$C28,MONTH($B$24)))=AI$3,1,0)</f>
        <v>0</v>
      </c>
    </row>
    <row r="30" spans="2:119" ht="16.5" thickBot="1" x14ac:dyDescent="0.3">
      <c r="B30" s="201"/>
      <c r="C30" s="196">
        <v>4</v>
      </c>
      <c r="D30" s="81">
        <v>7</v>
      </c>
      <c r="E30" s="96">
        <f ca="1">IF(AND(INDEX('Сводный годовой график'!$C$1:$AR$4,MATCH($C$30,'Сводный годовой график'!$B$1:$B$4),MATCH(DATE($AV$1,MONTH($B$24),E$3),'Сводный годовой график'!$C$7:$AR$7))&lt;&gt;12,INDIRECT(ADDRESS(ROW()+1,COLUMN()))="СП"),8,INDEX('Сводный годовой график'!$C$1:$AR$4,MATCH($C$30,'Сводный годовой график'!$B$1:$B$4),MATCH(DATE($AV$1,MONTH($B$24),E$3),'Сводный годовой график'!$C$7:$AR$7)))</f>
        <v>12</v>
      </c>
      <c r="F30" s="92">
        <f ca="1">IF(AND(INDEX('Сводный годовой график'!$C$1:$AR$4,MATCH($C$30,'Сводный годовой график'!$B$1:$B$4),MATCH(DATE($AV$1,MONTH($B$24),F$3),'Сводный годовой график'!$C$7:$AR$7))&lt;&gt;12,INDIRECT(ADDRESS(ROW()+1,COLUMN()))="СП"),8,INDEX('Сводный годовой график'!$C$1:$AR$4,MATCH($C$30,'Сводный годовой график'!$B$1:$B$4),MATCH(DATE($AV$1,MONTH($B$24),F$3),'Сводный годовой график'!$C$7:$AR$7)))</f>
        <v>0</v>
      </c>
      <c r="G30" s="92">
        <f ca="1">IF(AND(INDEX('Сводный годовой график'!$C$1:$AR$4,MATCH($C$30,'Сводный годовой график'!$B$1:$B$4),MATCH(DATE($AV$1,MONTH($B$24),G$3),'Сводный годовой график'!$C$7:$AR$7))&lt;&gt;12,INDIRECT(ADDRESS(ROW()+1,COLUMN()))="СП"),8,INDEX('Сводный годовой график'!$C$1:$AR$4,MATCH($C$30,'Сводный годовой график'!$B$1:$B$4),MATCH(DATE($AV$1,MONTH($B$24),G$3),'Сводный годовой график'!$C$7:$AR$7)))</f>
        <v>0</v>
      </c>
      <c r="H30" s="92">
        <f ca="1">IF(AND(INDEX('Сводный годовой график'!$C$1:$AR$4,MATCH($C$30,'Сводный годовой график'!$B$1:$B$4),MATCH(DATE($AV$1,MONTH($B$24),H$3),'Сводный годовой график'!$C$7:$AR$7))&lt;&gt;12,INDIRECT(ADDRESS(ROW()+1,COLUMN()))="СП"),8,INDEX('Сводный годовой график'!$C$1:$AR$4,MATCH($C$30,'Сводный годовой график'!$B$1:$B$4),MATCH(DATE($AV$1,MONTH($B$24),H$3),'Сводный годовой график'!$C$7:$AR$7)))</f>
        <v>4</v>
      </c>
      <c r="I30" s="92">
        <f ca="1">IF(AND(INDEX('Сводный годовой график'!$C$1:$AR$4,MATCH($C$30,'Сводный годовой график'!$B$1:$B$4),MATCH(DATE($AV$1,MONTH($B$24),I$3),'Сводный годовой график'!$C$7:$AR$7))&lt;&gt;12,INDIRECT(ADDRESS(ROW()+1,COLUMN()))="СП"),8,INDEX('Сводный годовой график'!$C$1:$AR$4,MATCH($C$30,'Сводный годовой график'!$B$1:$B$4),MATCH(DATE($AV$1,MONTH($B$24),I$3),'Сводный годовой график'!$C$7:$AR$7)))</f>
        <v>8</v>
      </c>
      <c r="J30" s="92">
        <f ca="1">IF(AND(INDEX('Сводный годовой график'!$C$1:$AR$4,MATCH($C$30,'Сводный годовой график'!$B$1:$B$4),MATCH(DATE($AV$1,MONTH($B$24),J$3),'Сводный годовой график'!$C$7:$AR$7))&lt;&gt;12,INDIRECT(ADDRESS(ROW()+1,COLUMN()))="СП"),8,INDEX('Сводный годовой график'!$C$1:$AR$4,MATCH($C$30,'Сводный годовой график'!$B$1:$B$4),MATCH(DATE($AV$1,MONTH($B$24),J$3),'Сводный годовой график'!$C$7:$AR$7)))</f>
        <v>12</v>
      </c>
      <c r="K30" s="92">
        <f ca="1">IF(AND(INDEX('Сводный годовой график'!$C$1:$AR$4,MATCH($C$30,'Сводный годовой график'!$B$1:$B$4),MATCH(DATE($AV$1,MONTH($B$24),K$3),'Сводный годовой график'!$C$7:$AR$7))&lt;&gt;12,INDIRECT(ADDRESS(ROW()+1,COLUMN()))="СП"),8,INDEX('Сводный годовой график'!$C$1:$AR$4,MATCH($C$30,'Сводный годовой график'!$B$1:$B$4),MATCH(DATE($AV$1,MONTH($B$24),K$3),'Сводный годовой график'!$C$7:$AR$7)))</f>
        <v>4</v>
      </c>
      <c r="L30" s="92">
        <f ca="1">IF(AND(INDEX('Сводный годовой график'!$C$1:$AR$4,MATCH($C$30,'Сводный годовой график'!$B$1:$B$4),MATCH(DATE($AV$1,MONTH($B$24),L$3),'Сводный годовой график'!$C$7:$AR$7))&lt;&gt;12,INDIRECT(ADDRESS(ROW()+1,COLUMN()))="СП"),8,INDEX('Сводный годовой график'!$C$1:$AR$4,MATCH($C$30,'Сводный годовой график'!$B$1:$B$4),MATCH(DATE($AV$1,MONTH($B$24),L$3),'Сводный годовой график'!$C$7:$AR$7)))</f>
        <v>8</v>
      </c>
      <c r="M30" s="92">
        <f ca="1">IF(AND(INDEX('Сводный годовой график'!$C$1:$AR$4,MATCH($C$30,'Сводный годовой график'!$B$1:$B$4),MATCH(DATE($AV$1,MONTH($B$24),M$3),'Сводный годовой график'!$C$7:$AR$7))&lt;&gt;12,INDIRECT(ADDRESS(ROW()+1,COLUMN()))="СП"),8,INDEX('Сводный годовой график'!$C$1:$AR$4,MATCH($C$30,'Сводный годовой график'!$B$1:$B$4),MATCH(DATE($AV$1,MONTH($B$24),M$3),'Сводный годовой график'!$C$7:$AR$7)))</f>
        <v>12</v>
      </c>
      <c r="N30" s="92">
        <f ca="1">IF(AND(INDEX('Сводный годовой график'!$C$1:$AR$4,MATCH($C$30,'Сводный годовой график'!$B$1:$B$4),MATCH(DATE($AV$1,MONTH($B$24),N$3),'Сводный годовой график'!$C$7:$AR$7))&lt;&gt;12,INDIRECT(ADDRESS(ROW()+1,COLUMN()))="СП"),8,INDEX('Сводный годовой график'!$C$1:$AR$4,MATCH($C$30,'Сводный годовой график'!$B$1:$B$4),MATCH(DATE($AV$1,MONTH($B$24),N$3),'Сводный годовой график'!$C$7:$AR$7)))</f>
        <v>0</v>
      </c>
      <c r="O30" s="92">
        <f ca="1">IF(AND(INDEX('Сводный годовой график'!$C$1:$AR$4,MATCH($C$30,'Сводный годовой график'!$B$1:$B$4),MATCH(DATE($AV$1,MONTH($B$24),O$3),'Сводный годовой график'!$C$7:$AR$7))&lt;&gt;12,INDIRECT(ADDRESS(ROW()+1,COLUMN()))="СП"),8,INDEX('Сводный годовой график'!$C$1:$AR$4,MATCH($C$30,'Сводный годовой график'!$B$1:$B$4),MATCH(DATE($AV$1,MONTH($B$24),O$3),'Сводный годовой график'!$C$7:$AR$7)))</f>
        <v>0</v>
      </c>
      <c r="P30" s="92">
        <f ca="1">IF(AND(INDEX('Сводный годовой график'!$C$1:$AR$4,MATCH($C$30,'Сводный годовой график'!$B$1:$B$4),MATCH(DATE($AV$1,MONTH($B$24),P$3),'Сводный годовой график'!$C$7:$AR$7))&lt;&gt;12,INDIRECT(ADDRESS(ROW()+1,COLUMN()))="СП"),8,INDEX('Сводный годовой график'!$C$1:$AR$4,MATCH($C$30,'Сводный годовой график'!$B$1:$B$4),MATCH(DATE($AV$1,MONTH($B$24),P$3),'Сводный годовой график'!$C$7:$AR$7)))</f>
        <v>4</v>
      </c>
      <c r="Q30" s="92">
        <f ca="1">IF(AND(INDEX('Сводный годовой график'!$C$1:$AR$4,MATCH($C$30,'Сводный годовой график'!$B$1:$B$4),MATCH(DATE($AV$1,MONTH($B$24),Q$3),'Сводный годовой график'!$C$7:$AR$7))&lt;&gt;12,INDIRECT(ADDRESS(ROW()+1,COLUMN()))="СП"),8,INDEX('Сводный годовой график'!$C$1:$AR$4,MATCH($C$30,'Сводный годовой график'!$B$1:$B$4),MATCH(DATE($AV$1,MONTH($B$24),Q$3),'Сводный годовой график'!$C$7:$AR$7)))</f>
        <v>8</v>
      </c>
      <c r="R30" s="92">
        <f ca="1">IF(AND(INDEX('Сводный годовой график'!$C$1:$AR$4,MATCH($C$30,'Сводный годовой график'!$B$1:$B$4),MATCH(DATE($AV$1,MONTH($B$24),R$3),'Сводный годовой график'!$C$7:$AR$7))&lt;&gt;12,INDIRECT(ADDRESS(ROW()+1,COLUMN()))="СП"),8,INDEX('Сводный годовой график'!$C$1:$AR$4,MATCH($C$30,'Сводный годовой график'!$B$1:$B$4),MATCH(DATE($AV$1,MONTH($B$24),R$3),'Сводный годовой график'!$C$7:$AR$7)))</f>
        <v>12</v>
      </c>
      <c r="S30" s="92">
        <f ca="1">IF(AND(INDEX('Сводный годовой график'!$C$1:$AR$4,MATCH($C$30,'Сводный годовой график'!$B$1:$B$4),MATCH(DATE($AV$1,MONTH($B$24),S$3),'Сводный годовой график'!$C$7:$AR$7))&lt;&gt;12,INDIRECT(ADDRESS(ROW()+1,COLUMN()))="СП"),8,INDEX('Сводный годовой график'!$C$1:$AR$4,MATCH($C$30,'Сводный годовой график'!$B$1:$B$4),MATCH(DATE($AV$1,MONTH($B$24),S$3),'Сводный годовой график'!$C$7:$AR$7)))</f>
        <v>4</v>
      </c>
      <c r="T30" s="92">
        <f ca="1">IF(AND(INDEX('Сводный годовой график'!$C$1:$AR$4,MATCH($C$30,'Сводный годовой график'!$B$1:$B$4),MATCH(DATE($AV$1,MONTH($B$24),T$3),'Сводный годовой график'!$C$7:$AR$7))&lt;&gt;12,INDIRECT(ADDRESS(ROW()+1,COLUMN()))="СП"),8,INDEX('Сводный годовой график'!$C$1:$AR$4,MATCH($C$30,'Сводный годовой график'!$B$1:$B$4),MATCH(DATE($AV$1,MONTH($B$24),T$3),'Сводный годовой график'!$C$7:$AR$7)))</f>
        <v>8</v>
      </c>
      <c r="U30" s="92">
        <f ca="1">IF(AND(INDEX('Сводный годовой график'!$C$1:$AR$4,MATCH($C$30,'Сводный годовой график'!$B$1:$B$4),MATCH(DATE($AV$1,MONTH($B$24),U$3),'Сводный годовой график'!$C$7:$AR$7))&lt;&gt;12,INDIRECT(ADDRESS(ROW()+1,COLUMN()))="СП"),8,INDEX('Сводный годовой график'!$C$1:$AR$4,MATCH($C$30,'Сводный годовой график'!$B$1:$B$4),MATCH(DATE($AV$1,MONTH($B$24),U$3),'Сводный годовой график'!$C$7:$AR$7)))</f>
        <v>12</v>
      </c>
      <c r="V30" s="92">
        <f ca="1">IF(AND(INDEX('Сводный годовой график'!$C$1:$AR$4,MATCH($C$30,'Сводный годовой график'!$B$1:$B$4),MATCH(DATE($AV$1,MONTH($B$24),V$3),'Сводный годовой график'!$C$7:$AR$7))&lt;&gt;12,INDIRECT(ADDRESS(ROW()+1,COLUMN()))="СП"),8,INDEX('Сводный годовой график'!$C$1:$AR$4,MATCH($C$30,'Сводный годовой график'!$B$1:$B$4),MATCH(DATE($AV$1,MONTH($B$24),V$3),'Сводный годовой график'!$C$7:$AR$7)))</f>
        <v>0</v>
      </c>
      <c r="W30" s="92">
        <f ca="1">IF(AND(INDEX('Сводный годовой график'!$C$1:$AR$4,MATCH($C$30,'Сводный годовой график'!$B$1:$B$4),MATCH(DATE($AV$1,MONTH($B$24),W$3),'Сводный годовой график'!$C$7:$AR$7))&lt;&gt;12,INDIRECT(ADDRESS(ROW()+1,COLUMN()))="СП"),8,INDEX('Сводный годовой график'!$C$1:$AR$4,MATCH($C$30,'Сводный годовой график'!$B$1:$B$4),MATCH(DATE($AV$1,MONTH($B$24),W$3),'Сводный годовой график'!$C$7:$AR$7)))</f>
        <v>0</v>
      </c>
      <c r="X30" s="92">
        <f ca="1">IF(AND(INDEX('Сводный годовой график'!$C$1:$AR$4,MATCH($C$30,'Сводный годовой график'!$B$1:$B$4),MATCH(DATE($AV$1,MONTH($B$24),X$3),'Сводный годовой график'!$C$7:$AR$7))&lt;&gt;12,INDIRECT(ADDRESS(ROW()+1,COLUMN()))="СП"),8,INDEX('Сводный годовой график'!$C$1:$AR$4,MATCH($C$30,'Сводный годовой график'!$B$1:$B$4),MATCH(DATE($AV$1,MONTH($B$24),X$3),'Сводный годовой график'!$C$7:$AR$7)))</f>
        <v>4</v>
      </c>
      <c r="Y30" s="92">
        <f ca="1">IF(AND(INDEX('Сводный годовой график'!$C$1:$AR$4,MATCH($C$30,'Сводный годовой график'!$B$1:$B$4),MATCH(DATE($AV$1,MONTH($B$24),Y$3),'Сводный годовой график'!$C$7:$AR$7))&lt;&gt;12,INDIRECT(ADDRESS(ROW()+1,COLUMN()))="СП"),8,INDEX('Сводный годовой график'!$C$1:$AR$4,MATCH($C$30,'Сводный годовой график'!$B$1:$B$4),MATCH(DATE($AV$1,MONTH($B$24),Y$3),'Сводный годовой график'!$C$7:$AR$7)))</f>
        <v>8</v>
      </c>
      <c r="Z30" s="92">
        <f ca="1">IF(AND(INDEX('Сводный годовой график'!$C$1:$AR$4,MATCH($C$30,'Сводный годовой график'!$B$1:$B$4),MATCH(DATE($AV$1,MONTH($B$24),Z$3),'Сводный годовой график'!$C$7:$AR$7))&lt;&gt;12,INDIRECT(ADDRESS(ROW()+1,COLUMN()))="СП"),8,INDEX('Сводный годовой график'!$C$1:$AR$4,MATCH($C$30,'Сводный годовой график'!$B$1:$B$4),MATCH(DATE($AV$1,MONTH($B$24),Z$3),'Сводный годовой график'!$C$7:$AR$7)))</f>
        <v>12</v>
      </c>
      <c r="AA30" s="92">
        <f ca="1">IF(AND(INDEX('Сводный годовой график'!$C$1:$AR$4,MATCH($C$30,'Сводный годовой график'!$B$1:$B$4),MATCH(DATE($AV$1,MONTH($B$24),AA$3),'Сводный годовой график'!$C$7:$AR$7))&lt;&gt;12,INDIRECT(ADDRESS(ROW()+1,COLUMN()))="СП"),8,INDEX('Сводный годовой график'!$C$1:$AR$4,MATCH($C$30,'Сводный годовой график'!$B$1:$B$4),MATCH(DATE($AV$1,MONTH($B$24),AA$3),'Сводный годовой график'!$C$7:$AR$7)))</f>
        <v>4</v>
      </c>
      <c r="AB30" s="92">
        <f ca="1">IF(AND(INDEX('Сводный годовой график'!$C$1:$AR$4,MATCH($C$30,'Сводный годовой график'!$B$1:$B$4),MATCH(DATE($AV$1,MONTH($B$24),AB$3),'Сводный годовой график'!$C$7:$AR$7))&lt;&gt;12,INDIRECT(ADDRESS(ROW()+1,COLUMN()))="СП"),8,INDEX('Сводный годовой график'!$C$1:$AR$4,MATCH($C$30,'Сводный годовой график'!$B$1:$B$4),MATCH(DATE($AV$1,MONTH($B$24),AB$3),'Сводный годовой график'!$C$7:$AR$7)))</f>
        <v>8</v>
      </c>
      <c r="AC30" s="92">
        <f ca="1">IF(AND(INDEX('Сводный годовой график'!$C$1:$AR$4,MATCH($C$30,'Сводный годовой график'!$B$1:$B$4),MATCH(DATE($AV$1,MONTH($B$24),AC$3),'Сводный годовой график'!$C$7:$AR$7))&lt;&gt;12,INDIRECT(ADDRESS(ROW()+1,COLUMN()))="СП"),8,INDEX('Сводный годовой график'!$C$1:$AR$4,MATCH($C$30,'Сводный годовой график'!$B$1:$B$4),MATCH(DATE($AV$1,MONTH($B$24),AC$3),'Сводный годовой график'!$C$7:$AR$7)))</f>
        <v>12</v>
      </c>
      <c r="AD30" s="92">
        <f ca="1">IF(AND(INDEX('Сводный годовой график'!$C$1:$AR$4,MATCH($C$30,'Сводный годовой график'!$B$1:$B$4),MATCH(DATE($AV$1,MONTH($B$24),AD$3),'Сводный годовой график'!$C$7:$AR$7))&lt;&gt;12,INDIRECT(ADDRESS(ROW()+1,COLUMN()))="СП"),8,INDEX('Сводный годовой график'!$C$1:$AR$4,MATCH($C$30,'Сводный годовой график'!$B$1:$B$4),MATCH(DATE($AV$1,MONTH($B$24),AD$3),'Сводный годовой график'!$C$7:$AR$7)))</f>
        <v>0</v>
      </c>
      <c r="AE30" s="92">
        <f ca="1">IF(AND(INDEX('Сводный годовой график'!$C$1:$AR$4,MATCH($C$30,'Сводный годовой график'!$B$1:$B$4),MATCH(DATE($AV$1,MONTH($B$24),AE$3),'Сводный годовой график'!$C$7:$AR$7))&lt;&gt;12,INDIRECT(ADDRESS(ROW()+1,COLUMN()))="СП"),8,INDEX('Сводный годовой график'!$C$1:$AR$4,MATCH($C$30,'Сводный годовой график'!$B$1:$B$4),MATCH(DATE($AV$1,MONTH($B$24),AE$3),'Сводный годовой график'!$C$7:$AR$7)))</f>
        <v>0</v>
      </c>
      <c r="AF30" s="92">
        <f ca="1">IF(AND(INDEX('Сводный годовой график'!$C$1:$AR$4,MATCH($C$30,'Сводный годовой график'!$B$1:$B$4),MATCH(DATE($AV$1,MONTH($B$24),AF$3),'Сводный годовой график'!$C$7:$AR$7))&lt;&gt;12,INDIRECT(ADDRESS(ROW()+1,COLUMN()))="СП"),8,INDEX('Сводный годовой график'!$C$1:$AR$4,MATCH($C$30,'Сводный годовой график'!$B$1:$B$4),MATCH(DATE($AV$1,MONTH($B$24),AF$3),'Сводный годовой график'!$C$7:$AR$7)))</f>
        <v>4</v>
      </c>
      <c r="AG30" s="92">
        <f ca="1">IF(AND(INDEX('Сводный годовой график'!$C$1:$AR$4,MATCH($C$30,'Сводный годовой график'!$B$1:$B$4),MATCH(DATE($AV$1,MONTH($B$24),AG$3),'Сводный годовой график'!$C$7:$AR$7))&lt;&gt;12,INDIRECT(ADDRESS(ROW()+1,COLUMN()))="СП"),8,INDEX('Сводный годовой график'!$C$1:$AR$4,MATCH($C$30,'Сводный годовой график'!$B$1:$B$4),MATCH(DATE($AV$1,MONTH($B$24),AG$3),'Сводный годовой график'!$C$7:$AR$7)))</f>
        <v>8</v>
      </c>
      <c r="AH30" s="92">
        <f ca="1">IF(AND(INDEX('Сводный годовой график'!$C$1:$AR$4,MATCH($C$30,'Сводный годовой график'!$B$1:$B$4),MATCH(DATE($AV$1,MONTH($B$24),AH$3),'Сводный годовой график'!$C$7:$AR$7))&lt;&gt;12,INDIRECT(ADDRESS(ROW()+1,COLUMN()))="СП"),8,INDEX('Сводный годовой график'!$C$1:$AR$4,MATCH($C$30,'Сводный годовой график'!$B$1:$B$4),MATCH(DATE($AV$1,MONTH($B$24),AH$3),'Сводный годовой график'!$C$7:$AR$7)))</f>
        <v>12</v>
      </c>
      <c r="AI30" s="97">
        <f ca="1">IF(AND(INDEX('Сводный годовой график'!$C$1:$AR$4,MATCH($C$30,'Сводный годовой график'!$B$1:$B$4),MATCH(DATE($AV$1,MONTH($B$24),AI$3),'Сводный годовой график'!$C$7:$AR$7))&lt;&gt;12,INDIRECT(ADDRESS(ROW()+1,COLUMN()))="СП"),8,INDEX('Сводный годовой график'!$C$1:$AR$4,MATCH($C$30,'Сводный годовой график'!$B$1:$B$4),MATCH(DATE($AV$1,MONTH($B$24),AI$3),'Сводный годовой график'!$C$7:$AR$7)))</f>
        <v>4</v>
      </c>
      <c r="AJ30" s="206"/>
      <c r="AK30" s="209">
        <f>$AJ$24-SUM(AY30:CC31)</f>
        <v>167</v>
      </c>
      <c r="AL30" s="209">
        <f t="shared" ref="AL30" ca="1" si="35">SUM(E30:AI31)</f>
        <v>184</v>
      </c>
      <c r="AM30" s="209">
        <f ca="1">SUM(L30)</f>
        <v>8</v>
      </c>
      <c r="AN30" s="211">
        <f t="shared" ref="AN30" ca="1" si="36">-AM30-AK30+AL30</f>
        <v>9</v>
      </c>
      <c r="AO30" s="211">
        <v>0</v>
      </c>
      <c r="AP30" s="211">
        <f ca="1">AN30+AP20-AO30</f>
        <v>25</v>
      </c>
      <c r="AQ30" s="209">
        <v>0</v>
      </c>
      <c r="AR30" s="210">
        <v>1</v>
      </c>
      <c r="CK30" s="59"/>
      <c r="CL30" s="59"/>
      <c r="CM30" s="59"/>
      <c r="CN30" s="59"/>
      <c r="CO30" s="59"/>
      <c r="CP30" s="59"/>
      <c r="CQ30" s="59"/>
      <c r="CR30" s="59"/>
      <c r="CS30" s="59"/>
      <c r="CT30" s="59"/>
      <c r="CU30" s="59"/>
      <c r="CV30" s="59"/>
      <c r="CW30" s="59"/>
      <c r="CX30" s="59"/>
      <c r="CY30" s="59"/>
      <c r="CZ30" s="59"/>
      <c r="DA30" s="59"/>
      <c r="DB30" s="59"/>
      <c r="DC30" s="59"/>
      <c r="DD30" s="59"/>
      <c r="DE30" s="59"/>
      <c r="DF30" s="59"/>
      <c r="DG30" s="59"/>
      <c r="DH30" s="59"/>
      <c r="DI30" s="59"/>
      <c r="DJ30" s="59"/>
      <c r="DK30" s="59"/>
      <c r="DL30" s="59"/>
      <c r="DM30" s="59"/>
      <c r="DN30" s="59"/>
      <c r="DO30" s="59"/>
    </row>
    <row r="31" spans="2:119" ht="16.5" thickBot="1" x14ac:dyDescent="0.3">
      <c r="B31" s="201"/>
      <c r="C31" s="197"/>
      <c r="D31" s="82">
        <v>8</v>
      </c>
      <c r="E31" s="96" t="str">
        <f>IF(INDEX($CK$4:$DO$123,ROW()-3,E$3)=0,"","СП")</f>
        <v/>
      </c>
      <c r="F31" s="92" t="str">
        <f>IF(INDEX($CK$4:$DO$123,ROW()-3,F$3)=0,"","СП")</f>
        <v/>
      </c>
      <c r="G31" s="92" t="str">
        <f>IF(INDEX($CK$4:$DO$123,ROW()-3,G$3)=0,"","СП")</f>
        <v/>
      </c>
      <c r="H31" s="92" t="str">
        <f>IF(INDEX($CK$4:$DO$123,ROW()-3,H$3)=0,"","СП")</f>
        <v/>
      </c>
      <c r="I31" s="92" t="str">
        <f>IF(INDEX($CK$4:$DO$123,ROW()-3,I$3)=0,"","СП")</f>
        <v/>
      </c>
      <c r="J31" s="92" t="str">
        <f>IF(INDEX($CK$4:$DO$123,ROW()-3,J$3)=0,"","СП")</f>
        <v>СП</v>
      </c>
      <c r="K31" s="92" t="str">
        <f>IF(INDEX($CK$4:$DO$123,ROW()-3,K$3)=0,"","СП")</f>
        <v/>
      </c>
      <c r="L31" s="92" t="str">
        <f>IF(INDEX($CK$4:$DO$123,ROW()-3,L$3)=0,"","СП")</f>
        <v/>
      </c>
      <c r="M31" s="92" t="str">
        <f>IF(INDEX($CK$4:$DO$123,ROW()-3,M$3)=0,"","СП")</f>
        <v/>
      </c>
      <c r="N31" s="92" t="str">
        <f>IF(INDEX($CK$4:$DO$123,ROW()-3,N$3)=0,"","СП")</f>
        <v/>
      </c>
      <c r="O31" s="92" t="str">
        <f>IF(INDEX($CK$4:$DO$123,ROW()-3,O$3)=0,"","СП")</f>
        <v/>
      </c>
      <c r="P31" s="92" t="str">
        <f>IF(INDEX($CK$4:$DO$123,ROW()-3,P$3)=0,"","СП")</f>
        <v/>
      </c>
      <c r="Q31" s="92" t="str">
        <f>IF(INDEX($CK$4:$DO$123,ROW()-3,Q$3)=0,"","СП")</f>
        <v/>
      </c>
      <c r="R31" s="92" t="str">
        <f>IF(INDEX($CK$4:$DO$123,ROW()-3,R$3)=0,"","СП")</f>
        <v/>
      </c>
      <c r="S31" s="92" t="str">
        <f>IF(INDEX($CK$4:$DO$123,ROW()-3,S$3)=0,"","СП")</f>
        <v/>
      </c>
      <c r="T31" s="92" t="str">
        <f>IF(INDEX($CK$4:$DO$123,ROW()-3,T$3)=0,"","СП")</f>
        <v/>
      </c>
      <c r="U31" s="92" t="str">
        <f>IF(INDEX($CK$4:$DO$123,ROW()-3,U$3)=0,"","СП")</f>
        <v/>
      </c>
      <c r="V31" s="92" t="str">
        <f>IF(INDEX($CK$4:$DO$123,ROW()-3,V$3)=0,"","СП")</f>
        <v/>
      </c>
      <c r="W31" s="92" t="str">
        <f>IF(INDEX($CK$4:$DO$123,ROW()-3,W$3)=0,"","СП")</f>
        <v/>
      </c>
      <c r="X31" s="92" t="str">
        <f>IF(INDEX($CK$4:$DO$123,ROW()-3,X$3)=0,"","СП")</f>
        <v/>
      </c>
      <c r="Y31" s="92" t="str">
        <f>IF(INDEX($CK$4:$DO$123,ROW()-3,Y$3)=0,"","СП")</f>
        <v/>
      </c>
      <c r="Z31" s="92" t="str">
        <f>IF(INDEX($CK$4:$DO$123,ROW()-3,Z$3)=0,"","СП")</f>
        <v/>
      </c>
      <c r="AA31" s="92" t="str">
        <f>IF(INDEX($CK$4:$DO$123,ROW()-3,AA$3)=0,"","СП")</f>
        <v/>
      </c>
      <c r="AB31" s="92" t="str">
        <f>IF(INDEX($CK$4:$DO$123,ROW()-3,AB$3)=0,"","СП")</f>
        <v/>
      </c>
      <c r="AC31" s="92" t="str">
        <f>IF(INDEX($CK$4:$DO$123,ROW()-3,AC$3)=0,"","СП")</f>
        <v/>
      </c>
      <c r="AD31" s="92" t="str">
        <f>IF(INDEX($CK$4:$DO$123,ROW()-3,AD$3)=0,"","СП")</f>
        <v/>
      </c>
      <c r="AE31" s="92" t="str">
        <f>IF(INDEX($CK$4:$DO$123,ROW()-3,AE$3)=0,"","СП")</f>
        <v/>
      </c>
      <c r="AF31" s="92" t="str">
        <f>IF(INDEX($CK$4:$DO$123,ROW()-3,AF$3)=0,"","СП")</f>
        <v/>
      </c>
      <c r="AG31" s="92" t="str">
        <f>IF(INDEX($CK$4:$DO$123,ROW()-3,AG$3)=0,"","СП")</f>
        <v/>
      </c>
      <c r="AH31" s="92" t="str">
        <f>IF(INDEX($CK$4:$DO$123,ROW()-3,AH$3)=0,"","СП")</f>
        <v/>
      </c>
      <c r="AI31" s="97" t="str">
        <f>IF(INDEX($CK$4:$DO$123,ROW()-3,AI$3)=0,"","СП")</f>
        <v/>
      </c>
      <c r="AJ31" s="206"/>
      <c r="AK31" s="209"/>
      <c r="AL31" s="209"/>
      <c r="AM31" s="209"/>
      <c r="AN31" s="211"/>
      <c r="AO31" s="211"/>
      <c r="AP31" s="211"/>
      <c r="AQ31" s="209"/>
      <c r="AR31" s="210"/>
      <c r="CK31" s="58">
        <f>IF(DAY(INDEX('Сводный годовой график'!$BA$4:$BL$14,$C30,MONTH($B$24)))=E$3,1,0)</f>
        <v>0</v>
      </c>
      <c r="CL31" s="58">
        <f>IF(DAY(INDEX('Сводный годовой график'!$BA$4:$BL$14,$C30,MONTH($B$24)))=F$3,1,0)</f>
        <v>0</v>
      </c>
      <c r="CM31" s="58">
        <f>IF(DAY(INDEX('Сводный годовой график'!$BA$4:$BL$14,$C30,MONTH($B$24)))=G$3,1,0)</f>
        <v>0</v>
      </c>
      <c r="CN31" s="58">
        <f>IF(DAY(INDEX('Сводный годовой график'!$BA$4:$BL$14,$C30,MONTH($B$24)))=H$3,1,0)</f>
        <v>0</v>
      </c>
      <c r="CO31" s="58">
        <f>IF(DAY(INDEX('Сводный годовой график'!$BA$4:$BL$14,$C30,MONTH($B$24)))=I$3,1,0)</f>
        <v>0</v>
      </c>
      <c r="CP31" s="58">
        <f>IF(DAY(INDEX('Сводный годовой график'!$BA$4:$BL$14,$C30,MONTH($B$24)))=J$3,1,0)</f>
        <v>1</v>
      </c>
      <c r="CQ31" s="58">
        <f>IF(DAY(INDEX('Сводный годовой график'!$BA$4:$BL$14,$C30,MONTH($B$24)))=K$3,1,0)</f>
        <v>0</v>
      </c>
      <c r="CR31" s="58">
        <f>IF(DAY(INDEX('Сводный годовой график'!$BA$4:$BL$14,$C30,MONTH($B$24)))=L$3,1,0)</f>
        <v>0</v>
      </c>
      <c r="CS31" s="58">
        <f>IF(DAY(INDEX('Сводный годовой график'!$BA$4:$BL$14,$C30,MONTH($B$24)))=M$3,1,0)</f>
        <v>0</v>
      </c>
      <c r="CT31" s="58">
        <f>IF(DAY(INDEX('Сводный годовой график'!$BA$4:$BL$14,$C30,MONTH($B$24)))=N$3,1,0)</f>
        <v>0</v>
      </c>
      <c r="CU31" s="58">
        <f>IF(DAY(INDEX('Сводный годовой график'!$BA$4:$BL$14,$C30,MONTH($B$24)))=O$3,1,0)</f>
        <v>0</v>
      </c>
      <c r="CV31" s="58">
        <f>IF(DAY(INDEX('Сводный годовой график'!$BA$4:$BL$14,$C30,MONTH($B$24)))=P$3,1,0)</f>
        <v>0</v>
      </c>
      <c r="CW31" s="58">
        <f>IF(DAY(INDEX('Сводный годовой график'!$BA$4:$BL$14,$C30,MONTH($B$24)))=Q$3,1,0)</f>
        <v>0</v>
      </c>
      <c r="CX31" s="58">
        <f>IF(DAY(INDEX('Сводный годовой график'!$BA$4:$BL$14,$C30,MONTH($B$24)))=R$3,1,0)</f>
        <v>0</v>
      </c>
      <c r="CY31" s="58">
        <f>IF(DAY(INDEX('Сводный годовой график'!$BA$4:$BL$14,$C30,MONTH($B$24)))=S$3,1,0)</f>
        <v>0</v>
      </c>
      <c r="CZ31" s="58">
        <f>IF(DAY(INDEX('Сводный годовой график'!$BA$4:$BL$14,$C30,MONTH($B$24)))=T$3,1,0)</f>
        <v>0</v>
      </c>
      <c r="DA31" s="58">
        <f>IF(DAY(INDEX('Сводный годовой график'!$BA$4:$BL$14,$C30,MONTH($B$24)))=U$3,1,0)</f>
        <v>0</v>
      </c>
      <c r="DB31" s="58">
        <f>IF(DAY(INDEX('Сводный годовой график'!$BA$4:$BL$14,$C30,MONTH($B$24)))=V$3,1,0)</f>
        <v>0</v>
      </c>
      <c r="DC31" s="58">
        <f>IF(DAY(INDEX('Сводный годовой график'!$BA$4:$BL$14,$C30,MONTH($B$24)))=W$3,1,0)</f>
        <v>0</v>
      </c>
      <c r="DD31" s="58">
        <f>IF(DAY(INDEX('Сводный годовой график'!$BA$4:$BL$14,$C30,MONTH($B$24)))=X$3,1,0)</f>
        <v>0</v>
      </c>
      <c r="DE31" s="58">
        <f>IF(DAY(INDEX('Сводный годовой график'!$BA$4:$BL$14,$C30,MONTH($B$24)))=Y$3,1,0)</f>
        <v>0</v>
      </c>
      <c r="DF31" s="58">
        <f>IF(DAY(INDEX('Сводный годовой график'!$BA$4:$BL$14,$C30,MONTH($B$24)))=Z$3,1,0)</f>
        <v>0</v>
      </c>
      <c r="DG31" s="58">
        <f>IF(DAY(INDEX('Сводный годовой график'!$BA$4:$BL$14,$C30,MONTH($B$24)))=AA$3,1,0)</f>
        <v>0</v>
      </c>
      <c r="DH31" s="58">
        <f>IF(DAY(INDEX('Сводный годовой график'!$BA$4:$BL$14,$C30,MONTH($B$24)))=AB$3,1,0)</f>
        <v>0</v>
      </c>
      <c r="DI31" s="58">
        <f>IF(DAY(INDEX('Сводный годовой график'!$BA$4:$BL$14,$C30,MONTH($B$24)))=AC$3,1,0)</f>
        <v>0</v>
      </c>
      <c r="DJ31" s="58">
        <f>IF(DAY(INDEX('Сводный годовой график'!$BA$4:$BL$14,$C30,MONTH($B$24)))=AD$3,1,0)</f>
        <v>0</v>
      </c>
      <c r="DK31" s="58">
        <f>IF(DAY(INDEX('Сводный годовой график'!$BA$4:$BL$14,$C30,MONTH($B$24)))=AE$3,1,0)</f>
        <v>0</v>
      </c>
      <c r="DL31" s="58">
        <f>IF(DAY(INDEX('Сводный годовой график'!$BA$4:$BL$14,$C30,MONTH($B$24)))=AF$3,1,0)</f>
        <v>0</v>
      </c>
      <c r="DM31" s="58">
        <f>IF(DAY(INDEX('Сводный годовой график'!$BA$4:$BL$14,$C30,MONTH($B$24)))=AG$3,1,0)</f>
        <v>0</v>
      </c>
      <c r="DN31" s="58">
        <f>IF(DAY(INDEX('Сводный годовой график'!$BA$4:$BL$14,$C30,MONTH($B$24)))=AH$3,1,0)</f>
        <v>0</v>
      </c>
      <c r="DO31" s="58">
        <f>IF(DAY(INDEX('Сводный годовой график'!$BA$4:$BL$14,$C30,MONTH($B$24)))=AI$3,1,0)</f>
        <v>0</v>
      </c>
    </row>
    <row r="32" spans="2:119" ht="16.5" thickBot="1" x14ac:dyDescent="0.3">
      <c r="B32" s="201"/>
      <c r="C32" s="196">
        <v>5</v>
      </c>
      <c r="D32" s="81">
        <v>9</v>
      </c>
      <c r="E32" s="96" t="s">
        <v>36</v>
      </c>
      <c r="F32" s="92" t="s">
        <v>36</v>
      </c>
      <c r="G32" s="92" t="s">
        <v>36</v>
      </c>
      <c r="H32" s="92" t="s">
        <v>36</v>
      </c>
      <c r="I32" s="92" t="s">
        <v>36</v>
      </c>
      <c r="J32" s="92" t="s">
        <v>36</v>
      </c>
      <c r="K32" s="92" t="s">
        <v>36</v>
      </c>
      <c r="L32" s="92" t="s">
        <v>36</v>
      </c>
      <c r="M32" s="92" t="s">
        <v>36</v>
      </c>
      <c r="N32" s="92" t="s">
        <v>36</v>
      </c>
      <c r="O32" s="92" t="s">
        <v>36</v>
      </c>
      <c r="P32" s="92" t="s">
        <v>36</v>
      </c>
      <c r="Q32" s="92" t="s">
        <v>36</v>
      </c>
      <c r="R32" s="92" t="s">
        <v>36</v>
      </c>
      <c r="S32" s="92" t="s">
        <v>36</v>
      </c>
      <c r="T32" s="92" t="s">
        <v>36</v>
      </c>
      <c r="U32" s="92" t="s">
        <v>36</v>
      </c>
      <c r="V32" s="92" t="s">
        <v>36</v>
      </c>
      <c r="W32" s="92" t="s">
        <v>36</v>
      </c>
      <c r="X32" s="92" t="s">
        <v>36</v>
      </c>
      <c r="Y32" s="92" t="s">
        <v>36</v>
      </c>
      <c r="Z32" s="92" t="s">
        <v>36</v>
      </c>
      <c r="AA32" s="92" t="s">
        <v>36</v>
      </c>
      <c r="AB32" s="92" t="s">
        <v>36</v>
      </c>
      <c r="AC32" s="92" t="s">
        <v>36</v>
      </c>
      <c r="AD32" s="92" t="s">
        <v>36</v>
      </c>
      <c r="AE32" s="92" t="s">
        <v>36</v>
      </c>
      <c r="AF32" s="92" t="s">
        <v>36</v>
      </c>
      <c r="AG32" s="92" t="s">
        <v>36</v>
      </c>
      <c r="AH32" s="92" t="s">
        <v>36</v>
      </c>
      <c r="AI32" s="97" t="s">
        <v>36</v>
      </c>
      <c r="AJ32" s="206"/>
      <c r="AK32" s="209">
        <f>$AJ$24-SUM(AY32:CC33)</f>
        <v>167</v>
      </c>
      <c r="AL32" s="209">
        <f t="shared" ref="AL32" si="37">SUM(E32:AI33)</f>
        <v>0</v>
      </c>
      <c r="AM32" s="209">
        <f>SUM(L32)</f>
        <v>0</v>
      </c>
      <c r="AN32" s="211">
        <f t="shared" ref="AN32" si="38">-AM32-AK32+AL32</f>
        <v>-167</v>
      </c>
      <c r="AO32" s="211">
        <v>12</v>
      </c>
      <c r="AP32" s="211">
        <f>AN32+AP22-AO32</f>
        <v>-475</v>
      </c>
      <c r="AQ32" s="209">
        <v>0</v>
      </c>
      <c r="AR32" s="210">
        <v>1</v>
      </c>
      <c r="CK32" s="59"/>
      <c r="CL32" s="59"/>
      <c r="CM32" s="59"/>
      <c r="CN32" s="59"/>
      <c r="CO32" s="59"/>
      <c r="CP32" s="59"/>
      <c r="CQ32" s="59"/>
      <c r="CR32" s="59"/>
      <c r="CS32" s="59"/>
      <c r="CT32" s="59"/>
      <c r="CU32" s="59"/>
      <c r="CV32" s="59"/>
      <c r="CW32" s="59"/>
      <c r="CX32" s="59"/>
      <c r="CY32" s="59"/>
      <c r="CZ32" s="59"/>
      <c r="DA32" s="59"/>
      <c r="DB32" s="59"/>
      <c r="DC32" s="59"/>
      <c r="DD32" s="59"/>
      <c r="DE32" s="59"/>
      <c r="DF32" s="59"/>
      <c r="DG32" s="59"/>
      <c r="DH32" s="59"/>
      <c r="DI32" s="59"/>
      <c r="DJ32" s="59"/>
      <c r="DK32" s="59"/>
      <c r="DL32" s="59"/>
      <c r="DM32" s="59"/>
      <c r="DN32" s="59"/>
      <c r="DO32" s="59"/>
    </row>
    <row r="33" spans="2:119" ht="16.5" thickBot="1" x14ac:dyDescent="0.3">
      <c r="B33" s="201"/>
      <c r="C33" s="212"/>
      <c r="D33" s="99">
        <v>10</v>
      </c>
      <c r="E33" s="87" t="str">
        <f>IF(INDEX($CK$4:$DO$123,ROW()-3,E$3)=0,"","СП")</f>
        <v/>
      </c>
      <c r="F33" s="30" t="str">
        <f>IF(INDEX($CK$4:$DO$123,ROW()-3,F$3)=0,"","СП")</f>
        <v/>
      </c>
      <c r="G33" s="30" t="str">
        <f>IF(INDEX($CK$4:$DO$123,ROW()-3,G$3)=0,"","СП")</f>
        <v/>
      </c>
      <c r="H33" s="30" t="str">
        <f>IF(INDEX($CK$4:$DO$123,ROW()-3,H$3)=0,"","СП")</f>
        <v/>
      </c>
      <c r="I33" s="30" t="str">
        <f>IF(INDEX($CK$4:$DO$123,ROW()-3,I$3)=0,"","СП")</f>
        <v/>
      </c>
      <c r="J33" s="30" t="str">
        <f>IF(INDEX($CK$4:$DO$123,ROW()-3,J$3)=0,"","СП")</f>
        <v/>
      </c>
      <c r="K33" s="30" t="str">
        <f>IF(INDEX($CK$4:$DO$123,ROW()-3,K$3)=0,"","СП")</f>
        <v>СП</v>
      </c>
      <c r="L33" s="30" t="str">
        <f>IF(INDEX($CK$4:$DO$123,ROW()-3,L$3)=0,"","СП")</f>
        <v/>
      </c>
      <c r="M33" s="30" t="str">
        <f>IF(INDEX($CK$4:$DO$123,ROW()-3,M$3)=0,"","СП")</f>
        <v/>
      </c>
      <c r="N33" s="30" t="str">
        <f>IF(INDEX($CK$4:$DO$123,ROW()-3,N$3)=0,"","СП")</f>
        <v/>
      </c>
      <c r="O33" s="30" t="str">
        <f>IF(INDEX($CK$4:$DO$123,ROW()-3,O$3)=0,"","СП")</f>
        <v/>
      </c>
      <c r="P33" s="30" t="str">
        <f>IF(INDEX($CK$4:$DO$123,ROW()-3,P$3)=0,"","СП")</f>
        <v/>
      </c>
      <c r="Q33" s="30" t="str">
        <f>IF(INDEX($CK$4:$DO$123,ROW()-3,Q$3)=0,"","СП")</f>
        <v/>
      </c>
      <c r="R33" s="30" t="str">
        <f>IF(INDEX($CK$4:$DO$123,ROW()-3,R$3)=0,"","СП")</f>
        <v/>
      </c>
      <c r="S33" s="30" t="str">
        <f>IF(INDEX($CK$4:$DO$123,ROW()-3,S$3)=0,"","СП")</f>
        <v/>
      </c>
      <c r="T33" s="30" t="str">
        <f>IF(INDEX($CK$4:$DO$123,ROW()-3,T$3)=0,"","СП")</f>
        <v/>
      </c>
      <c r="U33" s="30" t="str">
        <f>IF(INDEX($CK$4:$DO$123,ROW()-3,U$3)=0,"","СП")</f>
        <v/>
      </c>
      <c r="V33" s="30" t="str">
        <f>IF(INDEX($CK$4:$DO$123,ROW()-3,V$3)=0,"","СП")</f>
        <v/>
      </c>
      <c r="W33" s="30" t="str">
        <f>IF(INDEX($CK$4:$DO$123,ROW()-3,W$3)=0,"","СП")</f>
        <v/>
      </c>
      <c r="X33" s="30" t="str">
        <f>IF(INDEX($CK$4:$DO$123,ROW()-3,X$3)=0,"","СП")</f>
        <v/>
      </c>
      <c r="Y33" s="30" t="str">
        <f>IF(INDEX($CK$4:$DO$123,ROW()-3,Y$3)=0,"","СП")</f>
        <v/>
      </c>
      <c r="Z33" s="30" t="str">
        <f>IF(INDEX($CK$4:$DO$123,ROW()-3,Z$3)=0,"","СП")</f>
        <v/>
      </c>
      <c r="AA33" s="30" t="str">
        <f>IF(INDEX($CK$4:$DO$123,ROW()-3,AA$3)=0,"","СП")</f>
        <v/>
      </c>
      <c r="AB33" s="30" t="str">
        <f>IF(INDEX($CK$4:$DO$123,ROW()-3,AB$3)=0,"","СП")</f>
        <v/>
      </c>
      <c r="AC33" s="30" t="str">
        <f>IF(INDEX($CK$4:$DO$123,ROW()-3,AC$3)=0,"","СП")</f>
        <v/>
      </c>
      <c r="AD33" s="30" t="str">
        <f>IF(INDEX($CK$4:$DO$123,ROW()-3,AD$3)=0,"","СП")</f>
        <v/>
      </c>
      <c r="AE33" s="30" t="str">
        <f>IF(INDEX($CK$4:$DO$123,ROW()-3,AE$3)=0,"","СП")</f>
        <v/>
      </c>
      <c r="AF33" s="30" t="str">
        <f>IF(INDEX($CK$4:$DO$123,ROW()-3,AF$3)=0,"","СП")</f>
        <v/>
      </c>
      <c r="AG33" s="30" t="str">
        <f>IF(INDEX($CK$4:$DO$123,ROW()-3,AG$3)=0,"","СП")</f>
        <v/>
      </c>
      <c r="AH33" s="30" t="str">
        <f>IF(INDEX($CK$4:$DO$123,ROW()-3,AH$3)=0,"","СП")</f>
        <v/>
      </c>
      <c r="AI33" s="91" t="str">
        <f>IF(INDEX($CK$4:$DO$123,ROW()-3,AI$3)=0,"","СП")</f>
        <v/>
      </c>
      <c r="AJ33" s="207"/>
      <c r="AK33" s="213"/>
      <c r="AL33" s="213"/>
      <c r="AM33" s="213"/>
      <c r="AN33" s="214"/>
      <c r="AO33" s="214"/>
      <c r="AP33" s="214"/>
      <c r="AQ33" s="213"/>
      <c r="AR33" s="215"/>
      <c r="CK33" s="58">
        <f>IF(DAY(INDEX('Сводный годовой график'!$BA$4:$BL$14,$C32,MONTH($B$24)))=E$3,1,0)</f>
        <v>0</v>
      </c>
      <c r="CL33" s="58">
        <f>IF(DAY(INDEX('Сводный годовой график'!$BA$4:$BL$14,$C32,MONTH($B$24)))=F$3,1,0)</f>
        <v>0</v>
      </c>
      <c r="CM33" s="58">
        <f>IF(DAY(INDEX('Сводный годовой график'!$BA$4:$BL$14,$C32,MONTH($B$24)))=G$3,1,0)</f>
        <v>0</v>
      </c>
      <c r="CN33" s="58">
        <f>IF(DAY(INDEX('Сводный годовой график'!$BA$4:$BL$14,$C32,MONTH($B$24)))=H$3,1,0)</f>
        <v>0</v>
      </c>
      <c r="CO33" s="58">
        <f>IF(DAY(INDEX('Сводный годовой график'!$BA$4:$BL$14,$C32,MONTH($B$24)))=I$3,1,0)</f>
        <v>0</v>
      </c>
      <c r="CP33" s="58">
        <f>IF(DAY(INDEX('Сводный годовой график'!$BA$4:$BL$14,$C32,MONTH($B$24)))=J$3,1,0)</f>
        <v>0</v>
      </c>
      <c r="CQ33" s="58">
        <f>IF(DAY(INDEX('Сводный годовой график'!$BA$4:$BL$14,$C32,MONTH($B$24)))=K$3,1,0)</f>
        <v>1</v>
      </c>
      <c r="CR33" s="58">
        <f>IF(DAY(INDEX('Сводный годовой график'!$BA$4:$BL$14,$C32,MONTH($B$24)))=L$3,1,0)</f>
        <v>0</v>
      </c>
      <c r="CS33" s="58">
        <f>IF(DAY(INDEX('Сводный годовой график'!$BA$4:$BL$14,$C32,MONTH($B$24)))=M$3,1,0)</f>
        <v>0</v>
      </c>
      <c r="CT33" s="58">
        <f>IF(DAY(INDEX('Сводный годовой график'!$BA$4:$BL$14,$C32,MONTH($B$24)))=N$3,1,0)</f>
        <v>0</v>
      </c>
      <c r="CU33" s="58">
        <f>IF(DAY(INDEX('Сводный годовой график'!$BA$4:$BL$14,$C32,MONTH($B$24)))=O$3,1,0)</f>
        <v>0</v>
      </c>
      <c r="CV33" s="58">
        <f>IF(DAY(INDEX('Сводный годовой график'!$BA$4:$BL$14,$C32,MONTH($B$24)))=P$3,1,0)</f>
        <v>0</v>
      </c>
      <c r="CW33" s="58">
        <f>IF(DAY(INDEX('Сводный годовой график'!$BA$4:$BL$14,$C32,MONTH($B$24)))=Q$3,1,0)</f>
        <v>0</v>
      </c>
      <c r="CX33" s="58">
        <f>IF(DAY(INDEX('Сводный годовой график'!$BA$4:$BL$14,$C32,MONTH($B$24)))=R$3,1,0)</f>
        <v>0</v>
      </c>
      <c r="CY33" s="58">
        <f>IF(DAY(INDEX('Сводный годовой график'!$BA$4:$BL$14,$C32,MONTH($B$24)))=S$3,1,0)</f>
        <v>0</v>
      </c>
      <c r="CZ33" s="58">
        <f>IF(DAY(INDEX('Сводный годовой график'!$BA$4:$BL$14,$C32,MONTH($B$24)))=T$3,1,0)</f>
        <v>0</v>
      </c>
      <c r="DA33" s="58">
        <f>IF(DAY(INDEX('Сводный годовой график'!$BA$4:$BL$14,$C32,MONTH($B$24)))=U$3,1,0)</f>
        <v>0</v>
      </c>
      <c r="DB33" s="58">
        <f>IF(DAY(INDEX('Сводный годовой график'!$BA$4:$BL$14,$C32,MONTH($B$24)))=V$3,1,0)</f>
        <v>0</v>
      </c>
      <c r="DC33" s="58">
        <f>IF(DAY(INDEX('Сводный годовой график'!$BA$4:$BL$14,$C32,MONTH($B$24)))=W$3,1,0)</f>
        <v>0</v>
      </c>
      <c r="DD33" s="58">
        <f>IF(DAY(INDEX('Сводный годовой график'!$BA$4:$BL$14,$C32,MONTH($B$24)))=X$3,1,0)</f>
        <v>0</v>
      </c>
      <c r="DE33" s="58">
        <f>IF(DAY(INDEX('Сводный годовой график'!$BA$4:$BL$14,$C32,MONTH($B$24)))=Y$3,1,0)</f>
        <v>0</v>
      </c>
      <c r="DF33" s="58">
        <f>IF(DAY(INDEX('Сводный годовой график'!$BA$4:$BL$14,$C32,MONTH($B$24)))=Z$3,1,0)</f>
        <v>0</v>
      </c>
      <c r="DG33" s="58">
        <f>IF(DAY(INDEX('Сводный годовой график'!$BA$4:$BL$14,$C32,MONTH($B$24)))=AA$3,1,0)</f>
        <v>0</v>
      </c>
      <c r="DH33" s="58">
        <f>IF(DAY(INDEX('Сводный годовой график'!$BA$4:$BL$14,$C32,MONTH($B$24)))=AB$3,1,0)</f>
        <v>0</v>
      </c>
      <c r="DI33" s="58">
        <f>IF(DAY(INDEX('Сводный годовой график'!$BA$4:$BL$14,$C32,MONTH($B$24)))=AC$3,1,0)</f>
        <v>0</v>
      </c>
      <c r="DJ33" s="58">
        <f>IF(DAY(INDEX('Сводный годовой график'!$BA$4:$BL$14,$C32,MONTH($B$24)))=AD$3,1,0)</f>
        <v>0</v>
      </c>
      <c r="DK33" s="58">
        <f>IF(DAY(INDEX('Сводный годовой график'!$BA$4:$BL$14,$C32,MONTH($B$24)))=AE$3,1,0)</f>
        <v>0</v>
      </c>
      <c r="DL33" s="58">
        <f>IF(DAY(INDEX('Сводный годовой график'!$BA$4:$BL$14,$C32,MONTH($B$24)))=AF$3,1,0)</f>
        <v>0</v>
      </c>
      <c r="DM33" s="58">
        <f>IF(DAY(INDEX('Сводный годовой график'!$BA$4:$BL$14,$C32,MONTH($B$24)))=AG$3,1,0)</f>
        <v>0</v>
      </c>
      <c r="DN33" s="58">
        <f>IF(DAY(INDEX('Сводный годовой график'!$BA$4:$BL$14,$C32,MONTH($B$24)))=AH$3,1,0)</f>
        <v>0</v>
      </c>
      <c r="DO33" s="58">
        <f>IF(DAY(INDEX('Сводный годовой график'!$BA$4:$BL$14,$C32,MONTH($B$24)))=AI$3,1,0)</f>
        <v>0</v>
      </c>
    </row>
    <row r="34" spans="2:119" ht="17.25" customHeight="1" thickTop="1" thickBot="1" x14ac:dyDescent="0.3">
      <c r="B34" s="200">
        <f>DATE($AV$1,4,1)</f>
        <v>45748</v>
      </c>
      <c r="C34" s="196">
        <v>1</v>
      </c>
      <c r="D34" s="81">
        <v>1</v>
      </c>
      <c r="E34" s="83">
        <f ca="1">IF(AND(INDEX('Сводный годовой график'!$C$1:$AR$4,MATCH($C$34,'Сводный годовой график'!$B$1:$B$4),MATCH(DATE($AV$1,MONTH($B$34),E$3),'Сводный годовой график'!$C$8:$AR$8))&lt;&gt;12,INDIRECT(ADDRESS(ROW()+1,COLUMN()))="СП"),8,INDEX('Сводный годовой график'!$C$1:$AR$4,MATCH($C$34,'Сводный годовой график'!$B$1:$B$4),MATCH(DATE($AV$1,MONTH($B$34),E$3),'Сводный годовой график'!$C$8:$AR$8)))</f>
        <v>4</v>
      </c>
      <c r="F34" s="28">
        <f ca="1">IF(AND(INDEX('Сводный годовой график'!$C$1:$AR$4,MATCH($C$34,'Сводный годовой график'!$B$1:$B$4),MATCH(DATE($AV$1,MONTH($B$34),F$3),'Сводный годовой график'!$C$8:$AR$8))&lt;&gt;12,INDIRECT(ADDRESS(ROW()+1,COLUMN()))="СП"),8,INDEX('Сводный годовой график'!$C$1:$AR$4,MATCH($C$34,'Сводный годовой график'!$B$1:$B$4),MATCH(DATE($AV$1,MONTH($B$34),F$3),'Сводный годовой график'!$C$8:$AR$8)))</f>
        <v>8</v>
      </c>
      <c r="G34" s="28">
        <f ca="1">IF(AND(INDEX('Сводный годовой график'!$C$1:$AR$4,MATCH($C$34,'Сводный годовой график'!$B$1:$B$4),MATCH(DATE($AV$1,MONTH($B$34),G$3),'Сводный годовой график'!$C$8:$AR$8))&lt;&gt;12,INDIRECT(ADDRESS(ROW()+1,COLUMN()))="СП"),8,INDEX('Сводный годовой график'!$C$1:$AR$4,MATCH($C$34,'Сводный годовой график'!$B$1:$B$4),MATCH(DATE($AV$1,MONTH($B$34),G$3),'Сводный годовой график'!$C$8:$AR$8)))</f>
        <v>12</v>
      </c>
      <c r="H34" s="28">
        <f ca="1">IF(AND(INDEX('Сводный годовой график'!$C$1:$AR$4,MATCH($C$34,'Сводный годовой график'!$B$1:$B$4),MATCH(DATE($AV$1,MONTH($B$34),H$3),'Сводный годовой график'!$C$8:$AR$8))&lt;&gt;12,INDIRECT(ADDRESS(ROW()+1,COLUMN()))="СП"),8,INDEX('Сводный годовой график'!$C$1:$AR$4,MATCH($C$34,'Сводный годовой график'!$B$1:$B$4),MATCH(DATE($AV$1,MONTH($B$34),H$3),'Сводный годовой график'!$C$8:$AR$8)))</f>
        <v>8</v>
      </c>
      <c r="I34" s="28">
        <f ca="1">IF(AND(INDEX('Сводный годовой график'!$C$1:$AR$4,MATCH($C$34,'Сводный годовой график'!$B$1:$B$4),MATCH(DATE($AV$1,MONTH($B$34),I$3),'Сводный годовой график'!$C$8:$AR$8))&lt;&gt;12,INDIRECT(ADDRESS(ROW()+1,COLUMN()))="СП"),8,INDEX('Сводный годовой график'!$C$1:$AR$4,MATCH($C$34,'Сводный годовой график'!$B$1:$B$4),MATCH(DATE($AV$1,MONTH($B$34),I$3),'Сводный годовой график'!$C$8:$AR$8)))</f>
        <v>8</v>
      </c>
      <c r="J34" s="28">
        <f ca="1">IF(AND(INDEX('Сводный годовой график'!$C$1:$AR$4,MATCH($C$34,'Сводный годовой график'!$B$1:$B$4),MATCH(DATE($AV$1,MONTH($B$34),J$3),'Сводный годовой график'!$C$8:$AR$8))&lt;&gt;12,INDIRECT(ADDRESS(ROW()+1,COLUMN()))="СП"),8,INDEX('Сводный годовой график'!$C$1:$AR$4,MATCH($C$34,'Сводный годовой график'!$B$1:$B$4),MATCH(DATE($AV$1,MONTH($B$34),J$3),'Сводный годовой график'!$C$8:$AR$8)))</f>
        <v>12</v>
      </c>
      <c r="K34" s="28">
        <f ca="1">IF(AND(INDEX('Сводный годовой график'!$C$1:$AR$4,MATCH($C$34,'Сводный годовой график'!$B$1:$B$4),MATCH(DATE($AV$1,MONTH($B$34),K$3),'Сводный годовой график'!$C$8:$AR$8))&lt;&gt;12,INDIRECT(ADDRESS(ROW()+1,COLUMN()))="СП"),8,INDEX('Сводный годовой график'!$C$1:$AR$4,MATCH($C$34,'Сводный годовой график'!$B$1:$B$4),MATCH(DATE($AV$1,MONTH($B$34),K$3),'Сводный годовой график'!$C$8:$AR$8)))</f>
        <v>0</v>
      </c>
      <c r="L34" s="28">
        <f ca="1">IF(AND(INDEX('Сводный годовой график'!$C$1:$AR$4,MATCH($C$34,'Сводный годовой график'!$B$1:$B$4),MATCH(DATE($AV$1,MONTH($B$34),L$3),'Сводный годовой график'!$C$8:$AR$8))&lt;&gt;12,INDIRECT(ADDRESS(ROW()+1,COLUMN()))="СП"),8,INDEX('Сводный годовой график'!$C$1:$AR$4,MATCH($C$34,'Сводный годовой график'!$B$1:$B$4),MATCH(DATE($AV$1,MONTH($B$34),L$3),'Сводный годовой график'!$C$8:$AR$8)))</f>
        <v>0</v>
      </c>
      <c r="M34" s="28">
        <f ca="1">IF(AND(INDEX('Сводный годовой график'!$C$1:$AR$4,MATCH($C$34,'Сводный годовой график'!$B$1:$B$4),MATCH(DATE($AV$1,MONTH($B$34),M$3),'Сводный годовой график'!$C$8:$AR$8))&lt;&gt;12,INDIRECT(ADDRESS(ROW()+1,COLUMN()))="СП"),8,INDEX('Сводный годовой график'!$C$1:$AR$4,MATCH($C$34,'Сводный годовой график'!$B$1:$B$4),MATCH(DATE($AV$1,MONTH($B$34),M$3),'Сводный годовой график'!$C$8:$AR$8)))</f>
        <v>4</v>
      </c>
      <c r="N34" s="28">
        <f ca="1">IF(AND(INDEX('Сводный годовой график'!$C$1:$AR$4,MATCH($C$34,'Сводный годовой график'!$B$1:$B$4),MATCH(DATE($AV$1,MONTH($B$34),N$3),'Сводный годовой график'!$C$8:$AR$8))&lt;&gt;12,INDIRECT(ADDRESS(ROW()+1,COLUMN()))="СП"),8,INDEX('Сводный годовой график'!$C$1:$AR$4,MATCH($C$34,'Сводный годовой график'!$B$1:$B$4),MATCH(DATE($AV$1,MONTH($B$34),N$3),'Сводный годовой график'!$C$8:$AR$8)))</f>
        <v>8</v>
      </c>
      <c r="O34" s="28">
        <f ca="1">IF(AND(INDEX('Сводный годовой график'!$C$1:$AR$4,MATCH($C$34,'Сводный годовой график'!$B$1:$B$4),MATCH(DATE($AV$1,MONTH($B$34),O$3),'Сводный годовой график'!$C$8:$AR$8))&lt;&gt;12,INDIRECT(ADDRESS(ROW()+1,COLUMN()))="СП"),8,INDEX('Сводный годовой график'!$C$1:$AR$4,MATCH($C$34,'Сводный годовой график'!$B$1:$B$4),MATCH(DATE($AV$1,MONTH($B$34),O$3),'Сводный годовой график'!$C$8:$AR$8)))</f>
        <v>12</v>
      </c>
      <c r="P34" s="28">
        <f ca="1">IF(AND(INDEX('Сводный годовой график'!$C$1:$AR$4,MATCH($C$34,'Сводный годовой график'!$B$1:$B$4),MATCH(DATE($AV$1,MONTH($B$34),P$3),'Сводный годовой график'!$C$8:$AR$8))&lt;&gt;12,INDIRECT(ADDRESS(ROW()+1,COLUMN()))="СП"),8,INDEX('Сводный годовой график'!$C$1:$AR$4,MATCH($C$34,'Сводный годовой график'!$B$1:$B$4),MATCH(DATE($AV$1,MONTH($B$34),P$3),'Сводный годовой график'!$C$8:$AR$8)))</f>
        <v>4</v>
      </c>
      <c r="Q34" s="28">
        <f ca="1">IF(AND(INDEX('Сводный годовой график'!$C$1:$AR$4,MATCH($C$34,'Сводный годовой график'!$B$1:$B$4),MATCH(DATE($AV$1,MONTH($B$34),Q$3),'Сводный годовой график'!$C$8:$AR$8))&lt;&gt;12,INDIRECT(ADDRESS(ROW()+1,COLUMN()))="СП"),8,INDEX('Сводный годовой график'!$C$1:$AR$4,MATCH($C$34,'Сводный годовой график'!$B$1:$B$4),MATCH(DATE($AV$1,MONTH($B$34),Q$3),'Сводный годовой график'!$C$8:$AR$8)))</f>
        <v>8</v>
      </c>
      <c r="R34" s="28">
        <f ca="1">IF(AND(INDEX('Сводный годовой график'!$C$1:$AR$4,MATCH($C$34,'Сводный годовой график'!$B$1:$B$4),MATCH(DATE($AV$1,MONTH($B$34),R$3),'Сводный годовой график'!$C$8:$AR$8))&lt;&gt;12,INDIRECT(ADDRESS(ROW()+1,COLUMN()))="СП"),8,INDEX('Сводный годовой график'!$C$1:$AR$4,MATCH($C$34,'Сводный годовой график'!$B$1:$B$4),MATCH(DATE($AV$1,MONTH($B$34),R$3),'Сводный годовой график'!$C$8:$AR$8)))</f>
        <v>12</v>
      </c>
      <c r="S34" s="28">
        <f ca="1">IF(AND(INDEX('Сводный годовой график'!$C$1:$AR$4,MATCH($C$34,'Сводный годовой график'!$B$1:$B$4),MATCH(DATE($AV$1,MONTH($B$34),S$3),'Сводный годовой график'!$C$8:$AR$8))&lt;&gt;12,INDIRECT(ADDRESS(ROW()+1,COLUMN()))="СП"),8,INDEX('Сводный годовой график'!$C$1:$AR$4,MATCH($C$34,'Сводный годовой график'!$B$1:$B$4),MATCH(DATE($AV$1,MONTH($B$34),S$3),'Сводный годовой график'!$C$8:$AR$8)))</f>
        <v>0</v>
      </c>
      <c r="T34" s="28">
        <f ca="1">IF(AND(INDEX('Сводный годовой график'!$C$1:$AR$4,MATCH($C$34,'Сводный годовой график'!$B$1:$B$4),MATCH(DATE($AV$1,MONTH($B$34),T$3),'Сводный годовой график'!$C$8:$AR$8))&lt;&gt;12,INDIRECT(ADDRESS(ROW()+1,COLUMN()))="СП"),8,INDEX('Сводный годовой график'!$C$1:$AR$4,MATCH($C$34,'Сводный годовой график'!$B$1:$B$4),MATCH(DATE($AV$1,MONTH($B$34),T$3),'Сводный годовой график'!$C$8:$AR$8)))</f>
        <v>0</v>
      </c>
      <c r="U34" s="28">
        <f ca="1">IF(AND(INDEX('Сводный годовой график'!$C$1:$AR$4,MATCH($C$34,'Сводный годовой график'!$B$1:$B$4),MATCH(DATE($AV$1,MONTH($B$34),U$3),'Сводный годовой график'!$C$8:$AR$8))&lt;&gt;12,INDIRECT(ADDRESS(ROW()+1,COLUMN()))="СП"),8,INDEX('Сводный годовой график'!$C$1:$AR$4,MATCH($C$34,'Сводный годовой график'!$B$1:$B$4),MATCH(DATE($AV$1,MONTH($B$34),U$3),'Сводный годовой график'!$C$8:$AR$8)))</f>
        <v>4</v>
      </c>
      <c r="V34" s="28">
        <f ca="1">IF(AND(INDEX('Сводный годовой график'!$C$1:$AR$4,MATCH($C$34,'Сводный годовой график'!$B$1:$B$4),MATCH(DATE($AV$1,MONTH($B$34),V$3),'Сводный годовой график'!$C$8:$AR$8))&lt;&gt;12,INDIRECT(ADDRESS(ROW()+1,COLUMN()))="СП"),8,INDEX('Сводный годовой график'!$C$1:$AR$4,MATCH($C$34,'Сводный годовой график'!$B$1:$B$4),MATCH(DATE($AV$1,MONTH($B$34),V$3),'Сводный годовой график'!$C$8:$AR$8)))</f>
        <v>8</v>
      </c>
      <c r="W34" s="28">
        <f ca="1">IF(AND(INDEX('Сводный годовой график'!$C$1:$AR$4,MATCH($C$34,'Сводный годовой график'!$B$1:$B$4),MATCH(DATE($AV$1,MONTH($B$34),W$3),'Сводный годовой график'!$C$8:$AR$8))&lt;&gt;12,INDIRECT(ADDRESS(ROW()+1,COLUMN()))="СП"),8,INDEX('Сводный годовой график'!$C$1:$AR$4,MATCH($C$34,'Сводный годовой график'!$B$1:$B$4),MATCH(DATE($AV$1,MONTH($B$34),W$3),'Сводный годовой график'!$C$8:$AR$8)))</f>
        <v>12</v>
      </c>
      <c r="X34" s="28">
        <f ca="1">IF(AND(INDEX('Сводный годовой график'!$C$1:$AR$4,MATCH($C$34,'Сводный годовой график'!$B$1:$B$4),MATCH(DATE($AV$1,MONTH($B$34),X$3),'Сводный годовой график'!$C$8:$AR$8))&lt;&gt;12,INDIRECT(ADDRESS(ROW()+1,COLUMN()))="СП"),8,INDEX('Сводный годовой график'!$C$1:$AR$4,MATCH($C$34,'Сводный годовой график'!$B$1:$B$4),MATCH(DATE($AV$1,MONTH($B$34),X$3),'Сводный годовой график'!$C$8:$AR$8)))</f>
        <v>4</v>
      </c>
      <c r="Y34" s="28">
        <f ca="1">IF(AND(INDEX('Сводный годовой график'!$C$1:$AR$4,MATCH($C$34,'Сводный годовой график'!$B$1:$B$4),MATCH(DATE($AV$1,MONTH($B$34),Y$3),'Сводный годовой график'!$C$8:$AR$8))&lt;&gt;12,INDIRECT(ADDRESS(ROW()+1,COLUMN()))="СП"),8,INDEX('Сводный годовой график'!$C$1:$AR$4,MATCH($C$34,'Сводный годовой график'!$B$1:$B$4),MATCH(DATE($AV$1,MONTH($B$34),Y$3),'Сводный годовой график'!$C$8:$AR$8)))</f>
        <v>8</v>
      </c>
      <c r="Z34" s="28">
        <f ca="1">IF(AND(INDEX('Сводный годовой график'!$C$1:$AR$4,MATCH($C$34,'Сводный годовой график'!$B$1:$B$4),MATCH(DATE($AV$1,MONTH($B$34),Z$3),'Сводный годовой график'!$C$8:$AR$8))&lt;&gt;12,INDIRECT(ADDRESS(ROW()+1,COLUMN()))="СП"),8,INDEX('Сводный годовой график'!$C$1:$AR$4,MATCH($C$34,'Сводный годовой график'!$B$1:$B$4),MATCH(DATE($AV$1,MONTH($B$34),Z$3),'Сводный годовой график'!$C$8:$AR$8)))</f>
        <v>12</v>
      </c>
      <c r="AA34" s="28">
        <f ca="1">IF(AND(INDEX('Сводный годовой график'!$C$1:$AR$4,MATCH($C$34,'Сводный годовой график'!$B$1:$B$4),MATCH(DATE($AV$1,MONTH($B$34),AA$3),'Сводный годовой график'!$C$8:$AR$8))&lt;&gt;12,INDIRECT(ADDRESS(ROW()+1,COLUMN()))="СП"),8,INDEX('Сводный годовой график'!$C$1:$AR$4,MATCH($C$34,'Сводный годовой график'!$B$1:$B$4),MATCH(DATE($AV$1,MONTH($B$34),AA$3),'Сводный годовой график'!$C$8:$AR$8)))</f>
        <v>0</v>
      </c>
      <c r="AB34" s="28">
        <f ca="1">IF(AND(INDEX('Сводный годовой график'!$C$1:$AR$4,MATCH($C$34,'Сводный годовой график'!$B$1:$B$4),MATCH(DATE($AV$1,MONTH($B$34),AB$3),'Сводный годовой график'!$C$8:$AR$8))&lt;&gt;12,INDIRECT(ADDRESS(ROW()+1,COLUMN()))="СП"),8,INDEX('Сводный годовой график'!$C$1:$AR$4,MATCH($C$34,'Сводный годовой график'!$B$1:$B$4),MATCH(DATE($AV$1,MONTH($B$34),AB$3),'Сводный годовой график'!$C$8:$AR$8)))</f>
        <v>0</v>
      </c>
      <c r="AC34" s="28">
        <f ca="1">IF(AND(INDEX('Сводный годовой график'!$C$1:$AR$4,MATCH($C$34,'Сводный годовой график'!$B$1:$B$4),MATCH(DATE($AV$1,MONTH($B$34),AC$3),'Сводный годовой график'!$C$8:$AR$8))&lt;&gt;12,INDIRECT(ADDRESS(ROW()+1,COLUMN()))="СП"),8,INDEX('Сводный годовой график'!$C$1:$AR$4,MATCH($C$34,'Сводный годовой график'!$B$1:$B$4),MATCH(DATE($AV$1,MONTH($B$34),AC$3),'Сводный годовой график'!$C$8:$AR$8)))</f>
        <v>4</v>
      </c>
      <c r="AD34" s="28">
        <f ca="1">IF(AND(INDEX('Сводный годовой график'!$C$1:$AR$4,MATCH($C$34,'Сводный годовой график'!$B$1:$B$4),MATCH(DATE($AV$1,MONTH($B$34),AD$3),'Сводный годовой график'!$C$8:$AR$8))&lt;&gt;12,INDIRECT(ADDRESS(ROW()+1,COLUMN()))="СП"),8,INDEX('Сводный годовой график'!$C$1:$AR$4,MATCH($C$34,'Сводный годовой график'!$B$1:$B$4),MATCH(DATE($AV$1,MONTH($B$34),AD$3),'Сводный годовой график'!$C$8:$AR$8)))</f>
        <v>8</v>
      </c>
      <c r="AE34" s="28">
        <f ca="1">IF(AND(INDEX('Сводный годовой график'!$C$1:$AR$4,MATCH($C$34,'Сводный годовой график'!$B$1:$B$4),MATCH(DATE($AV$1,MONTH($B$34),AE$3),'Сводный годовой график'!$C$8:$AR$8))&lt;&gt;12,INDIRECT(ADDRESS(ROW()+1,COLUMN()))="СП"),8,INDEX('Сводный годовой график'!$C$1:$AR$4,MATCH($C$34,'Сводный годовой график'!$B$1:$B$4),MATCH(DATE($AV$1,MONTH($B$34),AE$3),'Сводный годовой график'!$C$8:$AR$8)))</f>
        <v>12</v>
      </c>
      <c r="AF34" s="28">
        <f ca="1">IF(AND(INDEX('Сводный годовой график'!$C$1:$AR$4,MATCH($C$34,'Сводный годовой график'!$B$1:$B$4),MATCH(DATE($AV$1,MONTH($B$34),AF$3),'Сводный годовой график'!$C$8:$AR$8))&lt;&gt;12,INDIRECT(ADDRESS(ROW()+1,COLUMN()))="СП"),8,INDEX('Сводный годовой график'!$C$1:$AR$4,MATCH($C$34,'Сводный годовой график'!$B$1:$B$4),MATCH(DATE($AV$1,MONTH($B$34),AF$3),'Сводный годовой график'!$C$8:$AR$8)))</f>
        <v>4</v>
      </c>
      <c r="AG34" s="28">
        <f ca="1">IF(AND(INDEX('Сводный годовой график'!$C$1:$AR$4,MATCH($C$34,'Сводный годовой график'!$B$1:$B$4),MATCH(DATE($AV$1,MONTH($B$34),AG$3),'Сводный годовой график'!$C$8:$AR$8))&lt;&gt;12,INDIRECT(ADDRESS(ROW()+1,COLUMN()))="СП"),8,INDEX('Сводный годовой график'!$C$1:$AR$4,MATCH($C$34,'Сводный годовой график'!$B$1:$B$4),MATCH(DATE($AV$1,MONTH($B$34),AG$3),'Сводный годовой график'!$C$8:$AR$8)))</f>
        <v>8</v>
      </c>
      <c r="AH34" s="28">
        <f ca="1">IF(AND(INDEX('Сводный годовой график'!$C$1:$AR$4,MATCH($C$34,'Сводный годовой график'!$B$1:$B$4),MATCH(DATE($AV$1,MONTH($B$34),AH$3),'Сводный годовой график'!$C$8:$AR$8))&lt;&gt;12,INDIRECT(ADDRESS(ROW()+1,COLUMN()))="СП"),8,INDEX('Сводный годовой график'!$C$1:$AR$4,MATCH($C$34,'Сводный годовой график'!$B$1:$B$4),MATCH(DATE($AV$1,MONTH($B$34),AH$3),'Сводный годовой график'!$C$8:$AR$8)))</f>
        <v>12</v>
      </c>
      <c r="AI34" s="109"/>
      <c r="AJ34" s="205">
        <f>INDEX(Подключения!$D$3:$H$14,MONTH(B34),5)</f>
        <v>175</v>
      </c>
      <c r="AK34" s="203">
        <f>$AJ$34-SUM(AY34:CC35)</f>
        <v>175</v>
      </c>
      <c r="AL34" s="203">
        <f t="shared" ref="AL34" ca="1" si="39">SUM(E34:AI35)</f>
        <v>196</v>
      </c>
      <c r="AM34" s="203">
        <v>0</v>
      </c>
      <c r="AN34" s="208">
        <f t="shared" ref="AN34" ca="1" si="40">-AM34-AK34+AL34</f>
        <v>21</v>
      </c>
      <c r="AO34" s="208">
        <v>12</v>
      </c>
      <c r="AP34" s="208">
        <f ca="1">AN34+AP24-AO34</f>
        <v>0</v>
      </c>
      <c r="AQ34" s="203">
        <v>0</v>
      </c>
      <c r="AR34" s="204">
        <v>1</v>
      </c>
      <c r="CK34" s="59"/>
      <c r="CL34" s="59"/>
      <c r="CM34" s="59"/>
      <c r="CN34" s="59"/>
      <c r="CO34" s="59"/>
      <c r="CP34" s="59"/>
      <c r="CQ34" s="59"/>
      <c r="CR34" s="59"/>
      <c r="CS34" s="59"/>
      <c r="CT34" s="59"/>
      <c r="CU34" s="59"/>
      <c r="CV34" s="59"/>
      <c r="CW34" s="59"/>
      <c r="CX34" s="59"/>
      <c r="CY34" s="59"/>
      <c r="CZ34" s="59"/>
      <c r="DA34" s="59"/>
      <c r="DB34" s="59"/>
      <c r="DC34" s="59"/>
      <c r="DD34" s="59"/>
      <c r="DE34" s="59"/>
      <c r="DF34" s="59"/>
      <c r="DG34" s="59"/>
      <c r="DH34" s="59"/>
      <c r="DI34" s="59"/>
      <c r="DJ34" s="59"/>
      <c r="DK34" s="59"/>
      <c r="DL34" s="59"/>
      <c r="DM34" s="59"/>
      <c r="DN34" s="59"/>
      <c r="DO34" s="59"/>
    </row>
    <row r="35" spans="2:119" ht="16.5" thickBot="1" x14ac:dyDescent="0.3">
      <c r="B35" s="201"/>
      <c r="C35" s="197"/>
      <c r="D35" s="82">
        <v>2</v>
      </c>
      <c r="E35" s="96" t="str">
        <f>IF(INDEX($CK$4:$DO$123,ROW()-3,E$3)=0,"","СП")</f>
        <v/>
      </c>
      <c r="F35" s="92" t="str">
        <f>IF(INDEX($CK$4:$DO$123,ROW()-3,F$3)=0,"","СП")</f>
        <v/>
      </c>
      <c r="G35" s="92" t="str">
        <f>IF(INDEX($CK$4:$DO$123,ROW()-3,G$3)=0,"","СП")</f>
        <v/>
      </c>
      <c r="H35" s="92" t="str">
        <f>IF(INDEX($CK$4:$DO$123,ROW()-3,H$3)=0,"","СП")</f>
        <v>СП</v>
      </c>
      <c r="I35" s="92" t="str">
        <f>IF(INDEX($CK$4:$DO$123,ROW()-3,I$3)=0,"","СП")</f>
        <v/>
      </c>
      <c r="J35" s="92" t="str">
        <f>IF(INDEX($CK$4:$DO$123,ROW()-3,J$3)=0,"","СП")</f>
        <v/>
      </c>
      <c r="K35" s="92" t="str">
        <f>IF(INDEX($CK$4:$DO$123,ROW()-3,K$3)=0,"","СП")</f>
        <v/>
      </c>
      <c r="L35" s="92" t="str">
        <f>IF(INDEX($CK$4:$DO$123,ROW()-3,L$3)=0,"","СП")</f>
        <v/>
      </c>
      <c r="M35" s="92" t="str">
        <f>IF(INDEX($CK$4:$DO$123,ROW()-3,M$3)=0,"","СП")</f>
        <v/>
      </c>
      <c r="N35" s="92" t="str">
        <f>IF(INDEX($CK$4:$DO$123,ROW()-3,N$3)=0,"","СП")</f>
        <v/>
      </c>
      <c r="O35" s="92" t="str">
        <f>IF(INDEX($CK$4:$DO$123,ROW()-3,O$3)=0,"","СП")</f>
        <v/>
      </c>
      <c r="P35" s="92" t="str">
        <f>IF(INDEX($CK$4:$DO$123,ROW()-3,P$3)=0,"","СП")</f>
        <v/>
      </c>
      <c r="Q35" s="92" t="str">
        <f>IF(INDEX($CK$4:$DO$123,ROW()-3,Q$3)=0,"","СП")</f>
        <v/>
      </c>
      <c r="R35" s="92" t="str">
        <f>IF(INDEX($CK$4:$DO$123,ROW()-3,R$3)=0,"","СП")</f>
        <v/>
      </c>
      <c r="S35" s="92" t="str">
        <f>IF(INDEX($CK$4:$DO$123,ROW()-3,S$3)=0,"","СП")</f>
        <v/>
      </c>
      <c r="T35" s="92" t="str">
        <f>IF(INDEX($CK$4:$DO$123,ROW()-3,T$3)=0,"","СП")</f>
        <v/>
      </c>
      <c r="U35" s="92" t="str">
        <f>IF(INDEX($CK$4:$DO$123,ROW()-3,U$3)=0,"","СП")</f>
        <v/>
      </c>
      <c r="V35" s="92" t="str">
        <f>IF(INDEX($CK$4:$DO$123,ROW()-3,V$3)=0,"","СП")</f>
        <v/>
      </c>
      <c r="W35" s="92" t="str">
        <f>IF(INDEX($CK$4:$DO$123,ROW()-3,W$3)=0,"","СП")</f>
        <v/>
      </c>
      <c r="X35" s="92" t="str">
        <f>IF(INDEX($CK$4:$DO$123,ROW()-3,X$3)=0,"","СП")</f>
        <v/>
      </c>
      <c r="Y35" s="92" t="str">
        <f>IF(INDEX($CK$4:$DO$123,ROW()-3,Y$3)=0,"","СП")</f>
        <v/>
      </c>
      <c r="Z35" s="92" t="str">
        <f>IF(INDEX($CK$4:$DO$123,ROW()-3,Z$3)=0,"","СП")</f>
        <v/>
      </c>
      <c r="AA35" s="92" t="str">
        <f>IF(INDEX($CK$4:$DO$123,ROW()-3,AA$3)=0,"","СП")</f>
        <v/>
      </c>
      <c r="AB35" s="92" t="str">
        <f>IF(INDEX($CK$4:$DO$123,ROW()-3,AB$3)=0,"","СП")</f>
        <v/>
      </c>
      <c r="AC35" s="92" t="str">
        <f>IF(INDEX($CK$4:$DO$123,ROW()-3,AC$3)=0,"","СП")</f>
        <v/>
      </c>
      <c r="AD35" s="92" t="str">
        <f>IF(INDEX($CK$4:$DO$123,ROW()-3,AD$3)=0,"","СП")</f>
        <v/>
      </c>
      <c r="AE35" s="92" t="str">
        <f>IF(INDEX($CK$4:$DO$123,ROW()-3,AE$3)=0,"","СП")</f>
        <v/>
      </c>
      <c r="AF35" s="92" t="str">
        <f>IF(INDEX($CK$4:$DO$123,ROW()-3,AF$3)=0,"","СП")</f>
        <v/>
      </c>
      <c r="AG35" s="92" t="str">
        <f>IF(INDEX($CK$4:$DO$123,ROW()-3,AG$3)=0,"","СП")</f>
        <v/>
      </c>
      <c r="AH35" s="92" t="str">
        <f>IF(INDEX($CK$4:$DO$123,ROW()-3,AH$3)=0,"","СП")</f>
        <v/>
      </c>
      <c r="AI35" s="110"/>
      <c r="AJ35" s="206"/>
      <c r="AK35" s="177"/>
      <c r="AL35" s="177"/>
      <c r="AM35" s="177"/>
      <c r="AN35" s="198"/>
      <c r="AO35" s="198"/>
      <c r="AP35" s="198"/>
      <c r="AQ35" s="177"/>
      <c r="AR35" s="179"/>
      <c r="CK35" s="58">
        <f>IF(DAY(INDEX('Сводный годовой график'!$BA$4:$BL$14,$C34,MONTH($B$34)))=E$3,1,0)</f>
        <v>0</v>
      </c>
      <c r="CL35" s="58">
        <f>IF(DAY(INDEX('Сводный годовой график'!$BA$4:$BL$14,$C34,MONTH($B$34)))=F$3,1,0)</f>
        <v>0</v>
      </c>
      <c r="CM35" s="58">
        <f>IF(DAY(INDEX('Сводный годовой график'!$BA$4:$BL$14,$C34,MONTH($B$34)))=G$3,1,0)</f>
        <v>0</v>
      </c>
      <c r="CN35" s="58">
        <f>IF(DAY(INDEX('Сводный годовой график'!$BA$4:$BL$14,$C34,MONTH($B$34)))=H$3,1,0)</f>
        <v>1</v>
      </c>
      <c r="CO35" s="58">
        <f>IF(DAY(INDEX('Сводный годовой график'!$BA$4:$BL$14,$C34,MONTH($B$34)))=I$3,1,0)</f>
        <v>0</v>
      </c>
      <c r="CP35" s="58">
        <f>IF(DAY(INDEX('Сводный годовой график'!$BA$4:$BL$14,$C34,MONTH($B$34)))=J$3,1,0)</f>
        <v>0</v>
      </c>
      <c r="CQ35" s="58">
        <f>IF(DAY(INDEX('Сводный годовой график'!$BA$4:$BL$14,$C34,MONTH($B$34)))=K$3,1,0)</f>
        <v>0</v>
      </c>
      <c r="CR35" s="58">
        <f>IF(DAY(INDEX('Сводный годовой график'!$BA$4:$BL$14,$C34,MONTH($B$34)))=L$3,1,0)</f>
        <v>0</v>
      </c>
      <c r="CS35" s="58">
        <f>IF(DAY(INDEX('Сводный годовой график'!$BA$4:$BL$14,$C34,MONTH($B$34)))=M$3,1,0)</f>
        <v>0</v>
      </c>
      <c r="CT35" s="58">
        <f>IF(DAY(INDEX('Сводный годовой график'!$BA$4:$BL$14,$C34,MONTH($B$34)))=N$3,1,0)</f>
        <v>0</v>
      </c>
      <c r="CU35" s="58">
        <f>IF(DAY(INDEX('Сводный годовой график'!$BA$4:$BL$14,$C34,MONTH($B$34)))=O$3,1,0)</f>
        <v>0</v>
      </c>
      <c r="CV35" s="58">
        <f>IF(DAY(INDEX('Сводный годовой график'!$BA$4:$BL$14,$C34,MONTH($B$34)))=P$3,1,0)</f>
        <v>0</v>
      </c>
      <c r="CW35" s="58">
        <f>IF(DAY(INDEX('Сводный годовой график'!$BA$4:$BL$14,$C34,MONTH($B$34)))=Q$3,1,0)</f>
        <v>0</v>
      </c>
      <c r="CX35" s="58">
        <f>IF(DAY(INDEX('Сводный годовой график'!$BA$4:$BL$14,$C34,MONTH($B$34)))=R$3,1,0)</f>
        <v>0</v>
      </c>
      <c r="CY35" s="58">
        <f>IF(DAY(INDEX('Сводный годовой график'!$BA$4:$BL$14,$C34,MONTH($B$34)))=S$3,1,0)</f>
        <v>0</v>
      </c>
      <c r="CZ35" s="58">
        <f>IF(DAY(INDEX('Сводный годовой график'!$BA$4:$BL$14,$C34,MONTH($B$34)))=T$3,1,0)</f>
        <v>0</v>
      </c>
      <c r="DA35" s="58">
        <f>IF(DAY(INDEX('Сводный годовой график'!$BA$4:$BL$14,$C34,MONTH($B$34)))=U$3,1,0)</f>
        <v>0</v>
      </c>
      <c r="DB35" s="58">
        <f>IF(DAY(INDEX('Сводный годовой график'!$BA$4:$BL$14,$C34,MONTH($B$34)))=V$3,1,0)</f>
        <v>0</v>
      </c>
      <c r="DC35" s="58">
        <f>IF(DAY(INDEX('Сводный годовой график'!$BA$4:$BL$14,$C34,MONTH($B$34)))=W$3,1,0)</f>
        <v>0</v>
      </c>
      <c r="DD35" s="58">
        <f>IF(DAY(INDEX('Сводный годовой график'!$BA$4:$BL$14,$C34,MONTH($B$34)))=X$3,1,0)</f>
        <v>0</v>
      </c>
      <c r="DE35" s="58">
        <f>IF(DAY(INDEX('Сводный годовой график'!$BA$4:$BL$14,$C34,MONTH($B$34)))=Y$3,1,0)</f>
        <v>0</v>
      </c>
      <c r="DF35" s="58">
        <f>IF(DAY(INDEX('Сводный годовой график'!$BA$4:$BL$14,$C34,MONTH($B$34)))=Z$3,1,0)</f>
        <v>0</v>
      </c>
      <c r="DG35" s="58">
        <f>IF(DAY(INDEX('Сводный годовой график'!$BA$4:$BL$14,$C34,MONTH($B$34)))=AA$3,1,0)</f>
        <v>0</v>
      </c>
      <c r="DH35" s="58">
        <f>IF(DAY(INDEX('Сводный годовой график'!$BA$4:$BL$14,$C34,MONTH($B$34)))=AB$3,1,0)</f>
        <v>0</v>
      </c>
      <c r="DI35" s="58">
        <f>IF(DAY(INDEX('Сводный годовой график'!$BA$4:$BL$14,$C34,MONTH($B$34)))=AC$3,1,0)</f>
        <v>0</v>
      </c>
      <c r="DJ35" s="58">
        <f>IF(DAY(INDEX('Сводный годовой график'!$BA$4:$BL$14,$C34,MONTH($B$34)))=AD$3,1,0)</f>
        <v>0</v>
      </c>
      <c r="DK35" s="58">
        <f>IF(DAY(INDEX('Сводный годовой график'!$BA$4:$BL$14,$C34,MONTH($B$34)))=AE$3,1,0)</f>
        <v>0</v>
      </c>
      <c r="DL35" s="58">
        <f>IF(DAY(INDEX('Сводный годовой график'!$BA$4:$BL$14,$C34,MONTH($B$34)))=AF$3,1,0)</f>
        <v>0</v>
      </c>
      <c r="DM35" s="58">
        <f>IF(DAY(INDEX('Сводный годовой график'!$BA$4:$BL$14,$C34,MONTH($B$34)))=AG$3,1,0)</f>
        <v>0</v>
      </c>
      <c r="DN35" s="58">
        <f>IF(DAY(INDEX('Сводный годовой график'!$BA$4:$BL$14,$C34,MONTH($B$34)))=AH$3,1,0)</f>
        <v>0</v>
      </c>
      <c r="DO35" s="58">
        <f>IF(DAY(INDEX('Сводный годовой график'!$BA$4:$BL$14,$C34,MONTH($B$34)))=AI$3,1,0)</f>
        <v>0</v>
      </c>
    </row>
    <row r="36" spans="2:119" ht="16.5" thickBot="1" x14ac:dyDescent="0.3">
      <c r="B36" s="201"/>
      <c r="C36" s="196">
        <v>2</v>
      </c>
      <c r="D36" s="81">
        <v>3</v>
      </c>
      <c r="E36" s="96">
        <f ca="1">IF(AND(INDEX('Сводный годовой график'!$C$1:$AR$4,MATCH($C$36,'Сводный годовой график'!$B$1:$B$4),MATCH(DATE($AV$1,MONTH($B$34),E$3),'Сводный годовой график'!$C$8:$AR$8))&lt;&gt;12,INDIRECT(ADDRESS(ROW()+1,COLUMN()))="СП"),8,INDEX('Сводный годовой график'!$C$1:$AR$4,MATCH($C$36,'Сводный годовой график'!$B$1:$B$4),MATCH(DATE($AV$1,MONTH($B$34),E$3),'Сводный годовой график'!$C$8:$AR$8)))</f>
        <v>12</v>
      </c>
      <c r="F36" s="92">
        <f ca="1">IF(AND(INDEX('Сводный годовой график'!$C$1:$AR$4,MATCH($C$36,'Сводный годовой график'!$B$1:$B$4),MATCH(DATE($AV$1,MONTH($B$34),F$3),'Сводный годовой график'!$C$8:$AR$8))&lt;&gt;12,INDIRECT(ADDRESS(ROW()+1,COLUMN()))="СП"),8,INDEX('Сводный годовой график'!$C$1:$AR$4,MATCH($C$36,'Сводный годовой график'!$B$1:$B$4),MATCH(DATE($AV$1,MONTH($B$34),F$3),'Сводный годовой график'!$C$8:$AR$8)))</f>
        <v>4</v>
      </c>
      <c r="G36" s="92">
        <f ca="1">IF(AND(INDEX('Сводный годовой график'!$C$1:$AR$4,MATCH($C$36,'Сводный годовой график'!$B$1:$B$4),MATCH(DATE($AV$1,MONTH($B$34),G$3),'Сводный годовой график'!$C$8:$AR$8))&lt;&gt;12,INDIRECT(ADDRESS(ROW()+1,COLUMN()))="СП"),8,INDEX('Сводный годовой график'!$C$1:$AR$4,MATCH($C$36,'Сводный годовой график'!$B$1:$B$4),MATCH(DATE($AV$1,MONTH($B$34),G$3),'Сводный годовой график'!$C$8:$AR$8)))</f>
        <v>8</v>
      </c>
      <c r="H36" s="92">
        <f ca="1">IF(AND(INDEX('Сводный годовой график'!$C$1:$AR$4,MATCH($C$36,'Сводный годовой график'!$B$1:$B$4),MATCH(DATE($AV$1,MONTH($B$34),H$3),'Сводный годовой график'!$C$8:$AR$8))&lt;&gt;12,INDIRECT(ADDRESS(ROW()+1,COLUMN()))="СП"),8,INDEX('Сводный годовой график'!$C$1:$AR$4,MATCH($C$36,'Сводный годовой график'!$B$1:$B$4),MATCH(DATE($AV$1,MONTH($B$34),H$3),'Сводный годовой график'!$C$8:$AR$8)))</f>
        <v>12</v>
      </c>
      <c r="I36" s="92">
        <f ca="1">IF(AND(INDEX('Сводный годовой график'!$C$1:$AR$4,MATCH($C$36,'Сводный годовой график'!$B$1:$B$4),MATCH(DATE($AV$1,MONTH($B$34),I$3),'Сводный годовой график'!$C$8:$AR$8))&lt;&gt;12,INDIRECT(ADDRESS(ROW()+1,COLUMN()))="СП"),8,INDEX('Сводный годовой график'!$C$1:$AR$4,MATCH($C$36,'Сводный годовой график'!$B$1:$B$4),MATCH(DATE($AV$1,MONTH($B$34),I$3),'Сводный годовой график'!$C$8:$AR$8)))</f>
        <v>8</v>
      </c>
      <c r="J36" s="92">
        <f ca="1">IF(AND(INDEX('Сводный годовой график'!$C$1:$AR$4,MATCH($C$36,'Сводный годовой график'!$B$1:$B$4),MATCH(DATE($AV$1,MONTH($B$34),J$3),'Сводный годовой график'!$C$8:$AR$8))&lt;&gt;12,INDIRECT(ADDRESS(ROW()+1,COLUMN()))="СП"),8,INDEX('Сводный годовой график'!$C$1:$AR$4,MATCH($C$36,'Сводный годовой график'!$B$1:$B$4),MATCH(DATE($AV$1,MONTH($B$34),J$3),'Сводный годовой график'!$C$8:$AR$8)))</f>
        <v>0</v>
      </c>
      <c r="K36" s="92">
        <f ca="1">IF(AND(INDEX('Сводный годовой график'!$C$1:$AR$4,MATCH($C$36,'Сводный годовой график'!$B$1:$B$4),MATCH(DATE($AV$1,MONTH($B$34),K$3),'Сводный годовой график'!$C$8:$AR$8))&lt;&gt;12,INDIRECT(ADDRESS(ROW()+1,COLUMN()))="СП"),8,INDEX('Сводный годовой график'!$C$1:$AR$4,MATCH($C$36,'Сводный годовой график'!$B$1:$B$4),MATCH(DATE($AV$1,MONTH($B$34),K$3),'Сводный годовой график'!$C$8:$AR$8)))</f>
        <v>4</v>
      </c>
      <c r="L36" s="92">
        <f ca="1">IF(AND(INDEX('Сводный годовой график'!$C$1:$AR$4,MATCH($C$36,'Сводный годовой график'!$B$1:$B$4),MATCH(DATE($AV$1,MONTH($B$34),L$3),'Сводный годовой график'!$C$8:$AR$8))&lt;&gt;12,INDIRECT(ADDRESS(ROW()+1,COLUMN()))="СП"),8,INDEX('Сводный годовой график'!$C$1:$AR$4,MATCH($C$36,'Сводный годовой график'!$B$1:$B$4),MATCH(DATE($AV$1,MONTH($B$34),L$3),'Сводный годовой график'!$C$8:$AR$8)))</f>
        <v>8</v>
      </c>
      <c r="M36" s="92">
        <f ca="1">IF(AND(INDEX('Сводный годовой график'!$C$1:$AR$4,MATCH($C$36,'Сводный годовой график'!$B$1:$B$4),MATCH(DATE($AV$1,MONTH($B$34),M$3),'Сводный годовой график'!$C$8:$AR$8))&lt;&gt;12,INDIRECT(ADDRESS(ROW()+1,COLUMN()))="СП"),8,INDEX('Сводный годовой график'!$C$1:$AR$4,MATCH($C$36,'Сводный годовой график'!$B$1:$B$4),MATCH(DATE($AV$1,MONTH($B$34),M$3),'Сводный годовой график'!$C$8:$AR$8)))</f>
        <v>12</v>
      </c>
      <c r="N36" s="92">
        <f ca="1">IF(AND(INDEX('Сводный годовой график'!$C$1:$AR$4,MATCH($C$36,'Сводный годовой график'!$B$1:$B$4),MATCH(DATE($AV$1,MONTH($B$34),N$3),'Сводный годовой график'!$C$8:$AR$8))&lt;&gt;12,INDIRECT(ADDRESS(ROW()+1,COLUMN()))="СП"),8,INDEX('Сводный годовой график'!$C$1:$AR$4,MATCH($C$36,'Сводный годовой график'!$B$1:$B$4),MATCH(DATE($AV$1,MONTH($B$34),N$3),'Сводный годовой график'!$C$8:$AR$8)))</f>
        <v>4</v>
      </c>
      <c r="O36" s="92">
        <f ca="1">IF(AND(INDEX('Сводный годовой график'!$C$1:$AR$4,MATCH($C$36,'Сводный годовой график'!$B$1:$B$4),MATCH(DATE($AV$1,MONTH($B$34),O$3),'Сводный годовой график'!$C$8:$AR$8))&lt;&gt;12,INDIRECT(ADDRESS(ROW()+1,COLUMN()))="СП"),8,INDEX('Сводный годовой график'!$C$1:$AR$4,MATCH($C$36,'Сводный годовой график'!$B$1:$B$4),MATCH(DATE($AV$1,MONTH($B$34),O$3),'Сводный годовой график'!$C$8:$AR$8)))</f>
        <v>8</v>
      </c>
      <c r="P36" s="92">
        <f ca="1">IF(AND(INDEX('Сводный годовой график'!$C$1:$AR$4,MATCH($C$36,'Сводный годовой график'!$B$1:$B$4),MATCH(DATE($AV$1,MONTH($B$34),P$3),'Сводный годовой график'!$C$8:$AR$8))&lt;&gt;12,INDIRECT(ADDRESS(ROW()+1,COLUMN()))="СП"),8,INDEX('Сводный годовой график'!$C$1:$AR$4,MATCH($C$36,'Сводный годовой график'!$B$1:$B$4),MATCH(DATE($AV$1,MONTH($B$34),P$3),'Сводный годовой график'!$C$8:$AR$8)))</f>
        <v>12</v>
      </c>
      <c r="Q36" s="92">
        <f ca="1">IF(AND(INDEX('Сводный годовой график'!$C$1:$AR$4,MATCH($C$36,'Сводный годовой график'!$B$1:$B$4),MATCH(DATE($AV$1,MONTH($B$34),Q$3),'Сводный годовой график'!$C$8:$AR$8))&lt;&gt;12,INDIRECT(ADDRESS(ROW()+1,COLUMN()))="СП"),8,INDEX('Сводный годовой график'!$C$1:$AR$4,MATCH($C$36,'Сводный годовой график'!$B$1:$B$4),MATCH(DATE($AV$1,MONTH($B$34),Q$3),'Сводный годовой график'!$C$8:$AR$8)))</f>
        <v>0</v>
      </c>
      <c r="R36" s="92">
        <f ca="1">IF(AND(INDEX('Сводный годовой график'!$C$1:$AR$4,MATCH($C$36,'Сводный годовой график'!$B$1:$B$4),MATCH(DATE($AV$1,MONTH($B$34),R$3),'Сводный годовой график'!$C$8:$AR$8))&lt;&gt;12,INDIRECT(ADDRESS(ROW()+1,COLUMN()))="СП"),8,INDEX('Сводный годовой график'!$C$1:$AR$4,MATCH($C$36,'Сводный годовой график'!$B$1:$B$4),MATCH(DATE($AV$1,MONTH($B$34),R$3),'Сводный годовой график'!$C$8:$AR$8)))</f>
        <v>0</v>
      </c>
      <c r="S36" s="92">
        <f ca="1">IF(AND(INDEX('Сводный годовой график'!$C$1:$AR$4,MATCH($C$36,'Сводный годовой график'!$B$1:$B$4),MATCH(DATE($AV$1,MONTH($B$34),S$3),'Сводный годовой график'!$C$8:$AR$8))&lt;&gt;12,INDIRECT(ADDRESS(ROW()+1,COLUMN()))="СП"),8,INDEX('Сводный годовой график'!$C$1:$AR$4,MATCH($C$36,'Сводный годовой график'!$B$1:$B$4),MATCH(DATE($AV$1,MONTH($B$34),S$3),'Сводный годовой график'!$C$8:$AR$8)))</f>
        <v>4</v>
      </c>
      <c r="T36" s="92">
        <f ca="1">IF(AND(INDEX('Сводный годовой график'!$C$1:$AR$4,MATCH($C$36,'Сводный годовой график'!$B$1:$B$4),MATCH(DATE($AV$1,MONTH($B$34),T$3),'Сводный годовой график'!$C$8:$AR$8))&lt;&gt;12,INDIRECT(ADDRESS(ROW()+1,COLUMN()))="СП"),8,INDEX('Сводный годовой график'!$C$1:$AR$4,MATCH($C$36,'Сводный годовой график'!$B$1:$B$4),MATCH(DATE($AV$1,MONTH($B$34),T$3),'Сводный годовой график'!$C$8:$AR$8)))</f>
        <v>8</v>
      </c>
      <c r="U36" s="92">
        <f ca="1">IF(AND(INDEX('Сводный годовой график'!$C$1:$AR$4,MATCH($C$36,'Сводный годовой график'!$B$1:$B$4),MATCH(DATE($AV$1,MONTH($B$34),U$3),'Сводный годовой график'!$C$8:$AR$8))&lt;&gt;12,INDIRECT(ADDRESS(ROW()+1,COLUMN()))="СП"),8,INDEX('Сводный годовой график'!$C$1:$AR$4,MATCH($C$36,'Сводный годовой график'!$B$1:$B$4),MATCH(DATE($AV$1,MONTH($B$34),U$3),'Сводный годовой график'!$C$8:$AR$8)))</f>
        <v>12</v>
      </c>
      <c r="V36" s="92">
        <f ca="1">IF(AND(INDEX('Сводный годовой график'!$C$1:$AR$4,MATCH($C$36,'Сводный годовой график'!$B$1:$B$4),MATCH(DATE($AV$1,MONTH($B$34),V$3),'Сводный годовой график'!$C$8:$AR$8))&lt;&gt;12,INDIRECT(ADDRESS(ROW()+1,COLUMN()))="СП"),8,INDEX('Сводный годовой график'!$C$1:$AR$4,MATCH($C$36,'Сводный годовой график'!$B$1:$B$4),MATCH(DATE($AV$1,MONTH($B$34),V$3),'Сводный годовой график'!$C$8:$AR$8)))</f>
        <v>4</v>
      </c>
      <c r="W36" s="92">
        <f ca="1">IF(AND(INDEX('Сводный годовой график'!$C$1:$AR$4,MATCH($C$36,'Сводный годовой график'!$B$1:$B$4),MATCH(DATE($AV$1,MONTH($B$34),W$3),'Сводный годовой график'!$C$8:$AR$8))&lt;&gt;12,INDIRECT(ADDRESS(ROW()+1,COLUMN()))="СП"),8,INDEX('Сводный годовой график'!$C$1:$AR$4,MATCH($C$36,'Сводный годовой график'!$B$1:$B$4),MATCH(DATE($AV$1,MONTH($B$34),W$3),'Сводный годовой график'!$C$8:$AR$8)))</f>
        <v>8</v>
      </c>
      <c r="X36" s="92">
        <f ca="1">IF(AND(INDEX('Сводный годовой график'!$C$1:$AR$4,MATCH($C$36,'Сводный годовой график'!$B$1:$B$4),MATCH(DATE($AV$1,MONTH($B$34),X$3),'Сводный годовой график'!$C$8:$AR$8))&lt;&gt;12,INDIRECT(ADDRESS(ROW()+1,COLUMN()))="СП"),8,INDEX('Сводный годовой график'!$C$1:$AR$4,MATCH($C$36,'Сводный годовой график'!$B$1:$B$4),MATCH(DATE($AV$1,MONTH($B$34),X$3),'Сводный годовой график'!$C$8:$AR$8)))</f>
        <v>12</v>
      </c>
      <c r="Y36" s="92">
        <f ca="1">IF(AND(INDEX('Сводный годовой график'!$C$1:$AR$4,MATCH($C$36,'Сводный годовой график'!$B$1:$B$4),MATCH(DATE($AV$1,MONTH($B$34),Y$3),'Сводный годовой график'!$C$8:$AR$8))&lt;&gt;12,INDIRECT(ADDRESS(ROW()+1,COLUMN()))="СП"),8,INDEX('Сводный годовой график'!$C$1:$AR$4,MATCH($C$36,'Сводный годовой график'!$B$1:$B$4),MATCH(DATE($AV$1,MONTH($B$34),Y$3),'Сводный годовой график'!$C$8:$AR$8)))</f>
        <v>0</v>
      </c>
      <c r="Z36" s="92">
        <f ca="1">IF(AND(INDEX('Сводный годовой график'!$C$1:$AR$4,MATCH($C$36,'Сводный годовой график'!$B$1:$B$4),MATCH(DATE($AV$1,MONTH($B$34),Z$3),'Сводный годовой график'!$C$8:$AR$8))&lt;&gt;12,INDIRECT(ADDRESS(ROW()+1,COLUMN()))="СП"),8,INDEX('Сводный годовой график'!$C$1:$AR$4,MATCH($C$36,'Сводный годовой график'!$B$1:$B$4),MATCH(DATE($AV$1,MONTH($B$34),Z$3),'Сводный годовой график'!$C$8:$AR$8)))</f>
        <v>0</v>
      </c>
      <c r="AA36" s="92">
        <f ca="1">IF(AND(INDEX('Сводный годовой график'!$C$1:$AR$4,MATCH($C$36,'Сводный годовой график'!$B$1:$B$4),MATCH(DATE($AV$1,MONTH($B$34),AA$3),'Сводный годовой график'!$C$8:$AR$8))&lt;&gt;12,INDIRECT(ADDRESS(ROW()+1,COLUMN()))="СП"),8,INDEX('Сводный годовой график'!$C$1:$AR$4,MATCH($C$36,'Сводный годовой график'!$B$1:$B$4),MATCH(DATE($AV$1,MONTH($B$34),AA$3),'Сводный годовой график'!$C$8:$AR$8)))</f>
        <v>4</v>
      </c>
      <c r="AB36" s="92">
        <f ca="1">IF(AND(INDEX('Сводный годовой график'!$C$1:$AR$4,MATCH($C$36,'Сводный годовой график'!$B$1:$B$4),MATCH(DATE($AV$1,MONTH($B$34),AB$3),'Сводный годовой график'!$C$8:$AR$8))&lt;&gt;12,INDIRECT(ADDRESS(ROW()+1,COLUMN()))="СП"),8,INDEX('Сводный годовой график'!$C$1:$AR$4,MATCH($C$36,'Сводный годовой график'!$B$1:$B$4),MATCH(DATE($AV$1,MONTH($B$34),AB$3),'Сводный годовой график'!$C$8:$AR$8)))</f>
        <v>8</v>
      </c>
      <c r="AC36" s="92">
        <f ca="1">IF(AND(INDEX('Сводный годовой график'!$C$1:$AR$4,MATCH($C$36,'Сводный годовой график'!$B$1:$B$4),MATCH(DATE($AV$1,MONTH($B$34),AC$3),'Сводный годовой график'!$C$8:$AR$8))&lt;&gt;12,INDIRECT(ADDRESS(ROW()+1,COLUMN()))="СП"),8,INDEX('Сводный годовой график'!$C$1:$AR$4,MATCH($C$36,'Сводный годовой график'!$B$1:$B$4),MATCH(DATE($AV$1,MONTH($B$34),AC$3),'Сводный годовой график'!$C$8:$AR$8)))</f>
        <v>12</v>
      </c>
      <c r="AD36" s="92">
        <f ca="1">IF(AND(INDEX('Сводный годовой график'!$C$1:$AR$4,MATCH($C$36,'Сводный годовой график'!$B$1:$B$4),MATCH(DATE($AV$1,MONTH($B$34),AD$3),'Сводный годовой график'!$C$8:$AR$8))&lt;&gt;12,INDIRECT(ADDRESS(ROW()+1,COLUMN()))="СП"),8,INDEX('Сводный годовой график'!$C$1:$AR$4,MATCH($C$36,'Сводный годовой график'!$B$1:$B$4),MATCH(DATE($AV$1,MONTH($B$34),AD$3),'Сводный годовой график'!$C$8:$AR$8)))</f>
        <v>4</v>
      </c>
      <c r="AE36" s="92">
        <f ca="1">IF(AND(INDEX('Сводный годовой график'!$C$1:$AR$4,MATCH($C$36,'Сводный годовой график'!$B$1:$B$4),MATCH(DATE($AV$1,MONTH($B$34),AE$3),'Сводный годовой график'!$C$8:$AR$8))&lt;&gt;12,INDIRECT(ADDRESS(ROW()+1,COLUMN()))="СП"),8,INDEX('Сводный годовой график'!$C$1:$AR$4,MATCH($C$36,'Сводный годовой график'!$B$1:$B$4),MATCH(DATE($AV$1,MONTH($B$34),AE$3),'Сводный годовой график'!$C$8:$AR$8)))</f>
        <v>8</v>
      </c>
      <c r="AF36" s="92">
        <f ca="1">IF(AND(INDEX('Сводный годовой график'!$C$1:$AR$4,MATCH($C$36,'Сводный годовой график'!$B$1:$B$4),MATCH(DATE($AV$1,MONTH($B$34),AF$3),'Сводный годовой график'!$C$8:$AR$8))&lt;&gt;12,INDIRECT(ADDRESS(ROW()+1,COLUMN()))="СП"),8,INDEX('Сводный годовой график'!$C$1:$AR$4,MATCH($C$36,'Сводный годовой график'!$B$1:$B$4),MATCH(DATE($AV$1,MONTH($B$34),AF$3),'Сводный годовой график'!$C$8:$AR$8)))</f>
        <v>12</v>
      </c>
      <c r="AG36" s="92">
        <f ca="1">IF(AND(INDEX('Сводный годовой график'!$C$1:$AR$4,MATCH($C$36,'Сводный годовой график'!$B$1:$B$4),MATCH(DATE($AV$1,MONTH($B$34),AG$3),'Сводный годовой график'!$C$8:$AR$8))&lt;&gt;12,INDIRECT(ADDRESS(ROW()+1,COLUMN()))="СП"),8,INDEX('Сводный годовой график'!$C$1:$AR$4,MATCH($C$36,'Сводный годовой график'!$B$1:$B$4),MATCH(DATE($AV$1,MONTH($B$34),AG$3),'Сводный годовой график'!$C$8:$AR$8)))</f>
        <v>0</v>
      </c>
      <c r="AH36" s="92">
        <f ca="1">IF(AND(INDEX('Сводный годовой график'!$C$1:$AR$4,MATCH($C$36,'Сводный годовой график'!$B$1:$B$4),MATCH(DATE($AV$1,MONTH($B$34),AH$3),'Сводный годовой график'!$C$8:$AR$8))&lt;&gt;12,INDIRECT(ADDRESS(ROW()+1,COLUMN()))="СП"),8,INDEX('Сводный годовой график'!$C$1:$AR$4,MATCH($C$36,'Сводный годовой график'!$B$1:$B$4),MATCH(DATE($AV$1,MONTH($B$34),AH$3),'Сводный годовой график'!$C$8:$AR$8)))</f>
        <v>0</v>
      </c>
      <c r="AI36" s="110"/>
      <c r="AJ36" s="206"/>
      <c r="AK36" s="177">
        <f>$AJ$34-SUM(AY36:CC37)</f>
        <v>175</v>
      </c>
      <c r="AL36" s="177">
        <f t="shared" ref="AL36" ca="1" si="41">SUM(E36:AI37)</f>
        <v>188</v>
      </c>
      <c r="AM36" s="177">
        <v>0</v>
      </c>
      <c r="AN36" s="198">
        <f t="shared" ref="AN36" ca="1" si="42">-AM36-AK36+AL36</f>
        <v>13</v>
      </c>
      <c r="AO36" s="198">
        <v>12</v>
      </c>
      <c r="AP36" s="198">
        <f t="shared" ref="AP36" ca="1" si="43">AN36+AP26-AO36</f>
        <v>-16</v>
      </c>
      <c r="AQ36" s="177">
        <v>0</v>
      </c>
      <c r="AR36" s="179">
        <v>1</v>
      </c>
      <c r="CK36" s="59"/>
      <c r="CL36" s="59"/>
      <c r="CM36" s="59"/>
      <c r="CN36" s="59"/>
      <c r="CO36" s="59"/>
      <c r="CP36" s="59"/>
      <c r="CQ36" s="59"/>
      <c r="CR36" s="59"/>
      <c r="CS36" s="59"/>
      <c r="CT36" s="59"/>
      <c r="CU36" s="59"/>
      <c r="CV36" s="59"/>
      <c r="CW36" s="59"/>
      <c r="CX36" s="59"/>
      <c r="CY36" s="59"/>
      <c r="CZ36" s="59"/>
      <c r="DA36" s="59"/>
      <c r="DB36" s="59"/>
      <c r="DC36" s="59"/>
      <c r="DD36" s="59"/>
      <c r="DE36" s="59"/>
      <c r="DF36" s="59"/>
      <c r="DG36" s="59"/>
      <c r="DH36" s="59"/>
      <c r="DI36" s="59"/>
      <c r="DJ36" s="59"/>
      <c r="DK36" s="59"/>
      <c r="DL36" s="59"/>
      <c r="DM36" s="59"/>
      <c r="DN36" s="59"/>
      <c r="DO36" s="59"/>
    </row>
    <row r="37" spans="2:119" ht="16.5" thickBot="1" x14ac:dyDescent="0.3">
      <c r="B37" s="201"/>
      <c r="C37" s="197"/>
      <c r="D37" s="82">
        <v>4</v>
      </c>
      <c r="E37" s="96" t="str">
        <f>IF(INDEX($CK$4:$DO$123,ROW()-3,E$3)=0,"","СП")</f>
        <v/>
      </c>
      <c r="F37" s="92" t="str">
        <f>IF(INDEX($CK$4:$DO$123,ROW()-3,F$3)=0,"","СП")</f>
        <v/>
      </c>
      <c r="G37" s="92" t="str">
        <f>IF(INDEX($CK$4:$DO$123,ROW()-3,G$3)=0,"","СП")</f>
        <v/>
      </c>
      <c r="H37" s="92" t="str">
        <f>IF(INDEX($CK$4:$DO$123,ROW()-3,H$3)=0,"","СП")</f>
        <v/>
      </c>
      <c r="I37" s="92" t="str">
        <f>IF(INDEX($CK$4:$DO$123,ROW()-3,I$3)=0,"","СП")</f>
        <v>СП</v>
      </c>
      <c r="J37" s="92" t="str">
        <f>IF(INDEX($CK$4:$DO$123,ROW()-3,J$3)=0,"","СП")</f>
        <v/>
      </c>
      <c r="K37" s="92" t="str">
        <f>IF(INDEX($CK$4:$DO$123,ROW()-3,K$3)=0,"","СП")</f>
        <v/>
      </c>
      <c r="L37" s="92" t="str">
        <f>IF(INDEX($CK$4:$DO$123,ROW()-3,L$3)=0,"","СП")</f>
        <v/>
      </c>
      <c r="M37" s="92" t="str">
        <f>IF(INDEX($CK$4:$DO$123,ROW()-3,M$3)=0,"","СП")</f>
        <v/>
      </c>
      <c r="N37" s="92" t="str">
        <f>IF(INDEX($CK$4:$DO$123,ROW()-3,N$3)=0,"","СП")</f>
        <v/>
      </c>
      <c r="O37" s="92" t="str">
        <f>IF(INDEX($CK$4:$DO$123,ROW()-3,O$3)=0,"","СП")</f>
        <v/>
      </c>
      <c r="P37" s="92" t="str">
        <f>IF(INDEX($CK$4:$DO$123,ROW()-3,P$3)=0,"","СП")</f>
        <v/>
      </c>
      <c r="Q37" s="92" t="str">
        <f>IF(INDEX($CK$4:$DO$123,ROW()-3,Q$3)=0,"","СП")</f>
        <v/>
      </c>
      <c r="R37" s="92" t="str">
        <f>IF(INDEX($CK$4:$DO$123,ROW()-3,R$3)=0,"","СП")</f>
        <v/>
      </c>
      <c r="S37" s="92" t="str">
        <f>IF(INDEX($CK$4:$DO$123,ROW()-3,S$3)=0,"","СП")</f>
        <v/>
      </c>
      <c r="T37" s="92" t="str">
        <f>IF(INDEX($CK$4:$DO$123,ROW()-3,T$3)=0,"","СП")</f>
        <v/>
      </c>
      <c r="U37" s="92" t="str">
        <f>IF(INDEX($CK$4:$DO$123,ROW()-3,U$3)=0,"","СП")</f>
        <v/>
      </c>
      <c r="V37" s="92" t="str">
        <f>IF(INDEX($CK$4:$DO$123,ROW()-3,V$3)=0,"","СП")</f>
        <v/>
      </c>
      <c r="W37" s="92" t="str">
        <f>IF(INDEX($CK$4:$DO$123,ROW()-3,W$3)=0,"","СП")</f>
        <v/>
      </c>
      <c r="X37" s="92" t="str">
        <f>IF(INDEX($CK$4:$DO$123,ROW()-3,X$3)=0,"","СП")</f>
        <v/>
      </c>
      <c r="Y37" s="92" t="str">
        <f>IF(INDEX($CK$4:$DO$123,ROW()-3,Y$3)=0,"","СП")</f>
        <v/>
      </c>
      <c r="Z37" s="92" t="str">
        <f>IF(INDEX($CK$4:$DO$123,ROW()-3,Z$3)=0,"","СП")</f>
        <v/>
      </c>
      <c r="AA37" s="92" t="str">
        <f>IF(INDEX($CK$4:$DO$123,ROW()-3,AA$3)=0,"","СП")</f>
        <v/>
      </c>
      <c r="AB37" s="92" t="str">
        <f>IF(INDEX($CK$4:$DO$123,ROW()-3,AB$3)=0,"","СП")</f>
        <v/>
      </c>
      <c r="AC37" s="92" t="str">
        <f>IF(INDEX($CK$4:$DO$123,ROW()-3,AC$3)=0,"","СП")</f>
        <v/>
      </c>
      <c r="AD37" s="92" t="str">
        <f>IF(INDEX($CK$4:$DO$123,ROW()-3,AD$3)=0,"","СП")</f>
        <v/>
      </c>
      <c r="AE37" s="92" t="str">
        <f>IF(INDEX($CK$4:$DO$123,ROW()-3,AE$3)=0,"","СП")</f>
        <v/>
      </c>
      <c r="AF37" s="92" t="str">
        <f>IF(INDEX($CK$4:$DO$123,ROW()-3,AF$3)=0,"","СП")</f>
        <v/>
      </c>
      <c r="AG37" s="92" t="str">
        <f>IF(INDEX($CK$4:$DO$123,ROW()-3,AG$3)=0,"","СП")</f>
        <v/>
      </c>
      <c r="AH37" s="92" t="str">
        <f>IF(INDEX($CK$4:$DO$123,ROW()-3,AH$3)=0,"","СП")</f>
        <v/>
      </c>
      <c r="AI37" s="110"/>
      <c r="AJ37" s="206"/>
      <c r="AK37" s="177"/>
      <c r="AL37" s="177"/>
      <c r="AM37" s="177"/>
      <c r="AN37" s="198"/>
      <c r="AO37" s="198"/>
      <c r="AP37" s="198"/>
      <c r="AQ37" s="177"/>
      <c r="AR37" s="179"/>
      <c r="CK37" s="58">
        <f>IF(DAY(INDEX('Сводный годовой график'!$BA$4:$BL$14,$C36,MONTH($B$34)))=E$3,1,0)</f>
        <v>0</v>
      </c>
      <c r="CL37" s="58">
        <f>IF(DAY(INDEX('Сводный годовой график'!$BA$4:$BL$14,$C36,MONTH($B$34)))=F$3,1,0)</f>
        <v>0</v>
      </c>
      <c r="CM37" s="58">
        <f>IF(DAY(INDEX('Сводный годовой график'!$BA$4:$BL$14,$C36,MONTH($B$34)))=G$3,1,0)</f>
        <v>0</v>
      </c>
      <c r="CN37" s="58">
        <f>IF(DAY(INDEX('Сводный годовой график'!$BA$4:$BL$14,$C36,MONTH($B$34)))=H$3,1,0)</f>
        <v>0</v>
      </c>
      <c r="CO37" s="58">
        <f>IF(DAY(INDEX('Сводный годовой график'!$BA$4:$BL$14,$C36,MONTH($B$34)))=I$3,1,0)</f>
        <v>1</v>
      </c>
      <c r="CP37" s="58">
        <f>IF(DAY(INDEX('Сводный годовой график'!$BA$4:$BL$14,$C36,MONTH($B$34)))=J$3,1,0)</f>
        <v>0</v>
      </c>
      <c r="CQ37" s="58">
        <f>IF(DAY(INDEX('Сводный годовой график'!$BA$4:$BL$14,$C36,MONTH($B$34)))=K$3,1,0)</f>
        <v>0</v>
      </c>
      <c r="CR37" s="58">
        <f>IF(DAY(INDEX('Сводный годовой график'!$BA$4:$BL$14,$C36,MONTH($B$34)))=L$3,1,0)</f>
        <v>0</v>
      </c>
      <c r="CS37" s="58">
        <f>IF(DAY(INDEX('Сводный годовой график'!$BA$4:$BL$14,$C36,MONTH($B$34)))=M$3,1,0)</f>
        <v>0</v>
      </c>
      <c r="CT37" s="58">
        <f>IF(DAY(INDEX('Сводный годовой график'!$BA$4:$BL$14,$C36,MONTH($B$34)))=N$3,1,0)</f>
        <v>0</v>
      </c>
      <c r="CU37" s="58">
        <f>IF(DAY(INDEX('Сводный годовой график'!$BA$4:$BL$14,$C36,MONTH($B$34)))=O$3,1,0)</f>
        <v>0</v>
      </c>
      <c r="CV37" s="58">
        <f>IF(DAY(INDEX('Сводный годовой график'!$BA$4:$BL$14,$C36,MONTH($B$34)))=P$3,1,0)</f>
        <v>0</v>
      </c>
      <c r="CW37" s="58">
        <f>IF(DAY(INDEX('Сводный годовой график'!$BA$4:$BL$14,$C36,MONTH($B$34)))=Q$3,1,0)</f>
        <v>0</v>
      </c>
      <c r="CX37" s="58">
        <f>IF(DAY(INDEX('Сводный годовой график'!$BA$4:$BL$14,$C36,MONTH($B$34)))=R$3,1,0)</f>
        <v>0</v>
      </c>
      <c r="CY37" s="58">
        <f>IF(DAY(INDEX('Сводный годовой график'!$BA$4:$BL$14,$C36,MONTH($B$34)))=S$3,1,0)</f>
        <v>0</v>
      </c>
      <c r="CZ37" s="58">
        <f>IF(DAY(INDEX('Сводный годовой график'!$BA$4:$BL$14,$C36,MONTH($B$34)))=T$3,1,0)</f>
        <v>0</v>
      </c>
      <c r="DA37" s="58">
        <f>IF(DAY(INDEX('Сводный годовой график'!$BA$4:$BL$14,$C36,MONTH($B$34)))=U$3,1,0)</f>
        <v>0</v>
      </c>
      <c r="DB37" s="58">
        <f>IF(DAY(INDEX('Сводный годовой график'!$BA$4:$BL$14,$C36,MONTH($B$34)))=V$3,1,0)</f>
        <v>0</v>
      </c>
      <c r="DC37" s="58">
        <f>IF(DAY(INDEX('Сводный годовой график'!$BA$4:$BL$14,$C36,MONTH($B$34)))=W$3,1,0)</f>
        <v>0</v>
      </c>
      <c r="DD37" s="58">
        <f>IF(DAY(INDEX('Сводный годовой график'!$BA$4:$BL$14,$C36,MONTH($B$34)))=X$3,1,0)</f>
        <v>0</v>
      </c>
      <c r="DE37" s="58">
        <f>IF(DAY(INDEX('Сводный годовой график'!$BA$4:$BL$14,$C36,MONTH($B$34)))=Y$3,1,0)</f>
        <v>0</v>
      </c>
      <c r="DF37" s="58">
        <f>IF(DAY(INDEX('Сводный годовой график'!$BA$4:$BL$14,$C36,MONTH($B$34)))=Z$3,1,0)</f>
        <v>0</v>
      </c>
      <c r="DG37" s="58">
        <f>IF(DAY(INDEX('Сводный годовой график'!$BA$4:$BL$14,$C36,MONTH($B$34)))=AA$3,1,0)</f>
        <v>0</v>
      </c>
      <c r="DH37" s="58">
        <f>IF(DAY(INDEX('Сводный годовой график'!$BA$4:$BL$14,$C36,MONTH($B$34)))=AB$3,1,0)</f>
        <v>0</v>
      </c>
      <c r="DI37" s="58">
        <f>IF(DAY(INDEX('Сводный годовой график'!$BA$4:$BL$14,$C36,MONTH($B$34)))=AC$3,1,0)</f>
        <v>0</v>
      </c>
      <c r="DJ37" s="58">
        <f>IF(DAY(INDEX('Сводный годовой график'!$BA$4:$BL$14,$C36,MONTH($B$34)))=AD$3,1,0)</f>
        <v>0</v>
      </c>
      <c r="DK37" s="58">
        <f>IF(DAY(INDEX('Сводный годовой график'!$BA$4:$BL$14,$C36,MONTH($B$34)))=AE$3,1,0)</f>
        <v>0</v>
      </c>
      <c r="DL37" s="58">
        <f>IF(DAY(INDEX('Сводный годовой график'!$BA$4:$BL$14,$C36,MONTH($B$34)))=AF$3,1,0)</f>
        <v>0</v>
      </c>
      <c r="DM37" s="58">
        <f>IF(DAY(INDEX('Сводный годовой график'!$BA$4:$BL$14,$C36,MONTH($B$34)))=AG$3,1,0)</f>
        <v>0</v>
      </c>
      <c r="DN37" s="58">
        <f>IF(DAY(INDEX('Сводный годовой график'!$BA$4:$BL$14,$C36,MONTH($B$34)))=AH$3,1,0)</f>
        <v>0</v>
      </c>
      <c r="DO37" s="58">
        <f>IF(DAY(INDEX('Сводный годовой график'!$BA$4:$BL$14,$C36,MONTH($B$34)))=AI$3,1,0)</f>
        <v>0</v>
      </c>
    </row>
    <row r="38" spans="2:119" ht="16.5" thickBot="1" x14ac:dyDescent="0.3">
      <c r="B38" s="201"/>
      <c r="C38" s="196">
        <v>3</v>
      </c>
      <c r="D38" s="81">
        <v>5</v>
      </c>
      <c r="E38" s="96">
        <f ca="1">IF(AND(INDEX('Сводный годовой график'!$C$1:$AR$4,MATCH($C$38,'Сводный годовой график'!$B$1:$B$4),MATCH(DATE($AV$1,MONTH($B$34),E$3),'Сводный годовой график'!$C$8:$AR$8))&lt;&gt;12,INDIRECT(ADDRESS(ROW()+1,COLUMN()))="СП"),8,INDEX('Сводный годовой график'!$C$1:$AR$4,MATCH($C$38,'Сводный годовой график'!$B$1:$B$4),MATCH(DATE($AV$1,MONTH($B$34),E$3),'Сводный годовой график'!$C$8:$AR$8)))</f>
        <v>0</v>
      </c>
      <c r="F38" s="92">
        <f ca="1">IF(AND(INDEX('Сводный годовой график'!$C$1:$AR$4,MATCH($C$38,'Сводный годовой график'!$B$1:$B$4),MATCH(DATE($AV$1,MONTH($B$34),F$3),'Сводный годовой график'!$C$8:$AR$8))&lt;&gt;12,INDIRECT(ADDRESS(ROW()+1,COLUMN()))="СП"),8,INDEX('Сводный годовой график'!$C$1:$AR$4,MATCH($C$38,'Сводный годовой график'!$B$1:$B$4),MATCH(DATE($AV$1,MONTH($B$34),F$3),'Сводный годовой график'!$C$8:$AR$8)))</f>
        <v>0</v>
      </c>
      <c r="G38" s="92">
        <f ca="1">IF(AND(INDEX('Сводный годовой график'!$C$1:$AR$4,MATCH($C$38,'Сводный годовой график'!$B$1:$B$4),MATCH(DATE($AV$1,MONTH($B$34),G$3),'Сводный годовой график'!$C$8:$AR$8))&lt;&gt;12,INDIRECT(ADDRESS(ROW()+1,COLUMN()))="СП"),8,INDEX('Сводный годовой график'!$C$1:$AR$4,MATCH($C$38,'Сводный годовой график'!$B$1:$B$4),MATCH(DATE($AV$1,MONTH($B$34),G$3),'Сводный годовой график'!$C$8:$AR$8)))</f>
        <v>4</v>
      </c>
      <c r="H38" s="92">
        <f ca="1">IF(AND(INDEX('Сводный годовой график'!$C$1:$AR$4,MATCH($C$38,'Сводный годовой график'!$B$1:$B$4),MATCH(DATE($AV$1,MONTH($B$34),H$3),'Сводный годовой график'!$C$8:$AR$8))&lt;&gt;12,INDIRECT(ADDRESS(ROW()+1,COLUMN()))="СП"),8,INDEX('Сводный годовой график'!$C$1:$AR$4,MATCH($C$38,'Сводный годовой график'!$B$1:$B$4),MATCH(DATE($AV$1,MONTH($B$34),H$3),'Сводный годовой график'!$C$8:$AR$8)))</f>
        <v>8</v>
      </c>
      <c r="I38" s="92">
        <f ca="1">IF(AND(INDEX('Сводный годовой график'!$C$1:$AR$4,MATCH($C$38,'Сводный годовой график'!$B$1:$B$4),MATCH(DATE($AV$1,MONTH($B$34),I$3),'Сводный годовой график'!$C$8:$AR$8))&lt;&gt;12,INDIRECT(ADDRESS(ROW()+1,COLUMN()))="СП"),8,INDEX('Сводный годовой график'!$C$1:$AR$4,MATCH($C$38,'Сводный годовой график'!$B$1:$B$4),MATCH(DATE($AV$1,MONTH($B$34),I$3),'Сводный годовой график'!$C$8:$AR$8)))</f>
        <v>12</v>
      </c>
      <c r="J38" s="92">
        <f ca="1">IF(AND(INDEX('Сводный годовой график'!$C$1:$AR$4,MATCH($C$38,'Сводный годовой график'!$B$1:$B$4),MATCH(DATE($AV$1,MONTH($B$34),J$3),'Сводный годовой график'!$C$8:$AR$8))&lt;&gt;12,INDIRECT(ADDRESS(ROW()+1,COLUMN()))="СП"),8,INDEX('Сводный годовой график'!$C$1:$AR$4,MATCH($C$38,'Сводный годовой график'!$B$1:$B$4),MATCH(DATE($AV$1,MONTH($B$34),J$3),'Сводный годовой график'!$C$8:$AR$8)))</f>
        <v>8</v>
      </c>
      <c r="K38" s="92">
        <f ca="1">IF(AND(INDEX('Сводный годовой график'!$C$1:$AR$4,MATCH($C$38,'Сводный годовой график'!$B$1:$B$4),MATCH(DATE($AV$1,MONTH($B$34),K$3),'Сводный годовой график'!$C$8:$AR$8))&lt;&gt;12,INDIRECT(ADDRESS(ROW()+1,COLUMN()))="СП"),8,INDEX('Сводный годовой график'!$C$1:$AR$4,MATCH($C$38,'Сводный годовой график'!$B$1:$B$4),MATCH(DATE($AV$1,MONTH($B$34),K$3),'Сводный годовой график'!$C$8:$AR$8)))</f>
        <v>8</v>
      </c>
      <c r="L38" s="92">
        <f ca="1">IF(AND(INDEX('Сводный годовой график'!$C$1:$AR$4,MATCH($C$38,'Сводный годовой график'!$B$1:$B$4),MATCH(DATE($AV$1,MONTH($B$34),L$3),'Сводный годовой график'!$C$8:$AR$8))&lt;&gt;12,INDIRECT(ADDRESS(ROW()+1,COLUMN()))="СП"),8,INDEX('Сводный годовой график'!$C$1:$AR$4,MATCH($C$38,'Сводный годовой график'!$B$1:$B$4),MATCH(DATE($AV$1,MONTH($B$34),L$3),'Сводный годовой график'!$C$8:$AR$8)))</f>
        <v>12</v>
      </c>
      <c r="M38" s="92">
        <f ca="1">IF(AND(INDEX('Сводный годовой график'!$C$1:$AR$4,MATCH($C$38,'Сводный годовой график'!$B$1:$B$4),MATCH(DATE($AV$1,MONTH($B$34),M$3),'Сводный годовой график'!$C$8:$AR$8))&lt;&gt;12,INDIRECT(ADDRESS(ROW()+1,COLUMN()))="СП"),8,INDEX('Сводный годовой график'!$C$1:$AR$4,MATCH($C$38,'Сводный годовой график'!$B$1:$B$4),MATCH(DATE($AV$1,MONTH($B$34),M$3),'Сводный годовой график'!$C$8:$AR$8)))</f>
        <v>0</v>
      </c>
      <c r="N38" s="92">
        <f ca="1">IF(AND(INDEX('Сводный годовой график'!$C$1:$AR$4,MATCH($C$38,'Сводный годовой график'!$B$1:$B$4),MATCH(DATE($AV$1,MONTH($B$34),N$3),'Сводный годовой график'!$C$8:$AR$8))&lt;&gt;12,INDIRECT(ADDRESS(ROW()+1,COLUMN()))="СП"),8,INDEX('Сводный годовой график'!$C$1:$AR$4,MATCH($C$38,'Сводный годовой график'!$B$1:$B$4),MATCH(DATE($AV$1,MONTH($B$34),N$3),'Сводный годовой график'!$C$8:$AR$8)))</f>
        <v>0</v>
      </c>
      <c r="O38" s="92">
        <f ca="1">IF(AND(INDEX('Сводный годовой график'!$C$1:$AR$4,MATCH($C$38,'Сводный годовой график'!$B$1:$B$4),MATCH(DATE($AV$1,MONTH($B$34),O$3),'Сводный годовой график'!$C$8:$AR$8))&lt;&gt;12,INDIRECT(ADDRESS(ROW()+1,COLUMN()))="СП"),8,INDEX('Сводный годовой график'!$C$1:$AR$4,MATCH($C$38,'Сводный годовой график'!$B$1:$B$4),MATCH(DATE($AV$1,MONTH($B$34),O$3),'Сводный годовой график'!$C$8:$AR$8)))</f>
        <v>4</v>
      </c>
      <c r="P38" s="92">
        <f ca="1">IF(AND(INDEX('Сводный годовой график'!$C$1:$AR$4,MATCH($C$38,'Сводный годовой график'!$B$1:$B$4),MATCH(DATE($AV$1,MONTH($B$34),P$3),'Сводный годовой график'!$C$8:$AR$8))&lt;&gt;12,INDIRECT(ADDRESS(ROW()+1,COLUMN()))="СП"),8,INDEX('Сводный годовой график'!$C$1:$AR$4,MATCH($C$38,'Сводный годовой график'!$B$1:$B$4),MATCH(DATE($AV$1,MONTH($B$34),P$3),'Сводный годовой график'!$C$8:$AR$8)))</f>
        <v>8</v>
      </c>
      <c r="Q38" s="92">
        <f ca="1">IF(AND(INDEX('Сводный годовой график'!$C$1:$AR$4,MATCH($C$38,'Сводный годовой график'!$B$1:$B$4),MATCH(DATE($AV$1,MONTH($B$34),Q$3),'Сводный годовой график'!$C$8:$AR$8))&lt;&gt;12,INDIRECT(ADDRESS(ROW()+1,COLUMN()))="СП"),8,INDEX('Сводный годовой график'!$C$1:$AR$4,MATCH($C$38,'Сводный годовой график'!$B$1:$B$4),MATCH(DATE($AV$1,MONTH($B$34),Q$3),'Сводный годовой график'!$C$8:$AR$8)))</f>
        <v>12</v>
      </c>
      <c r="R38" s="92">
        <f ca="1">IF(AND(INDEX('Сводный годовой график'!$C$1:$AR$4,MATCH($C$38,'Сводный годовой график'!$B$1:$B$4),MATCH(DATE($AV$1,MONTH($B$34),R$3),'Сводный годовой график'!$C$8:$AR$8))&lt;&gt;12,INDIRECT(ADDRESS(ROW()+1,COLUMN()))="СП"),8,INDEX('Сводный годовой график'!$C$1:$AR$4,MATCH($C$38,'Сводный годовой график'!$B$1:$B$4),MATCH(DATE($AV$1,MONTH($B$34),R$3),'Сводный годовой график'!$C$8:$AR$8)))</f>
        <v>4</v>
      </c>
      <c r="S38" s="92">
        <f ca="1">IF(AND(INDEX('Сводный годовой график'!$C$1:$AR$4,MATCH($C$38,'Сводный годовой график'!$B$1:$B$4),MATCH(DATE($AV$1,MONTH($B$34),S$3),'Сводный годовой график'!$C$8:$AR$8))&lt;&gt;12,INDIRECT(ADDRESS(ROW()+1,COLUMN()))="СП"),8,INDEX('Сводный годовой график'!$C$1:$AR$4,MATCH($C$38,'Сводный годовой график'!$B$1:$B$4),MATCH(DATE($AV$1,MONTH($B$34),S$3),'Сводный годовой график'!$C$8:$AR$8)))</f>
        <v>8</v>
      </c>
      <c r="T38" s="92">
        <f ca="1">IF(AND(INDEX('Сводный годовой график'!$C$1:$AR$4,MATCH($C$38,'Сводный годовой график'!$B$1:$B$4),MATCH(DATE($AV$1,MONTH($B$34),T$3),'Сводный годовой график'!$C$8:$AR$8))&lt;&gt;12,INDIRECT(ADDRESS(ROW()+1,COLUMN()))="СП"),8,INDEX('Сводный годовой график'!$C$1:$AR$4,MATCH($C$38,'Сводный годовой график'!$B$1:$B$4),MATCH(DATE($AV$1,MONTH($B$34),T$3),'Сводный годовой график'!$C$8:$AR$8)))</f>
        <v>12</v>
      </c>
      <c r="U38" s="92">
        <f ca="1">IF(AND(INDEX('Сводный годовой график'!$C$1:$AR$4,MATCH($C$38,'Сводный годовой график'!$B$1:$B$4),MATCH(DATE($AV$1,MONTH($B$34),U$3),'Сводный годовой график'!$C$8:$AR$8))&lt;&gt;12,INDIRECT(ADDRESS(ROW()+1,COLUMN()))="СП"),8,INDEX('Сводный годовой график'!$C$1:$AR$4,MATCH($C$38,'Сводный годовой график'!$B$1:$B$4),MATCH(DATE($AV$1,MONTH($B$34),U$3),'Сводный годовой график'!$C$8:$AR$8)))</f>
        <v>0</v>
      </c>
      <c r="V38" s="92">
        <f ca="1">IF(AND(INDEX('Сводный годовой график'!$C$1:$AR$4,MATCH($C$38,'Сводный годовой график'!$B$1:$B$4),MATCH(DATE($AV$1,MONTH($B$34),V$3),'Сводный годовой график'!$C$8:$AR$8))&lt;&gt;12,INDIRECT(ADDRESS(ROW()+1,COLUMN()))="СП"),8,INDEX('Сводный годовой график'!$C$1:$AR$4,MATCH($C$38,'Сводный годовой график'!$B$1:$B$4),MATCH(DATE($AV$1,MONTH($B$34),V$3),'Сводный годовой график'!$C$8:$AR$8)))</f>
        <v>0</v>
      </c>
      <c r="W38" s="92">
        <f ca="1">IF(AND(INDEX('Сводный годовой график'!$C$1:$AR$4,MATCH($C$38,'Сводный годовой график'!$B$1:$B$4),MATCH(DATE($AV$1,MONTH($B$34),W$3),'Сводный годовой график'!$C$8:$AR$8))&lt;&gt;12,INDIRECT(ADDRESS(ROW()+1,COLUMN()))="СП"),8,INDEX('Сводный годовой график'!$C$1:$AR$4,MATCH($C$38,'Сводный годовой график'!$B$1:$B$4),MATCH(DATE($AV$1,MONTH($B$34),W$3),'Сводный годовой график'!$C$8:$AR$8)))</f>
        <v>4</v>
      </c>
      <c r="X38" s="92">
        <f ca="1">IF(AND(INDEX('Сводный годовой график'!$C$1:$AR$4,MATCH($C$38,'Сводный годовой график'!$B$1:$B$4),MATCH(DATE($AV$1,MONTH($B$34),X$3),'Сводный годовой график'!$C$8:$AR$8))&lt;&gt;12,INDIRECT(ADDRESS(ROW()+1,COLUMN()))="СП"),8,INDEX('Сводный годовой график'!$C$1:$AR$4,MATCH($C$38,'Сводный годовой график'!$B$1:$B$4),MATCH(DATE($AV$1,MONTH($B$34),X$3),'Сводный годовой график'!$C$8:$AR$8)))</f>
        <v>8</v>
      </c>
      <c r="Y38" s="92">
        <f ca="1">IF(AND(INDEX('Сводный годовой график'!$C$1:$AR$4,MATCH($C$38,'Сводный годовой график'!$B$1:$B$4),MATCH(DATE($AV$1,MONTH($B$34),Y$3),'Сводный годовой график'!$C$8:$AR$8))&lt;&gt;12,INDIRECT(ADDRESS(ROW()+1,COLUMN()))="СП"),8,INDEX('Сводный годовой график'!$C$1:$AR$4,MATCH($C$38,'Сводный годовой график'!$B$1:$B$4),MATCH(DATE($AV$1,MONTH($B$34),Y$3),'Сводный годовой график'!$C$8:$AR$8)))</f>
        <v>12</v>
      </c>
      <c r="Z38" s="92">
        <f ca="1">IF(AND(INDEX('Сводный годовой график'!$C$1:$AR$4,MATCH($C$38,'Сводный годовой график'!$B$1:$B$4),MATCH(DATE($AV$1,MONTH($B$34),Z$3),'Сводный годовой график'!$C$8:$AR$8))&lt;&gt;12,INDIRECT(ADDRESS(ROW()+1,COLUMN()))="СП"),8,INDEX('Сводный годовой график'!$C$1:$AR$4,MATCH($C$38,'Сводный годовой график'!$B$1:$B$4),MATCH(DATE($AV$1,MONTH($B$34),Z$3),'Сводный годовой график'!$C$8:$AR$8)))</f>
        <v>4</v>
      </c>
      <c r="AA38" s="92">
        <f ca="1">IF(AND(INDEX('Сводный годовой график'!$C$1:$AR$4,MATCH($C$38,'Сводный годовой график'!$B$1:$B$4),MATCH(DATE($AV$1,MONTH($B$34),AA$3),'Сводный годовой график'!$C$8:$AR$8))&lt;&gt;12,INDIRECT(ADDRESS(ROW()+1,COLUMN()))="СП"),8,INDEX('Сводный годовой график'!$C$1:$AR$4,MATCH($C$38,'Сводный годовой график'!$B$1:$B$4),MATCH(DATE($AV$1,MONTH($B$34),AA$3),'Сводный годовой график'!$C$8:$AR$8)))</f>
        <v>8</v>
      </c>
      <c r="AB38" s="92">
        <f ca="1">IF(AND(INDEX('Сводный годовой график'!$C$1:$AR$4,MATCH($C$38,'Сводный годовой график'!$B$1:$B$4),MATCH(DATE($AV$1,MONTH($B$34),AB$3),'Сводный годовой график'!$C$8:$AR$8))&lt;&gt;12,INDIRECT(ADDRESS(ROW()+1,COLUMN()))="СП"),8,INDEX('Сводный годовой график'!$C$1:$AR$4,MATCH($C$38,'Сводный годовой график'!$B$1:$B$4),MATCH(DATE($AV$1,MONTH($B$34),AB$3),'Сводный годовой график'!$C$8:$AR$8)))</f>
        <v>12</v>
      </c>
      <c r="AC38" s="92">
        <f ca="1">IF(AND(INDEX('Сводный годовой график'!$C$1:$AR$4,MATCH($C$38,'Сводный годовой график'!$B$1:$B$4),MATCH(DATE($AV$1,MONTH($B$34),AC$3),'Сводный годовой график'!$C$8:$AR$8))&lt;&gt;12,INDIRECT(ADDRESS(ROW()+1,COLUMN()))="СП"),8,INDEX('Сводный годовой график'!$C$1:$AR$4,MATCH($C$38,'Сводный годовой график'!$B$1:$B$4),MATCH(DATE($AV$1,MONTH($B$34),AC$3),'Сводный годовой график'!$C$8:$AR$8)))</f>
        <v>0</v>
      </c>
      <c r="AD38" s="92">
        <f ca="1">IF(AND(INDEX('Сводный годовой график'!$C$1:$AR$4,MATCH($C$38,'Сводный годовой график'!$B$1:$B$4),MATCH(DATE($AV$1,MONTH($B$34),AD$3),'Сводный годовой график'!$C$8:$AR$8))&lt;&gt;12,INDIRECT(ADDRESS(ROW()+1,COLUMN()))="СП"),8,INDEX('Сводный годовой график'!$C$1:$AR$4,MATCH($C$38,'Сводный годовой график'!$B$1:$B$4),MATCH(DATE($AV$1,MONTH($B$34),AD$3),'Сводный годовой график'!$C$8:$AR$8)))</f>
        <v>0</v>
      </c>
      <c r="AE38" s="92">
        <f ca="1">IF(AND(INDEX('Сводный годовой график'!$C$1:$AR$4,MATCH($C$38,'Сводный годовой график'!$B$1:$B$4),MATCH(DATE($AV$1,MONTH($B$34),AE$3),'Сводный годовой график'!$C$8:$AR$8))&lt;&gt;12,INDIRECT(ADDRESS(ROW()+1,COLUMN()))="СП"),8,INDEX('Сводный годовой график'!$C$1:$AR$4,MATCH($C$38,'Сводный годовой график'!$B$1:$B$4),MATCH(DATE($AV$1,MONTH($B$34),AE$3),'Сводный годовой график'!$C$8:$AR$8)))</f>
        <v>4</v>
      </c>
      <c r="AF38" s="92">
        <f ca="1">IF(AND(INDEX('Сводный годовой график'!$C$1:$AR$4,MATCH($C$38,'Сводный годовой график'!$B$1:$B$4),MATCH(DATE($AV$1,MONTH($B$34),AF$3),'Сводный годовой график'!$C$8:$AR$8))&lt;&gt;12,INDIRECT(ADDRESS(ROW()+1,COLUMN()))="СП"),8,INDEX('Сводный годовой график'!$C$1:$AR$4,MATCH($C$38,'Сводный годовой график'!$B$1:$B$4),MATCH(DATE($AV$1,MONTH($B$34),AF$3),'Сводный годовой график'!$C$8:$AR$8)))</f>
        <v>8</v>
      </c>
      <c r="AG38" s="92">
        <f ca="1">IF(AND(INDEX('Сводный годовой график'!$C$1:$AR$4,MATCH($C$38,'Сводный годовой график'!$B$1:$B$4),MATCH(DATE($AV$1,MONTH($B$34),AG$3),'Сводный годовой график'!$C$8:$AR$8))&lt;&gt;12,INDIRECT(ADDRESS(ROW()+1,COLUMN()))="СП"),8,INDEX('Сводный годовой график'!$C$1:$AR$4,MATCH($C$38,'Сводный годовой график'!$B$1:$B$4),MATCH(DATE($AV$1,MONTH($B$34),AG$3),'Сводный годовой график'!$C$8:$AR$8)))</f>
        <v>12</v>
      </c>
      <c r="AH38" s="92">
        <f ca="1">IF(AND(INDEX('Сводный годовой график'!$C$1:$AR$4,MATCH($C$38,'Сводный годовой график'!$B$1:$B$4),MATCH(DATE($AV$1,MONTH($B$34),AH$3),'Сводный годовой график'!$C$8:$AR$8))&lt;&gt;12,INDIRECT(ADDRESS(ROW()+1,COLUMN()))="СП"),8,INDEX('Сводный годовой график'!$C$1:$AR$4,MATCH($C$38,'Сводный годовой график'!$B$1:$B$4),MATCH(DATE($AV$1,MONTH($B$34),AH$3),'Сводный годовой график'!$C$8:$AR$8)))</f>
        <v>4</v>
      </c>
      <c r="AI38" s="110"/>
      <c r="AJ38" s="206"/>
      <c r="AK38" s="177">
        <f>$AJ$34-SUM(AY38:CC39)</f>
        <v>175</v>
      </c>
      <c r="AL38" s="177">
        <f t="shared" ref="AL38" ca="1" si="44">SUM(E38:AI39)</f>
        <v>176</v>
      </c>
      <c r="AM38" s="177">
        <v>0</v>
      </c>
      <c r="AN38" s="198">
        <f t="shared" ref="AN38" ca="1" si="45">-AM38-AK38+AL38</f>
        <v>1</v>
      </c>
      <c r="AO38" s="198">
        <v>0</v>
      </c>
      <c r="AP38" s="198">
        <f t="shared" ref="AP38" ca="1" si="46">AN38+AP28-AO38</f>
        <v>18</v>
      </c>
      <c r="AQ38" s="177">
        <v>0</v>
      </c>
      <c r="AR38" s="179">
        <v>1</v>
      </c>
      <c r="CK38" s="59"/>
      <c r="CL38" s="59"/>
      <c r="CM38" s="59"/>
      <c r="CN38" s="59"/>
      <c r="CO38" s="59"/>
      <c r="CP38" s="59"/>
      <c r="CQ38" s="59"/>
      <c r="CR38" s="59"/>
      <c r="CS38" s="59"/>
      <c r="CT38" s="59"/>
      <c r="CU38" s="59"/>
      <c r="CV38" s="59"/>
      <c r="CW38" s="59"/>
      <c r="CX38" s="59"/>
      <c r="CY38" s="59"/>
      <c r="CZ38" s="59"/>
      <c r="DA38" s="59"/>
      <c r="DB38" s="59"/>
      <c r="DC38" s="59"/>
      <c r="DD38" s="59"/>
      <c r="DE38" s="59"/>
      <c r="DF38" s="59"/>
      <c r="DG38" s="59"/>
      <c r="DH38" s="59"/>
      <c r="DI38" s="59"/>
      <c r="DJ38" s="59"/>
      <c r="DK38" s="59"/>
      <c r="DL38" s="59"/>
      <c r="DM38" s="59"/>
      <c r="DN38" s="59"/>
      <c r="DO38" s="59"/>
    </row>
    <row r="39" spans="2:119" ht="16.5" thickBot="1" x14ac:dyDescent="0.3">
      <c r="B39" s="201"/>
      <c r="C39" s="197"/>
      <c r="D39" s="82">
        <v>6</v>
      </c>
      <c r="E39" s="96" t="str">
        <f>IF(INDEX($CK$4:$DO$123,ROW()-3,E$3)=0,"","СП")</f>
        <v/>
      </c>
      <c r="F39" s="92" t="str">
        <f>IF(INDEX($CK$4:$DO$123,ROW()-3,F$3)=0,"","СП")</f>
        <v/>
      </c>
      <c r="G39" s="92" t="str">
        <f>IF(INDEX($CK$4:$DO$123,ROW()-3,G$3)=0,"","СП")</f>
        <v/>
      </c>
      <c r="H39" s="92" t="str">
        <f>IF(INDEX($CK$4:$DO$123,ROW()-3,H$3)=0,"","СП")</f>
        <v/>
      </c>
      <c r="I39" s="92" t="str">
        <f>IF(INDEX($CK$4:$DO$123,ROW()-3,I$3)=0,"","СП")</f>
        <v/>
      </c>
      <c r="J39" s="92" t="str">
        <f>IF(INDEX($CK$4:$DO$123,ROW()-3,J$3)=0,"","СП")</f>
        <v>СП</v>
      </c>
      <c r="K39" s="92" t="str">
        <f>IF(INDEX($CK$4:$DO$123,ROW()-3,K$3)=0,"","СП")</f>
        <v/>
      </c>
      <c r="L39" s="92" t="str">
        <f>IF(INDEX($CK$4:$DO$123,ROW()-3,L$3)=0,"","СП")</f>
        <v/>
      </c>
      <c r="M39" s="92" t="str">
        <f>IF(INDEX($CK$4:$DO$123,ROW()-3,M$3)=0,"","СП")</f>
        <v/>
      </c>
      <c r="N39" s="92" t="str">
        <f>IF(INDEX($CK$4:$DO$123,ROW()-3,N$3)=0,"","СП")</f>
        <v/>
      </c>
      <c r="O39" s="92" t="str">
        <f>IF(INDEX($CK$4:$DO$123,ROW()-3,O$3)=0,"","СП")</f>
        <v/>
      </c>
      <c r="P39" s="92" t="str">
        <f>IF(INDEX($CK$4:$DO$123,ROW()-3,P$3)=0,"","СП")</f>
        <v/>
      </c>
      <c r="Q39" s="92" t="str">
        <f>IF(INDEX($CK$4:$DO$123,ROW()-3,Q$3)=0,"","СП")</f>
        <v/>
      </c>
      <c r="R39" s="92" t="str">
        <f>IF(INDEX($CK$4:$DO$123,ROW()-3,R$3)=0,"","СП")</f>
        <v/>
      </c>
      <c r="S39" s="92" t="str">
        <f>IF(INDEX($CK$4:$DO$123,ROW()-3,S$3)=0,"","СП")</f>
        <v/>
      </c>
      <c r="T39" s="92" t="str">
        <f>IF(INDEX($CK$4:$DO$123,ROW()-3,T$3)=0,"","СП")</f>
        <v/>
      </c>
      <c r="U39" s="92" t="str">
        <f>IF(INDEX($CK$4:$DO$123,ROW()-3,U$3)=0,"","СП")</f>
        <v/>
      </c>
      <c r="V39" s="92" t="str">
        <f>IF(INDEX($CK$4:$DO$123,ROW()-3,V$3)=0,"","СП")</f>
        <v/>
      </c>
      <c r="W39" s="92" t="str">
        <f>IF(INDEX($CK$4:$DO$123,ROW()-3,W$3)=0,"","СП")</f>
        <v/>
      </c>
      <c r="X39" s="92" t="str">
        <f>IF(INDEX($CK$4:$DO$123,ROW()-3,X$3)=0,"","СП")</f>
        <v/>
      </c>
      <c r="Y39" s="92" t="str">
        <f>IF(INDEX($CK$4:$DO$123,ROW()-3,Y$3)=0,"","СП")</f>
        <v/>
      </c>
      <c r="Z39" s="92" t="str">
        <f>IF(INDEX($CK$4:$DO$123,ROW()-3,Z$3)=0,"","СП")</f>
        <v/>
      </c>
      <c r="AA39" s="92" t="str">
        <f>IF(INDEX($CK$4:$DO$123,ROW()-3,AA$3)=0,"","СП")</f>
        <v/>
      </c>
      <c r="AB39" s="92" t="str">
        <f>IF(INDEX($CK$4:$DO$123,ROW()-3,AB$3)=0,"","СП")</f>
        <v/>
      </c>
      <c r="AC39" s="92" t="str">
        <f>IF(INDEX($CK$4:$DO$123,ROW()-3,AC$3)=0,"","СП")</f>
        <v/>
      </c>
      <c r="AD39" s="92" t="str">
        <f>IF(INDEX($CK$4:$DO$123,ROW()-3,AD$3)=0,"","СП")</f>
        <v/>
      </c>
      <c r="AE39" s="92" t="str">
        <f>IF(INDEX($CK$4:$DO$123,ROW()-3,AE$3)=0,"","СП")</f>
        <v/>
      </c>
      <c r="AF39" s="92" t="str">
        <f>IF(INDEX($CK$4:$DO$123,ROW()-3,AF$3)=0,"","СП")</f>
        <v/>
      </c>
      <c r="AG39" s="92" t="str">
        <f>IF(INDEX($CK$4:$DO$123,ROW()-3,AG$3)=0,"","СП")</f>
        <v/>
      </c>
      <c r="AH39" s="92" t="str">
        <f>IF(INDEX($CK$4:$DO$123,ROW()-3,AH$3)=0,"","СП")</f>
        <v/>
      </c>
      <c r="AI39" s="110"/>
      <c r="AJ39" s="206"/>
      <c r="AK39" s="177"/>
      <c r="AL39" s="177"/>
      <c r="AM39" s="177"/>
      <c r="AN39" s="198"/>
      <c r="AO39" s="198"/>
      <c r="AP39" s="198"/>
      <c r="AQ39" s="177"/>
      <c r="AR39" s="179"/>
      <c r="CK39" s="58">
        <f>IF(DAY(INDEX('Сводный годовой график'!$BA$4:$BL$14,$C38,MONTH($B$34)))=E$3,1,0)</f>
        <v>0</v>
      </c>
      <c r="CL39" s="58">
        <f>IF(DAY(INDEX('Сводный годовой график'!$BA$4:$BL$14,$C38,MONTH($B$34)))=F$3,1,0)</f>
        <v>0</v>
      </c>
      <c r="CM39" s="58">
        <f>IF(DAY(INDEX('Сводный годовой график'!$BA$4:$BL$14,$C38,MONTH($B$34)))=G$3,1,0)</f>
        <v>0</v>
      </c>
      <c r="CN39" s="58">
        <f>IF(DAY(INDEX('Сводный годовой график'!$BA$4:$BL$14,$C38,MONTH($B$34)))=H$3,1,0)</f>
        <v>0</v>
      </c>
      <c r="CO39" s="58">
        <f>IF(DAY(INDEX('Сводный годовой график'!$BA$4:$BL$14,$C38,MONTH($B$34)))=I$3,1,0)</f>
        <v>0</v>
      </c>
      <c r="CP39" s="58">
        <f>IF(DAY(INDEX('Сводный годовой график'!$BA$4:$BL$14,$C38,MONTH($B$34)))=J$3,1,0)</f>
        <v>1</v>
      </c>
      <c r="CQ39" s="58">
        <f>IF(DAY(INDEX('Сводный годовой график'!$BA$4:$BL$14,$C38,MONTH($B$34)))=K$3,1,0)</f>
        <v>0</v>
      </c>
      <c r="CR39" s="58">
        <f>IF(DAY(INDEX('Сводный годовой график'!$BA$4:$BL$14,$C38,MONTH($B$34)))=L$3,1,0)</f>
        <v>0</v>
      </c>
      <c r="CS39" s="58">
        <f>IF(DAY(INDEX('Сводный годовой график'!$BA$4:$BL$14,$C38,MONTH($B$34)))=M$3,1,0)</f>
        <v>0</v>
      </c>
      <c r="CT39" s="58">
        <f>IF(DAY(INDEX('Сводный годовой график'!$BA$4:$BL$14,$C38,MONTH($B$34)))=N$3,1,0)</f>
        <v>0</v>
      </c>
      <c r="CU39" s="58">
        <f>IF(DAY(INDEX('Сводный годовой график'!$BA$4:$BL$14,$C38,MONTH($B$34)))=O$3,1,0)</f>
        <v>0</v>
      </c>
      <c r="CV39" s="58">
        <f>IF(DAY(INDEX('Сводный годовой график'!$BA$4:$BL$14,$C38,MONTH($B$34)))=P$3,1,0)</f>
        <v>0</v>
      </c>
      <c r="CW39" s="58">
        <f>IF(DAY(INDEX('Сводный годовой график'!$BA$4:$BL$14,$C38,MONTH($B$34)))=Q$3,1,0)</f>
        <v>0</v>
      </c>
      <c r="CX39" s="58">
        <f>IF(DAY(INDEX('Сводный годовой график'!$BA$4:$BL$14,$C38,MONTH($B$34)))=R$3,1,0)</f>
        <v>0</v>
      </c>
      <c r="CY39" s="58">
        <f>IF(DAY(INDEX('Сводный годовой график'!$BA$4:$BL$14,$C38,MONTH($B$34)))=S$3,1,0)</f>
        <v>0</v>
      </c>
      <c r="CZ39" s="58">
        <f>IF(DAY(INDEX('Сводный годовой график'!$BA$4:$BL$14,$C38,MONTH($B$34)))=T$3,1,0)</f>
        <v>0</v>
      </c>
      <c r="DA39" s="58">
        <f>IF(DAY(INDEX('Сводный годовой график'!$BA$4:$BL$14,$C38,MONTH($B$34)))=U$3,1,0)</f>
        <v>0</v>
      </c>
      <c r="DB39" s="58">
        <f>IF(DAY(INDEX('Сводный годовой график'!$BA$4:$BL$14,$C38,MONTH($B$34)))=V$3,1,0)</f>
        <v>0</v>
      </c>
      <c r="DC39" s="58">
        <f>IF(DAY(INDEX('Сводный годовой график'!$BA$4:$BL$14,$C38,MONTH($B$34)))=W$3,1,0)</f>
        <v>0</v>
      </c>
      <c r="DD39" s="58">
        <f>IF(DAY(INDEX('Сводный годовой график'!$BA$4:$BL$14,$C38,MONTH($B$34)))=X$3,1,0)</f>
        <v>0</v>
      </c>
      <c r="DE39" s="58">
        <f>IF(DAY(INDEX('Сводный годовой график'!$BA$4:$BL$14,$C38,MONTH($B$34)))=Y$3,1,0)</f>
        <v>0</v>
      </c>
      <c r="DF39" s="58">
        <f>IF(DAY(INDEX('Сводный годовой график'!$BA$4:$BL$14,$C38,MONTH($B$34)))=Z$3,1,0)</f>
        <v>0</v>
      </c>
      <c r="DG39" s="58">
        <f>IF(DAY(INDEX('Сводный годовой график'!$BA$4:$BL$14,$C38,MONTH($B$34)))=AA$3,1,0)</f>
        <v>0</v>
      </c>
      <c r="DH39" s="58">
        <f>IF(DAY(INDEX('Сводный годовой график'!$BA$4:$BL$14,$C38,MONTH($B$34)))=AB$3,1,0)</f>
        <v>0</v>
      </c>
      <c r="DI39" s="58">
        <f>IF(DAY(INDEX('Сводный годовой график'!$BA$4:$BL$14,$C38,MONTH($B$34)))=AC$3,1,0)</f>
        <v>0</v>
      </c>
      <c r="DJ39" s="58">
        <f>IF(DAY(INDEX('Сводный годовой график'!$BA$4:$BL$14,$C38,MONTH($B$34)))=AD$3,1,0)</f>
        <v>0</v>
      </c>
      <c r="DK39" s="58">
        <f>IF(DAY(INDEX('Сводный годовой график'!$BA$4:$BL$14,$C38,MONTH($B$34)))=AE$3,1,0)</f>
        <v>0</v>
      </c>
      <c r="DL39" s="58">
        <f>IF(DAY(INDEX('Сводный годовой график'!$BA$4:$BL$14,$C38,MONTH($B$34)))=AF$3,1,0)</f>
        <v>0</v>
      </c>
      <c r="DM39" s="58">
        <f>IF(DAY(INDEX('Сводный годовой график'!$BA$4:$BL$14,$C38,MONTH($B$34)))=AG$3,1,0)</f>
        <v>0</v>
      </c>
      <c r="DN39" s="58">
        <f>IF(DAY(INDEX('Сводный годовой график'!$BA$4:$BL$14,$C38,MONTH($B$34)))=AH$3,1,0)</f>
        <v>0</v>
      </c>
      <c r="DO39" s="58">
        <f>IF(DAY(INDEX('Сводный годовой график'!$BA$4:$BL$14,$C38,MONTH($B$34)))=AI$3,1,0)</f>
        <v>0</v>
      </c>
    </row>
    <row r="40" spans="2:119" ht="16.5" thickBot="1" x14ac:dyDescent="0.3">
      <c r="B40" s="201"/>
      <c r="C40" s="196">
        <v>4</v>
      </c>
      <c r="D40" s="81">
        <v>7</v>
      </c>
      <c r="E40" s="96">
        <f ca="1">IF(AND(INDEX('Сводный годовой график'!$C$1:$AR$4,MATCH($C$40,'Сводный годовой график'!$B$1:$B$4),MATCH(DATE($AV$1,MONTH($B$34),E$3),'Сводный годовой график'!$C$8:$AR$8))&lt;&gt;12,INDIRECT(ADDRESS(ROW()+1,COLUMN()))="СП"),8,INDEX('Сводный годовой график'!$C$1:$AR$4,MATCH($C$40,'Сводный годовой график'!$B$1:$B$4),MATCH(DATE($AV$1,MONTH($B$34),E$3),'Сводный годовой график'!$C$8:$AR$8)))</f>
        <v>8</v>
      </c>
      <c r="F40" s="92">
        <f ca="1">IF(AND(INDEX('Сводный годовой график'!$C$1:$AR$4,MATCH($C$40,'Сводный годовой график'!$B$1:$B$4),MATCH(DATE($AV$1,MONTH($B$34),F$3),'Сводный годовой график'!$C$8:$AR$8))&lt;&gt;12,INDIRECT(ADDRESS(ROW()+1,COLUMN()))="СП"),8,INDEX('Сводный годовой график'!$C$1:$AR$4,MATCH($C$40,'Сводный годовой график'!$B$1:$B$4),MATCH(DATE($AV$1,MONTH($B$34),F$3),'Сводный годовой график'!$C$8:$AR$8)))</f>
        <v>12</v>
      </c>
      <c r="G40" s="92">
        <f ca="1">IF(AND(INDEX('Сводный годовой график'!$C$1:$AR$4,MATCH($C$40,'Сводный годовой график'!$B$1:$B$4),MATCH(DATE($AV$1,MONTH($B$34),G$3),'Сводный годовой график'!$C$8:$AR$8))&lt;&gt;12,INDIRECT(ADDRESS(ROW()+1,COLUMN()))="СП"),8,INDEX('Сводный годовой график'!$C$1:$AR$4,MATCH($C$40,'Сводный годовой график'!$B$1:$B$4),MATCH(DATE($AV$1,MONTH($B$34),G$3),'Сводный годовой график'!$C$8:$AR$8)))</f>
        <v>0</v>
      </c>
      <c r="H40" s="92">
        <f ca="1">IF(AND(INDEX('Сводный годовой график'!$C$1:$AR$4,MATCH($C$40,'Сводный годовой график'!$B$1:$B$4),MATCH(DATE($AV$1,MONTH($B$34),H$3),'Сводный годовой график'!$C$8:$AR$8))&lt;&gt;12,INDIRECT(ADDRESS(ROW()+1,COLUMN()))="СП"),8,INDEX('Сводный годовой график'!$C$1:$AR$4,MATCH($C$40,'Сводный годовой график'!$B$1:$B$4),MATCH(DATE($AV$1,MONTH($B$34),H$3),'Сводный годовой график'!$C$8:$AR$8)))</f>
        <v>0</v>
      </c>
      <c r="I40" s="92">
        <f ca="1">IF(AND(INDEX('Сводный годовой график'!$C$1:$AR$4,MATCH($C$40,'Сводный годовой график'!$B$1:$B$4),MATCH(DATE($AV$1,MONTH($B$34),I$3),'Сводный годовой график'!$C$8:$AR$8))&lt;&gt;12,INDIRECT(ADDRESS(ROW()+1,COLUMN()))="СП"),8,INDEX('Сводный годовой график'!$C$1:$AR$4,MATCH($C$40,'Сводный годовой график'!$B$1:$B$4),MATCH(DATE($AV$1,MONTH($B$34),I$3),'Сводный годовой график'!$C$8:$AR$8)))</f>
        <v>4</v>
      </c>
      <c r="J40" s="92">
        <f ca="1">IF(AND(INDEX('Сводный годовой график'!$C$1:$AR$4,MATCH($C$40,'Сводный годовой график'!$B$1:$B$4),MATCH(DATE($AV$1,MONTH($B$34),J$3),'Сводный годовой график'!$C$8:$AR$8))&lt;&gt;12,INDIRECT(ADDRESS(ROW()+1,COLUMN()))="СП"),8,INDEX('Сводный годовой график'!$C$1:$AR$4,MATCH($C$40,'Сводный годовой график'!$B$1:$B$4),MATCH(DATE($AV$1,MONTH($B$34),J$3),'Сводный годовой график'!$C$8:$AR$8)))</f>
        <v>8</v>
      </c>
      <c r="K40" s="92">
        <f ca="1">IF(AND(INDEX('Сводный годовой график'!$C$1:$AR$4,MATCH($C$40,'Сводный годовой график'!$B$1:$B$4),MATCH(DATE($AV$1,MONTH($B$34),K$3),'Сводный годовой график'!$C$8:$AR$8))&lt;&gt;12,INDIRECT(ADDRESS(ROW()+1,COLUMN()))="СП"),8,INDEX('Сводный годовой график'!$C$1:$AR$4,MATCH($C$40,'Сводный годовой график'!$B$1:$B$4),MATCH(DATE($AV$1,MONTH($B$34),K$3),'Сводный годовой график'!$C$8:$AR$8)))</f>
        <v>12</v>
      </c>
      <c r="L40" s="92">
        <f ca="1">IF(AND(INDEX('Сводный годовой график'!$C$1:$AR$4,MATCH($C$40,'Сводный годовой график'!$B$1:$B$4),MATCH(DATE($AV$1,MONTH($B$34),L$3),'Сводный годовой график'!$C$8:$AR$8))&lt;&gt;12,INDIRECT(ADDRESS(ROW()+1,COLUMN()))="СП"),8,INDEX('Сводный годовой график'!$C$1:$AR$4,MATCH($C$40,'Сводный годовой график'!$B$1:$B$4),MATCH(DATE($AV$1,MONTH($B$34),L$3),'Сводный годовой график'!$C$8:$AR$8)))</f>
        <v>4</v>
      </c>
      <c r="M40" s="92">
        <f ca="1">IF(AND(INDEX('Сводный годовой график'!$C$1:$AR$4,MATCH($C$40,'Сводный годовой график'!$B$1:$B$4),MATCH(DATE($AV$1,MONTH($B$34),M$3),'Сводный годовой график'!$C$8:$AR$8))&lt;&gt;12,INDIRECT(ADDRESS(ROW()+1,COLUMN()))="СП"),8,INDEX('Сводный годовой график'!$C$1:$AR$4,MATCH($C$40,'Сводный годовой график'!$B$1:$B$4),MATCH(DATE($AV$1,MONTH($B$34),M$3),'Сводный годовой график'!$C$8:$AR$8)))</f>
        <v>8</v>
      </c>
      <c r="N40" s="92">
        <f ca="1">IF(AND(INDEX('Сводный годовой график'!$C$1:$AR$4,MATCH($C$40,'Сводный годовой график'!$B$1:$B$4),MATCH(DATE($AV$1,MONTH($B$34),N$3),'Сводный годовой график'!$C$8:$AR$8))&lt;&gt;12,INDIRECT(ADDRESS(ROW()+1,COLUMN()))="СП"),8,INDEX('Сводный годовой график'!$C$1:$AR$4,MATCH($C$40,'Сводный годовой график'!$B$1:$B$4),MATCH(DATE($AV$1,MONTH($B$34),N$3),'Сводный годовой график'!$C$8:$AR$8)))</f>
        <v>12</v>
      </c>
      <c r="O40" s="92">
        <f ca="1">IF(AND(INDEX('Сводный годовой график'!$C$1:$AR$4,MATCH($C$40,'Сводный годовой график'!$B$1:$B$4),MATCH(DATE($AV$1,MONTH($B$34),O$3),'Сводный годовой график'!$C$8:$AR$8))&lt;&gt;12,INDIRECT(ADDRESS(ROW()+1,COLUMN()))="СП"),8,INDEX('Сводный годовой график'!$C$1:$AR$4,MATCH($C$40,'Сводный годовой график'!$B$1:$B$4),MATCH(DATE($AV$1,MONTH($B$34),O$3),'Сводный годовой график'!$C$8:$AR$8)))</f>
        <v>0</v>
      </c>
      <c r="P40" s="92">
        <f ca="1">IF(AND(INDEX('Сводный годовой график'!$C$1:$AR$4,MATCH($C$40,'Сводный годовой график'!$B$1:$B$4),MATCH(DATE($AV$1,MONTH($B$34),P$3),'Сводный годовой график'!$C$8:$AR$8))&lt;&gt;12,INDIRECT(ADDRESS(ROW()+1,COLUMN()))="СП"),8,INDEX('Сводный годовой график'!$C$1:$AR$4,MATCH($C$40,'Сводный годовой график'!$B$1:$B$4),MATCH(DATE($AV$1,MONTH($B$34),P$3),'Сводный годовой график'!$C$8:$AR$8)))</f>
        <v>0</v>
      </c>
      <c r="Q40" s="92">
        <f ca="1">IF(AND(INDEX('Сводный годовой график'!$C$1:$AR$4,MATCH($C$40,'Сводный годовой график'!$B$1:$B$4),MATCH(DATE($AV$1,MONTH($B$34),Q$3),'Сводный годовой график'!$C$8:$AR$8))&lt;&gt;12,INDIRECT(ADDRESS(ROW()+1,COLUMN()))="СП"),8,INDEX('Сводный годовой график'!$C$1:$AR$4,MATCH($C$40,'Сводный годовой график'!$B$1:$B$4),MATCH(DATE($AV$1,MONTH($B$34),Q$3),'Сводный годовой график'!$C$8:$AR$8)))</f>
        <v>4</v>
      </c>
      <c r="R40" s="92">
        <f ca="1">IF(AND(INDEX('Сводный годовой график'!$C$1:$AR$4,MATCH($C$40,'Сводный годовой график'!$B$1:$B$4),MATCH(DATE($AV$1,MONTH($B$34),R$3),'Сводный годовой график'!$C$8:$AR$8))&lt;&gt;12,INDIRECT(ADDRESS(ROW()+1,COLUMN()))="СП"),8,INDEX('Сводный годовой график'!$C$1:$AR$4,MATCH($C$40,'Сводный годовой график'!$B$1:$B$4),MATCH(DATE($AV$1,MONTH($B$34),R$3),'Сводный годовой график'!$C$8:$AR$8)))</f>
        <v>8</v>
      </c>
      <c r="S40" s="92">
        <f ca="1">IF(AND(INDEX('Сводный годовой график'!$C$1:$AR$4,MATCH($C$40,'Сводный годовой график'!$B$1:$B$4),MATCH(DATE($AV$1,MONTH($B$34),S$3),'Сводный годовой график'!$C$8:$AR$8))&lt;&gt;12,INDIRECT(ADDRESS(ROW()+1,COLUMN()))="СП"),8,INDEX('Сводный годовой график'!$C$1:$AR$4,MATCH($C$40,'Сводный годовой график'!$B$1:$B$4),MATCH(DATE($AV$1,MONTH($B$34),S$3),'Сводный годовой график'!$C$8:$AR$8)))</f>
        <v>12</v>
      </c>
      <c r="T40" s="92">
        <f ca="1">IF(AND(INDEX('Сводный годовой график'!$C$1:$AR$4,MATCH($C$40,'Сводный годовой график'!$B$1:$B$4),MATCH(DATE($AV$1,MONTH($B$34),T$3),'Сводный годовой график'!$C$8:$AR$8))&lt;&gt;12,INDIRECT(ADDRESS(ROW()+1,COLUMN()))="СП"),8,INDEX('Сводный годовой график'!$C$1:$AR$4,MATCH($C$40,'Сводный годовой график'!$B$1:$B$4),MATCH(DATE($AV$1,MONTH($B$34),T$3),'Сводный годовой график'!$C$8:$AR$8)))</f>
        <v>4</v>
      </c>
      <c r="U40" s="92">
        <f ca="1">IF(AND(INDEX('Сводный годовой график'!$C$1:$AR$4,MATCH($C$40,'Сводный годовой график'!$B$1:$B$4),MATCH(DATE($AV$1,MONTH($B$34),U$3),'Сводный годовой график'!$C$8:$AR$8))&lt;&gt;12,INDIRECT(ADDRESS(ROW()+1,COLUMN()))="СП"),8,INDEX('Сводный годовой график'!$C$1:$AR$4,MATCH($C$40,'Сводный годовой график'!$B$1:$B$4),MATCH(DATE($AV$1,MONTH($B$34),U$3),'Сводный годовой график'!$C$8:$AR$8)))</f>
        <v>8</v>
      </c>
      <c r="V40" s="92">
        <f ca="1">IF(AND(INDEX('Сводный годовой график'!$C$1:$AR$4,MATCH($C$40,'Сводный годовой график'!$B$1:$B$4),MATCH(DATE($AV$1,MONTH($B$34),V$3),'Сводный годовой график'!$C$8:$AR$8))&lt;&gt;12,INDIRECT(ADDRESS(ROW()+1,COLUMN()))="СП"),8,INDEX('Сводный годовой график'!$C$1:$AR$4,MATCH($C$40,'Сводный годовой график'!$B$1:$B$4),MATCH(DATE($AV$1,MONTH($B$34),V$3),'Сводный годовой график'!$C$8:$AR$8)))</f>
        <v>12</v>
      </c>
      <c r="W40" s="92">
        <f ca="1">IF(AND(INDEX('Сводный годовой график'!$C$1:$AR$4,MATCH($C$40,'Сводный годовой график'!$B$1:$B$4),MATCH(DATE($AV$1,MONTH($B$34),W$3),'Сводный годовой график'!$C$8:$AR$8))&lt;&gt;12,INDIRECT(ADDRESS(ROW()+1,COLUMN()))="СП"),8,INDEX('Сводный годовой график'!$C$1:$AR$4,MATCH($C$40,'Сводный годовой график'!$B$1:$B$4),MATCH(DATE($AV$1,MONTH($B$34),W$3),'Сводный годовой график'!$C$8:$AR$8)))</f>
        <v>0</v>
      </c>
      <c r="X40" s="92">
        <f ca="1">IF(AND(INDEX('Сводный годовой график'!$C$1:$AR$4,MATCH($C$40,'Сводный годовой график'!$B$1:$B$4),MATCH(DATE($AV$1,MONTH($B$34),X$3),'Сводный годовой график'!$C$8:$AR$8))&lt;&gt;12,INDIRECT(ADDRESS(ROW()+1,COLUMN()))="СП"),8,INDEX('Сводный годовой график'!$C$1:$AR$4,MATCH($C$40,'Сводный годовой график'!$B$1:$B$4),MATCH(DATE($AV$1,MONTH($B$34),X$3),'Сводный годовой график'!$C$8:$AR$8)))</f>
        <v>0</v>
      </c>
      <c r="Y40" s="92">
        <f ca="1">IF(AND(INDEX('Сводный годовой график'!$C$1:$AR$4,MATCH($C$40,'Сводный годовой график'!$B$1:$B$4),MATCH(DATE($AV$1,MONTH($B$34),Y$3),'Сводный годовой график'!$C$8:$AR$8))&lt;&gt;12,INDIRECT(ADDRESS(ROW()+1,COLUMN()))="СП"),8,INDEX('Сводный годовой график'!$C$1:$AR$4,MATCH($C$40,'Сводный годовой график'!$B$1:$B$4),MATCH(DATE($AV$1,MONTH($B$34),Y$3),'Сводный годовой график'!$C$8:$AR$8)))</f>
        <v>4</v>
      </c>
      <c r="Z40" s="92">
        <f ca="1">IF(AND(INDEX('Сводный годовой график'!$C$1:$AR$4,MATCH($C$40,'Сводный годовой график'!$B$1:$B$4),MATCH(DATE($AV$1,MONTH($B$34),Z$3),'Сводный годовой график'!$C$8:$AR$8))&lt;&gt;12,INDIRECT(ADDRESS(ROW()+1,COLUMN()))="СП"),8,INDEX('Сводный годовой график'!$C$1:$AR$4,MATCH($C$40,'Сводный годовой график'!$B$1:$B$4),MATCH(DATE($AV$1,MONTH($B$34),Z$3),'Сводный годовой график'!$C$8:$AR$8)))</f>
        <v>8</v>
      </c>
      <c r="AA40" s="92">
        <f ca="1">IF(AND(INDEX('Сводный годовой график'!$C$1:$AR$4,MATCH($C$40,'Сводный годовой график'!$B$1:$B$4),MATCH(DATE($AV$1,MONTH($B$34),AA$3),'Сводный годовой график'!$C$8:$AR$8))&lt;&gt;12,INDIRECT(ADDRESS(ROW()+1,COLUMN()))="СП"),8,INDEX('Сводный годовой график'!$C$1:$AR$4,MATCH($C$40,'Сводный годовой график'!$B$1:$B$4),MATCH(DATE($AV$1,MONTH($B$34),AA$3),'Сводный годовой график'!$C$8:$AR$8)))</f>
        <v>12</v>
      </c>
      <c r="AB40" s="92">
        <f ca="1">IF(AND(INDEX('Сводный годовой график'!$C$1:$AR$4,MATCH($C$40,'Сводный годовой график'!$B$1:$B$4),MATCH(DATE($AV$1,MONTH($B$34),AB$3),'Сводный годовой график'!$C$8:$AR$8))&lt;&gt;12,INDIRECT(ADDRESS(ROW()+1,COLUMN()))="СП"),8,INDEX('Сводный годовой график'!$C$1:$AR$4,MATCH($C$40,'Сводный годовой график'!$B$1:$B$4),MATCH(DATE($AV$1,MONTH($B$34),AB$3),'Сводный годовой график'!$C$8:$AR$8)))</f>
        <v>4</v>
      </c>
      <c r="AC40" s="92">
        <f ca="1">IF(AND(INDEX('Сводный годовой график'!$C$1:$AR$4,MATCH($C$40,'Сводный годовой график'!$B$1:$B$4),MATCH(DATE($AV$1,MONTH($B$34),AC$3),'Сводный годовой график'!$C$8:$AR$8))&lt;&gt;12,INDIRECT(ADDRESS(ROW()+1,COLUMN()))="СП"),8,INDEX('Сводный годовой график'!$C$1:$AR$4,MATCH($C$40,'Сводный годовой график'!$B$1:$B$4),MATCH(DATE($AV$1,MONTH($B$34),AC$3),'Сводный годовой график'!$C$8:$AR$8)))</f>
        <v>8</v>
      </c>
      <c r="AD40" s="92">
        <f ca="1">IF(AND(INDEX('Сводный годовой график'!$C$1:$AR$4,MATCH($C$40,'Сводный годовой график'!$B$1:$B$4),MATCH(DATE($AV$1,MONTH($B$34),AD$3),'Сводный годовой график'!$C$8:$AR$8))&lt;&gt;12,INDIRECT(ADDRESS(ROW()+1,COLUMN()))="СП"),8,INDEX('Сводный годовой график'!$C$1:$AR$4,MATCH($C$40,'Сводный годовой график'!$B$1:$B$4),MATCH(DATE($AV$1,MONTH($B$34),AD$3),'Сводный годовой график'!$C$8:$AR$8)))</f>
        <v>12</v>
      </c>
      <c r="AE40" s="92">
        <f ca="1">IF(AND(INDEX('Сводный годовой график'!$C$1:$AR$4,MATCH($C$40,'Сводный годовой график'!$B$1:$B$4),MATCH(DATE($AV$1,MONTH($B$34),AE$3),'Сводный годовой график'!$C$8:$AR$8))&lt;&gt;12,INDIRECT(ADDRESS(ROW()+1,COLUMN()))="СП"),8,INDEX('Сводный годовой график'!$C$1:$AR$4,MATCH($C$40,'Сводный годовой график'!$B$1:$B$4),MATCH(DATE($AV$1,MONTH($B$34),AE$3),'Сводный годовой график'!$C$8:$AR$8)))</f>
        <v>0</v>
      </c>
      <c r="AF40" s="92">
        <f ca="1">IF(AND(INDEX('Сводный годовой график'!$C$1:$AR$4,MATCH($C$40,'Сводный годовой график'!$B$1:$B$4),MATCH(DATE($AV$1,MONTH($B$34),AF$3),'Сводный годовой график'!$C$8:$AR$8))&lt;&gt;12,INDIRECT(ADDRESS(ROW()+1,COLUMN()))="СП"),8,INDEX('Сводный годовой график'!$C$1:$AR$4,MATCH($C$40,'Сводный годовой график'!$B$1:$B$4),MATCH(DATE($AV$1,MONTH($B$34),AF$3),'Сводный годовой график'!$C$8:$AR$8)))</f>
        <v>0</v>
      </c>
      <c r="AG40" s="92">
        <f ca="1">IF(AND(INDEX('Сводный годовой график'!$C$1:$AR$4,MATCH($C$40,'Сводный годовой график'!$B$1:$B$4),MATCH(DATE($AV$1,MONTH($B$34),AG$3),'Сводный годовой график'!$C$8:$AR$8))&lt;&gt;12,INDIRECT(ADDRESS(ROW()+1,COLUMN()))="СП"),8,INDEX('Сводный годовой график'!$C$1:$AR$4,MATCH($C$40,'Сводный годовой график'!$B$1:$B$4),MATCH(DATE($AV$1,MONTH($B$34),AG$3),'Сводный годовой график'!$C$8:$AR$8)))</f>
        <v>4</v>
      </c>
      <c r="AH40" s="92">
        <f ca="1">IF(AND(INDEX('Сводный годовой график'!$C$1:$AR$4,MATCH($C$40,'Сводный годовой график'!$B$1:$B$4),MATCH(DATE($AV$1,MONTH($B$34),AH$3),'Сводный годовой график'!$C$8:$AR$8))&lt;&gt;12,INDIRECT(ADDRESS(ROW()+1,COLUMN()))="СП"),8,INDEX('Сводный годовой график'!$C$1:$AR$4,MATCH($C$40,'Сводный годовой график'!$B$1:$B$4),MATCH(DATE($AV$1,MONTH($B$34),AH$3),'Сводный годовой график'!$C$8:$AR$8)))</f>
        <v>8</v>
      </c>
      <c r="AI40" s="110"/>
      <c r="AJ40" s="206"/>
      <c r="AK40" s="177">
        <f>$AJ$34-SUM(AY40:CC41)</f>
        <v>175</v>
      </c>
      <c r="AL40" s="177">
        <f t="shared" ref="AL40" ca="1" si="47">SUM(E40:AI41)</f>
        <v>176</v>
      </c>
      <c r="AM40" s="177">
        <v>0</v>
      </c>
      <c r="AN40" s="198">
        <f t="shared" ref="AN40" ca="1" si="48">-AM40-AK40+AL40</f>
        <v>1</v>
      </c>
      <c r="AO40" s="198">
        <v>0</v>
      </c>
      <c r="AP40" s="198">
        <f t="shared" ref="AP40" ca="1" si="49">AN40+AP30-AO40</f>
        <v>26</v>
      </c>
      <c r="AQ40" s="177">
        <v>0</v>
      </c>
      <c r="AR40" s="179">
        <v>1</v>
      </c>
      <c r="CK40" s="59"/>
      <c r="CL40" s="59"/>
      <c r="CM40" s="59"/>
      <c r="CN40" s="59"/>
      <c r="CO40" s="59"/>
      <c r="CP40" s="59"/>
      <c r="CQ40" s="59"/>
      <c r="CR40" s="59"/>
      <c r="CS40" s="59"/>
      <c r="CT40" s="59"/>
      <c r="CU40" s="59"/>
      <c r="CV40" s="59"/>
      <c r="CW40" s="59"/>
      <c r="CX40" s="59"/>
      <c r="CY40" s="59"/>
      <c r="CZ40" s="59"/>
      <c r="DA40" s="59"/>
      <c r="DB40" s="59"/>
      <c r="DC40" s="59"/>
      <c r="DD40" s="59"/>
      <c r="DE40" s="59"/>
      <c r="DF40" s="59"/>
      <c r="DG40" s="59"/>
      <c r="DH40" s="59"/>
      <c r="DI40" s="59"/>
      <c r="DJ40" s="59"/>
      <c r="DK40" s="59"/>
      <c r="DL40" s="59"/>
      <c r="DM40" s="59"/>
      <c r="DN40" s="59"/>
      <c r="DO40" s="59"/>
    </row>
    <row r="41" spans="2:119" ht="16.5" thickBot="1" x14ac:dyDescent="0.3">
      <c r="B41" s="201"/>
      <c r="C41" s="197"/>
      <c r="D41" s="82">
        <v>8</v>
      </c>
      <c r="E41" s="96" t="str">
        <f>IF(INDEX($CK$4:$DO$123,ROW()-3,E$3)=0,"","СП")</f>
        <v/>
      </c>
      <c r="F41" s="92" t="str">
        <f>IF(INDEX($CK$4:$DO$123,ROW()-3,F$3)=0,"","СП")</f>
        <v/>
      </c>
      <c r="G41" s="92" t="str">
        <f>IF(INDEX($CK$4:$DO$123,ROW()-3,G$3)=0,"","СП")</f>
        <v/>
      </c>
      <c r="H41" s="92" t="str">
        <f>IF(INDEX($CK$4:$DO$123,ROW()-3,H$3)=0,"","СП")</f>
        <v/>
      </c>
      <c r="I41" s="92" t="str">
        <f>IF(INDEX($CK$4:$DO$123,ROW()-3,I$3)=0,"","СП")</f>
        <v/>
      </c>
      <c r="J41" s="92" t="str">
        <f>IF(INDEX($CK$4:$DO$123,ROW()-3,J$3)=0,"","СП")</f>
        <v/>
      </c>
      <c r="K41" s="92" t="str">
        <f>IF(INDEX($CK$4:$DO$123,ROW()-3,K$3)=0,"","СП")</f>
        <v>СП</v>
      </c>
      <c r="L41" s="92" t="str">
        <f>IF(INDEX($CK$4:$DO$123,ROW()-3,L$3)=0,"","СП")</f>
        <v/>
      </c>
      <c r="M41" s="92" t="str">
        <f>IF(INDEX($CK$4:$DO$123,ROW()-3,M$3)=0,"","СП")</f>
        <v/>
      </c>
      <c r="N41" s="92" t="str">
        <f>IF(INDEX($CK$4:$DO$123,ROW()-3,N$3)=0,"","СП")</f>
        <v/>
      </c>
      <c r="O41" s="92" t="str">
        <f>IF(INDEX($CK$4:$DO$123,ROW()-3,O$3)=0,"","СП")</f>
        <v/>
      </c>
      <c r="P41" s="92" t="str">
        <f>IF(INDEX($CK$4:$DO$123,ROW()-3,P$3)=0,"","СП")</f>
        <v/>
      </c>
      <c r="Q41" s="92" t="str">
        <f>IF(INDEX($CK$4:$DO$123,ROW()-3,Q$3)=0,"","СП")</f>
        <v/>
      </c>
      <c r="R41" s="92" t="str">
        <f>IF(INDEX($CK$4:$DO$123,ROW()-3,R$3)=0,"","СП")</f>
        <v/>
      </c>
      <c r="S41" s="92" t="str">
        <f>IF(INDEX($CK$4:$DO$123,ROW()-3,S$3)=0,"","СП")</f>
        <v/>
      </c>
      <c r="T41" s="92" t="str">
        <f>IF(INDEX($CK$4:$DO$123,ROW()-3,T$3)=0,"","СП")</f>
        <v/>
      </c>
      <c r="U41" s="92" t="str">
        <f>IF(INDEX($CK$4:$DO$123,ROW()-3,U$3)=0,"","СП")</f>
        <v/>
      </c>
      <c r="V41" s="92" t="str">
        <f>IF(INDEX($CK$4:$DO$123,ROW()-3,V$3)=0,"","СП")</f>
        <v/>
      </c>
      <c r="W41" s="92" t="str">
        <f>IF(INDEX($CK$4:$DO$123,ROW()-3,W$3)=0,"","СП")</f>
        <v/>
      </c>
      <c r="X41" s="92" t="str">
        <f>IF(INDEX($CK$4:$DO$123,ROW()-3,X$3)=0,"","СП")</f>
        <v/>
      </c>
      <c r="Y41" s="92" t="str">
        <f>IF(INDEX($CK$4:$DO$123,ROW()-3,Y$3)=0,"","СП")</f>
        <v/>
      </c>
      <c r="Z41" s="92" t="str">
        <f>IF(INDEX($CK$4:$DO$123,ROW()-3,Z$3)=0,"","СП")</f>
        <v/>
      </c>
      <c r="AA41" s="92" t="str">
        <f>IF(INDEX($CK$4:$DO$123,ROW()-3,AA$3)=0,"","СП")</f>
        <v/>
      </c>
      <c r="AB41" s="92" t="str">
        <f>IF(INDEX($CK$4:$DO$123,ROW()-3,AB$3)=0,"","СП")</f>
        <v/>
      </c>
      <c r="AC41" s="92" t="str">
        <f>IF(INDEX($CK$4:$DO$123,ROW()-3,AC$3)=0,"","СП")</f>
        <v/>
      </c>
      <c r="AD41" s="92" t="str">
        <f>IF(INDEX($CK$4:$DO$123,ROW()-3,AD$3)=0,"","СП")</f>
        <v/>
      </c>
      <c r="AE41" s="92" t="str">
        <f>IF(INDEX($CK$4:$DO$123,ROW()-3,AE$3)=0,"","СП")</f>
        <v/>
      </c>
      <c r="AF41" s="92" t="str">
        <f>IF(INDEX($CK$4:$DO$123,ROW()-3,AF$3)=0,"","СП")</f>
        <v/>
      </c>
      <c r="AG41" s="92" t="str">
        <f>IF(INDEX($CK$4:$DO$123,ROW()-3,AG$3)=0,"","СП")</f>
        <v/>
      </c>
      <c r="AH41" s="92" t="str">
        <f>IF(INDEX($CK$4:$DO$123,ROW()-3,AH$3)=0,"","СП")</f>
        <v/>
      </c>
      <c r="AI41" s="110"/>
      <c r="AJ41" s="206"/>
      <c r="AK41" s="177"/>
      <c r="AL41" s="177"/>
      <c r="AM41" s="177"/>
      <c r="AN41" s="198"/>
      <c r="AO41" s="198"/>
      <c r="AP41" s="198"/>
      <c r="AQ41" s="177"/>
      <c r="AR41" s="179"/>
      <c r="CK41" s="58">
        <f>IF(DAY(INDEX('Сводный годовой график'!$BA$4:$BL$14,$C40,MONTH($B$34)))=E$3,1,0)</f>
        <v>0</v>
      </c>
      <c r="CL41" s="58">
        <f>IF(DAY(INDEX('Сводный годовой график'!$BA$4:$BL$14,$C40,MONTH($B$34)))=F$3,1,0)</f>
        <v>0</v>
      </c>
      <c r="CM41" s="58">
        <f>IF(DAY(INDEX('Сводный годовой график'!$BA$4:$BL$14,$C40,MONTH($B$34)))=G$3,1,0)</f>
        <v>0</v>
      </c>
      <c r="CN41" s="58">
        <f>IF(DAY(INDEX('Сводный годовой график'!$BA$4:$BL$14,$C40,MONTH($B$34)))=H$3,1,0)</f>
        <v>0</v>
      </c>
      <c r="CO41" s="58">
        <f>IF(DAY(INDEX('Сводный годовой график'!$BA$4:$BL$14,$C40,MONTH($B$34)))=I$3,1,0)</f>
        <v>0</v>
      </c>
      <c r="CP41" s="58">
        <f>IF(DAY(INDEX('Сводный годовой график'!$BA$4:$BL$14,$C40,MONTH($B$34)))=J$3,1,0)</f>
        <v>0</v>
      </c>
      <c r="CQ41" s="58">
        <f>IF(DAY(INDEX('Сводный годовой график'!$BA$4:$BL$14,$C40,MONTH($B$34)))=K$3,1,0)</f>
        <v>1</v>
      </c>
      <c r="CR41" s="58">
        <f>IF(DAY(INDEX('Сводный годовой график'!$BA$4:$BL$14,$C40,MONTH($B$34)))=L$3,1,0)</f>
        <v>0</v>
      </c>
      <c r="CS41" s="58">
        <f>IF(DAY(INDEX('Сводный годовой график'!$BA$4:$BL$14,$C40,MONTH($B$34)))=M$3,1,0)</f>
        <v>0</v>
      </c>
      <c r="CT41" s="58">
        <f>IF(DAY(INDEX('Сводный годовой график'!$BA$4:$BL$14,$C40,MONTH($B$34)))=N$3,1,0)</f>
        <v>0</v>
      </c>
      <c r="CU41" s="58">
        <f>IF(DAY(INDEX('Сводный годовой график'!$BA$4:$BL$14,$C40,MONTH($B$34)))=O$3,1,0)</f>
        <v>0</v>
      </c>
      <c r="CV41" s="58">
        <f>IF(DAY(INDEX('Сводный годовой график'!$BA$4:$BL$14,$C40,MONTH($B$34)))=P$3,1,0)</f>
        <v>0</v>
      </c>
      <c r="CW41" s="58">
        <f>IF(DAY(INDEX('Сводный годовой график'!$BA$4:$BL$14,$C40,MONTH($B$34)))=Q$3,1,0)</f>
        <v>0</v>
      </c>
      <c r="CX41" s="58">
        <f>IF(DAY(INDEX('Сводный годовой график'!$BA$4:$BL$14,$C40,MONTH($B$34)))=R$3,1,0)</f>
        <v>0</v>
      </c>
      <c r="CY41" s="58">
        <f>IF(DAY(INDEX('Сводный годовой график'!$BA$4:$BL$14,$C40,MONTH($B$34)))=S$3,1,0)</f>
        <v>0</v>
      </c>
      <c r="CZ41" s="58">
        <f>IF(DAY(INDEX('Сводный годовой график'!$BA$4:$BL$14,$C40,MONTH($B$34)))=T$3,1,0)</f>
        <v>0</v>
      </c>
      <c r="DA41" s="58">
        <f>IF(DAY(INDEX('Сводный годовой график'!$BA$4:$BL$14,$C40,MONTH($B$34)))=U$3,1,0)</f>
        <v>0</v>
      </c>
      <c r="DB41" s="58">
        <f>IF(DAY(INDEX('Сводный годовой график'!$BA$4:$BL$14,$C40,MONTH($B$34)))=V$3,1,0)</f>
        <v>0</v>
      </c>
      <c r="DC41" s="58">
        <f>IF(DAY(INDEX('Сводный годовой график'!$BA$4:$BL$14,$C40,MONTH($B$34)))=W$3,1,0)</f>
        <v>0</v>
      </c>
      <c r="DD41" s="58">
        <f>IF(DAY(INDEX('Сводный годовой график'!$BA$4:$BL$14,$C40,MONTH($B$34)))=X$3,1,0)</f>
        <v>0</v>
      </c>
      <c r="DE41" s="58">
        <f>IF(DAY(INDEX('Сводный годовой график'!$BA$4:$BL$14,$C40,MONTH($B$34)))=Y$3,1,0)</f>
        <v>0</v>
      </c>
      <c r="DF41" s="58">
        <f>IF(DAY(INDEX('Сводный годовой график'!$BA$4:$BL$14,$C40,MONTH($B$34)))=Z$3,1,0)</f>
        <v>0</v>
      </c>
      <c r="DG41" s="58">
        <f>IF(DAY(INDEX('Сводный годовой график'!$BA$4:$BL$14,$C40,MONTH($B$34)))=AA$3,1,0)</f>
        <v>0</v>
      </c>
      <c r="DH41" s="58">
        <f>IF(DAY(INDEX('Сводный годовой график'!$BA$4:$BL$14,$C40,MONTH($B$34)))=AB$3,1,0)</f>
        <v>0</v>
      </c>
      <c r="DI41" s="58">
        <f>IF(DAY(INDEX('Сводный годовой график'!$BA$4:$BL$14,$C40,MONTH($B$34)))=AC$3,1,0)</f>
        <v>0</v>
      </c>
      <c r="DJ41" s="58">
        <f>IF(DAY(INDEX('Сводный годовой график'!$BA$4:$BL$14,$C40,MONTH($B$34)))=AD$3,1,0)</f>
        <v>0</v>
      </c>
      <c r="DK41" s="58">
        <f>IF(DAY(INDEX('Сводный годовой график'!$BA$4:$BL$14,$C40,MONTH($B$34)))=AE$3,1,0)</f>
        <v>0</v>
      </c>
      <c r="DL41" s="58">
        <f>IF(DAY(INDEX('Сводный годовой график'!$BA$4:$BL$14,$C40,MONTH($B$34)))=AF$3,1,0)</f>
        <v>0</v>
      </c>
      <c r="DM41" s="58">
        <f>IF(DAY(INDEX('Сводный годовой график'!$BA$4:$BL$14,$C40,MONTH($B$34)))=AG$3,1,0)</f>
        <v>0</v>
      </c>
      <c r="DN41" s="58">
        <f>IF(DAY(INDEX('Сводный годовой график'!$BA$4:$BL$14,$C40,MONTH($B$34)))=AH$3,1,0)</f>
        <v>0</v>
      </c>
      <c r="DO41" s="58">
        <f>IF(DAY(INDEX('Сводный годовой график'!$BA$4:$BL$14,$C40,MONTH($B$34)))=AI$3,1,0)</f>
        <v>0</v>
      </c>
    </row>
    <row r="42" spans="2:119" ht="16.5" thickBot="1" x14ac:dyDescent="0.3">
      <c r="B42" s="201"/>
      <c r="C42" s="196">
        <v>5</v>
      </c>
      <c r="D42" s="81">
        <v>9</v>
      </c>
      <c r="E42" s="96" t="s">
        <v>36</v>
      </c>
      <c r="F42" s="92" t="s">
        <v>36</v>
      </c>
      <c r="G42" s="92" t="s">
        <v>36</v>
      </c>
      <c r="H42" s="92" t="s">
        <v>36</v>
      </c>
      <c r="I42" s="92" t="s">
        <v>36</v>
      </c>
      <c r="J42" s="92" t="s">
        <v>36</v>
      </c>
      <c r="K42" s="92" t="s">
        <v>36</v>
      </c>
      <c r="L42" s="92" t="s">
        <v>36</v>
      </c>
      <c r="M42" s="92" t="s">
        <v>36</v>
      </c>
      <c r="N42" s="92" t="s">
        <v>36</v>
      </c>
      <c r="O42" s="92" t="s">
        <v>36</v>
      </c>
      <c r="P42" s="92" t="s">
        <v>36</v>
      </c>
      <c r="Q42" s="92" t="s">
        <v>36</v>
      </c>
      <c r="R42" s="92" t="s">
        <v>36</v>
      </c>
      <c r="S42" s="92" t="s">
        <v>36</v>
      </c>
      <c r="T42" s="92" t="s">
        <v>36</v>
      </c>
      <c r="U42" s="92" t="s">
        <v>36</v>
      </c>
      <c r="V42" s="92" t="s">
        <v>36</v>
      </c>
      <c r="W42" s="92" t="s">
        <v>36</v>
      </c>
      <c r="X42" s="92" t="s">
        <v>36</v>
      </c>
      <c r="Y42" s="92" t="s">
        <v>36</v>
      </c>
      <c r="Z42" s="92" t="s">
        <v>36</v>
      </c>
      <c r="AA42" s="92" t="s">
        <v>36</v>
      </c>
      <c r="AB42" s="92" t="s">
        <v>36</v>
      </c>
      <c r="AC42" s="92" t="s">
        <v>36</v>
      </c>
      <c r="AD42" s="92" t="s">
        <v>36</v>
      </c>
      <c r="AE42" s="92" t="s">
        <v>36</v>
      </c>
      <c r="AF42" s="92" t="s">
        <v>36</v>
      </c>
      <c r="AG42" s="92" t="s">
        <v>36</v>
      </c>
      <c r="AH42" s="92" t="s">
        <v>36</v>
      </c>
      <c r="AI42" s="110"/>
      <c r="AJ42" s="206"/>
      <c r="AK42" s="177">
        <f>$AJ$34-SUM(AY42:CC43)</f>
        <v>175</v>
      </c>
      <c r="AL42" s="177">
        <f t="shared" ref="AL42" si="50">SUM(E42:AI43)</f>
        <v>0</v>
      </c>
      <c r="AM42" s="177">
        <v>0</v>
      </c>
      <c r="AN42" s="198">
        <f t="shared" ref="AN42" si="51">-AM42-AK42+AL42</f>
        <v>-175</v>
      </c>
      <c r="AO42" s="198">
        <v>12</v>
      </c>
      <c r="AP42" s="198">
        <f t="shared" ref="AP42" si="52">AN42+AP32-AO42</f>
        <v>-662</v>
      </c>
      <c r="AQ42" s="177">
        <v>0</v>
      </c>
      <c r="AR42" s="179">
        <v>1</v>
      </c>
      <c r="CK42" s="59"/>
      <c r="CL42" s="59"/>
      <c r="CM42" s="59"/>
      <c r="CN42" s="59"/>
      <c r="CO42" s="59"/>
      <c r="CP42" s="59"/>
      <c r="CQ42" s="59"/>
      <c r="CR42" s="59"/>
      <c r="CS42" s="59"/>
      <c r="CT42" s="59"/>
      <c r="CU42" s="59"/>
      <c r="CV42" s="59"/>
      <c r="CW42" s="59"/>
      <c r="CX42" s="59"/>
      <c r="CY42" s="59"/>
      <c r="CZ42" s="59"/>
      <c r="DA42" s="59"/>
      <c r="DB42" s="59"/>
      <c r="DC42" s="59"/>
      <c r="DD42" s="59"/>
      <c r="DE42" s="59"/>
      <c r="DF42" s="59"/>
      <c r="DG42" s="59"/>
      <c r="DH42" s="59"/>
      <c r="DI42" s="59"/>
      <c r="DJ42" s="59"/>
      <c r="DK42" s="59"/>
      <c r="DL42" s="59"/>
      <c r="DM42" s="59"/>
      <c r="DN42" s="59"/>
      <c r="DO42" s="59"/>
    </row>
    <row r="43" spans="2:119" ht="16.5" thickBot="1" x14ac:dyDescent="0.3">
      <c r="B43" s="202"/>
      <c r="C43" s="197"/>
      <c r="D43" s="82">
        <v>10</v>
      </c>
      <c r="E43" s="84" t="str">
        <f>IF(INDEX($CK$4:$DO$123,ROW()-3,E$3)=0,"","СП")</f>
        <v/>
      </c>
      <c r="F43" s="29" t="str">
        <f>IF(INDEX($CK$4:$DO$123,ROW()-3,F$3)=0,"","СП")</f>
        <v/>
      </c>
      <c r="G43" s="29" t="str">
        <f>IF(INDEX($CK$4:$DO$123,ROW()-3,G$3)=0,"","СП")</f>
        <v/>
      </c>
      <c r="H43" s="29" t="str">
        <f>IF(INDEX($CK$4:$DO$123,ROW()-3,H$3)=0,"","СП")</f>
        <v/>
      </c>
      <c r="I43" s="29" t="str">
        <f>IF(INDEX($CK$4:$DO$123,ROW()-3,I$3)=0,"","СП")</f>
        <v/>
      </c>
      <c r="J43" s="29" t="str">
        <f>IF(INDEX($CK$4:$DO$123,ROW()-3,J$3)=0,"","СП")</f>
        <v/>
      </c>
      <c r="K43" s="29" t="str">
        <f>IF(INDEX($CK$4:$DO$123,ROW()-3,K$3)=0,"","СП")</f>
        <v/>
      </c>
      <c r="L43" s="29" t="str">
        <f>IF(INDEX($CK$4:$DO$123,ROW()-3,L$3)=0,"","СП")</f>
        <v>СП</v>
      </c>
      <c r="M43" s="29" t="str">
        <f>IF(INDEX($CK$4:$DO$123,ROW()-3,M$3)=0,"","СП")</f>
        <v/>
      </c>
      <c r="N43" s="29" t="str">
        <f>IF(INDEX($CK$4:$DO$123,ROW()-3,N$3)=0,"","СП")</f>
        <v/>
      </c>
      <c r="O43" s="29" t="str">
        <f>IF(INDEX($CK$4:$DO$123,ROW()-3,O$3)=0,"","СП")</f>
        <v/>
      </c>
      <c r="P43" s="29" t="str">
        <f>IF(INDEX($CK$4:$DO$123,ROW()-3,P$3)=0,"","СП")</f>
        <v/>
      </c>
      <c r="Q43" s="29" t="str">
        <f>IF(INDEX($CK$4:$DO$123,ROW()-3,Q$3)=0,"","СП")</f>
        <v/>
      </c>
      <c r="R43" s="29" t="str">
        <f>IF(INDEX($CK$4:$DO$123,ROW()-3,R$3)=0,"","СП")</f>
        <v/>
      </c>
      <c r="S43" s="29" t="str">
        <f>IF(INDEX($CK$4:$DO$123,ROW()-3,S$3)=0,"","СП")</f>
        <v/>
      </c>
      <c r="T43" s="29" t="str">
        <f>IF(INDEX($CK$4:$DO$123,ROW()-3,T$3)=0,"","СП")</f>
        <v/>
      </c>
      <c r="U43" s="29" t="str">
        <f>IF(INDEX($CK$4:$DO$123,ROW()-3,U$3)=0,"","СП")</f>
        <v/>
      </c>
      <c r="V43" s="29" t="str">
        <f>IF(INDEX($CK$4:$DO$123,ROW()-3,V$3)=0,"","СП")</f>
        <v/>
      </c>
      <c r="W43" s="29" t="str">
        <f>IF(INDEX($CK$4:$DO$123,ROW()-3,W$3)=0,"","СП")</f>
        <v/>
      </c>
      <c r="X43" s="29" t="str">
        <f>IF(INDEX($CK$4:$DO$123,ROW()-3,X$3)=0,"","СП")</f>
        <v/>
      </c>
      <c r="Y43" s="29" t="str">
        <f>IF(INDEX($CK$4:$DO$123,ROW()-3,Y$3)=0,"","СП")</f>
        <v/>
      </c>
      <c r="Z43" s="29" t="str">
        <f>IF(INDEX($CK$4:$DO$123,ROW()-3,Z$3)=0,"","СП")</f>
        <v/>
      </c>
      <c r="AA43" s="29" t="str">
        <f>IF(INDEX($CK$4:$DO$123,ROW()-3,AA$3)=0,"","СП")</f>
        <v/>
      </c>
      <c r="AB43" s="29" t="str">
        <f>IF(INDEX($CK$4:$DO$123,ROW()-3,AB$3)=0,"","СП")</f>
        <v/>
      </c>
      <c r="AC43" s="29" t="str">
        <f>IF(INDEX($CK$4:$DO$123,ROW()-3,AC$3)=0,"","СП")</f>
        <v/>
      </c>
      <c r="AD43" s="29" t="str">
        <f>IF(INDEX($CK$4:$DO$123,ROW()-3,AD$3)=0,"","СП")</f>
        <v/>
      </c>
      <c r="AE43" s="29" t="str">
        <f>IF(INDEX($CK$4:$DO$123,ROW()-3,AE$3)=0,"","СП")</f>
        <v/>
      </c>
      <c r="AF43" s="29" t="str">
        <f>IF(INDEX($CK$4:$DO$123,ROW()-3,AF$3)=0,"","СП")</f>
        <v/>
      </c>
      <c r="AG43" s="29" t="str">
        <f>IF(INDEX($CK$4:$DO$123,ROW()-3,AG$3)=0,"","СП")</f>
        <v/>
      </c>
      <c r="AH43" s="29" t="str">
        <f>IF(INDEX($CK$4:$DO$123,ROW()-3,AH$3)=0,"","СП")</f>
        <v/>
      </c>
      <c r="AI43" s="111"/>
      <c r="AJ43" s="207"/>
      <c r="AK43" s="178"/>
      <c r="AL43" s="178"/>
      <c r="AM43" s="178"/>
      <c r="AN43" s="199"/>
      <c r="AO43" s="199"/>
      <c r="AP43" s="199"/>
      <c r="AQ43" s="178"/>
      <c r="AR43" s="180"/>
      <c r="CK43" s="58">
        <f>IF(DAY(INDEX('Сводный годовой график'!$BA$4:$BL$14,$C42,MONTH($B$34)))=E$3,1,0)</f>
        <v>0</v>
      </c>
      <c r="CL43" s="58">
        <f>IF(DAY(INDEX('Сводный годовой график'!$BA$4:$BL$14,$C42,MONTH($B$34)))=F$3,1,0)</f>
        <v>0</v>
      </c>
      <c r="CM43" s="58">
        <f>IF(DAY(INDEX('Сводный годовой график'!$BA$4:$BL$14,$C42,MONTH($B$34)))=G$3,1,0)</f>
        <v>0</v>
      </c>
      <c r="CN43" s="58">
        <f>IF(DAY(INDEX('Сводный годовой график'!$BA$4:$BL$14,$C42,MONTH($B$34)))=H$3,1,0)</f>
        <v>0</v>
      </c>
      <c r="CO43" s="58">
        <f>IF(DAY(INDEX('Сводный годовой график'!$BA$4:$BL$14,$C42,MONTH($B$34)))=I$3,1,0)</f>
        <v>0</v>
      </c>
      <c r="CP43" s="58">
        <f>IF(DAY(INDEX('Сводный годовой график'!$BA$4:$BL$14,$C42,MONTH($B$34)))=J$3,1,0)</f>
        <v>0</v>
      </c>
      <c r="CQ43" s="58">
        <f>IF(DAY(INDEX('Сводный годовой график'!$BA$4:$BL$14,$C42,MONTH($B$34)))=K$3,1,0)</f>
        <v>0</v>
      </c>
      <c r="CR43" s="58">
        <f>IF(DAY(INDEX('Сводный годовой график'!$BA$4:$BL$14,$C42,MONTH($B$34)))=L$3,1,0)</f>
        <v>1</v>
      </c>
      <c r="CS43" s="58">
        <f>IF(DAY(INDEX('Сводный годовой график'!$BA$4:$BL$14,$C42,MONTH($B$34)))=M$3,1,0)</f>
        <v>0</v>
      </c>
      <c r="CT43" s="58">
        <f>IF(DAY(INDEX('Сводный годовой график'!$BA$4:$BL$14,$C42,MONTH($B$34)))=N$3,1,0)</f>
        <v>0</v>
      </c>
      <c r="CU43" s="58">
        <f>IF(DAY(INDEX('Сводный годовой график'!$BA$4:$BL$14,$C42,MONTH($B$34)))=O$3,1,0)</f>
        <v>0</v>
      </c>
      <c r="CV43" s="58">
        <f>IF(DAY(INDEX('Сводный годовой график'!$BA$4:$BL$14,$C42,MONTH($B$34)))=P$3,1,0)</f>
        <v>0</v>
      </c>
      <c r="CW43" s="58">
        <f>IF(DAY(INDEX('Сводный годовой график'!$BA$4:$BL$14,$C42,MONTH($B$34)))=Q$3,1,0)</f>
        <v>0</v>
      </c>
      <c r="CX43" s="58">
        <f>IF(DAY(INDEX('Сводный годовой график'!$BA$4:$BL$14,$C42,MONTH($B$34)))=R$3,1,0)</f>
        <v>0</v>
      </c>
      <c r="CY43" s="58">
        <f>IF(DAY(INDEX('Сводный годовой график'!$BA$4:$BL$14,$C42,MONTH($B$34)))=S$3,1,0)</f>
        <v>0</v>
      </c>
      <c r="CZ43" s="58">
        <f>IF(DAY(INDEX('Сводный годовой график'!$BA$4:$BL$14,$C42,MONTH($B$34)))=T$3,1,0)</f>
        <v>0</v>
      </c>
      <c r="DA43" s="58">
        <f>IF(DAY(INDEX('Сводный годовой график'!$BA$4:$BL$14,$C42,MONTH($B$34)))=U$3,1,0)</f>
        <v>0</v>
      </c>
      <c r="DB43" s="58">
        <f>IF(DAY(INDEX('Сводный годовой график'!$BA$4:$BL$14,$C42,MONTH($B$34)))=V$3,1,0)</f>
        <v>0</v>
      </c>
      <c r="DC43" s="58">
        <f>IF(DAY(INDEX('Сводный годовой график'!$BA$4:$BL$14,$C42,MONTH($B$34)))=W$3,1,0)</f>
        <v>0</v>
      </c>
      <c r="DD43" s="58">
        <f>IF(DAY(INDEX('Сводный годовой график'!$BA$4:$BL$14,$C42,MONTH($B$34)))=X$3,1,0)</f>
        <v>0</v>
      </c>
      <c r="DE43" s="58">
        <f>IF(DAY(INDEX('Сводный годовой график'!$BA$4:$BL$14,$C42,MONTH($B$34)))=Y$3,1,0)</f>
        <v>0</v>
      </c>
      <c r="DF43" s="58">
        <f>IF(DAY(INDEX('Сводный годовой график'!$BA$4:$BL$14,$C42,MONTH($B$34)))=Z$3,1,0)</f>
        <v>0</v>
      </c>
      <c r="DG43" s="58">
        <f>IF(DAY(INDEX('Сводный годовой график'!$BA$4:$BL$14,$C42,MONTH($B$34)))=AA$3,1,0)</f>
        <v>0</v>
      </c>
      <c r="DH43" s="58">
        <f>IF(DAY(INDEX('Сводный годовой график'!$BA$4:$BL$14,$C42,MONTH($B$34)))=AB$3,1,0)</f>
        <v>0</v>
      </c>
      <c r="DI43" s="58">
        <f>IF(DAY(INDEX('Сводный годовой график'!$BA$4:$BL$14,$C42,MONTH($B$34)))=AC$3,1,0)</f>
        <v>0</v>
      </c>
      <c r="DJ43" s="58">
        <f>IF(DAY(INDEX('Сводный годовой график'!$BA$4:$BL$14,$C42,MONTH($B$34)))=AD$3,1,0)</f>
        <v>0</v>
      </c>
      <c r="DK43" s="58">
        <f>IF(DAY(INDEX('Сводный годовой график'!$BA$4:$BL$14,$C42,MONTH($B$34)))=AE$3,1,0)</f>
        <v>0</v>
      </c>
      <c r="DL43" s="58">
        <f>IF(DAY(INDEX('Сводный годовой график'!$BA$4:$BL$14,$C42,MONTH($B$34)))=AF$3,1,0)</f>
        <v>0</v>
      </c>
      <c r="DM43" s="58">
        <f>IF(DAY(INDEX('Сводный годовой график'!$BA$4:$BL$14,$C42,MONTH($B$34)))=AG$3,1,0)</f>
        <v>0</v>
      </c>
      <c r="DN43" s="58">
        <f>IF(DAY(INDEX('Сводный годовой график'!$BA$4:$BL$14,$C42,MONTH($B$34)))=AH$3,1,0)</f>
        <v>0</v>
      </c>
      <c r="DO43" s="58">
        <f>IF(DAY(INDEX('Сводный годовой график'!$BA$4:$BL$14,$C42,MONTH($B$34)))=AI$3,1,0)</f>
        <v>0</v>
      </c>
    </row>
    <row r="44" spans="2:119" ht="17.25" customHeight="1" thickTop="1" thickBot="1" x14ac:dyDescent="0.3">
      <c r="B44" s="201">
        <f>DATE($AV$1,5,1)</f>
        <v>45778</v>
      </c>
      <c r="C44" s="212">
        <v>1</v>
      </c>
      <c r="D44" s="99">
        <v>1</v>
      </c>
      <c r="E44" s="86">
        <f ca="1">IF(AND(INDEX('Сводный годовой график'!$C$1:$AR$4,MATCH($C$44,'Сводный годовой график'!$B$1:$B$4),MATCH(DATE($AV$1,MONTH($B$44),E$3),'Сводный годовой график'!$C$9:$AR$9))&lt;&gt;12,INDIRECT(ADDRESS(ROW()+1,COLUMN()))="СП"),8,INDEX('Сводный годовой график'!$C$1:$AR$4,MATCH($C$44,'Сводный годовой график'!$B$1:$B$4),MATCH(DATE($AV$1,MONTH($B$44),E$3),'Сводный годовой график'!$C$9:$AR$9)))</f>
        <v>0</v>
      </c>
      <c r="F44" s="27">
        <f ca="1">IF(AND(INDEX('Сводный годовой график'!$C$1:$AR$4,MATCH($C$44,'Сводный годовой график'!$B$1:$B$4),MATCH(DATE($AV$1,MONTH($B$44),F$3),'Сводный годовой график'!$C$9:$AR$9))&lt;&gt;12,INDIRECT(ADDRESS(ROW()+1,COLUMN()))="СП"),8,INDEX('Сводный годовой график'!$C$1:$AR$4,MATCH($C$44,'Сводный годовой график'!$B$1:$B$4),MATCH(DATE($AV$1,MONTH($B$44),F$3),'Сводный годовой график'!$C$9:$AR$9)))</f>
        <v>0</v>
      </c>
      <c r="G44" s="27">
        <f ca="1">IF(AND(INDEX('Сводный годовой график'!$C$1:$AR$4,MATCH($C$44,'Сводный годовой график'!$B$1:$B$4),MATCH(DATE($AV$1,MONTH($B$44),G$3),'Сводный годовой график'!$C$9:$AR$9))&lt;&gt;12,INDIRECT(ADDRESS(ROW()+1,COLUMN()))="СП"),8,INDEX('Сводный годовой график'!$C$1:$AR$4,MATCH($C$44,'Сводный годовой график'!$B$1:$B$4),MATCH(DATE($AV$1,MONTH($B$44),G$3),'Сводный годовой график'!$C$9:$AR$9)))</f>
        <v>4</v>
      </c>
      <c r="H44" s="27">
        <f ca="1">IF(AND(INDEX('Сводный годовой график'!$C$1:$AR$4,MATCH($C$44,'Сводный годовой график'!$B$1:$B$4),MATCH(DATE($AV$1,MONTH($B$44),H$3),'Сводный годовой график'!$C$9:$AR$9))&lt;&gt;12,INDIRECT(ADDRESS(ROW()+1,COLUMN()))="СП"),8,INDEX('Сводный годовой график'!$C$1:$AR$4,MATCH($C$44,'Сводный годовой график'!$B$1:$B$4),MATCH(DATE($AV$1,MONTH($B$44),H$3),'Сводный годовой график'!$C$9:$AR$9)))</f>
        <v>8</v>
      </c>
      <c r="I44" s="27">
        <f ca="1">IF(AND(INDEX('Сводный годовой график'!$C$1:$AR$4,MATCH($C$44,'Сводный годовой график'!$B$1:$B$4),MATCH(DATE($AV$1,MONTH($B$44),I$3),'Сводный годовой график'!$C$9:$AR$9))&lt;&gt;12,INDIRECT(ADDRESS(ROW()+1,COLUMN()))="СП"),8,INDEX('Сводный годовой график'!$C$1:$AR$4,MATCH($C$44,'Сводный годовой график'!$B$1:$B$4),MATCH(DATE($AV$1,MONTH($B$44),I$3),'Сводный годовой график'!$C$9:$AR$9)))</f>
        <v>12</v>
      </c>
      <c r="J44" s="27">
        <f ca="1">IF(AND(INDEX('Сводный годовой график'!$C$1:$AR$4,MATCH($C$44,'Сводный годовой график'!$B$1:$B$4),MATCH(DATE($AV$1,MONTH($B$44),J$3),'Сводный годовой график'!$C$9:$AR$9))&lt;&gt;12,INDIRECT(ADDRESS(ROW()+1,COLUMN()))="СП"),8,INDEX('Сводный годовой график'!$C$1:$AR$4,MATCH($C$44,'Сводный годовой график'!$B$1:$B$4),MATCH(DATE($AV$1,MONTH($B$44),J$3),'Сводный годовой график'!$C$9:$AR$9)))</f>
        <v>4</v>
      </c>
      <c r="K44" s="27">
        <f ca="1">IF(AND(INDEX('Сводный годовой график'!$C$1:$AR$4,MATCH($C$44,'Сводный годовой график'!$B$1:$B$4),MATCH(DATE($AV$1,MONTH($B$44),K$3),'Сводный годовой график'!$C$9:$AR$9))&lt;&gt;12,INDIRECT(ADDRESS(ROW()+1,COLUMN()))="СП"),8,INDEX('Сводный годовой график'!$C$1:$AR$4,MATCH($C$44,'Сводный годовой график'!$B$1:$B$4),MATCH(DATE($AV$1,MONTH($B$44),K$3),'Сводный годовой график'!$C$9:$AR$9)))</f>
        <v>8</v>
      </c>
      <c r="L44" s="27">
        <f ca="1">IF(AND(INDEX('Сводный годовой график'!$C$1:$AR$4,MATCH($C$44,'Сводный годовой график'!$B$1:$B$4),MATCH(DATE($AV$1,MONTH($B$44),L$3),'Сводный годовой график'!$C$9:$AR$9))&lt;&gt;12,INDIRECT(ADDRESS(ROW()+1,COLUMN()))="СП"),8,INDEX('Сводный годовой график'!$C$1:$AR$4,MATCH($C$44,'Сводный годовой график'!$B$1:$B$4),MATCH(DATE($AV$1,MONTH($B$44),L$3),'Сводный годовой график'!$C$9:$AR$9)))</f>
        <v>12</v>
      </c>
      <c r="M44" s="27">
        <f ca="1">IF(AND(INDEX('Сводный годовой график'!$C$1:$AR$4,MATCH($C$44,'Сводный годовой график'!$B$1:$B$4),MATCH(DATE($AV$1,MONTH($B$44),M$3),'Сводный годовой график'!$C$9:$AR$9))&lt;&gt;12,INDIRECT(ADDRESS(ROW()+1,COLUMN()))="СП"),8,INDEX('Сводный годовой график'!$C$1:$AR$4,MATCH($C$44,'Сводный годовой график'!$B$1:$B$4),MATCH(DATE($AV$1,MONTH($B$44),M$3),'Сводный годовой график'!$C$9:$AR$9)))</f>
        <v>0</v>
      </c>
      <c r="N44" s="27">
        <f ca="1">IF(AND(INDEX('Сводный годовой график'!$C$1:$AR$4,MATCH($C$44,'Сводный годовой график'!$B$1:$B$4),MATCH(DATE($AV$1,MONTH($B$44),N$3),'Сводный годовой график'!$C$9:$AR$9))&lt;&gt;12,INDIRECT(ADDRESS(ROW()+1,COLUMN()))="СП"),8,INDEX('Сводный годовой график'!$C$1:$AR$4,MATCH($C$44,'Сводный годовой график'!$B$1:$B$4),MATCH(DATE($AV$1,MONTH($B$44),N$3),'Сводный годовой график'!$C$9:$AR$9)))</f>
        <v>0</v>
      </c>
      <c r="O44" s="27">
        <f ca="1">IF(AND(INDEX('Сводный годовой график'!$C$1:$AR$4,MATCH($C$44,'Сводный годовой график'!$B$1:$B$4),MATCH(DATE($AV$1,MONTH($B$44),O$3),'Сводный годовой график'!$C$9:$AR$9))&lt;&gt;12,INDIRECT(ADDRESS(ROW()+1,COLUMN()))="СП"),8,INDEX('Сводный годовой график'!$C$1:$AR$4,MATCH($C$44,'Сводный годовой график'!$B$1:$B$4),MATCH(DATE($AV$1,MONTH($B$44),O$3),'Сводный годовой график'!$C$9:$AR$9)))</f>
        <v>4</v>
      </c>
      <c r="P44" s="27">
        <f ca="1">IF(AND(INDEX('Сводный годовой график'!$C$1:$AR$4,MATCH($C$44,'Сводный годовой график'!$B$1:$B$4),MATCH(DATE($AV$1,MONTH($B$44),P$3),'Сводный годовой график'!$C$9:$AR$9))&lt;&gt;12,INDIRECT(ADDRESS(ROW()+1,COLUMN()))="СП"),8,INDEX('Сводный годовой график'!$C$1:$AR$4,MATCH($C$44,'Сводный годовой график'!$B$1:$B$4),MATCH(DATE($AV$1,MONTH($B$44),P$3),'Сводный годовой график'!$C$9:$AR$9)))</f>
        <v>8</v>
      </c>
      <c r="Q44" s="27">
        <f ca="1">IF(AND(INDEX('Сводный годовой график'!$C$1:$AR$4,MATCH($C$44,'Сводный годовой график'!$B$1:$B$4),MATCH(DATE($AV$1,MONTH($B$44),Q$3),'Сводный годовой график'!$C$9:$AR$9))&lt;&gt;12,INDIRECT(ADDRESS(ROW()+1,COLUMN()))="СП"),8,INDEX('Сводный годовой график'!$C$1:$AR$4,MATCH($C$44,'Сводный годовой график'!$B$1:$B$4),MATCH(DATE($AV$1,MONTH($B$44),Q$3),'Сводный годовой график'!$C$9:$AR$9)))</f>
        <v>12</v>
      </c>
      <c r="R44" s="27">
        <f ca="1">IF(AND(INDEX('Сводный годовой график'!$C$1:$AR$4,MATCH($C$44,'Сводный годовой график'!$B$1:$B$4),MATCH(DATE($AV$1,MONTH($B$44),R$3),'Сводный годовой график'!$C$9:$AR$9))&lt;&gt;12,INDIRECT(ADDRESS(ROW()+1,COLUMN()))="СП"),8,INDEX('Сводный годовой график'!$C$1:$AR$4,MATCH($C$44,'Сводный годовой график'!$B$1:$B$4),MATCH(DATE($AV$1,MONTH($B$44),R$3),'Сводный годовой график'!$C$9:$AR$9)))</f>
        <v>4</v>
      </c>
      <c r="S44" s="27">
        <f ca="1">IF(AND(INDEX('Сводный годовой график'!$C$1:$AR$4,MATCH($C$44,'Сводный годовой график'!$B$1:$B$4),MATCH(DATE($AV$1,MONTH($B$44),S$3),'Сводный годовой график'!$C$9:$AR$9))&lt;&gt;12,INDIRECT(ADDRESS(ROW()+1,COLUMN()))="СП"),8,INDEX('Сводный годовой график'!$C$1:$AR$4,MATCH($C$44,'Сводный годовой график'!$B$1:$B$4),MATCH(DATE($AV$1,MONTH($B$44),S$3),'Сводный годовой график'!$C$9:$AR$9)))</f>
        <v>8</v>
      </c>
      <c r="T44" s="27">
        <f ca="1">IF(AND(INDEX('Сводный годовой график'!$C$1:$AR$4,MATCH($C$44,'Сводный годовой график'!$B$1:$B$4),MATCH(DATE($AV$1,MONTH($B$44),T$3),'Сводный годовой график'!$C$9:$AR$9))&lt;&gt;12,INDIRECT(ADDRESS(ROW()+1,COLUMN()))="СП"),8,INDEX('Сводный годовой график'!$C$1:$AR$4,MATCH($C$44,'Сводный годовой график'!$B$1:$B$4),MATCH(DATE($AV$1,MONTH($B$44),T$3),'Сводный годовой график'!$C$9:$AR$9)))</f>
        <v>12</v>
      </c>
      <c r="U44" s="27">
        <f ca="1">IF(AND(INDEX('Сводный годовой график'!$C$1:$AR$4,MATCH($C$44,'Сводный годовой график'!$B$1:$B$4),MATCH(DATE($AV$1,MONTH($B$44),U$3),'Сводный годовой график'!$C$9:$AR$9))&lt;&gt;12,INDIRECT(ADDRESS(ROW()+1,COLUMN()))="СП"),8,INDEX('Сводный годовой график'!$C$1:$AR$4,MATCH($C$44,'Сводный годовой график'!$B$1:$B$4),MATCH(DATE($AV$1,MONTH($B$44),U$3),'Сводный годовой график'!$C$9:$AR$9)))</f>
        <v>0</v>
      </c>
      <c r="V44" s="27">
        <f ca="1">IF(AND(INDEX('Сводный годовой график'!$C$1:$AR$4,MATCH($C$44,'Сводный годовой график'!$B$1:$B$4),MATCH(DATE($AV$1,MONTH($B$44),V$3),'Сводный годовой график'!$C$9:$AR$9))&lt;&gt;12,INDIRECT(ADDRESS(ROW()+1,COLUMN()))="СП"),8,INDEX('Сводный годовой график'!$C$1:$AR$4,MATCH($C$44,'Сводный годовой график'!$B$1:$B$4),MATCH(DATE($AV$1,MONTH($B$44),V$3),'Сводный годовой график'!$C$9:$AR$9)))</f>
        <v>0</v>
      </c>
      <c r="W44" s="27">
        <f ca="1">IF(AND(INDEX('Сводный годовой график'!$C$1:$AR$4,MATCH($C$44,'Сводный годовой график'!$B$1:$B$4),MATCH(DATE($AV$1,MONTH($B$44),W$3),'Сводный годовой график'!$C$9:$AR$9))&lt;&gt;12,INDIRECT(ADDRESS(ROW()+1,COLUMN()))="СП"),8,INDEX('Сводный годовой график'!$C$1:$AR$4,MATCH($C$44,'Сводный годовой график'!$B$1:$B$4),MATCH(DATE($AV$1,MONTH($B$44),W$3),'Сводный годовой график'!$C$9:$AR$9)))</f>
        <v>4</v>
      </c>
      <c r="X44" s="27">
        <f ca="1">IF(AND(INDEX('Сводный годовой график'!$C$1:$AR$4,MATCH($C$44,'Сводный годовой график'!$B$1:$B$4),MATCH(DATE($AV$1,MONTH($B$44),X$3),'Сводный годовой график'!$C$9:$AR$9))&lt;&gt;12,INDIRECT(ADDRESS(ROW()+1,COLUMN()))="СП"),8,INDEX('Сводный годовой график'!$C$1:$AR$4,MATCH($C$44,'Сводный годовой график'!$B$1:$B$4),MATCH(DATE($AV$1,MONTH($B$44),X$3),'Сводный годовой график'!$C$9:$AR$9)))</f>
        <v>8</v>
      </c>
      <c r="Y44" s="27">
        <f ca="1">IF(AND(INDEX('Сводный годовой график'!$C$1:$AR$4,MATCH($C$44,'Сводный годовой график'!$B$1:$B$4),MATCH(DATE($AV$1,MONTH($B$44),Y$3),'Сводный годовой график'!$C$9:$AR$9))&lt;&gt;12,INDIRECT(ADDRESS(ROW()+1,COLUMN()))="СП"),8,INDEX('Сводный годовой график'!$C$1:$AR$4,MATCH($C$44,'Сводный годовой график'!$B$1:$B$4),MATCH(DATE($AV$1,MONTH($B$44),Y$3),'Сводный годовой график'!$C$9:$AR$9)))</f>
        <v>12</v>
      </c>
      <c r="Z44" s="27">
        <f ca="1">IF(AND(INDEX('Сводный годовой график'!$C$1:$AR$4,MATCH($C$44,'Сводный годовой график'!$B$1:$B$4),MATCH(DATE($AV$1,MONTH($B$44),Z$3),'Сводный годовой график'!$C$9:$AR$9))&lt;&gt;12,INDIRECT(ADDRESS(ROW()+1,COLUMN()))="СП"),8,INDEX('Сводный годовой график'!$C$1:$AR$4,MATCH($C$44,'Сводный годовой график'!$B$1:$B$4),MATCH(DATE($AV$1,MONTH($B$44),Z$3),'Сводный годовой график'!$C$9:$AR$9)))</f>
        <v>4</v>
      </c>
      <c r="AA44" s="27">
        <f ca="1">IF(AND(INDEX('Сводный годовой график'!$C$1:$AR$4,MATCH($C$44,'Сводный годовой график'!$B$1:$B$4),MATCH(DATE($AV$1,MONTH($B$44),AA$3),'Сводный годовой график'!$C$9:$AR$9))&lt;&gt;12,INDIRECT(ADDRESS(ROW()+1,COLUMN()))="СП"),8,INDEX('Сводный годовой график'!$C$1:$AR$4,MATCH($C$44,'Сводный годовой график'!$B$1:$B$4),MATCH(DATE($AV$1,MONTH($B$44),AA$3),'Сводный годовой график'!$C$9:$AR$9)))</f>
        <v>8</v>
      </c>
      <c r="AB44" s="27">
        <f ca="1">IF(AND(INDEX('Сводный годовой график'!$C$1:$AR$4,MATCH($C$44,'Сводный годовой график'!$B$1:$B$4),MATCH(DATE($AV$1,MONTH($B$44),AB$3),'Сводный годовой график'!$C$9:$AR$9))&lt;&gt;12,INDIRECT(ADDRESS(ROW()+1,COLUMN()))="СП"),8,INDEX('Сводный годовой график'!$C$1:$AR$4,MATCH($C$44,'Сводный годовой график'!$B$1:$B$4),MATCH(DATE($AV$1,MONTH($B$44),AB$3),'Сводный годовой график'!$C$9:$AR$9)))</f>
        <v>12</v>
      </c>
      <c r="AC44" s="27">
        <f ca="1">IF(AND(INDEX('Сводный годовой график'!$C$1:$AR$4,MATCH($C$44,'Сводный годовой график'!$B$1:$B$4),MATCH(DATE($AV$1,MONTH($B$44),AC$3),'Сводный годовой график'!$C$9:$AR$9))&lt;&gt;12,INDIRECT(ADDRESS(ROW()+1,COLUMN()))="СП"),8,INDEX('Сводный годовой график'!$C$1:$AR$4,MATCH($C$44,'Сводный годовой график'!$B$1:$B$4),MATCH(DATE($AV$1,MONTH($B$44),AC$3),'Сводный годовой график'!$C$9:$AR$9)))</f>
        <v>0</v>
      </c>
      <c r="AD44" s="27">
        <f ca="1">IF(AND(INDEX('Сводный годовой график'!$C$1:$AR$4,MATCH($C$44,'Сводный годовой график'!$B$1:$B$4),MATCH(DATE($AV$1,MONTH($B$44),AD$3),'Сводный годовой график'!$C$9:$AR$9))&lt;&gt;12,INDIRECT(ADDRESS(ROW()+1,COLUMN()))="СП"),8,INDEX('Сводный годовой график'!$C$1:$AR$4,MATCH($C$44,'Сводный годовой график'!$B$1:$B$4),MATCH(DATE($AV$1,MONTH($B$44),AD$3),'Сводный годовой график'!$C$9:$AR$9)))</f>
        <v>0</v>
      </c>
      <c r="AE44" s="27">
        <f ca="1">IF(AND(INDEX('Сводный годовой график'!$C$1:$AR$4,MATCH($C$44,'Сводный годовой график'!$B$1:$B$4),MATCH(DATE($AV$1,MONTH($B$44),AE$3),'Сводный годовой график'!$C$9:$AR$9))&lt;&gt;12,INDIRECT(ADDRESS(ROW()+1,COLUMN()))="СП"),8,INDEX('Сводный годовой график'!$C$1:$AR$4,MATCH($C$44,'Сводный годовой график'!$B$1:$B$4),MATCH(DATE($AV$1,MONTH($B$44),AE$3),'Сводный годовой график'!$C$9:$AR$9)))</f>
        <v>4</v>
      </c>
      <c r="AF44" s="27">
        <f ca="1">IF(AND(INDEX('Сводный годовой график'!$C$1:$AR$4,MATCH($C$44,'Сводный годовой график'!$B$1:$B$4),MATCH(DATE($AV$1,MONTH($B$44),AF$3),'Сводный годовой график'!$C$9:$AR$9))&lt;&gt;12,INDIRECT(ADDRESS(ROW()+1,COLUMN()))="СП"),8,INDEX('Сводный годовой график'!$C$1:$AR$4,MATCH($C$44,'Сводный годовой график'!$B$1:$B$4),MATCH(DATE($AV$1,MONTH($B$44),AF$3),'Сводный годовой график'!$C$9:$AR$9)))</f>
        <v>8</v>
      </c>
      <c r="AG44" s="27">
        <f ca="1">IF(AND(INDEX('Сводный годовой график'!$C$1:$AR$4,MATCH($C$44,'Сводный годовой график'!$B$1:$B$4),MATCH(DATE($AV$1,MONTH($B$44),AG$3),'Сводный годовой график'!$C$9:$AR$9))&lt;&gt;12,INDIRECT(ADDRESS(ROW()+1,COLUMN()))="СП"),8,INDEX('Сводный годовой график'!$C$1:$AR$4,MATCH($C$44,'Сводный годовой график'!$B$1:$B$4),MATCH(DATE($AV$1,MONTH($B$44),AG$3),'Сводный годовой график'!$C$9:$AR$9)))</f>
        <v>12</v>
      </c>
      <c r="AH44" s="27">
        <f ca="1">IF(AND(INDEX('Сводный годовой график'!$C$1:$AR$4,MATCH($C$44,'Сводный годовой график'!$B$1:$B$4),MATCH(DATE($AV$1,MONTH($B$44),AH$3),'Сводный годовой график'!$C$9:$AR$9))&lt;&gt;12,INDIRECT(ADDRESS(ROW()+1,COLUMN()))="СП"),8,INDEX('Сводный годовой график'!$C$1:$AR$4,MATCH($C$44,'Сводный годовой график'!$B$1:$B$4),MATCH(DATE($AV$1,MONTH($B$44),AH$3),'Сводный годовой график'!$C$9:$AR$9)))</f>
        <v>4</v>
      </c>
      <c r="AI44" s="98">
        <f ca="1">IF(AND(INDEX('Сводный годовой график'!$C$1:$AR$4,MATCH($C$44,'Сводный годовой график'!$B$1:$B$4),MATCH(DATE($AV$1,MONTH($B$44),AI$3),'Сводный годовой график'!$C$9:$AR$9))&lt;&gt;12,INDIRECT(ADDRESS(ROW()+1,COLUMN()))="СП"),8,INDEX('Сводный годовой график'!$C$1:$AR$4,MATCH($C$44,'Сводный годовой график'!$B$1:$B$4),MATCH(DATE($AV$1,MONTH($B$44),AI$3),'Сводный годовой график'!$C$9:$AR$9)))</f>
        <v>8</v>
      </c>
      <c r="AJ44" s="205">
        <f>INDEX(Подключения!$D$3:$H$14,MONTH(B44),5)</f>
        <v>144</v>
      </c>
      <c r="AK44" s="216">
        <f>$AJ$44-SUM(AY44:CC45)</f>
        <v>144</v>
      </c>
      <c r="AL44" s="216">
        <f ca="1">SUM(E44:AI45)</f>
        <v>180</v>
      </c>
      <c r="AM44" s="216">
        <f ca="1">(SUM(E44)+SUM(M44))</f>
        <v>0</v>
      </c>
      <c r="AN44" s="218">
        <f t="shared" ref="AN44" ca="1" si="53">-AM44-AK44+AL44</f>
        <v>36</v>
      </c>
      <c r="AO44" s="228"/>
      <c r="AP44" s="218">
        <f ca="1">AN44+AP34-AO44-AO44</f>
        <v>36</v>
      </c>
      <c r="AQ44" s="216">
        <v>0</v>
      </c>
      <c r="AR44" s="217">
        <v>1</v>
      </c>
      <c r="CK44" s="59"/>
      <c r="CL44" s="59"/>
      <c r="CM44" s="59"/>
      <c r="CN44" s="59"/>
      <c r="CO44" s="59"/>
      <c r="CP44" s="59"/>
      <c r="CQ44" s="59"/>
      <c r="CR44" s="59"/>
      <c r="CS44" s="59"/>
      <c r="CT44" s="59"/>
      <c r="CU44" s="59"/>
      <c r="CV44" s="59"/>
      <c r="CW44" s="59"/>
      <c r="CX44" s="59"/>
      <c r="CY44" s="59"/>
      <c r="CZ44" s="59"/>
      <c r="DA44" s="59"/>
      <c r="DB44" s="59"/>
      <c r="DC44" s="59"/>
      <c r="DD44" s="59"/>
      <c r="DE44" s="59"/>
      <c r="DF44" s="59"/>
      <c r="DG44" s="59"/>
      <c r="DH44" s="59"/>
      <c r="DI44" s="59"/>
      <c r="DJ44" s="59"/>
      <c r="DK44" s="59"/>
      <c r="DL44" s="59"/>
      <c r="DM44" s="59"/>
      <c r="DN44" s="59"/>
      <c r="DO44" s="59"/>
    </row>
    <row r="45" spans="2:119" ht="16.5" thickBot="1" x14ac:dyDescent="0.3">
      <c r="B45" s="201"/>
      <c r="C45" s="197"/>
      <c r="D45" s="82">
        <v>2</v>
      </c>
      <c r="E45" s="96" t="str">
        <f>IF(INDEX($CK$4:$DO$123,ROW()-3,E$3)=0,"","СП")</f>
        <v/>
      </c>
      <c r="F45" s="92" t="str">
        <f>IF(INDEX($CK$4:$DO$123,ROW()-3,F$3)=0,"","СП")</f>
        <v/>
      </c>
      <c r="G45" s="92" t="str">
        <f>IF(INDEX($CK$4:$DO$123,ROW()-3,G$3)=0,"","СП")</f>
        <v/>
      </c>
      <c r="H45" s="92" t="str">
        <f>IF(INDEX($CK$4:$DO$123,ROW()-3,H$3)=0,"","СП")</f>
        <v/>
      </c>
      <c r="I45" s="92" t="str">
        <f>IF(INDEX($CK$4:$DO$123,ROW()-3,I$3)=0,"","СП")</f>
        <v>СП</v>
      </c>
      <c r="J45" s="92" t="str">
        <f>IF(INDEX($CK$4:$DO$123,ROW()-3,J$3)=0,"","СП")</f>
        <v/>
      </c>
      <c r="K45" s="92" t="str">
        <f>IF(INDEX($CK$4:$DO$123,ROW()-3,K$3)=0,"","СП")</f>
        <v/>
      </c>
      <c r="L45" s="92" t="str">
        <f>IF(INDEX($CK$4:$DO$123,ROW()-3,L$3)=0,"","СП")</f>
        <v/>
      </c>
      <c r="M45" s="92" t="str">
        <f>IF(INDEX($CK$4:$DO$123,ROW()-3,M$3)=0,"","СП")</f>
        <v/>
      </c>
      <c r="N45" s="92" t="str">
        <f>IF(INDEX($CK$4:$DO$123,ROW()-3,N$3)=0,"","СП")</f>
        <v/>
      </c>
      <c r="O45" s="92" t="str">
        <f>IF(INDEX($CK$4:$DO$123,ROW()-3,O$3)=0,"","СП")</f>
        <v/>
      </c>
      <c r="P45" s="92" t="str">
        <f>IF(INDEX($CK$4:$DO$123,ROW()-3,P$3)=0,"","СП")</f>
        <v/>
      </c>
      <c r="Q45" s="92" t="str">
        <f>IF(INDEX($CK$4:$DO$123,ROW()-3,Q$3)=0,"","СП")</f>
        <v/>
      </c>
      <c r="R45" s="92" t="str">
        <f>IF(INDEX($CK$4:$DO$123,ROW()-3,R$3)=0,"","СП")</f>
        <v/>
      </c>
      <c r="S45" s="92" t="str">
        <f>IF(INDEX($CK$4:$DO$123,ROW()-3,S$3)=0,"","СП")</f>
        <v/>
      </c>
      <c r="T45" s="92" t="str">
        <f>IF(INDEX($CK$4:$DO$123,ROW()-3,T$3)=0,"","СП")</f>
        <v/>
      </c>
      <c r="U45" s="92" t="str">
        <f>IF(INDEX($CK$4:$DO$123,ROW()-3,U$3)=0,"","СП")</f>
        <v/>
      </c>
      <c r="V45" s="92" t="str">
        <f>IF(INDEX($CK$4:$DO$123,ROW()-3,V$3)=0,"","СП")</f>
        <v/>
      </c>
      <c r="W45" s="92" t="str">
        <f>IF(INDEX($CK$4:$DO$123,ROW()-3,W$3)=0,"","СП")</f>
        <v/>
      </c>
      <c r="X45" s="92" t="str">
        <f>IF(INDEX($CK$4:$DO$123,ROW()-3,X$3)=0,"","СП")</f>
        <v/>
      </c>
      <c r="Y45" s="92" t="str">
        <f>IF(INDEX($CK$4:$DO$123,ROW()-3,Y$3)=0,"","СП")</f>
        <v/>
      </c>
      <c r="Z45" s="92" t="str">
        <f>IF(INDEX($CK$4:$DO$123,ROW()-3,Z$3)=0,"","СП")</f>
        <v/>
      </c>
      <c r="AA45" s="92" t="str">
        <f>IF(INDEX($CK$4:$DO$123,ROW()-3,AA$3)=0,"","СП")</f>
        <v/>
      </c>
      <c r="AB45" s="92" t="str">
        <f>IF(INDEX($CK$4:$DO$123,ROW()-3,AB$3)=0,"","СП")</f>
        <v/>
      </c>
      <c r="AC45" s="92" t="str">
        <f>IF(INDEX($CK$4:$DO$123,ROW()-3,AC$3)=0,"","СП")</f>
        <v/>
      </c>
      <c r="AD45" s="92" t="str">
        <f>IF(INDEX($CK$4:$DO$123,ROW()-3,AD$3)=0,"","СП")</f>
        <v/>
      </c>
      <c r="AE45" s="92" t="str">
        <f>IF(INDEX($CK$4:$DO$123,ROW()-3,AE$3)=0,"","СП")</f>
        <v/>
      </c>
      <c r="AF45" s="92" t="str">
        <f>IF(INDEX($CK$4:$DO$123,ROW()-3,AF$3)=0,"","СП")</f>
        <v/>
      </c>
      <c r="AG45" s="92" t="str">
        <f>IF(INDEX($CK$4:$DO$123,ROW()-3,AG$3)=0,"","СП")</f>
        <v/>
      </c>
      <c r="AH45" s="92" t="str">
        <f>IF(INDEX($CK$4:$DO$123,ROW()-3,AH$3)=0,"","СП")</f>
        <v/>
      </c>
      <c r="AI45" s="97" t="str">
        <f>IF(INDEX($CK$4:$DO$123,ROW()-3,AI$3)=0,"","СП")</f>
        <v/>
      </c>
      <c r="AJ45" s="206"/>
      <c r="AK45" s="209"/>
      <c r="AL45" s="209"/>
      <c r="AM45" s="209"/>
      <c r="AN45" s="211"/>
      <c r="AO45" s="225"/>
      <c r="AP45" s="211"/>
      <c r="AQ45" s="209"/>
      <c r="AR45" s="210"/>
      <c r="CK45" s="58">
        <f>IF(DAY(INDEX('Сводный годовой график'!$BA$4:$BL$14,$C44,MONTH($B$44)))=E$3,1,0)</f>
        <v>0</v>
      </c>
      <c r="CL45" s="58">
        <f>IF(DAY(INDEX('Сводный годовой график'!$BA$4:$BL$14,$C44,MONTH($B$44)))=F$3,1,0)</f>
        <v>0</v>
      </c>
      <c r="CM45" s="58">
        <f>IF(DAY(INDEX('Сводный годовой график'!$BA$4:$BL$14,$C44,MONTH($B$44)))=G$3,1,0)</f>
        <v>0</v>
      </c>
      <c r="CN45" s="58">
        <f>IF(DAY(INDEX('Сводный годовой график'!$BA$4:$BL$14,$C44,MONTH($B$44)))=H$3,1,0)</f>
        <v>0</v>
      </c>
      <c r="CO45" s="58">
        <f>IF(DAY(INDEX('Сводный годовой график'!$BA$4:$BL$14,$C44,MONTH($B$44)))=I$3,1,0)</f>
        <v>1</v>
      </c>
      <c r="CP45" s="58">
        <f>IF(DAY(INDEX('Сводный годовой график'!$BA$4:$BL$14,$C44,MONTH($B$44)))=J$3,1,0)</f>
        <v>0</v>
      </c>
      <c r="CQ45" s="58">
        <f>IF(DAY(INDEX('Сводный годовой график'!$BA$4:$BL$14,$C44,MONTH($B$44)))=K$3,1,0)</f>
        <v>0</v>
      </c>
      <c r="CR45" s="58">
        <f>IF(DAY(INDEX('Сводный годовой график'!$BA$4:$BL$14,$C44,MONTH($B$44)))=L$3,1,0)</f>
        <v>0</v>
      </c>
      <c r="CS45" s="58">
        <f>IF(DAY(INDEX('Сводный годовой график'!$BA$4:$BL$14,$C44,MONTH($B$44)))=M$3,1,0)</f>
        <v>0</v>
      </c>
      <c r="CT45" s="58">
        <f>IF(DAY(INDEX('Сводный годовой график'!$BA$4:$BL$14,$C44,MONTH($B$44)))=N$3,1,0)</f>
        <v>0</v>
      </c>
      <c r="CU45" s="58">
        <f>IF(DAY(INDEX('Сводный годовой график'!$BA$4:$BL$14,$C44,MONTH($B$44)))=O$3,1,0)</f>
        <v>0</v>
      </c>
      <c r="CV45" s="58">
        <f>IF(DAY(INDEX('Сводный годовой график'!$BA$4:$BL$14,$C44,MONTH($B$44)))=P$3,1,0)</f>
        <v>0</v>
      </c>
      <c r="CW45" s="58">
        <f>IF(DAY(INDEX('Сводный годовой график'!$BA$4:$BL$14,$C44,MONTH($B$44)))=Q$3,1,0)</f>
        <v>0</v>
      </c>
      <c r="CX45" s="58">
        <f>IF(DAY(INDEX('Сводный годовой график'!$BA$4:$BL$14,$C44,MONTH($B$44)))=R$3,1,0)</f>
        <v>0</v>
      </c>
      <c r="CY45" s="58">
        <f>IF(DAY(INDEX('Сводный годовой график'!$BA$4:$BL$14,$C44,MONTH($B$44)))=S$3,1,0)</f>
        <v>0</v>
      </c>
      <c r="CZ45" s="58">
        <f>IF(DAY(INDEX('Сводный годовой график'!$BA$4:$BL$14,$C44,MONTH($B$44)))=T$3,1,0)</f>
        <v>0</v>
      </c>
      <c r="DA45" s="58">
        <f>IF(DAY(INDEX('Сводный годовой график'!$BA$4:$BL$14,$C44,MONTH($B$44)))=U$3,1,0)</f>
        <v>0</v>
      </c>
      <c r="DB45" s="58">
        <f>IF(DAY(INDEX('Сводный годовой график'!$BA$4:$BL$14,$C44,MONTH($B$44)))=V$3,1,0)</f>
        <v>0</v>
      </c>
      <c r="DC45" s="58">
        <f>IF(DAY(INDEX('Сводный годовой график'!$BA$4:$BL$14,$C44,MONTH($B$44)))=W$3,1,0)</f>
        <v>0</v>
      </c>
      <c r="DD45" s="58">
        <f>IF(DAY(INDEX('Сводный годовой график'!$BA$4:$BL$14,$C44,MONTH($B$44)))=X$3,1,0)</f>
        <v>0</v>
      </c>
      <c r="DE45" s="58">
        <f>IF(DAY(INDEX('Сводный годовой график'!$BA$4:$BL$14,$C44,MONTH($B$44)))=Y$3,1,0)</f>
        <v>0</v>
      </c>
      <c r="DF45" s="58">
        <f>IF(DAY(INDEX('Сводный годовой график'!$BA$4:$BL$14,$C44,MONTH($B$44)))=Z$3,1,0)</f>
        <v>0</v>
      </c>
      <c r="DG45" s="58">
        <f>IF(DAY(INDEX('Сводный годовой график'!$BA$4:$BL$14,$C44,MONTH($B$44)))=AA$3,1,0)</f>
        <v>0</v>
      </c>
      <c r="DH45" s="58">
        <f>IF(DAY(INDEX('Сводный годовой график'!$BA$4:$BL$14,$C44,MONTH($B$44)))=AB$3,1,0)</f>
        <v>0</v>
      </c>
      <c r="DI45" s="58">
        <f>IF(DAY(INDEX('Сводный годовой график'!$BA$4:$BL$14,$C44,MONTH($B$44)))=AC$3,1,0)</f>
        <v>0</v>
      </c>
      <c r="DJ45" s="58">
        <f>IF(DAY(INDEX('Сводный годовой график'!$BA$4:$BL$14,$C44,MONTH($B$44)))=AD$3,1,0)</f>
        <v>0</v>
      </c>
      <c r="DK45" s="58">
        <f>IF(DAY(INDEX('Сводный годовой график'!$BA$4:$BL$14,$C44,MONTH($B$44)))=AE$3,1,0)</f>
        <v>0</v>
      </c>
      <c r="DL45" s="58">
        <f>IF(DAY(INDEX('Сводный годовой график'!$BA$4:$BL$14,$C44,MONTH($B$44)))=AF$3,1,0)</f>
        <v>0</v>
      </c>
      <c r="DM45" s="58">
        <f>IF(DAY(INDEX('Сводный годовой график'!$BA$4:$BL$14,$C44,MONTH($B$44)))=AG$3,1,0)</f>
        <v>0</v>
      </c>
      <c r="DN45" s="58">
        <f>IF(DAY(INDEX('Сводный годовой график'!$BA$4:$BL$14,$C44,MONTH($B$44)))=AH$3,1,0)</f>
        <v>0</v>
      </c>
      <c r="DO45" s="58">
        <f>IF(DAY(INDEX('Сводный годовой график'!$BA$4:$BL$14,$C44,MONTH($B$44)))=AI$3,1,0)</f>
        <v>0</v>
      </c>
    </row>
    <row r="46" spans="2:119" ht="16.5" thickBot="1" x14ac:dyDescent="0.3">
      <c r="B46" s="201"/>
      <c r="C46" s="196">
        <v>2</v>
      </c>
      <c r="D46" s="81">
        <v>3</v>
      </c>
      <c r="E46" s="96">
        <f ca="1">IF(AND(INDEX('Сводный годовой график'!$C$1:$AR$4,MATCH($C$46,'Сводный годовой график'!$B$1:$B$4),MATCH(DATE($AV$1,MONTH($B$44),E$3),'Сводный годовой график'!$C$9:$AR$9))&lt;&gt;12,INDIRECT(ADDRESS(ROW()+1,COLUMN()))="СП"),8,INDEX('Сводный годовой график'!$C$1:$AR$4,MATCH($C$46,'Сводный годовой график'!$B$1:$B$4),MATCH(DATE($AV$1,MONTH($B$44),E$3),'Сводный годовой график'!$C$9:$AR$9)))</f>
        <v>4</v>
      </c>
      <c r="F46" s="92">
        <f ca="1">IF(AND(INDEX('Сводный годовой график'!$C$1:$AR$4,MATCH($C$46,'Сводный годовой график'!$B$1:$B$4),MATCH(DATE($AV$1,MONTH($B$44),F$3),'Сводный годовой график'!$C$9:$AR$9))&lt;&gt;12,INDIRECT(ADDRESS(ROW()+1,COLUMN()))="СП"),8,INDEX('Сводный годовой график'!$C$1:$AR$4,MATCH($C$46,'Сводный годовой график'!$B$1:$B$4),MATCH(DATE($AV$1,MONTH($B$44),F$3),'Сводный годовой график'!$C$9:$AR$9)))</f>
        <v>8</v>
      </c>
      <c r="G46" s="92">
        <f ca="1">IF(AND(INDEX('Сводный годовой график'!$C$1:$AR$4,MATCH($C$46,'Сводный годовой график'!$B$1:$B$4),MATCH(DATE($AV$1,MONTH($B$44),G$3),'Сводный годовой график'!$C$9:$AR$9))&lt;&gt;12,INDIRECT(ADDRESS(ROW()+1,COLUMN()))="СП"),8,INDEX('Сводный годовой график'!$C$1:$AR$4,MATCH($C$46,'Сводный годовой график'!$B$1:$B$4),MATCH(DATE($AV$1,MONTH($B$44),G$3),'Сводный годовой график'!$C$9:$AR$9)))</f>
        <v>12</v>
      </c>
      <c r="H46" s="92">
        <f ca="1">IF(AND(INDEX('Сводный годовой график'!$C$1:$AR$4,MATCH($C$46,'Сводный годовой график'!$B$1:$B$4),MATCH(DATE($AV$1,MONTH($B$44),H$3),'Сводный годовой график'!$C$9:$AR$9))&lt;&gt;12,INDIRECT(ADDRESS(ROW()+1,COLUMN()))="СП"),8,INDEX('Сводный годовой график'!$C$1:$AR$4,MATCH($C$46,'Сводный годовой график'!$B$1:$B$4),MATCH(DATE($AV$1,MONTH($B$44),H$3),'Сводный годовой график'!$C$9:$AR$9)))</f>
        <v>4</v>
      </c>
      <c r="I46" s="92">
        <f ca="1">IF(AND(INDEX('Сводный годовой график'!$C$1:$AR$4,MATCH($C$46,'Сводный годовой график'!$B$1:$B$4),MATCH(DATE($AV$1,MONTH($B$44),I$3),'Сводный годовой график'!$C$9:$AR$9))&lt;&gt;12,INDIRECT(ADDRESS(ROW()+1,COLUMN()))="СП"),8,INDEX('Сводный годовой график'!$C$1:$AR$4,MATCH($C$46,'Сводный годовой график'!$B$1:$B$4),MATCH(DATE($AV$1,MONTH($B$44),I$3),'Сводный годовой график'!$C$9:$AR$9)))</f>
        <v>8</v>
      </c>
      <c r="J46" s="92">
        <f ca="1">IF(AND(INDEX('Сводный годовой график'!$C$1:$AR$4,MATCH($C$46,'Сводный годовой график'!$B$1:$B$4),MATCH(DATE($AV$1,MONTH($B$44),J$3),'Сводный годовой график'!$C$9:$AR$9))&lt;&gt;12,INDIRECT(ADDRESS(ROW()+1,COLUMN()))="СП"),8,INDEX('Сводный годовой график'!$C$1:$AR$4,MATCH($C$46,'Сводный годовой график'!$B$1:$B$4),MATCH(DATE($AV$1,MONTH($B$44),J$3),'Сводный годовой график'!$C$9:$AR$9)))</f>
        <v>12</v>
      </c>
      <c r="K46" s="92">
        <f ca="1">IF(AND(INDEX('Сводный годовой график'!$C$1:$AR$4,MATCH($C$46,'Сводный годовой график'!$B$1:$B$4),MATCH(DATE($AV$1,MONTH($B$44),K$3),'Сводный годовой график'!$C$9:$AR$9))&lt;&gt;12,INDIRECT(ADDRESS(ROW()+1,COLUMN()))="СП"),8,INDEX('Сводный годовой график'!$C$1:$AR$4,MATCH($C$46,'Сводный годовой график'!$B$1:$B$4),MATCH(DATE($AV$1,MONTH($B$44),K$3),'Сводный годовой график'!$C$9:$AR$9)))</f>
        <v>0</v>
      </c>
      <c r="L46" s="92">
        <f ca="1">IF(AND(INDEX('Сводный годовой график'!$C$1:$AR$4,MATCH($C$46,'Сводный годовой график'!$B$1:$B$4),MATCH(DATE($AV$1,MONTH($B$44),L$3),'Сводный годовой график'!$C$9:$AR$9))&lt;&gt;12,INDIRECT(ADDRESS(ROW()+1,COLUMN()))="СП"),8,INDEX('Сводный годовой график'!$C$1:$AR$4,MATCH($C$46,'Сводный годовой график'!$B$1:$B$4),MATCH(DATE($AV$1,MONTH($B$44),L$3),'Сводный годовой график'!$C$9:$AR$9)))</f>
        <v>0</v>
      </c>
      <c r="M46" s="92">
        <f ca="1">IF(AND(INDEX('Сводный годовой график'!$C$1:$AR$4,MATCH($C$46,'Сводный годовой график'!$B$1:$B$4),MATCH(DATE($AV$1,MONTH($B$44),M$3),'Сводный годовой график'!$C$9:$AR$9))&lt;&gt;12,INDIRECT(ADDRESS(ROW()+1,COLUMN()))="СП"),8,INDEX('Сводный годовой график'!$C$1:$AR$4,MATCH($C$46,'Сводный годовой график'!$B$1:$B$4),MATCH(DATE($AV$1,MONTH($B$44),M$3),'Сводный годовой график'!$C$9:$AR$9)))</f>
        <v>4</v>
      </c>
      <c r="N46" s="92">
        <f ca="1">IF(AND(INDEX('Сводный годовой график'!$C$1:$AR$4,MATCH($C$46,'Сводный годовой график'!$B$1:$B$4),MATCH(DATE($AV$1,MONTH($B$44),N$3),'Сводный годовой график'!$C$9:$AR$9))&lt;&gt;12,INDIRECT(ADDRESS(ROW()+1,COLUMN()))="СП"),8,INDEX('Сводный годовой график'!$C$1:$AR$4,MATCH($C$46,'Сводный годовой график'!$B$1:$B$4),MATCH(DATE($AV$1,MONTH($B$44),N$3),'Сводный годовой график'!$C$9:$AR$9)))</f>
        <v>8</v>
      </c>
      <c r="O46" s="92">
        <f ca="1">IF(AND(INDEX('Сводный годовой график'!$C$1:$AR$4,MATCH($C$46,'Сводный годовой график'!$B$1:$B$4),MATCH(DATE($AV$1,MONTH($B$44),O$3),'Сводный годовой график'!$C$9:$AR$9))&lt;&gt;12,INDIRECT(ADDRESS(ROW()+1,COLUMN()))="СП"),8,INDEX('Сводный годовой график'!$C$1:$AR$4,MATCH($C$46,'Сводный годовой график'!$B$1:$B$4),MATCH(DATE($AV$1,MONTH($B$44),O$3),'Сводный годовой график'!$C$9:$AR$9)))</f>
        <v>12</v>
      </c>
      <c r="P46" s="92">
        <f ca="1">IF(AND(INDEX('Сводный годовой график'!$C$1:$AR$4,MATCH($C$46,'Сводный годовой график'!$B$1:$B$4),MATCH(DATE($AV$1,MONTH($B$44),P$3),'Сводный годовой график'!$C$9:$AR$9))&lt;&gt;12,INDIRECT(ADDRESS(ROW()+1,COLUMN()))="СП"),8,INDEX('Сводный годовой график'!$C$1:$AR$4,MATCH($C$46,'Сводный годовой график'!$B$1:$B$4),MATCH(DATE($AV$1,MONTH($B$44),P$3),'Сводный годовой график'!$C$9:$AR$9)))</f>
        <v>4</v>
      </c>
      <c r="Q46" s="92">
        <f ca="1">IF(AND(INDEX('Сводный годовой график'!$C$1:$AR$4,MATCH($C$46,'Сводный годовой график'!$B$1:$B$4),MATCH(DATE($AV$1,MONTH($B$44),Q$3),'Сводный годовой график'!$C$9:$AR$9))&lt;&gt;12,INDIRECT(ADDRESS(ROW()+1,COLUMN()))="СП"),8,INDEX('Сводный годовой график'!$C$1:$AR$4,MATCH($C$46,'Сводный годовой график'!$B$1:$B$4),MATCH(DATE($AV$1,MONTH($B$44),Q$3),'Сводный годовой график'!$C$9:$AR$9)))</f>
        <v>8</v>
      </c>
      <c r="R46" s="92">
        <f ca="1">IF(AND(INDEX('Сводный годовой график'!$C$1:$AR$4,MATCH($C$46,'Сводный годовой график'!$B$1:$B$4),MATCH(DATE($AV$1,MONTH($B$44),R$3),'Сводный годовой график'!$C$9:$AR$9))&lt;&gt;12,INDIRECT(ADDRESS(ROW()+1,COLUMN()))="СП"),8,INDEX('Сводный годовой график'!$C$1:$AR$4,MATCH($C$46,'Сводный годовой график'!$B$1:$B$4),MATCH(DATE($AV$1,MONTH($B$44),R$3),'Сводный годовой график'!$C$9:$AR$9)))</f>
        <v>12</v>
      </c>
      <c r="S46" s="92">
        <f ca="1">IF(AND(INDEX('Сводный годовой график'!$C$1:$AR$4,MATCH($C$46,'Сводный годовой график'!$B$1:$B$4),MATCH(DATE($AV$1,MONTH($B$44),S$3),'Сводный годовой график'!$C$9:$AR$9))&lt;&gt;12,INDIRECT(ADDRESS(ROW()+1,COLUMN()))="СП"),8,INDEX('Сводный годовой график'!$C$1:$AR$4,MATCH($C$46,'Сводный годовой график'!$B$1:$B$4),MATCH(DATE($AV$1,MONTH($B$44),S$3),'Сводный годовой график'!$C$9:$AR$9)))</f>
        <v>0</v>
      </c>
      <c r="T46" s="92">
        <f ca="1">IF(AND(INDEX('Сводный годовой график'!$C$1:$AR$4,MATCH($C$46,'Сводный годовой график'!$B$1:$B$4),MATCH(DATE($AV$1,MONTH($B$44),T$3),'Сводный годовой график'!$C$9:$AR$9))&lt;&gt;12,INDIRECT(ADDRESS(ROW()+1,COLUMN()))="СП"),8,INDEX('Сводный годовой график'!$C$1:$AR$4,MATCH($C$46,'Сводный годовой график'!$B$1:$B$4),MATCH(DATE($AV$1,MONTH($B$44),T$3),'Сводный годовой график'!$C$9:$AR$9)))</f>
        <v>0</v>
      </c>
      <c r="U46" s="92">
        <f ca="1">IF(AND(INDEX('Сводный годовой график'!$C$1:$AR$4,MATCH($C$46,'Сводный годовой график'!$B$1:$B$4),MATCH(DATE($AV$1,MONTH($B$44),U$3),'Сводный годовой график'!$C$9:$AR$9))&lt;&gt;12,INDIRECT(ADDRESS(ROW()+1,COLUMN()))="СП"),8,INDEX('Сводный годовой график'!$C$1:$AR$4,MATCH($C$46,'Сводный годовой график'!$B$1:$B$4),MATCH(DATE($AV$1,MONTH($B$44),U$3),'Сводный годовой график'!$C$9:$AR$9)))</f>
        <v>4</v>
      </c>
      <c r="V46" s="92">
        <f ca="1">IF(AND(INDEX('Сводный годовой график'!$C$1:$AR$4,MATCH($C$46,'Сводный годовой график'!$B$1:$B$4),MATCH(DATE($AV$1,MONTH($B$44),V$3),'Сводный годовой график'!$C$9:$AR$9))&lt;&gt;12,INDIRECT(ADDRESS(ROW()+1,COLUMN()))="СП"),8,INDEX('Сводный годовой график'!$C$1:$AR$4,MATCH($C$46,'Сводный годовой график'!$B$1:$B$4),MATCH(DATE($AV$1,MONTH($B$44),V$3),'Сводный годовой график'!$C$9:$AR$9)))</f>
        <v>8</v>
      </c>
      <c r="W46" s="92">
        <f ca="1">IF(AND(INDEX('Сводный годовой график'!$C$1:$AR$4,MATCH($C$46,'Сводный годовой график'!$B$1:$B$4),MATCH(DATE($AV$1,MONTH($B$44),W$3),'Сводный годовой график'!$C$9:$AR$9))&lt;&gt;12,INDIRECT(ADDRESS(ROW()+1,COLUMN()))="СП"),8,INDEX('Сводный годовой график'!$C$1:$AR$4,MATCH($C$46,'Сводный годовой график'!$B$1:$B$4),MATCH(DATE($AV$1,MONTH($B$44),W$3),'Сводный годовой график'!$C$9:$AR$9)))</f>
        <v>12</v>
      </c>
      <c r="X46" s="92">
        <f ca="1">IF(AND(INDEX('Сводный годовой график'!$C$1:$AR$4,MATCH($C$46,'Сводный годовой график'!$B$1:$B$4),MATCH(DATE($AV$1,MONTH($B$44),X$3),'Сводный годовой график'!$C$9:$AR$9))&lt;&gt;12,INDIRECT(ADDRESS(ROW()+1,COLUMN()))="СП"),8,INDEX('Сводный годовой график'!$C$1:$AR$4,MATCH($C$46,'Сводный годовой график'!$B$1:$B$4),MATCH(DATE($AV$1,MONTH($B$44),X$3),'Сводный годовой график'!$C$9:$AR$9)))</f>
        <v>4</v>
      </c>
      <c r="Y46" s="92">
        <f ca="1">IF(AND(INDEX('Сводный годовой график'!$C$1:$AR$4,MATCH($C$46,'Сводный годовой график'!$B$1:$B$4),MATCH(DATE($AV$1,MONTH($B$44),Y$3),'Сводный годовой график'!$C$9:$AR$9))&lt;&gt;12,INDIRECT(ADDRESS(ROW()+1,COLUMN()))="СП"),8,INDEX('Сводный годовой график'!$C$1:$AR$4,MATCH($C$46,'Сводный годовой график'!$B$1:$B$4),MATCH(DATE($AV$1,MONTH($B$44),Y$3),'Сводный годовой график'!$C$9:$AR$9)))</f>
        <v>8</v>
      </c>
      <c r="Z46" s="92">
        <f ca="1">IF(AND(INDEX('Сводный годовой график'!$C$1:$AR$4,MATCH($C$46,'Сводный годовой график'!$B$1:$B$4),MATCH(DATE($AV$1,MONTH($B$44),Z$3),'Сводный годовой график'!$C$9:$AR$9))&lt;&gt;12,INDIRECT(ADDRESS(ROW()+1,COLUMN()))="СП"),8,INDEX('Сводный годовой график'!$C$1:$AR$4,MATCH($C$46,'Сводный годовой график'!$B$1:$B$4),MATCH(DATE($AV$1,MONTH($B$44),Z$3),'Сводный годовой график'!$C$9:$AR$9)))</f>
        <v>12</v>
      </c>
      <c r="AA46" s="92">
        <f ca="1">IF(AND(INDEX('Сводный годовой график'!$C$1:$AR$4,MATCH($C$46,'Сводный годовой график'!$B$1:$B$4),MATCH(DATE($AV$1,MONTH($B$44),AA$3),'Сводный годовой график'!$C$9:$AR$9))&lt;&gt;12,INDIRECT(ADDRESS(ROW()+1,COLUMN()))="СП"),8,INDEX('Сводный годовой график'!$C$1:$AR$4,MATCH($C$46,'Сводный годовой график'!$B$1:$B$4),MATCH(DATE($AV$1,MONTH($B$44),AA$3),'Сводный годовой график'!$C$9:$AR$9)))</f>
        <v>0</v>
      </c>
      <c r="AB46" s="92">
        <f ca="1">IF(AND(INDEX('Сводный годовой график'!$C$1:$AR$4,MATCH($C$46,'Сводный годовой график'!$B$1:$B$4),MATCH(DATE($AV$1,MONTH($B$44),AB$3),'Сводный годовой график'!$C$9:$AR$9))&lt;&gt;12,INDIRECT(ADDRESS(ROW()+1,COLUMN()))="СП"),8,INDEX('Сводный годовой график'!$C$1:$AR$4,MATCH($C$46,'Сводный годовой график'!$B$1:$B$4),MATCH(DATE($AV$1,MONTH($B$44),AB$3),'Сводный годовой график'!$C$9:$AR$9)))</f>
        <v>0</v>
      </c>
      <c r="AC46" s="92">
        <f ca="1">IF(AND(INDEX('Сводный годовой график'!$C$1:$AR$4,MATCH($C$46,'Сводный годовой график'!$B$1:$B$4),MATCH(DATE($AV$1,MONTH($B$44),AC$3),'Сводный годовой график'!$C$9:$AR$9))&lt;&gt;12,INDIRECT(ADDRESS(ROW()+1,COLUMN()))="СП"),8,INDEX('Сводный годовой график'!$C$1:$AR$4,MATCH($C$46,'Сводный годовой график'!$B$1:$B$4),MATCH(DATE($AV$1,MONTH($B$44),AC$3),'Сводный годовой график'!$C$9:$AR$9)))</f>
        <v>4</v>
      </c>
      <c r="AD46" s="92">
        <f ca="1">IF(AND(INDEX('Сводный годовой график'!$C$1:$AR$4,MATCH($C$46,'Сводный годовой график'!$B$1:$B$4),MATCH(DATE($AV$1,MONTH($B$44),AD$3),'Сводный годовой график'!$C$9:$AR$9))&lt;&gt;12,INDIRECT(ADDRESS(ROW()+1,COLUMN()))="СП"),8,INDEX('Сводный годовой график'!$C$1:$AR$4,MATCH($C$46,'Сводный годовой график'!$B$1:$B$4),MATCH(DATE($AV$1,MONTH($B$44),AD$3),'Сводный годовой график'!$C$9:$AR$9)))</f>
        <v>8</v>
      </c>
      <c r="AE46" s="92">
        <f ca="1">IF(AND(INDEX('Сводный годовой график'!$C$1:$AR$4,MATCH($C$46,'Сводный годовой график'!$B$1:$B$4),MATCH(DATE($AV$1,MONTH($B$44),AE$3),'Сводный годовой график'!$C$9:$AR$9))&lt;&gt;12,INDIRECT(ADDRESS(ROW()+1,COLUMN()))="СП"),8,INDEX('Сводный годовой график'!$C$1:$AR$4,MATCH($C$46,'Сводный годовой график'!$B$1:$B$4),MATCH(DATE($AV$1,MONTH($B$44),AE$3),'Сводный годовой график'!$C$9:$AR$9)))</f>
        <v>12</v>
      </c>
      <c r="AF46" s="92">
        <f ca="1">IF(AND(INDEX('Сводный годовой график'!$C$1:$AR$4,MATCH($C$46,'Сводный годовой график'!$B$1:$B$4),MATCH(DATE($AV$1,MONTH($B$44),AF$3),'Сводный годовой график'!$C$9:$AR$9))&lt;&gt;12,INDIRECT(ADDRESS(ROW()+1,COLUMN()))="СП"),8,INDEX('Сводный годовой график'!$C$1:$AR$4,MATCH($C$46,'Сводный годовой график'!$B$1:$B$4),MATCH(DATE($AV$1,MONTH($B$44),AF$3),'Сводный годовой график'!$C$9:$AR$9)))</f>
        <v>4</v>
      </c>
      <c r="AG46" s="92">
        <f ca="1">IF(AND(INDEX('Сводный годовой график'!$C$1:$AR$4,MATCH($C$46,'Сводный годовой график'!$B$1:$B$4),MATCH(DATE($AV$1,MONTH($B$44),AG$3),'Сводный годовой график'!$C$9:$AR$9))&lt;&gt;12,INDIRECT(ADDRESS(ROW()+1,COLUMN()))="СП"),8,INDEX('Сводный годовой график'!$C$1:$AR$4,MATCH($C$46,'Сводный годовой график'!$B$1:$B$4),MATCH(DATE($AV$1,MONTH($B$44),AG$3),'Сводный годовой график'!$C$9:$AR$9)))</f>
        <v>8</v>
      </c>
      <c r="AH46" s="92">
        <f ca="1">IF(AND(INDEX('Сводный годовой график'!$C$1:$AR$4,MATCH($C$46,'Сводный годовой график'!$B$1:$B$4),MATCH(DATE($AV$1,MONTH($B$44),AH$3),'Сводный годовой график'!$C$9:$AR$9))&lt;&gt;12,INDIRECT(ADDRESS(ROW()+1,COLUMN()))="СП"),8,INDEX('Сводный годовой график'!$C$1:$AR$4,MATCH($C$46,'Сводный годовой график'!$B$1:$B$4),MATCH(DATE($AV$1,MONTH($B$44),AH$3),'Сводный годовой график'!$C$9:$AR$9)))</f>
        <v>12</v>
      </c>
      <c r="AI46" s="97">
        <f ca="1">IF(AND(INDEX('Сводный годовой график'!$C$1:$AR$4,MATCH($C$46,'Сводный годовой график'!$B$1:$B$4),MATCH(DATE($AV$1,MONTH($B$44),AI$3),'Сводный годовой график'!$C$9:$AR$9))&lt;&gt;12,INDIRECT(ADDRESS(ROW()+1,COLUMN()))="СП"),8,INDEX('Сводный годовой график'!$C$1:$AR$4,MATCH($C$46,'Сводный годовой график'!$B$1:$B$4),MATCH(DATE($AV$1,MONTH($B$44),AI$3),'Сводный годовой график'!$C$9:$AR$9)))</f>
        <v>0</v>
      </c>
      <c r="AJ46" s="206"/>
      <c r="AK46" s="209">
        <f>$AJ$44-SUM(AY46:CC47)</f>
        <v>144</v>
      </c>
      <c r="AL46" s="209">
        <f t="shared" ref="AL46" ca="1" si="54">SUM(E46:AI47)</f>
        <v>192</v>
      </c>
      <c r="AM46" s="209">
        <f t="shared" ref="AM46" ca="1" si="55">(SUM(E46)+SUM(M46))</f>
        <v>8</v>
      </c>
      <c r="AN46" s="211">
        <f t="shared" ref="AN46" ca="1" si="56">-AM46-AK46+AL46</f>
        <v>40</v>
      </c>
      <c r="AO46" s="224">
        <v>0</v>
      </c>
      <c r="AP46" s="211">
        <f ca="1">AN46+AP36-AO46</f>
        <v>24</v>
      </c>
      <c r="AQ46" s="209">
        <v>0</v>
      </c>
      <c r="AR46" s="210">
        <v>1</v>
      </c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59"/>
      <c r="DI46" s="59"/>
      <c r="DJ46" s="59"/>
      <c r="DK46" s="59"/>
      <c r="DL46" s="59"/>
      <c r="DM46" s="59"/>
      <c r="DN46" s="59"/>
      <c r="DO46" s="59"/>
    </row>
    <row r="47" spans="2:119" ht="16.5" thickBot="1" x14ac:dyDescent="0.3">
      <c r="B47" s="201"/>
      <c r="C47" s="197"/>
      <c r="D47" s="82">
        <v>4</v>
      </c>
      <c r="E47" s="96" t="str">
        <f>IF(INDEX($CK$4:$DO$123,ROW()-3,E$3)=0,"","СП")</f>
        <v/>
      </c>
      <c r="F47" s="92" t="str">
        <f>IF(INDEX($CK$4:$DO$123,ROW()-3,F$3)=0,"","СП")</f>
        <v/>
      </c>
      <c r="G47" s="92" t="str">
        <f>IF(INDEX($CK$4:$DO$123,ROW()-3,G$3)=0,"","СП")</f>
        <v/>
      </c>
      <c r="H47" s="92" t="str">
        <f>IF(INDEX($CK$4:$DO$123,ROW()-3,H$3)=0,"","СП")</f>
        <v/>
      </c>
      <c r="I47" s="92" t="str">
        <f>IF(INDEX($CK$4:$DO$123,ROW()-3,I$3)=0,"","СП")</f>
        <v/>
      </c>
      <c r="J47" s="92" t="str">
        <f>IF(INDEX($CK$4:$DO$123,ROW()-3,J$3)=0,"","СП")</f>
        <v>СП</v>
      </c>
      <c r="K47" s="92" t="str">
        <f>IF(INDEX($CK$4:$DO$123,ROW()-3,K$3)=0,"","СП")</f>
        <v/>
      </c>
      <c r="L47" s="92" t="str">
        <f>IF(INDEX($CK$4:$DO$123,ROW()-3,L$3)=0,"","СП")</f>
        <v/>
      </c>
      <c r="M47" s="92" t="str">
        <f>IF(INDEX($CK$4:$DO$123,ROW()-3,M$3)=0,"","СП")</f>
        <v/>
      </c>
      <c r="N47" s="92" t="str">
        <f>IF(INDEX($CK$4:$DO$123,ROW()-3,N$3)=0,"","СП")</f>
        <v/>
      </c>
      <c r="O47" s="92" t="str">
        <f>IF(INDEX($CK$4:$DO$123,ROW()-3,O$3)=0,"","СП")</f>
        <v/>
      </c>
      <c r="P47" s="92" t="str">
        <f>IF(INDEX($CK$4:$DO$123,ROW()-3,P$3)=0,"","СП")</f>
        <v/>
      </c>
      <c r="Q47" s="92" t="str">
        <f>IF(INDEX($CK$4:$DO$123,ROW()-3,Q$3)=0,"","СП")</f>
        <v/>
      </c>
      <c r="R47" s="92" t="str">
        <f>IF(INDEX($CK$4:$DO$123,ROW()-3,R$3)=0,"","СП")</f>
        <v/>
      </c>
      <c r="S47" s="92" t="str">
        <f>IF(INDEX($CK$4:$DO$123,ROW()-3,S$3)=0,"","СП")</f>
        <v/>
      </c>
      <c r="T47" s="92" t="str">
        <f>IF(INDEX($CK$4:$DO$123,ROW()-3,T$3)=0,"","СП")</f>
        <v/>
      </c>
      <c r="U47" s="92" t="str">
        <f>IF(INDEX($CK$4:$DO$123,ROW()-3,U$3)=0,"","СП")</f>
        <v/>
      </c>
      <c r="V47" s="92" t="str">
        <f>IF(INDEX($CK$4:$DO$123,ROW()-3,V$3)=0,"","СП")</f>
        <v/>
      </c>
      <c r="W47" s="92" t="str">
        <f>IF(INDEX($CK$4:$DO$123,ROW()-3,W$3)=0,"","СП")</f>
        <v/>
      </c>
      <c r="X47" s="92" t="str">
        <f>IF(INDEX($CK$4:$DO$123,ROW()-3,X$3)=0,"","СП")</f>
        <v/>
      </c>
      <c r="Y47" s="92" t="str">
        <f>IF(INDEX($CK$4:$DO$123,ROW()-3,Y$3)=0,"","СП")</f>
        <v/>
      </c>
      <c r="Z47" s="92" t="str">
        <f>IF(INDEX($CK$4:$DO$123,ROW()-3,Z$3)=0,"","СП")</f>
        <v/>
      </c>
      <c r="AA47" s="92" t="str">
        <f>IF(INDEX($CK$4:$DO$123,ROW()-3,AA$3)=0,"","СП")</f>
        <v/>
      </c>
      <c r="AB47" s="92" t="str">
        <f>IF(INDEX($CK$4:$DO$123,ROW()-3,AB$3)=0,"","СП")</f>
        <v/>
      </c>
      <c r="AC47" s="92" t="str">
        <f>IF(INDEX($CK$4:$DO$123,ROW()-3,AC$3)=0,"","СП")</f>
        <v/>
      </c>
      <c r="AD47" s="92" t="str">
        <f>IF(INDEX($CK$4:$DO$123,ROW()-3,AD$3)=0,"","СП")</f>
        <v/>
      </c>
      <c r="AE47" s="92" t="str">
        <f>IF(INDEX($CK$4:$DO$123,ROW()-3,AE$3)=0,"","СП")</f>
        <v/>
      </c>
      <c r="AF47" s="92" t="str">
        <f>IF(INDEX($CK$4:$DO$123,ROW()-3,AF$3)=0,"","СП")</f>
        <v/>
      </c>
      <c r="AG47" s="92" t="str">
        <f>IF(INDEX($CK$4:$DO$123,ROW()-3,AG$3)=0,"","СП")</f>
        <v/>
      </c>
      <c r="AH47" s="92" t="str">
        <f>IF(INDEX($CK$4:$DO$123,ROW()-3,AH$3)=0,"","СП")</f>
        <v/>
      </c>
      <c r="AI47" s="97" t="str">
        <f>IF(INDEX($CK$4:$DO$123,ROW()-3,AI$3)=0,"","СП")</f>
        <v/>
      </c>
      <c r="AJ47" s="206"/>
      <c r="AK47" s="209"/>
      <c r="AL47" s="209"/>
      <c r="AM47" s="209"/>
      <c r="AN47" s="211"/>
      <c r="AO47" s="225"/>
      <c r="AP47" s="211"/>
      <c r="AQ47" s="209"/>
      <c r="AR47" s="210"/>
      <c r="CK47" s="58">
        <f>IF(DAY(INDEX('Сводный годовой график'!$BA$4:$BL$14,$C46,MONTH($B$44)))=E$3,1,0)</f>
        <v>0</v>
      </c>
      <c r="CL47" s="58">
        <f>IF(DAY(INDEX('Сводный годовой график'!$BA$4:$BL$14,$C46,MONTH($B$44)))=F$3,1,0)</f>
        <v>0</v>
      </c>
      <c r="CM47" s="58">
        <f>IF(DAY(INDEX('Сводный годовой график'!$BA$4:$BL$14,$C46,MONTH($B$44)))=G$3,1,0)</f>
        <v>0</v>
      </c>
      <c r="CN47" s="58">
        <f>IF(DAY(INDEX('Сводный годовой график'!$BA$4:$BL$14,$C46,MONTH($B$44)))=H$3,1,0)</f>
        <v>0</v>
      </c>
      <c r="CO47" s="58">
        <f>IF(DAY(INDEX('Сводный годовой график'!$BA$4:$BL$14,$C46,MONTH($B$44)))=I$3,1,0)</f>
        <v>0</v>
      </c>
      <c r="CP47" s="58">
        <f>IF(DAY(INDEX('Сводный годовой график'!$BA$4:$BL$14,$C46,MONTH($B$44)))=J$3,1,0)</f>
        <v>1</v>
      </c>
      <c r="CQ47" s="58">
        <f>IF(DAY(INDEX('Сводный годовой график'!$BA$4:$BL$14,$C46,MONTH($B$44)))=K$3,1,0)</f>
        <v>0</v>
      </c>
      <c r="CR47" s="58">
        <f>IF(DAY(INDEX('Сводный годовой график'!$BA$4:$BL$14,$C46,MONTH($B$44)))=L$3,1,0)</f>
        <v>0</v>
      </c>
      <c r="CS47" s="58">
        <f>IF(DAY(INDEX('Сводный годовой график'!$BA$4:$BL$14,$C46,MONTH($B$44)))=M$3,1,0)</f>
        <v>0</v>
      </c>
      <c r="CT47" s="58">
        <f>IF(DAY(INDEX('Сводный годовой график'!$BA$4:$BL$14,$C46,MONTH($B$44)))=N$3,1,0)</f>
        <v>0</v>
      </c>
      <c r="CU47" s="58">
        <f>IF(DAY(INDEX('Сводный годовой график'!$BA$4:$BL$14,$C46,MONTH($B$44)))=O$3,1,0)</f>
        <v>0</v>
      </c>
      <c r="CV47" s="58">
        <f>IF(DAY(INDEX('Сводный годовой график'!$BA$4:$BL$14,$C46,MONTH($B$44)))=P$3,1,0)</f>
        <v>0</v>
      </c>
      <c r="CW47" s="58">
        <f>IF(DAY(INDEX('Сводный годовой график'!$BA$4:$BL$14,$C46,MONTH($B$44)))=Q$3,1,0)</f>
        <v>0</v>
      </c>
      <c r="CX47" s="58">
        <f>IF(DAY(INDEX('Сводный годовой график'!$BA$4:$BL$14,$C46,MONTH($B$44)))=R$3,1,0)</f>
        <v>0</v>
      </c>
      <c r="CY47" s="58">
        <f>IF(DAY(INDEX('Сводный годовой график'!$BA$4:$BL$14,$C46,MONTH($B$44)))=S$3,1,0)</f>
        <v>0</v>
      </c>
      <c r="CZ47" s="58">
        <f>IF(DAY(INDEX('Сводный годовой график'!$BA$4:$BL$14,$C46,MONTH($B$44)))=T$3,1,0)</f>
        <v>0</v>
      </c>
      <c r="DA47" s="58">
        <f>IF(DAY(INDEX('Сводный годовой график'!$BA$4:$BL$14,$C46,MONTH($B$44)))=U$3,1,0)</f>
        <v>0</v>
      </c>
      <c r="DB47" s="58">
        <f>IF(DAY(INDEX('Сводный годовой график'!$BA$4:$BL$14,$C46,MONTH($B$44)))=V$3,1,0)</f>
        <v>0</v>
      </c>
      <c r="DC47" s="58">
        <f>IF(DAY(INDEX('Сводный годовой график'!$BA$4:$BL$14,$C46,MONTH($B$44)))=W$3,1,0)</f>
        <v>0</v>
      </c>
      <c r="DD47" s="58">
        <f>IF(DAY(INDEX('Сводный годовой график'!$BA$4:$BL$14,$C46,MONTH($B$44)))=X$3,1,0)</f>
        <v>0</v>
      </c>
      <c r="DE47" s="58">
        <f>IF(DAY(INDEX('Сводный годовой график'!$BA$4:$BL$14,$C46,MONTH($B$44)))=Y$3,1,0)</f>
        <v>0</v>
      </c>
      <c r="DF47" s="58">
        <f>IF(DAY(INDEX('Сводный годовой график'!$BA$4:$BL$14,$C46,MONTH($B$44)))=Z$3,1,0)</f>
        <v>0</v>
      </c>
      <c r="DG47" s="58">
        <f>IF(DAY(INDEX('Сводный годовой график'!$BA$4:$BL$14,$C46,MONTH($B$44)))=AA$3,1,0)</f>
        <v>0</v>
      </c>
      <c r="DH47" s="58">
        <f>IF(DAY(INDEX('Сводный годовой график'!$BA$4:$BL$14,$C46,MONTH($B$44)))=AB$3,1,0)</f>
        <v>0</v>
      </c>
      <c r="DI47" s="58">
        <f>IF(DAY(INDEX('Сводный годовой график'!$BA$4:$BL$14,$C46,MONTH($B$44)))=AC$3,1,0)</f>
        <v>0</v>
      </c>
      <c r="DJ47" s="58">
        <f>IF(DAY(INDEX('Сводный годовой график'!$BA$4:$BL$14,$C46,MONTH($B$44)))=AD$3,1,0)</f>
        <v>0</v>
      </c>
      <c r="DK47" s="58">
        <f>IF(DAY(INDEX('Сводный годовой график'!$BA$4:$BL$14,$C46,MONTH($B$44)))=AE$3,1,0)</f>
        <v>0</v>
      </c>
      <c r="DL47" s="58">
        <f>IF(DAY(INDEX('Сводный годовой график'!$BA$4:$BL$14,$C46,MONTH($B$44)))=AF$3,1,0)</f>
        <v>0</v>
      </c>
      <c r="DM47" s="58">
        <f>IF(DAY(INDEX('Сводный годовой график'!$BA$4:$BL$14,$C46,MONTH($B$44)))=AG$3,1,0)</f>
        <v>0</v>
      </c>
      <c r="DN47" s="58">
        <f>IF(DAY(INDEX('Сводный годовой график'!$BA$4:$BL$14,$C46,MONTH($B$44)))=AH$3,1,0)</f>
        <v>0</v>
      </c>
      <c r="DO47" s="58">
        <f>IF(DAY(INDEX('Сводный годовой график'!$BA$4:$BL$14,$C46,MONTH($B$44)))=AI$3,1,0)</f>
        <v>0</v>
      </c>
    </row>
    <row r="48" spans="2:119" ht="16.5" thickBot="1" x14ac:dyDescent="0.3">
      <c r="B48" s="201"/>
      <c r="C48" s="196">
        <v>3</v>
      </c>
      <c r="D48" s="81">
        <v>5</v>
      </c>
      <c r="E48" s="96">
        <f ca="1">IF(AND(INDEX('Сводный годовой график'!$C$1:$AR$4,MATCH($C$48,'Сводный годовой график'!$B$1:$B$4),MATCH(DATE($AV$1,MONTH($B$44),E$3),'Сводный годовой график'!$C$9:$AR$9))&lt;&gt;12,INDIRECT(ADDRESS(ROW()+1,COLUMN()))="СП"),8,INDEX('Сводный годовой график'!$C$1:$AR$4,MATCH($C$48,'Сводный годовой график'!$B$1:$B$4),MATCH(DATE($AV$1,MONTH($B$44),E$3),'Сводный годовой график'!$C$9:$AR$9)))</f>
        <v>8</v>
      </c>
      <c r="F48" s="92">
        <f ca="1">IF(AND(INDEX('Сводный годовой график'!$C$1:$AR$4,MATCH($C$48,'Сводный годовой график'!$B$1:$B$4),MATCH(DATE($AV$1,MONTH($B$44),F$3),'Сводный годовой график'!$C$9:$AR$9))&lt;&gt;12,INDIRECT(ADDRESS(ROW()+1,COLUMN()))="СП"),8,INDEX('Сводный годовой график'!$C$1:$AR$4,MATCH($C$48,'Сводный годовой график'!$B$1:$B$4),MATCH(DATE($AV$1,MONTH($B$44),F$3),'Сводный годовой график'!$C$9:$AR$9)))</f>
        <v>12</v>
      </c>
      <c r="G48" s="92">
        <f ca="1">IF(AND(INDEX('Сводный годовой график'!$C$1:$AR$4,MATCH($C$48,'Сводный годовой график'!$B$1:$B$4),MATCH(DATE($AV$1,MONTH($B$44),G$3),'Сводный годовой график'!$C$9:$AR$9))&lt;&gt;12,INDIRECT(ADDRESS(ROW()+1,COLUMN()))="СП"),8,INDEX('Сводный годовой график'!$C$1:$AR$4,MATCH($C$48,'Сводный годовой график'!$B$1:$B$4),MATCH(DATE($AV$1,MONTH($B$44),G$3),'Сводный годовой график'!$C$9:$AR$9)))</f>
        <v>0</v>
      </c>
      <c r="H48" s="92">
        <f ca="1">IF(AND(INDEX('Сводный годовой график'!$C$1:$AR$4,MATCH($C$48,'Сводный годовой график'!$B$1:$B$4),MATCH(DATE($AV$1,MONTH($B$44),H$3),'Сводный годовой график'!$C$9:$AR$9))&lt;&gt;12,INDIRECT(ADDRESS(ROW()+1,COLUMN()))="СП"),8,INDEX('Сводный годовой график'!$C$1:$AR$4,MATCH($C$48,'Сводный годовой график'!$B$1:$B$4),MATCH(DATE($AV$1,MONTH($B$44),H$3),'Сводный годовой график'!$C$9:$AR$9)))</f>
        <v>0</v>
      </c>
      <c r="I48" s="92">
        <f ca="1">IF(AND(INDEX('Сводный годовой график'!$C$1:$AR$4,MATCH($C$48,'Сводный годовой график'!$B$1:$B$4),MATCH(DATE($AV$1,MONTH($B$44),I$3),'Сводный годовой график'!$C$9:$AR$9))&lt;&gt;12,INDIRECT(ADDRESS(ROW()+1,COLUMN()))="СП"),8,INDEX('Сводный годовой график'!$C$1:$AR$4,MATCH($C$48,'Сводный годовой график'!$B$1:$B$4),MATCH(DATE($AV$1,MONTH($B$44),I$3),'Сводный годовой график'!$C$9:$AR$9)))</f>
        <v>4</v>
      </c>
      <c r="J48" s="92">
        <f ca="1">IF(AND(INDEX('Сводный годовой график'!$C$1:$AR$4,MATCH($C$48,'Сводный годовой график'!$B$1:$B$4),MATCH(DATE($AV$1,MONTH($B$44),J$3),'Сводный годовой график'!$C$9:$AR$9))&lt;&gt;12,INDIRECT(ADDRESS(ROW()+1,COLUMN()))="СП"),8,INDEX('Сводный годовой график'!$C$1:$AR$4,MATCH($C$48,'Сводный годовой график'!$B$1:$B$4),MATCH(DATE($AV$1,MONTH($B$44),J$3),'Сводный годовой график'!$C$9:$AR$9)))</f>
        <v>8</v>
      </c>
      <c r="K48" s="92">
        <f ca="1">IF(AND(INDEX('Сводный годовой график'!$C$1:$AR$4,MATCH($C$48,'Сводный годовой график'!$B$1:$B$4),MATCH(DATE($AV$1,MONTH($B$44),K$3),'Сводный годовой график'!$C$9:$AR$9))&lt;&gt;12,INDIRECT(ADDRESS(ROW()+1,COLUMN()))="СП"),8,INDEX('Сводный годовой график'!$C$1:$AR$4,MATCH($C$48,'Сводный годовой график'!$B$1:$B$4),MATCH(DATE($AV$1,MONTH($B$44),K$3),'Сводный годовой график'!$C$9:$AR$9)))</f>
        <v>12</v>
      </c>
      <c r="L48" s="92">
        <f ca="1">IF(AND(INDEX('Сводный годовой график'!$C$1:$AR$4,MATCH($C$48,'Сводный годовой график'!$B$1:$B$4),MATCH(DATE($AV$1,MONTH($B$44),L$3),'Сводный годовой график'!$C$9:$AR$9))&lt;&gt;12,INDIRECT(ADDRESS(ROW()+1,COLUMN()))="СП"),8,INDEX('Сводный годовой график'!$C$1:$AR$4,MATCH($C$48,'Сводный годовой график'!$B$1:$B$4),MATCH(DATE($AV$1,MONTH($B$44),L$3),'Сводный годовой график'!$C$9:$AR$9)))</f>
        <v>4</v>
      </c>
      <c r="M48" s="92">
        <f ca="1">IF(AND(INDEX('Сводный годовой график'!$C$1:$AR$4,MATCH($C$48,'Сводный годовой график'!$B$1:$B$4),MATCH(DATE($AV$1,MONTH($B$44),M$3),'Сводный годовой график'!$C$9:$AR$9))&lt;&gt;12,INDIRECT(ADDRESS(ROW()+1,COLUMN()))="СП"),8,INDEX('Сводный годовой график'!$C$1:$AR$4,MATCH($C$48,'Сводный годовой график'!$B$1:$B$4),MATCH(DATE($AV$1,MONTH($B$44),M$3),'Сводный годовой график'!$C$9:$AR$9)))</f>
        <v>8</v>
      </c>
      <c r="N48" s="92">
        <f ca="1">IF(AND(INDEX('Сводный годовой график'!$C$1:$AR$4,MATCH($C$48,'Сводный годовой график'!$B$1:$B$4),MATCH(DATE($AV$1,MONTH($B$44),N$3),'Сводный годовой график'!$C$9:$AR$9))&lt;&gt;12,INDIRECT(ADDRESS(ROW()+1,COLUMN()))="СП"),8,INDEX('Сводный годовой график'!$C$1:$AR$4,MATCH($C$48,'Сводный годовой график'!$B$1:$B$4),MATCH(DATE($AV$1,MONTH($B$44),N$3),'Сводный годовой график'!$C$9:$AR$9)))</f>
        <v>12</v>
      </c>
      <c r="O48" s="92">
        <f ca="1">IF(AND(INDEX('Сводный годовой график'!$C$1:$AR$4,MATCH($C$48,'Сводный годовой график'!$B$1:$B$4),MATCH(DATE($AV$1,MONTH($B$44),O$3),'Сводный годовой график'!$C$9:$AR$9))&lt;&gt;12,INDIRECT(ADDRESS(ROW()+1,COLUMN()))="СП"),8,INDEX('Сводный годовой график'!$C$1:$AR$4,MATCH($C$48,'Сводный годовой график'!$B$1:$B$4),MATCH(DATE($AV$1,MONTH($B$44),O$3),'Сводный годовой график'!$C$9:$AR$9)))</f>
        <v>0</v>
      </c>
      <c r="P48" s="92">
        <f ca="1">IF(AND(INDEX('Сводный годовой график'!$C$1:$AR$4,MATCH($C$48,'Сводный годовой график'!$B$1:$B$4),MATCH(DATE($AV$1,MONTH($B$44),P$3),'Сводный годовой график'!$C$9:$AR$9))&lt;&gt;12,INDIRECT(ADDRESS(ROW()+1,COLUMN()))="СП"),8,INDEX('Сводный годовой график'!$C$1:$AR$4,MATCH($C$48,'Сводный годовой график'!$B$1:$B$4),MATCH(DATE($AV$1,MONTH($B$44),P$3),'Сводный годовой график'!$C$9:$AR$9)))</f>
        <v>0</v>
      </c>
      <c r="Q48" s="92">
        <f ca="1">IF(AND(INDEX('Сводный годовой график'!$C$1:$AR$4,MATCH($C$48,'Сводный годовой график'!$B$1:$B$4),MATCH(DATE($AV$1,MONTH($B$44),Q$3),'Сводный годовой график'!$C$9:$AR$9))&lt;&gt;12,INDIRECT(ADDRESS(ROW()+1,COLUMN()))="СП"),8,INDEX('Сводный годовой график'!$C$1:$AR$4,MATCH($C$48,'Сводный годовой график'!$B$1:$B$4),MATCH(DATE($AV$1,MONTH($B$44),Q$3),'Сводный годовой график'!$C$9:$AR$9)))</f>
        <v>4</v>
      </c>
      <c r="R48" s="92">
        <f ca="1">IF(AND(INDEX('Сводный годовой график'!$C$1:$AR$4,MATCH($C$48,'Сводный годовой график'!$B$1:$B$4),MATCH(DATE($AV$1,MONTH($B$44),R$3),'Сводный годовой график'!$C$9:$AR$9))&lt;&gt;12,INDIRECT(ADDRESS(ROW()+1,COLUMN()))="СП"),8,INDEX('Сводный годовой график'!$C$1:$AR$4,MATCH($C$48,'Сводный годовой график'!$B$1:$B$4),MATCH(DATE($AV$1,MONTH($B$44),R$3),'Сводный годовой график'!$C$9:$AR$9)))</f>
        <v>8</v>
      </c>
      <c r="S48" s="92">
        <f ca="1">IF(AND(INDEX('Сводный годовой график'!$C$1:$AR$4,MATCH($C$48,'Сводный годовой график'!$B$1:$B$4),MATCH(DATE($AV$1,MONTH($B$44),S$3),'Сводный годовой график'!$C$9:$AR$9))&lt;&gt;12,INDIRECT(ADDRESS(ROW()+1,COLUMN()))="СП"),8,INDEX('Сводный годовой график'!$C$1:$AR$4,MATCH($C$48,'Сводный годовой график'!$B$1:$B$4),MATCH(DATE($AV$1,MONTH($B$44),S$3),'Сводный годовой график'!$C$9:$AR$9)))</f>
        <v>12</v>
      </c>
      <c r="T48" s="92">
        <f ca="1">IF(AND(INDEX('Сводный годовой график'!$C$1:$AR$4,MATCH($C$48,'Сводный годовой график'!$B$1:$B$4),MATCH(DATE($AV$1,MONTH($B$44),T$3),'Сводный годовой график'!$C$9:$AR$9))&lt;&gt;12,INDIRECT(ADDRESS(ROW()+1,COLUMN()))="СП"),8,INDEX('Сводный годовой график'!$C$1:$AR$4,MATCH($C$48,'Сводный годовой график'!$B$1:$B$4),MATCH(DATE($AV$1,MONTH($B$44),T$3),'Сводный годовой график'!$C$9:$AR$9)))</f>
        <v>4</v>
      </c>
      <c r="U48" s="92">
        <f ca="1">IF(AND(INDEX('Сводный годовой график'!$C$1:$AR$4,MATCH($C$48,'Сводный годовой график'!$B$1:$B$4),MATCH(DATE($AV$1,MONTH($B$44),U$3),'Сводный годовой график'!$C$9:$AR$9))&lt;&gt;12,INDIRECT(ADDRESS(ROW()+1,COLUMN()))="СП"),8,INDEX('Сводный годовой график'!$C$1:$AR$4,MATCH($C$48,'Сводный годовой график'!$B$1:$B$4),MATCH(DATE($AV$1,MONTH($B$44),U$3),'Сводный годовой график'!$C$9:$AR$9)))</f>
        <v>8</v>
      </c>
      <c r="V48" s="92">
        <f ca="1">IF(AND(INDEX('Сводный годовой график'!$C$1:$AR$4,MATCH($C$48,'Сводный годовой график'!$B$1:$B$4),MATCH(DATE($AV$1,MONTH($B$44),V$3),'Сводный годовой график'!$C$9:$AR$9))&lt;&gt;12,INDIRECT(ADDRESS(ROW()+1,COLUMN()))="СП"),8,INDEX('Сводный годовой график'!$C$1:$AR$4,MATCH($C$48,'Сводный годовой график'!$B$1:$B$4),MATCH(DATE($AV$1,MONTH($B$44),V$3),'Сводный годовой график'!$C$9:$AR$9)))</f>
        <v>12</v>
      </c>
      <c r="W48" s="92">
        <f ca="1">IF(AND(INDEX('Сводный годовой график'!$C$1:$AR$4,MATCH($C$48,'Сводный годовой график'!$B$1:$B$4),MATCH(DATE($AV$1,MONTH($B$44),W$3),'Сводный годовой график'!$C$9:$AR$9))&lt;&gt;12,INDIRECT(ADDRESS(ROW()+1,COLUMN()))="СП"),8,INDEX('Сводный годовой график'!$C$1:$AR$4,MATCH($C$48,'Сводный годовой график'!$B$1:$B$4),MATCH(DATE($AV$1,MONTH($B$44),W$3),'Сводный годовой график'!$C$9:$AR$9)))</f>
        <v>0</v>
      </c>
      <c r="X48" s="92">
        <f ca="1">IF(AND(INDEX('Сводный годовой график'!$C$1:$AR$4,MATCH($C$48,'Сводный годовой график'!$B$1:$B$4),MATCH(DATE($AV$1,MONTH($B$44),X$3),'Сводный годовой график'!$C$9:$AR$9))&lt;&gt;12,INDIRECT(ADDRESS(ROW()+1,COLUMN()))="СП"),8,INDEX('Сводный годовой график'!$C$1:$AR$4,MATCH($C$48,'Сводный годовой график'!$B$1:$B$4),MATCH(DATE($AV$1,MONTH($B$44),X$3),'Сводный годовой график'!$C$9:$AR$9)))</f>
        <v>0</v>
      </c>
      <c r="Y48" s="92">
        <f ca="1">IF(AND(INDEX('Сводный годовой график'!$C$1:$AR$4,MATCH($C$48,'Сводный годовой график'!$B$1:$B$4),MATCH(DATE($AV$1,MONTH($B$44),Y$3),'Сводный годовой график'!$C$9:$AR$9))&lt;&gt;12,INDIRECT(ADDRESS(ROW()+1,COLUMN()))="СП"),8,INDEX('Сводный годовой график'!$C$1:$AR$4,MATCH($C$48,'Сводный годовой график'!$B$1:$B$4),MATCH(DATE($AV$1,MONTH($B$44),Y$3),'Сводный годовой график'!$C$9:$AR$9)))</f>
        <v>4</v>
      </c>
      <c r="Z48" s="92">
        <f ca="1">IF(AND(INDEX('Сводный годовой график'!$C$1:$AR$4,MATCH($C$48,'Сводный годовой график'!$B$1:$B$4),MATCH(DATE($AV$1,MONTH($B$44),Z$3),'Сводный годовой график'!$C$9:$AR$9))&lt;&gt;12,INDIRECT(ADDRESS(ROW()+1,COLUMN()))="СП"),8,INDEX('Сводный годовой график'!$C$1:$AR$4,MATCH($C$48,'Сводный годовой график'!$B$1:$B$4),MATCH(DATE($AV$1,MONTH($B$44),Z$3),'Сводный годовой график'!$C$9:$AR$9)))</f>
        <v>8</v>
      </c>
      <c r="AA48" s="92">
        <f ca="1">IF(AND(INDEX('Сводный годовой график'!$C$1:$AR$4,MATCH($C$48,'Сводный годовой график'!$B$1:$B$4),MATCH(DATE($AV$1,MONTH($B$44),AA$3),'Сводный годовой график'!$C$9:$AR$9))&lt;&gt;12,INDIRECT(ADDRESS(ROW()+1,COLUMN()))="СП"),8,INDEX('Сводный годовой график'!$C$1:$AR$4,MATCH($C$48,'Сводный годовой график'!$B$1:$B$4),MATCH(DATE($AV$1,MONTH($B$44),AA$3),'Сводный годовой график'!$C$9:$AR$9)))</f>
        <v>12</v>
      </c>
      <c r="AB48" s="92">
        <f ca="1">IF(AND(INDEX('Сводный годовой график'!$C$1:$AR$4,MATCH($C$48,'Сводный годовой график'!$B$1:$B$4),MATCH(DATE($AV$1,MONTH($B$44),AB$3),'Сводный годовой график'!$C$9:$AR$9))&lt;&gt;12,INDIRECT(ADDRESS(ROW()+1,COLUMN()))="СП"),8,INDEX('Сводный годовой график'!$C$1:$AR$4,MATCH($C$48,'Сводный годовой график'!$B$1:$B$4),MATCH(DATE($AV$1,MONTH($B$44),AB$3),'Сводный годовой график'!$C$9:$AR$9)))</f>
        <v>4</v>
      </c>
      <c r="AC48" s="92">
        <f ca="1">IF(AND(INDEX('Сводный годовой график'!$C$1:$AR$4,MATCH($C$48,'Сводный годовой график'!$B$1:$B$4),MATCH(DATE($AV$1,MONTH($B$44),AC$3),'Сводный годовой график'!$C$9:$AR$9))&lt;&gt;12,INDIRECT(ADDRESS(ROW()+1,COLUMN()))="СП"),8,INDEX('Сводный годовой график'!$C$1:$AR$4,MATCH($C$48,'Сводный годовой график'!$B$1:$B$4),MATCH(DATE($AV$1,MONTH($B$44),AC$3),'Сводный годовой график'!$C$9:$AR$9)))</f>
        <v>8</v>
      </c>
      <c r="AD48" s="92">
        <f ca="1">IF(AND(INDEX('Сводный годовой график'!$C$1:$AR$4,MATCH($C$48,'Сводный годовой график'!$B$1:$B$4),MATCH(DATE($AV$1,MONTH($B$44),AD$3),'Сводный годовой график'!$C$9:$AR$9))&lt;&gt;12,INDIRECT(ADDRESS(ROW()+1,COLUMN()))="СП"),8,INDEX('Сводный годовой график'!$C$1:$AR$4,MATCH($C$48,'Сводный годовой график'!$B$1:$B$4),MATCH(DATE($AV$1,MONTH($B$44),AD$3),'Сводный годовой график'!$C$9:$AR$9)))</f>
        <v>12</v>
      </c>
      <c r="AE48" s="92">
        <f ca="1">IF(AND(INDEX('Сводный годовой график'!$C$1:$AR$4,MATCH($C$48,'Сводный годовой график'!$B$1:$B$4),MATCH(DATE($AV$1,MONTH($B$44),AE$3),'Сводный годовой график'!$C$9:$AR$9))&lt;&gt;12,INDIRECT(ADDRESS(ROW()+1,COLUMN()))="СП"),8,INDEX('Сводный годовой график'!$C$1:$AR$4,MATCH($C$48,'Сводный годовой график'!$B$1:$B$4),MATCH(DATE($AV$1,MONTH($B$44),AE$3),'Сводный годовой график'!$C$9:$AR$9)))</f>
        <v>0</v>
      </c>
      <c r="AF48" s="92">
        <f ca="1">IF(AND(INDEX('Сводный годовой график'!$C$1:$AR$4,MATCH($C$48,'Сводный годовой график'!$B$1:$B$4),MATCH(DATE($AV$1,MONTH($B$44),AF$3),'Сводный годовой график'!$C$9:$AR$9))&lt;&gt;12,INDIRECT(ADDRESS(ROW()+1,COLUMN()))="СП"),8,INDEX('Сводный годовой график'!$C$1:$AR$4,MATCH($C$48,'Сводный годовой график'!$B$1:$B$4),MATCH(DATE($AV$1,MONTH($B$44),AF$3),'Сводный годовой график'!$C$9:$AR$9)))</f>
        <v>0</v>
      </c>
      <c r="AG48" s="92">
        <f ca="1">IF(AND(INDEX('Сводный годовой график'!$C$1:$AR$4,MATCH($C$48,'Сводный годовой график'!$B$1:$B$4),MATCH(DATE($AV$1,MONTH($B$44),AG$3),'Сводный годовой график'!$C$9:$AR$9))&lt;&gt;12,INDIRECT(ADDRESS(ROW()+1,COLUMN()))="СП"),8,INDEX('Сводный годовой график'!$C$1:$AR$4,MATCH($C$48,'Сводный годовой график'!$B$1:$B$4),MATCH(DATE($AV$1,MONTH($B$44),AG$3),'Сводный годовой график'!$C$9:$AR$9)))</f>
        <v>4</v>
      </c>
      <c r="AH48" s="92">
        <f ca="1">IF(AND(INDEX('Сводный годовой график'!$C$1:$AR$4,MATCH($C$48,'Сводный годовой график'!$B$1:$B$4),MATCH(DATE($AV$1,MONTH($B$44),AH$3),'Сводный годовой график'!$C$9:$AR$9))&lt;&gt;12,INDIRECT(ADDRESS(ROW()+1,COLUMN()))="СП"),8,INDEX('Сводный годовой график'!$C$1:$AR$4,MATCH($C$48,'Сводный годовой график'!$B$1:$B$4),MATCH(DATE($AV$1,MONTH($B$44),AH$3),'Сводный годовой график'!$C$9:$AR$9)))</f>
        <v>8</v>
      </c>
      <c r="AI48" s="97">
        <f ca="1">IF(AND(INDEX('Сводный годовой график'!$C$1:$AR$4,MATCH($C$48,'Сводный годовой график'!$B$1:$B$4),MATCH(DATE($AV$1,MONTH($B$44),AI$3),'Сводный годовой график'!$C$9:$AR$9))&lt;&gt;12,INDIRECT(ADDRESS(ROW()+1,COLUMN()))="СП"),8,INDEX('Сводный годовой график'!$C$1:$AR$4,MATCH($C$48,'Сводный годовой график'!$B$1:$B$4),MATCH(DATE($AV$1,MONTH($B$44),AI$3),'Сводный годовой график'!$C$9:$AR$9)))</f>
        <v>12</v>
      </c>
      <c r="AJ48" s="206"/>
      <c r="AK48" s="209">
        <f>$AJ$44-SUM(AY48:CC49)</f>
        <v>144</v>
      </c>
      <c r="AL48" s="209">
        <f t="shared" ref="AL48" ca="1" si="57">SUM(E48:AI49)</f>
        <v>188</v>
      </c>
      <c r="AM48" s="209">
        <f t="shared" ref="AM48" ca="1" si="58">(SUM(E48)+SUM(M48))</f>
        <v>16</v>
      </c>
      <c r="AN48" s="211">
        <f t="shared" ref="AN48" ca="1" si="59">-AM48-AK48+AL48</f>
        <v>28</v>
      </c>
      <c r="AO48" s="224">
        <v>0</v>
      </c>
      <c r="AP48" s="211">
        <f t="shared" ref="AP48" ca="1" si="60">AN48+AP38</f>
        <v>46</v>
      </c>
      <c r="AQ48" s="209">
        <v>0</v>
      </c>
      <c r="AR48" s="210">
        <v>1</v>
      </c>
      <c r="CK48" s="59"/>
      <c r="CL48" s="59"/>
      <c r="CM48" s="59"/>
      <c r="CN48" s="59"/>
      <c r="CO48" s="59"/>
      <c r="CP48" s="59"/>
      <c r="CQ48" s="59"/>
      <c r="CR48" s="59"/>
      <c r="CS48" s="59"/>
      <c r="CT48" s="59"/>
      <c r="CU48" s="59"/>
      <c r="CV48" s="59"/>
      <c r="CW48" s="59"/>
      <c r="CX48" s="59"/>
      <c r="CY48" s="59"/>
      <c r="CZ48" s="59"/>
      <c r="DA48" s="59"/>
      <c r="DB48" s="59"/>
      <c r="DC48" s="59"/>
      <c r="DD48" s="59"/>
      <c r="DE48" s="59"/>
      <c r="DF48" s="59"/>
      <c r="DG48" s="59"/>
      <c r="DH48" s="59"/>
      <c r="DI48" s="59"/>
      <c r="DJ48" s="59"/>
      <c r="DK48" s="59"/>
      <c r="DL48" s="59"/>
      <c r="DM48" s="59"/>
      <c r="DN48" s="59"/>
      <c r="DO48" s="59"/>
    </row>
    <row r="49" spans="2:119" ht="16.5" thickBot="1" x14ac:dyDescent="0.3">
      <c r="B49" s="201"/>
      <c r="C49" s="197"/>
      <c r="D49" s="82">
        <v>6</v>
      </c>
      <c r="E49" s="96" t="str">
        <f>IF(INDEX($CK$4:$DO$123,ROW()-3,E$3)=0,"","СП")</f>
        <v/>
      </c>
      <c r="F49" s="92" t="str">
        <f>IF(INDEX($CK$4:$DO$123,ROW()-3,F$3)=0,"","СП")</f>
        <v/>
      </c>
      <c r="G49" s="92" t="str">
        <f>IF(INDEX($CK$4:$DO$123,ROW()-3,G$3)=0,"","СП")</f>
        <v/>
      </c>
      <c r="H49" s="92" t="str">
        <f>IF(INDEX($CK$4:$DO$123,ROW()-3,H$3)=0,"","СП")</f>
        <v/>
      </c>
      <c r="I49" s="92" t="str">
        <f>IF(INDEX($CK$4:$DO$123,ROW()-3,I$3)=0,"","СП")</f>
        <v/>
      </c>
      <c r="J49" s="92" t="str">
        <f>IF(INDEX($CK$4:$DO$123,ROW()-3,J$3)=0,"","СП")</f>
        <v/>
      </c>
      <c r="K49" s="92" t="str">
        <f>IF(INDEX($CK$4:$DO$123,ROW()-3,K$3)=0,"","СП")</f>
        <v>СП</v>
      </c>
      <c r="L49" s="92" t="str">
        <f>IF(INDEX($CK$4:$DO$123,ROW()-3,L$3)=0,"","СП")</f>
        <v/>
      </c>
      <c r="M49" s="92" t="str">
        <f>IF(INDEX($CK$4:$DO$123,ROW()-3,M$3)=0,"","СП")</f>
        <v/>
      </c>
      <c r="N49" s="92" t="str">
        <f>IF(INDEX($CK$4:$DO$123,ROW()-3,N$3)=0,"","СП")</f>
        <v/>
      </c>
      <c r="O49" s="92" t="str">
        <f>IF(INDEX($CK$4:$DO$123,ROW()-3,O$3)=0,"","СП")</f>
        <v/>
      </c>
      <c r="P49" s="92" t="str">
        <f>IF(INDEX($CK$4:$DO$123,ROW()-3,P$3)=0,"","СП")</f>
        <v/>
      </c>
      <c r="Q49" s="92" t="str">
        <f>IF(INDEX($CK$4:$DO$123,ROW()-3,Q$3)=0,"","СП")</f>
        <v/>
      </c>
      <c r="R49" s="92" t="str">
        <f>IF(INDEX($CK$4:$DO$123,ROW()-3,R$3)=0,"","СП")</f>
        <v/>
      </c>
      <c r="S49" s="92" t="str">
        <f>IF(INDEX($CK$4:$DO$123,ROW()-3,S$3)=0,"","СП")</f>
        <v/>
      </c>
      <c r="T49" s="92" t="str">
        <f>IF(INDEX($CK$4:$DO$123,ROW()-3,T$3)=0,"","СП")</f>
        <v/>
      </c>
      <c r="U49" s="92" t="str">
        <f>IF(INDEX($CK$4:$DO$123,ROW()-3,U$3)=0,"","СП")</f>
        <v/>
      </c>
      <c r="V49" s="92" t="str">
        <f>IF(INDEX($CK$4:$DO$123,ROW()-3,V$3)=0,"","СП")</f>
        <v/>
      </c>
      <c r="W49" s="92" t="str">
        <f>IF(INDEX($CK$4:$DO$123,ROW()-3,W$3)=0,"","СП")</f>
        <v/>
      </c>
      <c r="X49" s="92" t="str">
        <f>IF(INDEX($CK$4:$DO$123,ROW()-3,X$3)=0,"","СП")</f>
        <v/>
      </c>
      <c r="Y49" s="92" t="str">
        <f>IF(INDEX($CK$4:$DO$123,ROW()-3,Y$3)=0,"","СП")</f>
        <v/>
      </c>
      <c r="Z49" s="92" t="str">
        <f>IF(INDEX($CK$4:$DO$123,ROW()-3,Z$3)=0,"","СП")</f>
        <v/>
      </c>
      <c r="AA49" s="92" t="str">
        <f>IF(INDEX($CK$4:$DO$123,ROW()-3,AA$3)=0,"","СП")</f>
        <v/>
      </c>
      <c r="AB49" s="92" t="str">
        <f>IF(INDEX($CK$4:$DO$123,ROW()-3,AB$3)=0,"","СП")</f>
        <v/>
      </c>
      <c r="AC49" s="92" t="str">
        <f>IF(INDEX($CK$4:$DO$123,ROW()-3,AC$3)=0,"","СП")</f>
        <v/>
      </c>
      <c r="AD49" s="92" t="str">
        <f>IF(INDEX($CK$4:$DO$123,ROW()-3,AD$3)=0,"","СП")</f>
        <v/>
      </c>
      <c r="AE49" s="92" t="str">
        <f>IF(INDEX($CK$4:$DO$123,ROW()-3,AE$3)=0,"","СП")</f>
        <v/>
      </c>
      <c r="AF49" s="92" t="str">
        <f>IF(INDEX($CK$4:$DO$123,ROW()-3,AF$3)=0,"","СП")</f>
        <v/>
      </c>
      <c r="AG49" s="92" t="str">
        <f>IF(INDEX($CK$4:$DO$123,ROW()-3,AG$3)=0,"","СП")</f>
        <v/>
      </c>
      <c r="AH49" s="92" t="str">
        <f>IF(INDEX($CK$4:$DO$123,ROW()-3,AH$3)=0,"","СП")</f>
        <v/>
      </c>
      <c r="AI49" s="97" t="str">
        <f>IF(INDEX($CK$4:$DO$123,ROW()-3,AI$3)=0,"","СП")</f>
        <v/>
      </c>
      <c r="AJ49" s="206"/>
      <c r="AK49" s="209"/>
      <c r="AL49" s="209"/>
      <c r="AM49" s="209"/>
      <c r="AN49" s="211"/>
      <c r="AO49" s="225"/>
      <c r="AP49" s="211"/>
      <c r="AQ49" s="209"/>
      <c r="AR49" s="210"/>
      <c r="CK49" s="58">
        <f>IF(DAY(INDEX('Сводный годовой график'!$BA$4:$BL$14,$C48,MONTH($B$44)))=E$3,1,0)</f>
        <v>0</v>
      </c>
      <c r="CL49" s="58">
        <f>IF(DAY(INDEX('Сводный годовой график'!$BA$4:$BL$14,$C48,MONTH($B$44)))=F$3,1,0)</f>
        <v>0</v>
      </c>
      <c r="CM49" s="58">
        <f>IF(DAY(INDEX('Сводный годовой график'!$BA$4:$BL$14,$C48,MONTH($B$44)))=G$3,1,0)</f>
        <v>0</v>
      </c>
      <c r="CN49" s="58">
        <f>IF(DAY(INDEX('Сводный годовой график'!$BA$4:$BL$14,$C48,MONTH($B$44)))=H$3,1,0)</f>
        <v>0</v>
      </c>
      <c r="CO49" s="58">
        <f>IF(DAY(INDEX('Сводный годовой график'!$BA$4:$BL$14,$C48,MONTH($B$44)))=I$3,1,0)</f>
        <v>0</v>
      </c>
      <c r="CP49" s="58">
        <f>IF(DAY(INDEX('Сводный годовой график'!$BA$4:$BL$14,$C48,MONTH($B$44)))=J$3,1,0)</f>
        <v>0</v>
      </c>
      <c r="CQ49" s="58">
        <f>IF(DAY(INDEX('Сводный годовой график'!$BA$4:$BL$14,$C48,MONTH($B$44)))=K$3,1,0)</f>
        <v>1</v>
      </c>
      <c r="CR49" s="58">
        <f>IF(DAY(INDEX('Сводный годовой график'!$BA$4:$BL$14,$C48,MONTH($B$44)))=L$3,1,0)</f>
        <v>0</v>
      </c>
      <c r="CS49" s="58">
        <f>IF(DAY(INDEX('Сводный годовой график'!$BA$4:$BL$14,$C48,MONTH($B$44)))=M$3,1,0)</f>
        <v>0</v>
      </c>
      <c r="CT49" s="58">
        <f>IF(DAY(INDEX('Сводный годовой график'!$BA$4:$BL$14,$C48,MONTH($B$44)))=N$3,1,0)</f>
        <v>0</v>
      </c>
      <c r="CU49" s="58">
        <f>IF(DAY(INDEX('Сводный годовой график'!$BA$4:$BL$14,$C48,MONTH($B$44)))=O$3,1,0)</f>
        <v>0</v>
      </c>
      <c r="CV49" s="58">
        <f>IF(DAY(INDEX('Сводный годовой график'!$BA$4:$BL$14,$C48,MONTH($B$44)))=P$3,1,0)</f>
        <v>0</v>
      </c>
      <c r="CW49" s="58">
        <f>IF(DAY(INDEX('Сводный годовой график'!$BA$4:$BL$14,$C48,MONTH($B$44)))=Q$3,1,0)</f>
        <v>0</v>
      </c>
      <c r="CX49" s="58">
        <f>IF(DAY(INDEX('Сводный годовой график'!$BA$4:$BL$14,$C48,MONTH($B$44)))=R$3,1,0)</f>
        <v>0</v>
      </c>
      <c r="CY49" s="58">
        <f>IF(DAY(INDEX('Сводный годовой график'!$BA$4:$BL$14,$C48,MONTH($B$44)))=S$3,1,0)</f>
        <v>0</v>
      </c>
      <c r="CZ49" s="58">
        <f>IF(DAY(INDEX('Сводный годовой график'!$BA$4:$BL$14,$C48,MONTH($B$44)))=T$3,1,0)</f>
        <v>0</v>
      </c>
      <c r="DA49" s="58">
        <f>IF(DAY(INDEX('Сводный годовой график'!$BA$4:$BL$14,$C48,MONTH($B$44)))=U$3,1,0)</f>
        <v>0</v>
      </c>
      <c r="DB49" s="58">
        <f>IF(DAY(INDEX('Сводный годовой график'!$BA$4:$BL$14,$C48,MONTH($B$44)))=V$3,1,0)</f>
        <v>0</v>
      </c>
      <c r="DC49" s="58">
        <f>IF(DAY(INDEX('Сводный годовой график'!$BA$4:$BL$14,$C48,MONTH($B$44)))=W$3,1,0)</f>
        <v>0</v>
      </c>
      <c r="DD49" s="58">
        <f>IF(DAY(INDEX('Сводный годовой график'!$BA$4:$BL$14,$C48,MONTH($B$44)))=X$3,1,0)</f>
        <v>0</v>
      </c>
      <c r="DE49" s="58">
        <f>IF(DAY(INDEX('Сводный годовой график'!$BA$4:$BL$14,$C48,MONTH($B$44)))=Y$3,1,0)</f>
        <v>0</v>
      </c>
      <c r="DF49" s="58">
        <f>IF(DAY(INDEX('Сводный годовой график'!$BA$4:$BL$14,$C48,MONTH($B$44)))=Z$3,1,0)</f>
        <v>0</v>
      </c>
      <c r="DG49" s="58">
        <f>IF(DAY(INDEX('Сводный годовой график'!$BA$4:$BL$14,$C48,MONTH($B$44)))=AA$3,1,0)</f>
        <v>0</v>
      </c>
      <c r="DH49" s="58">
        <f>IF(DAY(INDEX('Сводный годовой график'!$BA$4:$BL$14,$C48,MONTH($B$44)))=AB$3,1,0)</f>
        <v>0</v>
      </c>
      <c r="DI49" s="58">
        <f>IF(DAY(INDEX('Сводный годовой график'!$BA$4:$BL$14,$C48,MONTH($B$44)))=AC$3,1,0)</f>
        <v>0</v>
      </c>
      <c r="DJ49" s="58">
        <f>IF(DAY(INDEX('Сводный годовой график'!$BA$4:$BL$14,$C48,MONTH($B$44)))=AD$3,1,0)</f>
        <v>0</v>
      </c>
      <c r="DK49" s="58">
        <f>IF(DAY(INDEX('Сводный годовой график'!$BA$4:$BL$14,$C48,MONTH($B$44)))=AE$3,1,0)</f>
        <v>0</v>
      </c>
      <c r="DL49" s="58">
        <f>IF(DAY(INDEX('Сводный годовой график'!$BA$4:$BL$14,$C48,MONTH($B$44)))=AF$3,1,0)</f>
        <v>0</v>
      </c>
      <c r="DM49" s="58">
        <f>IF(DAY(INDEX('Сводный годовой график'!$BA$4:$BL$14,$C48,MONTH($B$44)))=AG$3,1,0)</f>
        <v>0</v>
      </c>
      <c r="DN49" s="58">
        <f>IF(DAY(INDEX('Сводный годовой график'!$BA$4:$BL$14,$C48,MONTH($B$44)))=AH$3,1,0)</f>
        <v>0</v>
      </c>
      <c r="DO49" s="58">
        <f>IF(DAY(INDEX('Сводный годовой график'!$BA$4:$BL$14,$C48,MONTH($B$44)))=AI$3,1,0)</f>
        <v>0</v>
      </c>
    </row>
    <row r="50" spans="2:119" ht="16.5" thickBot="1" x14ac:dyDescent="0.3">
      <c r="B50" s="201"/>
      <c r="C50" s="196">
        <v>4</v>
      </c>
      <c r="D50" s="81">
        <v>7</v>
      </c>
      <c r="E50" s="96">
        <f ca="1">IF(AND(INDEX('Сводный годовой график'!$C$1:$AR$4,MATCH($C$50,'Сводный годовой график'!$B$1:$B$4),MATCH(DATE($AV$1,MONTH($B$44),E$3),'Сводный годовой график'!$C$9:$AR$9))&lt;&gt;12,INDIRECT(ADDRESS(ROW()+1,COLUMN()))="СП"),8,INDEX('Сводный годовой график'!$C$1:$AR$4,MATCH($C$50,'Сводный годовой график'!$B$1:$B$4),MATCH(DATE($AV$1,MONTH($B$44),E$3),'Сводный годовой график'!$C$9:$AR$9)))</f>
        <v>12</v>
      </c>
      <c r="F50" s="92">
        <f ca="1">IF(AND(INDEX('Сводный годовой график'!$C$1:$AR$4,MATCH($C$50,'Сводный годовой график'!$B$1:$B$4),MATCH(DATE($AV$1,MONTH($B$44),F$3),'Сводный годовой график'!$C$9:$AR$9))&lt;&gt;12,INDIRECT(ADDRESS(ROW()+1,COLUMN()))="СП"),8,INDEX('Сводный годовой график'!$C$1:$AR$4,MATCH($C$50,'Сводный годовой график'!$B$1:$B$4),MATCH(DATE($AV$1,MONTH($B$44),F$3),'Сводный годовой график'!$C$9:$AR$9)))</f>
        <v>4</v>
      </c>
      <c r="G50" s="92">
        <f ca="1">IF(AND(INDEX('Сводный годовой график'!$C$1:$AR$4,MATCH($C$50,'Сводный годовой график'!$B$1:$B$4),MATCH(DATE($AV$1,MONTH($B$44),G$3),'Сводный годовой график'!$C$9:$AR$9))&lt;&gt;12,INDIRECT(ADDRESS(ROW()+1,COLUMN()))="СП"),8,INDEX('Сводный годовой график'!$C$1:$AR$4,MATCH($C$50,'Сводный годовой график'!$B$1:$B$4),MATCH(DATE($AV$1,MONTH($B$44),G$3),'Сводный годовой график'!$C$9:$AR$9)))</f>
        <v>8</v>
      </c>
      <c r="H50" s="92">
        <f ca="1">IF(AND(INDEX('Сводный годовой график'!$C$1:$AR$4,MATCH($C$50,'Сводный годовой график'!$B$1:$B$4),MATCH(DATE($AV$1,MONTH($B$44),H$3),'Сводный годовой график'!$C$9:$AR$9))&lt;&gt;12,INDIRECT(ADDRESS(ROW()+1,COLUMN()))="СП"),8,INDEX('Сводный годовой график'!$C$1:$AR$4,MATCH($C$50,'Сводный годовой график'!$B$1:$B$4),MATCH(DATE($AV$1,MONTH($B$44),H$3),'Сводный годовой график'!$C$9:$AR$9)))</f>
        <v>12</v>
      </c>
      <c r="I50" s="92">
        <f ca="1">IF(AND(INDEX('Сводный годовой график'!$C$1:$AR$4,MATCH($C$50,'Сводный годовой график'!$B$1:$B$4),MATCH(DATE($AV$1,MONTH($B$44),I$3),'Сводный годовой график'!$C$9:$AR$9))&lt;&gt;12,INDIRECT(ADDRESS(ROW()+1,COLUMN()))="СП"),8,INDEX('Сводный годовой график'!$C$1:$AR$4,MATCH($C$50,'Сводный годовой график'!$B$1:$B$4),MATCH(DATE($AV$1,MONTH($B$44),I$3),'Сводный годовой график'!$C$9:$AR$9)))</f>
        <v>0</v>
      </c>
      <c r="J50" s="92">
        <f ca="1">IF(AND(INDEX('Сводный годовой график'!$C$1:$AR$4,MATCH($C$50,'Сводный годовой график'!$B$1:$B$4),MATCH(DATE($AV$1,MONTH($B$44),J$3),'Сводный годовой график'!$C$9:$AR$9))&lt;&gt;12,INDIRECT(ADDRESS(ROW()+1,COLUMN()))="СП"),8,INDEX('Сводный годовой график'!$C$1:$AR$4,MATCH($C$50,'Сводный годовой график'!$B$1:$B$4),MATCH(DATE($AV$1,MONTH($B$44),J$3),'Сводный годовой график'!$C$9:$AR$9)))</f>
        <v>0</v>
      </c>
      <c r="K50" s="92">
        <f ca="1">IF(AND(INDEX('Сводный годовой график'!$C$1:$AR$4,MATCH($C$50,'Сводный годовой график'!$B$1:$B$4),MATCH(DATE($AV$1,MONTH($B$44),K$3),'Сводный годовой график'!$C$9:$AR$9))&lt;&gt;12,INDIRECT(ADDRESS(ROW()+1,COLUMN()))="СП"),8,INDEX('Сводный годовой график'!$C$1:$AR$4,MATCH($C$50,'Сводный годовой график'!$B$1:$B$4),MATCH(DATE($AV$1,MONTH($B$44),K$3),'Сводный годовой график'!$C$9:$AR$9)))</f>
        <v>4</v>
      </c>
      <c r="L50" s="92">
        <f ca="1">IF(AND(INDEX('Сводный годовой график'!$C$1:$AR$4,MATCH($C$50,'Сводный годовой график'!$B$1:$B$4),MATCH(DATE($AV$1,MONTH($B$44),L$3),'Сводный годовой график'!$C$9:$AR$9))&lt;&gt;12,INDIRECT(ADDRESS(ROW()+1,COLUMN()))="СП"),8,INDEX('Сводный годовой график'!$C$1:$AR$4,MATCH($C$50,'Сводный годовой график'!$B$1:$B$4),MATCH(DATE($AV$1,MONTH($B$44),L$3),'Сводный годовой график'!$C$9:$AR$9)))</f>
        <v>8</v>
      </c>
      <c r="M50" s="92">
        <f ca="1">IF(AND(INDEX('Сводный годовой график'!$C$1:$AR$4,MATCH($C$50,'Сводный годовой график'!$B$1:$B$4),MATCH(DATE($AV$1,MONTH($B$44),M$3),'Сводный годовой график'!$C$9:$AR$9))&lt;&gt;12,INDIRECT(ADDRESS(ROW()+1,COLUMN()))="СП"),8,INDEX('Сводный годовой график'!$C$1:$AR$4,MATCH($C$50,'Сводный годовой график'!$B$1:$B$4),MATCH(DATE($AV$1,MONTH($B$44),M$3),'Сводный годовой график'!$C$9:$AR$9)))</f>
        <v>12</v>
      </c>
      <c r="N50" s="92">
        <f ca="1">IF(AND(INDEX('Сводный годовой график'!$C$1:$AR$4,MATCH($C$50,'Сводный годовой график'!$B$1:$B$4),MATCH(DATE($AV$1,MONTH($B$44),N$3),'Сводный годовой график'!$C$9:$AR$9))&lt;&gt;12,INDIRECT(ADDRESS(ROW()+1,COLUMN()))="СП"),8,INDEX('Сводный годовой график'!$C$1:$AR$4,MATCH($C$50,'Сводный годовой график'!$B$1:$B$4),MATCH(DATE($AV$1,MONTH($B$44),N$3),'Сводный годовой график'!$C$9:$AR$9)))</f>
        <v>4</v>
      </c>
      <c r="O50" s="92">
        <f ca="1">IF(AND(INDEX('Сводный годовой график'!$C$1:$AR$4,MATCH($C$50,'Сводный годовой график'!$B$1:$B$4),MATCH(DATE($AV$1,MONTH($B$44),O$3),'Сводный годовой график'!$C$9:$AR$9))&lt;&gt;12,INDIRECT(ADDRESS(ROW()+1,COLUMN()))="СП"),8,INDEX('Сводный годовой график'!$C$1:$AR$4,MATCH($C$50,'Сводный годовой график'!$B$1:$B$4),MATCH(DATE($AV$1,MONTH($B$44),O$3),'Сводный годовой график'!$C$9:$AR$9)))</f>
        <v>8</v>
      </c>
      <c r="P50" s="92">
        <f ca="1">IF(AND(INDEX('Сводный годовой график'!$C$1:$AR$4,MATCH($C$50,'Сводный годовой график'!$B$1:$B$4),MATCH(DATE($AV$1,MONTH($B$44),P$3),'Сводный годовой график'!$C$9:$AR$9))&lt;&gt;12,INDIRECT(ADDRESS(ROW()+1,COLUMN()))="СП"),8,INDEX('Сводный годовой график'!$C$1:$AR$4,MATCH($C$50,'Сводный годовой график'!$B$1:$B$4),MATCH(DATE($AV$1,MONTH($B$44),P$3),'Сводный годовой график'!$C$9:$AR$9)))</f>
        <v>12</v>
      </c>
      <c r="Q50" s="92">
        <f ca="1">IF(AND(INDEX('Сводный годовой график'!$C$1:$AR$4,MATCH($C$50,'Сводный годовой график'!$B$1:$B$4),MATCH(DATE($AV$1,MONTH($B$44),Q$3),'Сводный годовой график'!$C$9:$AR$9))&lt;&gt;12,INDIRECT(ADDRESS(ROW()+1,COLUMN()))="СП"),8,INDEX('Сводный годовой график'!$C$1:$AR$4,MATCH($C$50,'Сводный годовой график'!$B$1:$B$4),MATCH(DATE($AV$1,MONTH($B$44),Q$3),'Сводный годовой график'!$C$9:$AR$9)))</f>
        <v>0</v>
      </c>
      <c r="R50" s="92">
        <f ca="1">IF(AND(INDEX('Сводный годовой график'!$C$1:$AR$4,MATCH($C$50,'Сводный годовой график'!$B$1:$B$4),MATCH(DATE($AV$1,MONTH($B$44),R$3),'Сводный годовой график'!$C$9:$AR$9))&lt;&gt;12,INDIRECT(ADDRESS(ROW()+1,COLUMN()))="СП"),8,INDEX('Сводный годовой график'!$C$1:$AR$4,MATCH($C$50,'Сводный годовой график'!$B$1:$B$4),MATCH(DATE($AV$1,MONTH($B$44),R$3),'Сводный годовой график'!$C$9:$AR$9)))</f>
        <v>0</v>
      </c>
      <c r="S50" s="92">
        <f ca="1">IF(AND(INDEX('Сводный годовой график'!$C$1:$AR$4,MATCH($C$50,'Сводный годовой график'!$B$1:$B$4),MATCH(DATE($AV$1,MONTH($B$44),S$3),'Сводный годовой график'!$C$9:$AR$9))&lt;&gt;12,INDIRECT(ADDRESS(ROW()+1,COLUMN()))="СП"),8,INDEX('Сводный годовой график'!$C$1:$AR$4,MATCH($C$50,'Сводный годовой график'!$B$1:$B$4),MATCH(DATE($AV$1,MONTH($B$44),S$3),'Сводный годовой график'!$C$9:$AR$9)))</f>
        <v>4</v>
      </c>
      <c r="T50" s="92">
        <f ca="1">IF(AND(INDEX('Сводный годовой график'!$C$1:$AR$4,MATCH($C$50,'Сводный годовой график'!$B$1:$B$4),MATCH(DATE($AV$1,MONTH($B$44),T$3),'Сводный годовой график'!$C$9:$AR$9))&lt;&gt;12,INDIRECT(ADDRESS(ROW()+1,COLUMN()))="СП"),8,INDEX('Сводный годовой график'!$C$1:$AR$4,MATCH($C$50,'Сводный годовой график'!$B$1:$B$4),MATCH(DATE($AV$1,MONTH($B$44),T$3),'Сводный годовой график'!$C$9:$AR$9)))</f>
        <v>8</v>
      </c>
      <c r="U50" s="92">
        <f ca="1">IF(AND(INDEX('Сводный годовой график'!$C$1:$AR$4,MATCH($C$50,'Сводный годовой график'!$B$1:$B$4),MATCH(DATE($AV$1,MONTH($B$44),U$3),'Сводный годовой график'!$C$9:$AR$9))&lt;&gt;12,INDIRECT(ADDRESS(ROW()+1,COLUMN()))="СП"),8,INDEX('Сводный годовой график'!$C$1:$AR$4,MATCH($C$50,'Сводный годовой график'!$B$1:$B$4),MATCH(DATE($AV$1,MONTH($B$44),U$3),'Сводный годовой график'!$C$9:$AR$9)))</f>
        <v>12</v>
      </c>
      <c r="V50" s="92">
        <f ca="1">IF(AND(INDEX('Сводный годовой график'!$C$1:$AR$4,MATCH($C$50,'Сводный годовой график'!$B$1:$B$4),MATCH(DATE($AV$1,MONTH($B$44),V$3),'Сводный годовой график'!$C$9:$AR$9))&lt;&gt;12,INDIRECT(ADDRESS(ROW()+1,COLUMN()))="СП"),8,INDEX('Сводный годовой график'!$C$1:$AR$4,MATCH($C$50,'Сводный годовой график'!$B$1:$B$4),MATCH(DATE($AV$1,MONTH($B$44),V$3),'Сводный годовой график'!$C$9:$AR$9)))</f>
        <v>4</v>
      </c>
      <c r="W50" s="92">
        <f ca="1">IF(AND(INDEX('Сводный годовой график'!$C$1:$AR$4,MATCH($C$50,'Сводный годовой график'!$B$1:$B$4),MATCH(DATE($AV$1,MONTH($B$44),W$3),'Сводный годовой график'!$C$9:$AR$9))&lt;&gt;12,INDIRECT(ADDRESS(ROW()+1,COLUMN()))="СП"),8,INDEX('Сводный годовой график'!$C$1:$AR$4,MATCH($C$50,'Сводный годовой график'!$B$1:$B$4),MATCH(DATE($AV$1,MONTH($B$44),W$3),'Сводный годовой график'!$C$9:$AR$9)))</f>
        <v>8</v>
      </c>
      <c r="X50" s="92">
        <f ca="1">IF(AND(INDEX('Сводный годовой график'!$C$1:$AR$4,MATCH($C$50,'Сводный годовой график'!$B$1:$B$4),MATCH(DATE($AV$1,MONTH($B$44),X$3),'Сводный годовой график'!$C$9:$AR$9))&lt;&gt;12,INDIRECT(ADDRESS(ROW()+1,COLUMN()))="СП"),8,INDEX('Сводный годовой график'!$C$1:$AR$4,MATCH($C$50,'Сводный годовой график'!$B$1:$B$4),MATCH(DATE($AV$1,MONTH($B$44),X$3),'Сводный годовой график'!$C$9:$AR$9)))</f>
        <v>12</v>
      </c>
      <c r="Y50" s="92">
        <f ca="1">IF(AND(INDEX('Сводный годовой график'!$C$1:$AR$4,MATCH($C$50,'Сводный годовой график'!$B$1:$B$4),MATCH(DATE($AV$1,MONTH($B$44),Y$3),'Сводный годовой график'!$C$9:$AR$9))&lt;&gt;12,INDIRECT(ADDRESS(ROW()+1,COLUMN()))="СП"),8,INDEX('Сводный годовой график'!$C$1:$AR$4,MATCH($C$50,'Сводный годовой график'!$B$1:$B$4),MATCH(DATE($AV$1,MONTH($B$44),Y$3),'Сводный годовой график'!$C$9:$AR$9)))</f>
        <v>0</v>
      </c>
      <c r="Z50" s="92">
        <f ca="1">IF(AND(INDEX('Сводный годовой график'!$C$1:$AR$4,MATCH($C$50,'Сводный годовой график'!$B$1:$B$4),MATCH(DATE($AV$1,MONTH($B$44),Z$3),'Сводный годовой график'!$C$9:$AR$9))&lt;&gt;12,INDIRECT(ADDRESS(ROW()+1,COLUMN()))="СП"),8,INDEX('Сводный годовой график'!$C$1:$AR$4,MATCH($C$50,'Сводный годовой график'!$B$1:$B$4),MATCH(DATE($AV$1,MONTH($B$44),Z$3),'Сводный годовой график'!$C$9:$AR$9)))</f>
        <v>0</v>
      </c>
      <c r="AA50" s="92">
        <f ca="1">IF(AND(INDEX('Сводный годовой график'!$C$1:$AR$4,MATCH($C$50,'Сводный годовой график'!$B$1:$B$4),MATCH(DATE($AV$1,MONTH($B$44),AA$3),'Сводный годовой график'!$C$9:$AR$9))&lt;&gt;12,INDIRECT(ADDRESS(ROW()+1,COLUMN()))="СП"),8,INDEX('Сводный годовой график'!$C$1:$AR$4,MATCH($C$50,'Сводный годовой график'!$B$1:$B$4),MATCH(DATE($AV$1,MONTH($B$44),AA$3),'Сводный годовой график'!$C$9:$AR$9)))</f>
        <v>4</v>
      </c>
      <c r="AB50" s="92">
        <f ca="1">IF(AND(INDEX('Сводный годовой график'!$C$1:$AR$4,MATCH($C$50,'Сводный годовой график'!$B$1:$B$4),MATCH(DATE($AV$1,MONTH($B$44),AB$3),'Сводный годовой график'!$C$9:$AR$9))&lt;&gt;12,INDIRECT(ADDRESS(ROW()+1,COLUMN()))="СП"),8,INDEX('Сводный годовой график'!$C$1:$AR$4,MATCH($C$50,'Сводный годовой график'!$B$1:$B$4),MATCH(DATE($AV$1,MONTH($B$44),AB$3),'Сводный годовой график'!$C$9:$AR$9)))</f>
        <v>8</v>
      </c>
      <c r="AC50" s="92">
        <f ca="1">IF(AND(INDEX('Сводный годовой график'!$C$1:$AR$4,MATCH($C$50,'Сводный годовой график'!$B$1:$B$4),MATCH(DATE($AV$1,MONTH($B$44),AC$3),'Сводный годовой график'!$C$9:$AR$9))&lt;&gt;12,INDIRECT(ADDRESS(ROW()+1,COLUMN()))="СП"),8,INDEX('Сводный годовой график'!$C$1:$AR$4,MATCH($C$50,'Сводный годовой график'!$B$1:$B$4),MATCH(DATE($AV$1,MONTH($B$44),AC$3),'Сводный годовой график'!$C$9:$AR$9)))</f>
        <v>12</v>
      </c>
      <c r="AD50" s="92">
        <f ca="1">IF(AND(INDEX('Сводный годовой график'!$C$1:$AR$4,MATCH($C$50,'Сводный годовой график'!$B$1:$B$4),MATCH(DATE($AV$1,MONTH($B$44),AD$3),'Сводный годовой график'!$C$9:$AR$9))&lt;&gt;12,INDIRECT(ADDRESS(ROW()+1,COLUMN()))="СП"),8,INDEX('Сводный годовой график'!$C$1:$AR$4,MATCH($C$50,'Сводный годовой график'!$B$1:$B$4),MATCH(DATE($AV$1,MONTH($B$44),AD$3),'Сводный годовой график'!$C$9:$AR$9)))</f>
        <v>4</v>
      </c>
      <c r="AE50" s="92">
        <f ca="1">IF(AND(INDEX('Сводный годовой график'!$C$1:$AR$4,MATCH($C$50,'Сводный годовой график'!$B$1:$B$4),MATCH(DATE($AV$1,MONTH($B$44),AE$3),'Сводный годовой график'!$C$9:$AR$9))&lt;&gt;12,INDIRECT(ADDRESS(ROW()+1,COLUMN()))="СП"),8,INDEX('Сводный годовой график'!$C$1:$AR$4,MATCH($C$50,'Сводный годовой график'!$B$1:$B$4),MATCH(DATE($AV$1,MONTH($B$44),AE$3),'Сводный годовой график'!$C$9:$AR$9)))</f>
        <v>8</v>
      </c>
      <c r="AF50" s="92">
        <f ca="1">IF(AND(INDEX('Сводный годовой график'!$C$1:$AR$4,MATCH($C$50,'Сводный годовой график'!$B$1:$B$4),MATCH(DATE($AV$1,MONTH($B$44),AF$3),'Сводный годовой график'!$C$9:$AR$9))&lt;&gt;12,INDIRECT(ADDRESS(ROW()+1,COLUMN()))="СП"),8,INDEX('Сводный годовой график'!$C$1:$AR$4,MATCH($C$50,'Сводный годовой график'!$B$1:$B$4),MATCH(DATE($AV$1,MONTH($B$44),AF$3),'Сводный годовой график'!$C$9:$AR$9)))</f>
        <v>12</v>
      </c>
      <c r="AG50" s="92">
        <f ca="1">IF(AND(INDEX('Сводный годовой график'!$C$1:$AR$4,MATCH($C$50,'Сводный годовой график'!$B$1:$B$4),MATCH(DATE($AV$1,MONTH($B$44),AG$3),'Сводный годовой график'!$C$9:$AR$9))&lt;&gt;12,INDIRECT(ADDRESS(ROW()+1,COLUMN()))="СП"),8,INDEX('Сводный годовой график'!$C$1:$AR$4,MATCH($C$50,'Сводный годовой график'!$B$1:$B$4),MATCH(DATE($AV$1,MONTH($B$44),AG$3),'Сводный годовой график'!$C$9:$AR$9)))</f>
        <v>0</v>
      </c>
      <c r="AH50" s="92">
        <f ca="1">IF(AND(INDEX('Сводный годовой график'!$C$1:$AR$4,MATCH($C$50,'Сводный годовой график'!$B$1:$B$4),MATCH(DATE($AV$1,MONTH($B$44),AH$3),'Сводный годовой график'!$C$9:$AR$9))&lt;&gt;12,INDIRECT(ADDRESS(ROW()+1,COLUMN()))="СП"),8,INDEX('Сводный годовой график'!$C$1:$AR$4,MATCH($C$50,'Сводный годовой график'!$B$1:$B$4),MATCH(DATE($AV$1,MONTH($B$44),AH$3),'Сводный годовой график'!$C$9:$AR$9)))</f>
        <v>0</v>
      </c>
      <c r="AI50" s="97">
        <f ca="1">IF(AND(INDEX('Сводный годовой график'!$C$1:$AR$4,MATCH($C$50,'Сводный годовой график'!$B$1:$B$4),MATCH(DATE($AV$1,MONTH($B$44),AI$3),'Сводный годовой график'!$C$9:$AR$9))&lt;&gt;12,INDIRECT(ADDRESS(ROW()+1,COLUMN()))="СП"),8,INDEX('Сводный годовой график'!$C$1:$AR$4,MATCH($C$50,'Сводный годовой график'!$B$1:$B$4),MATCH(DATE($AV$1,MONTH($B$44),AI$3),'Сводный годовой график'!$C$9:$AR$9)))</f>
        <v>4</v>
      </c>
      <c r="AJ50" s="206"/>
      <c r="AK50" s="209">
        <f>$AJ$44-SUM(AY50:CC51)</f>
        <v>144</v>
      </c>
      <c r="AL50" s="209">
        <f t="shared" ref="AL50" ca="1" si="61">SUM(E50:AI51)</f>
        <v>184</v>
      </c>
      <c r="AM50" s="209">
        <f t="shared" ref="AM50" ca="1" si="62">(SUM(E50)+SUM(M50))</f>
        <v>24</v>
      </c>
      <c r="AN50" s="211">
        <f t="shared" ref="AN50" ca="1" si="63">-AM50-AK50+AL50</f>
        <v>16</v>
      </c>
      <c r="AO50" s="224"/>
      <c r="AP50" s="211">
        <f ca="1">AN50+AP40-AO50</f>
        <v>42</v>
      </c>
      <c r="AQ50" s="209">
        <v>0</v>
      </c>
      <c r="AR50" s="210">
        <v>1</v>
      </c>
      <c r="CK50" s="59"/>
      <c r="CL50" s="59"/>
      <c r="CM50" s="59"/>
      <c r="CN50" s="59"/>
      <c r="CO50" s="59"/>
      <c r="CP50" s="59"/>
      <c r="CQ50" s="59"/>
      <c r="CR50" s="59"/>
      <c r="CS50" s="59"/>
      <c r="CT50" s="59"/>
      <c r="CU50" s="59"/>
      <c r="CV50" s="59"/>
      <c r="CW50" s="59"/>
      <c r="CX50" s="59"/>
      <c r="CY50" s="59"/>
      <c r="CZ50" s="59"/>
      <c r="DA50" s="59"/>
      <c r="DB50" s="59"/>
      <c r="DC50" s="59"/>
      <c r="DD50" s="59"/>
      <c r="DE50" s="59"/>
      <c r="DF50" s="59"/>
      <c r="DG50" s="59"/>
      <c r="DH50" s="59"/>
      <c r="DI50" s="59"/>
      <c r="DJ50" s="59"/>
      <c r="DK50" s="59"/>
      <c r="DL50" s="59"/>
      <c r="DM50" s="59"/>
      <c r="DN50" s="59"/>
      <c r="DO50" s="59"/>
    </row>
    <row r="51" spans="2:119" ht="16.5" thickBot="1" x14ac:dyDescent="0.3">
      <c r="B51" s="201"/>
      <c r="C51" s="197"/>
      <c r="D51" s="82">
        <v>8</v>
      </c>
      <c r="E51" s="96" t="str">
        <f>IF(INDEX($CK$4:$DO$123,ROW()-3,E$3)=0,"","СП")</f>
        <v/>
      </c>
      <c r="F51" s="92" t="str">
        <f>IF(INDEX($CK$4:$DO$123,ROW()-3,F$3)=0,"","СП")</f>
        <v/>
      </c>
      <c r="G51" s="92" t="str">
        <f>IF(INDEX($CK$4:$DO$123,ROW()-3,G$3)=0,"","СП")</f>
        <v/>
      </c>
      <c r="H51" s="92" t="str">
        <f>IF(INDEX($CK$4:$DO$123,ROW()-3,H$3)=0,"","СП")</f>
        <v/>
      </c>
      <c r="I51" s="92" t="str">
        <f>IF(INDEX($CK$4:$DO$123,ROW()-3,I$3)=0,"","СП")</f>
        <v/>
      </c>
      <c r="J51" s="92" t="str">
        <f>IF(INDEX($CK$4:$DO$123,ROW()-3,J$3)=0,"","СП")</f>
        <v/>
      </c>
      <c r="K51" s="92" t="str">
        <f>IF(INDEX($CK$4:$DO$123,ROW()-3,K$3)=0,"","СП")</f>
        <v/>
      </c>
      <c r="L51" s="92" t="str">
        <f>IF(INDEX($CK$4:$DO$123,ROW()-3,L$3)=0,"","СП")</f>
        <v>СП</v>
      </c>
      <c r="M51" s="92" t="str">
        <f>IF(INDEX($CK$4:$DO$123,ROW()-3,M$3)=0,"","СП")</f>
        <v/>
      </c>
      <c r="N51" s="92" t="str">
        <f>IF(INDEX($CK$4:$DO$123,ROW()-3,N$3)=0,"","СП")</f>
        <v/>
      </c>
      <c r="O51" s="92" t="str">
        <f>IF(INDEX($CK$4:$DO$123,ROW()-3,O$3)=0,"","СП")</f>
        <v/>
      </c>
      <c r="P51" s="92" t="str">
        <f>IF(INDEX($CK$4:$DO$123,ROW()-3,P$3)=0,"","СП")</f>
        <v/>
      </c>
      <c r="Q51" s="92" t="str">
        <f>IF(INDEX($CK$4:$DO$123,ROW()-3,Q$3)=0,"","СП")</f>
        <v/>
      </c>
      <c r="R51" s="92" t="str">
        <f>IF(INDEX($CK$4:$DO$123,ROW()-3,R$3)=0,"","СП")</f>
        <v/>
      </c>
      <c r="S51" s="92" t="str">
        <f>IF(INDEX($CK$4:$DO$123,ROW()-3,S$3)=0,"","СП")</f>
        <v/>
      </c>
      <c r="T51" s="92" t="str">
        <f>IF(INDEX($CK$4:$DO$123,ROW()-3,T$3)=0,"","СП")</f>
        <v/>
      </c>
      <c r="U51" s="92" t="str">
        <f>IF(INDEX($CK$4:$DO$123,ROW()-3,U$3)=0,"","СП")</f>
        <v/>
      </c>
      <c r="V51" s="92" t="str">
        <f>IF(INDEX($CK$4:$DO$123,ROW()-3,V$3)=0,"","СП")</f>
        <v/>
      </c>
      <c r="W51" s="92" t="str">
        <f>IF(INDEX($CK$4:$DO$123,ROW()-3,W$3)=0,"","СП")</f>
        <v/>
      </c>
      <c r="X51" s="92" t="str">
        <f>IF(INDEX($CK$4:$DO$123,ROW()-3,X$3)=0,"","СП")</f>
        <v/>
      </c>
      <c r="Y51" s="92" t="str">
        <f>IF(INDEX($CK$4:$DO$123,ROW()-3,Y$3)=0,"","СП")</f>
        <v/>
      </c>
      <c r="Z51" s="92" t="str">
        <f>IF(INDEX($CK$4:$DO$123,ROW()-3,Z$3)=0,"","СП")</f>
        <v/>
      </c>
      <c r="AA51" s="92" t="str">
        <f>IF(INDEX($CK$4:$DO$123,ROW()-3,AA$3)=0,"","СП")</f>
        <v/>
      </c>
      <c r="AB51" s="92" t="str">
        <f>IF(INDEX($CK$4:$DO$123,ROW()-3,AB$3)=0,"","СП")</f>
        <v/>
      </c>
      <c r="AC51" s="92" t="str">
        <f>IF(INDEX($CK$4:$DO$123,ROW()-3,AC$3)=0,"","СП")</f>
        <v/>
      </c>
      <c r="AD51" s="92" t="str">
        <f>IF(INDEX($CK$4:$DO$123,ROW()-3,AD$3)=0,"","СП")</f>
        <v/>
      </c>
      <c r="AE51" s="92" t="str">
        <f>IF(INDEX($CK$4:$DO$123,ROW()-3,AE$3)=0,"","СП")</f>
        <v/>
      </c>
      <c r="AF51" s="92" t="str">
        <f>IF(INDEX($CK$4:$DO$123,ROW()-3,AF$3)=0,"","СП")</f>
        <v/>
      </c>
      <c r="AG51" s="92" t="str">
        <f>IF(INDEX($CK$4:$DO$123,ROW()-3,AG$3)=0,"","СП")</f>
        <v/>
      </c>
      <c r="AH51" s="92" t="str">
        <f>IF(INDEX($CK$4:$DO$123,ROW()-3,AH$3)=0,"","СП")</f>
        <v/>
      </c>
      <c r="AI51" s="97" t="str">
        <f>IF(INDEX($CK$4:$DO$123,ROW()-3,AI$3)=0,"","СП")</f>
        <v/>
      </c>
      <c r="AJ51" s="206"/>
      <c r="AK51" s="209"/>
      <c r="AL51" s="209"/>
      <c r="AM51" s="209"/>
      <c r="AN51" s="211"/>
      <c r="AO51" s="225"/>
      <c r="AP51" s="211"/>
      <c r="AQ51" s="209"/>
      <c r="AR51" s="210"/>
      <c r="CK51" s="58">
        <f>IF(DAY(INDEX('Сводный годовой график'!$BA$4:$BL$14,$C50,MONTH($B$44)))=E$3,1,0)</f>
        <v>0</v>
      </c>
      <c r="CL51" s="58">
        <f>IF(DAY(INDEX('Сводный годовой график'!$BA$4:$BL$14,$C50,MONTH($B$44)))=F$3,1,0)</f>
        <v>0</v>
      </c>
      <c r="CM51" s="58">
        <f>IF(DAY(INDEX('Сводный годовой график'!$BA$4:$BL$14,$C50,MONTH($B$44)))=G$3,1,0)</f>
        <v>0</v>
      </c>
      <c r="CN51" s="58">
        <f>IF(DAY(INDEX('Сводный годовой график'!$BA$4:$BL$14,$C50,MONTH($B$44)))=H$3,1,0)</f>
        <v>0</v>
      </c>
      <c r="CO51" s="58">
        <f>IF(DAY(INDEX('Сводный годовой график'!$BA$4:$BL$14,$C50,MONTH($B$44)))=I$3,1,0)</f>
        <v>0</v>
      </c>
      <c r="CP51" s="58">
        <f>IF(DAY(INDEX('Сводный годовой график'!$BA$4:$BL$14,$C50,MONTH($B$44)))=J$3,1,0)</f>
        <v>0</v>
      </c>
      <c r="CQ51" s="58">
        <f>IF(DAY(INDEX('Сводный годовой график'!$BA$4:$BL$14,$C50,MONTH($B$44)))=K$3,1,0)</f>
        <v>0</v>
      </c>
      <c r="CR51" s="58">
        <f>IF(DAY(INDEX('Сводный годовой график'!$BA$4:$BL$14,$C50,MONTH($B$44)))=L$3,1,0)</f>
        <v>1</v>
      </c>
      <c r="CS51" s="58">
        <f>IF(DAY(INDEX('Сводный годовой график'!$BA$4:$BL$14,$C50,MONTH($B$44)))=M$3,1,0)</f>
        <v>0</v>
      </c>
      <c r="CT51" s="58">
        <f>IF(DAY(INDEX('Сводный годовой график'!$BA$4:$BL$14,$C50,MONTH($B$44)))=N$3,1,0)</f>
        <v>0</v>
      </c>
      <c r="CU51" s="58">
        <f>IF(DAY(INDEX('Сводный годовой график'!$BA$4:$BL$14,$C50,MONTH($B$44)))=O$3,1,0)</f>
        <v>0</v>
      </c>
      <c r="CV51" s="58">
        <f>IF(DAY(INDEX('Сводный годовой график'!$BA$4:$BL$14,$C50,MONTH($B$44)))=P$3,1,0)</f>
        <v>0</v>
      </c>
      <c r="CW51" s="58">
        <f>IF(DAY(INDEX('Сводный годовой график'!$BA$4:$BL$14,$C50,MONTH($B$44)))=Q$3,1,0)</f>
        <v>0</v>
      </c>
      <c r="CX51" s="58">
        <f>IF(DAY(INDEX('Сводный годовой график'!$BA$4:$BL$14,$C50,MONTH($B$44)))=R$3,1,0)</f>
        <v>0</v>
      </c>
      <c r="CY51" s="58">
        <f>IF(DAY(INDEX('Сводный годовой график'!$BA$4:$BL$14,$C50,MONTH($B$44)))=S$3,1,0)</f>
        <v>0</v>
      </c>
      <c r="CZ51" s="58">
        <f>IF(DAY(INDEX('Сводный годовой график'!$BA$4:$BL$14,$C50,MONTH($B$44)))=T$3,1,0)</f>
        <v>0</v>
      </c>
      <c r="DA51" s="58">
        <f>IF(DAY(INDEX('Сводный годовой график'!$BA$4:$BL$14,$C50,MONTH($B$44)))=U$3,1,0)</f>
        <v>0</v>
      </c>
      <c r="DB51" s="58">
        <f>IF(DAY(INDEX('Сводный годовой график'!$BA$4:$BL$14,$C50,MONTH($B$44)))=V$3,1,0)</f>
        <v>0</v>
      </c>
      <c r="DC51" s="58">
        <f>IF(DAY(INDEX('Сводный годовой график'!$BA$4:$BL$14,$C50,MONTH($B$44)))=W$3,1,0)</f>
        <v>0</v>
      </c>
      <c r="DD51" s="58">
        <f>IF(DAY(INDEX('Сводный годовой график'!$BA$4:$BL$14,$C50,MONTH($B$44)))=X$3,1,0)</f>
        <v>0</v>
      </c>
      <c r="DE51" s="58">
        <f>IF(DAY(INDEX('Сводный годовой график'!$BA$4:$BL$14,$C50,MONTH($B$44)))=Y$3,1,0)</f>
        <v>0</v>
      </c>
      <c r="DF51" s="58">
        <f>IF(DAY(INDEX('Сводный годовой график'!$BA$4:$BL$14,$C50,MONTH($B$44)))=Z$3,1,0)</f>
        <v>0</v>
      </c>
      <c r="DG51" s="58">
        <f>IF(DAY(INDEX('Сводный годовой график'!$BA$4:$BL$14,$C50,MONTH($B$44)))=AA$3,1,0)</f>
        <v>0</v>
      </c>
      <c r="DH51" s="58">
        <f>IF(DAY(INDEX('Сводный годовой график'!$BA$4:$BL$14,$C50,MONTH($B$44)))=AB$3,1,0)</f>
        <v>0</v>
      </c>
      <c r="DI51" s="58">
        <f>IF(DAY(INDEX('Сводный годовой график'!$BA$4:$BL$14,$C50,MONTH($B$44)))=AC$3,1,0)</f>
        <v>0</v>
      </c>
      <c r="DJ51" s="58">
        <f>IF(DAY(INDEX('Сводный годовой график'!$BA$4:$BL$14,$C50,MONTH($B$44)))=AD$3,1,0)</f>
        <v>0</v>
      </c>
      <c r="DK51" s="58">
        <f>IF(DAY(INDEX('Сводный годовой график'!$BA$4:$BL$14,$C50,MONTH($B$44)))=AE$3,1,0)</f>
        <v>0</v>
      </c>
      <c r="DL51" s="58">
        <f>IF(DAY(INDEX('Сводный годовой график'!$BA$4:$BL$14,$C50,MONTH($B$44)))=AF$3,1,0)</f>
        <v>0</v>
      </c>
      <c r="DM51" s="58">
        <f>IF(DAY(INDEX('Сводный годовой график'!$BA$4:$BL$14,$C50,MONTH($B$44)))=AG$3,1,0)</f>
        <v>0</v>
      </c>
      <c r="DN51" s="58">
        <f>IF(DAY(INDEX('Сводный годовой график'!$BA$4:$BL$14,$C50,MONTH($B$44)))=AH$3,1,0)</f>
        <v>0</v>
      </c>
      <c r="DO51" s="58">
        <f>IF(DAY(INDEX('Сводный годовой график'!$BA$4:$BL$14,$C50,MONTH($B$44)))=AI$3,1,0)</f>
        <v>0</v>
      </c>
    </row>
    <row r="52" spans="2:119" ht="16.5" thickBot="1" x14ac:dyDescent="0.3">
      <c r="B52" s="201"/>
      <c r="C52" s="196">
        <v>5</v>
      </c>
      <c r="D52" s="81">
        <v>9</v>
      </c>
      <c r="E52" s="96" t="s">
        <v>36</v>
      </c>
      <c r="F52" s="92" t="s">
        <v>36</v>
      </c>
      <c r="G52" s="92" t="s">
        <v>36</v>
      </c>
      <c r="H52" s="92" t="s">
        <v>36</v>
      </c>
      <c r="I52" s="92" t="s">
        <v>36</v>
      </c>
      <c r="J52" s="92" t="s">
        <v>36</v>
      </c>
      <c r="K52" s="92" t="s">
        <v>36</v>
      </c>
      <c r="L52" s="92" t="s">
        <v>36</v>
      </c>
      <c r="M52" s="92" t="s">
        <v>36</v>
      </c>
      <c r="N52" s="92" t="s">
        <v>36</v>
      </c>
      <c r="O52" s="92" t="s">
        <v>36</v>
      </c>
      <c r="P52" s="92" t="s">
        <v>36</v>
      </c>
      <c r="Q52" s="92" t="s">
        <v>36</v>
      </c>
      <c r="R52" s="92" t="s">
        <v>36</v>
      </c>
      <c r="S52" s="92" t="s">
        <v>36</v>
      </c>
      <c r="T52" s="92" t="s">
        <v>36</v>
      </c>
      <c r="U52" s="92" t="s">
        <v>36</v>
      </c>
      <c r="V52" s="92" t="s">
        <v>36</v>
      </c>
      <c r="W52" s="92" t="s">
        <v>36</v>
      </c>
      <c r="X52" s="92" t="s">
        <v>36</v>
      </c>
      <c r="Y52" s="92" t="s">
        <v>36</v>
      </c>
      <c r="Z52" s="92" t="s">
        <v>36</v>
      </c>
      <c r="AA52" s="92" t="s">
        <v>36</v>
      </c>
      <c r="AB52" s="92" t="s">
        <v>36</v>
      </c>
      <c r="AC52" s="92" t="s">
        <v>36</v>
      </c>
      <c r="AD52" s="92" t="s">
        <v>36</v>
      </c>
      <c r="AE52" s="92" t="s">
        <v>36</v>
      </c>
      <c r="AF52" s="92" t="s">
        <v>36</v>
      </c>
      <c r="AG52" s="92" t="s">
        <v>36</v>
      </c>
      <c r="AH52" s="92" t="s">
        <v>36</v>
      </c>
      <c r="AI52" s="97" t="s">
        <v>36</v>
      </c>
      <c r="AJ52" s="206"/>
      <c r="AK52" s="209">
        <f>$AJ$44-SUM(AY52:CC53)</f>
        <v>144</v>
      </c>
      <c r="AL52" s="209">
        <f t="shared" ref="AL52" si="64">SUM(E52:AI53)</f>
        <v>0</v>
      </c>
      <c r="AM52" s="209">
        <f t="shared" ref="AM52" si="65">(SUM(E52)+SUM(M52))</f>
        <v>0</v>
      </c>
      <c r="AN52" s="211">
        <f t="shared" ref="AN52" si="66">-AM52-AK52+AL52</f>
        <v>-144</v>
      </c>
      <c r="AO52" s="224">
        <v>0</v>
      </c>
      <c r="AP52" s="211">
        <f t="shared" ref="AP52" si="67">AN52+AP42</f>
        <v>-806</v>
      </c>
      <c r="AQ52" s="209">
        <v>0</v>
      </c>
      <c r="AR52" s="210">
        <v>1</v>
      </c>
      <c r="CK52" s="59"/>
      <c r="CL52" s="59"/>
      <c r="CM52" s="59"/>
      <c r="CN52" s="59"/>
      <c r="CO52" s="59"/>
      <c r="CP52" s="59"/>
      <c r="CQ52" s="59"/>
      <c r="CR52" s="59"/>
      <c r="CS52" s="59"/>
      <c r="CT52" s="59"/>
      <c r="CU52" s="59"/>
      <c r="CV52" s="59"/>
      <c r="CW52" s="59"/>
      <c r="CX52" s="59"/>
      <c r="CY52" s="59"/>
      <c r="CZ52" s="59"/>
      <c r="DA52" s="59"/>
      <c r="DB52" s="59"/>
      <c r="DC52" s="59"/>
      <c r="DD52" s="59"/>
      <c r="DE52" s="59"/>
      <c r="DF52" s="59"/>
      <c r="DG52" s="59"/>
      <c r="DH52" s="59"/>
      <c r="DI52" s="59"/>
      <c r="DJ52" s="59"/>
      <c r="DK52" s="59"/>
      <c r="DL52" s="59"/>
      <c r="DM52" s="59"/>
      <c r="DN52" s="59"/>
      <c r="DO52" s="59"/>
    </row>
    <row r="53" spans="2:119" ht="16.5" thickBot="1" x14ac:dyDescent="0.3">
      <c r="B53" s="201"/>
      <c r="C53" s="212"/>
      <c r="D53" s="99">
        <v>10</v>
      </c>
      <c r="E53" s="87" t="str">
        <f>IF(INDEX($CK$4:$DO$123,ROW()-3,E$3)=0,"","СП")</f>
        <v/>
      </c>
      <c r="F53" s="30" t="str">
        <f>IF(INDEX($CK$4:$DO$123,ROW()-3,F$3)=0,"","СП")</f>
        <v/>
      </c>
      <c r="G53" s="30" t="str">
        <f>IF(INDEX($CK$4:$DO$123,ROW()-3,G$3)=0,"","СП")</f>
        <v/>
      </c>
      <c r="H53" s="30" t="str">
        <f>IF(INDEX($CK$4:$DO$123,ROW()-3,H$3)=0,"","СП")</f>
        <v/>
      </c>
      <c r="I53" s="30" t="str">
        <f>IF(INDEX($CK$4:$DO$123,ROW()-3,I$3)=0,"","СП")</f>
        <v/>
      </c>
      <c r="J53" s="30" t="str">
        <f>IF(INDEX($CK$4:$DO$123,ROW()-3,J$3)=0,"","СП")</f>
        <v/>
      </c>
      <c r="K53" s="30" t="str">
        <f>IF(INDEX($CK$4:$DO$123,ROW()-3,K$3)=0,"","СП")</f>
        <v/>
      </c>
      <c r="L53" s="30" t="str">
        <f>IF(INDEX($CK$4:$DO$123,ROW()-3,L$3)=0,"","СП")</f>
        <v/>
      </c>
      <c r="M53" s="30" t="str">
        <f>IF(INDEX($CK$4:$DO$123,ROW()-3,M$3)=0,"","СП")</f>
        <v>СП</v>
      </c>
      <c r="N53" s="30" t="str">
        <f>IF(INDEX($CK$4:$DO$123,ROW()-3,N$3)=0,"","СП")</f>
        <v/>
      </c>
      <c r="O53" s="30" t="str">
        <f>IF(INDEX($CK$4:$DO$123,ROW()-3,O$3)=0,"","СП")</f>
        <v/>
      </c>
      <c r="P53" s="30" t="str">
        <f>IF(INDEX($CK$4:$DO$123,ROW()-3,P$3)=0,"","СП")</f>
        <v/>
      </c>
      <c r="Q53" s="30" t="str">
        <f>IF(INDEX($CK$4:$DO$123,ROW()-3,Q$3)=0,"","СП")</f>
        <v/>
      </c>
      <c r="R53" s="30" t="str">
        <f>IF(INDEX($CK$4:$DO$123,ROW()-3,R$3)=0,"","СП")</f>
        <v/>
      </c>
      <c r="S53" s="30" t="str">
        <f>IF(INDEX($CK$4:$DO$123,ROW()-3,S$3)=0,"","СП")</f>
        <v/>
      </c>
      <c r="T53" s="30" t="str">
        <f>IF(INDEX($CK$4:$DO$123,ROW()-3,T$3)=0,"","СП")</f>
        <v/>
      </c>
      <c r="U53" s="30" t="str">
        <f>IF(INDEX($CK$4:$DO$123,ROW()-3,U$3)=0,"","СП")</f>
        <v/>
      </c>
      <c r="V53" s="30" t="str">
        <f>IF(INDEX($CK$4:$DO$123,ROW()-3,V$3)=0,"","СП")</f>
        <v/>
      </c>
      <c r="W53" s="30" t="str">
        <f>IF(INDEX($CK$4:$DO$123,ROW()-3,W$3)=0,"","СП")</f>
        <v/>
      </c>
      <c r="X53" s="30" t="str">
        <f>IF(INDEX($CK$4:$DO$123,ROW()-3,X$3)=0,"","СП")</f>
        <v/>
      </c>
      <c r="Y53" s="30" t="str">
        <f>IF(INDEX($CK$4:$DO$123,ROW()-3,Y$3)=0,"","СП")</f>
        <v/>
      </c>
      <c r="Z53" s="30" t="str">
        <f>IF(INDEX($CK$4:$DO$123,ROW()-3,Z$3)=0,"","СП")</f>
        <v/>
      </c>
      <c r="AA53" s="30" t="str">
        <f>IF(INDEX($CK$4:$DO$123,ROW()-3,AA$3)=0,"","СП")</f>
        <v/>
      </c>
      <c r="AB53" s="30" t="str">
        <f>IF(INDEX($CK$4:$DO$123,ROW()-3,AB$3)=0,"","СП")</f>
        <v/>
      </c>
      <c r="AC53" s="30" t="str">
        <f>IF(INDEX($CK$4:$DO$123,ROW()-3,AC$3)=0,"","СП")</f>
        <v/>
      </c>
      <c r="AD53" s="30" t="str">
        <f>IF(INDEX($CK$4:$DO$123,ROW()-3,AD$3)=0,"","СП")</f>
        <v/>
      </c>
      <c r="AE53" s="30" t="str">
        <f>IF(INDEX($CK$4:$DO$123,ROW()-3,AE$3)=0,"","СП")</f>
        <v/>
      </c>
      <c r="AF53" s="30" t="str">
        <f>IF(INDEX($CK$4:$DO$123,ROW()-3,AF$3)=0,"","СП")</f>
        <v/>
      </c>
      <c r="AG53" s="30" t="str">
        <f>IF(INDEX($CK$4:$DO$123,ROW()-3,AG$3)=0,"","СП")</f>
        <v/>
      </c>
      <c r="AH53" s="30" t="str">
        <f>IF(INDEX($CK$4:$DO$123,ROW()-3,AH$3)=0,"","СП")</f>
        <v/>
      </c>
      <c r="AI53" s="91" t="str">
        <f>IF(INDEX($CK$4:$DO$123,ROW()-3,AI$3)=0,"","СП")</f>
        <v/>
      </c>
      <c r="AJ53" s="207"/>
      <c r="AK53" s="213"/>
      <c r="AL53" s="213"/>
      <c r="AM53" s="213"/>
      <c r="AN53" s="214"/>
      <c r="AO53" s="227"/>
      <c r="AP53" s="214"/>
      <c r="AQ53" s="213"/>
      <c r="AR53" s="215"/>
      <c r="CK53" s="58">
        <f>IF(DAY(INDEX('Сводный годовой график'!$BA$4:$BL$14,$C52,MONTH($B$44)))=E$3,1,0)</f>
        <v>0</v>
      </c>
      <c r="CL53" s="58">
        <f>IF(DAY(INDEX('Сводный годовой график'!$BA$4:$BL$14,$C52,MONTH($B$44)))=F$3,1,0)</f>
        <v>0</v>
      </c>
      <c r="CM53" s="58">
        <f>IF(DAY(INDEX('Сводный годовой график'!$BA$4:$BL$14,$C52,MONTH($B$44)))=G$3,1,0)</f>
        <v>0</v>
      </c>
      <c r="CN53" s="58">
        <f>IF(DAY(INDEX('Сводный годовой график'!$BA$4:$BL$14,$C52,MONTH($B$44)))=H$3,1,0)</f>
        <v>0</v>
      </c>
      <c r="CO53" s="58">
        <f>IF(DAY(INDEX('Сводный годовой график'!$BA$4:$BL$14,$C52,MONTH($B$44)))=I$3,1,0)</f>
        <v>0</v>
      </c>
      <c r="CP53" s="58">
        <f>IF(DAY(INDEX('Сводный годовой график'!$BA$4:$BL$14,$C52,MONTH($B$44)))=J$3,1,0)</f>
        <v>0</v>
      </c>
      <c r="CQ53" s="58">
        <f>IF(DAY(INDEX('Сводный годовой график'!$BA$4:$BL$14,$C52,MONTH($B$44)))=K$3,1,0)</f>
        <v>0</v>
      </c>
      <c r="CR53" s="58">
        <f>IF(DAY(INDEX('Сводный годовой график'!$BA$4:$BL$14,$C52,MONTH($B$44)))=L$3,1,0)</f>
        <v>0</v>
      </c>
      <c r="CS53" s="58">
        <f>IF(DAY(INDEX('Сводный годовой график'!$BA$4:$BL$14,$C52,MONTH($B$44)))=M$3,1,0)</f>
        <v>1</v>
      </c>
      <c r="CT53" s="58">
        <f>IF(DAY(INDEX('Сводный годовой график'!$BA$4:$BL$14,$C52,MONTH($B$44)))=N$3,1,0)</f>
        <v>0</v>
      </c>
      <c r="CU53" s="58">
        <f>IF(DAY(INDEX('Сводный годовой график'!$BA$4:$BL$14,$C52,MONTH($B$44)))=O$3,1,0)</f>
        <v>0</v>
      </c>
      <c r="CV53" s="58">
        <f>IF(DAY(INDEX('Сводный годовой график'!$BA$4:$BL$14,$C52,MONTH($B$44)))=P$3,1,0)</f>
        <v>0</v>
      </c>
      <c r="CW53" s="58">
        <f>IF(DAY(INDEX('Сводный годовой график'!$BA$4:$BL$14,$C52,MONTH($B$44)))=Q$3,1,0)</f>
        <v>0</v>
      </c>
      <c r="CX53" s="58">
        <f>IF(DAY(INDEX('Сводный годовой график'!$BA$4:$BL$14,$C52,MONTH($B$44)))=R$3,1,0)</f>
        <v>0</v>
      </c>
      <c r="CY53" s="58">
        <f>IF(DAY(INDEX('Сводный годовой график'!$BA$4:$BL$14,$C52,MONTH($B$44)))=S$3,1,0)</f>
        <v>0</v>
      </c>
      <c r="CZ53" s="58">
        <f>IF(DAY(INDEX('Сводный годовой график'!$BA$4:$BL$14,$C52,MONTH($B$44)))=T$3,1,0)</f>
        <v>0</v>
      </c>
      <c r="DA53" s="58">
        <f>IF(DAY(INDEX('Сводный годовой график'!$BA$4:$BL$14,$C52,MONTH($B$44)))=U$3,1,0)</f>
        <v>0</v>
      </c>
      <c r="DB53" s="58">
        <f>IF(DAY(INDEX('Сводный годовой график'!$BA$4:$BL$14,$C52,MONTH($B$44)))=V$3,1,0)</f>
        <v>0</v>
      </c>
      <c r="DC53" s="58">
        <f>IF(DAY(INDEX('Сводный годовой график'!$BA$4:$BL$14,$C52,MONTH($B$44)))=W$3,1,0)</f>
        <v>0</v>
      </c>
      <c r="DD53" s="58">
        <f>IF(DAY(INDEX('Сводный годовой график'!$BA$4:$BL$14,$C52,MONTH($B$44)))=X$3,1,0)</f>
        <v>0</v>
      </c>
      <c r="DE53" s="58">
        <f>IF(DAY(INDEX('Сводный годовой график'!$BA$4:$BL$14,$C52,MONTH($B$44)))=Y$3,1,0)</f>
        <v>0</v>
      </c>
      <c r="DF53" s="58">
        <f>IF(DAY(INDEX('Сводный годовой график'!$BA$4:$BL$14,$C52,MONTH($B$44)))=Z$3,1,0)</f>
        <v>0</v>
      </c>
      <c r="DG53" s="58">
        <f>IF(DAY(INDEX('Сводный годовой график'!$BA$4:$BL$14,$C52,MONTH($B$44)))=AA$3,1,0)</f>
        <v>0</v>
      </c>
      <c r="DH53" s="58">
        <f>IF(DAY(INDEX('Сводный годовой график'!$BA$4:$BL$14,$C52,MONTH($B$44)))=AB$3,1,0)</f>
        <v>0</v>
      </c>
      <c r="DI53" s="58">
        <f>IF(DAY(INDEX('Сводный годовой график'!$BA$4:$BL$14,$C52,MONTH($B$44)))=AC$3,1,0)</f>
        <v>0</v>
      </c>
      <c r="DJ53" s="58">
        <f>IF(DAY(INDEX('Сводный годовой график'!$BA$4:$BL$14,$C52,MONTH($B$44)))=AD$3,1,0)</f>
        <v>0</v>
      </c>
      <c r="DK53" s="58">
        <f>IF(DAY(INDEX('Сводный годовой график'!$BA$4:$BL$14,$C52,MONTH($B$44)))=AE$3,1,0)</f>
        <v>0</v>
      </c>
      <c r="DL53" s="58">
        <f>IF(DAY(INDEX('Сводный годовой график'!$BA$4:$BL$14,$C52,MONTH($B$44)))=AF$3,1,0)</f>
        <v>0</v>
      </c>
      <c r="DM53" s="58">
        <f>IF(DAY(INDEX('Сводный годовой график'!$BA$4:$BL$14,$C52,MONTH($B$44)))=AG$3,1,0)</f>
        <v>0</v>
      </c>
      <c r="DN53" s="58">
        <f>IF(DAY(INDEX('Сводный годовой график'!$BA$4:$BL$14,$C52,MONTH($B$44)))=AH$3,1,0)</f>
        <v>0</v>
      </c>
      <c r="DO53" s="58">
        <f>IF(DAY(INDEX('Сводный годовой график'!$BA$4:$BL$14,$C52,MONTH($B$44)))=AI$3,1,0)</f>
        <v>0</v>
      </c>
    </row>
    <row r="54" spans="2:119" ht="17.25" customHeight="1" thickTop="1" thickBot="1" x14ac:dyDescent="0.3">
      <c r="B54" s="200">
        <f>DATE($AV$1,6,1)</f>
        <v>45809</v>
      </c>
      <c r="C54" s="196">
        <v>1</v>
      </c>
      <c r="D54" s="81">
        <v>1</v>
      </c>
      <c r="E54" s="83">
        <f ca="1">IF(AND(INDEX('Сводный годовой график'!$C$1:$AR$4,MATCH($C$54,'Сводный годовой график'!$B$1:$B$4),MATCH(DATE($AV$1,MONTH($B$54),E$3),'Сводный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график'!$B$1:$B$4),MATCH(DATE($AV$1,MONTH($B$54),E$3),'Сводный годовой график'!$C$10:$AR$10)))</f>
        <v>12</v>
      </c>
      <c r="F54" s="28">
        <f ca="1">IF(AND(INDEX('Сводный годовой график'!$C$1:$AR$4,MATCH($C$54,'Сводный годовой график'!$B$1:$B$4),MATCH(DATE($AV$1,MONTH($B$54),F$3),'Сводный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график'!$B$1:$B$4),MATCH(DATE($AV$1,MONTH($B$54),F$3),'Сводный годовой график'!$C$10:$AR$10)))</f>
        <v>0</v>
      </c>
      <c r="G54" s="28">
        <f ca="1">IF(AND(INDEX('Сводный годовой график'!$C$1:$AR$4,MATCH($C$54,'Сводный годовой график'!$B$1:$B$4),MATCH(DATE($AV$1,MONTH($B$54),G$3),'Сводный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график'!$B$1:$B$4),MATCH(DATE($AV$1,MONTH($B$54),G$3),'Сводный годовой график'!$C$10:$AR$10)))</f>
        <v>0</v>
      </c>
      <c r="H54" s="28">
        <f ca="1">IF(AND(INDEX('Сводный годовой график'!$C$1:$AR$4,MATCH($C$54,'Сводный годовой график'!$B$1:$B$4),MATCH(DATE($AV$1,MONTH($B$54),H$3),'Сводный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график'!$B$1:$B$4),MATCH(DATE($AV$1,MONTH($B$54),H$3),'Сводный годовой график'!$C$10:$AR$10)))</f>
        <v>4</v>
      </c>
      <c r="I54" s="28">
        <f ca="1">IF(AND(INDEX('Сводный годовой график'!$C$1:$AR$4,MATCH($C$54,'Сводный годовой график'!$B$1:$B$4),MATCH(DATE($AV$1,MONTH($B$54),I$3),'Сводный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график'!$B$1:$B$4),MATCH(DATE($AV$1,MONTH($B$54),I$3),'Сводный годовой график'!$C$10:$AR$10)))</f>
        <v>8</v>
      </c>
      <c r="J54" s="28">
        <f ca="1">IF(AND(INDEX('Сводный годовой график'!$C$1:$AR$4,MATCH($C$54,'Сводный годовой график'!$B$1:$B$4),MATCH(DATE($AV$1,MONTH($B$54),J$3),'Сводный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график'!$B$1:$B$4),MATCH(DATE($AV$1,MONTH($B$54),J$3),'Сводный годовой график'!$C$10:$AR$10)))</f>
        <v>12</v>
      </c>
      <c r="K54" s="28">
        <f ca="1">IF(AND(INDEX('Сводный годовой график'!$C$1:$AR$4,MATCH($C$54,'Сводный годовой график'!$B$1:$B$4),MATCH(DATE($AV$1,MONTH($B$54),K$3),'Сводный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график'!$B$1:$B$4),MATCH(DATE($AV$1,MONTH($B$54),K$3),'Сводный годовой график'!$C$10:$AR$10)))</f>
        <v>4</v>
      </c>
      <c r="L54" s="28">
        <f ca="1">IF(AND(INDEX('Сводный годовой график'!$C$1:$AR$4,MATCH($C$54,'Сводный годовой график'!$B$1:$B$4),MATCH(DATE($AV$1,MONTH($B$54),L$3),'Сводный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график'!$B$1:$B$4),MATCH(DATE($AV$1,MONTH($B$54),L$3),'Сводный годовой график'!$C$10:$AR$10)))</f>
        <v>8</v>
      </c>
      <c r="M54" s="28">
        <f ca="1">IF(AND(INDEX('Сводный годовой график'!$C$1:$AR$4,MATCH($C$54,'Сводный годовой график'!$B$1:$B$4),MATCH(DATE($AV$1,MONTH($B$54),M$3),'Сводный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график'!$B$1:$B$4),MATCH(DATE($AV$1,MONTH($B$54),M$3),'Сводный годовой график'!$C$10:$AR$10)))</f>
        <v>12</v>
      </c>
      <c r="N54" s="28">
        <f ca="1">IF(AND(INDEX('Сводный годовой график'!$C$1:$AR$4,MATCH($C$54,'Сводный годовой график'!$B$1:$B$4),MATCH(DATE($AV$1,MONTH($B$54),N$3),'Сводный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график'!$B$1:$B$4),MATCH(DATE($AV$1,MONTH($B$54),N$3),'Сводный годовой график'!$C$10:$AR$10)))</f>
        <v>0</v>
      </c>
      <c r="O54" s="28">
        <f ca="1">IF(AND(INDEX('Сводный годовой график'!$C$1:$AR$4,MATCH($C$54,'Сводный годовой график'!$B$1:$B$4),MATCH(DATE($AV$1,MONTH($B$54),O$3),'Сводный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график'!$B$1:$B$4),MATCH(DATE($AV$1,MONTH($B$54),O$3),'Сводный годовой график'!$C$10:$AR$10)))</f>
        <v>0</v>
      </c>
      <c r="P54" s="28">
        <f ca="1">IF(AND(INDEX('Сводный годовой график'!$C$1:$AR$4,MATCH($C$54,'Сводный годовой график'!$B$1:$B$4),MATCH(DATE($AV$1,MONTH($B$54),P$3),'Сводный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график'!$B$1:$B$4),MATCH(DATE($AV$1,MONTH($B$54),P$3),'Сводный годовой график'!$C$10:$AR$10)))</f>
        <v>4</v>
      </c>
      <c r="Q54" s="28">
        <f ca="1">IF(AND(INDEX('Сводный годовой график'!$C$1:$AR$4,MATCH($C$54,'Сводный годовой график'!$B$1:$B$4),MATCH(DATE($AV$1,MONTH($B$54),Q$3),'Сводный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график'!$B$1:$B$4),MATCH(DATE($AV$1,MONTH($B$54),Q$3),'Сводный годовой график'!$C$10:$AR$10)))</f>
        <v>8</v>
      </c>
      <c r="R54" s="28">
        <f ca="1">IF(AND(INDEX('Сводный годовой график'!$C$1:$AR$4,MATCH($C$54,'Сводный годовой график'!$B$1:$B$4),MATCH(DATE($AV$1,MONTH($B$54),R$3),'Сводный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график'!$B$1:$B$4),MATCH(DATE($AV$1,MONTH($B$54),R$3),'Сводный годовой график'!$C$10:$AR$10)))</f>
        <v>12</v>
      </c>
      <c r="S54" s="28">
        <f ca="1">IF(AND(INDEX('Сводный годовой график'!$C$1:$AR$4,MATCH($C$54,'Сводный годовой график'!$B$1:$B$4),MATCH(DATE($AV$1,MONTH($B$54),S$3),'Сводный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график'!$B$1:$B$4),MATCH(DATE($AV$1,MONTH($B$54),S$3),'Сводный годовой график'!$C$10:$AR$10)))</f>
        <v>4</v>
      </c>
      <c r="T54" s="28">
        <f ca="1">IF(AND(INDEX('Сводный годовой график'!$C$1:$AR$4,MATCH($C$54,'Сводный годовой график'!$B$1:$B$4),MATCH(DATE($AV$1,MONTH($B$54),T$3),'Сводный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график'!$B$1:$B$4),MATCH(DATE($AV$1,MONTH($B$54),T$3),'Сводный годовой график'!$C$10:$AR$10)))</f>
        <v>8</v>
      </c>
      <c r="U54" s="28">
        <f ca="1">IF(AND(INDEX('Сводный годовой график'!$C$1:$AR$4,MATCH($C$54,'Сводный годовой график'!$B$1:$B$4),MATCH(DATE($AV$1,MONTH($B$54),U$3),'Сводный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график'!$B$1:$B$4),MATCH(DATE($AV$1,MONTH($B$54),U$3),'Сводный годовой график'!$C$10:$AR$10)))</f>
        <v>12</v>
      </c>
      <c r="V54" s="28">
        <f ca="1">IF(AND(INDEX('Сводный годовой график'!$C$1:$AR$4,MATCH($C$54,'Сводный годовой график'!$B$1:$B$4),MATCH(DATE($AV$1,MONTH($B$54),V$3),'Сводный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график'!$B$1:$B$4),MATCH(DATE($AV$1,MONTH($B$54),V$3),'Сводный годовой график'!$C$10:$AR$10)))</f>
        <v>0</v>
      </c>
      <c r="W54" s="28">
        <f ca="1">IF(AND(INDEX('Сводный годовой график'!$C$1:$AR$4,MATCH($C$54,'Сводный годовой график'!$B$1:$B$4),MATCH(DATE($AV$1,MONTH($B$54),W$3),'Сводный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график'!$B$1:$B$4),MATCH(DATE($AV$1,MONTH($B$54),W$3),'Сводный годовой график'!$C$10:$AR$10)))</f>
        <v>0</v>
      </c>
      <c r="X54" s="28">
        <f ca="1">IF(AND(INDEX('Сводный годовой график'!$C$1:$AR$4,MATCH($C$54,'Сводный годовой график'!$B$1:$B$4),MATCH(DATE($AV$1,MONTH($B$54),X$3),'Сводный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график'!$B$1:$B$4),MATCH(DATE($AV$1,MONTH($B$54),X$3),'Сводный годовой график'!$C$10:$AR$10)))</f>
        <v>4</v>
      </c>
      <c r="Y54" s="28">
        <f ca="1">IF(AND(INDEX('Сводный годовой график'!$C$1:$AR$4,MATCH($C$54,'Сводный годовой график'!$B$1:$B$4),MATCH(DATE($AV$1,MONTH($B$54),Y$3),'Сводный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график'!$B$1:$B$4),MATCH(DATE($AV$1,MONTH($B$54),Y$3),'Сводный годовой график'!$C$10:$AR$10)))</f>
        <v>8</v>
      </c>
      <c r="Z54" s="28">
        <f ca="1">IF(AND(INDEX('Сводный годовой график'!$C$1:$AR$4,MATCH($C$54,'Сводный годовой график'!$B$1:$B$4),MATCH(DATE($AV$1,MONTH($B$54),Z$3),'Сводный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график'!$B$1:$B$4),MATCH(DATE($AV$1,MONTH($B$54),Z$3),'Сводный годовой график'!$C$10:$AR$10)))</f>
        <v>12</v>
      </c>
      <c r="AA54" s="28">
        <f ca="1">IF(AND(INDEX('Сводный годовой график'!$C$1:$AR$4,MATCH($C$54,'Сводный годовой график'!$B$1:$B$4),MATCH(DATE($AV$1,MONTH($B$54),AA$3),'Сводный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график'!$B$1:$B$4),MATCH(DATE($AV$1,MONTH($B$54),AA$3),'Сводный годовой график'!$C$10:$AR$10)))</f>
        <v>4</v>
      </c>
      <c r="AB54" s="28">
        <f ca="1">IF(AND(INDEX('Сводный годовой график'!$C$1:$AR$4,MATCH($C$54,'Сводный годовой график'!$B$1:$B$4),MATCH(DATE($AV$1,MONTH($B$54),AB$3),'Сводный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график'!$B$1:$B$4),MATCH(DATE($AV$1,MONTH($B$54),AB$3),'Сводный годовой график'!$C$10:$AR$10)))</f>
        <v>8</v>
      </c>
      <c r="AC54" s="28">
        <f ca="1">IF(AND(INDEX('Сводный годовой график'!$C$1:$AR$4,MATCH($C$54,'Сводный годовой график'!$B$1:$B$4),MATCH(DATE($AV$1,MONTH($B$54),AC$3),'Сводный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график'!$B$1:$B$4),MATCH(DATE($AV$1,MONTH($B$54),AC$3),'Сводный годовой график'!$C$10:$AR$10)))</f>
        <v>12</v>
      </c>
      <c r="AD54" s="28">
        <f ca="1">IF(AND(INDEX('Сводный годовой график'!$C$1:$AR$4,MATCH($C$54,'Сводный годовой график'!$B$1:$B$4),MATCH(DATE($AV$1,MONTH($B$54),AD$3),'Сводный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график'!$B$1:$B$4),MATCH(DATE($AV$1,MONTH($B$54),AD$3),'Сводный годовой график'!$C$10:$AR$10)))</f>
        <v>0</v>
      </c>
      <c r="AE54" s="28">
        <f ca="1">IF(AND(INDEX('Сводный годовой график'!$C$1:$AR$4,MATCH($C$54,'Сводный годовой график'!$B$1:$B$4),MATCH(DATE($AV$1,MONTH($B$54),AE$3),'Сводный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график'!$B$1:$B$4),MATCH(DATE($AV$1,MONTH($B$54),AE$3),'Сводный годовой график'!$C$10:$AR$10)))</f>
        <v>0</v>
      </c>
      <c r="AF54" s="28">
        <f ca="1">IF(AND(INDEX('Сводный годовой график'!$C$1:$AR$4,MATCH($C$54,'Сводный годовой график'!$B$1:$B$4),MATCH(DATE($AV$1,MONTH($B$54),AF$3),'Сводный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график'!$B$1:$B$4),MATCH(DATE($AV$1,MONTH($B$54),AF$3),'Сводный годовой график'!$C$10:$AR$10)))</f>
        <v>4</v>
      </c>
      <c r="AG54" s="28">
        <f ca="1">IF(AND(INDEX('Сводный годовой график'!$C$1:$AR$4,MATCH($C$54,'Сводный годовой график'!$B$1:$B$4),MATCH(DATE($AV$1,MONTH($B$54),AG$3),'Сводный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график'!$B$1:$B$4),MATCH(DATE($AV$1,MONTH($B$54),AG$3),'Сводный годовой график'!$C$10:$AR$10)))</f>
        <v>8</v>
      </c>
      <c r="AH54" s="28">
        <f ca="1">IF(AND(INDEX('Сводный годовой график'!$C$1:$AR$4,MATCH($C$54,'Сводный годовой график'!$B$1:$B$4),MATCH(DATE($AV$1,MONTH($B$54),AH$3),'Сводный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график'!$B$1:$B$4),MATCH(DATE($AV$1,MONTH($B$54),AH$3),'Сводный годовой график'!$C$10:$AR$10)))</f>
        <v>12</v>
      </c>
      <c r="AI54" s="109"/>
      <c r="AJ54" s="205">
        <f>INDEX(Подключения!$D$3:$H$14,MONTH(B54),5)</f>
        <v>151</v>
      </c>
      <c r="AK54" s="203">
        <f>$AJ$54-SUM(AY54:CC55)</f>
        <v>151</v>
      </c>
      <c r="AL54" s="203">
        <f t="shared" ref="AL54" ca="1" si="68">SUM(E54:AI55)</f>
        <v>180</v>
      </c>
      <c r="AM54" s="203">
        <f ca="1">SUM(P54)</f>
        <v>4</v>
      </c>
      <c r="AN54" s="208">
        <f t="shared" ref="AN54" ca="1" si="69">-AM54-AK54+AL54</f>
        <v>25</v>
      </c>
      <c r="AO54" s="208">
        <v>0</v>
      </c>
      <c r="AP54" s="208">
        <f ca="1">AN54+AP44-AO54</f>
        <v>61</v>
      </c>
      <c r="AQ54" s="203">
        <v>0</v>
      </c>
      <c r="AR54" s="204">
        <v>1</v>
      </c>
      <c r="CK54" s="59"/>
      <c r="CL54" s="59"/>
      <c r="CM54" s="59"/>
      <c r="CN54" s="59"/>
      <c r="CO54" s="59"/>
      <c r="CP54" s="59"/>
      <c r="CQ54" s="59"/>
      <c r="CR54" s="59"/>
      <c r="CS54" s="59"/>
      <c r="CT54" s="59"/>
      <c r="CU54" s="59"/>
      <c r="CV54" s="59"/>
      <c r="CW54" s="59"/>
      <c r="CX54" s="59"/>
      <c r="CY54" s="59"/>
      <c r="CZ54" s="59"/>
      <c r="DA54" s="59"/>
      <c r="DB54" s="59"/>
      <c r="DC54" s="59"/>
      <c r="DD54" s="59"/>
      <c r="DE54" s="59"/>
      <c r="DF54" s="59"/>
      <c r="DG54" s="59"/>
      <c r="DH54" s="59"/>
      <c r="DI54" s="59"/>
      <c r="DJ54" s="59"/>
      <c r="DK54" s="59"/>
      <c r="DL54" s="59"/>
      <c r="DM54" s="59"/>
      <c r="DN54" s="59"/>
      <c r="DO54" s="59"/>
    </row>
    <row r="55" spans="2:119" ht="16.5" thickBot="1" x14ac:dyDescent="0.3">
      <c r="B55" s="201"/>
      <c r="C55" s="197"/>
      <c r="D55" s="82">
        <v>2</v>
      </c>
      <c r="E55" s="96" t="str">
        <f>IF(INDEX($CK$4:$DO$123,ROW()-3,E$3)=0,"","СП")</f>
        <v/>
      </c>
      <c r="F55" s="92" t="str">
        <f>IF(INDEX($CK$4:$DO$123,ROW()-3,F$3)=0,"","СП")</f>
        <v/>
      </c>
      <c r="G55" s="92" t="str">
        <f>IF(INDEX($CK$4:$DO$123,ROW()-3,G$3)=0,"","СП")</f>
        <v/>
      </c>
      <c r="H55" s="92" t="str">
        <f>IF(INDEX($CK$4:$DO$123,ROW()-3,H$3)=0,"","СП")</f>
        <v/>
      </c>
      <c r="I55" s="92" t="str">
        <f>IF(INDEX($CK$4:$DO$123,ROW()-3,I$3)=0,"","СП")</f>
        <v/>
      </c>
      <c r="J55" s="92" t="str">
        <f>IF(INDEX($CK$4:$DO$123,ROW()-3,J$3)=0,"","СП")</f>
        <v>СП</v>
      </c>
      <c r="K55" s="92" t="str">
        <f>IF(INDEX($CK$4:$DO$123,ROW()-3,K$3)=0,"","СП")</f>
        <v/>
      </c>
      <c r="L55" s="92" t="str">
        <f>IF(INDEX($CK$4:$DO$123,ROW()-3,L$3)=0,"","СП")</f>
        <v/>
      </c>
      <c r="M55" s="92" t="str">
        <f>IF(INDEX($CK$4:$DO$123,ROW()-3,M$3)=0,"","СП")</f>
        <v/>
      </c>
      <c r="N55" s="92" t="str">
        <f>IF(INDEX($CK$4:$DO$123,ROW()-3,N$3)=0,"","СП")</f>
        <v/>
      </c>
      <c r="O55" s="92" t="str">
        <f>IF(INDEX($CK$4:$DO$123,ROW()-3,O$3)=0,"","СП")</f>
        <v/>
      </c>
      <c r="P55" s="92" t="str">
        <f>IF(INDEX($CK$4:$DO$123,ROW()-3,P$3)=0,"","СП")</f>
        <v/>
      </c>
      <c r="Q55" s="92" t="str">
        <f>IF(INDEX($CK$4:$DO$123,ROW()-3,Q$3)=0,"","СП")</f>
        <v/>
      </c>
      <c r="R55" s="92" t="str">
        <f>IF(INDEX($CK$4:$DO$123,ROW()-3,R$3)=0,"","СП")</f>
        <v/>
      </c>
      <c r="S55" s="92" t="str">
        <f>IF(INDEX($CK$4:$DO$123,ROW()-3,S$3)=0,"","СП")</f>
        <v/>
      </c>
      <c r="T55" s="92" t="str">
        <f>IF(INDEX($CK$4:$DO$123,ROW()-3,T$3)=0,"","СП")</f>
        <v/>
      </c>
      <c r="U55" s="92" t="str">
        <f>IF(INDEX($CK$4:$DO$123,ROW()-3,U$3)=0,"","СП")</f>
        <v/>
      </c>
      <c r="V55" s="92" t="str">
        <f>IF(INDEX($CK$4:$DO$123,ROW()-3,V$3)=0,"","СП")</f>
        <v/>
      </c>
      <c r="W55" s="92" t="str">
        <f>IF(INDEX($CK$4:$DO$123,ROW()-3,W$3)=0,"","СП")</f>
        <v/>
      </c>
      <c r="X55" s="92" t="str">
        <f>IF(INDEX($CK$4:$DO$123,ROW()-3,X$3)=0,"","СП")</f>
        <v/>
      </c>
      <c r="Y55" s="92" t="str">
        <f>IF(INDEX($CK$4:$DO$123,ROW()-3,Y$3)=0,"","СП")</f>
        <v/>
      </c>
      <c r="Z55" s="92" t="str">
        <f>IF(INDEX($CK$4:$DO$123,ROW()-3,Z$3)=0,"","СП")</f>
        <v/>
      </c>
      <c r="AA55" s="92" t="str">
        <f>IF(INDEX($CK$4:$DO$123,ROW()-3,AA$3)=0,"","СП")</f>
        <v/>
      </c>
      <c r="AB55" s="92" t="str">
        <f>IF(INDEX($CK$4:$DO$123,ROW()-3,AB$3)=0,"","СП")</f>
        <v/>
      </c>
      <c r="AC55" s="92" t="str">
        <f>IF(INDEX($CK$4:$DO$123,ROW()-3,AC$3)=0,"","СП")</f>
        <v/>
      </c>
      <c r="AD55" s="92" t="str">
        <f>IF(INDEX($CK$4:$DO$123,ROW()-3,AD$3)=0,"","СП")</f>
        <v/>
      </c>
      <c r="AE55" s="92" t="str">
        <f>IF(INDEX($CK$4:$DO$123,ROW()-3,AE$3)=0,"","СП")</f>
        <v/>
      </c>
      <c r="AF55" s="92" t="str">
        <f>IF(INDEX($CK$4:$DO$123,ROW()-3,AF$3)=0,"","СП")</f>
        <v/>
      </c>
      <c r="AG55" s="92" t="str">
        <f>IF(INDEX($CK$4:$DO$123,ROW()-3,AG$3)=0,"","СП")</f>
        <v/>
      </c>
      <c r="AH55" s="92" t="str">
        <f>IF(INDEX($CK$4:$DO$123,ROW()-3,AH$3)=0,"","СП")</f>
        <v/>
      </c>
      <c r="AI55" s="110"/>
      <c r="AJ55" s="206"/>
      <c r="AK55" s="177"/>
      <c r="AL55" s="177"/>
      <c r="AM55" s="177"/>
      <c r="AN55" s="198"/>
      <c r="AO55" s="198"/>
      <c r="AP55" s="198"/>
      <c r="AQ55" s="177"/>
      <c r="AR55" s="179"/>
      <c r="CK55" s="58">
        <f>IF(DAY(INDEX('Сводный годовой график'!$BA$4:$BL$14,$C54,MONTH($B$54)))=E$3,1,0)</f>
        <v>0</v>
      </c>
      <c r="CL55" s="58">
        <f>IF(DAY(INDEX('Сводный годовой график'!$BA$4:$BL$14,$C54,MONTH($B$54)))=F$3,1,0)</f>
        <v>0</v>
      </c>
      <c r="CM55" s="58">
        <f>IF(DAY(INDEX('Сводный годовой график'!$BA$4:$BL$14,$C54,MONTH($B$54)))=G$3,1,0)</f>
        <v>0</v>
      </c>
      <c r="CN55" s="58">
        <f>IF(DAY(INDEX('Сводный годовой график'!$BA$4:$BL$14,$C54,MONTH($B$54)))=H$3,1,0)</f>
        <v>0</v>
      </c>
      <c r="CO55" s="58">
        <f>IF(DAY(INDEX('Сводный годовой график'!$BA$4:$BL$14,$C54,MONTH($B$54)))=I$3,1,0)</f>
        <v>0</v>
      </c>
      <c r="CP55" s="58">
        <f>IF(DAY(INDEX('Сводный годовой график'!$BA$4:$BL$14,$C54,MONTH($B$54)))=J$3,1,0)</f>
        <v>1</v>
      </c>
      <c r="CQ55" s="58">
        <f>IF(DAY(INDEX('Сводный годовой график'!$BA$4:$BL$14,$C54,MONTH($B$54)))=K$3,1,0)</f>
        <v>0</v>
      </c>
      <c r="CR55" s="58">
        <f>IF(DAY(INDEX('Сводный годовой график'!$BA$4:$BL$14,$C54,MONTH($B$54)))=L$3,1,0)</f>
        <v>0</v>
      </c>
      <c r="CS55" s="58">
        <f>IF(DAY(INDEX('Сводный годовой график'!$BA$4:$BL$14,$C54,MONTH($B$54)))=M$3,1,0)</f>
        <v>0</v>
      </c>
      <c r="CT55" s="58">
        <f>IF(DAY(INDEX('Сводный годовой график'!$BA$4:$BL$14,$C54,MONTH($B$54)))=N$3,1,0)</f>
        <v>0</v>
      </c>
      <c r="CU55" s="58">
        <f>IF(DAY(INDEX('Сводный годовой график'!$BA$4:$BL$14,$C54,MONTH($B$54)))=O$3,1,0)</f>
        <v>0</v>
      </c>
      <c r="CV55" s="58">
        <f>IF(DAY(INDEX('Сводный годовой график'!$BA$4:$BL$14,$C54,MONTH($B$54)))=P$3,1,0)</f>
        <v>0</v>
      </c>
      <c r="CW55" s="58">
        <f>IF(DAY(INDEX('Сводный годовой график'!$BA$4:$BL$14,$C54,MONTH($B$54)))=Q$3,1,0)</f>
        <v>0</v>
      </c>
      <c r="CX55" s="58">
        <f>IF(DAY(INDEX('Сводный годовой график'!$BA$4:$BL$14,$C54,MONTH($B$54)))=R$3,1,0)</f>
        <v>0</v>
      </c>
      <c r="CY55" s="58">
        <f>IF(DAY(INDEX('Сводный годовой график'!$BA$4:$BL$14,$C54,MONTH($B$54)))=S$3,1,0)</f>
        <v>0</v>
      </c>
      <c r="CZ55" s="58">
        <f>IF(DAY(INDEX('Сводный годовой график'!$BA$4:$BL$14,$C54,MONTH($B$54)))=T$3,1,0)</f>
        <v>0</v>
      </c>
      <c r="DA55" s="58">
        <f>IF(DAY(INDEX('Сводный годовой график'!$BA$4:$BL$14,$C54,MONTH($B$54)))=U$3,1,0)</f>
        <v>0</v>
      </c>
      <c r="DB55" s="58">
        <f>IF(DAY(INDEX('Сводный годовой график'!$BA$4:$BL$14,$C54,MONTH($B$54)))=V$3,1,0)</f>
        <v>0</v>
      </c>
      <c r="DC55" s="58">
        <f>IF(DAY(INDEX('Сводный годовой график'!$BA$4:$BL$14,$C54,MONTH($B$54)))=W$3,1,0)</f>
        <v>0</v>
      </c>
      <c r="DD55" s="58">
        <f>IF(DAY(INDEX('Сводный годовой график'!$BA$4:$BL$14,$C54,MONTH($B$54)))=X$3,1,0)</f>
        <v>0</v>
      </c>
      <c r="DE55" s="58">
        <f>IF(DAY(INDEX('Сводный годовой график'!$BA$4:$BL$14,$C54,MONTH($B$54)))=Y$3,1,0)</f>
        <v>0</v>
      </c>
      <c r="DF55" s="58">
        <f>IF(DAY(INDEX('Сводный годовой график'!$BA$4:$BL$14,$C54,MONTH($B$54)))=Z$3,1,0)</f>
        <v>0</v>
      </c>
      <c r="DG55" s="58">
        <f>IF(DAY(INDEX('Сводный годовой график'!$BA$4:$BL$14,$C54,MONTH($B$54)))=AA$3,1,0)</f>
        <v>0</v>
      </c>
      <c r="DH55" s="58">
        <f>IF(DAY(INDEX('Сводный годовой график'!$BA$4:$BL$14,$C54,MONTH($B$54)))=AB$3,1,0)</f>
        <v>0</v>
      </c>
      <c r="DI55" s="58">
        <f>IF(DAY(INDEX('Сводный годовой график'!$BA$4:$BL$14,$C54,MONTH($B$54)))=AC$3,1,0)</f>
        <v>0</v>
      </c>
      <c r="DJ55" s="58">
        <f>IF(DAY(INDEX('Сводный годовой график'!$BA$4:$BL$14,$C54,MONTH($B$54)))=AD$3,1,0)</f>
        <v>0</v>
      </c>
      <c r="DK55" s="58">
        <f>IF(DAY(INDEX('Сводный годовой график'!$BA$4:$BL$14,$C54,MONTH($B$54)))=AE$3,1,0)</f>
        <v>0</v>
      </c>
      <c r="DL55" s="58">
        <f>IF(DAY(INDEX('Сводный годовой график'!$BA$4:$BL$14,$C54,MONTH($B$54)))=AF$3,1,0)</f>
        <v>0</v>
      </c>
      <c r="DM55" s="58">
        <f>IF(DAY(INDEX('Сводный годовой график'!$BA$4:$BL$14,$C54,MONTH($B$54)))=AG$3,1,0)</f>
        <v>0</v>
      </c>
      <c r="DN55" s="58">
        <f>IF(DAY(INDEX('Сводный годовой график'!$BA$4:$BL$14,$C54,MONTH($B$54)))=AH$3,1,0)</f>
        <v>0</v>
      </c>
      <c r="DO55" s="58">
        <f>IF(DAY(INDEX('Сводный годовой график'!$BA$4:$BL$14,$C54,MONTH($B$54)))=AI$3,1,0)</f>
        <v>0</v>
      </c>
    </row>
    <row r="56" spans="2:119" ht="16.5" thickBot="1" x14ac:dyDescent="0.3">
      <c r="B56" s="201"/>
      <c r="C56" s="196">
        <v>2</v>
      </c>
      <c r="D56" s="81">
        <v>3</v>
      </c>
      <c r="E56" s="96">
        <f ca="1">IF(AND(INDEX('Сводный годовой график'!$C$1:$AR$4,MATCH($C$56,'Сводный годовой график'!$B$1:$B$4),MATCH(DATE($AV$1,MONTH($B$54),E$3),'Сводный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график'!$B$1:$B$4),MATCH(DATE($AV$1,MONTH($B$54),E$3),'Сводный годовой график'!$C$10:$AR$10)))</f>
        <v>0</v>
      </c>
      <c r="F56" s="92">
        <f ca="1">IF(AND(INDEX('Сводный годовой график'!$C$1:$AR$4,MATCH($C$56,'Сводный годовой график'!$B$1:$B$4),MATCH(DATE($AV$1,MONTH($B$54),F$3),'Сводный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график'!$B$1:$B$4),MATCH(DATE($AV$1,MONTH($B$54),F$3),'Сводный годовой график'!$C$10:$AR$10)))</f>
        <v>4</v>
      </c>
      <c r="G56" s="92">
        <f ca="1">IF(AND(INDEX('Сводный годовой график'!$C$1:$AR$4,MATCH($C$56,'Сводный годовой график'!$B$1:$B$4),MATCH(DATE($AV$1,MONTH($B$54),G$3),'Сводный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график'!$B$1:$B$4),MATCH(DATE($AV$1,MONTH($B$54),G$3),'Сводный годовой график'!$C$10:$AR$10)))</f>
        <v>8</v>
      </c>
      <c r="H56" s="92">
        <f ca="1">IF(AND(INDEX('Сводный годовой график'!$C$1:$AR$4,MATCH($C$56,'Сводный годовой график'!$B$1:$B$4),MATCH(DATE($AV$1,MONTH($B$54),H$3),'Сводный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график'!$B$1:$B$4),MATCH(DATE($AV$1,MONTH($B$54),H$3),'Сводный годовой график'!$C$10:$AR$10)))</f>
        <v>12</v>
      </c>
      <c r="I56" s="92">
        <f ca="1">IF(AND(INDEX('Сводный годовой график'!$C$1:$AR$4,MATCH($C$56,'Сводный годовой график'!$B$1:$B$4),MATCH(DATE($AV$1,MONTH($B$54),I$3),'Сводный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график'!$B$1:$B$4),MATCH(DATE($AV$1,MONTH($B$54),I$3),'Сводный годовой график'!$C$10:$AR$10)))</f>
        <v>4</v>
      </c>
      <c r="J56" s="92">
        <f ca="1">IF(AND(INDEX('Сводный годовой график'!$C$1:$AR$4,MATCH($C$56,'Сводный годовой график'!$B$1:$B$4),MATCH(DATE($AV$1,MONTH($B$54),J$3),'Сводный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график'!$B$1:$B$4),MATCH(DATE($AV$1,MONTH($B$54),J$3),'Сводный годовой график'!$C$10:$AR$10)))</f>
        <v>8</v>
      </c>
      <c r="K56" s="92">
        <f ca="1">IF(AND(INDEX('Сводный годовой график'!$C$1:$AR$4,MATCH($C$56,'Сводный годовой график'!$B$1:$B$4),MATCH(DATE($AV$1,MONTH($B$54),K$3),'Сводный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график'!$B$1:$B$4),MATCH(DATE($AV$1,MONTH($B$54),K$3),'Сводный годовой график'!$C$10:$AR$10)))</f>
        <v>12</v>
      </c>
      <c r="L56" s="92">
        <f ca="1">IF(AND(INDEX('Сводный годовой график'!$C$1:$AR$4,MATCH($C$56,'Сводный годовой график'!$B$1:$B$4),MATCH(DATE($AV$1,MONTH($B$54),L$3),'Сводный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график'!$B$1:$B$4),MATCH(DATE($AV$1,MONTH($B$54),L$3),'Сводный годовой график'!$C$10:$AR$10)))</f>
        <v>0</v>
      </c>
      <c r="M56" s="92">
        <f ca="1">IF(AND(INDEX('Сводный годовой график'!$C$1:$AR$4,MATCH($C$56,'Сводный годовой график'!$B$1:$B$4),MATCH(DATE($AV$1,MONTH($B$54),M$3),'Сводный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график'!$B$1:$B$4),MATCH(DATE($AV$1,MONTH($B$54),M$3),'Сводный годовой график'!$C$10:$AR$10)))</f>
        <v>0</v>
      </c>
      <c r="N56" s="92">
        <f ca="1">IF(AND(INDEX('Сводный годовой график'!$C$1:$AR$4,MATCH($C$56,'Сводный годовой график'!$B$1:$B$4),MATCH(DATE($AV$1,MONTH($B$54),N$3),'Сводный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график'!$B$1:$B$4),MATCH(DATE($AV$1,MONTH($B$54),N$3),'Сводный годовой график'!$C$10:$AR$10)))</f>
        <v>4</v>
      </c>
      <c r="O56" s="92">
        <f ca="1">IF(AND(INDEX('Сводный годовой график'!$C$1:$AR$4,MATCH($C$56,'Сводный годовой график'!$B$1:$B$4),MATCH(DATE($AV$1,MONTH($B$54),O$3),'Сводный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график'!$B$1:$B$4),MATCH(DATE($AV$1,MONTH($B$54),O$3),'Сводный годовой график'!$C$10:$AR$10)))</f>
        <v>8</v>
      </c>
      <c r="P56" s="92">
        <f ca="1">IF(AND(INDEX('Сводный годовой график'!$C$1:$AR$4,MATCH($C$56,'Сводный годовой график'!$B$1:$B$4),MATCH(DATE($AV$1,MONTH($B$54),P$3),'Сводный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график'!$B$1:$B$4),MATCH(DATE($AV$1,MONTH($B$54),P$3),'Сводный годовой график'!$C$10:$AR$10)))</f>
        <v>12</v>
      </c>
      <c r="Q56" s="92">
        <f ca="1">IF(AND(INDEX('Сводный годовой график'!$C$1:$AR$4,MATCH($C$56,'Сводный годовой график'!$B$1:$B$4),MATCH(DATE($AV$1,MONTH($B$54),Q$3),'Сводный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график'!$B$1:$B$4),MATCH(DATE($AV$1,MONTH($B$54),Q$3),'Сводный годовой график'!$C$10:$AR$10)))</f>
        <v>4</v>
      </c>
      <c r="R56" s="92">
        <f ca="1">IF(AND(INDEX('Сводный годовой график'!$C$1:$AR$4,MATCH($C$56,'Сводный годовой график'!$B$1:$B$4),MATCH(DATE($AV$1,MONTH($B$54),R$3),'Сводный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график'!$B$1:$B$4),MATCH(DATE($AV$1,MONTH($B$54),R$3),'Сводный годовой график'!$C$10:$AR$10)))</f>
        <v>8</v>
      </c>
      <c r="S56" s="92">
        <f ca="1">IF(AND(INDEX('Сводный годовой график'!$C$1:$AR$4,MATCH($C$56,'Сводный годовой график'!$B$1:$B$4),MATCH(DATE($AV$1,MONTH($B$54),S$3),'Сводный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график'!$B$1:$B$4),MATCH(DATE($AV$1,MONTH($B$54),S$3),'Сводный годовой график'!$C$10:$AR$10)))</f>
        <v>12</v>
      </c>
      <c r="T56" s="92">
        <f ca="1">IF(AND(INDEX('Сводный годовой график'!$C$1:$AR$4,MATCH($C$56,'Сводный годовой график'!$B$1:$B$4),MATCH(DATE($AV$1,MONTH($B$54),T$3),'Сводный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график'!$B$1:$B$4),MATCH(DATE($AV$1,MONTH($B$54),T$3),'Сводный годовой график'!$C$10:$AR$10)))</f>
        <v>0</v>
      </c>
      <c r="U56" s="92">
        <f ca="1">IF(AND(INDEX('Сводный годовой график'!$C$1:$AR$4,MATCH($C$56,'Сводный годовой график'!$B$1:$B$4),MATCH(DATE($AV$1,MONTH($B$54),U$3),'Сводный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график'!$B$1:$B$4),MATCH(DATE($AV$1,MONTH($B$54),U$3),'Сводный годовой график'!$C$10:$AR$10)))</f>
        <v>0</v>
      </c>
      <c r="V56" s="92">
        <f ca="1">IF(AND(INDEX('Сводный годовой график'!$C$1:$AR$4,MATCH($C$56,'Сводный годовой график'!$B$1:$B$4),MATCH(DATE($AV$1,MONTH($B$54),V$3),'Сводный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график'!$B$1:$B$4),MATCH(DATE($AV$1,MONTH($B$54),V$3),'Сводный годовой график'!$C$10:$AR$10)))</f>
        <v>4</v>
      </c>
      <c r="W56" s="92">
        <f ca="1">IF(AND(INDEX('Сводный годовой график'!$C$1:$AR$4,MATCH($C$56,'Сводный годовой график'!$B$1:$B$4),MATCH(DATE($AV$1,MONTH($B$54),W$3),'Сводный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график'!$B$1:$B$4),MATCH(DATE($AV$1,MONTH($B$54),W$3),'Сводный годовой график'!$C$10:$AR$10)))</f>
        <v>8</v>
      </c>
      <c r="X56" s="92">
        <f ca="1">IF(AND(INDEX('Сводный годовой график'!$C$1:$AR$4,MATCH($C$56,'Сводный годовой график'!$B$1:$B$4),MATCH(DATE($AV$1,MONTH($B$54),X$3),'Сводный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график'!$B$1:$B$4),MATCH(DATE($AV$1,MONTH($B$54),X$3),'Сводный годовой график'!$C$10:$AR$10)))</f>
        <v>12</v>
      </c>
      <c r="Y56" s="92">
        <f ca="1">IF(AND(INDEX('Сводный годовой график'!$C$1:$AR$4,MATCH($C$56,'Сводный годовой график'!$B$1:$B$4),MATCH(DATE($AV$1,MONTH($B$54),Y$3),'Сводный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график'!$B$1:$B$4),MATCH(DATE($AV$1,MONTH($B$54),Y$3),'Сводный годовой график'!$C$10:$AR$10)))</f>
        <v>4</v>
      </c>
      <c r="Z56" s="92">
        <f ca="1">IF(AND(INDEX('Сводный годовой график'!$C$1:$AR$4,MATCH($C$56,'Сводный годовой график'!$B$1:$B$4),MATCH(DATE($AV$1,MONTH($B$54),Z$3),'Сводный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график'!$B$1:$B$4),MATCH(DATE($AV$1,MONTH($B$54),Z$3),'Сводный годовой график'!$C$10:$AR$10)))</f>
        <v>8</v>
      </c>
      <c r="AA56" s="92">
        <f ca="1">IF(AND(INDEX('Сводный годовой график'!$C$1:$AR$4,MATCH($C$56,'Сводный годовой график'!$B$1:$B$4),MATCH(DATE($AV$1,MONTH($B$54),AA$3),'Сводный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график'!$B$1:$B$4),MATCH(DATE($AV$1,MONTH($B$54),AA$3),'Сводный годовой график'!$C$10:$AR$10)))</f>
        <v>12</v>
      </c>
      <c r="AB56" s="92">
        <f ca="1">IF(AND(INDEX('Сводный годовой график'!$C$1:$AR$4,MATCH($C$56,'Сводный годовой график'!$B$1:$B$4),MATCH(DATE($AV$1,MONTH($B$54),AB$3),'Сводный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график'!$B$1:$B$4),MATCH(DATE($AV$1,MONTH($B$54),AB$3),'Сводный годовой график'!$C$10:$AR$10)))</f>
        <v>0</v>
      </c>
      <c r="AC56" s="92">
        <f ca="1">IF(AND(INDEX('Сводный годовой график'!$C$1:$AR$4,MATCH($C$56,'Сводный годовой график'!$B$1:$B$4),MATCH(DATE($AV$1,MONTH($B$54),AC$3),'Сводный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график'!$B$1:$B$4),MATCH(DATE($AV$1,MONTH($B$54),AC$3),'Сводный годовой график'!$C$10:$AR$10)))</f>
        <v>0</v>
      </c>
      <c r="AD56" s="92">
        <f ca="1">IF(AND(INDEX('Сводный годовой график'!$C$1:$AR$4,MATCH($C$56,'Сводный годовой график'!$B$1:$B$4),MATCH(DATE($AV$1,MONTH($B$54),AD$3),'Сводный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график'!$B$1:$B$4),MATCH(DATE($AV$1,MONTH($B$54),AD$3),'Сводный годовой график'!$C$10:$AR$10)))</f>
        <v>4</v>
      </c>
      <c r="AE56" s="92">
        <f ca="1">IF(AND(INDEX('Сводный годовой график'!$C$1:$AR$4,MATCH($C$56,'Сводный годовой график'!$B$1:$B$4),MATCH(DATE($AV$1,MONTH($B$54),AE$3),'Сводный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график'!$B$1:$B$4),MATCH(DATE($AV$1,MONTH($B$54),AE$3),'Сводный годовой график'!$C$10:$AR$10)))</f>
        <v>8</v>
      </c>
      <c r="AF56" s="92">
        <f ca="1">IF(AND(INDEX('Сводный годовой график'!$C$1:$AR$4,MATCH($C$56,'Сводный годовой график'!$B$1:$B$4),MATCH(DATE($AV$1,MONTH($B$54),AF$3),'Сводный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график'!$B$1:$B$4),MATCH(DATE($AV$1,MONTH($B$54),AF$3),'Сводный годовой график'!$C$10:$AR$10)))</f>
        <v>12</v>
      </c>
      <c r="AG56" s="92">
        <f ca="1">IF(AND(INDEX('Сводный годовой график'!$C$1:$AR$4,MATCH($C$56,'Сводный годовой график'!$B$1:$B$4),MATCH(DATE($AV$1,MONTH($B$54),AG$3),'Сводный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график'!$B$1:$B$4),MATCH(DATE($AV$1,MONTH($B$54),AG$3),'Сводный годовой график'!$C$10:$AR$10)))</f>
        <v>4</v>
      </c>
      <c r="AH56" s="92">
        <f ca="1">IF(AND(INDEX('Сводный годовой график'!$C$1:$AR$4,MATCH($C$56,'Сводный годовой график'!$B$1:$B$4),MATCH(DATE($AV$1,MONTH($B$54),AH$3),'Сводный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график'!$B$1:$B$4),MATCH(DATE($AV$1,MONTH($B$54),AH$3),'Сводный годовой график'!$C$10:$AR$10)))</f>
        <v>8</v>
      </c>
      <c r="AI56" s="110"/>
      <c r="AJ56" s="206"/>
      <c r="AK56" s="177">
        <f>$AJ$54-SUM(AY56:CC57)</f>
        <v>151</v>
      </c>
      <c r="AL56" s="177">
        <f t="shared" ref="AL56" ca="1" si="70">SUM(E56:AI57)</f>
        <v>180</v>
      </c>
      <c r="AM56" s="177">
        <f ca="1">SUM(P56)</f>
        <v>12</v>
      </c>
      <c r="AN56" s="198">
        <f t="shared" ref="AN56" ca="1" si="71">-AM56-AK56+AL56</f>
        <v>17</v>
      </c>
      <c r="AO56" s="198">
        <v>0</v>
      </c>
      <c r="AP56" s="198">
        <f ca="1">AN56+AP46-AO56</f>
        <v>41</v>
      </c>
      <c r="AQ56" s="177">
        <v>0</v>
      </c>
      <c r="AR56" s="179">
        <v>1</v>
      </c>
      <c r="CK56" s="59"/>
      <c r="CL56" s="59"/>
      <c r="CM56" s="59"/>
      <c r="CN56" s="59"/>
      <c r="CO56" s="59"/>
      <c r="CP56" s="59"/>
      <c r="CQ56" s="59"/>
      <c r="CR56" s="59"/>
      <c r="CS56" s="59"/>
      <c r="CT56" s="59"/>
      <c r="CU56" s="59"/>
      <c r="CV56" s="59"/>
      <c r="CW56" s="59"/>
      <c r="CX56" s="59"/>
      <c r="CY56" s="59"/>
      <c r="CZ56" s="59"/>
      <c r="DA56" s="59"/>
      <c r="DB56" s="59"/>
      <c r="DC56" s="59"/>
      <c r="DD56" s="59"/>
      <c r="DE56" s="59"/>
      <c r="DF56" s="59"/>
      <c r="DG56" s="59"/>
      <c r="DH56" s="59"/>
      <c r="DI56" s="59"/>
      <c r="DJ56" s="59"/>
      <c r="DK56" s="59"/>
      <c r="DL56" s="59"/>
      <c r="DM56" s="59"/>
      <c r="DN56" s="59"/>
      <c r="DO56" s="59"/>
    </row>
    <row r="57" spans="2:119" ht="16.5" thickBot="1" x14ac:dyDescent="0.3">
      <c r="B57" s="201"/>
      <c r="C57" s="197"/>
      <c r="D57" s="82">
        <v>4</v>
      </c>
      <c r="E57" s="96" t="str">
        <f>IF(INDEX($CK$4:$DO$123,ROW()-3,E$3)=0,"","СП")</f>
        <v/>
      </c>
      <c r="F57" s="92" t="str">
        <f>IF(INDEX($CK$4:$DO$123,ROW()-3,F$3)=0,"","СП")</f>
        <v/>
      </c>
      <c r="G57" s="92" t="str">
        <f>IF(INDEX($CK$4:$DO$123,ROW()-3,G$3)=0,"","СП")</f>
        <v/>
      </c>
      <c r="H57" s="92" t="str">
        <f>IF(INDEX($CK$4:$DO$123,ROW()-3,H$3)=0,"","СП")</f>
        <v/>
      </c>
      <c r="I57" s="92" t="str">
        <f>IF(INDEX($CK$4:$DO$123,ROW()-3,I$3)=0,"","СП")</f>
        <v/>
      </c>
      <c r="J57" s="92" t="str">
        <f>IF(INDEX($CK$4:$DO$123,ROW()-3,J$3)=0,"","СП")</f>
        <v/>
      </c>
      <c r="K57" s="92" t="str">
        <f>IF(INDEX($CK$4:$DO$123,ROW()-3,K$3)=0,"","СП")</f>
        <v>СП</v>
      </c>
      <c r="L57" s="92" t="str">
        <f>IF(INDEX($CK$4:$DO$123,ROW()-3,L$3)=0,"","СП")</f>
        <v/>
      </c>
      <c r="M57" s="92" t="str">
        <f>IF(INDEX($CK$4:$DO$123,ROW()-3,M$3)=0,"","СП")</f>
        <v/>
      </c>
      <c r="N57" s="92" t="str">
        <f>IF(INDEX($CK$4:$DO$123,ROW()-3,N$3)=0,"","СП")</f>
        <v/>
      </c>
      <c r="O57" s="92" t="str">
        <f>IF(INDEX($CK$4:$DO$123,ROW()-3,O$3)=0,"","СП")</f>
        <v/>
      </c>
      <c r="P57" s="92" t="str">
        <f>IF(INDEX($CK$4:$DO$123,ROW()-3,P$3)=0,"","СП")</f>
        <v/>
      </c>
      <c r="Q57" s="92" t="str">
        <f>IF(INDEX($CK$4:$DO$123,ROW()-3,Q$3)=0,"","СП")</f>
        <v/>
      </c>
      <c r="R57" s="92" t="str">
        <f>IF(INDEX($CK$4:$DO$123,ROW()-3,R$3)=0,"","СП")</f>
        <v/>
      </c>
      <c r="S57" s="92" t="str">
        <f>IF(INDEX($CK$4:$DO$123,ROW()-3,S$3)=0,"","СП")</f>
        <v/>
      </c>
      <c r="T57" s="92" t="str">
        <f>IF(INDEX($CK$4:$DO$123,ROW()-3,T$3)=0,"","СП")</f>
        <v/>
      </c>
      <c r="U57" s="92" t="str">
        <f>IF(INDEX($CK$4:$DO$123,ROW()-3,U$3)=0,"","СП")</f>
        <v/>
      </c>
      <c r="V57" s="92" t="str">
        <f>IF(INDEX($CK$4:$DO$123,ROW()-3,V$3)=0,"","СП")</f>
        <v/>
      </c>
      <c r="W57" s="92" t="str">
        <f>IF(INDEX($CK$4:$DO$123,ROW()-3,W$3)=0,"","СП")</f>
        <v/>
      </c>
      <c r="X57" s="92" t="str">
        <f>IF(INDEX($CK$4:$DO$123,ROW()-3,X$3)=0,"","СП")</f>
        <v/>
      </c>
      <c r="Y57" s="92" t="str">
        <f>IF(INDEX($CK$4:$DO$123,ROW()-3,Y$3)=0,"","СП")</f>
        <v/>
      </c>
      <c r="Z57" s="92" t="str">
        <f>IF(INDEX($CK$4:$DO$123,ROW()-3,Z$3)=0,"","СП")</f>
        <v/>
      </c>
      <c r="AA57" s="92" t="str">
        <f>IF(INDEX($CK$4:$DO$123,ROW()-3,AA$3)=0,"","СП")</f>
        <v/>
      </c>
      <c r="AB57" s="92" t="str">
        <f>IF(INDEX($CK$4:$DO$123,ROW()-3,AB$3)=0,"","СП")</f>
        <v/>
      </c>
      <c r="AC57" s="92" t="str">
        <f>IF(INDEX($CK$4:$DO$123,ROW()-3,AC$3)=0,"","СП")</f>
        <v/>
      </c>
      <c r="AD57" s="92" t="str">
        <f>IF(INDEX($CK$4:$DO$123,ROW()-3,AD$3)=0,"","СП")</f>
        <v/>
      </c>
      <c r="AE57" s="92" t="str">
        <f>IF(INDEX($CK$4:$DO$123,ROW()-3,AE$3)=0,"","СП")</f>
        <v/>
      </c>
      <c r="AF57" s="92" t="str">
        <f>IF(INDEX($CK$4:$DO$123,ROW()-3,AF$3)=0,"","СП")</f>
        <v/>
      </c>
      <c r="AG57" s="92" t="str">
        <f>IF(INDEX($CK$4:$DO$123,ROW()-3,AG$3)=0,"","СП")</f>
        <v/>
      </c>
      <c r="AH57" s="92" t="str">
        <f>IF(INDEX($CK$4:$DO$123,ROW()-3,AH$3)=0,"","СП")</f>
        <v/>
      </c>
      <c r="AI57" s="110"/>
      <c r="AJ57" s="206"/>
      <c r="AK57" s="177"/>
      <c r="AL57" s="177"/>
      <c r="AM57" s="177"/>
      <c r="AN57" s="198"/>
      <c r="AO57" s="198"/>
      <c r="AP57" s="198"/>
      <c r="AQ57" s="177"/>
      <c r="AR57" s="179"/>
      <c r="CK57" s="58">
        <f>IF(DAY(INDEX('Сводный годовой график'!$BA$4:$BL$14,$C56,MONTH($B$54)))=E$3,1,0)</f>
        <v>0</v>
      </c>
      <c r="CL57" s="58">
        <f>IF(DAY(INDEX('Сводный годовой график'!$BA$4:$BL$14,$C56,MONTH($B$54)))=F$3,1,0)</f>
        <v>0</v>
      </c>
      <c r="CM57" s="58">
        <f>IF(DAY(INDEX('Сводный годовой график'!$BA$4:$BL$14,$C56,MONTH($B$54)))=G$3,1,0)</f>
        <v>0</v>
      </c>
      <c r="CN57" s="58">
        <f>IF(DAY(INDEX('Сводный годовой график'!$BA$4:$BL$14,$C56,MONTH($B$54)))=H$3,1,0)</f>
        <v>0</v>
      </c>
      <c r="CO57" s="58">
        <f>IF(DAY(INDEX('Сводный годовой график'!$BA$4:$BL$14,$C56,MONTH($B$54)))=I$3,1,0)</f>
        <v>0</v>
      </c>
      <c r="CP57" s="58">
        <f>IF(DAY(INDEX('Сводный годовой график'!$BA$4:$BL$14,$C56,MONTH($B$54)))=J$3,1,0)</f>
        <v>0</v>
      </c>
      <c r="CQ57" s="58">
        <f>IF(DAY(INDEX('Сводный годовой график'!$BA$4:$BL$14,$C56,MONTH($B$54)))=K$3,1,0)</f>
        <v>1</v>
      </c>
      <c r="CR57" s="58">
        <f>IF(DAY(INDEX('Сводный годовой график'!$BA$4:$BL$14,$C56,MONTH($B$54)))=L$3,1,0)</f>
        <v>0</v>
      </c>
      <c r="CS57" s="58">
        <f>IF(DAY(INDEX('Сводный годовой график'!$BA$4:$BL$14,$C56,MONTH($B$54)))=M$3,1,0)</f>
        <v>0</v>
      </c>
      <c r="CT57" s="58">
        <f>IF(DAY(INDEX('Сводный годовой график'!$BA$4:$BL$14,$C56,MONTH($B$54)))=N$3,1,0)</f>
        <v>0</v>
      </c>
      <c r="CU57" s="58">
        <f>IF(DAY(INDEX('Сводный годовой график'!$BA$4:$BL$14,$C56,MONTH($B$54)))=O$3,1,0)</f>
        <v>0</v>
      </c>
      <c r="CV57" s="58">
        <f>IF(DAY(INDEX('Сводный годовой график'!$BA$4:$BL$14,$C56,MONTH($B$54)))=P$3,1,0)</f>
        <v>0</v>
      </c>
      <c r="CW57" s="58">
        <f>IF(DAY(INDEX('Сводный годовой график'!$BA$4:$BL$14,$C56,MONTH($B$54)))=Q$3,1,0)</f>
        <v>0</v>
      </c>
      <c r="CX57" s="58">
        <f>IF(DAY(INDEX('Сводный годовой график'!$BA$4:$BL$14,$C56,MONTH($B$54)))=R$3,1,0)</f>
        <v>0</v>
      </c>
      <c r="CY57" s="58">
        <f>IF(DAY(INDEX('Сводный годовой график'!$BA$4:$BL$14,$C56,MONTH($B$54)))=S$3,1,0)</f>
        <v>0</v>
      </c>
      <c r="CZ57" s="58">
        <f>IF(DAY(INDEX('Сводный годовой график'!$BA$4:$BL$14,$C56,MONTH($B$54)))=T$3,1,0)</f>
        <v>0</v>
      </c>
      <c r="DA57" s="58">
        <f>IF(DAY(INDEX('Сводный годовой график'!$BA$4:$BL$14,$C56,MONTH($B$54)))=U$3,1,0)</f>
        <v>0</v>
      </c>
      <c r="DB57" s="58">
        <f>IF(DAY(INDEX('Сводный годовой график'!$BA$4:$BL$14,$C56,MONTH($B$54)))=V$3,1,0)</f>
        <v>0</v>
      </c>
      <c r="DC57" s="58">
        <f>IF(DAY(INDEX('Сводный годовой график'!$BA$4:$BL$14,$C56,MONTH($B$54)))=W$3,1,0)</f>
        <v>0</v>
      </c>
      <c r="DD57" s="58">
        <f>IF(DAY(INDEX('Сводный годовой график'!$BA$4:$BL$14,$C56,MONTH($B$54)))=X$3,1,0)</f>
        <v>0</v>
      </c>
      <c r="DE57" s="58">
        <f>IF(DAY(INDEX('Сводный годовой график'!$BA$4:$BL$14,$C56,MONTH($B$54)))=Y$3,1,0)</f>
        <v>0</v>
      </c>
      <c r="DF57" s="58">
        <f>IF(DAY(INDEX('Сводный годовой график'!$BA$4:$BL$14,$C56,MONTH($B$54)))=Z$3,1,0)</f>
        <v>0</v>
      </c>
      <c r="DG57" s="58">
        <f>IF(DAY(INDEX('Сводный годовой график'!$BA$4:$BL$14,$C56,MONTH($B$54)))=AA$3,1,0)</f>
        <v>0</v>
      </c>
      <c r="DH57" s="58">
        <f>IF(DAY(INDEX('Сводный годовой график'!$BA$4:$BL$14,$C56,MONTH($B$54)))=AB$3,1,0)</f>
        <v>0</v>
      </c>
      <c r="DI57" s="58">
        <f>IF(DAY(INDEX('Сводный годовой график'!$BA$4:$BL$14,$C56,MONTH($B$54)))=AC$3,1,0)</f>
        <v>0</v>
      </c>
      <c r="DJ57" s="58">
        <f>IF(DAY(INDEX('Сводный годовой график'!$BA$4:$BL$14,$C56,MONTH($B$54)))=AD$3,1,0)</f>
        <v>0</v>
      </c>
      <c r="DK57" s="58">
        <f>IF(DAY(INDEX('Сводный годовой график'!$BA$4:$BL$14,$C56,MONTH($B$54)))=AE$3,1,0)</f>
        <v>0</v>
      </c>
      <c r="DL57" s="58">
        <f>IF(DAY(INDEX('Сводный годовой график'!$BA$4:$BL$14,$C56,MONTH($B$54)))=AF$3,1,0)</f>
        <v>0</v>
      </c>
      <c r="DM57" s="58">
        <f>IF(DAY(INDEX('Сводный годовой график'!$BA$4:$BL$14,$C56,MONTH($B$54)))=AG$3,1,0)</f>
        <v>0</v>
      </c>
      <c r="DN57" s="58">
        <f>IF(DAY(INDEX('Сводный годовой график'!$BA$4:$BL$14,$C56,MONTH($B$54)))=AH$3,1,0)</f>
        <v>0</v>
      </c>
      <c r="DO57" s="58">
        <f>IF(DAY(INDEX('Сводный годовой график'!$BA$4:$BL$14,$C56,MONTH($B$54)))=AI$3,1,0)</f>
        <v>0</v>
      </c>
    </row>
    <row r="58" spans="2:119" ht="16.5" thickBot="1" x14ac:dyDescent="0.3">
      <c r="B58" s="201"/>
      <c r="C58" s="196">
        <v>3</v>
      </c>
      <c r="D58" s="81">
        <v>5</v>
      </c>
      <c r="E58" s="96">
        <f ca="1">IF(AND(INDEX('Сводный годовой график'!$C$1:$AR$4,MATCH($C$58,'Сводный годовой график'!$B$1:$B$4),MATCH(DATE($AV$1,MONTH($B$54),E$3),'Сводный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график'!$B$1:$B$4),MATCH(DATE($AV$1,MONTH($B$54),E$3),'Сводный годовой график'!$C$10:$AR$10)))</f>
        <v>4</v>
      </c>
      <c r="F58" s="92">
        <f ca="1">IF(AND(INDEX('Сводный годовой график'!$C$1:$AR$4,MATCH($C$58,'Сводный годовой график'!$B$1:$B$4),MATCH(DATE($AV$1,MONTH($B$54),F$3),'Сводный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график'!$B$1:$B$4),MATCH(DATE($AV$1,MONTH($B$54),F$3),'Сводный годовой график'!$C$10:$AR$10)))</f>
        <v>8</v>
      </c>
      <c r="G58" s="92">
        <f ca="1">IF(AND(INDEX('Сводный годовой график'!$C$1:$AR$4,MATCH($C$58,'Сводный годовой график'!$B$1:$B$4),MATCH(DATE($AV$1,MONTH($B$54),G$3),'Сводный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график'!$B$1:$B$4),MATCH(DATE($AV$1,MONTH($B$54),G$3),'Сводный годовой график'!$C$10:$AR$10)))</f>
        <v>12</v>
      </c>
      <c r="H58" s="92">
        <f ca="1">IF(AND(INDEX('Сводный годовой график'!$C$1:$AR$4,MATCH($C$58,'Сводный годовой график'!$B$1:$B$4),MATCH(DATE($AV$1,MONTH($B$54),H$3),'Сводный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график'!$B$1:$B$4),MATCH(DATE($AV$1,MONTH($B$54),H$3),'Сводный годовой график'!$C$10:$AR$10)))</f>
        <v>0</v>
      </c>
      <c r="I58" s="92">
        <f ca="1">IF(AND(INDEX('Сводный годовой график'!$C$1:$AR$4,MATCH($C$58,'Сводный годовой график'!$B$1:$B$4),MATCH(DATE($AV$1,MONTH($B$54),I$3),'Сводный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график'!$B$1:$B$4),MATCH(DATE($AV$1,MONTH($B$54),I$3),'Сводный годовой график'!$C$10:$AR$10)))</f>
        <v>0</v>
      </c>
      <c r="J58" s="92">
        <f ca="1">IF(AND(INDEX('Сводный годовой график'!$C$1:$AR$4,MATCH($C$58,'Сводный годовой график'!$B$1:$B$4),MATCH(DATE($AV$1,MONTH($B$54),J$3),'Сводный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график'!$B$1:$B$4),MATCH(DATE($AV$1,MONTH($B$54),J$3),'Сводный годовой график'!$C$10:$AR$10)))</f>
        <v>4</v>
      </c>
      <c r="K58" s="92">
        <f ca="1">IF(AND(INDEX('Сводный годовой график'!$C$1:$AR$4,MATCH($C$58,'Сводный годовой график'!$B$1:$B$4),MATCH(DATE($AV$1,MONTH($B$54),K$3),'Сводный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график'!$B$1:$B$4),MATCH(DATE($AV$1,MONTH($B$54),K$3),'Сводный годовой график'!$C$10:$AR$10)))</f>
        <v>8</v>
      </c>
      <c r="L58" s="92">
        <f ca="1">IF(AND(INDEX('Сводный годовой график'!$C$1:$AR$4,MATCH($C$58,'Сводный годовой график'!$B$1:$B$4),MATCH(DATE($AV$1,MONTH($B$54),L$3),'Сводный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график'!$B$1:$B$4),MATCH(DATE($AV$1,MONTH($B$54),L$3),'Сводный годовой график'!$C$10:$AR$10)))</f>
        <v>12</v>
      </c>
      <c r="M58" s="92">
        <f ca="1">IF(AND(INDEX('Сводный годовой график'!$C$1:$AR$4,MATCH($C$58,'Сводный годовой график'!$B$1:$B$4),MATCH(DATE($AV$1,MONTH($B$54),M$3),'Сводный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график'!$B$1:$B$4),MATCH(DATE($AV$1,MONTH($B$54),M$3),'Сводный годовой график'!$C$10:$AR$10)))</f>
        <v>4</v>
      </c>
      <c r="N58" s="92">
        <f ca="1">IF(AND(INDEX('Сводный годовой график'!$C$1:$AR$4,MATCH($C$58,'Сводный годовой график'!$B$1:$B$4),MATCH(DATE($AV$1,MONTH($B$54),N$3),'Сводный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график'!$B$1:$B$4),MATCH(DATE($AV$1,MONTH($B$54),N$3),'Сводный годовой график'!$C$10:$AR$10)))</f>
        <v>8</v>
      </c>
      <c r="O58" s="92">
        <f ca="1">IF(AND(INDEX('Сводный годовой график'!$C$1:$AR$4,MATCH($C$58,'Сводный годовой график'!$B$1:$B$4),MATCH(DATE($AV$1,MONTH($B$54),O$3),'Сводный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график'!$B$1:$B$4),MATCH(DATE($AV$1,MONTH($B$54),O$3),'Сводный годовой график'!$C$10:$AR$10)))</f>
        <v>12</v>
      </c>
      <c r="P58" s="92">
        <f ca="1">IF(AND(INDEX('Сводный годовой график'!$C$1:$AR$4,MATCH($C$58,'Сводный годовой график'!$B$1:$B$4),MATCH(DATE($AV$1,MONTH($B$54),P$3),'Сводный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график'!$B$1:$B$4),MATCH(DATE($AV$1,MONTH($B$54),P$3),'Сводный годовой график'!$C$10:$AR$10)))</f>
        <v>0</v>
      </c>
      <c r="Q58" s="92">
        <f ca="1">IF(AND(INDEX('Сводный годовой график'!$C$1:$AR$4,MATCH($C$58,'Сводный годовой график'!$B$1:$B$4),MATCH(DATE($AV$1,MONTH($B$54),Q$3),'Сводный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график'!$B$1:$B$4),MATCH(DATE($AV$1,MONTH($B$54),Q$3),'Сводный годовой график'!$C$10:$AR$10)))</f>
        <v>0</v>
      </c>
      <c r="R58" s="92">
        <f ca="1">IF(AND(INDEX('Сводный годовой график'!$C$1:$AR$4,MATCH($C$58,'Сводный годовой график'!$B$1:$B$4),MATCH(DATE($AV$1,MONTH($B$54),R$3),'Сводный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график'!$B$1:$B$4),MATCH(DATE($AV$1,MONTH($B$54),R$3),'Сводный годовой график'!$C$10:$AR$10)))</f>
        <v>4</v>
      </c>
      <c r="S58" s="92">
        <f ca="1">IF(AND(INDEX('Сводный годовой график'!$C$1:$AR$4,MATCH($C$58,'Сводный годовой график'!$B$1:$B$4),MATCH(DATE($AV$1,MONTH($B$54),S$3),'Сводный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график'!$B$1:$B$4),MATCH(DATE($AV$1,MONTH($B$54),S$3),'Сводный годовой график'!$C$10:$AR$10)))</f>
        <v>8</v>
      </c>
      <c r="T58" s="92">
        <f ca="1">IF(AND(INDEX('Сводный годовой график'!$C$1:$AR$4,MATCH($C$58,'Сводный годовой график'!$B$1:$B$4),MATCH(DATE($AV$1,MONTH($B$54),T$3),'Сводный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график'!$B$1:$B$4),MATCH(DATE($AV$1,MONTH($B$54),T$3),'Сводный годовой график'!$C$10:$AR$10)))</f>
        <v>12</v>
      </c>
      <c r="U58" s="92">
        <f ca="1">IF(AND(INDEX('Сводный годовой график'!$C$1:$AR$4,MATCH($C$58,'Сводный годовой график'!$B$1:$B$4),MATCH(DATE($AV$1,MONTH($B$54),U$3),'Сводный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график'!$B$1:$B$4),MATCH(DATE($AV$1,MONTH($B$54),U$3),'Сводный годовой график'!$C$10:$AR$10)))</f>
        <v>4</v>
      </c>
      <c r="V58" s="92">
        <f ca="1">IF(AND(INDEX('Сводный годовой график'!$C$1:$AR$4,MATCH($C$58,'Сводный годовой график'!$B$1:$B$4),MATCH(DATE($AV$1,MONTH($B$54),V$3),'Сводный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график'!$B$1:$B$4),MATCH(DATE($AV$1,MONTH($B$54),V$3),'Сводный годовой график'!$C$10:$AR$10)))</f>
        <v>8</v>
      </c>
      <c r="W58" s="92">
        <f ca="1">IF(AND(INDEX('Сводный годовой график'!$C$1:$AR$4,MATCH($C$58,'Сводный годовой график'!$B$1:$B$4),MATCH(DATE($AV$1,MONTH($B$54),W$3),'Сводный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график'!$B$1:$B$4),MATCH(DATE($AV$1,MONTH($B$54),W$3),'Сводный годовой график'!$C$10:$AR$10)))</f>
        <v>12</v>
      </c>
      <c r="X58" s="92">
        <f ca="1">IF(AND(INDEX('Сводный годовой график'!$C$1:$AR$4,MATCH($C$58,'Сводный годовой график'!$B$1:$B$4),MATCH(DATE($AV$1,MONTH($B$54),X$3),'Сводный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график'!$B$1:$B$4),MATCH(DATE($AV$1,MONTH($B$54),X$3),'Сводный годовой график'!$C$10:$AR$10)))</f>
        <v>0</v>
      </c>
      <c r="Y58" s="92">
        <f ca="1">IF(AND(INDEX('Сводный годовой график'!$C$1:$AR$4,MATCH($C$58,'Сводный годовой график'!$B$1:$B$4),MATCH(DATE($AV$1,MONTH($B$54),Y$3),'Сводный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график'!$B$1:$B$4),MATCH(DATE($AV$1,MONTH($B$54),Y$3),'Сводный годовой график'!$C$10:$AR$10)))</f>
        <v>0</v>
      </c>
      <c r="Z58" s="92">
        <f ca="1">IF(AND(INDEX('Сводный годовой график'!$C$1:$AR$4,MATCH($C$58,'Сводный годовой график'!$B$1:$B$4),MATCH(DATE($AV$1,MONTH($B$54),Z$3),'Сводный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график'!$B$1:$B$4),MATCH(DATE($AV$1,MONTH($B$54),Z$3),'Сводный годовой график'!$C$10:$AR$10)))</f>
        <v>4</v>
      </c>
      <c r="AA58" s="92">
        <f ca="1">IF(AND(INDEX('Сводный годовой график'!$C$1:$AR$4,MATCH($C$58,'Сводный годовой график'!$B$1:$B$4),MATCH(DATE($AV$1,MONTH($B$54),AA$3),'Сводный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график'!$B$1:$B$4),MATCH(DATE($AV$1,MONTH($B$54),AA$3),'Сводный годовой график'!$C$10:$AR$10)))</f>
        <v>8</v>
      </c>
      <c r="AB58" s="92">
        <f ca="1">IF(AND(INDEX('Сводный годовой график'!$C$1:$AR$4,MATCH($C$58,'Сводный годовой график'!$B$1:$B$4),MATCH(DATE($AV$1,MONTH($B$54),AB$3),'Сводный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график'!$B$1:$B$4),MATCH(DATE($AV$1,MONTH($B$54),AB$3),'Сводный годовой график'!$C$10:$AR$10)))</f>
        <v>12</v>
      </c>
      <c r="AC58" s="92">
        <f ca="1">IF(AND(INDEX('Сводный годовой график'!$C$1:$AR$4,MATCH($C$58,'Сводный годовой график'!$B$1:$B$4),MATCH(DATE($AV$1,MONTH($B$54),AC$3),'Сводный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график'!$B$1:$B$4),MATCH(DATE($AV$1,MONTH($B$54),AC$3),'Сводный годовой график'!$C$10:$AR$10)))</f>
        <v>4</v>
      </c>
      <c r="AD58" s="92">
        <f ca="1">IF(AND(INDEX('Сводный годовой график'!$C$1:$AR$4,MATCH($C$58,'Сводный годовой график'!$B$1:$B$4),MATCH(DATE($AV$1,MONTH($B$54),AD$3),'Сводный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график'!$B$1:$B$4),MATCH(DATE($AV$1,MONTH($B$54),AD$3),'Сводный годовой график'!$C$10:$AR$10)))</f>
        <v>8</v>
      </c>
      <c r="AE58" s="92">
        <f ca="1">IF(AND(INDEX('Сводный годовой график'!$C$1:$AR$4,MATCH($C$58,'Сводный годовой график'!$B$1:$B$4),MATCH(DATE($AV$1,MONTH($B$54),AE$3),'Сводный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график'!$B$1:$B$4),MATCH(DATE($AV$1,MONTH($B$54),AE$3),'Сводный годовой график'!$C$10:$AR$10)))</f>
        <v>12</v>
      </c>
      <c r="AF58" s="92">
        <f ca="1">IF(AND(INDEX('Сводный годовой график'!$C$1:$AR$4,MATCH($C$58,'Сводный годовой график'!$B$1:$B$4),MATCH(DATE($AV$1,MONTH($B$54),AF$3),'Сводный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график'!$B$1:$B$4),MATCH(DATE($AV$1,MONTH($B$54),AF$3),'Сводный годовой график'!$C$10:$AR$10)))</f>
        <v>0</v>
      </c>
      <c r="AG58" s="92">
        <f ca="1">IF(AND(INDEX('Сводный годовой график'!$C$1:$AR$4,MATCH($C$58,'Сводный годовой график'!$B$1:$B$4),MATCH(DATE($AV$1,MONTH($B$54),AG$3),'Сводный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график'!$B$1:$B$4),MATCH(DATE($AV$1,MONTH($B$54),AG$3),'Сводный годовой график'!$C$10:$AR$10)))</f>
        <v>0</v>
      </c>
      <c r="AH58" s="92">
        <f ca="1">IF(AND(INDEX('Сводный годовой график'!$C$1:$AR$4,MATCH($C$58,'Сводный годовой график'!$B$1:$B$4),MATCH(DATE($AV$1,MONTH($B$54),AH$3),'Сводный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график'!$B$1:$B$4),MATCH(DATE($AV$1,MONTH($B$54),AH$3),'Сводный годовой график'!$C$10:$AR$10)))</f>
        <v>4</v>
      </c>
      <c r="AI58" s="110"/>
      <c r="AJ58" s="206"/>
      <c r="AK58" s="177">
        <f>$AJ$54-SUM(AY58:CC59)</f>
        <v>151</v>
      </c>
      <c r="AL58" s="177">
        <f t="shared" ref="AL58" ca="1" si="72">SUM(E58:AI59)</f>
        <v>172</v>
      </c>
      <c r="AM58" s="177">
        <f ca="1">SUM(P58)</f>
        <v>0</v>
      </c>
      <c r="AN58" s="198">
        <f t="shared" ref="AN58" ca="1" si="73">-AM58-AK58+AL58</f>
        <v>21</v>
      </c>
      <c r="AO58" s="198">
        <v>0</v>
      </c>
      <c r="AP58" s="198">
        <f ca="1">AN58+AP48-AO58</f>
        <v>67</v>
      </c>
      <c r="AQ58" s="177">
        <v>0</v>
      </c>
      <c r="AR58" s="179">
        <v>1</v>
      </c>
      <c r="CK58" s="59"/>
      <c r="CL58" s="59"/>
      <c r="CM58" s="59"/>
      <c r="CN58" s="59"/>
      <c r="CO58" s="59"/>
      <c r="CP58" s="59"/>
      <c r="CQ58" s="59"/>
      <c r="CR58" s="59"/>
      <c r="CS58" s="59"/>
      <c r="CT58" s="59"/>
      <c r="CU58" s="59"/>
      <c r="CV58" s="59"/>
      <c r="CW58" s="59"/>
      <c r="CX58" s="59"/>
      <c r="CY58" s="59"/>
      <c r="CZ58" s="59"/>
      <c r="DA58" s="59"/>
      <c r="DB58" s="59"/>
      <c r="DC58" s="59"/>
      <c r="DD58" s="59"/>
      <c r="DE58" s="59"/>
      <c r="DF58" s="59"/>
      <c r="DG58" s="59"/>
      <c r="DH58" s="59"/>
      <c r="DI58" s="59"/>
      <c r="DJ58" s="59"/>
      <c r="DK58" s="59"/>
      <c r="DL58" s="59"/>
      <c r="DM58" s="59"/>
      <c r="DN58" s="59"/>
      <c r="DO58" s="59"/>
    </row>
    <row r="59" spans="2:119" ht="16.5" thickBot="1" x14ac:dyDescent="0.3">
      <c r="B59" s="201"/>
      <c r="C59" s="197"/>
      <c r="D59" s="82">
        <v>6</v>
      </c>
      <c r="E59" s="96" t="str">
        <f>IF(INDEX($CK$4:$DO$123,ROW()-3,E$3)=0,"","СП")</f>
        <v/>
      </c>
      <c r="F59" s="92" t="str">
        <f>IF(INDEX($CK$4:$DO$123,ROW()-3,F$3)=0,"","СП")</f>
        <v/>
      </c>
      <c r="G59" s="92" t="str">
        <f>IF(INDEX($CK$4:$DO$123,ROW()-3,G$3)=0,"","СП")</f>
        <v/>
      </c>
      <c r="H59" s="92" t="str">
        <f>IF(INDEX($CK$4:$DO$123,ROW()-3,H$3)=0,"","СП")</f>
        <v/>
      </c>
      <c r="I59" s="92" t="str">
        <f>IF(INDEX($CK$4:$DO$123,ROW()-3,I$3)=0,"","СП")</f>
        <v/>
      </c>
      <c r="J59" s="92" t="str">
        <f>IF(INDEX($CK$4:$DO$123,ROW()-3,J$3)=0,"","СП")</f>
        <v/>
      </c>
      <c r="K59" s="92" t="str">
        <f>IF(INDEX($CK$4:$DO$123,ROW()-3,K$3)=0,"","СП")</f>
        <v/>
      </c>
      <c r="L59" s="92" t="str">
        <f>IF(INDEX($CK$4:$DO$123,ROW()-3,L$3)=0,"","СП")</f>
        <v>СП</v>
      </c>
      <c r="M59" s="92" t="str">
        <f>IF(INDEX($CK$4:$DO$123,ROW()-3,M$3)=0,"","СП")</f>
        <v/>
      </c>
      <c r="N59" s="92" t="str">
        <f>IF(INDEX($CK$4:$DO$123,ROW()-3,N$3)=0,"","СП")</f>
        <v/>
      </c>
      <c r="O59" s="92" t="str">
        <f>IF(INDEX($CK$4:$DO$123,ROW()-3,O$3)=0,"","СП")</f>
        <v/>
      </c>
      <c r="P59" s="92" t="str">
        <f>IF(INDEX($CK$4:$DO$123,ROW()-3,P$3)=0,"","СП")</f>
        <v/>
      </c>
      <c r="Q59" s="92" t="str">
        <f>IF(INDEX($CK$4:$DO$123,ROW()-3,Q$3)=0,"","СП")</f>
        <v/>
      </c>
      <c r="R59" s="92" t="str">
        <f>IF(INDEX($CK$4:$DO$123,ROW()-3,R$3)=0,"","СП")</f>
        <v/>
      </c>
      <c r="S59" s="92" t="str">
        <f>IF(INDEX($CK$4:$DO$123,ROW()-3,S$3)=0,"","СП")</f>
        <v/>
      </c>
      <c r="T59" s="92" t="str">
        <f>IF(INDEX($CK$4:$DO$123,ROW()-3,T$3)=0,"","СП")</f>
        <v/>
      </c>
      <c r="U59" s="92" t="str">
        <f>IF(INDEX($CK$4:$DO$123,ROW()-3,U$3)=0,"","СП")</f>
        <v/>
      </c>
      <c r="V59" s="92" t="str">
        <f>IF(INDEX($CK$4:$DO$123,ROW()-3,V$3)=0,"","СП")</f>
        <v/>
      </c>
      <c r="W59" s="92" t="str">
        <f>IF(INDEX($CK$4:$DO$123,ROW()-3,W$3)=0,"","СП")</f>
        <v/>
      </c>
      <c r="X59" s="92" t="str">
        <f>IF(INDEX($CK$4:$DO$123,ROW()-3,X$3)=0,"","СП")</f>
        <v/>
      </c>
      <c r="Y59" s="92" t="str">
        <f>IF(INDEX($CK$4:$DO$123,ROW()-3,Y$3)=0,"","СП")</f>
        <v/>
      </c>
      <c r="Z59" s="92" t="str">
        <f>IF(INDEX($CK$4:$DO$123,ROW()-3,Z$3)=0,"","СП")</f>
        <v/>
      </c>
      <c r="AA59" s="92" t="str">
        <f>IF(INDEX($CK$4:$DO$123,ROW()-3,AA$3)=0,"","СП")</f>
        <v/>
      </c>
      <c r="AB59" s="92" t="str">
        <f>IF(INDEX($CK$4:$DO$123,ROW()-3,AB$3)=0,"","СП")</f>
        <v/>
      </c>
      <c r="AC59" s="92" t="str">
        <f>IF(INDEX($CK$4:$DO$123,ROW()-3,AC$3)=0,"","СП")</f>
        <v/>
      </c>
      <c r="AD59" s="92" t="str">
        <f>IF(INDEX($CK$4:$DO$123,ROW()-3,AD$3)=0,"","СП")</f>
        <v/>
      </c>
      <c r="AE59" s="92" t="str">
        <f>IF(INDEX($CK$4:$DO$123,ROW()-3,AE$3)=0,"","СП")</f>
        <v/>
      </c>
      <c r="AF59" s="92" t="str">
        <f>IF(INDEX($CK$4:$DO$123,ROW()-3,AF$3)=0,"","СП")</f>
        <v/>
      </c>
      <c r="AG59" s="92" t="str">
        <f>IF(INDEX($CK$4:$DO$123,ROW()-3,AG$3)=0,"","СП")</f>
        <v/>
      </c>
      <c r="AH59" s="92" t="str">
        <f>IF(INDEX($CK$4:$DO$123,ROW()-3,AH$3)=0,"","СП")</f>
        <v/>
      </c>
      <c r="AI59" s="110"/>
      <c r="AJ59" s="206"/>
      <c r="AK59" s="177"/>
      <c r="AL59" s="177"/>
      <c r="AM59" s="177"/>
      <c r="AN59" s="198"/>
      <c r="AO59" s="198"/>
      <c r="AP59" s="198"/>
      <c r="AQ59" s="177"/>
      <c r="AR59" s="179"/>
      <c r="CK59" s="58">
        <f>IF(DAY(INDEX('Сводный годовой график'!$BA$4:$BL$14,$C58,MONTH($B$54)))=E$3,1,0)</f>
        <v>0</v>
      </c>
      <c r="CL59" s="58">
        <f>IF(DAY(INDEX('Сводный годовой график'!$BA$4:$BL$14,$C58,MONTH($B$54)))=F$3,1,0)</f>
        <v>0</v>
      </c>
      <c r="CM59" s="58">
        <f>IF(DAY(INDEX('Сводный годовой график'!$BA$4:$BL$14,$C58,MONTH($B$54)))=G$3,1,0)</f>
        <v>0</v>
      </c>
      <c r="CN59" s="58">
        <f>IF(DAY(INDEX('Сводный годовой график'!$BA$4:$BL$14,$C58,MONTH($B$54)))=H$3,1,0)</f>
        <v>0</v>
      </c>
      <c r="CO59" s="58">
        <f>IF(DAY(INDEX('Сводный годовой график'!$BA$4:$BL$14,$C58,MONTH($B$54)))=I$3,1,0)</f>
        <v>0</v>
      </c>
      <c r="CP59" s="58">
        <f>IF(DAY(INDEX('Сводный годовой график'!$BA$4:$BL$14,$C58,MONTH($B$54)))=J$3,1,0)</f>
        <v>0</v>
      </c>
      <c r="CQ59" s="58">
        <f>IF(DAY(INDEX('Сводный годовой график'!$BA$4:$BL$14,$C58,MONTH($B$54)))=K$3,1,0)</f>
        <v>0</v>
      </c>
      <c r="CR59" s="58">
        <f>IF(DAY(INDEX('Сводный годовой график'!$BA$4:$BL$14,$C58,MONTH($B$54)))=L$3,1,0)</f>
        <v>1</v>
      </c>
      <c r="CS59" s="58">
        <f>IF(DAY(INDEX('Сводный годовой график'!$BA$4:$BL$14,$C58,MONTH($B$54)))=M$3,1,0)</f>
        <v>0</v>
      </c>
      <c r="CT59" s="58">
        <f>IF(DAY(INDEX('Сводный годовой график'!$BA$4:$BL$14,$C58,MONTH($B$54)))=N$3,1,0)</f>
        <v>0</v>
      </c>
      <c r="CU59" s="58">
        <f>IF(DAY(INDEX('Сводный годовой график'!$BA$4:$BL$14,$C58,MONTH($B$54)))=O$3,1,0)</f>
        <v>0</v>
      </c>
      <c r="CV59" s="58">
        <f>IF(DAY(INDEX('Сводный годовой график'!$BA$4:$BL$14,$C58,MONTH($B$54)))=P$3,1,0)</f>
        <v>0</v>
      </c>
      <c r="CW59" s="58">
        <f>IF(DAY(INDEX('Сводный годовой график'!$BA$4:$BL$14,$C58,MONTH($B$54)))=Q$3,1,0)</f>
        <v>0</v>
      </c>
      <c r="CX59" s="58">
        <f>IF(DAY(INDEX('Сводный годовой график'!$BA$4:$BL$14,$C58,MONTH($B$54)))=R$3,1,0)</f>
        <v>0</v>
      </c>
      <c r="CY59" s="58">
        <f>IF(DAY(INDEX('Сводный годовой график'!$BA$4:$BL$14,$C58,MONTH($B$54)))=S$3,1,0)</f>
        <v>0</v>
      </c>
      <c r="CZ59" s="58">
        <f>IF(DAY(INDEX('Сводный годовой график'!$BA$4:$BL$14,$C58,MONTH($B$54)))=T$3,1,0)</f>
        <v>0</v>
      </c>
      <c r="DA59" s="58">
        <f>IF(DAY(INDEX('Сводный годовой график'!$BA$4:$BL$14,$C58,MONTH($B$54)))=U$3,1,0)</f>
        <v>0</v>
      </c>
      <c r="DB59" s="58">
        <f>IF(DAY(INDEX('Сводный годовой график'!$BA$4:$BL$14,$C58,MONTH($B$54)))=V$3,1,0)</f>
        <v>0</v>
      </c>
      <c r="DC59" s="58">
        <f>IF(DAY(INDEX('Сводный годовой график'!$BA$4:$BL$14,$C58,MONTH($B$54)))=W$3,1,0)</f>
        <v>0</v>
      </c>
      <c r="DD59" s="58">
        <f>IF(DAY(INDEX('Сводный годовой график'!$BA$4:$BL$14,$C58,MONTH($B$54)))=X$3,1,0)</f>
        <v>0</v>
      </c>
      <c r="DE59" s="58">
        <f>IF(DAY(INDEX('Сводный годовой график'!$BA$4:$BL$14,$C58,MONTH($B$54)))=Y$3,1,0)</f>
        <v>0</v>
      </c>
      <c r="DF59" s="58">
        <f>IF(DAY(INDEX('Сводный годовой график'!$BA$4:$BL$14,$C58,MONTH($B$54)))=Z$3,1,0)</f>
        <v>0</v>
      </c>
      <c r="DG59" s="58">
        <f>IF(DAY(INDEX('Сводный годовой график'!$BA$4:$BL$14,$C58,MONTH($B$54)))=AA$3,1,0)</f>
        <v>0</v>
      </c>
      <c r="DH59" s="58">
        <f>IF(DAY(INDEX('Сводный годовой график'!$BA$4:$BL$14,$C58,MONTH($B$54)))=AB$3,1,0)</f>
        <v>0</v>
      </c>
      <c r="DI59" s="58">
        <f>IF(DAY(INDEX('Сводный годовой график'!$BA$4:$BL$14,$C58,MONTH($B$54)))=AC$3,1,0)</f>
        <v>0</v>
      </c>
      <c r="DJ59" s="58">
        <f>IF(DAY(INDEX('Сводный годовой график'!$BA$4:$BL$14,$C58,MONTH($B$54)))=AD$3,1,0)</f>
        <v>0</v>
      </c>
      <c r="DK59" s="58">
        <f>IF(DAY(INDEX('Сводный годовой график'!$BA$4:$BL$14,$C58,MONTH($B$54)))=AE$3,1,0)</f>
        <v>0</v>
      </c>
      <c r="DL59" s="58">
        <f>IF(DAY(INDEX('Сводный годовой график'!$BA$4:$BL$14,$C58,MONTH($B$54)))=AF$3,1,0)</f>
        <v>0</v>
      </c>
      <c r="DM59" s="58">
        <f>IF(DAY(INDEX('Сводный годовой график'!$BA$4:$BL$14,$C58,MONTH($B$54)))=AG$3,1,0)</f>
        <v>0</v>
      </c>
      <c r="DN59" s="58">
        <f>IF(DAY(INDEX('Сводный годовой график'!$BA$4:$BL$14,$C58,MONTH($B$54)))=AH$3,1,0)</f>
        <v>0</v>
      </c>
      <c r="DO59" s="58">
        <f>IF(DAY(INDEX('Сводный годовой график'!$BA$4:$BL$14,$C58,MONTH($B$54)))=AI$3,1,0)</f>
        <v>0</v>
      </c>
    </row>
    <row r="60" spans="2:119" ht="16.5" thickBot="1" x14ac:dyDescent="0.3">
      <c r="B60" s="201"/>
      <c r="C60" s="196">
        <v>4</v>
      </c>
      <c r="D60" s="81">
        <v>7</v>
      </c>
      <c r="E60" s="96">
        <f ca="1">IF(AND(INDEX('Сводный годовой график'!$C$1:$AR$4,MATCH($C$60,'Сводный годовой график'!$B$1:$B$4),MATCH(DATE($AV$1,MONTH($B$54),E$3),'Сводный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график'!$B$1:$B$4),MATCH(DATE($AV$1,MONTH($B$54),E$3),'Сводный годовой график'!$C$10:$AR$10)))</f>
        <v>8</v>
      </c>
      <c r="F60" s="92">
        <f ca="1">IF(AND(INDEX('Сводный годовой график'!$C$1:$AR$4,MATCH($C$60,'Сводный годовой график'!$B$1:$B$4),MATCH(DATE($AV$1,MONTH($B$54),F$3),'Сводный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график'!$B$1:$B$4),MATCH(DATE($AV$1,MONTH($B$54),F$3),'Сводный годовой график'!$C$10:$AR$10)))</f>
        <v>12</v>
      </c>
      <c r="G60" s="92">
        <f ca="1">IF(AND(INDEX('Сводный годовой график'!$C$1:$AR$4,MATCH($C$60,'Сводный годовой график'!$B$1:$B$4),MATCH(DATE($AV$1,MONTH($B$54),G$3),'Сводный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график'!$B$1:$B$4),MATCH(DATE($AV$1,MONTH($B$54),G$3),'Сводный годовой график'!$C$10:$AR$10)))</f>
        <v>4</v>
      </c>
      <c r="H60" s="92">
        <f ca="1">IF(AND(INDEX('Сводный годовой график'!$C$1:$AR$4,MATCH($C$60,'Сводный годовой график'!$B$1:$B$4),MATCH(DATE($AV$1,MONTH($B$54),H$3),'Сводный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график'!$B$1:$B$4),MATCH(DATE($AV$1,MONTH($B$54),H$3),'Сводный годовой график'!$C$10:$AR$10)))</f>
        <v>8</v>
      </c>
      <c r="I60" s="92">
        <f ca="1">IF(AND(INDEX('Сводный годовой график'!$C$1:$AR$4,MATCH($C$60,'Сводный годовой график'!$B$1:$B$4),MATCH(DATE($AV$1,MONTH($B$54),I$3),'Сводный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график'!$B$1:$B$4),MATCH(DATE($AV$1,MONTH($B$54),I$3),'Сводный годовой график'!$C$10:$AR$10)))</f>
        <v>12</v>
      </c>
      <c r="J60" s="92">
        <f ca="1">IF(AND(INDEX('Сводный годовой график'!$C$1:$AR$4,MATCH($C$60,'Сводный годовой график'!$B$1:$B$4),MATCH(DATE($AV$1,MONTH($B$54),J$3),'Сводный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график'!$B$1:$B$4),MATCH(DATE($AV$1,MONTH($B$54),J$3),'Сводный годовой график'!$C$10:$AR$10)))</f>
        <v>0</v>
      </c>
      <c r="K60" s="92">
        <f ca="1">IF(AND(INDEX('Сводный годовой график'!$C$1:$AR$4,MATCH($C$60,'Сводный годовой график'!$B$1:$B$4),MATCH(DATE($AV$1,MONTH($B$54),K$3),'Сводный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график'!$B$1:$B$4),MATCH(DATE($AV$1,MONTH($B$54),K$3),'Сводный годовой график'!$C$10:$AR$10)))</f>
        <v>0</v>
      </c>
      <c r="L60" s="92">
        <f ca="1">IF(AND(INDEX('Сводный годовой график'!$C$1:$AR$4,MATCH($C$60,'Сводный годовой график'!$B$1:$B$4),MATCH(DATE($AV$1,MONTH($B$54),L$3),'Сводный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график'!$B$1:$B$4),MATCH(DATE($AV$1,MONTH($B$54),L$3),'Сводный годовой график'!$C$10:$AR$10)))</f>
        <v>4</v>
      </c>
      <c r="M60" s="92">
        <f ca="1">IF(AND(INDEX('Сводный годовой график'!$C$1:$AR$4,MATCH($C$60,'Сводный годовой график'!$B$1:$B$4),MATCH(DATE($AV$1,MONTH($B$54),M$3),'Сводный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график'!$B$1:$B$4),MATCH(DATE($AV$1,MONTH($B$54),M$3),'Сводный годовой график'!$C$10:$AR$10)))</f>
        <v>8</v>
      </c>
      <c r="N60" s="92">
        <f ca="1">IF(AND(INDEX('Сводный годовой график'!$C$1:$AR$4,MATCH($C$60,'Сводный годовой график'!$B$1:$B$4),MATCH(DATE($AV$1,MONTH($B$54),N$3),'Сводный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график'!$B$1:$B$4),MATCH(DATE($AV$1,MONTH($B$54),N$3),'Сводный годовой график'!$C$10:$AR$10)))</f>
        <v>12</v>
      </c>
      <c r="O60" s="92">
        <f ca="1">IF(AND(INDEX('Сводный годовой график'!$C$1:$AR$4,MATCH($C$60,'Сводный годовой график'!$B$1:$B$4),MATCH(DATE($AV$1,MONTH($B$54),O$3),'Сводный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график'!$B$1:$B$4),MATCH(DATE($AV$1,MONTH($B$54),O$3),'Сводный годовой график'!$C$10:$AR$10)))</f>
        <v>4</v>
      </c>
      <c r="P60" s="92">
        <f ca="1">IF(AND(INDEX('Сводный годовой график'!$C$1:$AR$4,MATCH($C$60,'Сводный годовой график'!$B$1:$B$4),MATCH(DATE($AV$1,MONTH($B$54),P$3),'Сводный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график'!$B$1:$B$4),MATCH(DATE($AV$1,MONTH($B$54),P$3),'Сводный годовой график'!$C$10:$AR$10)))</f>
        <v>8</v>
      </c>
      <c r="Q60" s="92">
        <f ca="1">IF(AND(INDEX('Сводный годовой график'!$C$1:$AR$4,MATCH($C$60,'Сводный годовой график'!$B$1:$B$4),MATCH(DATE($AV$1,MONTH($B$54),Q$3),'Сводный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график'!$B$1:$B$4),MATCH(DATE($AV$1,MONTH($B$54),Q$3),'Сводный годовой график'!$C$10:$AR$10)))</f>
        <v>12</v>
      </c>
      <c r="R60" s="92">
        <f ca="1">IF(AND(INDEX('Сводный годовой график'!$C$1:$AR$4,MATCH($C$60,'Сводный годовой график'!$B$1:$B$4),MATCH(DATE($AV$1,MONTH($B$54),R$3),'Сводный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график'!$B$1:$B$4),MATCH(DATE($AV$1,MONTH($B$54),R$3),'Сводный годовой график'!$C$10:$AR$10)))</f>
        <v>0</v>
      </c>
      <c r="S60" s="92">
        <f ca="1">IF(AND(INDEX('Сводный годовой график'!$C$1:$AR$4,MATCH($C$60,'Сводный годовой график'!$B$1:$B$4),MATCH(DATE($AV$1,MONTH($B$54),S$3),'Сводный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график'!$B$1:$B$4),MATCH(DATE($AV$1,MONTH($B$54),S$3),'Сводный годовой график'!$C$10:$AR$10)))</f>
        <v>0</v>
      </c>
      <c r="T60" s="92">
        <f ca="1">IF(AND(INDEX('Сводный годовой график'!$C$1:$AR$4,MATCH($C$60,'Сводный годовой график'!$B$1:$B$4),MATCH(DATE($AV$1,MONTH($B$54),T$3),'Сводный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график'!$B$1:$B$4),MATCH(DATE($AV$1,MONTH($B$54),T$3),'Сводный годовой график'!$C$10:$AR$10)))</f>
        <v>4</v>
      </c>
      <c r="U60" s="92">
        <f ca="1">IF(AND(INDEX('Сводный годовой график'!$C$1:$AR$4,MATCH($C$60,'Сводный годовой график'!$B$1:$B$4),MATCH(DATE($AV$1,MONTH($B$54),U$3),'Сводный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график'!$B$1:$B$4),MATCH(DATE($AV$1,MONTH($B$54),U$3),'Сводный годовой график'!$C$10:$AR$10)))</f>
        <v>8</v>
      </c>
      <c r="V60" s="92">
        <f ca="1">IF(AND(INDEX('Сводный годовой график'!$C$1:$AR$4,MATCH($C$60,'Сводный годовой график'!$B$1:$B$4),MATCH(DATE($AV$1,MONTH($B$54),V$3),'Сводный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график'!$B$1:$B$4),MATCH(DATE($AV$1,MONTH($B$54),V$3),'Сводный годовой график'!$C$10:$AR$10)))</f>
        <v>12</v>
      </c>
      <c r="W60" s="92">
        <f ca="1">IF(AND(INDEX('Сводный годовой график'!$C$1:$AR$4,MATCH($C$60,'Сводный годовой график'!$B$1:$B$4),MATCH(DATE($AV$1,MONTH($B$54),W$3),'Сводный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график'!$B$1:$B$4),MATCH(DATE($AV$1,MONTH($B$54),W$3),'Сводный годовой график'!$C$10:$AR$10)))</f>
        <v>4</v>
      </c>
      <c r="X60" s="92">
        <f ca="1">IF(AND(INDEX('Сводный годовой график'!$C$1:$AR$4,MATCH($C$60,'Сводный годовой график'!$B$1:$B$4),MATCH(DATE($AV$1,MONTH($B$54),X$3),'Сводный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график'!$B$1:$B$4),MATCH(DATE($AV$1,MONTH($B$54),X$3),'Сводный годовой график'!$C$10:$AR$10)))</f>
        <v>8</v>
      </c>
      <c r="Y60" s="92">
        <f ca="1">IF(AND(INDEX('Сводный годовой график'!$C$1:$AR$4,MATCH($C$60,'Сводный годовой график'!$B$1:$B$4),MATCH(DATE($AV$1,MONTH($B$54),Y$3),'Сводный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график'!$B$1:$B$4),MATCH(DATE($AV$1,MONTH($B$54),Y$3),'Сводный годовой график'!$C$10:$AR$10)))</f>
        <v>12</v>
      </c>
      <c r="Z60" s="92">
        <f ca="1">IF(AND(INDEX('Сводный годовой график'!$C$1:$AR$4,MATCH($C$60,'Сводный годовой график'!$B$1:$B$4),MATCH(DATE($AV$1,MONTH($B$54),Z$3),'Сводный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график'!$B$1:$B$4),MATCH(DATE($AV$1,MONTH($B$54),Z$3),'Сводный годовой график'!$C$10:$AR$10)))</f>
        <v>0</v>
      </c>
      <c r="AA60" s="92">
        <f ca="1">IF(AND(INDEX('Сводный годовой график'!$C$1:$AR$4,MATCH($C$60,'Сводный годовой график'!$B$1:$B$4),MATCH(DATE($AV$1,MONTH($B$54),AA$3),'Сводный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график'!$B$1:$B$4),MATCH(DATE($AV$1,MONTH($B$54),AA$3),'Сводный годовой график'!$C$10:$AR$10)))</f>
        <v>0</v>
      </c>
      <c r="AB60" s="92">
        <f ca="1">IF(AND(INDEX('Сводный годовой график'!$C$1:$AR$4,MATCH($C$60,'Сводный годовой график'!$B$1:$B$4),MATCH(DATE($AV$1,MONTH($B$54),AB$3),'Сводный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график'!$B$1:$B$4),MATCH(DATE($AV$1,MONTH($B$54),AB$3),'Сводный годовой график'!$C$10:$AR$10)))</f>
        <v>4</v>
      </c>
      <c r="AC60" s="92">
        <f ca="1">IF(AND(INDEX('Сводный годовой график'!$C$1:$AR$4,MATCH($C$60,'Сводный годовой график'!$B$1:$B$4),MATCH(DATE($AV$1,MONTH($B$54),AC$3),'Сводный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график'!$B$1:$B$4),MATCH(DATE($AV$1,MONTH($B$54),AC$3),'Сводный годовой график'!$C$10:$AR$10)))</f>
        <v>8</v>
      </c>
      <c r="AD60" s="92">
        <f ca="1">IF(AND(INDEX('Сводный годовой график'!$C$1:$AR$4,MATCH($C$60,'Сводный годовой график'!$B$1:$B$4),MATCH(DATE($AV$1,MONTH($B$54),AD$3),'Сводный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график'!$B$1:$B$4),MATCH(DATE($AV$1,MONTH($B$54),AD$3),'Сводный годовой график'!$C$10:$AR$10)))</f>
        <v>12</v>
      </c>
      <c r="AE60" s="92">
        <f ca="1">IF(AND(INDEX('Сводный годовой график'!$C$1:$AR$4,MATCH($C$60,'Сводный годовой график'!$B$1:$B$4),MATCH(DATE($AV$1,MONTH($B$54),AE$3),'Сводный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график'!$B$1:$B$4),MATCH(DATE($AV$1,MONTH($B$54),AE$3),'Сводный годовой график'!$C$10:$AR$10)))</f>
        <v>4</v>
      </c>
      <c r="AF60" s="92">
        <f ca="1">IF(AND(INDEX('Сводный годовой график'!$C$1:$AR$4,MATCH($C$60,'Сводный годовой график'!$B$1:$B$4),MATCH(DATE($AV$1,MONTH($B$54),AF$3),'Сводный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график'!$B$1:$B$4),MATCH(DATE($AV$1,MONTH($B$54),AF$3),'Сводный годовой график'!$C$10:$AR$10)))</f>
        <v>8</v>
      </c>
      <c r="AG60" s="92">
        <f ca="1">IF(AND(INDEX('Сводный годовой график'!$C$1:$AR$4,MATCH($C$60,'Сводный годовой график'!$B$1:$B$4),MATCH(DATE($AV$1,MONTH($B$54),AG$3),'Сводный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график'!$B$1:$B$4),MATCH(DATE($AV$1,MONTH($B$54),AG$3),'Сводный годовой график'!$C$10:$AR$10)))</f>
        <v>12</v>
      </c>
      <c r="AH60" s="92">
        <f ca="1">IF(AND(INDEX('Сводный годовой график'!$C$1:$AR$4,MATCH($C$60,'Сводный годовой график'!$B$1:$B$4),MATCH(DATE($AV$1,MONTH($B$54),AH$3),'Сводный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график'!$B$1:$B$4),MATCH(DATE($AV$1,MONTH($B$54),AH$3),'Сводный годовой график'!$C$10:$AR$10)))</f>
        <v>0</v>
      </c>
      <c r="AI60" s="110"/>
      <c r="AJ60" s="206"/>
      <c r="AK60" s="177">
        <f>$AJ$54-SUM(AY60:CC61)</f>
        <v>151</v>
      </c>
      <c r="AL60" s="177">
        <f t="shared" ref="AL60" ca="1" si="74">SUM(E60:AI61)</f>
        <v>188</v>
      </c>
      <c r="AM60" s="177">
        <f ca="1">SUM(P60)</f>
        <v>8</v>
      </c>
      <c r="AN60" s="198">
        <f t="shared" ref="AN60" ca="1" si="75">-AM60-AK60+AL60</f>
        <v>29</v>
      </c>
      <c r="AO60" s="198">
        <v>0</v>
      </c>
      <c r="AP60" s="198">
        <f t="shared" ref="AP60" ca="1" si="76">AN60+AP50</f>
        <v>71</v>
      </c>
      <c r="AQ60" s="177">
        <v>29</v>
      </c>
      <c r="AR60" s="179">
        <v>0</v>
      </c>
      <c r="CK60" s="59"/>
      <c r="CL60" s="59"/>
      <c r="CM60" s="59"/>
      <c r="CN60" s="59"/>
      <c r="CO60" s="59"/>
      <c r="CP60" s="59"/>
      <c r="CQ60" s="59"/>
      <c r="CR60" s="59"/>
      <c r="CS60" s="59"/>
      <c r="CT60" s="59"/>
      <c r="CU60" s="59"/>
      <c r="CV60" s="59"/>
      <c r="CW60" s="59"/>
      <c r="CX60" s="59"/>
      <c r="CY60" s="59"/>
      <c r="CZ60" s="59"/>
      <c r="DA60" s="59"/>
      <c r="DB60" s="59"/>
      <c r="DC60" s="59"/>
      <c r="DD60" s="59"/>
      <c r="DE60" s="59"/>
      <c r="DF60" s="59"/>
      <c r="DG60" s="59"/>
      <c r="DH60" s="59"/>
      <c r="DI60" s="59"/>
      <c r="DJ60" s="59"/>
      <c r="DK60" s="59"/>
      <c r="DL60" s="59"/>
      <c r="DM60" s="59"/>
      <c r="DN60" s="59"/>
      <c r="DO60" s="59"/>
    </row>
    <row r="61" spans="2:119" ht="16.5" thickBot="1" x14ac:dyDescent="0.3">
      <c r="B61" s="201"/>
      <c r="C61" s="197"/>
      <c r="D61" s="82">
        <v>8</v>
      </c>
      <c r="E61" s="96" t="str">
        <f>IF(INDEX($CK$4:$DO$123,ROW()-3,E$3)=0,"","СП")</f>
        <v/>
      </c>
      <c r="F61" s="92" t="str">
        <f>IF(INDEX($CK$4:$DO$123,ROW()-3,F$3)=0,"","СП")</f>
        <v/>
      </c>
      <c r="G61" s="92" t="str">
        <f>IF(INDEX($CK$4:$DO$123,ROW()-3,G$3)=0,"","СП")</f>
        <v/>
      </c>
      <c r="H61" s="92" t="str">
        <f>IF(INDEX($CK$4:$DO$123,ROW()-3,H$3)=0,"","СП")</f>
        <v/>
      </c>
      <c r="I61" s="92" t="str">
        <f>IF(INDEX($CK$4:$DO$123,ROW()-3,I$3)=0,"","СП")</f>
        <v/>
      </c>
      <c r="J61" s="92" t="str">
        <f>IF(INDEX($CK$4:$DO$123,ROW()-3,J$3)=0,"","СП")</f>
        <v/>
      </c>
      <c r="K61" s="92" t="str">
        <f>IF(INDEX($CK$4:$DO$123,ROW()-3,K$3)=0,"","СП")</f>
        <v/>
      </c>
      <c r="L61" s="92" t="str">
        <f>IF(INDEX($CK$4:$DO$123,ROW()-3,L$3)=0,"","СП")</f>
        <v/>
      </c>
      <c r="M61" s="92" t="str">
        <f>IF(INDEX($CK$4:$DO$123,ROW()-3,M$3)=0,"","СП")</f>
        <v>СП</v>
      </c>
      <c r="N61" s="92" t="str">
        <f>IF(INDEX($CK$4:$DO$123,ROW()-3,N$3)=0,"","СП")</f>
        <v/>
      </c>
      <c r="O61" s="92" t="str">
        <f>IF(INDEX($CK$4:$DO$123,ROW()-3,O$3)=0,"","СП")</f>
        <v/>
      </c>
      <c r="P61" s="92" t="str">
        <f>IF(INDEX($CK$4:$DO$123,ROW()-3,P$3)=0,"","СП")</f>
        <v/>
      </c>
      <c r="Q61" s="92" t="str">
        <f>IF(INDEX($CK$4:$DO$123,ROW()-3,Q$3)=0,"","СП")</f>
        <v/>
      </c>
      <c r="R61" s="92" t="str">
        <f>IF(INDEX($CK$4:$DO$123,ROW()-3,R$3)=0,"","СП")</f>
        <v/>
      </c>
      <c r="S61" s="92" t="str">
        <f>IF(INDEX($CK$4:$DO$123,ROW()-3,S$3)=0,"","СП")</f>
        <v/>
      </c>
      <c r="T61" s="92" t="str">
        <f>IF(INDEX($CK$4:$DO$123,ROW()-3,T$3)=0,"","СП")</f>
        <v/>
      </c>
      <c r="U61" s="92" t="str">
        <f>IF(INDEX($CK$4:$DO$123,ROW()-3,U$3)=0,"","СП")</f>
        <v/>
      </c>
      <c r="V61" s="92" t="str">
        <f>IF(INDEX($CK$4:$DO$123,ROW()-3,V$3)=0,"","СП")</f>
        <v/>
      </c>
      <c r="W61" s="92" t="str">
        <f>IF(INDEX($CK$4:$DO$123,ROW()-3,W$3)=0,"","СП")</f>
        <v/>
      </c>
      <c r="X61" s="92" t="str">
        <f>IF(INDEX($CK$4:$DO$123,ROW()-3,X$3)=0,"","СП")</f>
        <v/>
      </c>
      <c r="Y61" s="92" t="str">
        <f>IF(INDEX($CK$4:$DO$123,ROW()-3,Y$3)=0,"","СП")</f>
        <v/>
      </c>
      <c r="Z61" s="92" t="str">
        <f>IF(INDEX($CK$4:$DO$123,ROW()-3,Z$3)=0,"","СП")</f>
        <v/>
      </c>
      <c r="AA61" s="92" t="str">
        <f>IF(INDEX($CK$4:$DO$123,ROW()-3,AA$3)=0,"","СП")</f>
        <v/>
      </c>
      <c r="AB61" s="92" t="str">
        <f>IF(INDEX($CK$4:$DO$123,ROW()-3,AB$3)=0,"","СП")</f>
        <v/>
      </c>
      <c r="AC61" s="92" t="str">
        <f>IF(INDEX($CK$4:$DO$123,ROW()-3,AC$3)=0,"","СП")</f>
        <v/>
      </c>
      <c r="AD61" s="92" t="str">
        <f>IF(INDEX($CK$4:$DO$123,ROW()-3,AD$3)=0,"","СП")</f>
        <v/>
      </c>
      <c r="AE61" s="92" t="str">
        <f>IF(INDEX($CK$4:$DO$123,ROW()-3,AE$3)=0,"","СП")</f>
        <v/>
      </c>
      <c r="AF61" s="92" t="str">
        <f>IF(INDEX($CK$4:$DO$123,ROW()-3,AF$3)=0,"","СП")</f>
        <v/>
      </c>
      <c r="AG61" s="92" t="str">
        <f>IF(INDEX($CK$4:$DO$123,ROW()-3,AG$3)=0,"","СП")</f>
        <v/>
      </c>
      <c r="AH61" s="92" t="str">
        <f>IF(INDEX($CK$4:$DO$123,ROW()-3,AH$3)=0,"","СП")</f>
        <v/>
      </c>
      <c r="AI61" s="110"/>
      <c r="AJ61" s="206"/>
      <c r="AK61" s="177"/>
      <c r="AL61" s="177"/>
      <c r="AM61" s="177"/>
      <c r="AN61" s="198"/>
      <c r="AO61" s="198"/>
      <c r="AP61" s="198"/>
      <c r="AQ61" s="177"/>
      <c r="AR61" s="179"/>
      <c r="CK61" s="58">
        <f>IF(DAY(INDEX('Сводный годовой график'!$BA$4:$BL$14,$C60,MONTH($B$54)))=E$3,1,0)</f>
        <v>0</v>
      </c>
      <c r="CL61" s="58">
        <f>IF(DAY(INDEX('Сводный годовой график'!$BA$4:$BL$14,$C60,MONTH($B$54)))=F$3,1,0)</f>
        <v>0</v>
      </c>
      <c r="CM61" s="58">
        <f>IF(DAY(INDEX('Сводный годовой график'!$BA$4:$BL$14,$C60,MONTH($B$54)))=G$3,1,0)</f>
        <v>0</v>
      </c>
      <c r="CN61" s="58">
        <f>IF(DAY(INDEX('Сводный годовой график'!$BA$4:$BL$14,$C60,MONTH($B$54)))=H$3,1,0)</f>
        <v>0</v>
      </c>
      <c r="CO61" s="58">
        <f>IF(DAY(INDEX('Сводный годовой график'!$BA$4:$BL$14,$C60,MONTH($B$54)))=I$3,1,0)</f>
        <v>0</v>
      </c>
      <c r="CP61" s="58">
        <f>IF(DAY(INDEX('Сводный годовой график'!$BA$4:$BL$14,$C60,MONTH($B$54)))=J$3,1,0)</f>
        <v>0</v>
      </c>
      <c r="CQ61" s="58">
        <f>IF(DAY(INDEX('Сводный годовой график'!$BA$4:$BL$14,$C60,MONTH($B$54)))=K$3,1,0)</f>
        <v>0</v>
      </c>
      <c r="CR61" s="58">
        <f>IF(DAY(INDEX('Сводный годовой график'!$BA$4:$BL$14,$C60,MONTH($B$54)))=L$3,1,0)</f>
        <v>0</v>
      </c>
      <c r="CS61" s="58">
        <f>IF(DAY(INDEX('Сводный годовой график'!$BA$4:$BL$14,$C60,MONTH($B$54)))=M$3,1,0)</f>
        <v>1</v>
      </c>
      <c r="CT61" s="58">
        <f>IF(DAY(INDEX('Сводный годовой график'!$BA$4:$BL$14,$C60,MONTH($B$54)))=N$3,1,0)</f>
        <v>0</v>
      </c>
      <c r="CU61" s="58">
        <f>IF(DAY(INDEX('Сводный годовой график'!$BA$4:$BL$14,$C60,MONTH($B$54)))=O$3,1,0)</f>
        <v>0</v>
      </c>
      <c r="CV61" s="58">
        <f>IF(DAY(INDEX('Сводный годовой график'!$BA$4:$BL$14,$C60,MONTH($B$54)))=P$3,1,0)</f>
        <v>0</v>
      </c>
      <c r="CW61" s="58">
        <f>IF(DAY(INDEX('Сводный годовой график'!$BA$4:$BL$14,$C60,MONTH($B$54)))=Q$3,1,0)</f>
        <v>0</v>
      </c>
      <c r="CX61" s="58">
        <f>IF(DAY(INDEX('Сводный годовой график'!$BA$4:$BL$14,$C60,MONTH($B$54)))=R$3,1,0)</f>
        <v>0</v>
      </c>
      <c r="CY61" s="58">
        <f>IF(DAY(INDEX('Сводный годовой график'!$BA$4:$BL$14,$C60,MONTH($B$54)))=S$3,1,0)</f>
        <v>0</v>
      </c>
      <c r="CZ61" s="58">
        <f>IF(DAY(INDEX('Сводный годовой график'!$BA$4:$BL$14,$C60,MONTH($B$54)))=T$3,1,0)</f>
        <v>0</v>
      </c>
      <c r="DA61" s="58">
        <f>IF(DAY(INDEX('Сводный годовой график'!$BA$4:$BL$14,$C60,MONTH($B$54)))=U$3,1,0)</f>
        <v>0</v>
      </c>
      <c r="DB61" s="58">
        <f>IF(DAY(INDEX('Сводный годовой график'!$BA$4:$BL$14,$C60,MONTH($B$54)))=V$3,1,0)</f>
        <v>0</v>
      </c>
      <c r="DC61" s="58">
        <f>IF(DAY(INDEX('Сводный годовой график'!$BA$4:$BL$14,$C60,MONTH($B$54)))=W$3,1,0)</f>
        <v>0</v>
      </c>
      <c r="DD61" s="58">
        <f>IF(DAY(INDEX('Сводный годовой график'!$BA$4:$BL$14,$C60,MONTH($B$54)))=X$3,1,0)</f>
        <v>0</v>
      </c>
      <c r="DE61" s="58">
        <f>IF(DAY(INDEX('Сводный годовой график'!$BA$4:$BL$14,$C60,MONTH($B$54)))=Y$3,1,0)</f>
        <v>0</v>
      </c>
      <c r="DF61" s="58">
        <f>IF(DAY(INDEX('Сводный годовой график'!$BA$4:$BL$14,$C60,MONTH($B$54)))=Z$3,1,0)</f>
        <v>0</v>
      </c>
      <c r="DG61" s="58">
        <f>IF(DAY(INDEX('Сводный годовой график'!$BA$4:$BL$14,$C60,MONTH($B$54)))=AA$3,1,0)</f>
        <v>0</v>
      </c>
      <c r="DH61" s="58">
        <f>IF(DAY(INDEX('Сводный годовой график'!$BA$4:$BL$14,$C60,MONTH($B$54)))=AB$3,1,0)</f>
        <v>0</v>
      </c>
      <c r="DI61" s="58">
        <f>IF(DAY(INDEX('Сводный годовой график'!$BA$4:$BL$14,$C60,MONTH($B$54)))=AC$3,1,0)</f>
        <v>0</v>
      </c>
      <c r="DJ61" s="58">
        <f>IF(DAY(INDEX('Сводный годовой график'!$BA$4:$BL$14,$C60,MONTH($B$54)))=AD$3,1,0)</f>
        <v>0</v>
      </c>
      <c r="DK61" s="58">
        <f>IF(DAY(INDEX('Сводный годовой график'!$BA$4:$BL$14,$C60,MONTH($B$54)))=AE$3,1,0)</f>
        <v>0</v>
      </c>
      <c r="DL61" s="58">
        <f>IF(DAY(INDEX('Сводный годовой график'!$BA$4:$BL$14,$C60,MONTH($B$54)))=AF$3,1,0)</f>
        <v>0</v>
      </c>
      <c r="DM61" s="58">
        <f>IF(DAY(INDEX('Сводный годовой график'!$BA$4:$BL$14,$C60,MONTH($B$54)))=AG$3,1,0)</f>
        <v>0</v>
      </c>
      <c r="DN61" s="58">
        <f>IF(DAY(INDEX('Сводный годовой график'!$BA$4:$BL$14,$C60,MONTH($B$54)))=AH$3,1,0)</f>
        <v>0</v>
      </c>
      <c r="DO61" s="58">
        <f>IF(DAY(INDEX('Сводный годовой график'!$BA$4:$BL$14,$C60,MONTH($B$54)))=AI$3,1,0)</f>
        <v>0</v>
      </c>
    </row>
    <row r="62" spans="2:119" ht="16.5" thickBot="1" x14ac:dyDescent="0.3">
      <c r="B62" s="201"/>
      <c r="C62" s="196">
        <v>5</v>
      </c>
      <c r="D62" s="81">
        <v>9</v>
      </c>
      <c r="E62" s="96" t="s">
        <v>36</v>
      </c>
      <c r="F62" s="92" t="s">
        <v>36</v>
      </c>
      <c r="G62" s="92" t="s">
        <v>36</v>
      </c>
      <c r="H62" s="92" t="s">
        <v>36</v>
      </c>
      <c r="I62" s="92" t="s">
        <v>36</v>
      </c>
      <c r="J62" s="92" t="s">
        <v>36</v>
      </c>
      <c r="K62" s="92" t="s">
        <v>36</v>
      </c>
      <c r="L62" s="92" t="s">
        <v>36</v>
      </c>
      <c r="M62" s="92" t="s">
        <v>36</v>
      </c>
      <c r="N62" s="92" t="s">
        <v>36</v>
      </c>
      <c r="O62" s="92" t="s">
        <v>36</v>
      </c>
      <c r="P62" s="92" t="s">
        <v>36</v>
      </c>
      <c r="Q62" s="92" t="s">
        <v>36</v>
      </c>
      <c r="R62" s="92" t="s">
        <v>36</v>
      </c>
      <c r="S62" s="92" t="s">
        <v>36</v>
      </c>
      <c r="T62" s="92" t="s">
        <v>36</v>
      </c>
      <c r="U62" s="92" t="s">
        <v>36</v>
      </c>
      <c r="V62" s="92" t="s">
        <v>36</v>
      </c>
      <c r="W62" s="92" t="s">
        <v>36</v>
      </c>
      <c r="X62" s="92" t="s">
        <v>36</v>
      </c>
      <c r="Y62" s="92" t="s">
        <v>36</v>
      </c>
      <c r="Z62" s="92" t="s">
        <v>36</v>
      </c>
      <c r="AA62" s="92" t="s">
        <v>36</v>
      </c>
      <c r="AB62" s="92" t="s">
        <v>36</v>
      </c>
      <c r="AC62" s="92" t="s">
        <v>36</v>
      </c>
      <c r="AD62" s="92" t="s">
        <v>36</v>
      </c>
      <c r="AE62" s="92" t="s">
        <v>36</v>
      </c>
      <c r="AF62" s="92" t="s">
        <v>36</v>
      </c>
      <c r="AG62" s="92" t="s">
        <v>36</v>
      </c>
      <c r="AH62" s="92" t="s">
        <v>36</v>
      </c>
      <c r="AI62" s="110"/>
      <c r="AJ62" s="206"/>
      <c r="AK62" s="177">
        <f>$AJ$54-SUM(AY62:CC63)</f>
        <v>151</v>
      </c>
      <c r="AL62" s="177">
        <f t="shared" ref="AL62" si="77">SUM(E62:AI63)</f>
        <v>0</v>
      </c>
      <c r="AM62" s="177">
        <f>SUM(P62)</f>
        <v>0</v>
      </c>
      <c r="AN62" s="198">
        <f t="shared" ref="AN62" si="78">-AM62-AK62+AL62</f>
        <v>-151</v>
      </c>
      <c r="AO62" s="198">
        <v>0</v>
      </c>
      <c r="AP62" s="198">
        <f t="shared" ref="AP62" si="79">AN62+AP52</f>
        <v>-957</v>
      </c>
      <c r="AQ62" s="177">
        <v>0</v>
      </c>
      <c r="AR62" s="179">
        <v>1</v>
      </c>
      <c r="CK62" s="59"/>
      <c r="CL62" s="59"/>
      <c r="CM62" s="59"/>
      <c r="CN62" s="59"/>
      <c r="CO62" s="59"/>
      <c r="CP62" s="59"/>
      <c r="CQ62" s="59"/>
      <c r="CR62" s="59"/>
      <c r="CS62" s="59"/>
      <c r="CT62" s="59"/>
      <c r="CU62" s="59"/>
      <c r="CV62" s="59"/>
      <c r="CW62" s="59"/>
      <c r="CX62" s="59"/>
      <c r="CY62" s="59"/>
      <c r="CZ62" s="59"/>
      <c r="DA62" s="59"/>
      <c r="DB62" s="59"/>
      <c r="DC62" s="59"/>
      <c r="DD62" s="59"/>
      <c r="DE62" s="59"/>
      <c r="DF62" s="59"/>
      <c r="DG62" s="59"/>
      <c r="DH62" s="59"/>
      <c r="DI62" s="59"/>
      <c r="DJ62" s="59"/>
      <c r="DK62" s="59"/>
      <c r="DL62" s="59"/>
      <c r="DM62" s="59"/>
      <c r="DN62" s="59"/>
      <c r="DO62" s="59"/>
    </row>
    <row r="63" spans="2:119" ht="16.5" thickBot="1" x14ac:dyDescent="0.3">
      <c r="B63" s="202"/>
      <c r="C63" s="197"/>
      <c r="D63" s="82">
        <v>10</v>
      </c>
      <c r="E63" s="84" t="str">
        <f>IF(INDEX($CK$4:$DO$123,ROW()-3,E$3)=0,"","СП")</f>
        <v/>
      </c>
      <c r="F63" s="29" t="str">
        <f>IF(INDEX($CK$4:$DO$123,ROW()-3,F$3)=0,"","СП")</f>
        <v/>
      </c>
      <c r="G63" s="29" t="str">
        <f>IF(INDEX($CK$4:$DO$123,ROW()-3,G$3)=0,"","СП")</f>
        <v/>
      </c>
      <c r="H63" s="29" t="str">
        <f>IF(INDEX($CK$4:$DO$123,ROW()-3,H$3)=0,"","СП")</f>
        <v/>
      </c>
      <c r="I63" s="29" t="str">
        <f>IF(INDEX($CK$4:$DO$123,ROW()-3,I$3)=0,"","СП")</f>
        <v/>
      </c>
      <c r="J63" s="29" t="str">
        <f>IF(INDEX($CK$4:$DO$123,ROW()-3,J$3)=0,"","СП")</f>
        <v/>
      </c>
      <c r="K63" s="29" t="str">
        <f>IF(INDEX($CK$4:$DO$123,ROW()-3,K$3)=0,"","СП")</f>
        <v/>
      </c>
      <c r="L63" s="29" t="str">
        <f>IF(INDEX($CK$4:$DO$123,ROW()-3,L$3)=0,"","СП")</f>
        <v/>
      </c>
      <c r="M63" s="29" t="str">
        <f>IF(INDEX($CK$4:$DO$123,ROW()-3,M$3)=0,"","СП")</f>
        <v/>
      </c>
      <c r="N63" s="29" t="str">
        <f>IF(INDEX($CK$4:$DO$123,ROW()-3,N$3)=0,"","СП")</f>
        <v>СП</v>
      </c>
      <c r="O63" s="29" t="str">
        <f>IF(INDEX($CK$4:$DO$123,ROW()-3,O$3)=0,"","СП")</f>
        <v/>
      </c>
      <c r="P63" s="29" t="str">
        <f>IF(INDEX($CK$4:$DO$123,ROW()-3,P$3)=0,"","СП")</f>
        <v/>
      </c>
      <c r="Q63" s="29" t="str">
        <f>IF(INDEX($CK$4:$DO$123,ROW()-3,Q$3)=0,"","СП")</f>
        <v/>
      </c>
      <c r="R63" s="29" t="str">
        <f>IF(INDEX($CK$4:$DO$123,ROW()-3,R$3)=0,"","СП")</f>
        <v/>
      </c>
      <c r="S63" s="29" t="str">
        <f>IF(INDEX($CK$4:$DO$123,ROW()-3,S$3)=0,"","СП")</f>
        <v/>
      </c>
      <c r="T63" s="29" t="str">
        <f>IF(INDEX($CK$4:$DO$123,ROW()-3,T$3)=0,"","СП")</f>
        <v/>
      </c>
      <c r="U63" s="29" t="str">
        <f>IF(INDEX($CK$4:$DO$123,ROW()-3,U$3)=0,"","СП")</f>
        <v/>
      </c>
      <c r="V63" s="29" t="str">
        <f>IF(INDEX($CK$4:$DO$123,ROW()-3,V$3)=0,"","СП")</f>
        <v/>
      </c>
      <c r="W63" s="29" t="str">
        <f>IF(INDEX($CK$4:$DO$123,ROW()-3,W$3)=0,"","СП")</f>
        <v/>
      </c>
      <c r="X63" s="29" t="str">
        <f>IF(INDEX($CK$4:$DO$123,ROW()-3,X$3)=0,"","СП")</f>
        <v/>
      </c>
      <c r="Y63" s="29" t="str">
        <f>IF(INDEX($CK$4:$DO$123,ROW()-3,Y$3)=0,"","СП")</f>
        <v/>
      </c>
      <c r="Z63" s="29" t="str">
        <f>IF(INDEX($CK$4:$DO$123,ROW()-3,Z$3)=0,"","СП")</f>
        <v/>
      </c>
      <c r="AA63" s="29" t="str">
        <f>IF(INDEX($CK$4:$DO$123,ROW()-3,AA$3)=0,"","СП")</f>
        <v/>
      </c>
      <c r="AB63" s="29" t="str">
        <f>IF(INDEX($CK$4:$DO$123,ROW()-3,AB$3)=0,"","СП")</f>
        <v/>
      </c>
      <c r="AC63" s="29" t="str">
        <f>IF(INDEX($CK$4:$DO$123,ROW()-3,AC$3)=0,"","СП")</f>
        <v/>
      </c>
      <c r="AD63" s="29" t="str">
        <f>IF(INDEX($CK$4:$DO$123,ROW()-3,AD$3)=0,"","СП")</f>
        <v/>
      </c>
      <c r="AE63" s="29" t="str">
        <f>IF(INDEX($CK$4:$DO$123,ROW()-3,AE$3)=0,"","СП")</f>
        <v/>
      </c>
      <c r="AF63" s="29" t="str">
        <f>IF(INDEX($CK$4:$DO$123,ROW()-3,AF$3)=0,"","СП")</f>
        <v/>
      </c>
      <c r="AG63" s="29" t="str">
        <f>IF(INDEX($CK$4:$DO$123,ROW()-3,AG$3)=0,"","СП")</f>
        <v/>
      </c>
      <c r="AH63" s="29" t="str">
        <f>IF(INDEX($CK$4:$DO$123,ROW()-3,AH$3)=0,"","СП")</f>
        <v/>
      </c>
      <c r="AI63" s="111"/>
      <c r="AJ63" s="207"/>
      <c r="AK63" s="178"/>
      <c r="AL63" s="178"/>
      <c r="AM63" s="178"/>
      <c r="AN63" s="199"/>
      <c r="AO63" s="199"/>
      <c r="AP63" s="199"/>
      <c r="AQ63" s="178"/>
      <c r="AR63" s="180"/>
      <c r="CK63" s="58">
        <f>IF(DAY(INDEX('Сводный годовой график'!$BA$4:$BL$14,$C62,MONTH($B$54)))=E$3,1,0)</f>
        <v>0</v>
      </c>
      <c r="CL63" s="58">
        <f>IF(DAY(INDEX('Сводный годовой график'!$BA$4:$BL$14,$C62,MONTH($B$54)))=F$3,1,0)</f>
        <v>0</v>
      </c>
      <c r="CM63" s="58">
        <f>IF(DAY(INDEX('Сводный годовой график'!$BA$4:$BL$14,$C62,MONTH($B$54)))=G$3,1,0)</f>
        <v>0</v>
      </c>
      <c r="CN63" s="58">
        <f>IF(DAY(INDEX('Сводный годовой график'!$BA$4:$BL$14,$C62,MONTH($B$54)))=H$3,1,0)</f>
        <v>0</v>
      </c>
      <c r="CO63" s="58">
        <f>IF(DAY(INDEX('Сводный годовой график'!$BA$4:$BL$14,$C62,MONTH($B$54)))=I$3,1,0)</f>
        <v>0</v>
      </c>
      <c r="CP63" s="58">
        <f>IF(DAY(INDEX('Сводный годовой график'!$BA$4:$BL$14,$C62,MONTH($B$54)))=J$3,1,0)</f>
        <v>0</v>
      </c>
      <c r="CQ63" s="58">
        <f>IF(DAY(INDEX('Сводный годовой график'!$BA$4:$BL$14,$C62,MONTH($B$54)))=K$3,1,0)</f>
        <v>0</v>
      </c>
      <c r="CR63" s="58">
        <f>IF(DAY(INDEX('Сводный годовой график'!$BA$4:$BL$14,$C62,MONTH($B$54)))=L$3,1,0)</f>
        <v>0</v>
      </c>
      <c r="CS63" s="58">
        <f>IF(DAY(INDEX('Сводный годовой график'!$BA$4:$BL$14,$C62,MONTH($B$54)))=M$3,1,0)</f>
        <v>0</v>
      </c>
      <c r="CT63" s="58">
        <f>IF(DAY(INDEX('Сводный годовой график'!$BA$4:$BL$14,$C62,MONTH($B$54)))=N$3,1,0)</f>
        <v>1</v>
      </c>
      <c r="CU63" s="58">
        <f>IF(DAY(INDEX('Сводный годовой график'!$BA$4:$BL$14,$C62,MONTH($B$54)))=O$3,1,0)</f>
        <v>0</v>
      </c>
      <c r="CV63" s="58">
        <f>IF(DAY(INDEX('Сводный годовой график'!$BA$4:$BL$14,$C62,MONTH($B$54)))=P$3,1,0)</f>
        <v>0</v>
      </c>
      <c r="CW63" s="58">
        <f>IF(DAY(INDEX('Сводный годовой график'!$BA$4:$BL$14,$C62,MONTH($B$54)))=Q$3,1,0)</f>
        <v>0</v>
      </c>
      <c r="CX63" s="58">
        <f>IF(DAY(INDEX('Сводный годовой график'!$BA$4:$BL$14,$C62,MONTH($B$54)))=R$3,1,0)</f>
        <v>0</v>
      </c>
      <c r="CY63" s="58">
        <f>IF(DAY(INDEX('Сводный годовой график'!$BA$4:$BL$14,$C62,MONTH($B$54)))=S$3,1,0)</f>
        <v>0</v>
      </c>
      <c r="CZ63" s="58">
        <f>IF(DAY(INDEX('Сводный годовой график'!$BA$4:$BL$14,$C62,MONTH($B$54)))=T$3,1,0)</f>
        <v>0</v>
      </c>
      <c r="DA63" s="58">
        <f>IF(DAY(INDEX('Сводный годовой график'!$BA$4:$BL$14,$C62,MONTH($B$54)))=U$3,1,0)</f>
        <v>0</v>
      </c>
      <c r="DB63" s="58">
        <f>IF(DAY(INDEX('Сводный годовой график'!$BA$4:$BL$14,$C62,MONTH($B$54)))=V$3,1,0)</f>
        <v>0</v>
      </c>
      <c r="DC63" s="58">
        <f>IF(DAY(INDEX('Сводный годовой график'!$BA$4:$BL$14,$C62,MONTH($B$54)))=W$3,1,0)</f>
        <v>0</v>
      </c>
      <c r="DD63" s="58">
        <f>IF(DAY(INDEX('Сводный годовой график'!$BA$4:$BL$14,$C62,MONTH($B$54)))=X$3,1,0)</f>
        <v>0</v>
      </c>
      <c r="DE63" s="58">
        <f>IF(DAY(INDEX('Сводный годовой график'!$BA$4:$BL$14,$C62,MONTH($B$54)))=Y$3,1,0)</f>
        <v>0</v>
      </c>
      <c r="DF63" s="58">
        <f>IF(DAY(INDEX('Сводный годовой график'!$BA$4:$BL$14,$C62,MONTH($B$54)))=Z$3,1,0)</f>
        <v>0</v>
      </c>
      <c r="DG63" s="58">
        <f>IF(DAY(INDEX('Сводный годовой график'!$BA$4:$BL$14,$C62,MONTH($B$54)))=AA$3,1,0)</f>
        <v>0</v>
      </c>
      <c r="DH63" s="58">
        <f>IF(DAY(INDEX('Сводный годовой график'!$BA$4:$BL$14,$C62,MONTH($B$54)))=AB$3,1,0)</f>
        <v>0</v>
      </c>
      <c r="DI63" s="58">
        <f>IF(DAY(INDEX('Сводный годовой график'!$BA$4:$BL$14,$C62,MONTH($B$54)))=AC$3,1,0)</f>
        <v>0</v>
      </c>
      <c r="DJ63" s="58">
        <f>IF(DAY(INDEX('Сводный годовой график'!$BA$4:$BL$14,$C62,MONTH($B$54)))=AD$3,1,0)</f>
        <v>0</v>
      </c>
      <c r="DK63" s="58">
        <f>IF(DAY(INDEX('Сводный годовой график'!$BA$4:$BL$14,$C62,MONTH($B$54)))=AE$3,1,0)</f>
        <v>0</v>
      </c>
      <c r="DL63" s="58">
        <f>IF(DAY(INDEX('Сводный годовой график'!$BA$4:$BL$14,$C62,MONTH($B$54)))=AF$3,1,0)</f>
        <v>0</v>
      </c>
      <c r="DM63" s="58">
        <f>IF(DAY(INDEX('Сводный годовой график'!$BA$4:$BL$14,$C62,MONTH($B$54)))=AG$3,1,0)</f>
        <v>0</v>
      </c>
      <c r="DN63" s="58">
        <f>IF(DAY(INDEX('Сводный годовой график'!$BA$4:$BL$14,$C62,MONTH($B$54)))=AH$3,1,0)</f>
        <v>0</v>
      </c>
      <c r="DO63" s="58">
        <f>IF(DAY(INDEX('Сводный годовой график'!$BA$4:$BL$14,$C62,MONTH($B$54)))=AI$3,1,0)</f>
        <v>0</v>
      </c>
    </row>
    <row r="64" spans="2:119" ht="17.25" hidden="1" customHeight="1" thickTop="1" x14ac:dyDescent="0.25">
      <c r="B64" s="200">
        <f>DATE($AV$1,7,1)</f>
        <v>45839</v>
      </c>
      <c r="C64" s="196">
        <v>1</v>
      </c>
      <c r="D64" s="99">
        <v>1</v>
      </c>
      <c r="E64" s="86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27"/>
      <c r="AD64" s="27"/>
      <c r="AE64" s="27"/>
      <c r="AF64" s="27"/>
      <c r="AG64" s="27"/>
      <c r="AH64" s="27"/>
      <c r="AI64" s="98"/>
      <c r="AJ64" s="228">
        <f>INDEX(Подключения!$D$3:$H$14,MONTH(B64),5)</f>
        <v>184</v>
      </c>
      <c r="AK64" s="219">
        <f>$AJ$64-SUM(AY64:CC65)</f>
        <v>184</v>
      </c>
      <c r="AL64" s="219">
        <f t="shared" ref="AL64" si="80">SUM(E64:AI65)</f>
        <v>0</v>
      </c>
      <c r="AM64" s="219">
        <v>0</v>
      </c>
      <c r="AN64" s="228">
        <f t="shared" ref="AN64" si="81">-AM64-AK64+AL64</f>
        <v>-184</v>
      </c>
      <c r="AO64" s="228">
        <v>0</v>
      </c>
      <c r="AP64" s="228">
        <f ca="1">AN64+AP54-AO64</f>
        <v>-123</v>
      </c>
      <c r="AQ64" s="219">
        <v>0</v>
      </c>
      <c r="AR64" s="266">
        <v>1</v>
      </c>
      <c r="AS64" s="21"/>
      <c r="AT64" s="21"/>
      <c r="CK64" s="59"/>
      <c r="CL64" s="59"/>
      <c r="CM64" s="59"/>
      <c r="CN64" s="59"/>
      <c r="CO64" s="59"/>
      <c r="CP64" s="59"/>
      <c r="CQ64" s="59"/>
      <c r="CR64" s="59"/>
      <c r="CS64" s="59"/>
      <c r="CT64" s="59"/>
      <c r="CU64" s="59"/>
      <c r="CV64" s="59"/>
      <c r="CW64" s="59"/>
      <c r="CX64" s="59"/>
      <c r="CY64" s="59"/>
      <c r="CZ64" s="59"/>
      <c r="DA64" s="59"/>
      <c r="DB64" s="59"/>
      <c r="DC64" s="59"/>
      <c r="DD64" s="59"/>
      <c r="DE64" s="59"/>
      <c r="DF64" s="59"/>
      <c r="DG64" s="59"/>
      <c r="DH64" s="59"/>
      <c r="DI64" s="59"/>
      <c r="DJ64" s="59"/>
      <c r="DK64" s="59"/>
      <c r="DL64" s="59"/>
      <c r="DM64" s="59"/>
      <c r="DN64" s="59"/>
      <c r="DO64" s="59"/>
    </row>
    <row r="65" spans="2:119" ht="16.5" hidden="1" thickBot="1" x14ac:dyDescent="0.3">
      <c r="B65" s="201"/>
      <c r="C65" s="197"/>
      <c r="D65" s="82">
        <v>2</v>
      </c>
      <c r="E65" s="96"/>
      <c r="F65" s="92"/>
      <c r="G65" s="92"/>
      <c r="H65" s="92"/>
      <c r="I65" s="92"/>
      <c r="J65" s="92"/>
      <c r="K65" s="92"/>
      <c r="L65" s="92"/>
      <c r="M65" s="92"/>
      <c r="N65" s="92"/>
      <c r="O65" s="92"/>
      <c r="P65" s="92"/>
      <c r="Q65" s="92"/>
      <c r="R65" s="92"/>
      <c r="S65" s="92"/>
      <c r="T65" s="92"/>
      <c r="U65" s="92"/>
      <c r="V65" s="92"/>
      <c r="W65" s="92"/>
      <c r="X65" s="92"/>
      <c r="Y65" s="92"/>
      <c r="Z65" s="92"/>
      <c r="AA65" s="92"/>
      <c r="AB65" s="92"/>
      <c r="AC65" s="92"/>
      <c r="AD65" s="92"/>
      <c r="AE65" s="92"/>
      <c r="AF65" s="92"/>
      <c r="AG65" s="92"/>
      <c r="AH65" s="92"/>
      <c r="AI65" s="97"/>
      <c r="AJ65" s="263"/>
      <c r="AK65" s="220"/>
      <c r="AL65" s="220"/>
      <c r="AM65" s="220"/>
      <c r="AN65" s="225"/>
      <c r="AO65" s="225"/>
      <c r="AP65" s="225"/>
      <c r="AQ65" s="220"/>
      <c r="AR65" s="267"/>
      <c r="CK65" s="58">
        <f>IF(DAY(INDEX('Сводный годовой график'!$BA$4:$BL$14,$C64,MONTH($B$64)))=E$3,1,0)</f>
        <v>0</v>
      </c>
      <c r="CL65" s="58">
        <f>IF(DAY(INDEX('Сводный годовой график'!$BA$4:$BL$14,$C64,MONTH($B$64)))=F$3,1,0)</f>
        <v>0</v>
      </c>
      <c r="CM65" s="58">
        <f>IF(DAY(INDEX('Сводный годовой график'!$BA$4:$BL$14,$C64,MONTH($B$64)))=G$3,1,0)</f>
        <v>0</v>
      </c>
      <c r="CN65" s="58">
        <f>IF(DAY(INDEX('Сводный годовой график'!$BA$4:$BL$14,$C64,MONTH($B$64)))=H$3,1,0)</f>
        <v>0</v>
      </c>
      <c r="CO65" s="58">
        <f>IF(DAY(INDEX('Сводный годовой график'!$BA$4:$BL$14,$C64,MONTH($B$64)))=I$3,1,0)</f>
        <v>0</v>
      </c>
      <c r="CP65" s="58">
        <f>IF(DAY(INDEX('Сводный годовой график'!$BA$4:$BL$14,$C64,MONTH($B$64)))=J$3,1,0)</f>
        <v>0</v>
      </c>
      <c r="CQ65" s="58">
        <f>IF(DAY(INDEX('Сводный годовой график'!$BA$4:$BL$14,$C64,MONTH($B$64)))=K$3,1,0)</f>
        <v>1</v>
      </c>
      <c r="CR65" s="58">
        <f>IF(DAY(INDEX('Сводный годовой график'!$BA$4:$BL$14,$C64,MONTH($B$64)))=L$3,1,0)</f>
        <v>0</v>
      </c>
      <c r="CS65" s="58">
        <f>IF(DAY(INDEX('Сводный годовой график'!$BA$4:$BL$14,$C64,MONTH($B$64)))=M$3,1,0)</f>
        <v>0</v>
      </c>
      <c r="CT65" s="58">
        <f>IF(DAY(INDEX('Сводный годовой график'!$BA$4:$BL$14,$C64,MONTH($B$64)))=N$3,1,0)</f>
        <v>0</v>
      </c>
      <c r="CU65" s="58">
        <f>IF(DAY(INDEX('Сводный годовой график'!$BA$4:$BL$14,$C64,MONTH($B$64)))=O$3,1,0)</f>
        <v>0</v>
      </c>
      <c r="CV65" s="58">
        <f>IF(DAY(INDEX('Сводный годовой график'!$BA$4:$BL$14,$C64,MONTH($B$64)))=P$3,1,0)</f>
        <v>0</v>
      </c>
      <c r="CW65" s="58">
        <f>IF(DAY(INDEX('Сводный годовой график'!$BA$4:$BL$14,$C64,MONTH($B$64)))=Q$3,1,0)</f>
        <v>0</v>
      </c>
      <c r="CX65" s="58">
        <f>IF(DAY(INDEX('Сводный годовой график'!$BA$4:$BL$14,$C64,MONTH($B$64)))=R$3,1,0)</f>
        <v>0</v>
      </c>
      <c r="CY65" s="58">
        <f>IF(DAY(INDEX('Сводный годовой график'!$BA$4:$BL$14,$C64,MONTH($B$64)))=S$3,1,0)</f>
        <v>0</v>
      </c>
      <c r="CZ65" s="58">
        <f>IF(DAY(INDEX('Сводный годовой график'!$BA$4:$BL$14,$C64,MONTH($B$64)))=T$3,1,0)</f>
        <v>0</v>
      </c>
      <c r="DA65" s="58">
        <f>IF(DAY(INDEX('Сводный годовой график'!$BA$4:$BL$14,$C64,MONTH($B$64)))=U$3,1,0)</f>
        <v>0</v>
      </c>
      <c r="DB65" s="58">
        <f>IF(DAY(INDEX('Сводный годовой график'!$BA$4:$BL$14,$C64,MONTH($B$64)))=V$3,1,0)</f>
        <v>0</v>
      </c>
      <c r="DC65" s="58">
        <f>IF(DAY(INDEX('Сводный годовой график'!$BA$4:$BL$14,$C64,MONTH($B$64)))=W$3,1,0)</f>
        <v>0</v>
      </c>
      <c r="DD65" s="58">
        <f>IF(DAY(INDEX('Сводный годовой график'!$BA$4:$BL$14,$C64,MONTH($B$64)))=X$3,1,0)</f>
        <v>0</v>
      </c>
      <c r="DE65" s="58">
        <f>IF(DAY(INDEX('Сводный годовой график'!$BA$4:$BL$14,$C64,MONTH($B$64)))=Y$3,1,0)</f>
        <v>0</v>
      </c>
      <c r="DF65" s="58">
        <f>IF(DAY(INDEX('Сводный годовой график'!$BA$4:$BL$14,$C64,MONTH($B$64)))=Z$3,1,0)</f>
        <v>0</v>
      </c>
      <c r="DG65" s="58">
        <f>IF(DAY(INDEX('Сводный годовой график'!$BA$4:$BL$14,$C64,MONTH($B$64)))=AA$3,1,0)</f>
        <v>0</v>
      </c>
      <c r="DH65" s="58">
        <f>IF(DAY(INDEX('Сводный годовой график'!$BA$4:$BL$14,$C64,MONTH($B$64)))=AB$3,1,0)</f>
        <v>0</v>
      </c>
      <c r="DI65" s="58">
        <f>IF(DAY(INDEX('Сводный годовой график'!$BA$4:$BL$14,$C64,MONTH($B$64)))=AC$3,1,0)</f>
        <v>0</v>
      </c>
      <c r="DJ65" s="58">
        <f>IF(DAY(INDEX('Сводный годовой график'!$BA$4:$BL$14,$C64,MONTH($B$64)))=AD$3,1,0)</f>
        <v>0</v>
      </c>
      <c r="DK65" s="58">
        <f>IF(DAY(INDEX('Сводный годовой график'!$BA$4:$BL$14,$C64,MONTH($B$64)))=AE$3,1,0)</f>
        <v>0</v>
      </c>
      <c r="DL65" s="58">
        <f>IF(DAY(INDEX('Сводный годовой график'!$BA$4:$BL$14,$C64,MONTH($B$64)))=AF$3,1,0)</f>
        <v>0</v>
      </c>
      <c r="DM65" s="58">
        <f>IF(DAY(INDEX('Сводный годовой график'!$BA$4:$BL$14,$C64,MONTH($B$64)))=AG$3,1,0)</f>
        <v>0</v>
      </c>
      <c r="DN65" s="58">
        <f>IF(DAY(INDEX('Сводный годовой график'!$BA$4:$BL$14,$C64,MONTH($B$64)))=AH$3,1,0)</f>
        <v>0</v>
      </c>
      <c r="DO65" s="58">
        <f>IF(DAY(INDEX('Сводный годовой график'!$BA$4:$BL$14,$C64,MONTH($B$64)))=AI$3,1,0)</f>
        <v>0</v>
      </c>
    </row>
    <row r="66" spans="2:119" ht="15.75" hidden="1" x14ac:dyDescent="0.25">
      <c r="B66" s="201"/>
      <c r="C66" s="196">
        <v>2</v>
      </c>
      <c r="D66" s="81">
        <v>3</v>
      </c>
      <c r="E66" s="96"/>
      <c r="F66" s="92"/>
      <c r="G66" s="92"/>
      <c r="H66" s="92"/>
      <c r="I66" s="92"/>
      <c r="J66" s="92"/>
      <c r="K66" s="92"/>
      <c r="L66" s="92"/>
      <c r="M66" s="92"/>
      <c r="N66" s="92"/>
      <c r="O66" s="92"/>
      <c r="P66" s="92"/>
      <c r="Q66" s="92"/>
      <c r="R66" s="92"/>
      <c r="S66" s="92"/>
      <c r="T66" s="92"/>
      <c r="U66" s="92"/>
      <c r="V66" s="92"/>
      <c r="W66" s="92"/>
      <c r="X66" s="92"/>
      <c r="Y66" s="92"/>
      <c r="Z66" s="92"/>
      <c r="AA66" s="92"/>
      <c r="AB66" s="92"/>
      <c r="AC66" s="92"/>
      <c r="AD66" s="92"/>
      <c r="AE66" s="92"/>
      <c r="AF66" s="92"/>
      <c r="AG66" s="92"/>
      <c r="AH66" s="92"/>
      <c r="AI66" s="97"/>
      <c r="AJ66" s="263"/>
      <c r="AK66" s="223">
        <f>$AJ$64-SUM(AY66:CC67)</f>
        <v>184</v>
      </c>
      <c r="AL66" s="223">
        <f t="shared" ref="AL66" si="82">SUM(E66:AI67)</f>
        <v>0</v>
      </c>
      <c r="AM66" s="223">
        <v>0</v>
      </c>
      <c r="AN66" s="224">
        <f t="shared" ref="AN66" si="83">-AM66-AK66+AL66</f>
        <v>-184</v>
      </c>
      <c r="AO66" s="224">
        <v>0</v>
      </c>
      <c r="AP66" s="224">
        <f t="shared" ref="AP66" ca="1" si="84">AN66+AP56</f>
        <v>-143</v>
      </c>
      <c r="AQ66" s="223">
        <v>15</v>
      </c>
      <c r="AR66" s="264">
        <v>1</v>
      </c>
      <c r="CK66" s="59"/>
      <c r="CL66" s="59"/>
      <c r="CM66" s="59"/>
      <c r="CN66" s="59"/>
      <c r="CO66" s="59"/>
      <c r="CP66" s="59"/>
      <c r="CQ66" s="59"/>
      <c r="CR66" s="59"/>
      <c r="CS66" s="59"/>
      <c r="CT66" s="59"/>
      <c r="CU66" s="59"/>
      <c r="CV66" s="59"/>
      <c r="CW66" s="59"/>
      <c r="CX66" s="59"/>
      <c r="CY66" s="59"/>
      <c r="CZ66" s="59"/>
      <c r="DA66" s="59"/>
      <c r="DB66" s="59"/>
      <c r="DC66" s="59"/>
      <c r="DD66" s="59"/>
      <c r="DE66" s="59"/>
      <c r="DF66" s="59"/>
      <c r="DG66" s="59"/>
      <c r="DH66" s="59"/>
      <c r="DI66" s="59"/>
      <c r="DJ66" s="59"/>
      <c r="DK66" s="59"/>
      <c r="DL66" s="59"/>
      <c r="DM66" s="59"/>
      <c r="DN66" s="59"/>
      <c r="DO66" s="59"/>
    </row>
    <row r="67" spans="2:119" ht="16.5" hidden="1" thickBot="1" x14ac:dyDescent="0.3">
      <c r="B67" s="201"/>
      <c r="C67" s="197"/>
      <c r="D67" s="82">
        <v>4</v>
      </c>
      <c r="E67" s="96"/>
      <c r="F67" s="92"/>
      <c r="G67" s="92"/>
      <c r="H67" s="92"/>
      <c r="I67" s="92"/>
      <c r="J67" s="92"/>
      <c r="K67" s="92"/>
      <c r="L67" s="92"/>
      <c r="M67" s="92"/>
      <c r="N67" s="92"/>
      <c r="O67" s="92"/>
      <c r="P67" s="92"/>
      <c r="Q67" s="92"/>
      <c r="R67" s="92"/>
      <c r="S67" s="92"/>
      <c r="T67" s="92"/>
      <c r="U67" s="92"/>
      <c r="V67" s="92"/>
      <c r="W67" s="92"/>
      <c r="X67" s="92"/>
      <c r="Y67" s="92"/>
      <c r="Z67" s="92"/>
      <c r="AA67" s="92"/>
      <c r="AB67" s="92"/>
      <c r="AC67" s="92"/>
      <c r="AD67" s="92"/>
      <c r="AE67" s="92"/>
      <c r="AF67" s="92"/>
      <c r="AG67" s="92"/>
      <c r="AH67" s="92"/>
      <c r="AI67" s="97"/>
      <c r="AJ67" s="263"/>
      <c r="AK67" s="220"/>
      <c r="AL67" s="220"/>
      <c r="AM67" s="220"/>
      <c r="AN67" s="225"/>
      <c r="AO67" s="225"/>
      <c r="AP67" s="225"/>
      <c r="AQ67" s="220"/>
      <c r="AR67" s="267"/>
      <c r="CK67" s="58">
        <f>IF(DAY(INDEX('Сводный годовой график'!$BA$4:$BL$14,$C66,MONTH($B$64)))=E$3,1,0)</f>
        <v>0</v>
      </c>
      <c r="CL67" s="58">
        <f>IF(DAY(INDEX('Сводный годовой график'!$BA$4:$BL$14,$C66,MONTH($B$64)))=F$3,1,0)</f>
        <v>0</v>
      </c>
      <c r="CM67" s="58">
        <f>IF(DAY(INDEX('Сводный годовой график'!$BA$4:$BL$14,$C66,MONTH($B$64)))=G$3,1,0)</f>
        <v>0</v>
      </c>
      <c r="CN67" s="58">
        <f>IF(DAY(INDEX('Сводный годовой график'!$BA$4:$BL$14,$C66,MONTH($B$64)))=H$3,1,0)</f>
        <v>0</v>
      </c>
      <c r="CO67" s="58">
        <f>IF(DAY(INDEX('Сводный годовой график'!$BA$4:$BL$14,$C66,MONTH($B$64)))=I$3,1,0)</f>
        <v>0</v>
      </c>
      <c r="CP67" s="58">
        <f>IF(DAY(INDEX('Сводный годовой график'!$BA$4:$BL$14,$C66,MONTH($B$64)))=J$3,1,0)</f>
        <v>0</v>
      </c>
      <c r="CQ67" s="58">
        <f>IF(DAY(INDEX('Сводный годовой график'!$BA$4:$BL$14,$C66,MONTH($B$64)))=K$3,1,0)</f>
        <v>0</v>
      </c>
      <c r="CR67" s="58">
        <f>IF(DAY(INDEX('Сводный годовой график'!$BA$4:$BL$14,$C66,MONTH($B$64)))=L$3,1,0)</f>
        <v>1</v>
      </c>
      <c r="CS67" s="58">
        <f>IF(DAY(INDEX('Сводный годовой график'!$BA$4:$BL$14,$C66,MONTH($B$64)))=M$3,1,0)</f>
        <v>0</v>
      </c>
      <c r="CT67" s="58">
        <f>IF(DAY(INDEX('Сводный годовой график'!$BA$4:$BL$14,$C66,MONTH($B$64)))=N$3,1,0)</f>
        <v>0</v>
      </c>
      <c r="CU67" s="58">
        <f>IF(DAY(INDEX('Сводный годовой график'!$BA$4:$BL$14,$C66,MONTH($B$64)))=O$3,1,0)</f>
        <v>0</v>
      </c>
      <c r="CV67" s="58">
        <f>IF(DAY(INDEX('Сводный годовой график'!$BA$4:$BL$14,$C66,MONTH($B$64)))=P$3,1,0)</f>
        <v>0</v>
      </c>
      <c r="CW67" s="58">
        <f>IF(DAY(INDEX('Сводный годовой график'!$BA$4:$BL$14,$C66,MONTH($B$64)))=Q$3,1,0)</f>
        <v>0</v>
      </c>
      <c r="CX67" s="58">
        <f>IF(DAY(INDEX('Сводный годовой график'!$BA$4:$BL$14,$C66,MONTH($B$64)))=R$3,1,0)</f>
        <v>0</v>
      </c>
      <c r="CY67" s="58">
        <f>IF(DAY(INDEX('Сводный годовой график'!$BA$4:$BL$14,$C66,MONTH($B$64)))=S$3,1,0)</f>
        <v>0</v>
      </c>
      <c r="CZ67" s="58">
        <f>IF(DAY(INDEX('Сводный годовой график'!$BA$4:$BL$14,$C66,MONTH($B$64)))=T$3,1,0)</f>
        <v>0</v>
      </c>
      <c r="DA67" s="58">
        <f>IF(DAY(INDEX('Сводный годовой график'!$BA$4:$BL$14,$C66,MONTH($B$64)))=U$3,1,0)</f>
        <v>0</v>
      </c>
      <c r="DB67" s="58">
        <f>IF(DAY(INDEX('Сводный годовой график'!$BA$4:$BL$14,$C66,MONTH($B$64)))=V$3,1,0)</f>
        <v>0</v>
      </c>
      <c r="DC67" s="58">
        <f>IF(DAY(INDEX('Сводный годовой график'!$BA$4:$BL$14,$C66,MONTH($B$64)))=W$3,1,0)</f>
        <v>0</v>
      </c>
      <c r="DD67" s="58">
        <f>IF(DAY(INDEX('Сводный годовой график'!$BA$4:$BL$14,$C66,MONTH($B$64)))=X$3,1,0)</f>
        <v>0</v>
      </c>
      <c r="DE67" s="58">
        <f>IF(DAY(INDEX('Сводный годовой график'!$BA$4:$BL$14,$C66,MONTH($B$64)))=Y$3,1,0)</f>
        <v>0</v>
      </c>
      <c r="DF67" s="58">
        <f>IF(DAY(INDEX('Сводный годовой график'!$BA$4:$BL$14,$C66,MONTH($B$64)))=Z$3,1,0)</f>
        <v>0</v>
      </c>
      <c r="DG67" s="58">
        <f>IF(DAY(INDEX('Сводный годовой график'!$BA$4:$BL$14,$C66,MONTH($B$64)))=AA$3,1,0)</f>
        <v>0</v>
      </c>
      <c r="DH67" s="58">
        <f>IF(DAY(INDEX('Сводный годовой график'!$BA$4:$BL$14,$C66,MONTH($B$64)))=AB$3,1,0)</f>
        <v>0</v>
      </c>
      <c r="DI67" s="58">
        <f>IF(DAY(INDEX('Сводный годовой график'!$BA$4:$BL$14,$C66,MONTH($B$64)))=AC$3,1,0)</f>
        <v>0</v>
      </c>
      <c r="DJ67" s="58">
        <f>IF(DAY(INDEX('Сводный годовой график'!$BA$4:$BL$14,$C66,MONTH($B$64)))=AD$3,1,0)</f>
        <v>0</v>
      </c>
      <c r="DK67" s="58">
        <f>IF(DAY(INDEX('Сводный годовой график'!$BA$4:$BL$14,$C66,MONTH($B$64)))=AE$3,1,0)</f>
        <v>0</v>
      </c>
      <c r="DL67" s="58">
        <f>IF(DAY(INDEX('Сводный годовой график'!$BA$4:$BL$14,$C66,MONTH($B$64)))=AF$3,1,0)</f>
        <v>0</v>
      </c>
      <c r="DM67" s="58">
        <f>IF(DAY(INDEX('Сводный годовой график'!$BA$4:$BL$14,$C66,MONTH($B$64)))=AG$3,1,0)</f>
        <v>0</v>
      </c>
      <c r="DN67" s="58">
        <f>IF(DAY(INDEX('Сводный годовой график'!$BA$4:$BL$14,$C66,MONTH($B$64)))=AH$3,1,0)</f>
        <v>0</v>
      </c>
      <c r="DO67" s="58">
        <f>IF(DAY(INDEX('Сводный годовой график'!$BA$4:$BL$14,$C66,MONTH($B$64)))=AI$3,1,0)</f>
        <v>0</v>
      </c>
    </row>
    <row r="68" spans="2:119" ht="15.75" hidden="1" x14ac:dyDescent="0.25">
      <c r="B68" s="201"/>
      <c r="C68" s="196">
        <v>3</v>
      </c>
      <c r="D68" s="81">
        <v>5</v>
      </c>
      <c r="E68" s="96"/>
      <c r="F68" s="92"/>
      <c r="G68" s="92"/>
      <c r="H68" s="92"/>
      <c r="I68" s="92"/>
      <c r="J68" s="92"/>
      <c r="K68" s="92"/>
      <c r="L68" s="92"/>
      <c r="M68" s="92"/>
      <c r="N68" s="92"/>
      <c r="O68" s="92"/>
      <c r="P68" s="92"/>
      <c r="Q68" s="92"/>
      <c r="R68" s="92"/>
      <c r="S68" s="92"/>
      <c r="T68" s="92"/>
      <c r="U68" s="92"/>
      <c r="V68" s="92"/>
      <c r="W68" s="92"/>
      <c r="X68" s="92"/>
      <c r="Y68" s="92"/>
      <c r="Z68" s="92"/>
      <c r="AA68" s="92"/>
      <c r="AB68" s="92"/>
      <c r="AC68" s="92"/>
      <c r="AD68" s="92"/>
      <c r="AE68" s="92"/>
      <c r="AF68" s="92"/>
      <c r="AG68" s="92"/>
      <c r="AH68" s="92"/>
      <c r="AI68" s="97"/>
      <c r="AJ68" s="263"/>
      <c r="AK68" s="223">
        <f>$AJ$64-SUM(AY68:CC69)</f>
        <v>184</v>
      </c>
      <c r="AL68" s="223">
        <f t="shared" ref="AL68" si="85">SUM(E68:AI69)</f>
        <v>0</v>
      </c>
      <c r="AM68" s="223">
        <v>0</v>
      </c>
      <c r="AN68" s="224">
        <f t="shared" ref="AN68" si="86">-AM68-AK68+AL68</f>
        <v>-184</v>
      </c>
      <c r="AO68" s="224">
        <v>0</v>
      </c>
      <c r="AP68" s="224">
        <f ca="1">AN68+AP58-AO68</f>
        <v>-117</v>
      </c>
      <c r="AQ68" s="223">
        <v>0</v>
      </c>
      <c r="AR68" s="264">
        <v>1</v>
      </c>
      <c r="CK68" s="59"/>
      <c r="CL68" s="59"/>
      <c r="CM68" s="59"/>
      <c r="CN68" s="59"/>
      <c r="CO68" s="59"/>
      <c r="CP68" s="59"/>
      <c r="CQ68" s="59"/>
      <c r="CR68" s="59"/>
      <c r="CS68" s="59"/>
      <c r="CT68" s="59"/>
      <c r="CU68" s="59"/>
      <c r="CV68" s="59"/>
      <c r="CW68" s="59"/>
      <c r="CX68" s="59"/>
      <c r="CY68" s="59"/>
      <c r="CZ68" s="59"/>
      <c r="DA68" s="59"/>
      <c r="DB68" s="59"/>
      <c r="DC68" s="59"/>
      <c r="DD68" s="59"/>
      <c r="DE68" s="59"/>
      <c r="DF68" s="59"/>
      <c r="DG68" s="59"/>
      <c r="DH68" s="59"/>
      <c r="DI68" s="59"/>
      <c r="DJ68" s="59"/>
      <c r="DK68" s="59"/>
      <c r="DL68" s="59"/>
      <c r="DM68" s="59"/>
      <c r="DN68" s="59"/>
      <c r="DO68" s="59"/>
    </row>
    <row r="69" spans="2:119" ht="16.5" hidden="1" thickBot="1" x14ac:dyDescent="0.3">
      <c r="B69" s="201"/>
      <c r="C69" s="197"/>
      <c r="D69" s="82">
        <v>6</v>
      </c>
      <c r="E69" s="96"/>
      <c r="F69" s="92"/>
      <c r="G69" s="92"/>
      <c r="H69" s="92"/>
      <c r="I69" s="92"/>
      <c r="J69" s="92"/>
      <c r="K69" s="92"/>
      <c r="L69" s="92"/>
      <c r="M69" s="92"/>
      <c r="N69" s="92"/>
      <c r="O69" s="92"/>
      <c r="P69" s="92"/>
      <c r="Q69" s="92"/>
      <c r="R69" s="92"/>
      <c r="S69" s="92"/>
      <c r="T69" s="92"/>
      <c r="U69" s="92"/>
      <c r="V69" s="92"/>
      <c r="W69" s="92"/>
      <c r="X69" s="92"/>
      <c r="Y69" s="92"/>
      <c r="Z69" s="92"/>
      <c r="AA69" s="92"/>
      <c r="AB69" s="92"/>
      <c r="AC69" s="92"/>
      <c r="AD69" s="92"/>
      <c r="AE69" s="92"/>
      <c r="AF69" s="92"/>
      <c r="AG69" s="92"/>
      <c r="AH69" s="92"/>
      <c r="AI69" s="97"/>
      <c r="AJ69" s="263"/>
      <c r="AK69" s="220"/>
      <c r="AL69" s="220"/>
      <c r="AM69" s="220"/>
      <c r="AN69" s="225"/>
      <c r="AO69" s="225"/>
      <c r="AP69" s="225"/>
      <c r="AQ69" s="220"/>
      <c r="AR69" s="267"/>
      <c r="CK69" s="58">
        <f>IF(DAY(INDEX('Сводный годовой график'!$BA$4:$BL$14,$C68,MONTH($B$64)))=E$3,1,0)</f>
        <v>0</v>
      </c>
      <c r="CL69" s="58">
        <f>IF(DAY(INDEX('Сводный годовой график'!$BA$4:$BL$14,$C68,MONTH($B$64)))=F$3,1,0)</f>
        <v>0</v>
      </c>
      <c r="CM69" s="58">
        <f>IF(DAY(INDEX('Сводный годовой график'!$BA$4:$BL$14,$C68,MONTH($B$64)))=G$3,1,0)</f>
        <v>0</v>
      </c>
      <c r="CN69" s="58">
        <f>IF(DAY(INDEX('Сводный годовой график'!$BA$4:$BL$14,$C68,MONTH($B$64)))=H$3,1,0)</f>
        <v>0</v>
      </c>
      <c r="CO69" s="58">
        <f>IF(DAY(INDEX('Сводный годовой график'!$BA$4:$BL$14,$C68,MONTH($B$64)))=I$3,1,0)</f>
        <v>0</v>
      </c>
      <c r="CP69" s="58">
        <f>IF(DAY(INDEX('Сводный годовой график'!$BA$4:$BL$14,$C68,MONTH($B$64)))=J$3,1,0)</f>
        <v>0</v>
      </c>
      <c r="CQ69" s="58">
        <f>IF(DAY(INDEX('Сводный годовой график'!$BA$4:$BL$14,$C68,MONTH($B$64)))=K$3,1,0)</f>
        <v>0</v>
      </c>
      <c r="CR69" s="58">
        <f>IF(DAY(INDEX('Сводный годовой график'!$BA$4:$BL$14,$C68,MONTH($B$64)))=L$3,1,0)</f>
        <v>0</v>
      </c>
      <c r="CS69" s="58">
        <f>IF(DAY(INDEX('Сводный годовой график'!$BA$4:$BL$14,$C68,MONTH($B$64)))=M$3,1,0)</f>
        <v>1</v>
      </c>
      <c r="CT69" s="58">
        <f>IF(DAY(INDEX('Сводный годовой график'!$BA$4:$BL$14,$C68,MONTH($B$64)))=N$3,1,0)</f>
        <v>0</v>
      </c>
      <c r="CU69" s="58">
        <f>IF(DAY(INDEX('Сводный годовой график'!$BA$4:$BL$14,$C68,MONTH($B$64)))=O$3,1,0)</f>
        <v>0</v>
      </c>
      <c r="CV69" s="58">
        <f>IF(DAY(INDEX('Сводный годовой график'!$BA$4:$BL$14,$C68,MONTH($B$64)))=P$3,1,0)</f>
        <v>0</v>
      </c>
      <c r="CW69" s="58">
        <f>IF(DAY(INDEX('Сводный годовой график'!$BA$4:$BL$14,$C68,MONTH($B$64)))=Q$3,1,0)</f>
        <v>0</v>
      </c>
      <c r="CX69" s="58">
        <f>IF(DAY(INDEX('Сводный годовой график'!$BA$4:$BL$14,$C68,MONTH($B$64)))=R$3,1,0)</f>
        <v>0</v>
      </c>
      <c r="CY69" s="58">
        <f>IF(DAY(INDEX('Сводный годовой график'!$BA$4:$BL$14,$C68,MONTH($B$64)))=S$3,1,0)</f>
        <v>0</v>
      </c>
      <c r="CZ69" s="58">
        <f>IF(DAY(INDEX('Сводный годовой график'!$BA$4:$BL$14,$C68,MONTH($B$64)))=T$3,1,0)</f>
        <v>0</v>
      </c>
      <c r="DA69" s="58">
        <f>IF(DAY(INDEX('Сводный годовой график'!$BA$4:$BL$14,$C68,MONTH($B$64)))=U$3,1,0)</f>
        <v>0</v>
      </c>
      <c r="DB69" s="58">
        <f>IF(DAY(INDEX('Сводный годовой график'!$BA$4:$BL$14,$C68,MONTH($B$64)))=V$3,1,0)</f>
        <v>0</v>
      </c>
      <c r="DC69" s="58">
        <f>IF(DAY(INDEX('Сводный годовой график'!$BA$4:$BL$14,$C68,MONTH($B$64)))=W$3,1,0)</f>
        <v>0</v>
      </c>
      <c r="DD69" s="58">
        <f>IF(DAY(INDEX('Сводный годовой график'!$BA$4:$BL$14,$C68,MONTH($B$64)))=X$3,1,0)</f>
        <v>0</v>
      </c>
      <c r="DE69" s="58">
        <f>IF(DAY(INDEX('Сводный годовой график'!$BA$4:$BL$14,$C68,MONTH($B$64)))=Y$3,1,0)</f>
        <v>0</v>
      </c>
      <c r="DF69" s="58">
        <f>IF(DAY(INDEX('Сводный годовой график'!$BA$4:$BL$14,$C68,MONTH($B$64)))=Z$3,1,0)</f>
        <v>0</v>
      </c>
      <c r="DG69" s="58">
        <f>IF(DAY(INDEX('Сводный годовой график'!$BA$4:$BL$14,$C68,MONTH($B$64)))=AA$3,1,0)</f>
        <v>0</v>
      </c>
      <c r="DH69" s="58">
        <f>IF(DAY(INDEX('Сводный годовой график'!$BA$4:$BL$14,$C68,MONTH($B$64)))=AB$3,1,0)</f>
        <v>0</v>
      </c>
      <c r="DI69" s="58">
        <f>IF(DAY(INDEX('Сводный годовой график'!$BA$4:$BL$14,$C68,MONTH($B$64)))=AC$3,1,0)</f>
        <v>0</v>
      </c>
      <c r="DJ69" s="58">
        <f>IF(DAY(INDEX('Сводный годовой график'!$BA$4:$BL$14,$C68,MONTH($B$64)))=AD$3,1,0)</f>
        <v>0</v>
      </c>
      <c r="DK69" s="58">
        <f>IF(DAY(INDEX('Сводный годовой график'!$BA$4:$BL$14,$C68,MONTH($B$64)))=AE$3,1,0)</f>
        <v>0</v>
      </c>
      <c r="DL69" s="58">
        <f>IF(DAY(INDEX('Сводный годовой график'!$BA$4:$BL$14,$C68,MONTH($B$64)))=AF$3,1,0)</f>
        <v>0</v>
      </c>
      <c r="DM69" s="58">
        <f>IF(DAY(INDEX('Сводный годовой график'!$BA$4:$BL$14,$C68,MONTH($B$64)))=AG$3,1,0)</f>
        <v>0</v>
      </c>
      <c r="DN69" s="58">
        <f>IF(DAY(INDEX('Сводный годовой график'!$BA$4:$BL$14,$C68,MONTH($B$64)))=AH$3,1,0)</f>
        <v>0</v>
      </c>
      <c r="DO69" s="58">
        <f>IF(DAY(INDEX('Сводный годовой график'!$BA$4:$BL$14,$C68,MONTH($B$64)))=AI$3,1,0)</f>
        <v>0</v>
      </c>
    </row>
    <row r="70" spans="2:119" ht="15.75" hidden="1" x14ac:dyDescent="0.25">
      <c r="B70" s="201"/>
      <c r="C70" s="196">
        <v>4</v>
      </c>
      <c r="D70" s="81">
        <v>7</v>
      </c>
      <c r="E70" s="96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92"/>
      <c r="S70" s="92"/>
      <c r="T70" s="92"/>
      <c r="U70" s="92"/>
      <c r="V70" s="92"/>
      <c r="W70" s="92"/>
      <c r="X70" s="92"/>
      <c r="Y70" s="92"/>
      <c r="Z70" s="92"/>
      <c r="AA70" s="92"/>
      <c r="AB70" s="92"/>
      <c r="AC70" s="92"/>
      <c r="AD70" s="92"/>
      <c r="AE70" s="92"/>
      <c r="AF70" s="92"/>
      <c r="AG70" s="92"/>
      <c r="AH70" s="92"/>
      <c r="AI70" s="97"/>
      <c r="AJ70" s="263"/>
      <c r="AK70" s="223">
        <f>$AJ$64-SUM(AY70:CC71)</f>
        <v>184</v>
      </c>
      <c r="AL70" s="223">
        <f t="shared" ref="AL70" si="87">SUM(E70:AI71)</f>
        <v>0</v>
      </c>
      <c r="AM70" s="223">
        <v>0</v>
      </c>
      <c r="AN70" s="224">
        <f t="shared" ref="AN70" si="88">-AM70-AK70+AL70</f>
        <v>-184</v>
      </c>
      <c r="AO70" s="224">
        <v>0</v>
      </c>
      <c r="AP70" s="224">
        <f t="shared" ref="AP70" ca="1" si="89">AN70+AP60</f>
        <v>-113</v>
      </c>
      <c r="AQ70" s="223">
        <v>1</v>
      </c>
      <c r="AR70" s="264">
        <v>1</v>
      </c>
      <c r="CK70" s="59"/>
      <c r="CL70" s="59"/>
      <c r="CM70" s="59"/>
      <c r="CN70" s="59"/>
      <c r="CO70" s="59"/>
      <c r="CP70" s="59"/>
      <c r="CQ70" s="59"/>
      <c r="CR70" s="59"/>
      <c r="CS70" s="59"/>
      <c r="CT70" s="59"/>
      <c r="CU70" s="59"/>
      <c r="CV70" s="59"/>
      <c r="CW70" s="59"/>
      <c r="CX70" s="59"/>
      <c r="CY70" s="59"/>
      <c r="CZ70" s="59"/>
      <c r="DA70" s="59"/>
      <c r="DB70" s="59"/>
      <c r="DC70" s="59"/>
      <c r="DD70" s="59"/>
      <c r="DE70" s="59"/>
      <c r="DF70" s="59"/>
      <c r="DG70" s="59"/>
      <c r="DH70" s="59"/>
      <c r="DI70" s="59"/>
      <c r="DJ70" s="59"/>
      <c r="DK70" s="59"/>
      <c r="DL70" s="59"/>
      <c r="DM70" s="59"/>
      <c r="DN70" s="59"/>
      <c r="DO70" s="59"/>
    </row>
    <row r="71" spans="2:119" ht="16.5" hidden="1" thickBot="1" x14ac:dyDescent="0.3">
      <c r="B71" s="201"/>
      <c r="C71" s="197"/>
      <c r="D71" s="82">
        <v>8</v>
      </c>
      <c r="E71" s="96"/>
      <c r="F71" s="92"/>
      <c r="G71" s="92"/>
      <c r="H71" s="92"/>
      <c r="I71" s="92"/>
      <c r="J71" s="92"/>
      <c r="K71" s="92"/>
      <c r="L71" s="92"/>
      <c r="M71" s="92"/>
      <c r="N71" s="92"/>
      <c r="O71" s="92"/>
      <c r="P71" s="92"/>
      <c r="Q71" s="92"/>
      <c r="R71" s="92"/>
      <c r="S71" s="92"/>
      <c r="T71" s="92"/>
      <c r="U71" s="92"/>
      <c r="V71" s="92"/>
      <c r="W71" s="92"/>
      <c r="X71" s="92"/>
      <c r="Y71" s="92"/>
      <c r="Z71" s="92"/>
      <c r="AA71" s="92"/>
      <c r="AB71" s="92"/>
      <c r="AC71" s="92"/>
      <c r="AD71" s="92"/>
      <c r="AE71" s="92"/>
      <c r="AF71" s="92"/>
      <c r="AG71" s="92"/>
      <c r="AH71" s="92"/>
      <c r="AI71" s="97"/>
      <c r="AJ71" s="263"/>
      <c r="AK71" s="220"/>
      <c r="AL71" s="220"/>
      <c r="AM71" s="220"/>
      <c r="AN71" s="225"/>
      <c r="AO71" s="225"/>
      <c r="AP71" s="225"/>
      <c r="AQ71" s="220"/>
      <c r="AR71" s="267"/>
      <c r="CK71" s="58">
        <f>IF(DAY(INDEX('Сводный годовой график'!$BA$4:$BL$14,$C70,MONTH($B$64)))=E$3,1,0)</f>
        <v>0</v>
      </c>
      <c r="CL71" s="58">
        <f>IF(DAY(INDEX('Сводный годовой график'!$BA$4:$BL$14,$C70,MONTH($B$64)))=F$3,1,0)</f>
        <v>0</v>
      </c>
      <c r="CM71" s="58">
        <f>IF(DAY(INDEX('Сводный годовой график'!$BA$4:$BL$14,$C70,MONTH($B$64)))=G$3,1,0)</f>
        <v>0</v>
      </c>
      <c r="CN71" s="58">
        <f>IF(DAY(INDEX('Сводный годовой график'!$BA$4:$BL$14,$C70,MONTH($B$64)))=H$3,1,0)</f>
        <v>0</v>
      </c>
      <c r="CO71" s="58">
        <f>IF(DAY(INDEX('Сводный годовой график'!$BA$4:$BL$14,$C70,MONTH($B$64)))=I$3,1,0)</f>
        <v>0</v>
      </c>
      <c r="CP71" s="58">
        <f>IF(DAY(INDEX('Сводный годовой график'!$BA$4:$BL$14,$C70,MONTH($B$64)))=J$3,1,0)</f>
        <v>0</v>
      </c>
      <c r="CQ71" s="58">
        <f>IF(DAY(INDEX('Сводный годовой график'!$BA$4:$BL$14,$C70,MONTH($B$64)))=K$3,1,0)</f>
        <v>0</v>
      </c>
      <c r="CR71" s="58">
        <f>IF(DAY(INDEX('Сводный годовой график'!$BA$4:$BL$14,$C70,MONTH($B$64)))=L$3,1,0)</f>
        <v>0</v>
      </c>
      <c r="CS71" s="58">
        <f>IF(DAY(INDEX('Сводный годовой график'!$BA$4:$BL$14,$C70,MONTH($B$64)))=M$3,1,0)</f>
        <v>0</v>
      </c>
      <c r="CT71" s="58">
        <f>IF(DAY(INDEX('Сводный годовой график'!$BA$4:$BL$14,$C70,MONTH($B$64)))=N$3,1,0)</f>
        <v>1</v>
      </c>
      <c r="CU71" s="58">
        <f>IF(DAY(INDEX('Сводный годовой график'!$BA$4:$BL$14,$C70,MONTH($B$64)))=O$3,1,0)</f>
        <v>0</v>
      </c>
      <c r="CV71" s="58">
        <f>IF(DAY(INDEX('Сводный годовой график'!$BA$4:$BL$14,$C70,MONTH($B$64)))=P$3,1,0)</f>
        <v>0</v>
      </c>
      <c r="CW71" s="58">
        <f>IF(DAY(INDEX('Сводный годовой график'!$BA$4:$BL$14,$C70,MONTH($B$64)))=Q$3,1,0)</f>
        <v>0</v>
      </c>
      <c r="CX71" s="58">
        <f>IF(DAY(INDEX('Сводный годовой график'!$BA$4:$BL$14,$C70,MONTH($B$64)))=R$3,1,0)</f>
        <v>0</v>
      </c>
      <c r="CY71" s="58">
        <f>IF(DAY(INDEX('Сводный годовой график'!$BA$4:$BL$14,$C70,MONTH($B$64)))=S$3,1,0)</f>
        <v>0</v>
      </c>
      <c r="CZ71" s="58">
        <f>IF(DAY(INDEX('Сводный годовой график'!$BA$4:$BL$14,$C70,MONTH($B$64)))=T$3,1,0)</f>
        <v>0</v>
      </c>
      <c r="DA71" s="58">
        <f>IF(DAY(INDEX('Сводный годовой график'!$BA$4:$BL$14,$C70,MONTH($B$64)))=U$3,1,0)</f>
        <v>0</v>
      </c>
      <c r="DB71" s="58">
        <f>IF(DAY(INDEX('Сводный годовой график'!$BA$4:$BL$14,$C70,MONTH($B$64)))=V$3,1,0)</f>
        <v>0</v>
      </c>
      <c r="DC71" s="58">
        <f>IF(DAY(INDEX('Сводный годовой график'!$BA$4:$BL$14,$C70,MONTH($B$64)))=W$3,1,0)</f>
        <v>0</v>
      </c>
      <c r="DD71" s="58">
        <f>IF(DAY(INDEX('Сводный годовой график'!$BA$4:$BL$14,$C70,MONTH($B$64)))=X$3,1,0)</f>
        <v>0</v>
      </c>
      <c r="DE71" s="58">
        <f>IF(DAY(INDEX('Сводный годовой график'!$BA$4:$BL$14,$C70,MONTH($B$64)))=Y$3,1,0)</f>
        <v>0</v>
      </c>
      <c r="DF71" s="58">
        <f>IF(DAY(INDEX('Сводный годовой график'!$BA$4:$BL$14,$C70,MONTH($B$64)))=Z$3,1,0)</f>
        <v>0</v>
      </c>
      <c r="DG71" s="58">
        <f>IF(DAY(INDEX('Сводный годовой график'!$BA$4:$BL$14,$C70,MONTH($B$64)))=AA$3,1,0)</f>
        <v>0</v>
      </c>
      <c r="DH71" s="58">
        <f>IF(DAY(INDEX('Сводный годовой график'!$BA$4:$BL$14,$C70,MONTH($B$64)))=AB$3,1,0)</f>
        <v>0</v>
      </c>
      <c r="DI71" s="58">
        <f>IF(DAY(INDEX('Сводный годовой график'!$BA$4:$BL$14,$C70,MONTH($B$64)))=AC$3,1,0)</f>
        <v>0</v>
      </c>
      <c r="DJ71" s="58">
        <f>IF(DAY(INDEX('Сводный годовой график'!$BA$4:$BL$14,$C70,MONTH($B$64)))=AD$3,1,0)</f>
        <v>0</v>
      </c>
      <c r="DK71" s="58">
        <f>IF(DAY(INDEX('Сводный годовой график'!$BA$4:$BL$14,$C70,MONTH($B$64)))=AE$3,1,0)</f>
        <v>0</v>
      </c>
      <c r="DL71" s="58">
        <f>IF(DAY(INDEX('Сводный годовой график'!$BA$4:$BL$14,$C70,MONTH($B$64)))=AF$3,1,0)</f>
        <v>0</v>
      </c>
      <c r="DM71" s="58">
        <f>IF(DAY(INDEX('Сводный годовой график'!$BA$4:$BL$14,$C70,MONTH($B$64)))=AG$3,1,0)</f>
        <v>0</v>
      </c>
      <c r="DN71" s="58">
        <f>IF(DAY(INDEX('Сводный годовой график'!$BA$4:$BL$14,$C70,MONTH($B$64)))=AH$3,1,0)</f>
        <v>0</v>
      </c>
      <c r="DO71" s="58">
        <f>IF(DAY(INDEX('Сводный годовой график'!$BA$4:$BL$14,$C70,MONTH($B$64)))=AI$3,1,0)</f>
        <v>0</v>
      </c>
    </row>
    <row r="72" spans="2:119" ht="15.75" hidden="1" x14ac:dyDescent="0.25">
      <c r="B72" s="201"/>
      <c r="C72" s="196">
        <v>5</v>
      </c>
      <c r="D72" s="81">
        <v>9</v>
      </c>
      <c r="E72" s="96"/>
      <c r="F72" s="92"/>
      <c r="G72" s="92"/>
      <c r="H72" s="92"/>
      <c r="I72" s="92"/>
      <c r="J72" s="92"/>
      <c r="K72" s="92"/>
      <c r="L72" s="92"/>
      <c r="M72" s="92"/>
      <c r="N72" s="92"/>
      <c r="O72" s="92"/>
      <c r="P72" s="92"/>
      <c r="Q72" s="92"/>
      <c r="R72" s="92"/>
      <c r="S72" s="92"/>
      <c r="T72" s="92"/>
      <c r="U72" s="92"/>
      <c r="V72" s="92"/>
      <c r="W72" s="92"/>
      <c r="X72" s="92"/>
      <c r="Y72" s="92"/>
      <c r="Z72" s="92"/>
      <c r="AA72" s="92"/>
      <c r="AB72" s="92"/>
      <c r="AC72" s="92"/>
      <c r="AD72" s="92"/>
      <c r="AE72" s="92"/>
      <c r="AF72" s="92"/>
      <c r="AG72" s="92"/>
      <c r="AH72" s="92"/>
      <c r="AI72" s="97"/>
      <c r="AJ72" s="263"/>
      <c r="AK72" s="223">
        <f>$AJ$64-SUM(AY72:CC73)</f>
        <v>184</v>
      </c>
      <c r="AL72" s="223">
        <f t="shared" ref="AL72" si="90">SUM(E72:AI73)</f>
        <v>0</v>
      </c>
      <c r="AM72" s="223">
        <v>0</v>
      </c>
      <c r="AN72" s="224">
        <f t="shared" ref="AN72" si="91">-AM72-AK72+AL72</f>
        <v>-184</v>
      </c>
      <c r="AO72" s="224">
        <v>0</v>
      </c>
      <c r="AP72" s="224">
        <f t="shared" ref="AP72" si="92">AN72+AP62</f>
        <v>-1141</v>
      </c>
      <c r="AQ72" s="223">
        <v>9</v>
      </c>
      <c r="AR72" s="264">
        <v>0</v>
      </c>
      <c r="CK72" s="59"/>
      <c r="CL72" s="59"/>
      <c r="CM72" s="59"/>
      <c r="CN72" s="59"/>
      <c r="CO72" s="59"/>
      <c r="CP72" s="59"/>
      <c r="CQ72" s="59"/>
      <c r="CR72" s="59"/>
      <c r="CS72" s="59"/>
      <c r="CT72" s="59"/>
      <c r="CU72" s="59"/>
      <c r="CV72" s="59"/>
      <c r="CW72" s="59"/>
      <c r="CX72" s="59"/>
      <c r="CY72" s="59"/>
      <c r="CZ72" s="59"/>
      <c r="DA72" s="59"/>
      <c r="DB72" s="59"/>
      <c r="DC72" s="59"/>
      <c r="DD72" s="59"/>
      <c r="DE72" s="59"/>
      <c r="DF72" s="59"/>
      <c r="DG72" s="59"/>
      <c r="DH72" s="59"/>
      <c r="DI72" s="59"/>
      <c r="DJ72" s="59"/>
      <c r="DK72" s="59"/>
      <c r="DL72" s="59"/>
      <c r="DM72" s="59"/>
      <c r="DN72" s="59"/>
      <c r="DO72" s="59"/>
    </row>
    <row r="73" spans="2:119" ht="16.5" hidden="1" thickBot="1" x14ac:dyDescent="0.3">
      <c r="B73" s="202"/>
      <c r="C73" s="197"/>
      <c r="D73" s="99">
        <v>10</v>
      </c>
      <c r="E73" s="87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91"/>
      <c r="AJ73" s="227"/>
      <c r="AK73" s="226"/>
      <c r="AL73" s="226"/>
      <c r="AM73" s="226"/>
      <c r="AN73" s="227"/>
      <c r="AO73" s="227"/>
      <c r="AP73" s="227"/>
      <c r="AQ73" s="226"/>
      <c r="AR73" s="265"/>
      <c r="CK73" s="58">
        <f>IF(DAY(INDEX('Сводный годовой график'!$BA$4:$BL$14,$C72,MONTH($B$64)))=E$3,1,0)</f>
        <v>0</v>
      </c>
      <c r="CL73" s="58">
        <f>IF(DAY(INDEX('Сводный годовой график'!$BA$4:$BL$14,$C72,MONTH($B$64)))=F$3,1,0)</f>
        <v>0</v>
      </c>
      <c r="CM73" s="58">
        <f>IF(DAY(INDEX('Сводный годовой график'!$BA$4:$BL$14,$C72,MONTH($B$64)))=G$3,1,0)</f>
        <v>0</v>
      </c>
      <c r="CN73" s="58">
        <f>IF(DAY(INDEX('Сводный годовой график'!$BA$4:$BL$14,$C72,MONTH($B$64)))=H$3,1,0)</f>
        <v>0</v>
      </c>
      <c r="CO73" s="58">
        <f>IF(DAY(INDEX('Сводный годовой график'!$BA$4:$BL$14,$C72,MONTH($B$64)))=I$3,1,0)</f>
        <v>0</v>
      </c>
      <c r="CP73" s="58">
        <f>IF(DAY(INDEX('Сводный годовой график'!$BA$4:$BL$14,$C72,MONTH($B$64)))=J$3,1,0)</f>
        <v>0</v>
      </c>
      <c r="CQ73" s="58">
        <f>IF(DAY(INDEX('Сводный годовой график'!$BA$4:$BL$14,$C72,MONTH($B$64)))=K$3,1,0)</f>
        <v>0</v>
      </c>
      <c r="CR73" s="58">
        <f>IF(DAY(INDEX('Сводный годовой график'!$BA$4:$BL$14,$C72,MONTH($B$64)))=L$3,1,0)</f>
        <v>0</v>
      </c>
      <c r="CS73" s="58">
        <f>IF(DAY(INDEX('Сводный годовой график'!$BA$4:$BL$14,$C72,MONTH($B$64)))=M$3,1,0)</f>
        <v>0</v>
      </c>
      <c r="CT73" s="58">
        <f>IF(DAY(INDEX('Сводный годовой график'!$BA$4:$BL$14,$C72,MONTH($B$64)))=N$3,1,0)</f>
        <v>0</v>
      </c>
      <c r="CU73" s="58">
        <f>IF(DAY(INDEX('Сводный годовой график'!$BA$4:$BL$14,$C72,MONTH($B$64)))=O$3,1,0)</f>
        <v>1</v>
      </c>
      <c r="CV73" s="58">
        <f>IF(DAY(INDEX('Сводный годовой график'!$BA$4:$BL$14,$C72,MONTH($B$64)))=P$3,1,0)</f>
        <v>0</v>
      </c>
      <c r="CW73" s="58">
        <f>IF(DAY(INDEX('Сводный годовой график'!$BA$4:$BL$14,$C72,MONTH($B$64)))=Q$3,1,0)</f>
        <v>0</v>
      </c>
      <c r="CX73" s="58">
        <f>IF(DAY(INDEX('Сводный годовой график'!$BA$4:$BL$14,$C72,MONTH($B$64)))=R$3,1,0)</f>
        <v>0</v>
      </c>
      <c r="CY73" s="58">
        <f>IF(DAY(INDEX('Сводный годовой график'!$BA$4:$BL$14,$C72,MONTH($B$64)))=S$3,1,0)</f>
        <v>0</v>
      </c>
      <c r="CZ73" s="58">
        <f>IF(DAY(INDEX('Сводный годовой график'!$BA$4:$BL$14,$C72,MONTH($B$64)))=T$3,1,0)</f>
        <v>0</v>
      </c>
      <c r="DA73" s="58">
        <f>IF(DAY(INDEX('Сводный годовой график'!$BA$4:$BL$14,$C72,MONTH($B$64)))=U$3,1,0)</f>
        <v>0</v>
      </c>
      <c r="DB73" s="58">
        <f>IF(DAY(INDEX('Сводный годовой график'!$BA$4:$BL$14,$C72,MONTH($B$64)))=V$3,1,0)</f>
        <v>0</v>
      </c>
      <c r="DC73" s="58">
        <f>IF(DAY(INDEX('Сводный годовой график'!$BA$4:$BL$14,$C72,MONTH($B$64)))=W$3,1,0)</f>
        <v>0</v>
      </c>
      <c r="DD73" s="58">
        <f>IF(DAY(INDEX('Сводный годовой график'!$BA$4:$BL$14,$C72,MONTH($B$64)))=X$3,1,0)</f>
        <v>0</v>
      </c>
      <c r="DE73" s="58">
        <f>IF(DAY(INDEX('Сводный годовой график'!$BA$4:$BL$14,$C72,MONTH($B$64)))=Y$3,1,0)</f>
        <v>0</v>
      </c>
      <c r="DF73" s="58">
        <f>IF(DAY(INDEX('Сводный годовой график'!$BA$4:$BL$14,$C72,MONTH($B$64)))=Z$3,1,0)</f>
        <v>0</v>
      </c>
      <c r="DG73" s="58">
        <f>IF(DAY(INDEX('Сводный годовой график'!$BA$4:$BL$14,$C72,MONTH($B$64)))=AA$3,1,0)</f>
        <v>0</v>
      </c>
      <c r="DH73" s="58">
        <f>IF(DAY(INDEX('Сводный годовой график'!$BA$4:$BL$14,$C72,MONTH($B$64)))=AB$3,1,0)</f>
        <v>0</v>
      </c>
      <c r="DI73" s="58">
        <f>IF(DAY(INDEX('Сводный годовой график'!$BA$4:$BL$14,$C72,MONTH($B$64)))=AC$3,1,0)</f>
        <v>0</v>
      </c>
      <c r="DJ73" s="58">
        <f>IF(DAY(INDEX('Сводный годовой график'!$BA$4:$BL$14,$C72,MONTH($B$64)))=AD$3,1,0)</f>
        <v>0</v>
      </c>
      <c r="DK73" s="58">
        <f>IF(DAY(INDEX('Сводный годовой график'!$BA$4:$BL$14,$C72,MONTH($B$64)))=AE$3,1,0)</f>
        <v>0</v>
      </c>
      <c r="DL73" s="58">
        <f>IF(DAY(INDEX('Сводный годовой график'!$BA$4:$BL$14,$C72,MONTH($B$64)))=AF$3,1,0)</f>
        <v>0</v>
      </c>
      <c r="DM73" s="58">
        <f>IF(DAY(INDEX('Сводный годовой график'!$BA$4:$BL$14,$C72,MONTH($B$64)))=AG$3,1,0)</f>
        <v>0</v>
      </c>
      <c r="DN73" s="58">
        <f>IF(DAY(INDEX('Сводный годовой график'!$BA$4:$BL$14,$C72,MONTH($B$64)))=AH$3,1,0)</f>
        <v>0</v>
      </c>
      <c r="DO73" s="58">
        <f>IF(DAY(INDEX('Сводный годовой график'!$BA$4:$BL$14,$C72,MONTH($B$64)))=AI$3,1,0)</f>
        <v>0</v>
      </c>
    </row>
    <row r="74" spans="2:119" ht="17.25" hidden="1" customHeight="1" thickTop="1" x14ac:dyDescent="0.25">
      <c r="B74" s="200">
        <f>DATE($AV$1,8,1)</f>
        <v>45870</v>
      </c>
      <c r="C74" s="196">
        <v>1</v>
      </c>
      <c r="D74" s="81">
        <v>1</v>
      </c>
      <c r="E74" s="83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95"/>
      <c r="AJ74" s="228">
        <f>INDEX(Подключения!$D$3:$H$14,MONTH(B74),5)</f>
        <v>168</v>
      </c>
      <c r="AK74" s="173">
        <f>$AJ$74-SUM(AY74:CC75)</f>
        <v>168</v>
      </c>
      <c r="AL74" s="173">
        <f t="shared" ref="AL74" si="93">SUM(E74:AI75)</f>
        <v>0</v>
      </c>
      <c r="AM74" s="173">
        <v>0</v>
      </c>
      <c r="AN74" s="262">
        <f t="shared" ref="AN74" si="94">-AM74-AK74+AL74</f>
        <v>-168</v>
      </c>
      <c r="AO74" s="262">
        <v>30</v>
      </c>
      <c r="AP74" s="262">
        <f ca="1">AN74+AP64-AO74</f>
        <v>-321</v>
      </c>
      <c r="AQ74" s="173">
        <v>20</v>
      </c>
      <c r="AR74" s="261">
        <v>1</v>
      </c>
      <c r="CK74" s="59"/>
      <c r="CL74" s="59"/>
      <c r="CM74" s="59"/>
      <c r="CN74" s="59"/>
      <c r="CO74" s="59"/>
      <c r="CP74" s="59"/>
      <c r="CQ74" s="59"/>
      <c r="CR74" s="59"/>
      <c r="CS74" s="59"/>
      <c r="CT74" s="59"/>
      <c r="CU74" s="59"/>
      <c r="CV74" s="59"/>
      <c r="CW74" s="59"/>
      <c r="CX74" s="59"/>
      <c r="CY74" s="59"/>
      <c r="CZ74" s="59"/>
      <c r="DA74" s="59"/>
      <c r="DB74" s="59"/>
      <c r="DC74" s="59"/>
      <c r="DD74" s="59"/>
      <c r="DE74" s="59"/>
      <c r="DF74" s="59"/>
      <c r="DG74" s="59"/>
      <c r="DH74" s="59"/>
      <c r="DI74" s="59"/>
      <c r="DJ74" s="59"/>
      <c r="DK74" s="59"/>
      <c r="DL74" s="59"/>
      <c r="DM74" s="59"/>
      <c r="DN74" s="59"/>
      <c r="DO74" s="59"/>
    </row>
    <row r="75" spans="2:119" ht="16.5" hidden="1" thickBot="1" x14ac:dyDescent="0.3">
      <c r="B75" s="201"/>
      <c r="C75" s="197"/>
      <c r="D75" s="82">
        <v>2</v>
      </c>
      <c r="E75" s="96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92"/>
      <c r="Y75" s="92"/>
      <c r="Z75" s="92"/>
      <c r="AA75" s="92"/>
      <c r="AB75" s="92"/>
      <c r="AC75" s="92"/>
      <c r="AD75" s="92"/>
      <c r="AE75" s="92"/>
      <c r="AF75" s="92"/>
      <c r="AG75" s="92"/>
      <c r="AH75" s="92"/>
      <c r="AI75" s="97"/>
      <c r="AJ75" s="263"/>
      <c r="AK75" s="171"/>
      <c r="AL75" s="171"/>
      <c r="AM75" s="171"/>
      <c r="AN75" s="258"/>
      <c r="AO75" s="258"/>
      <c r="AP75" s="258"/>
      <c r="AQ75" s="171"/>
      <c r="AR75" s="256"/>
      <c r="CK75" s="58">
        <f>IF(DAY(INDEX('Сводный годовой график'!$BA$4:$BL$14,$C74,MONTH($B$74)))=E$3,1,0)</f>
        <v>0</v>
      </c>
      <c r="CL75" s="58">
        <f>IF(DAY(INDEX('Сводный годовой график'!$BA$4:$BL$14,$C74,MONTH($B$74)))=F$3,1,0)</f>
        <v>0</v>
      </c>
      <c r="CM75" s="58">
        <f>IF(DAY(INDEX('Сводный годовой график'!$BA$4:$BL$14,$C74,MONTH($B$74)))=G$3,1,0)</f>
        <v>0</v>
      </c>
      <c r="CN75" s="58">
        <f>IF(DAY(INDEX('Сводный годовой график'!$BA$4:$BL$14,$C74,MONTH($B$74)))=H$3,1,0)</f>
        <v>0</v>
      </c>
      <c r="CO75" s="58">
        <f>IF(DAY(INDEX('Сводный годовой график'!$BA$4:$BL$14,$C74,MONTH($B$74)))=I$3,1,0)</f>
        <v>0</v>
      </c>
      <c r="CP75" s="58">
        <f>IF(DAY(INDEX('Сводный годовой график'!$BA$4:$BL$14,$C74,MONTH($B$74)))=J$3,1,0)</f>
        <v>0</v>
      </c>
      <c r="CQ75" s="58">
        <f>IF(DAY(INDEX('Сводный годовой график'!$BA$4:$BL$14,$C74,MONTH($B$74)))=K$3,1,0)</f>
        <v>0</v>
      </c>
      <c r="CR75" s="58">
        <f>IF(DAY(INDEX('Сводный годовой график'!$BA$4:$BL$14,$C74,MONTH($B$74)))=L$3,1,0)</f>
        <v>1</v>
      </c>
      <c r="CS75" s="58">
        <f>IF(DAY(INDEX('Сводный годовой график'!$BA$4:$BL$14,$C74,MONTH($B$74)))=M$3,1,0)</f>
        <v>0</v>
      </c>
      <c r="CT75" s="58">
        <f>IF(DAY(INDEX('Сводный годовой график'!$BA$4:$BL$14,$C74,MONTH($B$74)))=N$3,1,0)</f>
        <v>0</v>
      </c>
      <c r="CU75" s="58">
        <f>IF(DAY(INDEX('Сводный годовой график'!$BA$4:$BL$14,$C74,MONTH($B$74)))=O$3,1,0)</f>
        <v>0</v>
      </c>
      <c r="CV75" s="58">
        <f>IF(DAY(INDEX('Сводный годовой график'!$BA$4:$BL$14,$C74,MONTH($B$74)))=P$3,1,0)</f>
        <v>0</v>
      </c>
      <c r="CW75" s="58">
        <f>IF(DAY(INDEX('Сводный годовой график'!$BA$4:$BL$14,$C74,MONTH($B$74)))=Q$3,1,0)</f>
        <v>0</v>
      </c>
      <c r="CX75" s="58">
        <f>IF(DAY(INDEX('Сводный годовой график'!$BA$4:$BL$14,$C74,MONTH($B$74)))=R$3,1,0)</f>
        <v>0</v>
      </c>
      <c r="CY75" s="58">
        <f>IF(DAY(INDEX('Сводный годовой график'!$BA$4:$BL$14,$C74,MONTH($B$74)))=S$3,1,0)</f>
        <v>0</v>
      </c>
      <c r="CZ75" s="58">
        <f>IF(DAY(INDEX('Сводный годовой график'!$BA$4:$BL$14,$C74,MONTH($B$74)))=T$3,1,0)</f>
        <v>0</v>
      </c>
      <c r="DA75" s="58">
        <f>IF(DAY(INDEX('Сводный годовой график'!$BA$4:$BL$14,$C74,MONTH($B$74)))=U$3,1,0)</f>
        <v>0</v>
      </c>
      <c r="DB75" s="58">
        <f>IF(DAY(INDEX('Сводный годовой график'!$BA$4:$BL$14,$C74,MONTH($B$74)))=V$3,1,0)</f>
        <v>0</v>
      </c>
      <c r="DC75" s="58">
        <f>IF(DAY(INDEX('Сводный годовой график'!$BA$4:$BL$14,$C74,MONTH($B$74)))=W$3,1,0)</f>
        <v>0</v>
      </c>
      <c r="DD75" s="58">
        <f>IF(DAY(INDEX('Сводный годовой график'!$BA$4:$BL$14,$C74,MONTH($B$74)))=X$3,1,0)</f>
        <v>0</v>
      </c>
      <c r="DE75" s="58">
        <f>IF(DAY(INDEX('Сводный годовой график'!$BA$4:$BL$14,$C74,MONTH($B$74)))=Y$3,1,0)</f>
        <v>0</v>
      </c>
      <c r="DF75" s="58">
        <f>IF(DAY(INDEX('Сводный годовой график'!$BA$4:$BL$14,$C74,MONTH($B$74)))=Z$3,1,0)</f>
        <v>0</v>
      </c>
      <c r="DG75" s="58">
        <f>IF(DAY(INDEX('Сводный годовой график'!$BA$4:$BL$14,$C74,MONTH($B$74)))=AA$3,1,0)</f>
        <v>0</v>
      </c>
      <c r="DH75" s="58">
        <f>IF(DAY(INDEX('Сводный годовой график'!$BA$4:$BL$14,$C74,MONTH($B$74)))=AB$3,1,0)</f>
        <v>0</v>
      </c>
      <c r="DI75" s="58">
        <f>IF(DAY(INDEX('Сводный годовой график'!$BA$4:$BL$14,$C74,MONTH($B$74)))=AC$3,1,0)</f>
        <v>0</v>
      </c>
      <c r="DJ75" s="58">
        <f>IF(DAY(INDEX('Сводный годовой график'!$BA$4:$BL$14,$C74,MONTH($B$74)))=AD$3,1,0)</f>
        <v>0</v>
      </c>
      <c r="DK75" s="58">
        <f>IF(DAY(INDEX('Сводный годовой график'!$BA$4:$BL$14,$C74,MONTH($B$74)))=AE$3,1,0)</f>
        <v>0</v>
      </c>
      <c r="DL75" s="58">
        <f>IF(DAY(INDEX('Сводный годовой график'!$BA$4:$BL$14,$C74,MONTH($B$74)))=AF$3,1,0)</f>
        <v>0</v>
      </c>
      <c r="DM75" s="58">
        <f>IF(DAY(INDEX('Сводный годовой график'!$BA$4:$BL$14,$C74,MONTH($B$74)))=AG$3,1,0)</f>
        <v>0</v>
      </c>
      <c r="DN75" s="58">
        <f>IF(DAY(INDEX('Сводный годовой график'!$BA$4:$BL$14,$C74,MONTH($B$74)))=AH$3,1,0)</f>
        <v>0</v>
      </c>
      <c r="DO75" s="58">
        <f>IF(DAY(INDEX('Сводный годовой график'!$BA$4:$BL$14,$C74,MONTH($B$74)))=AI$3,1,0)</f>
        <v>0</v>
      </c>
    </row>
    <row r="76" spans="2:119" ht="15.75" hidden="1" x14ac:dyDescent="0.25">
      <c r="B76" s="201"/>
      <c r="C76" s="196">
        <v>2</v>
      </c>
      <c r="D76" s="81">
        <v>3</v>
      </c>
      <c r="E76" s="96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92"/>
      <c r="Y76" s="92"/>
      <c r="Z76" s="92"/>
      <c r="AA76" s="92"/>
      <c r="AB76" s="92"/>
      <c r="AC76" s="92"/>
      <c r="AD76" s="92"/>
      <c r="AE76" s="92"/>
      <c r="AF76" s="92"/>
      <c r="AG76" s="92"/>
      <c r="AH76" s="92"/>
      <c r="AI76" s="97"/>
      <c r="AJ76" s="263"/>
      <c r="AK76" s="170">
        <f>$AJ$74-SUM(AY76:CC77)</f>
        <v>168</v>
      </c>
      <c r="AL76" s="170">
        <f t="shared" ref="AL76" si="95">SUM(E76:AI77)</f>
        <v>0</v>
      </c>
      <c r="AM76" s="170">
        <v>0</v>
      </c>
      <c r="AN76" s="257">
        <f t="shared" ref="AN76" si="96">-AM76-AK76+AL76</f>
        <v>-168</v>
      </c>
      <c r="AO76" s="257">
        <v>18</v>
      </c>
      <c r="AP76" s="257">
        <f ca="1">AN76+AP66-AO76</f>
        <v>-329</v>
      </c>
      <c r="AQ76" s="170">
        <v>8</v>
      </c>
      <c r="AR76" s="255">
        <v>1</v>
      </c>
      <c r="CK76" s="59"/>
      <c r="CL76" s="59"/>
      <c r="CM76" s="59"/>
      <c r="CN76" s="59"/>
      <c r="CO76" s="59"/>
      <c r="CP76" s="59"/>
      <c r="CQ76" s="59"/>
      <c r="CR76" s="59"/>
      <c r="CS76" s="59"/>
      <c r="CT76" s="59"/>
      <c r="CU76" s="59"/>
      <c r="CV76" s="59"/>
      <c r="CW76" s="59"/>
      <c r="CX76" s="59"/>
      <c r="CY76" s="59"/>
      <c r="CZ76" s="59"/>
      <c r="DA76" s="59"/>
      <c r="DB76" s="59"/>
      <c r="DC76" s="59"/>
      <c r="DD76" s="59"/>
      <c r="DE76" s="59"/>
      <c r="DF76" s="59"/>
      <c r="DG76" s="59"/>
      <c r="DH76" s="59"/>
      <c r="DI76" s="59"/>
      <c r="DJ76" s="59"/>
      <c r="DK76" s="59"/>
      <c r="DL76" s="59"/>
      <c r="DM76" s="59"/>
      <c r="DN76" s="59"/>
      <c r="DO76" s="59"/>
    </row>
    <row r="77" spans="2:119" ht="16.5" hidden="1" thickBot="1" x14ac:dyDescent="0.3">
      <c r="B77" s="201"/>
      <c r="C77" s="197"/>
      <c r="D77" s="82">
        <v>4</v>
      </c>
      <c r="E77" s="96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92"/>
      <c r="Y77" s="92"/>
      <c r="Z77" s="92"/>
      <c r="AA77" s="92"/>
      <c r="AB77" s="92"/>
      <c r="AC77" s="92"/>
      <c r="AD77" s="92"/>
      <c r="AE77" s="92"/>
      <c r="AF77" s="92"/>
      <c r="AG77" s="92"/>
      <c r="AH77" s="92"/>
      <c r="AI77" s="97"/>
      <c r="AJ77" s="263"/>
      <c r="AK77" s="171"/>
      <c r="AL77" s="171"/>
      <c r="AM77" s="171"/>
      <c r="AN77" s="258"/>
      <c r="AO77" s="258"/>
      <c r="AP77" s="258"/>
      <c r="AQ77" s="171"/>
      <c r="AR77" s="256"/>
      <c r="CK77" s="58">
        <f>IF(DAY(INDEX('Сводный годовой график'!$BA$4:$BL$14,$C76,MONTH($B$74)))=E$3,1,0)</f>
        <v>0</v>
      </c>
      <c r="CL77" s="58">
        <f>IF(DAY(INDEX('Сводный годовой график'!$BA$4:$BL$14,$C76,MONTH($B$74)))=F$3,1,0)</f>
        <v>0</v>
      </c>
      <c r="CM77" s="58">
        <f>IF(DAY(INDEX('Сводный годовой график'!$BA$4:$BL$14,$C76,MONTH($B$74)))=G$3,1,0)</f>
        <v>0</v>
      </c>
      <c r="CN77" s="58">
        <f>IF(DAY(INDEX('Сводный годовой график'!$BA$4:$BL$14,$C76,MONTH($B$74)))=H$3,1,0)</f>
        <v>0</v>
      </c>
      <c r="CO77" s="58">
        <f>IF(DAY(INDEX('Сводный годовой график'!$BA$4:$BL$14,$C76,MONTH($B$74)))=I$3,1,0)</f>
        <v>0</v>
      </c>
      <c r="CP77" s="58">
        <f>IF(DAY(INDEX('Сводный годовой график'!$BA$4:$BL$14,$C76,MONTH($B$74)))=J$3,1,0)</f>
        <v>0</v>
      </c>
      <c r="CQ77" s="58">
        <f>IF(DAY(INDEX('Сводный годовой график'!$BA$4:$BL$14,$C76,MONTH($B$74)))=K$3,1,0)</f>
        <v>0</v>
      </c>
      <c r="CR77" s="58">
        <f>IF(DAY(INDEX('Сводный годовой график'!$BA$4:$BL$14,$C76,MONTH($B$74)))=L$3,1,0)</f>
        <v>0</v>
      </c>
      <c r="CS77" s="58">
        <f>IF(DAY(INDEX('Сводный годовой график'!$BA$4:$BL$14,$C76,MONTH($B$74)))=M$3,1,0)</f>
        <v>1</v>
      </c>
      <c r="CT77" s="58">
        <f>IF(DAY(INDEX('Сводный годовой график'!$BA$4:$BL$14,$C76,MONTH($B$74)))=N$3,1,0)</f>
        <v>0</v>
      </c>
      <c r="CU77" s="58">
        <f>IF(DAY(INDEX('Сводный годовой график'!$BA$4:$BL$14,$C76,MONTH($B$74)))=O$3,1,0)</f>
        <v>0</v>
      </c>
      <c r="CV77" s="58">
        <f>IF(DAY(INDEX('Сводный годовой график'!$BA$4:$BL$14,$C76,MONTH($B$74)))=P$3,1,0)</f>
        <v>0</v>
      </c>
      <c r="CW77" s="58">
        <f>IF(DAY(INDEX('Сводный годовой график'!$BA$4:$BL$14,$C76,MONTH($B$74)))=Q$3,1,0)</f>
        <v>0</v>
      </c>
      <c r="CX77" s="58">
        <f>IF(DAY(INDEX('Сводный годовой график'!$BA$4:$BL$14,$C76,MONTH($B$74)))=R$3,1,0)</f>
        <v>0</v>
      </c>
      <c r="CY77" s="58">
        <f>IF(DAY(INDEX('Сводный годовой график'!$BA$4:$BL$14,$C76,MONTH($B$74)))=S$3,1,0)</f>
        <v>0</v>
      </c>
      <c r="CZ77" s="58">
        <f>IF(DAY(INDEX('Сводный годовой график'!$BA$4:$BL$14,$C76,MONTH($B$74)))=T$3,1,0)</f>
        <v>0</v>
      </c>
      <c r="DA77" s="58">
        <f>IF(DAY(INDEX('Сводный годовой график'!$BA$4:$BL$14,$C76,MONTH($B$74)))=U$3,1,0)</f>
        <v>0</v>
      </c>
      <c r="DB77" s="58">
        <f>IF(DAY(INDEX('Сводный годовой график'!$BA$4:$BL$14,$C76,MONTH($B$74)))=V$3,1,0)</f>
        <v>0</v>
      </c>
      <c r="DC77" s="58">
        <f>IF(DAY(INDEX('Сводный годовой график'!$BA$4:$BL$14,$C76,MONTH($B$74)))=W$3,1,0)</f>
        <v>0</v>
      </c>
      <c r="DD77" s="58">
        <f>IF(DAY(INDEX('Сводный годовой график'!$BA$4:$BL$14,$C76,MONTH($B$74)))=X$3,1,0)</f>
        <v>0</v>
      </c>
      <c r="DE77" s="58">
        <f>IF(DAY(INDEX('Сводный годовой график'!$BA$4:$BL$14,$C76,MONTH($B$74)))=Y$3,1,0)</f>
        <v>0</v>
      </c>
      <c r="DF77" s="58">
        <f>IF(DAY(INDEX('Сводный годовой график'!$BA$4:$BL$14,$C76,MONTH($B$74)))=Z$3,1,0)</f>
        <v>0</v>
      </c>
      <c r="DG77" s="58">
        <f>IF(DAY(INDEX('Сводный годовой график'!$BA$4:$BL$14,$C76,MONTH($B$74)))=AA$3,1,0)</f>
        <v>0</v>
      </c>
      <c r="DH77" s="58">
        <f>IF(DAY(INDEX('Сводный годовой график'!$BA$4:$BL$14,$C76,MONTH($B$74)))=AB$3,1,0)</f>
        <v>0</v>
      </c>
      <c r="DI77" s="58">
        <f>IF(DAY(INDEX('Сводный годовой график'!$BA$4:$BL$14,$C76,MONTH($B$74)))=AC$3,1,0)</f>
        <v>0</v>
      </c>
      <c r="DJ77" s="58">
        <f>IF(DAY(INDEX('Сводный годовой график'!$BA$4:$BL$14,$C76,MONTH($B$74)))=AD$3,1,0)</f>
        <v>0</v>
      </c>
      <c r="DK77" s="58">
        <f>IF(DAY(INDEX('Сводный годовой график'!$BA$4:$BL$14,$C76,MONTH($B$74)))=AE$3,1,0)</f>
        <v>0</v>
      </c>
      <c r="DL77" s="58">
        <f>IF(DAY(INDEX('Сводный годовой график'!$BA$4:$BL$14,$C76,MONTH($B$74)))=AF$3,1,0)</f>
        <v>0</v>
      </c>
      <c r="DM77" s="58">
        <f>IF(DAY(INDEX('Сводный годовой график'!$BA$4:$BL$14,$C76,MONTH($B$74)))=AG$3,1,0)</f>
        <v>0</v>
      </c>
      <c r="DN77" s="58">
        <f>IF(DAY(INDEX('Сводный годовой график'!$BA$4:$BL$14,$C76,MONTH($B$74)))=AH$3,1,0)</f>
        <v>0</v>
      </c>
      <c r="DO77" s="58">
        <f>IF(DAY(INDEX('Сводный годовой график'!$BA$4:$BL$14,$C76,MONTH($B$74)))=AI$3,1,0)</f>
        <v>0</v>
      </c>
    </row>
    <row r="78" spans="2:119" ht="15.75" hidden="1" x14ac:dyDescent="0.25">
      <c r="B78" s="201"/>
      <c r="C78" s="196">
        <v>3</v>
      </c>
      <c r="D78" s="81">
        <v>5</v>
      </c>
      <c r="E78" s="96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92"/>
      <c r="Y78" s="92"/>
      <c r="Z78" s="92"/>
      <c r="AA78" s="92"/>
      <c r="AB78" s="92"/>
      <c r="AC78" s="92"/>
      <c r="AD78" s="92"/>
      <c r="AE78" s="92"/>
      <c r="AF78" s="92"/>
      <c r="AG78" s="92"/>
      <c r="AH78" s="92"/>
      <c r="AI78" s="97"/>
      <c r="AJ78" s="263"/>
      <c r="AK78" s="170">
        <f>$AJ$74-SUM(AY78:CC79)</f>
        <v>168</v>
      </c>
      <c r="AL78" s="170">
        <f t="shared" ref="AL78" si="97">SUM(E78:AI79)</f>
        <v>0</v>
      </c>
      <c r="AM78" s="170">
        <v>0</v>
      </c>
      <c r="AN78" s="257">
        <f t="shared" ref="AN78" si="98">-AM78-AK78+AL78</f>
        <v>-168</v>
      </c>
      <c r="AO78" s="257">
        <v>18</v>
      </c>
      <c r="AP78" s="257">
        <f ca="1">AN78+AP68-AO78</f>
        <v>-303</v>
      </c>
      <c r="AQ78" s="170">
        <v>0</v>
      </c>
      <c r="AR78" s="255">
        <v>1</v>
      </c>
      <c r="CK78" s="59"/>
      <c r="CL78" s="59"/>
      <c r="CM78" s="59"/>
      <c r="CN78" s="59"/>
      <c r="CO78" s="59"/>
      <c r="CP78" s="59"/>
      <c r="CQ78" s="59"/>
      <c r="CR78" s="59"/>
      <c r="CS78" s="59"/>
      <c r="CT78" s="59"/>
      <c r="CU78" s="59"/>
      <c r="CV78" s="59"/>
      <c r="CW78" s="59"/>
      <c r="CX78" s="59"/>
      <c r="CY78" s="59"/>
      <c r="CZ78" s="59"/>
      <c r="DA78" s="59"/>
      <c r="DB78" s="59"/>
      <c r="DC78" s="59"/>
      <c r="DD78" s="59"/>
      <c r="DE78" s="59"/>
      <c r="DF78" s="59"/>
      <c r="DG78" s="59"/>
      <c r="DH78" s="59"/>
      <c r="DI78" s="59"/>
      <c r="DJ78" s="59"/>
      <c r="DK78" s="59"/>
      <c r="DL78" s="59"/>
      <c r="DM78" s="59"/>
      <c r="DN78" s="59"/>
      <c r="DO78" s="59"/>
    </row>
    <row r="79" spans="2:119" ht="16.5" hidden="1" thickBot="1" x14ac:dyDescent="0.3">
      <c r="B79" s="201"/>
      <c r="C79" s="197"/>
      <c r="D79" s="82">
        <v>6</v>
      </c>
      <c r="E79" s="96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92"/>
      <c r="Y79" s="92"/>
      <c r="Z79" s="92"/>
      <c r="AA79" s="92"/>
      <c r="AB79" s="92"/>
      <c r="AC79" s="92"/>
      <c r="AD79" s="92"/>
      <c r="AE79" s="92"/>
      <c r="AF79" s="92"/>
      <c r="AG79" s="92"/>
      <c r="AH79" s="92"/>
      <c r="AI79" s="97"/>
      <c r="AJ79" s="263"/>
      <c r="AK79" s="171"/>
      <c r="AL79" s="171"/>
      <c r="AM79" s="171"/>
      <c r="AN79" s="258"/>
      <c r="AO79" s="258"/>
      <c r="AP79" s="258"/>
      <c r="AQ79" s="171"/>
      <c r="AR79" s="256"/>
      <c r="CK79" s="58">
        <f>IF(DAY(INDEX('Сводный годовой график'!$BA$4:$BL$14,$C78,MONTH($B$74)))=E$3,1,0)</f>
        <v>0</v>
      </c>
      <c r="CL79" s="58">
        <f>IF(DAY(INDEX('Сводный годовой график'!$BA$4:$BL$14,$C78,MONTH($B$74)))=F$3,1,0)</f>
        <v>0</v>
      </c>
      <c r="CM79" s="58">
        <f>IF(DAY(INDEX('Сводный годовой график'!$BA$4:$BL$14,$C78,MONTH($B$74)))=G$3,1,0)</f>
        <v>0</v>
      </c>
      <c r="CN79" s="58">
        <f>IF(DAY(INDEX('Сводный годовой график'!$BA$4:$BL$14,$C78,MONTH($B$74)))=H$3,1,0)</f>
        <v>0</v>
      </c>
      <c r="CO79" s="58">
        <f>IF(DAY(INDEX('Сводный годовой график'!$BA$4:$BL$14,$C78,MONTH($B$74)))=I$3,1,0)</f>
        <v>0</v>
      </c>
      <c r="CP79" s="58">
        <f>IF(DAY(INDEX('Сводный годовой график'!$BA$4:$BL$14,$C78,MONTH($B$74)))=J$3,1,0)</f>
        <v>0</v>
      </c>
      <c r="CQ79" s="58">
        <f>IF(DAY(INDEX('Сводный годовой график'!$BA$4:$BL$14,$C78,MONTH($B$74)))=K$3,1,0)</f>
        <v>0</v>
      </c>
      <c r="CR79" s="58">
        <f>IF(DAY(INDEX('Сводный годовой график'!$BA$4:$BL$14,$C78,MONTH($B$74)))=L$3,1,0)</f>
        <v>0</v>
      </c>
      <c r="CS79" s="58">
        <f>IF(DAY(INDEX('Сводный годовой график'!$BA$4:$BL$14,$C78,MONTH($B$74)))=M$3,1,0)</f>
        <v>0</v>
      </c>
      <c r="CT79" s="58">
        <f>IF(DAY(INDEX('Сводный годовой график'!$BA$4:$BL$14,$C78,MONTH($B$74)))=N$3,1,0)</f>
        <v>1</v>
      </c>
      <c r="CU79" s="58">
        <f>IF(DAY(INDEX('Сводный годовой график'!$BA$4:$BL$14,$C78,MONTH($B$74)))=O$3,1,0)</f>
        <v>0</v>
      </c>
      <c r="CV79" s="58">
        <f>IF(DAY(INDEX('Сводный годовой график'!$BA$4:$BL$14,$C78,MONTH($B$74)))=P$3,1,0)</f>
        <v>0</v>
      </c>
      <c r="CW79" s="58">
        <f>IF(DAY(INDEX('Сводный годовой график'!$BA$4:$BL$14,$C78,MONTH($B$74)))=Q$3,1,0)</f>
        <v>0</v>
      </c>
      <c r="CX79" s="58">
        <f>IF(DAY(INDEX('Сводный годовой график'!$BA$4:$BL$14,$C78,MONTH($B$74)))=R$3,1,0)</f>
        <v>0</v>
      </c>
      <c r="CY79" s="58">
        <f>IF(DAY(INDEX('Сводный годовой график'!$BA$4:$BL$14,$C78,MONTH($B$74)))=S$3,1,0)</f>
        <v>0</v>
      </c>
      <c r="CZ79" s="58">
        <f>IF(DAY(INDEX('Сводный годовой график'!$BA$4:$BL$14,$C78,MONTH($B$74)))=T$3,1,0)</f>
        <v>0</v>
      </c>
      <c r="DA79" s="58">
        <f>IF(DAY(INDEX('Сводный годовой график'!$BA$4:$BL$14,$C78,MONTH($B$74)))=U$3,1,0)</f>
        <v>0</v>
      </c>
      <c r="DB79" s="58">
        <f>IF(DAY(INDEX('Сводный годовой график'!$BA$4:$BL$14,$C78,MONTH($B$74)))=V$3,1,0)</f>
        <v>0</v>
      </c>
      <c r="DC79" s="58">
        <f>IF(DAY(INDEX('Сводный годовой график'!$BA$4:$BL$14,$C78,MONTH($B$74)))=W$3,1,0)</f>
        <v>0</v>
      </c>
      <c r="DD79" s="58">
        <f>IF(DAY(INDEX('Сводный годовой график'!$BA$4:$BL$14,$C78,MONTH($B$74)))=X$3,1,0)</f>
        <v>0</v>
      </c>
      <c r="DE79" s="58">
        <f>IF(DAY(INDEX('Сводный годовой график'!$BA$4:$BL$14,$C78,MONTH($B$74)))=Y$3,1,0)</f>
        <v>0</v>
      </c>
      <c r="DF79" s="58">
        <f>IF(DAY(INDEX('Сводный годовой график'!$BA$4:$BL$14,$C78,MONTH($B$74)))=Z$3,1,0)</f>
        <v>0</v>
      </c>
      <c r="DG79" s="58">
        <f>IF(DAY(INDEX('Сводный годовой график'!$BA$4:$BL$14,$C78,MONTH($B$74)))=AA$3,1,0)</f>
        <v>0</v>
      </c>
      <c r="DH79" s="58">
        <f>IF(DAY(INDEX('Сводный годовой график'!$BA$4:$BL$14,$C78,MONTH($B$74)))=AB$3,1,0)</f>
        <v>0</v>
      </c>
      <c r="DI79" s="58">
        <f>IF(DAY(INDEX('Сводный годовой график'!$BA$4:$BL$14,$C78,MONTH($B$74)))=AC$3,1,0)</f>
        <v>0</v>
      </c>
      <c r="DJ79" s="58">
        <f>IF(DAY(INDEX('Сводный годовой график'!$BA$4:$BL$14,$C78,MONTH($B$74)))=AD$3,1,0)</f>
        <v>0</v>
      </c>
      <c r="DK79" s="58">
        <f>IF(DAY(INDEX('Сводный годовой график'!$BA$4:$BL$14,$C78,MONTH($B$74)))=AE$3,1,0)</f>
        <v>0</v>
      </c>
      <c r="DL79" s="58">
        <f>IF(DAY(INDEX('Сводный годовой график'!$BA$4:$BL$14,$C78,MONTH($B$74)))=AF$3,1,0)</f>
        <v>0</v>
      </c>
      <c r="DM79" s="58">
        <f>IF(DAY(INDEX('Сводный годовой график'!$BA$4:$BL$14,$C78,MONTH($B$74)))=AG$3,1,0)</f>
        <v>0</v>
      </c>
      <c r="DN79" s="58">
        <f>IF(DAY(INDEX('Сводный годовой график'!$BA$4:$BL$14,$C78,MONTH($B$74)))=AH$3,1,0)</f>
        <v>0</v>
      </c>
      <c r="DO79" s="58">
        <f>IF(DAY(INDEX('Сводный годовой график'!$BA$4:$BL$14,$C78,MONTH($B$74)))=AI$3,1,0)</f>
        <v>0</v>
      </c>
    </row>
    <row r="80" spans="2:119" ht="15.75" hidden="1" x14ac:dyDescent="0.25">
      <c r="B80" s="201"/>
      <c r="C80" s="196">
        <v>4</v>
      </c>
      <c r="D80" s="81">
        <v>7</v>
      </c>
      <c r="E80" s="96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92"/>
      <c r="Y80" s="92"/>
      <c r="Z80" s="92"/>
      <c r="AA80" s="92"/>
      <c r="AB80" s="92"/>
      <c r="AC80" s="92"/>
      <c r="AD80" s="92"/>
      <c r="AE80" s="92"/>
      <c r="AF80" s="92"/>
      <c r="AG80" s="92"/>
      <c r="AH80" s="92"/>
      <c r="AI80" s="97"/>
      <c r="AJ80" s="263"/>
      <c r="AK80" s="170">
        <f>$AJ$74-SUM(AY80:CC81)</f>
        <v>168</v>
      </c>
      <c r="AL80" s="170">
        <f t="shared" ref="AL80" si="99">SUM(E80:AI81)</f>
        <v>0</v>
      </c>
      <c r="AM80" s="170">
        <v>0</v>
      </c>
      <c r="AN80" s="257">
        <f t="shared" ref="AN80" si="100">-AM80-AK80+AL80</f>
        <v>-168</v>
      </c>
      <c r="AO80" s="257">
        <v>0</v>
      </c>
      <c r="AP80" s="257">
        <f t="shared" ref="AP80" ca="1" si="101">AN80+AP70</f>
        <v>-281</v>
      </c>
      <c r="AQ80" s="170">
        <v>0</v>
      </c>
      <c r="AR80" s="255">
        <v>1</v>
      </c>
      <c r="CK80" s="59"/>
      <c r="CL80" s="59"/>
      <c r="CM80" s="59"/>
      <c r="CN80" s="59"/>
      <c r="CO80" s="59"/>
      <c r="CP80" s="59"/>
      <c r="CQ80" s="59"/>
      <c r="CR80" s="59"/>
      <c r="CS80" s="59"/>
      <c r="CT80" s="59"/>
      <c r="CU80" s="59"/>
      <c r="CV80" s="59"/>
      <c r="CW80" s="59"/>
      <c r="CX80" s="59"/>
      <c r="CY80" s="59"/>
      <c r="CZ80" s="59"/>
      <c r="DA80" s="59"/>
      <c r="DB80" s="59"/>
      <c r="DC80" s="59"/>
      <c r="DD80" s="59"/>
      <c r="DE80" s="59"/>
      <c r="DF80" s="59"/>
      <c r="DG80" s="59"/>
      <c r="DH80" s="59"/>
      <c r="DI80" s="59"/>
      <c r="DJ80" s="59"/>
      <c r="DK80" s="59"/>
      <c r="DL80" s="59"/>
      <c r="DM80" s="59"/>
      <c r="DN80" s="59"/>
      <c r="DO80" s="59"/>
    </row>
    <row r="81" spans="2:119" ht="16.5" hidden="1" thickBot="1" x14ac:dyDescent="0.3">
      <c r="B81" s="201"/>
      <c r="C81" s="197"/>
      <c r="D81" s="82">
        <v>8</v>
      </c>
      <c r="E81" s="96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92"/>
      <c r="Y81" s="92"/>
      <c r="Z81" s="92"/>
      <c r="AA81" s="92"/>
      <c r="AB81" s="92"/>
      <c r="AC81" s="92"/>
      <c r="AD81" s="92"/>
      <c r="AE81" s="92"/>
      <c r="AF81" s="92"/>
      <c r="AG81" s="92"/>
      <c r="AH81" s="92"/>
      <c r="AI81" s="97"/>
      <c r="AJ81" s="263"/>
      <c r="AK81" s="171"/>
      <c r="AL81" s="171"/>
      <c r="AM81" s="171"/>
      <c r="AN81" s="258"/>
      <c r="AO81" s="258"/>
      <c r="AP81" s="258"/>
      <c r="AQ81" s="171"/>
      <c r="AR81" s="256"/>
      <c r="CK81" s="58">
        <f>IF(DAY(INDEX('Сводный годовой график'!$BA$4:$BL$14,$C80,MONTH($B$74)))=E$3,1,0)</f>
        <v>0</v>
      </c>
      <c r="CL81" s="58">
        <f>IF(DAY(INDEX('Сводный годовой график'!$BA$4:$BL$14,$C80,MONTH($B$74)))=F$3,1,0)</f>
        <v>0</v>
      </c>
      <c r="CM81" s="58">
        <f>IF(DAY(INDEX('Сводный годовой график'!$BA$4:$BL$14,$C80,MONTH($B$74)))=G$3,1,0)</f>
        <v>0</v>
      </c>
      <c r="CN81" s="58">
        <f>IF(DAY(INDEX('Сводный годовой график'!$BA$4:$BL$14,$C80,MONTH($B$74)))=H$3,1,0)</f>
        <v>0</v>
      </c>
      <c r="CO81" s="58">
        <f>IF(DAY(INDEX('Сводный годовой график'!$BA$4:$BL$14,$C80,MONTH($B$74)))=I$3,1,0)</f>
        <v>0</v>
      </c>
      <c r="CP81" s="58">
        <f>IF(DAY(INDEX('Сводный годовой график'!$BA$4:$BL$14,$C80,MONTH($B$74)))=J$3,1,0)</f>
        <v>0</v>
      </c>
      <c r="CQ81" s="58">
        <f>IF(DAY(INDEX('Сводный годовой график'!$BA$4:$BL$14,$C80,MONTH($B$74)))=K$3,1,0)</f>
        <v>0</v>
      </c>
      <c r="CR81" s="58">
        <f>IF(DAY(INDEX('Сводный годовой график'!$BA$4:$BL$14,$C80,MONTH($B$74)))=L$3,1,0)</f>
        <v>0</v>
      </c>
      <c r="CS81" s="58">
        <f>IF(DAY(INDEX('Сводный годовой график'!$BA$4:$BL$14,$C80,MONTH($B$74)))=M$3,1,0)</f>
        <v>0</v>
      </c>
      <c r="CT81" s="58">
        <f>IF(DAY(INDEX('Сводный годовой график'!$BA$4:$BL$14,$C80,MONTH($B$74)))=N$3,1,0)</f>
        <v>0</v>
      </c>
      <c r="CU81" s="58">
        <f>IF(DAY(INDEX('Сводный годовой график'!$BA$4:$BL$14,$C80,MONTH($B$74)))=O$3,1,0)</f>
        <v>1</v>
      </c>
      <c r="CV81" s="58">
        <f>IF(DAY(INDEX('Сводный годовой график'!$BA$4:$BL$14,$C80,MONTH($B$74)))=P$3,1,0)</f>
        <v>0</v>
      </c>
      <c r="CW81" s="58">
        <f>IF(DAY(INDEX('Сводный годовой график'!$BA$4:$BL$14,$C80,MONTH($B$74)))=Q$3,1,0)</f>
        <v>0</v>
      </c>
      <c r="CX81" s="58">
        <f>IF(DAY(INDEX('Сводный годовой график'!$BA$4:$BL$14,$C80,MONTH($B$74)))=R$3,1,0)</f>
        <v>0</v>
      </c>
      <c r="CY81" s="58">
        <f>IF(DAY(INDEX('Сводный годовой график'!$BA$4:$BL$14,$C80,MONTH($B$74)))=S$3,1,0)</f>
        <v>0</v>
      </c>
      <c r="CZ81" s="58">
        <f>IF(DAY(INDEX('Сводный годовой график'!$BA$4:$BL$14,$C80,MONTH($B$74)))=T$3,1,0)</f>
        <v>0</v>
      </c>
      <c r="DA81" s="58">
        <f>IF(DAY(INDEX('Сводный годовой график'!$BA$4:$BL$14,$C80,MONTH($B$74)))=U$3,1,0)</f>
        <v>0</v>
      </c>
      <c r="DB81" s="58">
        <f>IF(DAY(INDEX('Сводный годовой график'!$BA$4:$BL$14,$C80,MONTH($B$74)))=V$3,1,0)</f>
        <v>0</v>
      </c>
      <c r="DC81" s="58">
        <f>IF(DAY(INDEX('Сводный годовой график'!$BA$4:$BL$14,$C80,MONTH($B$74)))=W$3,1,0)</f>
        <v>0</v>
      </c>
      <c r="DD81" s="58">
        <f>IF(DAY(INDEX('Сводный годовой график'!$BA$4:$BL$14,$C80,MONTH($B$74)))=X$3,1,0)</f>
        <v>0</v>
      </c>
      <c r="DE81" s="58">
        <f>IF(DAY(INDEX('Сводный годовой график'!$BA$4:$BL$14,$C80,MONTH($B$74)))=Y$3,1,0)</f>
        <v>0</v>
      </c>
      <c r="DF81" s="58">
        <f>IF(DAY(INDEX('Сводный годовой график'!$BA$4:$BL$14,$C80,MONTH($B$74)))=Z$3,1,0)</f>
        <v>0</v>
      </c>
      <c r="DG81" s="58">
        <f>IF(DAY(INDEX('Сводный годовой график'!$BA$4:$BL$14,$C80,MONTH($B$74)))=AA$3,1,0)</f>
        <v>0</v>
      </c>
      <c r="DH81" s="58">
        <f>IF(DAY(INDEX('Сводный годовой график'!$BA$4:$BL$14,$C80,MONTH($B$74)))=AB$3,1,0)</f>
        <v>0</v>
      </c>
      <c r="DI81" s="58">
        <f>IF(DAY(INDEX('Сводный годовой график'!$BA$4:$BL$14,$C80,MONTH($B$74)))=AC$3,1,0)</f>
        <v>0</v>
      </c>
      <c r="DJ81" s="58">
        <f>IF(DAY(INDEX('Сводный годовой график'!$BA$4:$BL$14,$C80,MONTH($B$74)))=AD$3,1,0)</f>
        <v>0</v>
      </c>
      <c r="DK81" s="58">
        <f>IF(DAY(INDEX('Сводный годовой график'!$BA$4:$BL$14,$C80,MONTH($B$74)))=AE$3,1,0)</f>
        <v>0</v>
      </c>
      <c r="DL81" s="58">
        <f>IF(DAY(INDEX('Сводный годовой график'!$BA$4:$BL$14,$C80,MONTH($B$74)))=AF$3,1,0)</f>
        <v>0</v>
      </c>
      <c r="DM81" s="58">
        <f>IF(DAY(INDEX('Сводный годовой график'!$BA$4:$BL$14,$C80,MONTH($B$74)))=AG$3,1,0)</f>
        <v>0</v>
      </c>
      <c r="DN81" s="58">
        <f>IF(DAY(INDEX('Сводный годовой график'!$BA$4:$BL$14,$C80,MONTH($B$74)))=AH$3,1,0)</f>
        <v>0</v>
      </c>
      <c r="DO81" s="58">
        <f>IF(DAY(INDEX('Сводный годовой график'!$BA$4:$BL$14,$C80,MONTH($B$74)))=AI$3,1,0)</f>
        <v>0</v>
      </c>
    </row>
    <row r="82" spans="2:119" ht="15.75" hidden="1" x14ac:dyDescent="0.25">
      <c r="B82" s="201"/>
      <c r="C82" s="196">
        <v>5</v>
      </c>
      <c r="D82" s="81">
        <v>9</v>
      </c>
      <c r="E82" s="96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92"/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7"/>
      <c r="AJ82" s="263"/>
      <c r="AK82" s="170">
        <f>$AJ$74-SUM(AY82:CC83)</f>
        <v>168</v>
      </c>
      <c r="AL82" s="170">
        <f t="shared" ref="AL82" si="102">SUM(E82:AI83)</f>
        <v>0</v>
      </c>
      <c r="AM82" s="170">
        <v>0</v>
      </c>
      <c r="AN82" s="257">
        <f t="shared" ref="AN82" si="103">-AM82-AK82+AL82</f>
        <v>-168</v>
      </c>
      <c r="AO82" s="257">
        <v>48</v>
      </c>
      <c r="AP82" s="257">
        <f>AN82+AP72-AO82</f>
        <v>-1357</v>
      </c>
      <c r="AQ82" s="170">
        <v>0</v>
      </c>
      <c r="AR82" s="255">
        <v>1</v>
      </c>
      <c r="CK82" s="59"/>
      <c r="CL82" s="59"/>
      <c r="CM82" s="59"/>
      <c r="CN82" s="59"/>
      <c r="CO82" s="59"/>
      <c r="CP82" s="59"/>
      <c r="CQ82" s="59"/>
      <c r="CR82" s="59"/>
      <c r="CS82" s="59"/>
      <c r="CT82" s="59"/>
      <c r="CU82" s="59"/>
      <c r="CV82" s="59"/>
      <c r="CW82" s="59"/>
      <c r="CX82" s="59"/>
      <c r="CY82" s="59"/>
      <c r="CZ82" s="59"/>
      <c r="DA82" s="59"/>
      <c r="DB82" s="59"/>
      <c r="DC82" s="59"/>
      <c r="DD82" s="59"/>
      <c r="DE82" s="59"/>
      <c r="DF82" s="59"/>
      <c r="DG82" s="59"/>
      <c r="DH82" s="59"/>
      <c r="DI82" s="59"/>
      <c r="DJ82" s="59"/>
      <c r="DK82" s="59"/>
      <c r="DL82" s="59"/>
      <c r="DM82" s="59"/>
      <c r="DN82" s="59"/>
      <c r="DO82" s="59"/>
    </row>
    <row r="83" spans="2:119" ht="16.5" hidden="1" thickBot="1" x14ac:dyDescent="0.3">
      <c r="B83" s="202"/>
      <c r="C83" s="197"/>
      <c r="D83" s="82">
        <v>10</v>
      </c>
      <c r="E83" s="84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85"/>
      <c r="AJ83" s="227"/>
      <c r="AK83" s="172"/>
      <c r="AL83" s="172"/>
      <c r="AM83" s="172"/>
      <c r="AN83" s="260"/>
      <c r="AO83" s="260"/>
      <c r="AP83" s="260"/>
      <c r="AQ83" s="172"/>
      <c r="AR83" s="259"/>
      <c r="CK83" s="58">
        <f>IF(DAY(INDEX('Сводный годовой график'!$BA$4:$BL$14,$C82,MONTH($B$74)))=E$3,1,0)</f>
        <v>0</v>
      </c>
      <c r="CL83" s="58">
        <f>IF(DAY(INDEX('Сводный годовой график'!$BA$4:$BL$14,$C82,MONTH($B$74)))=F$3,1,0)</f>
        <v>0</v>
      </c>
      <c r="CM83" s="58">
        <f>IF(DAY(INDEX('Сводный годовой график'!$BA$4:$BL$14,$C82,MONTH($B$74)))=G$3,1,0)</f>
        <v>0</v>
      </c>
      <c r="CN83" s="58">
        <f>IF(DAY(INDEX('Сводный годовой график'!$BA$4:$BL$14,$C82,MONTH($B$74)))=H$3,1,0)</f>
        <v>0</v>
      </c>
      <c r="CO83" s="58">
        <f>IF(DAY(INDEX('Сводный годовой график'!$BA$4:$BL$14,$C82,MONTH($B$74)))=I$3,1,0)</f>
        <v>0</v>
      </c>
      <c r="CP83" s="58">
        <f>IF(DAY(INDEX('Сводный годовой график'!$BA$4:$BL$14,$C82,MONTH($B$74)))=J$3,1,0)</f>
        <v>0</v>
      </c>
      <c r="CQ83" s="58">
        <f>IF(DAY(INDEX('Сводный годовой график'!$BA$4:$BL$14,$C82,MONTH($B$74)))=K$3,1,0)</f>
        <v>0</v>
      </c>
      <c r="CR83" s="58">
        <f>IF(DAY(INDEX('Сводный годовой график'!$BA$4:$BL$14,$C82,MONTH($B$74)))=L$3,1,0)</f>
        <v>0</v>
      </c>
      <c r="CS83" s="58">
        <f>IF(DAY(INDEX('Сводный годовой график'!$BA$4:$BL$14,$C82,MONTH($B$74)))=M$3,1,0)</f>
        <v>0</v>
      </c>
      <c r="CT83" s="58">
        <f>IF(DAY(INDEX('Сводный годовой график'!$BA$4:$BL$14,$C82,MONTH($B$74)))=N$3,1,0)</f>
        <v>0</v>
      </c>
      <c r="CU83" s="58">
        <f>IF(DAY(INDEX('Сводный годовой график'!$BA$4:$BL$14,$C82,MONTH($B$74)))=O$3,1,0)</f>
        <v>0</v>
      </c>
      <c r="CV83" s="58">
        <f>IF(DAY(INDEX('Сводный годовой график'!$BA$4:$BL$14,$C82,MONTH($B$74)))=P$3,1,0)</f>
        <v>1</v>
      </c>
      <c r="CW83" s="58">
        <f>IF(DAY(INDEX('Сводный годовой график'!$BA$4:$BL$14,$C82,MONTH($B$74)))=Q$3,1,0)</f>
        <v>0</v>
      </c>
      <c r="CX83" s="58">
        <f>IF(DAY(INDEX('Сводный годовой график'!$BA$4:$BL$14,$C82,MONTH($B$74)))=R$3,1,0)</f>
        <v>0</v>
      </c>
      <c r="CY83" s="58">
        <f>IF(DAY(INDEX('Сводный годовой график'!$BA$4:$BL$14,$C82,MONTH($B$74)))=S$3,1,0)</f>
        <v>0</v>
      </c>
      <c r="CZ83" s="58">
        <f>IF(DAY(INDEX('Сводный годовой график'!$BA$4:$BL$14,$C82,MONTH($B$74)))=T$3,1,0)</f>
        <v>0</v>
      </c>
      <c r="DA83" s="58">
        <f>IF(DAY(INDEX('Сводный годовой график'!$BA$4:$BL$14,$C82,MONTH($B$74)))=U$3,1,0)</f>
        <v>0</v>
      </c>
      <c r="DB83" s="58">
        <f>IF(DAY(INDEX('Сводный годовой график'!$BA$4:$BL$14,$C82,MONTH($B$74)))=V$3,1,0)</f>
        <v>0</v>
      </c>
      <c r="DC83" s="58">
        <f>IF(DAY(INDEX('Сводный годовой график'!$BA$4:$BL$14,$C82,MONTH($B$74)))=W$3,1,0)</f>
        <v>0</v>
      </c>
      <c r="DD83" s="58">
        <f>IF(DAY(INDEX('Сводный годовой график'!$BA$4:$BL$14,$C82,MONTH($B$74)))=X$3,1,0)</f>
        <v>0</v>
      </c>
      <c r="DE83" s="58">
        <f>IF(DAY(INDEX('Сводный годовой график'!$BA$4:$BL$14,$C82,MONTH($B$74)))=Y$3,1,0)</f>
        <v>0</v>
      </c>
      <c r="DF83" s="58">
        <f>IF(DAY(INDEX('Сводный годовой график'!$BA$4:$BL$14,$C82,MONTH($B$74)))=Z$3,1,0)</f>
        <v>0</v>
      </c>
      <c r="DG83" s="58">
        <f>IF(DAY(INDEX('Сводный годовой график'!$BA$4:$BL$14,$C82,MONTH($B$74)))=AA$3,1,0)</f>
        <v>0</v>
      </c>
      <c r="DH83" s="58">
        <f>IF(DAY(INDEX('Сводный годовой график'!$BA$4:$BL$14,$C82,MONTH($B$74)))=AB$3,1,0)</f>
        <v>0</v>
      </c>
      <c r="DI83" s="58">
        <f>IF(DAY(INDEX('Сводный годовой график'!$BA$4:$BL$14,$C82,MONTH($B$74)))=AC$3,1,0)</f>
        <v>0</v>
      </c>
      <c r="DJ83" s="58">
        <f>IF(DAY(INDEX('Сводный годовой график'!$BA$4:$BL$14,$C82,MONTH($B$74)))=AD$3,1,0)</f>
        <v>0</v>
      </c>
      <c r="DK83" s="58">
        <f>IF(DAY(INDEX('Сводный годовой график'!$BA$4:$BL$14,$C82,MONTH($B$74)))=AE$3,1,0)</f>
        <v>0</v>
      </c>
      <c r="DL83" s="58">
        <f>IF(DAY(INDEX('Сводный годовой график'!$BA$4:$BL$14,$C82,MONTH($B$74)))=AF$3,1,0)</f>
        <v>0</v>
      </c>
      <c r="DM83" s="58">
        <f>IF(DAY(INDEX('Сводный годовой график'!$BA$4:$BL$14,$C82,MONTH($B$74)))=AG$3,1,0)</f>
        <v>0</v>
      </c>
      <c r="DN83" s="58">
        <f>IF(DAY(INDEX('Сводный годовой график'!$BA$4:$BL$14,$C82,MONTH($B$74)))=AH$3,1,0)</f>
        <v>0</v>
      </c>
      <c r="DO83" s="58">
        <f>IF(DAY(INDEX('Сводный годовой график'!$BA$4:$BL$14,$C82,MONTH($B$74)))=AI$3,1,0)</f>
        <v>0</v>
      </c>
    </row>
    <row r="84" spans="2:119" ht="17.25" hidden="1" customHeight="1" thickTop="1" x14ac:dyDescent="0.25">
      <c r="B84" s="200">
        <f>DATE($AV$1,9,1)</f>
        <v>45901</v>
      </c>
      <c r="C84" s="196">
        <v>1</v>
      </c>
      <c r="D84" s="99">
        <v>1</v>
      </c>
      <c r="E84" s="86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  <c r="AA84" s="27"/>
      <c r="AB84" s="27"/>
      <c r="AC84" s="27"/>
      <c r="AD84" s="27"/>
      <c r="AE84" s="27"/>
      <c r="AF84" s="27"/>
      <c r="AG84" s="27"/>
      <c r="AH84" s="27"/>
      <c r="AI84" s="122"/>
      <c r="AJ84" s="228">
        <f>INDEX(Подключения!$D$3:$H$14,MONTH(B84),5)</f>
        <v>176</v>
      </c>
      <c r="AK84" s="219">
        <f>$AJ$84-SUM(AY84:CC85)</f>
        <v>176</v>
      </c>
      <c r="AL84" s="219">
        <f t="shared" ref="AL84" si="104">SUM(E84:AI85)</f>
        <v>0</v>
      </c>
      <c r="AM84" s="219">
        <v>0</v>
      </c>
      <c r="AN84" s="228">
        <f t="shared" ref="AN84" si="105">-AM84-AK84+AL84</f>
        <v>-176</v>
      </c>
      <c r="AO84" s="228">
        <v>0</v>
      </c>
      <c r="AP84" s="228">
        <f ca="1">AN84+AP74-AO84</f>
        <v>-497</v>
      </c>
      <c r="AQ84" s="219">
        <v>10</v>
      </c>
      <c r="AR84" s="266">
        <v>1</v>
      </c>
      <c r="CK84" s="59"/>
      <c r="CL84" s="59"/>
      <c r="CM84" s="59"/>
      <c r="CN84" s="59"/>
      <c r="CO84" s="59"/>
      <c r="CP84" s="59"/>
      <c r="CQ84" s="59"/>
      <c r="CR84" s="59"/>
      <c r="CS84" s="59"/>
      <c r="CT84" s="59"/>
      <c r="CU84" s="59"/>
      <c r="CV84" s="59"/>
      <c r="CW84" s="59"/>
      <c r="CX84" s="59"/>
      <c r="CY84" s="59"/>
      <c r="CZ84" s="59"/>
      <c r="DA84" s="59"/>
      <c r="DB84" s="59"/>
      <c r="DC84" s="59"/>
      <c r="DD84" s="59"/>
      <c r="DE84" s="59"/>
      <c r="DF84" s="59"/>
      <c r="DG84" s="59"/>
      <c r="DH84" s="59"/>
      <c r="DI84" s="59"/>
      <c r="DJ84" s="59"/>
      <c r="DK84" s="59"/>
      <c r="DL84" s="59"/>
      <c r="DM84" s="59"/>
      <c r="DN84" s="59"/>
      <c r="DO84" s="59"/>
    </row>
    <row r="85" spans="2:119" ht="16.5" hidden="1" thickBot="1" x14ac:dyDescent="0.3">
      <c r="B85" s="201"/>
      <c r="C85" s="197"/>
      <c r="D85" s="82">
        <v>2</v>
      </c>
      <c r="E85" s="96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92"/>
      <c r="Y85" s="92"/>
      <c r="Z85" s="92"/>
      <c r="AA85" s="92"/>
      <c r="AB85" s="92"/>
      <c r="AC85" s="92"/>
      <c r="AD85" s="92"/>
      <c r="AE85" s="92"/>
      <c r="AF85" s="92"/>
      <c r="AG85" s="92"/>
      <c r="AH85" s="92"/>
      <c r="AI85" s="110"/>
      <c r="AJ85" s="263"/>
      <c r="AK85" s="220"/>
      <c r="AL85" s="220"/>
      <c r="AM85" s="220"/>
      <c r="AN85" s="225"/>
      <c r="AO85" s="225"/>
      <c r="AP85" s="225"/>
      <c r="AQ85" s="220"/>
      <c r="AR85" s="267"/>
      <c r="CK85" s="58">
        <f>IF(DAY(INDEX('Сводный годовой график'!$BA$4:$BL$14,$C84,MONTH($B$84)))=E$3,1,0)</f>
        <v>0</v>
      </c>
      <c r="CL85" s="58">
        <f>IF(DAY(INDEX('Сводный годовой график'!$BA$4:$BL$14,$C84,MONTH($B$84)))=F$3,1,0)</f>
        <v>0</v>
      </c>
      <c r="CM85" s="58">
        <f>IF(DAY(INDEX('Сводный годовой график'!$BA$4:$BL$14,$C84,MONTH($B$84)))=G$3,1,0)</f>
        <v>0</v>
      </c>
      <c r="CN85" s="58">
        <f>IF(DAY(INDEX('Сводный годовой график'!$BA$4:$BL$14,$C84,MONTH($B$84)))=H$3,1,0)</f>
        <v>0</v>
      </c>
      <c r="CO85" s="58">
        <f>IF(DAY(INDEX('Сводный годовой график'!$BA$4:$BL$14,$C84,MONTH($B$84)))=I$3,1,0)</f>
        <v>0</v>
      </c>
      <c r="CP85" s="58">
        <f>IF(DAY(INDEX('Сводный годовой график'!$BA$4:$BL$14,$C84,MONTH($B$84)))=J$3,1,0)</f>
        <v>0</v>
      </c>
      <c r="CQ85" s="58">
        <f>IF(DAY(INDEX('Сводный годовой график'!$BA$4:$BL$14,$C84,MONTH($B$84)))=K$3,1,0)</f>
        <v>0</v>
      </c>
      <c r="CR85" s="58">
        <f>IF(DAY(INDEX('Сводный годовой график'!$BA$4:$BL$14,$C84,MONTH($B$84)))=L$3,1,0)</f>
        <v>0</v>
      </c>
      <c r="CS85" s="58">
        <f>IF(DAY(INDEX('Сводный годовой график'!$BA$4:$BL$14,$C84,MONTH($B$84)))=M$3,1,0)</f>
        <v>1</v>
      </c>
      <c r="CT85" s="58">
        <f>IF(DAY(INDEX('Сводный годовой график'!$BA$4:$BL$14,$C84,MONTH($B$84)))=N$3,1,0)</f>
        <v>0</v>
      </c>
      <c r="CU85" s="58">
        <f>IF(DAY(INDEX('Сводный годовой график'!$BA$4:$BL$14,$C84,MONTH($B$84)))=O$3,1,0)</f>
        <v>0</v>
      </c>
      <c r="CV85" s="58">
        <f>IF(DAY(INDEX('Сводный годовой график'!$BA$4:$BL$14,$C84,MONTH($B$84)))=P$3,1,0)</f>
        <v>0</v>
      </c>
      <c r="CW85" s="58">
        <f>IF(DAY(INDEX('Сводный годовой график'!$BA$4:$BL$14,$C84,MONTH($B$84)))=Q$3,1,0)</f>
        <v>0</v>
      </c>
      <c r="CX85" s="58">
        <f>IF(DAY(INDEX('Сводный годовой график'!$BA$4:$BL$14,$C84,MONTH($B$84)))=R$3,1,0)</f>
        <v>0</v>
      </c>
      <c r="CY85" s="58">
        <f>IF(DAY(INDEX('Сводный годовой график'!$BA$4:$BL$14,$C84,MONTH($B$84)))=S$3,1,0)</f>
        <v>0</v>
      </c>
      <c r="CZ85" s="58">
        <f>IF(DAY(INDEX('Сводный годовой график'!$BA$4:$BL$14,$C84,MONTH($B$84)))=T$3,1,0)</f>
        <v>0</v>
      </c>
      <c r="DA85" s="58">
        <f>IF(DAY(INDEX('Сводный годовой график'!$BA$4:$BL$14,$C84,MONTH($B$84)))=U$3,1,0)</f>
        <v>0</v>
      </c>
      <c r="DB85" s="58">
        <f>IF(DAY(INDEX('Сводный годовой график'!$BA$4:$BL$14,$C84,MONTH($B$84)))=V$3,1,0)</f>
        <v>0</v>
      </c>
      <c r="DC85" s="58">
        <f>IF(DAY(INDEX('Сводный годовой график'!$BA$4:$BL$14,$C84,MONTH($B$84)))=W$3,1,0)</f>
        <v>0</v>
      </c>
      <c r="DD85" s="58">
        <f>IF(DAY(INDEX('Сводный годовой график'!$BA$4:$BL$14,$C84,MONTH($B$84)))=X$3,1,0)</f>
        <v>0</v>
      </c>
      <c r="DE85" s="58">
        <f>IF(DAY(INDEX('Сводный годовой график'!$BA$4:$BL$14,$C84,MONTH($B$84)))=Y$3,1,0)</f>
        <v>0</v>
      </c>
      <c r="DF85" s="58">
        <f>IF(DAY(INDEX('Сводный годовой график'!$BA$4:$BL$14,$C84,MONTH($B$84)))=Z$3,1,0)</f>
        <v>0</v>
      </c>
      <c r="DG85" s="58">
        <f>IF(DAY(INDEX('Сводный годовой график'!$BA$4:$BL$14,$C84,MONTH($B$84)))=AA$3,1,0)</f>
        <v>0</v>
      </c>
      <c r="DH85" s="58">
        <f>IF(DAY(INDEX('Сводный годовой график'!$BA$4:$BL$14,$C84,MONTH($B$84)))=AB$3,1,0)</f>
        <v>0</v>
      </c>
      <c r="DI85" s="58">
        <f>IF(DAY(INDEX('Сводный годовой график'!$BA$4:$BL$14,$C84,MONTH($B$84)))=AC$3,1,0)</f>
        <v>0</v>
      </c>
      <c r="DJ85" s="58">
        <f>IF(DAY(INDEX('Сводный годовой график'!$BA$4:$BL$14,$C84,MONTH($B$84)))=AD$3,1,0)</f>
        <v>0</v>
      </c>
      <c r="DK85" s="58">
        <f>IF(DAY(INDEX('Сводный годовой график'!$BA$4:$BL$14,$C84,MONTH($B$84)))=AE$3,1,0)</f>
        <v>0</v>
      </c>
      <c r="DL85" s="58">
        <f>IF(DAY(INDEX('Сводный годовой график'!$BA$4:$BL$14,$C84,MONTH($B$84)))=AF$3,1,0)</f>
        <v>0</v>
      </c>
      <c r="DM85" s="58">
        <f>IF(DAY(INDEX('Сводный годовой график'!$BA$4:$BL$14,$C84,MONTH($B$84)))=AG$3,1,0)</f>
        <v>0</v>
      </c>
      <c r="DN85" s="58">
        <f>IF(DAY(INDEX('Сводный годовой график'!$BA$4:$BL$14,$C84,MONTH($B$84)))=AH$3,1,0)</f>
        <v>0</v>
      </c>
      <c r="DO85" s="58">
        <f>IF(DAY(INDEX('Сводный годовой график'!$BA$4:$BL$14,$C84,MONTH($B$84)))=AI$3,1,0)</f>
        <v>0</v>
      </c>
    </row>
    <row r="86" spans="2:119" ht="15.75" hidden="1" x14ac:dyDescent="0.25">
      <c r="B86" s="201"/>
      <c r="C86" s="196">
        <v>2</v>
      </c>
      <c r="D86" s="81">
        <v>3</v>
      </c>
      <c r="E86" s="96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92"/>
      <c r="Y86" s="92"/>
      <c r="Z86" s="92"/>
      <c r="AA86" s="92"/>
      <c r="AB86" s="92"/>
      <c r="AC86" s="92"/>
      <c r="AD86" s="92"/>
      <c r="AE86" s="92"/>
      <c r="AF86" s="92"/>
      <c r="AG86" s="92"/>
      <c r="AH86" s="92"/>
      <c r="AI86" s="110"/>
      <c r="AJ86" s="263"/>
      <c r="AK86" s="223">
        <f>$AJ$84-SUM(AY86:CC87)</f>
        <v>176</v>
      </c>
      <c r="AL86" s="223">
        <f t="shared" ref="AL86" si="106">SUM(E86:AI87)</f>
        <v>0</v>
      </c>
      <c r="AM86" s="223">
        <v>0</v>
      </c>
      <c r="AN86" s="224">
        <f t="shared" ref="AN86" si="107">-AM86-AK86+AL86</f>
        <v>-176</v>
      </c>
      <c r="AO86" s="224">
        <v>0</v>
      </c>
      <c r="AP86" s="224">
        <f ca="1">AN86+AP76-AO86</f>
        <v>-505</v>
      </c>
      <c r="AQ86" s="223">
        <v>0</v>
      </c>
      <c r="AR86" s="264">
        <v>1</v>
      </c>
      <c r="CK86" s="59"/>
      <c r="CL86" s="59"/>
      <c r="CM86" s="59"/>
      <c r="CN86" s="59"/>
      <c r="CO86" s="59"/>
      <c r="CP86" s="59"/>
      <c r="CQ86" s="59"/>
      <c r="CR86" s="59"/>
      <c r="CS86" s="59"/>
      <c r="CT86" s="59"/>
      <c r="CU86" s="59"/>
      <c r="CV86" s="59"/>
      <c r="CW86" s="59"/>
      <c r="CX86" s="59"/>
      <c r="CY86" s="59"/>
      <c r="CZ86" s="59"/>
      <c r="DA86" s="59"/>
      <c r="DB86" s="59"/>
      <c r="DC86" s="59"/>
      <c r="DD86" s="59"/>
      <c r="DE86" s="59"/>
      <c r="DF86" s="59"/>
      <c r="DG86" s="59"/>
      <c r="DH86" s="59"/>
      <c r="DI86" s="59"/>
      <c r="DJ86" s="59"/>
      <c r="DK86" s="59"/>
      <c r="DL86" s="59"/>
      <c r="DM86" s="59"/>
      <c r="DN86" s="59"/>
      <c r="DO86" s="59"/>
    </row>
    <row r="87" spans="2:119" ht="16.5" hidden="1" thickBot="1" x14ac:dyDescent="0.3">
      <c r="B87" s="201"/>
      <c r="C87" s="197"/>
      <c r="D87" s="82">
        <v>4</v>
      </c>
      <c r="E87" s="96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92"/>
      <c r="Y87" s="92"/>
      <c r="Z87" s="92"/>
      <c r="AA87" s="92"/>
      <c r="AB87" s="92"/>
      <c r="AC87" s="92"/>
      <c r="AD87" s="92"/>
      <c r="AE87" s="92"/>
      <c r="AF87" s="92"/>
      <c r="AG87" s="92"/>
      <c r="AH87" s="92"/>
      <c r="AI87" s="110"/>
      <c r="AJ87" s="263"/>
      <c r="AK87" s="220"/>
      <c r="AL87" s="220"/>
      <c r="AM87" s="220"/>
      <c r="AN87" s="225"/>
      <c r="AO87" s="225"/>
      <c r="AP87" s="225"/>
      <c r="AQ87" s="220"/>
      <c r="AR87" s="267"/>
      <c r="CK87" s="58">
        <f>IF(DAY(INDEX('Сводный годовой график'!$BA$4:$BL$14,$C86,MONTH($B$84)))=E$3,1,0)</f>
        <v>0</v>
      </c>
      <c r="CL87" s="58">
        <f>IF(DAY(INDEX('Сводный годовой график'!$BA$4:$BL$14,$C86,MONTH($B$84)))=F$3,1,0)</f>
        <v>0</v>
      </c>
      <c r="CM87" s="58">
        <f>IF(DAY(INDEX('Сводный годовой график'!$BA$4:$BL$14,$C86,MONTH($B$84)))=G$3,1,0)</f>
        <v>0</v>
      </c>
      <c r="CN87" s="58">
        <f>IF(DAY(INDEX('Сводный годовой график'!$BA$4:$BL$14,$C86,MONTH($B$84)))=H$3,1,0)</f>
        <v>0</v>
      </c>
      <c r="CO87" s="58">
        <f>IF(DAY(INDEX('Сводный годовой график'!$BA$4:$BL$14,$C86,MONTH($B$84)))=I$3,1,0)</f>
        <v>0</v>
      </c>
      <c r="CP87" s="58">
        <f>IF(DAY(INDEX('Сводный годовой график'!$BA$4:$BL$14,$C86,MONTH($B$84)))=J$3,1,0)</f>
        <v>0</v>
      </c>
      <c r="CQ87" s="58">
        <f>IF(DAY(INDEX('Сводный годовой график'!$BA$4:$BL$14,$C86,MONTH($B$84)))=K$3,1,0)</f>
        <v>0</v>
      </c>
      <c r="CR87" s="58">
        <f>IF(DAY(INDEX('Сводный годовой график'!$BA$4:$BL$14,$C86,MONTH($B$84)))=L$3,1,0)</f>
        <v>0</v>
      </c>
      <c r="CS87" s="58">
        <f>IF(DAY(INDEX('Сводный годовой график'!$BA$4:$BL$14,$C86,MONTH($B$84)))=M$3,1,0)</f>
        <v>0</v>
      </c>
      <c r="CT87" s="58">
        <f>IF(DAY(INDEX('Сводный годовой график'!$BA$4:$BL$14,$C86,MONTH($B$84)))=N$3,1,0)</f>
        <v>1</v>
      </c>
      <c r="CU87" s="58">
        <f>IF(DAY(INDEX('Сводный годовой график'!$BA$4:$BL$14,$C86,MONTH($B$84)))=O$3,1,0)</f>
        <v>0</v>
      </c>
      <c r="CV87" s="58">
        <f>IF(DAY(INDEX('Сводный годовой график'!$BA$4:$BL$14,$C86,MONTH($B$84)))=P$3,1,0)</f>
        <v>0</v>
      </c>
      <c r="CW87" s="58">
        <f>IF(DAY(INDEX('Сводный годовой график'!$BA$4:$BL$14,$C86,MONTH($B$84)))=Q$3,1,0)</f>
        <v>0</v>
      </c>
      <c r="CX87" s="58">
        <f>IF(DAY(INDEX('Сводный годовой график'!$BA$4:$BL$14,$C86,MONTH($B$84)))=R$3,1,0)</f>
        <v>0</v>
      </c>
      <c r="CY87" s="58">
        <f>IF(DAY(INDEX('Сводный годовой график'!$BA$4:$BL$14,$C86,MONTH($B$84)))=S$3,1,0)</f>
        <v>0</v>
      </c>
      <c r="CZ87" s="58">
        <f>IF(DAY(INDEX('Сводный годовой график'!$BA$4:$BL$14,$C86,MONTH($B$84)))=T$3,1,0)</f>
        <v>0</v>
      </c>
      <c r="DA87" s="58">
        <f>IF(DAY(INDEX('Сводный годовой график'!$BA$4:$BL$14,$C86,MONTH($B$84)))=U$3,1,0)</f>
        <v>0</v>
      </c>
      <c r="DB87" s="58">
        <f>IF(DAY(INDEX('Сводный годовой график'!$BA$4:$BL$14,$C86,MONTH($B$84)))=V$3,1,0)</f>
        <v>0</v>
      </c>
      <c r="DC87" s="58">
        <f>IF(DAY(INDEX('Сводный годовой график'!$BA$4:$BL$14,$C86,MONTH($B$84)))=W$3,1,0)</f>
        <v>0</v>
      </c>
      <c r="DD87" s="58">
        <f>IF(DAY(INDEX('Сводный годовой график'!$BA$4:$BL$14,$C86,MONTH($B$84)))=X$3,1,0)</f>
        <v>0</v>
      </c>
      <c r="DE87" s="58">
        <f>IF(DAY(INDEX('Сводный годовой график'!$BA$4:$BL$14,$C86,MONTH($B$84)))=Y$3,1,0)</f>
        <v>0</v>
      </c>
      <c r="DF87" s="58">
        <f>IF(DAY(INDEX('Сводный годовой график'!$BA$4:$BL$14,$C86,MONTH($B$84)))=Z$3,1,0)</f>
        <v>0</v>
      </c>
      <c r="DG87" s="58">
        <f>IF(DAY(INDEX('Сводный годовой график'!$BA$4:$BL$14,$C86,MONTH($B$84)))=AA$3,1,0)</f>
        <v>0</v>
      </c>
      <c r="DH87" s="58">
        <f>IF(DAY(INDEX('Сводный годовой график'!$BA$4:$BL$14,$C86,MONTH($B$84)))=AB$3,1,0)</f>
        <v>0</v>
      </c>
      <c r="DI87" s="58">
        <f>IF(DAY(INDEX('Сводный годовой график'!$BA$4:$BL$14,$C86,MONTH($B$84)))=AC$3,1,0)</f>
        <v>0</v>
      </c>
      <c r="DJ87" s="58">
        <f>IF(DAY(INDEX('Сводный годовой график'!$BA$4:$BL$14,$C86,MONTH($B$84)))=AD$3,1,0)</f>
        <v>0</v>
      </c>
      <c r="DK87" s="58">
        <f>IF(DAY(INDEX('Сводный годовой график'!$BA$4:$BL$14,$C86,MONTH($B$84)))=AE$3,1,0)</f>
        <v>0</v>
      </c>
      <c r="DL87" s="58">
        <f>IF(DAY(INDEX('Сводный годовой график'!$BA$4:$BL$14,$C86,MONTH($B$84)))=AF$3,1,0)</f>
        <v>0</v>
      </c>
      <c r="DM87" s="58">
        <f>IF(DAY(INDEX('Сводный годовой график'!$BA$4:$BL$14,$C86,MONTH($B$84)))=AG$3,1,0)</f>
        <v>0</v>
      </c>
      <c r="DN87" s="58">
        <f>IF(DAY(INDEX('Сводный годовой график'!$BA$4:$BL$14,$C86,MONTH($B$84)))=AH$3,1,0)</f>
        <v>0</v>
      </c>
      <c r="DO87" s="58">
        <f>IF(DAY(INDEX('Сводный годовой график'!$BA$4:$BL$14,$C86,MONTH($B$84)))=AI$3,1,0)</f>
        <v>0</v>
      </c>
    </row>
    <row r="88" spans="2:119" ht="15.75" hidden="1" x14ac:dyDescent="0.25">
      <c r="B88" s="201"/>
      <c r="C88" s="196">
        <v>3</v>
      </c>
      <c r="D88" s="81">
        <v>5</v>
      </c>
      <c r="E88" s="96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92"/>
      <c r="Y88" s="92"/>
      <c r="Z88" s="92"/>
      <c r="AA88" s="92"/>
      <c r="AB88" s="92"/>
      <c r="AC88" s="92"/>
      <c r="AD88" s="92"/>
      <c r="AE88" s="92"/>
      <c r="AF88" s="92"/>
      <c r="AG88" s="92"/>
      <c r="AH88" s="92"/>
      <c r="AI88" s="110"/>
      <c r="AJ88" s="263"/>
      <c r="AK88" s="223">
        <f>$AJ$84-SUM(AY88:CC89)</f>
        <v>176</v>
      </c>
      <c r="AL88" s="223">
        <f t="shared" ref="AL88" si="108">SUM(E88:AI89)</f>
        <v>0</v>
      </c>
      <c r="AM88" s="223">
        <v>0</v>
      </c>
      <c r="AN88" s="224">
        <f t="shared" ref="AN88" si="109">-AM88-AK88+AL88</f>
        <v>-176</v>
      </c>
      <c r="AO88" s="224">
        <v>0</v>
      </c>
      <c r="AP88" s="224">
        <f ca="1">AN88+AP78-AO88</f>
        <v>-479</v>
      </c>
      <c r="AQ88" s="223">
        <v>16</v>
      </c>
      <c r="AR88" s="264">
        <v>1</v>
      </c>
      <c r="CK88" s="59"/>
      <c r="CL88" s="59"/>
      <c r="CM88" s="59"/>
      <c r="CN88" s="59"/>
      <c r="CO88" s="59"/>
      <c r="CP88" s="59"/>
      <c r="CQ88" s="59"/>
      <c r="CR88" s="59"/>
      <c r="CS88" s="59"/>
      <c r="CT88" s="59"/>
      <c r="CU88" s="59"/>
      <c r="CV88" s="59"/>
      <c r="CW88" s="59"/>
      <c r="CX88" s="59"/>
      <c r="CY88" s="59"/>
      <c r="CZ88" s="59"/>
      <c r="DA88" s="59"/>
      <c r="DB88" s="59"/>
      <c r="DC88" s="59"/>
      <c r="DD88" s="59"/>
      <c r="DE88" s="59"/>
      <c r="DF88" s="59"/>
      <c r="DG88" s="59"/>
      <c r="DH88" s="59"/>
      <c r="DI88" s="59"/>
      <c r="DJ88" s="59"/>
      <c r="DK88" s="59"/>
      <c r="DL88" s="59"/>
      <c r="DM88" s="59"/>
      <c r="DN88" s="59"/>
      <c r="DO88" s="59"/>
    </row>
    <row r="89" spans="2:119" ht="16.5" hidden="1" thickBot="1" x14ac:dyDescent="0.3">
      <c r="B89" s="201"/>
      <c r="C89" s="197"/>
      <c r="D89" s="82">
        <v>6</v>
      </c>
      <c r="E89" s="96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92"/>
      <c r="Y89" s="92"/>
      <c r="Z89" s="92"/>
      <c r="AA89" s="92"/>
      <c r="AB89" s="92"/>
      <c r="AC89" s="92"/>
      <c r="AD89" s="92"/>
      <c r="AE89" s="92"/>
      <c r="AF89" s="92"/>
      <c r="AG89" s="92"/>
      <c r="AH89" s="92"/>
      <c r="AI89" s="110"/>
      <c r="AJ89" s="263"/>
      <c r="AK89" s="220"/>
      <c r="AL89" s="220"/>
      <c r="AM89" s="220"/>
      <c r="AN89" s="225"/>
      <c r="AO89" s="225"/>
      <c r="AP89" s="225"/>
      <c r="AQ89" s="220"/>
      <c r="AR89" s="267"/>
      <c r="CK89" s="58">
        <f>IF(DAY(INDEX('Сводный годовой график'!$BA$4:$BL$14,$C88,MONTH($B$84)))=E$3,1,0)</f>
        <v>0</v>
      </c>
      <c r="CL89" s="58">
        <f>IF(DAY(INDEX('Сводный годовой график'!$BA$4:$BL$14,$C88,MONTH($B$84)))=F$3,1,0)</f>
        <v>0</v>
      </c>
      <c r="CM89" s="58">
        <f>IF(DAY(INDEX('Сводный годовой график'!$BA$4:$BL$14,$C88,MONTH($B$84)))=G$3,1,0)</f>
        <v>0</v>
      </c>
      <c r="CN89" s="58">
        <f>IF(DAY(INDEX('Сводный годовой график'!$BA$4:$BL$14,$C88,MONTH($B$84)))=H$3,1,0)</f>
        <v>0</v>
      </c>
      <c r="CO89" s="58">
        <f>IF(DAY(INDEX('Сводный годовой график'!$BA$4:$BL$14,$C88,MONTH($B$84)))=I$3,1,0)</f>
        <v>0</v>
      </c>
      <c r="CP89" s="58">
        <f>IF(DAY(INDEX('Сводный годовой график'!$BA$4:$BL$14,$C88,MONTH($B$84)))=J$3,1,0)</f>
        <v>0</v>
      </c>
      <c r="CQ89" s="58">
        <f>IF(DAY(INDEX('Сводный годовой график'!$BA$4:$BL$14,$C88,MONTH($B$84)))=K$3,1,0)</f>
        <v>0</v>
      </c>
      <c r="CR89" s="58">
        <f>IF(DAY(INDEX('Сводный годовой график'!$BA$4:$BL$14,$C88,MONTH($B$84)))=L$3,1,0)</f>
        <v>0</v>
      </c>
      <c r="CS89" s="58">
        <f>IF(DAY(INDEX('Сводный годовой график'!$BA$4:$BL$14,$C88,MONTH($B$84)))=M$3,1,0)</f>
        <v>0</v>
      </c>
      <c r="CT89" s="58">
        <f>IF(DAY(INDEX('Сводный годовой график'!$BA$4:$BL$14,$C88,MONTH($B$84)))=N$3,1,0)</f>
        <v>0</v>
      </c>
      <c r="CU89" s="58">
        <f>IF(DAY(INDEX('Сводный годовой график'!$BA$4:$BL$14,$C88,MONTH($B$84)))=O$3,1,0)</f>
        <v>1</v>
      </c>
      <c r="CV89" s="58">
        <f>IF(DAY(INDEX('Сводный годовой график'!$BA$4:$BL$14,$C88,MONTH($B$84)))=P$3,1,0)</f>
        <v>0</v>
      </c>
      <c r="CW89" s="58">
        <f>IF(DAY(INDEX('Сводный годовой график'!$BA$4:$BL$14,$C88,MONTH($B$84)))=Q$3,1,0)</f>
        <v>0</v>
      </c>
      <c r="CX89" s="58">
        <f>IF(DAY(INDEX('Сводный годовой график'!$BA$4:$BL$14,$C88,MONTH($B$84)))=R$3,1,0)</f>
        <v>0</v>
      </c>
      <c r="CY89" s="58">
        <f>IF(DAY(INDEX('Сводный годовой график'!$BA$4:$BL$14,$C88,MONTH($B$84)))=S$3,1,0)</f>
        <v>0</v>
      </c>
      <c r="CZ89" s="58">
        <f>IF(DAY(INDEX('Сводный годовой график'!$BA$4:$BL$14,$C88,MONTH($B$84)))=T$3,1,0)</f>
        <v>0</v>
      </c>
      <c r="DA89" s="58">
        <f>IF(DAY(INDEX('Сводный годовой график'!$BA$4:$BL$14,$C88,MONTH($B$84)))=U$3,1,0)</f>
        <v>0</v>
      </c>
      <c r="DB89" s="58">
        <f>IF(DAY(INDEX('Сводный годовой график'!$BA$4:$BL$14,$C88,MONTH($B$84)))=V$3,1,0)</f>
        <v>0</v>
      </c>
      <c r="DC89" s="58">
        <f>IF(DAY(INDEX('Сводный годовой график'!$BA$4:$BL$14,$C88,MONTH($B$84)))=W$3,1,0)</f>
        <v>0</v>
      </c>
      <c r="DD89" s="58">
        <f>IF(DAY(INDEX('Сводный годовой график'!$BA$4:$BL$14,$C88,MONTH($B$84)))=X$3,1,0)</f>
        <v>0</v>
      </c>
      <c r="DE89" s="58">
        <f>IF(DAY(INDEX('Сводный годовой график'!$BA$4:$BL$14,$C88,MONTH($B$84)))=Y$3,1,0)</f>
        <v>0</v>
      </c>
      <c r="DF89" s="58">
        <f>IF(DAY(INDEX('Сводный годовой график'!$BA$4:$BL$14,$C88,MONTH($B$84)))=Z$3,1,0)</f>
        <v>0</v>
      </c>
      <c r="DG89" s="58">
        <f>IF(DAY(INDEX('Сводный годовой график'!$BA$4:$BL$14,$C88,MONTH($B$84)))=AA$3,1,0)</f>
        <v>0</v>
      </c>
      <c r="DH89" s="58">
        <f>IF(DAY(INDEX('Сводный годовой график'!$BA$4:$BL$14,$C88,MONTH($B$84)))=AB$3,1,0)</f>
        <v>0</v>
      </c>
      <c r="DI89" s="58">
        <f>IF(DAY(INDEX('Сводный годовой график'!$BA$4:$BL$14,$C88,MONTH($B$84)))=AC$3,1,0)</f>
        <v>0</v>
      </c>
      <c r="DJ89" s="58">
        <f>IF(DAY(INDEX('Сводный годовой график'!$BA$4:$BL$14,$C88,MONTH($B$84)))=AD$3,1,0)</f>
        <v>0</v>
      </c>
      <c r="DK89" s="58">
        <f>IF(DAY(INDEX('Сводный годовой график'!$BA$4:$BL$14,$C88,MONTH($B$84)))=AE$3,1,0)</f>
        <v>0</v>
      </c>
      <c r="DL89" s="58">
        <f>IF(DAY(INDEX('Сводный годовой график'!$BA$4:$BL$14,$C88,MONTH($B$84)))=AF$3,1,0)</f>
        <v>0</v>
      </c>
      <c r="DM89" s="58">
        <f>IF(DAY(INDEX('Сводный годовой график'!$BA$4:$BL$14,$C88,MONTH($B$84)))=AG$3,1,0)</f>
        <v>0</v>
      </c>
      <c r="DN89" s="58">
        <f>IF(DAY(INDEX('Сводный годовой график'!$BA$4:$BL$14,$C88,MONTH($B$84)))=AH$3,1,0)</f>
        <v>0</v>
      </c>
      <c r="DO89" s="58">
        <f>IF(DAY(INDEX('Сводный годовой график'!$BA$4:$BL$14,$C88,MONTH($B$84)))=AI$3,1,0)</f>
        <v>0</v>
      </c>
    </row>
    <row r="90" spans="2:119" ht="15.75" hidden="1" x14ac:dyDescent="0.25">
      <c r="B90" s="201"/>
      <c r="C90" s="196">
        <v>4</v>
      </c>
      <c r="D90" s="81">
        <v>7</v>
      </c>
      <c r="E90" s="96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92"/>
      <c r="Y90" s="92"/>
      <c r="Z90" s="92"/>
      <c r="AA90" s="92"/>
      <c r="AB90" s="92"/>
      <c r="AC90" s="92"/>
      <c r="AD90" s="92"/>
      <c r="AE90" s="92"/>
      <c r="AF90" s="92"/>
      <c r="AG90" s="92"/>
      <c r="AH90" s="92"/>
      <c r="AI90" s="110"/>
      <c r="AJ90" s="263"/>
      <c r="AK90" s="223">
        <f>$AJ$84-SUM(AY90:CC91)</f>
        <v>176</v>
      </c>
      <c r="AL90" s="223">
        <f t="shared" ref="AL90" si="110">SUM(E90:AI91)</f>
        <v>0</v>
      </c>
      <c r="AM90" s="223">
        <v>0</v>
      </c>
      <c r="AN90" s="224">
        <f t="shared" ref="AN90" si="111">-AM90-AK90+AL90</f>
        <v>-176</v>
      </c>
      <c r="AO90" s="224">
        <v>0</v>
      </c>
      <c r="AP90" s="224">
        <f t="shared" ref="AP90" ca="1" si="112">AN90+AP80</f>
        <v>-457</v>
      </c>
      <c r="AQ90" s="223">
        <v>0</v>
      </c>
      <c r="AR90" s="264">
        <v>1</v>
      </c>
      <c r="CK90" s="59"/>
      <c r="CL90" s="59"/>
      <c r="CM90" s="59"/>
      <c r="CN90" s="59"/>
      <c r="CO90" s="59"/>
      <c r="CP90" s="59"/>
      <c r="CQ90" s="59"/>
      <c r="CR90" s="59"/>
      <c r="CS90" s="59"/>
      <c r="CT90" s="59"/>
      <c r="CU90" s="59"/>
      <c r="CV90" s="59"/>
      <c r="CW90" s="59"/>
      <c r="CX90" s="59"/>
      <c r="CY90" s="59"/>
      <c r="CZ90" s="59"/>
      <c r="DA90" s="59"/>
      <c r="DB90" s="59"/>
      <c r="DC90" s="59"/>
      <c r="DD90" s="59"/>
      <c r="DE90" s="59"/>
      <c r="DF90" s="59"/>
      <c r="DG90" s="59"/>
      <c r="DH90" s="59"/>
      <c r="DI90" s="59"/>
      <c r="DJ90" s="59"/>
      <c r="DK90" s="59"/>
      <c r="DL90" s="59"/>
      <c r="DM90" s="59"/>
      <c r="DN90" s="59"/>
      <c r="DO90" s="59"/>
    </row>
    <row r="91" spans="2:119" ht="16.5" hidden="1" thickBot="1" x14ac:dyDescent="0.3">
      <c r="B91" s="201"/>
      <c r="C91" s="197"/>
      <c r="D91" s="82">
        <v>8</v>
      </c>
      <c r="E91" s="96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92"/>
      <c r="Y91" s="92"/>
      <c r="Z91" s="92"/>
      <c r="AA91" s="92"/>
      <c r="AB91" s="92"/>
      <c r="AC91" s="92"/>
      <c r="AD91" s="92"/>
      <c r="AE91" s="92"/>
      <c r="AF91" s="92"/>
      <c r="AG91" s="92"/>
      <c r="AH91" s="92"/>
      <c r="AI91" s="110"/>
      <c r="AJ91" s="263"/>
      <c r="AK91" s="220"/>
      <c r="AL91" s="220"/>
      <c r="AM91" s="220"/>
      <c r="AN91" s="225"/>
      <c r="AO91" s="225"/>
      <c r="AP91" s="225"/>
      <c r="AQ91" s="220"/>
      <c r="AR91" s="267"/>
      <c r="CK91" s="58">
        <f>IF(DAY(INDEX('Сводный годовой график'!$BA$4:$BL$14,$C90,MONTH($B$84)))=E$3,1,0)</f>
        <v>0</v>
      </c>
      <c r="CL91" s="58">
        <f>IF(DAY(INDEX('Сводный годовой график'!$BA$4:$BL$14,$C90,MONTH($B$84)))=F$3,1,0)</f>
        <v>0</v>
      </c>
      <c r="CM91" s="58">
        <f>IF(DAY(INDEX('Сводный годовой график'!$BA$4:$BL$14,$C90,MONTH($B$84)))=G$3,1,0)</f>
        <v>0</v>
      </c>
      <c r="CN91" s="58">
        <f>IF(DAY(INDEX('Сводный годовой график'!$BA$4:$BL$14,$C90,MONTH($B$84)))=H$3,1,0)</f>
        <v>0</v>
      </c>
      <c r="CO91" s="58">
        <f>IF(DAY(INDEX('Сводный годовой график'!$BA$4:$BL$14,$C90,MONTH($B$84)))=I$3,1,0)</f>
        <v>0</v>
      </c>
      <c r="CP91" s="58">
        <f>IF(DAY(INDEX('Сводный годовой график'!$BA$4:$BL$14,$C90,MONTH($B$84)))=J$3,1,0)</f>
        <v>0</v>
      </c>
      <c r="CQ91" s="58">
        <f>IF(DAY(INDEX('Сводный годовой график'!$BA$4:$BL$14,$C90,MONTH($B$84)))=K$3,1,0)</f>
        <v>0</v>
      </c>
      <c r="CR91" s="58">
        <f>IF(DAY(INDEX('Сводный годовой график'!$BA$4:$BL$14,$C90,MONTH($B$84)))=L$3,1,0)</f>
        <v>0</v>
      </c>
      <c r="CS91" s="58">
        <f>IF(DAY(INDEX('Сводный годовой график'!$BA$4:$BL$14,$C90,MONTH($B$84)))=M$3,1,0)</f>
        <v>0</v>
      </c>
      <c r="CT91" s="58">
        <f>IF(DAY(INDEX('Сводный годовой график'!$BA$4:$BL$14,$C90,MONTH($B$84)))=N$3,1,0)</f>
        <v>0</v>
      </c>
      <c r="CU91" s="58">
        <f>IF(DAY(INDEX('Сводный годовой график'!$BA$4:$BL$14,$C90,MONTH($B$84)))=O$3,1,0)</f>
        <v>0</v>
      </c>
      <c r="CV91" s="58">
        <f>IF(DAY(INDEX('Сводный годовой график'!$BA$4:$BL$14,$C90,MONTH($B$84)))=P$3,1,0)</f>
        <v>1</v>
      </c>
      <c r="CW91" s="58">
        <f>IF(DAY(INDEX('Сводный годовой график'!$BA$4:$BL$14,$C90,MONTH($B$84)))=Q$3,1,0)</f>
        <v>0</v>
      </c>
      <c r="CX91" s="58">
        <f>IF(DAY(INDEX('Сводный годовой график'!$BA$4:$BL$14,$C90,MONTH($B$84)))=R$3,1,0)</f>
        <v>0</v>
      </c>
      <c r="CY91" s="58">
        <f>IF(DAY(INDEX('Сводный годовой график'!$BA$4:$BL$14,$C90,MONTH($B$84)))=S$3,1,0)</f>
        <v>0</v>
      </c>
      <c r="CZ91" s="58">
        <f>IF(DAY(INDEX('Сводный годовой график'!$BA$4:$BL$14,$C90,MONTH($B$84)))=T$3,1,0)</f>
        <v>0</v>
      </c>
      <c r="DA91" s="58">
        <f>IF(DAY(INDEX('Сводный годовой график'!$BA$4:$BL$14,$C90,MONTH($B$84)))=U$3,1,0)</f>
        <v>0</v>
      </c>
      <c r="DB91" s="58">
        <f>IF(DAY(INDEX('Сводный годовой график'!$BA$4:$BL$14,$C90,MONTH($B$84)))=V$3,1,0)</f>
        <v>0</v>
      </c>
      <c r="DC91" s="58">
        <f>IF(DAY(INDEX('Сводный годовой график'!$BA$4:$BL$14,$C90,MONTH($B$84)))=W$3,1,0)</f>
        <v>0</v>
      </c>
      <c r="DD91" s="58">
        <f>IF(DAY(INDEX('Сводный годовой график'!$BA$4:$BL$14,$C90,MONTH($B$84)))=X$3,1,0)</f>
        <v>0</v>
      </c>
      <c r="DE91" s="58">
        <f>IF(DAY(INDEX('Сводный годовой график'!$BA$4:$BL$14,$C90,MONTH($B$84)))=Y$3,1,0)</f>
        <v>0</v>
      </c>
      <c r="DF91" s="58">
        <f>IF(DAY(INDEX('Сводный годовой график'!$BA$4:$BL$14,$C90,MONTH($B$84)))=Z$3,1,0)</f>
        <v>0</v>
      </c>
      <c r="DG91" s="58">
        <f>IF(DAY(INDEX('Сводный годовой график'!$BA$4:$BL$14,$C90,MONTH($B$84)))=AA$3,1,0)</f>
        <v>0</v>
      </c>
      <c r="DH91" s="58">
        <f>IF(DAY(INDEX('Сводный годовой график'!$BA$4:$BL$14,$C90,MONTH($B$84)))=AB$3,1,0)</f>
        <v>0</v>
      </c>
      <c r="DI91" s="58">
        <f>IF(DAY(INDEX('Сводный годовой график'!$BA$4:$BL$14,$C90,MONTH($B$84)))=AC$3,1,0)</f>
        <v>0</v>
      </c>
      <c r="DJ91" s="58">
        <f>IF(DAY(INDEX('Сводный годовой график'!$BA$4:$BL$14,$C90,MONTH($B$84)))=AD$3,1,0)</f>
        <v>0</v>
      </c>
      <c r="DK91" s="58">
        <f>IF(DAY(INDEX('Сводный годовой график'!$BA$4:$BL$14,$C90,MONTH($B$84)))=AE$3,1,0)</f>
        <v>0</v>
      </c>
      <c r="DL91" s="58">
        <f>IF(DAY(INDEX('Сводный годовой график'!$BA$4:$BL$14,$C90,MONTH($B$84)))=AF$3,1,0)</f>
        <v>0</v>
      </c>
      <c r="DM91" s="58">
        <f>IF(DAY(INDEX('Сводный годовой график'!$BA$4:$BL$14,$C90,MONTH($B$84)))=AG$3,1,0)</f>
        <v>0</v>
      </c>
      <c r="DN91" s="58">
        <f>IF(DAY(INDEX('Сводный годовой график'!$BA$4:$BL$14,$C90,MONTH($B$84)))=AH$3,1,0)</f>
        <v>0</v>
      </c>
      <c r="DO91" s="58">
        <f>IF(DAY(INDEX('Сводный годовой график'!$BA$4:$BL$14,$C90,MONTH($B$84)))=AI$3,1,0)</f>
        <v>0</v>
      </c>
    </row>
    <row r="92" spans="2:119" ht="15.75" hidden="1" x14ac:dyDescent="0.25">
      <c r="B92" s="201"/>
      <c r="C92" s="196">
        <v>5</v>
      </c>
      <c r="D92" s="81">
        <v>9</v>
      </c>
      <c r="E92" s="96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92"/>
      <c r="Y92" s="92"/>
      <c r="Z92" s="92"/>
      <c r="AA92" s="92"/>
      <c r="AB92" s="92"/>
      <c r="AC92" s="92"/>
      <c r="AD92" s="92"/>
      <c r="AE92" s="92"/>
      <c r="AF92" s="92"/>
      <c r="AG92" s="92"/>
      <c r="AH92" s="92"/>
      <c r="AI92" s="110"/>
      <c r="AJ92" s="263"/>
      <c r="AK92" s="223">
        <f>$AJ$84-SUM(AY92:CC93)</f>
        <v>176</v>
      </c>
      <c r="AL92" s="223">
        <f t="shared" ref="AL92" si="113">SUM(E92:AI93)</f>
        <v>0</v>
      </c>
      <c r="AM92" s="223">
        <v>0</v>
      </c>
      <c r="AN92" s="224">
        <f t="shared" ref="AN92" si="114">-AM92-AK92+AL92</f>
        <v>-176</v>
      </c>
      <c r="AO92" s="224">
        <v>0</v>
      </c>
      <c r="AP92" s="224">
        <f>AN92+AP82-AO92</f>
        <v>-1533</v>
      </c>
      <c r="AQ92" s="223">
        <v>0</v>
      </c>
      <c r="AR92" s="264">
        <v>1</v>
      </c>
      <c r="CK92" s="59"/>
      <c r="CL92" s="59"/>
      <c r="CM92" s="59"/>
      <c r="CN92" s="59"/>
      <c r="CO92" s="59"/>
      <c r="CP92" s="59"/>
      <c r="CQ92" s="59"/>
      <c r="CR92" s="59"/>
      <c r="CS92" s="59"/>
      <c r="CT92" s="59"/>
      <c r="CU92" s="59"/>
      <c r="CV92" s="59"/>
      <c r="CW92" s="59"/>
      <c r="CX92" s="59"/>
      <c r="CY92" s="59"/>
      <c r="CZ92" s="59"/>
      <c r="DA92" s="59"/>
      <c r="DB92" s="59"/>
      <c r="DC92" s="59"/>
      <c r="DD92" s="59"/>
      <c r="DE92" s="59"/>
      <c r="DF92" s="59"/>
      <c r="DG92" s="59"/>
      <c r="DH92" s="59"/>
      <c r="DI92" s="59"/>
      <c r="DJ92" s="59"/>
      <c r="DK92" s="59"/>
      <c r="DL92" s="59"/>
      <c r="DM92" s="59"/>
      <c r="DN92" s="59"/>
      <c r="DO92" s="59"/>
    </row>
    <row r="93" spans="2:119" ht="16.5" hidden="1" thickBot="1" x14ac:dyDescent="0.3">
      <c r="B93" s="202"/>
      <c r="C93" s="197"/>
      <c r="D93" s="99">
        <v>10</v>
      </c>
      <c r="E93" s="87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0"/>
      <c r="AH93" s="30"/>
      <c r="AI93" s="123"/>
      <c r="AJ93" s="227"/>
      <c r="AK93" s="226"/>
      <c r="AL93" s="226"/>
      <c r="AM93" s="226"/>
      <c r="AN93" s="227"/>
      <c r="AO93" s="227"/>
      <c r="AP93" s="227"/>
      <c r="AQ93" s="226"/>
      <c r="AR93" s="265"/>
      <c r="CK93" s="58">
        <f>IF(DAY(INDEX('Сводный годовой график'!$BA$4:$BL$14,$C92,MONTH($B$84)))=E$3,1,0)</f>
        <v>0</v>
      </c>
      <c r="CL93" s="58">
        <f>IF(DAY(INDEX('Сводный годовой график'!$BA$4:$BL$14,$C92,MONTH($B$84)))=F$3,1,0)</f>
        <v>0</v>
      </c>
      <c r="CM93" s="58">
        <f>IF(DAY(INDEX('Сводный годовой график'!$BA$4:$BL$14,$C92,MONTH($B$84)))=G$3,1,0)</f>
        <v>0</v>
      </c>
      <c r="CN93" s="58">
        <f>IF(DAY(INDEX('Сводный годовой график'!$BA$4:$BL$14,$C92,MONTH($B$84)))=H$3,1,0)</f>
        <v>0</v>
      </c>
      <c r="CO93" s="58">
        <f>IF(DAY(INDEX('Сводный годовой график'!$BA$4:$BL$14,$C92,MONTH($B$84)))=I$3,1,0)</f>
        <v>0</v>
      </c>
      <c r="CP93" s="58">
        <f>IF(DAY(INDEX('Сводный годовой график'!$BA$4:$BL$14,$C92,MONTH($B$84)))=J$3,1,0)</f>
        <v>0</v>
      </c>
      <c r="CQ93" s="58">
        <f>IF(DAY(INDEX('Сводный годовой график'!$BA$4:$BL$14,$C92,MONTH($B$84)))=K$3,1,0)</f>
        <v>0</v>
      </c>
      <c r="CR93" s="58">
        <f>IF(DAY(INDEX('Сводный годовой график'!$BA$4:$BL$14,$C92,MONTH($B$84)))=L$3,1,0)</f>
        <v>0</v>
      </c>
      <c r="CS93" s="58">
        <f>IF(DAY(INDEX('Сводный годовой график'!$BA$4:$BL$14,$C92,MONTH($B$84)))=M$3,1,0)</f>
        <v>0</v>
      </c>
      <c r="CT93" s="58">
        <f>IF(DAY(INDEX('Сводный годовой график'!$BA$4:$BL$14,$C92,MONTH($B$84)))=N$3,1,0)</f>
        <v>0</v>
      </c>
      <c r="CU93" s="58">
        <f>IF(DAY(INDEX('Сводный годовой график'!$BA$4:$BL$14,$C92,MONTH($B$84)))=O$3,1,0)</f>
        <v>0</v>
      </c>
      <c r="CV93" s="58">
        <f>IF(DAY(INDEX('Сводный годовой график'!$BA$4:$BL$14,$C92,MONTH($B$84)))=P$3,1,0)</f>
        <v>0</v>
      </c>
      <c r="CW93" s="58">
        <f>IF(DAY(INDEX('Сводный годовой график'!$BA$4:$BL$14,$C92,MONTH($B$84)))=Q$3,1,0)</f>
        <v>1</v>
      </c>
      <c r="CX93" s="58">
        <f>IF(DAY(INDEX('Сводный годовой график'!$BA$4:$BL$14,$C92,MONTH($B$84)))=R$3,1,0)</f>
        <v>0</v>
      </c>
      <c r="CY93" s="58">
        <f>IF(DAY(INDEX('Сводный годовой график'!$BA$4:$BL$14,$C92,MONTH($B$84)))=S$3,1,0)</f>
        <v>0</v>
      </c>
      <c r="CZ93" s="58">
        <f>IF(DAY(INDEX('Сводный годовой график'!$BA$4:$BL$14,$C92,MONTH($B$84)))=T$3,1,0)</f>
        <v>0</v>
      </c>
      <c r="DA93" s="58">
        <f>IF(DAY(INDEX('Сводный годовой график'!$BA$4:$BL$14,$C92,MONTH($B$84)))=U$3,1,0)</f>
        <v>0</v>
      </c>
      <c r="DB93" s="58">
        <f>IF(DAY(INDEX('Сводный годовой график'!$BA$4:$BL$14,$C92,MONTH($B$84)))=V$3,1,0)</f>
        <v>0</v>
      </c>
      <c r="DC93" s="58">
        <f>IF(DAY(INDEX('Сводный годовой график'!$BA$4:$BL$14,$C92,MONTH($B$84)))=W$3,1,0)</f>
        <v>0</v>
      </c>
      <c r="DD93" s="58">
        <f>IF(DAY(INDEX('Сводный годовой график'!$BA$4:$BL$14,$C92,MONTH($B$84)))=X$3,1,0)</f>
        <v>0</v>
      </c>
      <c r="DE93" s="58">
        <f>IF(DAY(INDEX('Сводный годовой график'!$BA$4:$BL$14,$C92,MONTH($B$84)))=Y$3,1,0)</f>
        <v>0</v>
      </c>
      <c r="DF93" s="58">
        <f>IF(DAY(INDEX('Сводный годовой график'!$BA$4:$BL$14,$C92,MONTH($B$84)))=Z$3,1,0)</f>
        <v>0</v>
      </c>
      <c r="DG93" s="58">
        <f>IF(DAY(INDEX('Сводный годовой график'!$BA$4:$BL$14,$C92,MONTH($B$84)))=AA$3,1,0)</f>
        <v>0</v>
      </c>
      <c r="DH93" s="58">
        <f>IF(DAY(INDEX('Сводный годовой график'!$BA$4:$BL$14,$C92,MONTH($B$84)))=AB$3,1,0)</f>
        <v>0</v>
      </c>
      <c r="DI93" s="58">
        <f>IF(DAY(INDEX('Сводный годовой график'!$BA$4:$BL$14,$C92,MONTH($B$84)))=AC$3,1,0)</f>
        <v>0</v>
      </c>
      <c r="DJ93" s="58">
        <f>IF(DAY(INDEX('Сводный годовой график'!$BA$4:$BL$14,$C92,MONTH($B$84)))=AD$3,1,0)</f>
        <v>0</v>
      </c>
      <c r="DK93" s="58">
        <f>IF(DAY(INDEX('Сводный годовой график'!$BA$4:$BL$14,$C92,MONTH($B$84)))=AE$3,1,0)</f>
        <v>0</v>
      </c>
      <c r="DL93" s="58">
        <f>IF(DAY(INDEX('Сводный годовой график'!$BA$4:$BL$14,$C92,MONTH($B$84)))=AF$3,1,0)</f>
        <v>0</v>
      </c>
      <c r="DM93" s="58">
        <f>IF(DAY(INDEX('Сводный годовой график'!$BA$4:$BL$14,$C92,MONTH($B$84)))=AG$3,1,0)</f>
        <v>0</v>
      </c>
      <c r="DN93" s="58">
        <f>IF(DAY(INDEX('Сводный годовой график'!$BA$4:$BL$14,$C92,MONTH($B$84)))=AH$3,1,0)</f>
        <v>0</v>
      </c>
      <c r="DO93" s="58">
        <f>IF(DAY(INDEX('Сводный годовой график'!$BA$4:$BL$14,$C92,MONTH($B$84)))=AI$3,1,0)</f>
        <v>0</v>
      </c>
    </row>
    <row r="94" spans="2:119" ht="17.25" hidden="1" customHeight="1" thickTop="1" x14ac:dyDescent="0.25">
      <c r="B94" s="200">
        <f>DATE($AV$1,10,1)</f>
        <v>45931</v>
      </c>
      <c r="C94" s="196">
        <v>1</v>
      </c>
      <c r="D94" s="81">
        <v>1</v>
      </c>
      <c r="E94" s="83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95"/>
      <c r="AJ94" s="228">
        <f>INDEX(Подключения!$D$3:$H$14,MONTH(B94),5)</f>
        <v>184</v>
      </c>
      <c r="AK94" s="173">
        <f>$AJ$94-SUM(AY94:CC95)</f>
        <v>184</v>
      </c>
      <c r="AL94" s="173">
        <f>SUM(E94:AI95)</f>
        <v>0</v>
      </c>
      <c r="AM94" s="173">
        <v>0</v>
      </c>
      <c r="AN94" s="262">
        <f t="shared" ref="AN94" si="115">-AM94-AK94+AL94</f>
        <v>-184</v>
      </c>
      <c r="AO94" s="262">
        <v>0</v>
      </c>
      <c r="AP94" s="262">
        <f t="shared" ref="AP94" ca="1" si="116">AN94+AP84</f>
        <v>-681</v>
      </c>
      <c r="AQ94" s="173">
        <v>0</v>
      </c>
      <c r="AR94" s="261">
        <v>1</v>
      </c>
      <c r="CK94" s="59"/>
      <c r="CL94" s="59"/>
      <c r="CM94" s="59"/>
      <c r="CN94" s="59"/>
      <c r="CO94" s="59"/>
      <c r="CP94" s="59"/>
      <c r="CQ94" s="59"/>
      <c r="CR94" s="59"/>
      <c r="CS94" s="59"/>
      <c r="CT94" s="59"/>
      <c r="CU94" s="59"/>
      <c r="CV94" s="59"/>
      <c r="CW94" s="59"/>
      <c r="CX94" s="59"/>
      <c r="CY94" s="59"/>
      <c r="CZ94" s="59"/>
      <c r="DA94" s="59"/>
      <c r="DB94" s="59"/>
      <c r="DC94" s="59"/>
      <c r="DD94" s="59"/>
      <c r="DE94" s="59"/>
      <c r="DF94" s="59"/>
      <c r="DG94" s="59"/>
      <c r="DH94" s="59"/>
      <c r="DI94" s="59"/>
      <c r="DJ94" s="59"/>
      <c r="DK94" s="59"/>
      <c r="DL94" s="59"/>
      <c r="DM94" s="59"/>
      <c r="DN94" s="59"/>
      <c r="DO94" s="59"/>
    </row>
    <row r="95" spans="2:119" ht="16.5" hidden="1" thickBot="1" x14ac:dyDescent="0.3">
      <c r="B95" s="201"/>
      <c r="C95" s="197"/>
      <c r="D95" s="82">
        <v>2</v>
      </c>
      <c r="E95" s="96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92"/>
      <c r="Y95" s="92"/>
      <c r="Z95" s="92"/>
      <c r="AA95" s="92"/>
      <c r="AB95" s="92"/>
      <c r="AC95" s="92"/>
      <c r="AD95" s="92"/>
      <c r="AE95" s="92"/>
      <c r="AF95" s="92"/>
      <c r="AG95" s="92"/>
      <c r="AH95" s="92"/>
      <c r="AI95" s="97"/>
      <c r="AJ95" s="263"/>
      <c r="AK95" s="172"/>
      <c r="AL95" s="171"/>
      <c r="AM95" s="171"/>
      <c r="AN95" s="258"/>
      <c r="AO95" s="258"/>
      <c r="AP95" s="258"/>
      <c r="AQ95" s="171"/>
      <c r="AR95" s="256"/>
      <c r="CK95" s="58">
        <f>IF(DAY(INDEX('Сводный годовой график'!$BA$4:$BL$14,$C94,MONTH($B$94)))=E$3,1,0)</f>
        <v>0</v>
      </c>
      <c r="CL95" s="58">
        <f>IF(DAY(INDEX('Сводный годовой график'!$BA$4:$BL$14,$C94,MONTH($B$94)))=F$3,1,0)</f>
        <v>0</v>
      </c>
      <c r="CM95" s="58">
        <f>IF(DAY(INDEX('Сводный годовой график'!$BA$4:$BL$14,$C94,MONTH($B$94)))=G$3,1,0)</f>
        <v>0</v>
      </c>
      <c r="CN95" s="58">
        <f>IF(DAY(INDEX('Сводный годовой график'!$BA$4:$BL$14,$C94,MONTH($B$94)))=H$3,1,0)</f>
        <v>0</v>
      </c>
      <c r="CO95" s="58">
        <f>IF(DAY(INDEX('Сводный годовой график'!$BA$4:$BL$14,$C94,MONTH($B$94)))=I$3,1,0)</f>
        <v>0</v>
      </c>
      <c r="CP95" s="58">
        <f>IF(DAY(INDEX('Сводный годовой график'!$BA$4:$BL$14,$C94,MONTH($B$94)))=J$3,1,0)</f>
        <v>0</v>
      </c>
      <c r="CQ95" s="58">
        <f>IF(DAY(INDEX('Сводный годовой график'!$BA$4:$BL$14,$C94,MONTH($B$94)))=K$3,1,0)</f>
        <v>0</v>
      </c>
      <c r="CR95" s="58">
        <f>IF(DAY(INDEX('Сводный годовой график'!$BA$4:$BL$14,$C94,MONTH($B$94)))=L$3,1,0)</f>
        <v>0</v>
      </c>
      <c r="CS95" s="58">
        <f>IF(DAY(INDEX('Сводный годовой график'!$BA$4:$BL$14,$C94,MONTH($B$94)))=M$3,1,0)</f>
        <v>0</v>
      </c>
      <c r="CT95" s="58">
        <f>IF(DAY(INDEX('Сводный годовой график'!$BA$4:$BL$14,$C94,MONTH($B$94)))=N$3,1,0)</f>
        <v>1</v>
      </c>
      <c r="CU95" s="58">
        <f>IF(DAY(INDEX('Сводный годовой график'!$BA$4:$BL$14,$C94,MONTH($B$94)))=O$3,1,0)</f>
        <v>0</v>
      </c>
      <c r="CV95" s="58">
        <f>IF(DAY(INDEX('Сводный годовой график'!$BA$4:$BL$14,$C94,MONTH($B$94)))=P$3,1,0)</f>
        <v>0</v>
      </c>
      <c r="CW95" s="58">
        <f>IF(DAY(INDEX('Сводный годовой график'!$BA$4:$BL$14,$C94,MONTH($B$94)))=Q$3,1,0)</f>
        <v>0</v>
      </c>
      <c r="CX95" s="58">
        <f>IF(DAY(INDEX('Сводный годовой график'!$BA$4:$BL$14,$C94,MONTH($B$94)))=R$3,1,0)</f>
        <v>0</v>
      </c>
      <c r="CY95" s="58">
        <f>IF(DAY(INDEX('Сводный годовой график'!$BA$4:$BL$14,$C94,MONTH($B$94)))=S$3,1,0)</f>
        <v>0</v>
      </c>
      <c r="CZ95" s="58">
        <f>IF(DAY(INDEX('Сводный годовой график'!$BA$4:$BL$14,$C94,MONTH($B$94)))=T$3,1,0)</f>
        <v>0</v>
      </c>
      <c r="DA95" s="58">
        <f>IF(DAY(INDEX('Сводный годовой график'!$BA$4:$BL$14,$C94,MONTH($B$94)))=U$3,1,0)</f>
        <v>0</v>
      </c>
      <c r="DB95" s="58">
        <f>IF(DAY(INDEX('Сводный годовой график'!$BA$4:$BL$14,$C94,MONTH($B$94)))=V$3,1,0)</f>
        <v>0</v>
      </c>
      <c r="DC95" s="58">
        <f>IF(DAY(INDEX('Сводный годовой график'!$BA$4:$BL$14,$C94,MONTH($B$94)))=W$3,1,0)</f>
        <v>0</v>
      </c>
      <c r="DD95" s="58">
        <f>IF(DAY(INDEX('Сводный годовой график'!$BA$4:$BL$14,$C94,MONTH($B$94)))=X$3,1,0)</f>
        <v>0</v>
      </c>
      <c r="DE95" s="58">
        <f>IF(DAY(INDEX('Сводный годовой график'!$BA$4:$BL$14,$C94,MONTH($B$94)))=Y$3,1,0)</f>
        <v>0</v>
      </c>
      <c r="DF95" s="58">
        <f>IF(DAY(INDEX('Сводный годовой график'!$BA$4:$BL$14,$C94,MONTH($B$94)))=Z$3,1,0)</f>
        <v>0</v>
      </c>
      <c r="DG95" s="58">
        <f>IF(DAY(INDEX('Сводный годовой график'!$BA$4:$BL$14,$C94,MONTH($B$94)))=AA$3,1,0)</f>
        <v>0</v>
      </c>
      <c r="DH95" s="58">
        <f>IF(DAY(INDEX('Сводный годовой график'!$BA$4:$BL$14,$C94,MONTH($B$94)))=AB$3,1,0)</f>
        <v>0</v>
      </c>
      <c r="DI95" s="58">
        <f>IF(DAY(INDEX('Сводный годовой график'!$BA$4:$BL$14,$C94,MONTH($B$94)))=AC$3,1,0)</f>
        <v>0</v>
      </c>
      <c r="DJ95" s="58">
        <f>IF(DAY(INDEX('Сводный годовой график'!$BA$4:$BL$14,$C94,MONTH($B$94)))=AD$3,1,0)</f>
        <v>0</v>
      </c>
      <c r="DK95" s="58">
        <f>IF(DAY(INDEX('Сводный годовой график'!$BA$4:$BL$14,$C94,MONTH($B$94)))=AE$3,1,0)</f>
        <v>0</v>
      </c>
      <c r="DL95" s="58">
        <f>IF(DAY(INDEX('Сводный годовой график'!$BA$4:$BL$14,$C94,MONTH($B$94)))=AF$3,1,0)</f>
        <v>0</v>
      </c>
      <c r="DM95" s="58">
        <f>IF(DAY(INDEX('Сводный годовой график'!$BA$4:$BL$14,$C94,MONTH($B$94)))=AG$3,1,0)</f>
        <v>0</v>
      </c>
      <c r="DN95" s="58">
        <f>IF(DAY(INDEX('Сводный годовой график'!$BA$4:$BL$14,$C94,MONTH($B$94)))=AH$3,1,0)</f>
        <v>0</v>
      </c>
      <c r="DO95" s="58">
        <f>IF(DAY(INDEX('Сводный годовой график'!$BA$4:$BL$14,$C94,MONTH($B$94)))=AI$3,1,0)</f>
        <v>0</v>
      </c>
    </row>
    <row r="96" spans="2:119" ht="16.5" hidden="1" thickTop="1" x14ac:dyDescent="0.25">
      <c r="B96" s="201"/>
      <c r="C96" s="196">
        <v>2</v>
      </c>
      <c r="D96" s="81">
        <v>3</v>
      </c>
      <c r="E96" s="96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92"/>
      <c r="Y96" s="92"/>
      <c r="Z96" s="92"/>
      <c r="AA96" s="92"/>
      <c r="AB96" s="92"/>
      <c r="AC96" s="92"/>
      <c r="AD96" s="92"/>
      <c r="AE96" s="92"/>
      <c r="AF96" s="92"/>
      <c r="AG96" s="92"/>
      <c r="AH96" s="92"/>
      <c r="AI96" s="97"/>
      <c r="AJ96" s="263"/>
      <c r="AK96" s="173">
        <f>$AJ$94-SUM(AY96:CC97)</f>
        <v>184</v>
      </c>
      <c r="AL96" s="170">
        <f t="shared" ref="AL96" si="117">SUM(E96:AI97)</f>
        <v>0</v>
      </c>
      <c r="AM96" s="170">
        <v>0</v>
      </c>
      <c r="AN96" s="257">
        <f t="shared" ref="AN96" si="118">-AM96-AK96+AL96</f>
        <v>-184</v>
      </c>
      <c r="AO96" s="257">
        <v>0</v>
      </c>
      <c r="AP96" s="257">
        <f t="shared" ref="AP96" ca="1" si="119">AN96+AP86</f>
        <v>-689</v>
      </c>
      <c r="AQ96" s="170">
        <v>0</v>
      </c>
      <c r="AR96" s="255">
        <v>1</v>
      </c>
      <c r="CK96" s="59"/>
      <c r="CL96" s="59"/>
      <c r="CM96" s="59"/>
      <c r="CN96" s="59"/>
      <c r="CO96" s="59"/>
      <c r="CP96" s="59"/>
      <c r="CQ96" s="59"/>
      <c r="CR96" s="59"/>
      <c r="CS96" s="59"/>
      <c r="CT96" s="59"/>
      <c r="CU96" s="59"/>
      <c r="CV96" s="59"/>
      <c r="CW96" s="59"/>
      <c r="CX96" s="59"/>
      <c r="CY96" s="59"/>
      <c r="CZ96" s="59"/>
      <c r="DA96" s="59"/>
      <c r="DB96" s="59"/>
      <c r="DC96" s="59"/>
      <c r="DD96" s="59"/>
      <c r="DE96" s="59"/>
      <c r="DF96" s="59"/>
      <c r="DG96" s="59"/>
      <c r="DH96" s="59"/>
      <c r="DI96" s="59"/>
      <c r="DJ96" s="59"/>
      <c r="DK96" s="59"/>
      <c r="DL96" s="59"/>
      <c r="DM96" s="59"/>
      <c r="DN96" s="59"/>
      <c r="DO96" s="59"/>
    </row>
    <row r="97" spans="2:119" ht="16.5" hidden="1" thickBot="1" x14ac:dyDescent="0.3">
      <c r="B97" s="201"/>
      <c r="C97" s="197"/>
      <c r="D97" s="82">
        <v>4</v>
      </c>
      <c r="E97" s="96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92"/>
      <c r="Y97" s="92"/>
      <c r="Z97" s="92"/>
      <c r="AA97" s="92"/>
      <c r="AB97" s="92"/>
      <c r="AC97" s="92"/>
      <c r="AD97" s="92"/>
      <c r="AE97" s="92"/>
      <c r="AF97" s="92"/>
      <c r="AG97" s="92"/>
      <c r="AH97" s="92"/>
      <c r="AI97" s="97"/>
      <c r="AJ97" s="263"/>
      <c r="AK97" s="171"/>
      <c r="AL97" s="171"/>
      <c r="AM97" s="171"/>
      <c r="AN97" s="258"/>
      <c r="AO97" s="258"/>
      <c r="AP97" s="258"/>
      <c r="AQ97" s="171"/>
      <c r="AR97" s="256"/>
      <c r="CK97" s="58">
        <f>IF(DAY(INDEX('Сводный годовой график'!$BA$4:$BL$14,$C96,MONTH($B$94)))=E$3,1,0)</f>
        <v>0</v>
      </c>
      <c r="CL97" s="58">
        <f>IF(DAY(INDEX('Сводный годовой график'!$BA$4:$BL$14,$C96,MONTH($B$94)))=F$3,1,0)</f>
        <v>0</v>
      </c>
      <c r="CM97" s="58">
        <f>IF(DAY(INDEX('Сводный годовой график'!$BA$4:$BL$14,$C96,MONTH($B$94)))=G$3,1,0)</f>
        <v>0</v>
      </c>
      <c r="CN97" s="58">
        <f>IF(DAY(INDEX('Сводный годовой график'!$BA$4:$BL$14,$C96,MONTH($B$94)))=H$3,1,0)</f>
        <v>0</v>
      </c>
      <c r="CO97" s="58">
        <f>IF(DAY(INDEX('Сводный годовой график'!$BA$4:$BL$14,$C96,MONTH($B$94)))=I$3,1,0)</f>
        <v>0</v>
      </c>
      <c r="CP97" s="58">
        <f>IF(DAY(INDEX('Сводный годовой график'!$BA$4:$BL$14,$C96,MONTH($B$94)))=J$3,1,0)</f>
        <v>0</v>
      </c>
      <c r="CQ97" s="58">
        <f>IF(DAY(INDEX('Сводный годовой график'!$BA$4:$BL$14,$C96,MONTH($B$94)))=K$3,1,0)</f>
        <v>0</v>
      </c>
      <c r="CR97" s="58">
        <f>IF(DAY(INDEX('Сводный годовой график'!$BA$4:$BL$14,$C96,MONTH($B$94)))=L$3,1,0)</f>
        <v>0</v>
      </c>
      <c r="CS97" s="58">
        <f>IF(DAY(INDEX('Сводный годовой график'!$BA$4:$BL$14,$C96,MONTH($B$94)))=M$3,1,0)</f>
        <v>0</v>
      </c>
      <c r="CT97" s="58">
        <f>IF(DAY(INDEX('Сводный годовой график'!$BA$4:$BL$14,$C96,MONTH($B$94)))=N$3,1,0)</f>
        <v>0</v>
      </c>
      <c r="CU97" s="58">
        <f>IF(DAY(INDEX('Сводный годовой график'!$BA$4:$BL$14,$C96,MONTH($B$94)))=O$3,1,0)</f>
        <v>1</v>
      </c>
      <c r="CV97" s="58">
        <f>IF(DAY(INDEX('Сводный годовой график'!$BA$4:$BL$14,$C96,MONTH($B$94)))=P$3,1,0)</f>
        <v>0</v>
      </c>
      <c r="CW97" s="58">
        <f>IF(DAY(INDEX('Сводный годовой график'!$BA$4:$BL$14,$C96,MONTH($B$94)))=Q$3,1,0)</f>
        <v>0</v>
      </c>
      <c r="CX97" s="58">
        <f>IF(DAY(INDEX('Сводный годовой график'!$BA$4:$BL$14,$C96,MONTH($B$94)))=R$3,1,0)</f>
        <v>0</v>
      </c>
      <c r="CY97" s="58">
        <f>IF(DAY(INDEX('Сводный годовой график'!$BA$4:$BL$14,$C96,MONTH($B$94)))=S$3,1,0)</f>
        <v>0</v>
      </c>
      <c r="CZ97" s="58">
        <f>IF(DAY(INDEX('Сводный годовой график'!$BA$4:$BL$14,$C96,MONTH($B$94)))=T$3,1,0)</f>
        <v>0</v>
      </c>
      <c r="DA97" s="58">
        <f>IF(DAY(INDEX('Сводный годовой график'!$BA$4:$BL$14,$C96,MONTH($B$94)))=U$3,1,0)</f>
        <v>0</v>
      </c>
      <c r="DB97" s="58">
        <f>IF(DAY(INDEX('Сводный годовой график'!$BA$4:$BL$14,$C96,MONTH($B$94)))=V$3,1,0)</f>
        <v>0</v>
      </c>
      <c r="DC97" s="58">
        <f>IF(DAY(INDEX('Сводный годовой график'!$BA$4:$BL$14,$C96,MONTH($B$94)))=W$3,1,0)</f>
        <v>0</v>
      </c>
      <c r="DD97" s="58">
        <f>IF(DAY(INDEX('Сводный годовой график'!$BA$4:$BL$14,$C96,MONTH($B$94)))=X$3,1,0)</f>
        <v>0</v>
      </c>
      <c r="DE97" s="58">
        <f>IF(DAY(INDEX('Сводный годовой график'!$BA$4:$BL$14,$C96,MONTH($B$94)))=Y$3,1,0)</f>
        <v>0</v>
      </c>
      <c r="DF97" s="58">
        <f>IF(DAY(INDEX('Сводный годовой график'!$BA$4:$BL$14,$C96,MONTH($B$94)))=Z$3,1,0)</f>
        <v>0</v>
      </c>
      <c r="DG97" s="58">
        <f>IF(DAY(INDEX('Сводный годовой график'!$BA$4:$BL$14,$C96,MONTH($B$94)))=AA$3,1,0)</f>
        <v>0</v>
      </c>
      <c r="DH97" s="58">
        <f>IF(DAY(INDEX('Сводный годовой график'!$BA$4:$BL$14,$C96,MONTH($B$94)))=AB$3,1,0)</f>
        <v>0</v>
      </c>
      <c r="DI97" s="58">
        <f>IF(DAY(INDEX('Сводный годовой график'!$BA$4:$BL$14,$C96,MONTH($B$94)))=AC$3,1,0)</f>
        <v>0</v>
      </c>
      <c r="DJ97" s="58">
        <f>IF(DAY(INDEX('Сводный годовой график'!$BA$4:$BL$14,$C96,MONTH($B$94)))=AD$3,1,0)</f>
        <v>0</v>
      </c>
      <c r="DK97" s="58">
        <f>IF(DAY(INDEX('Сводный годовой график'!$BA$4:$BL$14,$C96,MONTH($B$94)))=AE$3,1,0)</f>
        <v>0</v>
      </c>
      <c r="DL97" s="58">
        <f>IF(DAY(INDEX('Сводный годовой график'!$BA$4:$BL$14,$C96,MONTH($B$94)))=AF$3,1,0)</f>
        <v>0</v>
      </c>
      <c r="DM97" s="58">
        <f>IF(DAY(INDEX('Сводный годовой график'!$BA$4:$BL$14,$C96,MONTH($B$94)))=AG$3,1,0)</f>
        <v>0</v>
      </c>
      <c r="DN97" s="58">
        <f>IF(DAY(INDEX('Сводный годовой график'!$BA$4:$BL$14,$C96,MONTH($B$94)))=AH$3,1,0)</f>
        <v>0</v>
      </c>
      <c r="DO97" s="58">
        <f>IF(DAY(INDEX('Сводный годовой график'!$BA$4:$BL$14,$C96,MONTH($B$94)))=AI$3,1,0)</f>
        <v>0</v>
      </c>
    </row>
    <row r="98" spans="2:119" ht="15.75" hidden="1" x14ac:dyDescent="0.25">
      <c r="B98" s="201"/>
      <c r="C98" s="196">
        <v>3</v>
      </c>
      <c r="D98" s="81">
        <v>5</v>
      </c>
      <c r="E98" s="96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  <c r="AA98" s="92"/>
      <c r="AB98" s="92"/>
      <c r="AC98" s="92"/>
      <c r="AD98" s="92"/>
      <c r="AE98" s="92"/>
      <c r="AF98" s="92"/>
      <c r="AG98" s="92"/>
      <c r="AH98" s="92"/>
      <c r="AI98" s="97"/>
      <c r="AJ98" s="263"/>
      <c r="AK98" s="170">
        <f>$AJ$94-SUM(AY98:CC99)</f>
        <v>184</v>
      </c>
      <c r="AL98" s="170">
        <f t="shared" ref="AL98" si="120">SUM(E98:AI99)</f>
        <v>0</v>
      </c>
      <c r="AM98" s="170">
        <v>0</v>
      </c>
      <c r="AN98" s="257">
        <f t="shared" ref="AN98" si="121">-AM98-AK98+AL98</f>
        <v>-184</v>
      </c>
      <c r="AO98" s="257">
        <v>0</v>
      </c>
      <c r="AP98" s="257">
        <f t="shared" ref="AP98" ca="1" si="122">AN98+AP88</f>
        <v>-663</v>
      </c>
      <c r="AQ98" s="170">
        <v>14</v>
      </c>
      <c r="AR98" s="255">
        <v>0</v>
      </c>
      <c r="CK98" s="59"/>
      <c r="CL98" s="59"/>
      <c r="CM98" s="59"/>
      <c r="CN98" s="59"/>
      <c r="CO98" s="59"/>
      <c r="CP98" s="59"/>
      <c r="CQ98" s="59"/>
      <c r="CR98" s="59"/>
      <c r="CS98" s="59"/>
      <c r="CT98" s="59"/>
      <c r="CU98" s="59"/>
      <c r="CV98" s="59"/>
      <c r="CW98" s="59"/>
      <c r="CX98" s="59"/>
      <c r="CY98" s="59"/>
      <c r="CZ98" s="59"/>
      <c r="DA98" s="59"/>
      <c r="DB98" s="59"/>
      <c r="DC98" s="59"/>
      <c r="DD98" s="59"/>
      <c r="DE98" s="59"/>
      <c r="DF98" s="59"/>
      <c r="DG98" s="59"/>
      <c r="DH98" s="59"/>
      <c r="DI98" s="59"/>
      <c r="DJ98" s="59"/>
      <c r="DK98" s="59"/>
      <c r="DL98" s="59"/>
      <c r="DM98" s="59"/>
      <c r="DN98" s="59"/>
      <c r="DO98" s="59"/>
    </row>
    <row r="99" spans="2:119" ht="16.5" hidden="1" thickBot="1" x14ac:dyDescent="0.3">
      <c r="B99" s="201"/>
      <c r="C99" s="197"/>
      <c r="D99" s="82">
        <v>6</v>
      </c>
      <c r="E99" s="96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7"/>
      <c r="AJ99" s="263"/>
      <c r="AK99" s="171"/>
      <c r="AL99" s="171"/>
      <c r="AM99" s="171"/>
      <c r="AN99" s="258"/>
      <c r="AO99" s="258"/>
      <c r="AP99" s="258"/>
      <c r="AQ99" s="171"/>
      <c r="AR99" s="256"/>
      <c r="CK99" s="58">
        <f>IF(DAY(INDEX('Сводный годовой график'!$BA$4:$BL$14,$C98,MONTH($B$94)))=E$3,1,0)</f>
        <v>0</v>
      </c>
      <c r="CL99" s="58">
        <f>IF(DAY(INDEX('Сводный годовой график'!$BA$4:$BL$14,$C98,MONTH($B$94)))=F$3,1,0)</f>
        <v>0</v>
      </c>
      <c r="CM99" s="58">
        <f>IF(DAY(INDEX('Сводный годовой график'!$BA$4:$BL$14,$C98,MONTH($B$94)))=G$3,1,0)</f>
        <v>0</v>
      </c>
      <c r="CN99" s="58">
        <f>IF(DAY(INDEX('Сводный годовой график'!$BA$4:$BL$14,$C98,MONTH($B$94)))=H$3,1,0)</f>
        <v>0</v>
      </c>
      <c r="CO99" s="58">
        <f>IF(DAY(INDEX('Сводный годовой график'!$BA$4:$BL$14,$C98,MONTH($B$94)))=I$3,1,0)</f>
        <v>0</v>
      </c>
      <c r="CP99" s="58">
        <f>IF(DAY(INDEX('Сводный годовой график'!$BA$4:$BL$14,$C98,MONTH($B$94)))=J$3,1,0)</f>
        <v>0</v>
      </c>
      <c r="CQ99" s="58">
        <f>IF(DAY(INDEX('Сводный годовой график'!$BA$4:$BL$14,$C98,MONTH($B$94)))=K$3,1,0)</f>
        <v>0</v>
      </c>
      <c r="CR99" s="58">
        <f>IF(DAY(INDEX('Сводный годовой график'!$BA$4:$BL$14,$C98,MONTH($B$94)))=L$3,1,0)</f>
        <v>0</v>
      </c>
      <c r="CS99" s="58">
        <f>IF(DAY(INDEX('Сводный годовой график'!$BA$4:$BL$14,$C98,MONTH($B$94)))=M$3,1,0)</f>
        <v>0</v>
      </c>
      <c r="CT99" s="58">
        <f>IF(DAY(INDEX('Сводный годовой график'!$BA$4:$BL$14,$C98,MONTH($B$94)))=N$3,1,0)</f>
        <v>0</v>
      </c>
      <c r="CU99" s="58">
        <f>IF(DAY(INDEX('Сводный годовой график'!$BA$4:$BL$14,$C98,MONTH($B$94)))=O$3,1,0)</f>
        <v>0</v>
      </c>
      <c r="CV99" s="58">
        <f>IF(DAY(INDEX('Сводный годовой график'!$BA$4:$BL$14,$C98,MONTH($B$94)))=P$3,1,0)</f>
        <v>1</v>
      </c>
      <c r="CW99" s="58">
        <f>IF(DAY(INDEX('Сводный годовой график'!$BA$4:$BL$14,$C98,MONTH($B$94)))=Q$3,1,0)</f>
        <v>0</v>
      </c>
      <c r="CX99" s="58">
        <f>IF(DAY(INDEX('Сводный годовой график'!$BA$4:$BL$14,$C98,MONTH($B$94)))=R$3,1,0)</f>
        <v>0</v>
      </c>
      <c r="CY99" s="58">
        <f>IF(DAY(INDEX('Сводный годовой график'!$BA$4:$BL$14,$C98,MONTH($B$94)))=S$3,1,0)</f>
        <v>0</v>
      </c>
      <c r="CZ99" s="58">
        <f>IF(DAY(INDEX('Сводный годовой график'!$BA$4:$BL$14,$C98,MONTH($B$94)))=T$3,1,0)</f>
        <v>0</v>
      </c>
      <c r="DA99" s="58">
        <f>IF(DAY(INDEX('Сводный годовой график'!$BA$4:$BL$14,$C98,MONTH($B$94)))=U$3,1,0)</f>
        <v>0</v>
      </c>
      <c r="DB99" s="58">
        <f>IF(DAY(INDEX('Сводный годовой график'!$BA$4:$BL$14,$C98,MONTH($B$94)))=V$3,1,0)</f>
        <v>0</v>
      </c>
      <c r="DC99" s="58">
        <f>IF(DAY(INDEX('Сводный годовой график'!$BA$4:$BL$14,$C98,MONTH($B$94)))=W$3,1,0)</f>
        <v>0</v>
      </c>
      <c r="DD99" s="58">
        <f>IF(DAY(INDEX('Сводный годовой график'!$BA$4:$BL$14,$C98,MONTH($B$94)))=X$3,1,0)</f>
        <v>0</v>
      </c>
      <c r="DE99" s="58">
        <f>IF(DAY(INDEX('Сводный годовой график'!$BA$4:$BL$14,$C98,MONTH($B$94)))=Y$3,1,0)</f>
        <v>0</v>
      </c>
      <c r="DF99" s="58">
        <f>IF(DAY(INDEX('Сводный годовой график'!$BA$4:$BL$14,$C98,MONTH($B$94)))=Z$3,1,0)</f>
        <v>0</v>
      </c>
      <c r="DG99" s="58">
        <f>IF(DAY(INDEX('Сводный годовой график'!$BA$4:$BL$14,$C98,MONTH($B$94)))=AA$3,1,0)</f>
        <v>0</v>
      </c>
      <c r="DH99" s="58">
        <f>IF(DAY(INDEX('Сводный годовой график'!$BA$4:$BL$14,$C98,MONTH($B$94)))=AB$3,1,0)</f>
        <v>0</v>
      </c>
      <c r="DI99" s="58">
        <f>IF(DAY(INDEX('Сводный годовой график'!$BA$4:$BL$14,$C98,MONTH($B$94)))=AC$3,1,0)</f>
        <v>0</v>
      </c>
      <c r="DJ99" s="58">
        <f>IF(DAY(INDEX('Сводный годовой график'!$BA$4:$BL$14,$C98,MONTH($B$94)))=AD$3,1,0)</f>
        <v>0</v>
      </c>
      <c r="DK99" s="58">
        <f>IF(DAY(INDEX('Сводный годовой график'!$BA$4:$BL$14,$C98,MONTH($B$94)))=AE$3,1,0)</f>
        <v>0</v>
      </c>
      <c r="DL99" s="58">
        <f>IF(DAY(INDEX('Сводный годовой график'!$BA$4:$BL$14,$C98,MONTH($B$94)))=AF$3,1,0)</f>
        <v>0</v>
      </c>
      <c r="DM99" s="58">
        <f>IF(DAY(INDEX('Сводный годовой график'!$BA$4:$BL$14,$C98,MONTH($B$94)))=AG$3,1,0)</f>
        <v>0</v>
      </c>
      <c r="DN99" s="58">
        <f>IF(DAY(INDEX('Сводный годовой график'!$BA$4:$BL$14,$C98,MONTH($B$94)))=AH$3,1,0)</f>
        <v>0</v>
      </c>
      <c r="DO99" s="58">
        <f>IF(DAY(INDEX('Сводный годовой график'!$BA$4:$BL$14,$C98,MONTH($B$94)))=AI$3,1,0)</f>
        <v>0</v>
      </c>
    </row>
    <row r="100" spans="2:119" ht="15.75" hidden="1" x14ac:dyDescent="0.25">
      <c r="B100" s="201"/>
      <c r="C100" s="196">
        <v>4</v>
      </c>
      <c r="D100" s="81">
        <v>7</v>
      </c>
      <c r="E100" s="96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  <c r="AA100" s="92"/>
      <c r="AB100" s="92"/>
      <c r="AC100" s="92"/>
      <c r="AD100" s="92"/>
      <c r="AE100" s="92"/>
      <c r="AF100" s="92"/>
      <c r="AG100" s="92"/>
      <c r="AH100" s="92"/>
      <c r="AI100" s="97"/>
      <c r="AJ100" s="263"/>
      <c r="AK100" s="170">
        <f>$AJ$94-SUM(AY100:CC101)</f>
        <v>184</v>
      </c>
      <c r="AL100" s="170">
        <f t="shared" ref="AL100" si="123">SUM(E100:AI101)</f>
        <v>0</v>
      </c>
      <c r="AM100" s="170">
        <v>0</v>
      </c>
      <c r="AN100" s="257">
        <f t="shared" ref="AN100" si="124">-AM100-AK100+AL100</f>
        <v>-184</v>
      </c>
      <c r="AO100" s="257">
        <v>0</v>
      </c>
      <c r="AP100" s="257">
        <f t="shared" ref="AP100" ca="1" si="125">AN100+AP90</f>
        <v>-641</v>
      </c>
      <c r="AQ100" s="170">
        <v>0</v>
      </c>
      <c r="AR100" s="255">
        <v>1</v>
      </c>
      <c r="CK100" s="59"/>
      <c r="CL100" s="59"/>
      <c r="CM100" s="59"/>
      <c r="CN100" s="59"/>
      <c r="CO100" s="59"/>
      <c r="CP100" s="59"/>
      <c r="CQ100" s="59"/>
      <c r="CR100" s="59"/>
      <c r="CS100" s="59"/>
      <c r="CT100" s="59"/>
      <c r="CU100" s="59"/>
      <c r="CV100" s="59"/>
      <c r="CW100" s="59"/>
      <c r="CX100" s="59"/>
      <c r="CY100" s="59"/>
      <c r="CZ100" s="59"/>
      <c r="DA100" s="59"/>
      <c r="DB100" s="59"/>
      <c r="DC100" s="59"/>
      <c r="DD100" s="59"/>
      <c r="DE100" s="59"/>
      <c r="DF100" s="59"/>
      <c r="DG100" s="59"/>
      <c r="DH100" s="59"/>
      <c r="DI100" s="59"/>
      <c r="DJ100" s="59"/>
      <c r="DK100" s="59"/>
      <c r="DL100" s="59"/>
      <c r="DM100" s="59"/>
      <c r="DN100" s="59"/>
      <c r="DO100" s="59"/>
    </row>
    <row r="101" spans="2:119" ht="16.5" hidden="1" thickBot="1" x14ac:dyDescent="0.3">
      <c r="B101" s="201"/>
      <c r="C101" s="197"/>
      <c r="D101" s="82">
        <v>8</v>
      </c>
      <c r="E101" s="96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  <c r="AA101" s="92"/>
      <c r="AB101" s="92"/>
      <c r="AC101" s="92"/>
      <c r="AD101" s="92"/>
      <c r="AE101" s="92"/>
      <c r="AF101" s="92"/>
      <c r="AG101" s="92"/>
      <c r="AH101" s="92"/>
      <c r="AI101" s="97"/>
      <c r="AJ101" s="263"/>
      <c r="AK101" s="171"/>
      <c r="AL101" s="171"/>
      <c r="AM101" s="171"/>
      <c r="AN101" s="258"/>
      <c r="AO101" s="258"/>
      <c r="AP101" s="258"/>
      <c r="AQ101" s="171"/>
      <c r="AR101" s="256"/>
      <c r="CK101" s="58">
        <f>IF(DAY(INDEX('Сводный годовой график'!$BA$4:$BL$14,$C100,MONTH($B$94)))=E$3,1,0)</f>
        <v>0</v>
      </c>
      <c r="CL101" s="58">
        <f>IF(DAY(INDEX('Сводный годовой график'!$BA$4:$BL$14,$C100,MONTH($B$94)))=F$3,1,0)</f>
        <v>0</v>
      </c>
      <c r="CM101" s="58">
        <f>IF(DAY(INDEX('Сводный годовой график'!$BA$4:$BL$14,$C100,MONTH($B$94)))=G$3,1,0)</f>
        <v>0</v>
      </c>
      <c r="CN101" s="58">
        <f>IF(DAY(INDEX('Сводный годовой график'!$BA$4:$BL$14,$C100,MONTH($B$94)))=H$3,1,0)</f>
        <v>0</v>
      </c>
      <c r="CO101" s="58">
        <f>IF(DAY(INDEX('Сводный годовой график'!$BA$4:$BL$14,$C100,MONTH($B$94)))=I$3,1,0)</f>
        <v>0</v>
      </c>
      <c r="CP101" s="58">
        <f>IF(DAY(INDEX('Сводный годовой график'!$BA$4:$BL$14,$C100,MONTH($B$94)))=J$3,1,0)</f>
        <v>0</v>
      </c>
      <c r="CQ101" s="58">
        <f>IF(DAY(INDEX('Сводный годовой график'!$BA$4:$BL$14,$C100,MONTH($B$94)))=K$3,1,0)</f>
        <v>0</v>
      </c>
      <c r="CR101" s="58">
        <f>IF(DAY(INDEX('Сводный годовой график'!$BA$4:$BL$14,$C100,MONTH($B$94)))=L$3,1,0)</f>
        <v>0</v>
      </c>
      <c r="CS101" s="58">
        <f>IF(DAY(INDEX('Сводный годовой график'!$BA$4:$BL$14,$C100,MONTH($B$94)))=M$3,1,0)</f>
        <v>0</v>
      </c>
      <c r="CT101" s="58">
        <f>IF(DAY(INDEX('Сводный годовой график'!$BA$4:$BL$14,$C100,MONTH($B$94)))=N$3,1,0)</f>
        <v>0</v>
      </c>
      <c r="CU101" s="58">
        <f>IF(DAY(INDEX('Сводный годовой график'!$BA$4:$BL$14,$C100,MONTH($B$94)))=O$3,1,0)</f>
        <v>0</v>
      </c>
      <c r="CV101" s="58">
        <f>IF(DAY(INDEX('Сводный годовой график'!$BA$4:$BL$14,$C100,MONTH($B$94)))=P$3,1,0)</f>
        <v>0</v>
      </c>
      <c r="CW101" s="58">
        <f>IF(DAY(INDEX('Сводный годовой график'!$BA$4:$BL$14,$C100,MONTH($B$94)))=Q$3,1,0)</f>
        <v>1</v>
      </c>
      <c r="CX101" s="58">
        <f>IF(DAY(INDEX('Сводный годовой график'!$BA$4:$BL$14,$C100,MONTH($B$94)))=R$3,1,0)</f>
        <v>0</v>
      </c>
      <c r="CY101" s="58">
        <f>IF(DAY(INDEX('Сводный годовой график'!$BA$4:$BL$14,$C100,MONTH($B$94)))=S$3,1,0)</f>
        <v>0</v>
      </c>
      <c r="CZ101" s="58">
        <f>IF(DAY(INDEX('Сводный годовой график'!$BA$4:$BL$14,$C100,MONTH($B$94)))=T$3,1,0)</f>
        <v>0</v>
      </c>
      <c r="DA101" s="58">
        <f>IF(DAY(INDEX('Сводный годовой график'!$BA$4:$BL$14,$C100,MONTH($B$94)))=U$3,1,0)</f>
        <v>0</v>
      </c>
      <c r="DB101" s="58">
        <f>IF(DAY(INDEX('Сводный годовой график'!$BA$4:$BL$14,$C100,MONTH($B$94)))=V$3,1,0)</f>
        <v>0</v>
      </c>
      <c r="DC101" s="58">
        <f>IF(DAY(INDEX('Сводный годовой график'!$BA$4:$BL$14,$C100,MONTH($B$94)))=W$3,1,0)</f>
        <v>0</v>
      </c>
      <c r="DD101" s="58">
        <f>IF(DAY(INDEX('Сводный годовой график'!$BA$4:$BL$14,$C100,MONTH($B$94)))=X$3,1,0)</f>
        <v>0</v>
      </c>
      <c r="DE101" s="58">
        <f>IF(DAY(INDEX('Сводный годовой график'!$BA$4:$BL$14,$C100,MONTH($B$94)))=Y$3,1,0)</f>
        <v>0</v>
      </c>
      <c r="DF101" s="58">
        <f>IF(DAY(INDEX('Сводный годовой график'!$BA$4:$BL$14,$C100,MONTH($B$94)))=Z$3,1,0)</f>
        <v>0</v>
      </c>
      <c r="DG101" s="58">
        <f>IF(DAY(INDEX('Сводный годовой график'!$BA$4:$BL$14,$C100,MONTH($B$94)))=AA$3,1,0)</f>
        <v>0</v>
      </c>
      <c r="DH101" s="58">
        <f>IF(DAY(INDEX('Сводный годовой график'!$BA$4:$BL$14,$C100,MONTH($B$94)))=AB$3,1,0)</f>
        <v>0</v>
      </c>
      <c r="DI101" s="58">
        <f>IF(DAY(INDEX('Сводный годовой график'!$BA$4:$BL$14,$C100,MONTH($B$94)))=AC$3,1,0)</f>
        <v>0</v>
      </c>
      <c r="DJ101" s="58">
        <f>IF(DAY(INDEX('Сводный годовой график'!$BA$4:$BL$14,$C100,MONTH($B$94)))=AD$3,1,0)</f>
        <v>0</v>
      </c>
      <c r="DK101" s="58">
        <f>IF(DAY(INDEX('Сводный годовой график'!$BA$4:$BL$14,$C100,MONTH($B$94)))=AE$3,1,0)</f>
        <v>0</v>
      </c>
      <c r="DL101" s="58">
        <f>IF(DAY(INDEX('Сводный годовой график'!$BA$4:$BL$14,$C100,MONTH($B$94)))=AF$3,1,0)</f>
        <v>0</v>
      </c>
      <c r="DM101" s="58">
        <f>IF(DAY(INDEX('Сводный годовой график'!$BA$4:$BL$14,$C100,MONTH($B$94)))=AG$3,1,0)</f>
        <v>0</v>
      </c>
      <c r="DN101" s="58">
        <f>IF(DAY(INDEX('Сводный годовой график'!$BA$4:$BL$14,$C100,MONTH($B$94)))=AH$3,1,0)</f>
        <v>0</v>
      </c>
      <c r="DO101" s="58">
        <f>IF(DAY(INDEX('Сводный годовой график'!$BA$4:$BL$14,$C100,MONTH($B$94)))=AI$3,1,0)</f>
        <v>0</v>
      </c>
    </row>
    <row r="102" spans="2:119" ht="15.75" hidden="1" x14ac:dyDescent="0.25">
      <c r="B102" s="201"/>
      <c r="C102" s="196">
        <v>5</v>
      </c>
      <c r="D102" s="81">
        <v>9</v>
      </c>
      <c r="E102" s="96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7"/>
      <c r="AJ102" s="263"/>
      <c r="AK102" s="170">
        <f>$AJ$94-SUM(AY102:CC103)</f>
        <v>184</v>
      </c>
      <c r="AL102" s="170">
        <f t="shared" ref="AL102" si="126">SUM(E102:AI103)</f>
        <v>0</v>
      </c>
      <c r="AM102" s="170">
        <v>0</v>
      </c>
      <c r="AN102" s="257">
        <f t="shared" ref="AN102" si="127">-AM102-AK102+AL102</f>
        <v>-184</v>
      </c>
      <c r="AO102" s="257">
        <v>0</v>
      </c>
      <c r="AP102" s="257">
        <f t="shared" ref="AP102" si="128">AN102+AP92</f>
        <v>-1717</v>
      </c>
      <c r="AQ102" s="170">
        <v>0</v>
      </c>
      <c r="AR102" s="255">
        <v>1</v>
      </c>
      <c r="CK102" s="59"/>
      <c r="CL102" s="59"/>
      <c r="CM102" s="59"/>
      <c r="CN102" s="59"/>
      <c r="CO102" s="59"/>
      <c r="CP102" s="59"/>
      <c r="CQ102" s="59"/>
      <c r="CR102" s="59"/>
      <c r="CS102" s="59"/>
      <c r="CT102" s="59"/>
      <c r="CU102" s="59"/>
      <c r="CV102" s="59"/>
      <c r="CW102" s="59"/>
      <c r="CX102" s="59"/>
      <c r="CY102" s="59"/>
      <c r="CZ102" s="59"/>
      <c r="DA102" s="59"/>
      <c r="DB102" s="59"/>
      <c r="DC102" s="59"/>
      <c r="DD102" s="59"/>
      <c r="DE102" s="59"/>
      <c r="DF102" s="59"/>
      <c r="DG102" s="59"/>
      <c r="DH102" s="59"/>
      <c r="DI102" s="59"/>
      <c r="DJ102" s="59"/>
      <c r="DK102" s="59"/>
      <c r="DL102" s="59"/>
      <c r="DM102" s="59"/>
      <c r="DN102" s="59"/>
      <c r="DO102" s="59"/>
    </row>
    <row r="103" spans="2:119" ht="16.5" hidden="1" thickBot="1" x14ac:dyDescent="0.3">
      <c r="B103" s="202"/>
      <c r="C103" s="197"/>
      <c r="D103" s="82">
        <v>10</v>
      </c>
      <c r="E103" s="84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29"/>
      <c r="AH103" s="29"/>
      <c r="AI103" s="85"/>
      <c r="AJ103" s="227"/>
      <c r="AK103" s="172"/>
      <c r="AL103" s="172"/>
      <c r="AM103" s="172"/>
      <c r="AN103" s="260"/>
      <c r="AO103" s="260"/>
      <c r="AP103" s="260"/>
      <c r="AQ103" s="172"/>
      <c r="AR103" s="259"/>
      <c r="CK103" s="58">
        <f>IF(DAY(INDEX('Сводный годовой график'!$BA$4:$BL$14,$C102,MONTH($B$94)))=E$3,1,0)</f>
        <v>0</v>
      </c>
      <c r="CL103" s="58">
        <f>IF(DAY(INDEX('Сводный годовой график'!$BA$4:$BL$14,$C102,MONTH($B$94)))=F$3,1,0)</f>
        <v>0</v>
      </c>
      <c r="CM103" s="58">
        <f>IF(DAY(INDEX('Сводный годовой график'!$BA$4:$BL$14,$C102,MONTH($B$94)))=G$3,1,0)</f>
        <v>0</v>
      </c>
      <c r="CN103" s="58">
        <f>IF(DAY(INDEX('Сводный годовой график'!$BA$4:$BL$14,$C102,MONTH($B$94)))=H$3,1,0)</f>
        <v>0</v>
      </c>
      <c r="CO103" s="58">
        <f>IF(DAY(INDEX('Сводный годовой график'!$BA$4:$BL$14,$C102,MONTH($B$94)))=I$3,1,0)</f>
        <v>0</v>
      </c>
      <c r="CP103" s="58">
        <f>IF(DAY(INDEX('Сводный годовой график'!$BA$4:$BL$14,$C102,MONTH($B$94)))=J$3,1,0)</f>
        <v>0</v>
      </c>
      <c r="CQ103" s="58">
        <f>IF(DAY(INDEX('Сводный годовой график'!$BA$4:$BL$14,$C102,MONTH($B$94)))=K$3,1,0)</f>
        <v>0</v>
      </c>
      <c r="CR103" s="58">
        <f>IF(DAY(INDEX('Сводный годовой график'!$BA$4:$BL$14,$C102,MONTH($B$94)))=L$3,1,0)</f>
        <v>0</v>
      </c>
      <c r="CS103" s="58">
        <f>IF(DAY(INDEX('Сводный годовой график'!$BA$4:$BL$14,$C102,MONTH($B$94)))=M$3,1,0)</f>
        <v>0</v>
      </c>
      <c r="CT103" s="58">
        <f>IF(DAY(INDEX('Сводный годовой график'!$BA$4:$BL$14,$C102,MONTH($B$94)))=N$3,1,0)</f>
        <v>0</v>
      </c>
      <c r="CU103" s="58">
        <f>IF(DAY(INDEX('Сводный годовой график'!$BA$4:$BL$14,$C102,MONTH($B$94)))=O$3,1,0)</f>
        <v>0</v>
      </c>
      <c r="CV103" s="58">
        <f>IF(DAY(INDEX('Сводный годовой график'!$BA$4:$BL$14,$C102,MONTH($B$94)))=P$3,1,0)</f>
        <v>0</v>
      </c>
      <c r="CW103" s="58">
        <f>IF(DAY(INDEX('Сводный годовой график'!$BA$4:$BL$14,$C102,MONTH($B$94)))=Q$3,1,0)</f>
        <v>0</v>
      </c>
      <c r="CX103" s="58">
        <f>IF(DAY(INDEX('Сводный годовой график'!$BA$4:$BL$14,$C102,MONTH($B$94)))=R$3,1,0)</f>
        <v>1</v>
      </c>
      <c r="CY103" s="58">
        <f>IF(DAY(INDEX('Сводный годовой график'!$BA$4:$BL$14,$C102,MONTH($B$94)))=S$3,1,0)</f>
        <v>0</v>
      </c>
      <c r="CZ103" s="58">
        <f>IF(DAY(INDEX('Сводный годовой график'!$BA$4:$BL$14,$C102,MONTH($B$94)))=T$3,1,0)</f>
        <v>0</v>
      </c>
      <c r="DA103" s="58">
        <f>IF(DAY(INDEX('Сводный годовой график'!$BA$4:$BL$14,$C102,MONTH($B$94)))=U$3,1,0)</f>
        <v>0</v>
      </c>
      <c r="DB103" s="58">
        <f>IF(DAY(INDEX('Сводный годовой график'!$BA$4:$BL$14,$C102,MONTH($B$94)))=V$3,1,0)</f>
        <v>0</v>
      </c>
      <c r="DC103" s="58">
        <f>IF(DAY(INDEX('Сводный годовой график'!$BA$4:$BL$14,$C102,MONTH($B$94)))=W$3,1,0)</f>
        <v>0</v>
      </c>
      <c r="DD103" s="58">
        <f>IF(DAY(INDEX('Сводный годовой график'!$BA$4:$BL$14,$C102,MONTH($B$94)))=X$3,1,0)</f>
        <v>0</v>
      </c>
      <c r="DE103" s="58">
        <f>IF(DAY(INDEX('Сводный годовой график'!$BA$4:$BL$14,$C102,MONTH($B$94)))=Y$3,1,0)</f>
        <v>0</v>
      </c>
      <c r="DF103" s="58">
        <f>IF(DAY(INDEX('Сводный годовой график'!$BA$4:$BL$14,$C102,MONTH($B$94)))=Z$3,1,0)</f>
        <v>0</v>
      </c>
      <c r="DG103" s="58">
        <f>IF(DAY(INDEX('Сводный годовой график'!$BA$4:$BL$14,$C102,MONTH($B$94)))=AA$3,1,0)</f>
        <v>0</v>
      </c>
      <c r="DH103" s="58">
        <f>IF(DAY(INDEX('Сводный годовой график'!$BA$4:$BL$14,$C102,MONTH($B$94)))=AB$3,1,0)</f>
        <v>0</v>
      </c>
      <c r="DI103" s="58">
        <f>IF(DAY(INDEX('Сводный годовой график'!$BA$4:$BL$14,$C102,MONTH($B$94)))=AC$3,1,0)</f>
        <v>0</v>
      </c>
      <c r="DJ103" s="58">
        <f>IF(DAY(INDEX('Сводный годовой график'!$BA$4:$BL$14,$C102,MONTH($B$94)))=AD$3,1,0)</f>
        <v>0</v>
      </c>
      <c r="DK103" s="58">
        <f>IF(DAY(INDEX('Сводный годовой график'!$BA$4:$BL$14,$C102,MONTH($B$94)))=AE$3,1,0)</f>
        <v>0</v>
      </c>
      <c r="DL103" s="58">
        <f>IF(DAY(INDEX('Сводный годовой график'!$BA$4:$BL$14,$C102,MONTH($B$94)))=AF$3,1,0)</f>
        <v>0</v>
      </c>
      <c r="DM103" s="58">
        <f>IF(DAY(INDEX('Сводный годовой график'!$BA$4:$BL$14,$C102,MONTH($B$94)))=AG$3,1,0)</f>
        <v>0</v>
      </c>
      <c r="DN103" s="58">
        <f>IF(DAY(INDEX('Сводный годовой график'!$BA$4:$BL$14,$C102,MONTH($B$94)))=AH$3,1,0)</f>
        <v>0</v>
      </c>
      <c r="DO103" s="58">
        <f>IF(DAY(INDEX('Сводный годовой график'!$BA$4:$BL$14,$C102,MONTH($B$94)))=AI$3,1,0)</f>
        <v>0</v>
      </c>
    </row>
    <row r="104" spans="2:119" ht="17.25" hidden="1" customHeight="1" thickTop="1" x14ac:dyDescent="0.25">
      <c r="B104" s="200">
        <f>DATE($AV$1,11,1)</f>
        <v>45962</v>
      </c>
      <c r="C104" s="196">
        <v>1</v>
      </c>
      <c r="D104" s="99">
        <v>1</v>
      </c>
      <c r="E104" s="86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7"/>
      <c r="W104" s="27"/>
      <c r="X104" s="27"/>
      <c r="Y104" s="27"/>
      <c r="Z104" s="27"/>
      <c r="AA104" s="27"/>
      <c r="AB104" s="27"/>
      <c r="AC104" s="27"/>
      <c r="AD104" s="27"/>
      <c r="AE104" s="27"/>
      <c r="AF104" s="27"/>
      <c r="AG104" s="27"/>
      <c r="AH104" s="27"/>
      <c r="AI104" s="122"/>
      <c r="AJ104" s="228">
        <f>INDEX(Подключения!$D$3:$H$14,MONTH(B104),5)</f>
        <v>151</v>
      </c>
      <c r="AK104" s="219">
        <f>$AJ$104-SUM(AY104:CC105)</f>
        <v>151</v>
      </c>
      <c r="AL104" s="219">
        <f t="shared" ref="AL104" si="129">SUM(E104:AI105)</f>
        <v>0</v>
      </c>
      <c r="AM104" s="219">
        <f>SUM(H104)</f>
        <v>0</v>
      </c>
      <c r="AN104" s="228">
        <f t="shared" ref="AN104" si="130">-AM104-AK104+AL104</f>
        <v>-151</v>
      </c>
      <c r="AO104" s="228">
        <v>0</v>
      </c>
      <c r="AP104" s="228">
        <f t="shared" ref="AP104" ca="1" si="131">AN104+AP94</f>
        <v>-832</v>
      </c>
      <c r="AQ104" s="219">
        <v>0</v>
      </c>
      <c r="AR104" s="266">
        <v>1</v>
      </c>
      <c r="CK104" s="59"/>
      <c r="CL104" s="59"/>
      <c r="CM104" s="59"/>
      <c r="CN104" s="59"/>
      <c r="CO104" s="59"/>
      <c r="CP104" s="59"/>
      <c r="CQ104" s="59"/>
      <c r="CR104" s="59"/>
      <c r="CS104" s="59"/>
      <c r="CT104" s="59"/>
      <c r="CU104" s="59"/>
      <c r="CV104" s="59"/>
      <c r="CW104" s="59"/>
      <c r="CX104" s="59"/>
      <c r="CY104" s="59"/>
      <c r="CZ104" s="59"/>
      <c r="DA104" s="59"/>
      <c r="DB104" s="59"/>
      <c r="DC104" s="59"/>
      <c r="DD104" s="59"/>
      <c r="DE104" s="59"/>
      <c r="DF104" s="59"/>
      <c r="DG104" s="59"/>
      <c r="DH104" s="59"/>
      <c r="DI104" s="59"/>
      <c r="DJ104" s="59"/>
      <c r="DK104" s="59"/>
      <c r="DL104" s="59"/>
      <c r="DM104" s="59"/>
      <c r="DN104" s="59"/>
      <c r="DO104" s="59"/>
    </row>
    <row r="105" spans="2:119" ht="16.5" hidden="1" thickBot="1" x14ac:dyDescent="0.3">
      <c r="B105" s="201"/>
      <c r="C105" s="197"/>
      <c r="D105" s="82">
        <v>2</v>
      </c>
      <c r="E105" s="96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110"/>
      <c r="AJ105" s="263"/>
      <c r="AK105" s="220"/>
      <c r="AL105" s="220"/>
      <c r="AM105" s="220"/>
      <c r="AN105" s="225"/>
      <c r="AO105" s="225"/>
      <c r="AP105" s="225"/>
      <c r="AQ105" s="220"/>
      <c r="AR105" s="267"/>
      <c r="CK105" s="58">
        <f>IF(DAY(INDEX('Сводный годовой график'!$BA$4:$BL$14,$C104,MONTH($B$104)))=E$3,1,0)</f>
        <v>0</v>
      </c>
      <c r="CL105" s="58">
        <f>IF(DAY(INDEX('Сводный годовой график'!$BA$4:$BL$14,$C104,MONTH($B$104)))=F$3,1,0)</f>
        <v>0</v>
      </c>
      <c r="CM105" s="58">
        <f>IF(DAY(INDEX('Сводный годовой график'!$BA$4:$BL$14,$C104,MONTH($B$104)))=G$3,1,0)</f>
        <v>0</v>
      </c>
      <c r="CN105" s="58">
        <f>IF(DAY(INDEX('Сводный годовой график'!$BA$4:$BL$14,$C104,MONTH($B$104)))=H$3,1,0)</f>
        <v>0</v>
      </c>
      <c r="CO105" s="58">
        <f>IF(DAY(INDEX('Сводный годовой график'!$BA$4:$BL$14,$C104,MONTH($B$104)))=I$3,1,0)</f>
        <v>0</v>
      </c>
      <c r="CP105" s="58">
        <f>IF(DAY(INDEX('Сводный годовой график'!$BA$4:$BL$14,$C104,MONTH($B$104)))=J$3,1,0)</f>
        <v>0</v>
      </c>
      <c r="CQ105" s="58">
        <f>IF(DAY(INDEX('Сводный годовой график'!$BA$4:$BL$14,$C104,MONTH($B$104)))=K$3,1,0)</f>
        <v>0</v>
      </c>
      <c r="CR105" s="58">
        <f>IF(DAY(INDEX('Сводный годовой график'!$BA$4:$BL$14,$C104,MONTH($B$104)))=L$3,1,0)</f>
        <v>0</v>
      </c>
      <c r="CS105" s="58">
        <f>IF(DAY(INDEX('Сводный годовой график'!$BA$4:$BL$14,$C104,MONTH($B$104)))=M$3,1,0)</f>
        <v>0</v>
      </c>
      <c r="CT105" s="58">
        <f>IF(DAY(INDEX('Сводный годовой график'!$BA$4:$BL$14,$C104,MONTH($B$104)))=N$3,1,0)</f>
        <v>0</v>
      </c>
      <c r="CU105" s="58">
        <f>IF(DAY(INDEX('Сводный годовой график'!$BA$4:$BL$14,$C104,MONTH($B$104)))=O$3,1,0)</f>
        <v>1</v>
      </c>
      <c r="CV105" s="58">
        <f>IF(DAY(INDEX('Сводный годовой график'!$BA$4:$BL$14,$C104,MONTH($B$104)))=P$3,1,0)</f>
        <v>0</v>
      </c>
      <c r="CW105" s="58">
        <f>IF(DAY(INDEX('Сводный годовой график'!$BA$4:$BL$14,$C104,MONTH($B$104)))=Q$3,1,0)</f>
        <v>0</v>
      </c>
      <c r="CX105" s="58">
        <f>IF(DAY(INDEX('Сводный годовой график'!$BA$4:$BL$14,$C104,MONTH($B$104)))=R$3,1,0)</f>
        <v>0</v>
      </c>
      <c r="CY105" s="58">
        <f>IF(DAY(INDEX('Сводный годовой график'!$BA$4:$BL$14,$C104,MONTH($B$104)))=S$3,1,0)</f>
        <v>0</v>
      </c>
      <c r="CZ105" s="58">
        <f>IF(DAY(INDEX('Сводный годовой график'!$BA$4:$BL$14,$C104,MONTH($B$104)))=T$3,1,0)</f>
        <v>0</v>
      </c>
      <c r="DA105" s="58">
        <f>IF(DAY(INDEX('Сводный годовой график'!$BA$4:$BL$14,$C104,MONTH($B$104)))=U$3,1,0)</f>
        <v>0</v>
      </c>
      <c r="DB105" s="58">
        <f>IF(DAY(INDEX('Сводный годовой график'!$BA$4:$BL$14,$C104,MONTH($B$104)))=V$3,1,0)</f>
        <v>0</v>
      </c>
      <c r="DC105" s="58">
        <f>IF(DAY(INDEX('Сводный годовой график'!$BA$4:$BL$14,$C104,MONTH($B$104)))=W$3,1,0)</f>
        <v>0</v>
      </c>
      <c r="DD105" s="58">
        <f>IF(DAY(INDEX('Сводный годовой график'!$BA$4:$BL$14,$C104,MONTH($B$104)))=X$3,1,0)</f>
        <v>0</v>
      </c>
      <c r="DE105" s="58">
        <f>IF(DAY(INDEX('Сводный годовой график'!$BA$4:$BL$14,$C104,MONTH($B$104)))=Y$3,1,0)</f>
        <v>0</v>
      </c>
      <c r="DF105" s="58">
        <f>IF(DAY(INDEX('Сводный годовой график'!$BA$4:$BL$14,$C104,MONTH($B$104)))=Z$3,1,0)</f>
        <v>0</v>
      </c>
      <c r="DG105" s="58">
        <f>IF(DAY(INDEX('Сводный годовой график'!$BA$4:$BL$14,$C104,MONTH($B$104)))=AA$3,1,0)</f>
        <v>0</v>
      </c>
      <c r="DH105" s="58">
        <f>IF(DAY(INDEX('Сводный годовой график'!$BA$4:$BL$14,$C104,MONTH($B$104)))=AB$3,1,0)</f>
        <v>0</v>
      </c>
      <c r="DI105" s="58">
        <f>IF(DAY(INDEX('Сводный годовой график'!$BA$4:$BL$14,$C104,MONTH($B$104)))=AC$3,1,0)</f>
        <v>0</v>
      </c>
      <c r="DJ105" s="58">
        <f>IF(DAY(INDEX('Сводный годовой график'!$BA$4:$BL$14,$C104,MONTH($B$104)))=AD$3,1,0)</f>
        <v>0</v>
      </c>
      <c r="DK105" s="58">
        <f>IF(DAY(INDEX('Сводный годовой график'!$BA$4:$BL$14,$C104,MONTH($B$104)))=AE$3,1,0)</f>
        <v>0</v>
      </c>
      <c r="DL105" s="58">
        <f>IF(DAY(INDEX('Сводный годовой график'!$BA$4:$BL$14,$C104,MONTH($B$104)))=AF$3,1,0)</f>
        <v>0</v>
      </c>
      <c r="DM105" s="58">
        <f>IF(DAY(INDEX('Сводный годовой график'!$BA$4:$BL$14,$C104,MONTH($B$104)))=AG$3,1,0)</f>
        <v>0</v>
      </c>
      <c r="DN105" s="58">
        <f>IF(DAY(INDEX('Сводный годовой график'!$BA$4:$BL$14,$C104,MONTH($B$104)))=AH$3,1,0)</f>
        <v>0</v>
      </c>
      <c r="DO105" s="58">
        <f>IF(DAY(INDEX('Сводный годовой график'!$BA$4:$BL$14,$C104,MONTH($B$104)))=AI$3,1,0)</f>
        <v>0</v>
      </c>
    </row>
    <row r="106" spans="2:119" ht="15.75" hidden="1" x14ac:dyDescent="0.25">
      <c r="B106" s="201"/>
      <c r="C106" s="196">
        <v>2</v>
      </c>
      <c r="D106" s="81">
        <v>3</v>
      </c>
      <c r="E106" s="96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110"/>
      <c r="AJ106" s="263"/>
      <c r="AK106" s="223">
        <f>$AJ$104-SUM(AY106:CC107)</f>
        <v>151</v>
      </c>
      <c r="AL106" s="223">
        <f t="shared" ref="AL106" si="132">SUM(E106:AI107)</f>
        <v>0</v>
      </c>
      <c r="AM106" s="223">
        <f t="shared" ref="AM106" si="133">SUM(H106)</f>
        <v>0</v>
      </c>
      <c r="AN106" s="224">
        <f t="shared" ref="AN106" si="134">-AM106-AK106+AL106</f>
        <v>-151</v>
      </c>
      <c r="AO106" s="224">
        <v>0</v>
      </c>
      <c r="AP106" s="224">
        <f t="shared" ref="AP106" ca="1" si="135">AN106+AP96</f>
        <v>-840</v>
      </c>
      <c r="AQ106" s="223">
        <v>0</v>
      </c>
      <c r="AR106" s="264">
        <v>1</v>
      </c>
      <c r="CK106" s="59"/>
      <c r="CL106" s="59"/>
      <c r="CM106" s="59"/>
      <c r="CN106" s="59"/>
      <c r="CO106" s="59"/>
      <c r="CP106" s="59"/>
      <c r="CQ106" s="59"/>
      <c r="CR106" s="59"/>
      <c r="CS106" s="59"/>
      <c r="CT106" s="59"/>
      <c r="CU106" s="59"/>
      <c r="CV106" s="59"/>
      <c r="CW106" s="59"/>
      <c r="CX106" s="59"/>
      <c r="CY106" s="59"/>
      <c r="CZ106" s="59"/>
      <c r="DA106" s="59"/>
      <c r="DB106" s="59"/>
      <c r="DC106" s="59"/>
      <c r="DD106" s="59"/>
      <c r="DE106" s="59"/>
      <c r="DF106" s="59"/>
      <c r="DG106" s="59"/>
      <c r="DH106" s="59"/>
      <c r="DI106" s="59"/>
      <c r="DJ106" s="59"/>
      <c r="DK106" s="59"/>
      <c r="DL106" s="59"/>
      <c r="DM106" s="59"/>
      <c r="DN106" s="59"/>
      <c r="DO106" s="59"/>
    </row>
    <row r="107" spans="2:119" ht="16.5" hidden="1" thickBot="1" x14ac:dyDescent="0.3">
      <c r="B107" s="201"/>
      <c r="C107" s="197"/>
      <c r="D107" s="82">
        <v>4</v>
      </c>
      <c r="E107" s="96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110"/>
      <c r="AJ107" s="263"/>
      <c r="AK107" s="220"/>
      <c r="AL107" s="220"/>
      <c r="AM107" s="220"/>
      <c r="AN107" s="225"/>
      <c r="AO107" s="225"/>
      <c r="AP107" s="225"/>
      <c r="AQ107" s="220"/>
      <c r="AR107" s="267"/>
      <c r="CK107" s="58">
        <f>IF(DAY(INDEX('Сводный годовой график'!$BA$4:$BL$14,$C106,MONTH($B$104)))=E$3,1,0)</f>
        <v>0</v>
      </c>
      <c r="CL107" s="58">
        <f>IF(DAY(INDEX('Сводный годовой график'!$BA$4:$BL$14,$C106,MONTH($B$104)))=F$3,1,0)</f>
        <v>0</v>
      </c>
      <c r="CM107" s="58">
        <f>IF(DAY(INDEX('Сводный годовой график'!$BA$4:$BL$14,$C106,MONTH($B$104)))=G$3,1,0)</f>
        <v>0</v>
      </c>
      <c r="CN107" s="58">
        <f>IF(DAY(INDEX('Сводный годовой график'!$BA$4:$BL$14,$C106,MONTH($B$104)))=H$3,1,0)</f>
        <v>0</v>
      </c>
      <c r="CO107" s="58">
        <f>IF(DAY(INDEX('Сводный годовой график'!$BA$4:$BL$14,$C106,MONTH($B$104)))=I$3,1,0)</f>
        <v>0</v>
      </c>
      <c r="CP107" s="58">
        <f>IF(DAY(INDEX('Сводный годовой график'!$BA$4:$BL$14,$C106,MONTH($B$104)))=J$3,1,0)</f>
        <v>0</v>
      </c>
      <c r="CQ107" s="58">
        <f>IF(DAY(INDEX('Сводный годовой график'!$BA$4:$BL$14,$C106,MONTH($B$104)))=K$3,1,0)</f>
        <v>0</v>
      </c>
      <c r="CR107" s="58">
        <f>IF(DAY(INDEX('Сводный годовой график'!$BA$4:$BL$14,$C106,MONTH($B$104)))=L$3,1,0)</f>
        <v>0</v>
      </c>
      <c r="CS107" s="58">
        <f>IF(DAY(INDEX('Сводный годовой график'!$BA$4:$BL$14,$C106,MONTH($B$104)))=M$3,1,0)</f>
        <v>0</v>
      </c>
      <c r="CT107" s="58">
        <f>IF(DAY(INDEX('Сводный годовой график'!$BA$4:$BL$14,$C106,MONTH($B$104)))=N$3,1,0)</f>
        <v>0</v>
      </c>
      <c r="CU107" s="58">
        <f>IF(DAY(INDEX('Сводный годовой график'!$BA$4:$BL$14,$C106,MONTH($B$104)))=O$3,1,0)</f>
        <v>0</v>
      </c>
      <c r="CV107" s="58">
        <f>IF(DAY(INDEX('Сводный годовой график'!$BA$4:$BL$14,$C106,MONTH($B$104)))=P$3,1,0)</f>
        <v>1</v>
      </c>
      <c r="CW107" s="58">
        <f>IF(DAY(INDEX('Сводный годовой график'!$BA$4:$BL$14,$C106,MONTH($B$104)))=Q$3,1,0)</f>
        <v>0</v>
      </c>
      <c r="CX107" s="58">
        <f>IF(DAY(INDEX('Сводный годовой график'!$BA$4:$BL$14,$C106,MONTH($B$104)))=R$3,1,0)</f>
        <v>0</v>
      </c>
      <c r="CY107" s="58">
        <f>IF(DAY(INDEX('Сводный годовой график'!$BA$4:$BL$14,$C106,MONTH($B$104)))=S$3,1,0)</f>
        <v>0</v>
      </c>
      <c r="CZ107" s="58">
        <f>IF(DAY(INDEX('Сводный годовой график'!$BA$4:$BL$14,$C106,MONTH($B$104)))=T$3,1,0)</f>
        <v>0</v>
      </c>
      <c r="DA107" s="58">
        <f>IF(DAY(INDEX('Сводный годовой график'!$BA$4:$BL$14,$C106,MONTH($B$104)))=U$3,1,0)</f>
        <v>0</v>
      </c>
      <c r="DB107" s="58">
        <f>IF(DAY(INDEX('Сводный годовой график'!$BA$4:$BL$14,$C106,MONTH($B$104)))=V$3,1,0)</f>
        <v>0</v>
      </c>
      <c r="DC107" s="58">
        <f>IF(DAY(INDEX('Сводный годовой график'!$BA$4:$BL$14,$C106,MONTH($B$104)))=W$3,1,0)</f>
        <v>0</v>
      </c>
      <c r="DD107" s="58">
        <f>IF(DAY(INDEX('Сводный годовой график'!$BA$4:$BL$14,$C106,MONTH($B$104)))=X$3,1,0)</f>
        <v>0</v>
      </c>
      <c r="DE107" s="58">
        <f>IF(DAY(INDEX('Сводный годовой график'!$BA$4:$BL$14,$C106,MONTH($B$104)))=Y$3,1,0)</f>
        <v>0</v>
      </c>
      <c r="DF107" s="58">
        <f>IF(DAY(INDEX('Сводный годовой график'!$BA$4:$BL$14,$C106,MONTH($B$104)))=Z$3,1,0)</f>
        <v>0</v>
      </c>
      <c r="DG107" s="58">
        <f>IF(DAY(INDEX('Сводный годовой график'!$BA$4:$BL$14,$C106,MONTH($B$104)))=AA$3,1,0)</f>
        <v>0</v>
      </c>
      <c r="DH107" s="58">
        <f>IF(DAY(INDEX('Сводный годовой график'!$BA$4:$BL$14,$C106,MONTH($B$104)))=AB$3,1,0)</f>
        <v>0</v>
      </c>
      <c r="DI107" s="58">
        <f>IF(DAY(INDEX('Сводный годовой график'!$BA$4:$BL$14,$C106,MONTH($B$104)))=AC$3,1,0)</f>
        <v>0</v>
      </c>
      <c r="DJ107" s="58">
        <f>IF(DAY(INDEX('Сводный годовой график'!$BA$4:$BL$14,$C106,MONTH($B$104)))=AD$3,1,0)</f>
        <v>0</v>
      </c>
      <c r="DK107" s="58">
        <f>IF(DAY(INDEX('Сводный годовой график'!$BA$4:$BL$14,$C106,MONTH($B$104)))=AE$3,1,0)</f>
        <v>0</v>
      </c>
      <c r="DL107" s="58">
        <f>IF(DAY(INDEX('Сводный годовой график'!$BA$4:$BL$14,$C106,MONTH($B$104)))=AF$3,1,0)</f>
        <v>0</v>
      </c>
      <c r="DM107" s="58">
        <f>IF(DAY(INDEX('Сводный годовой график'!$BA$4:$BL$14,$C106,MONTH($B$104)))=AG$3,1,0)</f>
        <v>0</v>
      </c>
      <c r="DN107" s="58">
        <f>IF(DAY(INDEX('Сводный годовой график'!$BA$4:$BL$14,$C106,MONTH($B$104)))=AH$3,1,0)</f>
        <v>0</v>
      </c>
      <c r="DO107" s="58">
        <f>IF(DAY(INDEX('Сводный годовой график'!$BA$4:$BL$14,$C106,MONTH($B$104)))=AI$3,1,0)</f>
        <v>0</v>
      </c>
    </row>
    <row r="108" spans="2:119" ht="15.75" hidden="1" x14ac:dyDescent="0.25">
      <c r="B108" s="201"/>
      <c r="C108" s="196">
        <v>3</v>
      </c>
      <c r="D108" s="81">
        <v>5</v>
      </c>
      <c r="E108" s="96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110"/>
      <c r="AJ108" s="263"/>
      <c r="AK108" s="223">
        <f>$AJ$104-SUM(AY108:CC109)</f>
        <v>151</v>
      </c>
      <c r="AL108" s="223">
        <f t="shared" ref="AL108" si="136">SUM(E108:AI109)</f>
        <v>0</v>
      </c>
      <c r="AM108" s="223">
        <f t="shared" ref="AM108" si="137">SUM(H108)</f>
        <v>0</v>
      </c>
      <c r="AN108" s="224">
        <f t="shared" ref="AN108" si="138">-AM108-AK108+AL108</f>
        <v>-151</v>
      </c>
      <c r="AO108" s="224">
        <v>0</v>
      </c>
      <c r="AP108" s="224">
        <f t="shared" ref="AP108" ca="1" si="139">AN108+AP98</f>
        <v>-814</v>
      </c>
      <c r="AQ108" s="223">
        <v>0</v>
      </c>
      <c r="AR108" s="264">
        <v>1</v>
      </c>
      <c r="CK108" s="59"/>
      <c r="CL108" s="59"/>
      <c r="CM108" s="59"/>
      <c r="CN108" s="59"/>
      <c r="CO108" s="59"/>
      <c r="CP108" s="59"/>
      <c r="CQ108" s="59"/>
      <c r="CR108" s="59"/>
      <c r="CS108" s="59"/>
      <c r="CT108" s="59"/>
      <c r="CU108" s="59"/>
      <c r="CV108" s="59"/>
      <c r="CW108" s="59"/>
      <c r="CX108" s="59"/>
      <c r="CY108" s="59"/>
      <c r="CZ108" s="59"/>
      <c r="DA108" s="59"/>
      <c r="DB108" s="59"/>
      <c r="DC108" s="59"/>
      <c r="DD108" s="59"/>
      <c r="DE108" s="59"/>
      <c r="DF108" s="59"/>
      <c r="DG108" s="59"/>
      <c r="DH108" s="59"/>
      <c r="DI108" s="59"/>
      <c r="DJ108" s="59"/>
      <c r="DK108" s="59"/>
      <c r="DL108" s="59"/>
      <c r="DM108" s="59"/>
      <c r="DN108" s="59"/>
      <c r="DO108" s="59"/>
    </row>
    <row r="109" spans="2:119" ht="16.5" hidden="1" thickBot="1" x14ac:dyDescent="0.3">
      <c r="B109" s="201"/>
      <c r="C109" s="197"/>
      <c r="D109" s="82">
        <v>6</v>
      </c>
      <c r="E109" s="96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110"/>
      <c r="AJ109" s="263"/>
      <c r="AK109" s="220"/>
      <c r="AL109" s="220"/>
      <c r="AM109" s="220"/>
      <c r="AN109" s="225"/>
      <c r="AO109" s="225"/>
      <c r="AP109" s="225"/>
      <c r="AQ109" s="220"/>
      <c r="AR109" s="267"/>
      <c r="CK109" s="58">
        <f>IF(DAY(INDEX('Сводный годовой график'!$BA$4:$BL$14,$C108,MONTH($B$104)))=E$3,1,0)</f>
        <v>0</v>
      </c>
      <c r="CL109" s="58">
        <f>IF(DAY(INDEX('Сводный годовой график'!$BA$4:$BL$14,$C108,MONTH($B$104)))=F$3,1,0)</f>
        <v>0</v>
      </c>
      <c r="CM109" s="58">
        <f>IF(DAY(INDEX('Сводный годовой график'!$BA$4:$BL$14,$C108,MONTH($B$104)))=G$3,1,0)</f>
        <v>0</v>
      </c>
      <c r="CN109" s="58">
        <f>IF(DAY(INDEX('Сводный годовой график'!$BA$4:$BL$14,$C108,MONTH($B$104)))=H$3,1,0)</f>
        <v>0</v>
      </c>
      <c r="CO109" s="58">
        <f>IF(DAY(INDEX('Сводный годовой график'!$BA$4:$BL$14,$C108,MONTH($B$104)))=I$3,1,0)</f>
        <v>0</v>
      </c>
      <c r="CP109" s="58">
        <f>IF(DAY(INDEX('Сводный годовой график'!$BA$4:$BL$14,$C108,MONTH($B$104)))=J$3,1,0)</f>
        <v>0</v>
      </c>
      <c r="CQ109" s="58">
        <f>IF(DAY(INDEX('Сводный годовой график'!$BA$4:$BL$14,$C108,MONTH($B$104)))=K$3,1,0)</f>
        <v>0</v>
      </c>
      <c r="CR109" s="58">
        <f>IF(DAY(INDEX('Сводный годовой график'!$BA$4:$BL$14,$C108,MONTH($B$104)))=L$3,1,0)</f>
        <v>0</v>
      </c>
      <c r="CS109" s="58">
        <f>IF(DAY(INDEX('Сводный годовой график'!$BA$4:$BL$14,$C108,MONTH($B$104)))=M$3,1,0)</f>
        <v>0</v>
      </c>
      <c r="CT109" s="58">
        <f>IF(DAY(INDEX('Сводный годовой график'!$BA$4:$BL$14,$C108,MONTH($B$104)))=N$3,1,0)</f>
        <v>0</v>
      </c>
      <c r="CU109" s="58">
        <f>IF(DAY(INDEX('Сводный годовой график'!$BA$4:$BL$14,$C108,MONTH($B$104)))=O$3,1,0)</f>
        <v>0</v>
      </c>
      <c r="CV109" s="58">
        <f>IF(DAY(INDEX('Сводный годовой график'!$BA$4:$BL$14,$C108,MONTH($B$104)))=P$3,1,0)</f>
        <v>0</v>
      </c>
      <c r="CW109" s="58">
        <f>IF(DAY(INDEX('Сводный годовой график'!$BA$4:$BL$14,$C108,MONTH($B$104)))=Q$3,1,0)</f>
        <v>1</v>
      </c>
      <c r="CX109" s="58">
        <f>IF(DAY(INDEX('Сводный годовой график'!$BA$4:$BL$14,$C108,MONTH($B$104)))=R$3,1,0)</f>
        <v>0</v>
      </c>
      <c r="CY109" s="58">
        <f>IF(DAY(INDEX('Сводный годовой график'!$BA$4:$BL$14,$C108,MONTH($B$104)))=S$3,1,0)</f>
        <v>0</v>
      </c>
      <c r="CZ109" s="58">
        <f>IF(DAY(INDEX('Сводный годовой график'!$BA$4:$BL$14,$C108,MONTH($B$104)))=T$3,1,0)</f>
        <v>0</v>
      </c>
      <c r="DA109" s="58">
        <f>IF(DAY(INDEX('Сводный годовой график'!$BA$4:$BL$14,$C108,MONTH($B$104)))=U$3,1,0)</f>
        <v>0</v>
      </c>
      <c r="DB109" s="58">
        <f>IF(DAY(INDEX('Сводный годовой график'!$BA$4:$BL$14,$C108,MONTH($B$104)))=V$3,1,0)</f>
        <v>0</v>
      </c>
      <c r="DC109" s="58">
        <f>IF(DAY(INDEX('Сводный годовой график'!$BA$4:$BL$14,$C108,MONTH($B$104)))=W$3,1,0)</f>
        <v>0</v>
      </c>
      <c r="DD109" s="58">
        <f>IF(DAY(INDEX('Сводный годовой график'!$BA$4:$BL$14,$C108,MONTH($B$104)))=X$3,1,0)</f>
        <v>0</v>
      </c>
      <c r="DE109" s="58">
        <f>IF(DAY(INDEX('Сводный годовой график'!$BA$4:$BL$14,$C108,MONTH($B$104)))=Y$3,1,0)</f>
        <v>0</v>
      </c>
      <c r="DF109" s="58">
        <f>IF(DAY(INDEX('Сводный годовой график'!$BA$4:$BL$14,$C108,MONTH($B$104)))=Z$3,1,0)</f>
        <v>0</v>
      </c>
      <c r="DG109" s="58">
        <f>IF(DAY(INDEX('Сводный годовой график'!$BA$4:$BL$14,$C108,MONTH($B$104)))=AA$3,1,0)</f>
        <v>0</v>
      </c>
      <c r="DH109" s="58">
        <f>IF(DAY(INDEX('Сводный годовой график'!$BA$4:$BL$14,$C108,MONTH($B$104)))=AB$3,1,0)</f>
        <v>0</v>
      </c>
      <c r="DI109" s="58">
        <f>IF(DAY(INDEX('Сводный годовой график'!$BA$4:$BL$14,$C108,MONTH($B$104)))=AC$3,1,0)</f>
        <v>0</v>
      </c>
      <c r="DJ109" s="58">
        <f>IF(DAY(INDEX('Сводный годовой график'!$BA$4:$BL$14,$C108,MONTH($B$104)))=AD$3,1,0)</f>
        <v>0</v>
      </c>
      <c r="DK109" s="58">
        <f>IF(DAY(INDEX('Сводный годовой график'!$BA$4:$BL$14,$C108,MONTH($B$104)))=AE$3,1,0)</f>
        <v>0</v>
      </c>
      <c r="DL109" s="58">
        <f>IF(DAY(INDEX('Сводный годовой график'!$BA$4:$BL$14,$C108,MONTH($B$104)))=AF$3,1,0)</f>
        <v>0</v>
      </c>
      <c r="DM109" s="58">
        <f>IF(DAY(INDEX('Сводный годовой график'!$BA$4:$BL$14,$C108,MONTH($B$104)))=AG$3,1,0)</f>
        <v>0</v>
      </c>
      <c r="DN109" s="58">
        <f>IF(DAY(INDEX('Сводный годовой график'!$BA$4:$BL$14,$C108,MONTH($B$104)))=AH$3,1,0)</f>
        <v>0</v>
      </c>
      <c r="DO109" s="58">
        <f>IF(DAY(INDEX('Сводный годовой график'!$BA$4:$BL$14,$C108,MONTH($B$104)))=AI$3,1,0)</f>
        <v>0</v>
      </c>
    </row>
    <row r="110" spans="2:119" ht="15.75" hidden="1" x14ac:dyDescent="0.25">
      <c r="B110" s="201"/>
      <c r="C110" s="196">
        <v>4</v>
      </c>
      <c r="D110" s="81">
        <v>7</v>
      </c>
      <c r="E110" s="96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110"/>
      <c r="AJ110" s="263"/>
      <c r="AK110" s="223">
        <f>$AJ$104-SUM(AY110:CC111)</f>
        <v>151</v>
      </c>
      <c r="AL110" s="223">
        <f t="shared" ref="AL110" si="140">SUM(E110:AI111)</f>
        <v>0</v>
      </c>
      <c r="AM110" s="223">
        <f t="shared" ref="AM110" si="141">SUM(H110)</f>
        <v>0</v>
      </c>
      <c r="AN110" s="224">
        <f t="shared" ref="AN110" si="142">-AM110-AK110+AL110</f>
        <v>-151</v>
      </c>
      <c r="AO110" s="224">
        <v>0</v>
      </c>
      <c r="AP110" s="224">
        <f t="shared" ref="AP110" ca="1" si="143">AN110+AP100</f>
        <v>-792</v>
      </c>
      <c r="AQ110" s="223">
        <v>0</v>
      </c>
      <c r="AR110" s="264">
        <v>1</v>
      </c>
      <c r="CK110" s="59"/>
      <c r="CL110" s="59"/>
      <c r="CM110" s="59"/>
      <c r="CN110" s="59"/>
      <c r="CO110" s="59"/>
      <c r="CP110" s="59"/>
      <c r="CQ110" s="59"/>
      <c r="CR110" s="59"/>
      <c r="CS110" s="59"/>
      <c r="CT110" s="59"/>
      <c r="CU110" s="59"/>
      <c r="CV110" s="59"/>
      <c r="CW110" s="59"/>
      <c r="CX110" s="59"/>
      <c r="CY110" s="59"/>
      <c r="CZ110" s="59"/>
      <c r="DA110" s="59"/>
      <c r="DB110" s="59"/>
      <c r="DC110" s="59"/>
      <c r="DD110" s="59"/>
      <c r="DE110" s="59"/>
      <c r="DF110" s="59"/>
      <c r="DG110" s="59"/>
      <c r="DH110" s="59"/>
      <c r="DI110" s="59"/>
      <c r="DJ110" s="59"/>
      <c r="DK110" s="59"/>
      <c r="DL110" s="59"/>
      <c r="DM110" s="59"/>
      <c r="DN110" s="59"/>
      <c r="DO110" s="59"/>
    </row>
    <row r="111" spans="2:119" ht="16.5" hidden="1" thickBot="1" x14ac:dyDescent="0.3">
      <c r="B111" s="201"/>
      <c r="C111" s="197"/>
      <c r="D111" s="82">
        <v>8</v>
      </c>
      <c r="E111" s="96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110"/>
      <c r="AJ111" s="263"/>
      <c r="AK111" s="220"/>
      <c r="AL111" s="220"/>
      <c r="AM111" s="220"/>
      <c r="AN111" s="225"/>
      <c r="AO111" s="225"/>
      <c r="AP111" s="225"/>
      <c r="AQ111" s="220"/>
      <c r="AR111" s="267"/>
      <c r="CK111" s="58">
        <f>IF(DAY(INDEX('Сводный годовой график'!$BA$4:$BL$14,$C110,MONTH($B$104)))=E$3,1,0)</f>
        <v>0</v>
      </c>
      <c r="CL111" s="58">
        <f>IF(DAY(INDEX('Сводный годовой график'!$BA$4:$BL$14,$C110,MONTH($B$104)))=F$3,1,0)</f>
        <v>0</v>
      </c>
      <c r="CM111" s="58">
        <f>IF(DAY(INDEX('Сводный годовой график'!$BA$4:$BL$14,$C110,MONTH($B$104)))=G$3,1,0)</f>
        <v>0</v>
      </c>
      <c r="CN111" s="58">
        <f>IF(DAY(INDEX('Сводный годовой график'!$BA$4:$BL$14,$C110,MONTH($B$104)))=H$3,1,0)</f>
        <v>0</v>
      </c>
      <c r="CO111" s="58">
        <f>IF(DAY(INDEX('Сводный годовой график'!$BA$4:$BL$14,$C110,MONTH($B$104)))=I$3,1,0)</f>
        <v>0</v>
      </c>
      <c r="CP111" s="58">
        <f>IF(DAY(INDEX('Сводный годовой график'!$BA$4:$BL$14,$C110,MONTH($B$104)))=J$3,1,0)</f>
        <v>0</v>
      </c>
      <c r="CQ111" s="58">
        <f>IF(DAY(INDEX('Сводный годовой график'!$BA$4:$BL$14,$C110,MONTH($B$104)))=K$3,1,0)</f>
        <v>0</v>
      </c>
      <c r="CR111" s="58">
        <f>IF(DAY(INDEX('Сводный годовой график'!$BA$4:$BL$14,$C110,MONTH($B$104)))=L$3,1,0)</f>
        <v>0</v>
      </c>
      <c r="CS111" s="58">
        <f>IF(DAY(INDEX('Сводный годовой график'!$BA$4:$BL$14,$C110,MONTH($B$104)))=M$3,1,0)</f>
        <v>0</v>
      </c>
      <c r="CT111" s="58">
        <f>IF(DAY(INDEX('Сводный годовой график'!$BA$4:$BL$14,$C110,MONTH($B$104)))=N$3,1,0)</f>
        <v>0</v>
      </c>
      <c r="CU111" s="58">
        <f>IF(DAY(INDEX('Сводный годовой график'!$BA$4:$BL$14,$C110,MONTH($B$104)))=O$3,1,0)</f>
        <v>0</v>
      </c>
      <c r="CV111" s="58">
        <f>IF(DAY(INDEX('Сводный годовой график'!$BA$4:$BL$14,$C110,MONTH($B$104)))=P$3,1,0)</f>
        <v>0</v>
      </c>
      <c r="CW111" s="58">
        <f>IF(DAY(INDEX('Сводный годовой график'!$BA$4:$BL$14,$C110,MONTH($B$104)))=Q$3,1,0)</f>
        <v>0</v>
      </c>
      <c r="CX111" s="58">
        <f>IF(DAY(INDEX('Сводный годовой график'!$BA$4:$BL$14,$C110,MONTH($B$104)))=R$3,1,0)</f>
        <v>1</v>
      </c>
      <c r="CY111" s="58">
        <f>IF(DAY(INDEX('Сводный годовой график'!$BA$4:$BL$14,$C110,MONTH($B$104)))=S$3,1,0)</f>
        <v>0</v>
      </c>
      <c r="CZ111" s="58">
        <f>IF(DAY(INDEX('Сводный годовой график'!$BA$4:$BL$14,$C110,MONTH($B$104)))=T$3,1,0)</f>
        <v>0</v>
      </c>
      <c r="DA111" s="58">
        <f>IF(DAY(INDEX('Сводный годовой график'!$BA$4:$BL$14,$C110,MONTH($B$104)))=U$3,1,0)</f>
        <v>0</v>
      </c>
      <c r="DB111" s="58">
        <f>IF(DAY(INDEX('Сводный годовой график'!$BA$4:$BL$14,$C110,MONTH($B$104)))=V$3,1,0)</f>
        <v>0</v>
      </c>
      <c r="DC111" s="58">
        <f>IF(DAY(INDEX('Сводный годовой график'!$BA$4:$BL$14,$C110,MONTH($B$104)))=W$3,1,0)</f>
        <v>0</v>
      </c>
      <c r="DD111" s="58">
        <f>IF(DAY(INDEX('Сводный годовой график'!$BA$4:$BL$14,$C110,MONTH($B$104)))=X$3,1,0)</f>
        <v>0</v>
      </c>
      <c r="DE111" s="58">
        <f>IF(DAY(INDEX('Сводный годовой график'!$BA$4:$BL$14,$C110,MONTH($B$104)))=Y$3,1,0)</f>
        <v>0</v>
      </c>
      <c r="DF111" s="58">
        <f>IF(DAY(INDEX('Сводный годовой график'!$BA$4:$BL$14,$C110,MONTH($B$104)))=Z$3,1,0)</f>
        <v>0</v>
      </c>
      <c r="DG111" s="58">
        <f>IF(DAY(INDEX('Сводный годовой график'!$BA$4:$BL$14,$C110,MONTH($B$104)))=AA$3,1,0)</f>
        <v>0</v>
      </c>
      <c r="DH111" s="58">
        <f>IF(DAY(INDEX('Сводный годовой график'!$BA$4:$BL$14,$C110,MONTH($B$104)))=AB$3,1,0)</f>
        <v>0</v>
      </c>
      <c r="DI111" s="58">
        <f>IF(DAY(INDEX('Сводный годовой график'!$BA$4:$BL$14,$C110,MONTH($B$104)))=AC$3,1,0)</f>
        <v>0</v>
      </c>
      <c r="DJ111" s="58">
        <f>IF(DAY(INDEX('Сводный годовой график'!$BA$4:$BL$14,$C110,MONTH($B$104)))=AD$3,1,0)</f>
        <v>0</v>
      </c>
      <c r="DK111" s="58">
        <f>IF(DAY(INDEX('Сводный годовой график'!$BA$4:$BL$14,$C110,MONTH($B$104)))=AE$3,1,0)</f>
        <v>0</v>
      </c>
      <c r="DL111" s="58">
        <f>IF(DAY(INDEX('Сводный годовой график'!$BA$4:$BL$14,$C110,MONTH($B$104)))=AF$3,1,0)</f>
        <v>0</v>
      </c>
      <c r="DM111" s="58">
        <f>IF(DAY(INDEX('Сводный годовой график'!$BA$4:$BL$14,$C110,MONTH($B$104)))=AG$3,1,0)</f>
        <v>0</v>
      </c>
      <c r="DN111" s="58">
        <f>IF(DAY(INDEX('Сводный годовой график'!$BA$4:$BL$14,$C110,MONTH($B$104)))=AH$3,1,0)</f>
        <v>0</v>
      </c>
      <c r="DO111" s="58">
        <f>IF(DAY(INDEX('Сводный годовой график'!$BA$4:$BL$14,$C110,MONTH($B$104)))=AI$3,1,0)</f>
        <v>0</v>
      </c>
    </row>
    <row r="112" spans="2:119" ht="15.75" hidden="1" x14ac:dyDescent="0.25">
      <c r="B112" s="201"/>
      <c r="C112" s="196">
        <v>5</v>
      </c>
      <c r="D112" s="81">
        <v>9</v>
      </c>
      <c r="E112" s="96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110"/>
      <c r="AJ112" s="263"/>
      <c r="AK112" s="223">
        <f>$AJ$104-SUM(AY112:CC113)</f>
        <v>151</v>
      </c>
      <c r="AL112" s="223">
        <f t="shared" ref="AL112" si="144">SUM(E112:AI113)</f>
        <v>0</v>
      </c>
      <c r="AM112" s="223">
        <f t="shared" ref="AM112" si="145">SUM(H112)</f>
        <v>0</v>
      </c>
      <c r="AN112" s="224">
        <f t="shared" ref="AN112" si="146">-AM112-AK112+AL112</f>
        <v>-151</v>
      </c>
      <c r="AO112" s="224">
        <v>0</v>
      </c>
      <c r="AP112" s="224">
        <f t="shared" ref="AP112" si="147">AN112+AP102</f>
        <v>-1868</v>
      </c>
      <c r="AQ112" s="223">
        <v>14</v>
      </c>
      <c r="AR112" s="264">
        <v>1</v>
      </c>
      <c r="CK112" s="59"/>
      <c r="CL112" s="59"/>
      <c r="CM112" s="59"/>
      <c r="CN112" s="59"/>
      <c r="CO112" s="59"/>
      <c r="CP112" s="59"/>
      <c r="CQ112" s="59"/>
      <c r="CR112" s="59"/>
      <c r="CS112" s="59"/>
      <c r="CT112" s="59"/>
      <c r="CU112" s="59"/>
      <c r="CV112" s="59"/>
      <c r="CW112" s="59"/>
      <c r="CX112" s="59"/>
      <c r="CY112" s="59"/>
      <c r="CZ112" s="59"/>
      <c r="DA112" s="59"/>
      <c r="DB112" s="59"/>
      <c r="DC112" s="59"/>
      <c r="DD112" s="59"/>
      <c r="DE112" s="59"/>
      <c r="DF112" s="59"/>
      <c r="DG112" s="59"/>
      <c r="DH112" s="59"/>
      <c r="DI112" s="59"/>
      <c r="DJ112" s="59"/>
      <c r="DK112" s="59"/>
      <c r="DL112" s="59"/>
      <c r="DM112" s="59"/>
      <c r="DN112" s="59"/>
      <c r="DO112" s="59"/>
    </row>
    <row r="113" spans="2:119" ht="16.5" hidden="1" thickBot="1" x14ac:dyDescent="0.3">
      <c r="B113" s="202"/>
      <c r="C113" s="197"/>
      <c r="D113" s="99">
        <v>10</v>
      </c>
      <c r="E113" s="87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  <c r="AH113" s="30"/>
      <c r="AI113" s="123"/>
      <c r="AJ113" s="227"/>
      <c r="AK113" s="226"/>
      <c r="AL113" s="226"/>
      <c r="AM113" s="226"/>
      <c r="AN113" s="227"/>
      <c r="AO113" s="227"/>
      <c r="AP113" s="227"/>
      <c r="AQ113" s="226"/>
      <c r="AR113" s="265"/>
      <c r="CK113" s="58">
        <f>IF(DAY(INDEX('Сводный годовой график'!$BA$4:$BL$14,$C112,MONTH($B$104)))=E$3,1,0)</f>
        <v>0</v>
      </c>
      <c r="CL113" s="58">
        <f>IF(DAY(INDEX('Сводный годовой график'!$BA$4:$BL$14,$C112,MONTH($B$104)))=F$3,1,0)</f>
        <v>0</v>
      </c>
      <c r="CM113" s="58">
        <f>IF(DAY(INDEX('Сводный годовой график'!$BA$4:$BL$14,$C112,MONTH($B$104)))=G$3,1,0)</f>
        <v>0</v>
      </c>
      <c r="CN113" s="58">
        <f>IF(DAY(INDEX('Сводный годовой график'!$BA$4:$BL$14,$C112,MONTH($B$104)))=H$3,1,0)</f>
        <v>0</v>
      </c>
      <c r="CO113" s="58">
        <f>IF(DAY(INDEX('Сводный годовой график'!$BA$4:$BL$14,$C112,MONTH($B$104)))=I$3,1,0)</f>
        <v>0</v>
      </c>
      <c r="CP113" s="58">
        <f>IF(DAY(INDEX('Сводный годовой график'!$BA$4:$BL$14,$C112,MONTH($B$104)))=J$3,1,0)</f>
        <v>0</v>
      </c>
      <c r="CQ113" s="58">
        <f>IF(DAY(INDEX('Сводный годовой график'!$BA$4:$BL$14,$C112,MONTH($B$104)))=K$3,1,0)</f>
        <v>0</v>
      </c>
      <c r="CR113" s="58">
        <f>IF(DAY(INDEX('Сводный годовой график'!$BA$4:$BL$14,$C112,MONTH($B$104)))=L$3,1,0)</f>
        <v>0</v>
      </c>
      <c r="CS113" s="58">
        <f>IF(DAY(INDEX('Сводный годовой график'!$BA$4:$BL$14,$C112,MONTH($B$104)))=M$3,1,0)</f>
        <v>0</v>
      </c>
      <c r="CT113" s="58">
        <f>IF(DAY(INDEX('Сводный годовой график'!$BA$4:$BL$14,$C112,MONTH($B$104)))=N$3,1,0)</f>
        <v>0</v>
      </c>
      <c r="CU113" s="58">
        <f>IF(DAY(INDEX('Сводный годовой график'!$BA$4:$BL$14,$C112,MONTH($B$104)))=O$3,1,0)</f>
        <v>0</v>
      </c>
      <c r="CV113" s="58">
        <f>IF(DAY(INDEX('Сводный годовой график'!$BA$4:$BL$14,$C112,MONTH($B$104)))=P$3,1,0)</f>
        <v>0</v>
      </c>
      <c r="CW113" s="58">
        <f>IF(DAY(INDEX('Сводный годовой график'!$BA$4:$BL$14,$C112,MONTH($B$104)))=Q$3,1,0)</f>
        <v>0</v>
      </c>
      <c r="CX113" s="58">
        <f>IF(DAY(INDEX('Сводный годовой график'!$BA$4:$BL$14,$C112,MONTH($B$104)))=R$3,1,0)</f>
        <v>0</v>
      </c>
      <c r="CY113" s="58">
        <f>IF(DAY(INDEX('Сводный годовой график'!$BA$4:$BL$14,$C112,MONTH($B$104)))=S$3,1,0)</f>
        <v>1</v>
      </c>
      <c r="CZ113" s="58">
        <f>IF(DAY(INDEX('Сводный годовой график'!$BA$4:$BL$14,$C112,MONTH($B$104)))=T$3,1,0)</f>
        <v>0</v>
      </c>
      <c r="DA113" s="58">
        <f>IF(DAY(INDEX('Сводный годовой график'!$BA$4:$BL$14,$C112,MONTH($B$104)))=U$3,1,0)</f>
        <v>0</v>
      </c>
      <c r="DB113" s="58">
        <f>IF(DAY(INDEX('Сводный годовой график'!$BA$4:$BL$14,$C112,MONTH($B$104)))=V$3,1,0)</f>
        <v>0</v>
      </c>
      <c r="DC113" s="58">
        <f>IF(DAY(INDEX('Сводный годовой график'!$BA$4:$BL$14,$C112,MONTH($B$104)))=W$3,1,0)</f>
        <v>0</v>
      </c>
      <c r="DD113" s="58">
        <f>IF(DAY(INDEX('Сводный годовой график'!$BA$4:$BL$14,$C112,MONTH($B$104)))=X$3,1,0)</f>
        <v>0</v>
      </c>
      <c r="DE113" s="58">
        <f>IF(DAY(INDEX('Сводный годовой график'!$BA$4:$BL$14,$C112,MONTH($B$104)))=Y$3,1,0)</f>
        <v>0</v>
      </c>
      <c r="DF113" s="58">
        <f>IF(DAY(INDEX('Сводный годовой график'!$BA$4:$BL$14,$C112,MONTH($B$104)))=Z$3,1,0)</f>
        <v>0</v>
      </c>
      <c r="DG113" s="58">
        <f>IF(DAY(INDEX('Сводный годовой график'!$BA$4:$BL$14,$C112,MONTH($B$104)))=AA$3,1,0)</f>
        <v>0</v>
      </c>
      <c r="DH113" s="58">
        <f>IF(DAY(INDEX('Сводный годовой график'!$BA$4:$BL$14,$C112,MONTH($B$104)))=AB$3,1,0)</f>
        <v>0</v>
      </c>
      <c r="DI113" s="58">
        <f>IF(DAY(INDEX('Сводный годовой график'!$BA$4:$BL$14,$C112,MONTH($B$104)))=AC$3,1,0)</f>
        <v>0</v>
      </c>
      <c r="DJ113" s="58">
        <f>IF(DAY(INDEX('Сводный годовой график'!$BA$4:$BL$14,$C112,MONTH($B$104)))=AD$3,1,0)</f>
        <v>0</v>
      </c>
      <c r="DK113" s="58">
        <f>IF(DAY(INDEX('Сводный годовой график'!$BA$4:$BL$14,$C112,MONTH($B$104)))=AE$3,1,0)</f>
        <v>0</v>
      </c>
      <c r="DL113" s="58">
        <f>IF(DAY(INDEX('Сводный годовой график'!$BA$4:$BL$14,$C112,MONTH($B$104)))=AF$3,1,0)</f>
        <v>0</v>
      </c>
      <c r="DM113" s="58">
        <f>IF(DAY(INDEX('Сводный годовой график'!$BA$4:$BL$14,$C112,MONTH($B$104)))=AG$3,1,0)</f>
        <v>0</v>
      </c>
      <c r="DN113" s="58">
        <f>IF(DAY(INDEX('Сводный годовой график'!$BA$4:$BL$14,$C112,MONTH($B$104)))=AH$3,1,0)</f>
        <v>0</v>
      </c>
      <c r="DO113" s="58">
        <f>IF(DAY(INDEX('Сводный годовой график'!$BA$4:$BL$14,$C112,MONTH($B$104)))=AI$3,1,0)</f>
        <v>0</v>
      </c>
    </row>
    <row r="114" spans="2:119" ht="17.25" hidden="1" customHeight="1" thickTop="1" x14ac:dyDescent="0.25">
      <c r="B114" s="200">
        <f>DATE($AV$1,12,1)</f>
        <v>45992</v>
      </c>
      <c r="C114" s="196">
        <v>1</v>
      </c>
      <c r="D114" s="81">
        <v>1</v>
      </c>
      <c r="E114" s="83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95"/>
      <c r="AJ114" s="228">
        <f>INDEX(Подключения!$D$3:$H$14,MONTH(B114),5)</f>
        <v>176</v>
      </c>
      <c r="AK114" s="173">
        <f>$AJ$114-SUM(AY114:CC115)</f>
        <v>176</v>
      </c>
      <c r="AL114" s="173">
        <f t="shared" ref="AL114" si="148">SUM(E114:AI115)</f>
        <v>0</v>
      </c>
      <c r="AM114" s="173">
        <v>0</v>
      </c>
      <c r="AN114" s="262">
        <f t="shared" ref="AN114" si="149">-AM114-AK114+AL114</f>
        <v>-176</v>
      </c>
      <c r="AO114" s="262">
        <v>0</v>
      </c>
      <c r="AP114" s="262">
        <f t="shared" ref="AP114" ca="1" si="150">AN114+AP104</f>
        <v>-1008</v>
      </c>
      <c r="AQ114" s="173">
        <v>0</v>
      </c>
      <c r="AR114" s="261">
        <v>1</v>
      </c>
      <c r="CK114" s="59"/>
      <c r="CL114" s="59"/>
      <c r="CM114" s="59"/>
      <c r="CN114" s="59"/>
      <c r="CO114" s="59"/>
      <c r="CP114" s="59"/>
      <c r="CQ114" s="59"/>
      <c r="CR114" s="59"/>
      <c r="CS114" s="59"/>
      <c r="CT114" s="59"/>
      <c r="CU114" s="59"/>
      <c r="CV114" s="59"/>
      <c r="CW114" s="59"/>
      <c r="CX114" s="59"/>
      <c r="CY114" s="59"/>
      <c r="CZ114" s="59"/>
      <c r="DA114" s="59"/>
      <c r="DB114" s="59"/>
      <c r="DC114" s="59"/>
      <c r="DD114" s="59"/>
      <c r="DE114" s="59"/>
      <c r="DF114" s="59"/>
      <c r="DG114" s="59"/>
      <c r="DH114" s="59"/>
      <c r="DI114" s="59"/>
      <c r="DJ114" s="59"/>
      <c r="DK114" s="59"/>
      <c r="DL114" s="59"/>
      <c r="DM114" s="59"/>
      <c r="DN114" s="59"/>
      <c r="DO114" s="59"/>
    </row>
    <row r="115" spans="2:119" ht="16.5" hidden="1" thickBot="1" x14ac:dyDescent="0.3">
      <c r="B115" s="201"/>
      <c r="C115" s="197"/>
      <c r="D115" s="82">
        <v>2</v>
      </c>
      <c r="E115" s="96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92"/>
      <c r="Y115" s="92"/>
      <c r="Z115" s="92"/>
      <c r="AA115" s="92"/>
      <c r="AB115" s="92"/>
      <c r="AC115" s="92"/>
      <c r="AD115" s="92"/>
      <c r="AE115" s="92"/>
      <c r="AF115" s="92"/>
      <c r="AG115" s="92"/>
      <c r="AH115" s="92"/>
      <c r="AI115" s="97"/>
      <c r="AJ115" s="263"/>
      <c r="AK115" s="171"/>
      <c r="AL115" s="171"/>
      <c r="AM115" s="171"/>
      <c r="AN115" s="258"/>
      <c r="AO115" s="258"/>
      <c r="AP115" s="258"/>
      <c r="AQ115" s="171"/>
      <c r="AR115" s="256"/>
      <c r="CK115" s="58">
        <f>IF(DAY(INDEX('Сводный годовой график'!$BA$4:$BL$14,$C114,MONTH($B$114)))=E$3,1,0)</f>
        <v>0</v>
      </c>
      <c r="CL115" s="58">
        <f>IF(DAY(INDEX('Сводный годовой график'!$BA$4:$BL$14,$C114,MONTH($B$114)))=F$3,1,0)</f>
        <v>0</v>
      </c>
      <c r="CM115" s="58">
        <f>IF(DAY(INDEX('Сводный годовой график'!$BA$4:$BL$14,$C114,MONTH($B$114)))=G$3,1,0)</f>
        <v>0</v>
      </c>
      <c r="CN115" s="58">
        <f>IF(DAY(INDEX('Сводный годовой график'!$BA$4:$BL$14,$C114,MONTH($B$114)))=H$3,1,0)</f>
        <v>0</v>
      </c>
      <c r="CO115" s="58">
        <f>IF(DAY(INDEX('Сводный годовой график'!$BA$4:$BL$14,$C114,MONTH($B$114)))=I$3,1,0)</f>
        <v>0</v>
      </c>
      <c r="CP115" s="58">
        <f>IF(DAY(INDEX('Сводный годовой график'!$BA$4:$BL$14,$C114,MONTH($B$114)))=J$3,1,0)</f>
        <v>0</v>
      </c>
      <c r="CQ115" s="58">
        <f>IF(DAY(INDEX('Сводный годовой график'!$BA$4:$BL$14,$C114,MONTH($B$114)))=K$3,1,0)</f>
        <v>0</v>
      </c>
      <c r="CR115" s="58">
        <f>IF(DAY(INDEX('Сводный годовой график'!$BA$4:$BL$14,$C114,MONTH($B$114)))=L$3,1,0)</f>
        <v>0</v>
      </c>
      <c r="CS115" s="58">
        <f>IF(DAY(INDEX('Сводный годовой график'!$BA$4:$BL$14,$C114,MONTH($B$114)))=M$3,1,0)</f>
        <v>0</v>
      </c>
      <c r="CT115" s="58">
        <f>IF(DAY(INDEX('Сводный годовой график'!$BA$4:$BL$14,$C114,MONTH($B$114)))=N$3,1,0)</f>
        <v>0</v>
      </c>
      <c r="CU115" s="58">
        <f>IF(DAY(INDEX('Сводный годовой график'!$BA$4:$BL$14,$C114,MONTH($B$114)))=O$3,1,0)</f>
        <v>0</v>
      </c>
      <c r="CV115" s="58">
        <f>IF(DAY(INDEX('Сводный годовой график'!$BA$4:$BL$14,$C114,MONTH($B$114)))=P$3,1,0)</f>
        <v>1</v>
      </c>
      <c r="CW115" s="58">
        <f>IF(DAY(INDEX('Сводный годовой график'!$BA$4:$BL$14,$C114,MONTH($B$114)))=Q$3,1,0)</f>
        <v>0</v>
      </c>
      <c r="CX115" s="58">
        <f>IF(DAY(INDEX('Сводный годовой график'!$BA$4:$BL$14,$C114,MONTH($B$114)))=R$3,1,0)</f>
        <v>0</v>
      </c>
      <c r="CY115" s="58">
        <f>IF(DAY(INDEX('Сводный годовой график'!$BA$4:$BL$14,$C114,MONTH($B$114)))=S$3,1,0)</f>
        <v>0</v>
      </c>
      <c r="CZ115" s="58">
        <f>IF(DAY(INDEX('Сводный годовой график'!$BA$4:$BL$14,$C114,MONTH($B$114)))=T$3,1,0)</f>
        <v>0</v>
      </c>
      <c r="DA115" s="58">
        <f>IF(DAY(INDEX('Сводный годовой график'!$BA$4:$BL$14,$C114,MONTH($B$114)))=U$3,1,0)</f>
        <v>0</v>
      </c>
      <c r="DB115" s="58">
        <f>IF(DAY(INDEX('Сводный годовой график'!$BA$4:$BL$14,$C114,MONTH($B$114)))=V$3,1,0)</f>
        <v>0</v>
      </c>
      <c r="DC115" s="58">
        <f>IF(DAY(INDEX('Сводный годовой график'!$BA$4:$BL$14,$C114,MONTH($B$114)))=W$3,1,0)</f>
        <v>0</v>
      </c>
      <c r="DD115" s="58">
        <f>IF(DAY(INDEX('Сводный годовой график'!$BA$4:$BL$14,$C114,MONTH($B$114)))=X$3,1,0)</f>
        <v>0</v>
      </c>
      <c r="DE115" s="58">
        <f>IF(DAY(INDEX('Сводный годовой график'!$BA$4:$BL$14,$C114,MONTH($B$114)))=Y$3,1,0)</f>
        <v>0</v>
      </c>
      <c r="DF115" s="58">
        <f>IF(DAY(INDEX('Сводный годовой график'!$BA$4:$BL$14,$C114,MONTH($B$114)))=Z$3,1,0)</f>
        <v>0</v>
      </c>
      <c r="DG115" s="58">
        <f>IF(DAY(INDEX('Сводный годовой график'!$BA$4:$BL$14,$C114,MONTH($B$114)))=AA$3,1,0)</f>
        <v>0</v>
      </c>
      <c r="DH115" s="58">
        <f>IF(DAY(INDEX('Сводный годовой график'!$BA$4:$BL$14,$C114,MONTH($B$114)))=AB$3,1,0)</f>
        <v>0</v>
      </c>
      <c r="DI115" s="58">
        <f>IF(DAY(INDEX('Сводный годовой график'!$BA$4:$BL$14,$C114,MONTH($B$114)))=AC$3,1,0)</f>
        <v>0</v>
      </c>
      <c r="DJ115" s="58">
        <f>IF(DAY(INDEX('Сводный годовой график'!$BA$4:$BL$14,$C114,MONTH($B$114)))=AD$3,1,0)</f>
        <v>0</v>
      </c>
      <c r="DK115" s="58">
        <f>IF(DAY(INDEX('Сводный годовой график'!$BA$4:$BL$14,$C114,MONTH($B$114)))=AE$3,1,0)</f>
        <v>0</v>
      </c>
      <c r="DL115" s="58">
        <f>IF(DAY(INDEX('Сводный годовой график'!$BA$4:$BL$14,$C114,MONTH($B$114)))=AF$3,1,0)</f>
        <v>0</v>
      </c>
      <c r="DM115" s="58">
        <f>IF(DAY(INDEX('Сводный годовой график'!$BA$4:$BL$14,$C114,MONTH($B$114)))=AG$3,1,0)</f>
        <v>0</v>
      </c>
      <c r="DN115" s="58">
        <f>IF(DAY(INDEX('Сводный годовой график'!$BA$4:$BL$14,$C114,MONTH($B$114)))=AH$3,1,0)</f>
        <v>0</v>
      </c>
      <c r="DO115" s="58">
        <f>IF(DAY(INDEX('Сводный годовой график'!$BA$4:$BL$14,$C114,MONTH($B$114)))=AI$3,1,0)</f>
        <v>0</v>
      </c>
    </row>
    <row r="116" spans="2:119" ht="15.75" hidden="1" x14ac:dyDescent="0.25">
      <c r="B116" s="201"/>
      <c r="C116" s="196">
        <v>2</v>
      </c>
      <c r="D116" s="81">
        <v>3</v>
      </c>
      <c r="E116" s="96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92"/>
      <c r="Y116" s="92"/>
      <c r="Z116" s="92"/>
      <c r="AA116" s="92"/>
      <c r="AB116" s="92"/>
      <c r="AC116" s="92"/>
      <c r="AD116" s="92"/>
      <c r="AE116" s="92"/>
      <c r="AF116" s="92"/>
      <c r="AG116" s="92"/>
      <c r="AH116" s="92"/>
      <c r="AI116" s="97"/>
      <c r="AJ116" s="263"/>
      <c r="AK116" s="170">
        <f>$AJ$114-SUM(AY116:CC117)</f>
        <v>176</v>
      </c>
      <c r="AL116" s="170">
        <f t="shared" ref="AL116" si="151">SUM(E116:AI117)</f>
        <v>0</v>
      </c>
      <c r="AM116" s="170">
        <v>0</v>
      </c>
      <c r="AN116" s="257">
        <f t="shared" ref="AN116" si="152">-AM116-AK116+AL116</f>
        <v>-176</v>
      </c>
      <c r="AO116" s="257">
        <v>0</v>
      </c>
      <c r="AP116" s="257">
        <f t="shared" ref="AP116" ca="1" si="153">AN116+AP106</f>
        <v>-1016</v>
      </c>
      <c r="AQ116" s="170">
        <v>7</v>
      </c>
      <c r="AR116" s="255">
        <v>1</v>
      </c>
      <c r="CK116" s="59"/>
      <c r="CL116" s="59"/>
      <c r="CM116" s="59"/>
      <c r="CN116" s="59"/>
      <c r="CO116" s="59"/>
      <c r="CP116" s="59"/>
      <c r="CQ116" s="59"/>
      <c r="CR116" s="59"/>
      <c r="CS116" s="59"/>
      <c r="CT116" s="59"/>
      <c r="CU116" s="59"/>
      <c r="CV116" s="59"/>
      <c r="CW116" s="59"/>
      <c r="CX116" s="59"/>
      <c r="CY116" s="59"/>
      <c r="CZ116" s="59"/>
      <c r="DA116" s="59"/>
      <c r="DB116" s="59"/>
      <c r="DC116" s="59"/>
      <c r="DD116" s="59"/>
      <c r="DE116" s="59"/>
      <c r="DF116" s="59"/>
      <c r="DG116" s="59"/>
      <c r="DH116" s="59"/>
      <c r="DI116" s="59"/>
      <c r="DJ116" s="59"/>
      <c r="DK116" s="59"/>
      <c r="DL116" s="59"/>
      <c r="DM116" s="59"/>
      <c r="DN116" s="59"/>
      <c r="DO116" s="59"/>
    </row>
    <row r="117" spans="2:119" ht="16.5" hidden="1" thickBot="1" x14ac:dyDescent="0.3">
      <c r="B117" s="201"/>
      <c r="C117" s="197"/>
      <c r="D117" s="82">
        <v>4</v>
      </c>
      <c r="E117" s="96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92"/>
      <c r="Y117" s="92"/>
      <c r="Z117" s="92"/>
      <c r="AA117" s="92"/>
      <c r="AB117" s="92"/>
      <c r="AC117" s="92"/>
      <c r="AD117" s="92"/>
      <c r="AE117" s="92"/>
      <c r="AF117" s="92"/>
      <c r="AG117" s="92"/>
      <c r="AH117" s="92"/>
      <c r="AI117" s="97"/>
      <c r="AJ117" s="263"/>
      <c r="AK117" s="171"/>
      <c r="AL117" s="171"/>
      <c r="AM117" s="171"/>
      <c r="AN117" s="258"/>
      <c r="AO117" s="258"/>
      <c r="AP117" s="258"/>
      <c r="AQ117" s="171"/>
      <c r="AR117" s="256"/>
      <c r="CK117" s="58">
        <f>IF(DAY(INDEX('Сводный годовой график'!$BA$4:$BL$14,$C116,MONTH($B$114)))=E$3,1,0)</f>
        <v>0</v>
      </c>
      <c r="CL117" s="58">
        <f>IF(DAY(INDEX('Сводный годовой график'!$BA$4:$BL$14,$C116,MONTH($B$114)))=F$3,1,0)</f>
        <v>0</v>
      </c>
      <c r="CM117" s="58">
        <f>IF(DAY(INDEX('Сводный годовой график'!$BA$4:$BL$14,$C116,MONTH($B$114)))=G$3,1,0)</f>
        <v>0</v>
      </c>
      <c r="CN117" s="58">
        <f>IF(DAY(INDEX('Сводный годовой график'!$BA$4:$BL$14,$C116,MONTH($B$114)))=H$3,1,0)</f>
        <v>0</v>
      </c>
      <c r="CO117" s="58">
        <f>IF(DAY(INDEX('Сводный годовой график'!$BA$4:$BL$14,$C116,MONTH($B$114)))=I$3,1,0)</f>
        <v>0</v>
      </c>
      <c r="CP117" s="58">
        <f>IF(DAY(INDEX('Сводный годовой график'!$BA$4:$BL$14,$C116,MONTH($B$114)))=J$3,1,0)</f>
        <v>0</v>
      </c>
      <c r="CQ117" s="58">
        <f>IF(DAY(INDEX('Сводный годовой график'!$BA$4:$BL$14,$C116,MONTH($B$114)))=K$3,1,0)</f>
        <v>0</v>
      </c>
      <c r="CR117" s="58">
        <f>IF(DAY(INDEX('Сводный годовой график'!$BA$4:$BL$14,$C116,MONTH($B$114)))=L$3,1,0)</f>
        <v>0</v>
      </c>
      <c r="CS117" s="58">
        <f>IF(DAY(INDEX('Сводный годовой график'!$BA$4:$BL$14,$C116,MONTH($B$114)))=M$3,1,0)</f>
        <v>0</v>
      </c>
      <c r="CT117" s="58">
        <f>IF(DAY(INDEX('Сводный годовой график'!$BA$4:$BL$14,$C116,MONTH($B$114)))=N$3,1,0)</f>
        <v>0</v>
      </c>
      <c r="CU117" s="58">
        <f>IF(DAY(INDEX('Сводный годовой график'!$BA$4:$BL$14,$C116,MONTH($B$114)))=O$3,1,0)</f>
        <v>0</v>
      </c>
      <c r="CV117" s="58">
        <f>IF(DAY(INDEX('Сводный годовой график'!$BA$4:$BL$14,$C116,MONTH($B$114)))=P$3,1,0)</f>
        <v>0</v>
      </c>
      <c r="CW117" s="58">
        <f>IF(DAY(INDEX('Сводный годовой график'!$BA$4:$BL$14,$C116,MONTH($B$114)))=Q$3,1,0)</f>
        <v>1</v>
      </c>
      <c r="CX117" s="58">
        <f>IF(DAY(INDEX('Сводный годовой график'!$BA$4:$BL$14,$C116,MONTH($B$114)))=R$3,1,0)</f>
        <v>0</v>
      </c>
      <c r="CY117" s="58">
        <f>IF(DAY(INDEX('Сводный годовой график'!$BA$4:$BL$14,$C116,MONTH($B$114)))=S$3,1,0)</f>
        <v>0</v>
      </c>
      <c r="CZ117" s="58">
        <f>IF(DAY(INDEX('Сводный годовой график'!$BA$4:$BL$14,$C116,MONTH($B$114)))=T$3,1,0)</f>
        <v>0</v>
      </c>
      <c r="DA117" s="58">
        <f>IF(DAY(INDEX('Сводный годовой график'!$BA$4:$BL$14,$C116,MONTH($B$114)))=U$3,1,0)</f>
        <v>0</v>
      </c>
      <c r="DB117" s="58">
        <f>IF(DAY(INDEX('Сводный годовой график'!$BA$4:$BL$14,$C116,MONTH($B$114)))=V$3,1,0)</f>
        <v>0</v>
      </c>
      <c r="DC117" s="58">
        <f>IF(DAY(INDEX('Сводный годовой график'!$BA$4:$BL$14,$C116,MONTH($B$114)))=W$3,1,0)</f>
        <v>0</v>
      </c>
      <c r="DD117" s="58">
        <f>IF(DAY(INDEX('Сводный годовой график'!$BA$4:$BL$14,$C116,MONTH($B$114)))=X$3,1,0)</f>
        <v>0</v>
      </c>
      <c r="DE117" s="58">
        <f>IF(DAY(INDEX('Сводный годовой график'!$BA$4:$BL$14,$C116,MONTH($B$114)))=Y$3,1,0)</f>
        <v>0</v>
      </c>
      <c r="DF117" s="58">
        <f>IF(DAY(INDEX('Сводный годовой график'!$BA$4:$BL$14,$C116,MONTH($B$114)))=Z$3,1,0)</f>
        <v>0</v>
      </c>
      <c r="DG117" s="58">
        <f>IF(DAY(INDEX('Сводный годовой график'!$BA$4:$BL$14,$C116,MONTH($B$114)))=AA$3,1,0)</f>
        <v>0</v>
      </c>
      <c r="DH117" s="58">
        <f>IF(DAY(INDEX('Сводный годовой график'!$BA$4:$BL$14,$C116,MONTH($B$114)))=AB$3,1,0)</f>
        <v>0</v>
      </c>
      <c r="DI117" s="58">
        <f>IF(DAY(INDEX('Сводный годовой график'!$BA$4:$BL$14,$C116,MONTH($B$114)))=AC$3,1,0)</f>
        <v>0</v>
      </c>
      <c r="DJ117" s="58">
        <f>IF(DAY(INDEX('Сводный годовой график'!$BA$4:$BL$14,$C116,MONTH($B$114)))=AD$3,1,0)</f>
        <v>0</v>
      </c>
      <c r="DK117" s="58">
        <f>IF(DAY(INDEX('Сводный годовой график'!$BA$4:$BL$14,$C116,MONTH($B$114)))=AE$3,1,0)</f>
        <v>0</v>
      </c>
      <c r="DL117" s="58">
        <f>IF(DAY(INDEX('Сводный годовой график'!$BA$4:$BL$14,$C116,MONTH($B$114)))=AF$3,1,0)</f>
        <v>0</v>
      </c>
      <c r="DM117" s="58">
        <f>IF(DAY(INDEX('Сводный годовой график'!$BA$4:$BL$14,$C116,MONTH($B$114)))=AG$3,1,0)</f>
        <v>0</v>
      </c>
      <c r="DN117" s="58">
        <f>IF(DAY(INDEX('Сводный годовой график'!$BA$4:$BL$14,$C116,MONTH($B$114)))=AH$3,1,0)</f>
        <v>0</v>
      </c>
      <c r="DO117" s="58">
        <f>IF(DAY(INDEX('Сводный годовой график'!$BA$4:$BL$14,$C116,MONTH($B$114)))=AI$3,1,0)</f>
        <v>0</v>
      </c>
    </row>
    <row r="118" spans="2:119" ht="15.75" hidden="1" x14ac:dyDescent="0.25">
      <c r="B118" s="201"/>
      <c r="C118" s="196">
        <v>3</v>
      </c>
      <c r="D118" s="81">
        <v>5</v>
      </c>
      <c r="E118" s="96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92"/>
      <c r="Y118" s="92"/>
      <c r="Z118" s="92"/>
      <c r="AA118" s="92"/>
      <c r="AB118" s="92"/>
      <c r="AC118" s="92"/>
      <c r="AD118" s="92"/>
      <c r="AE118" s="92"/>
      <c r="AF118" s="92"/>
      <c r="AG118" s="92"/>
      <c r="AH118" s="92"/>
      <c r="AI118" s="97"/>
      <c r="AJ118" s="263"/>
      <c r="AK118" s="170">
        <f>$AJ$114-SUM(AY118:CC119)</f>
        <v>176</v>
      </c>
      <c r="AL118" s="170">
        <f t="shared" ref="AL118" si="154">SUM(E118:AI119)</f>
        <v>0</v>
      </c>
      <c r="AM118" s="170">
        <v>0</v>
      </c>
      <c r="AN118" s="257">
        <f t="shared" ref="AN118" si="155">-AM118-AK118+AL118</f>
        <v>-176</v>
      </c>
      <c r="AO118" s="257">
        <v>0</v>
      </c>
      <c r="AP118" s="257">
        <f t="shared" ref="AP118" ca="1" si="156">AN118+AP108</f>
        <v>-990</v>
      </c>
      <c r="AQ118" s="170">
        <v>0</v>
      </c>
      <c r="AR118" s="255">
        <v>1</v>
      </c>
      <c r="CK118" s="59"/>
      <c r="CL118" s="59"/>
      <c r="CM118" s="59"/>
      <c r="CN118" s="59"/>
      <c r="CO118" s="59"/>
      <c r="CP118" s="59"/>
      <c r="CQ118" s="59"/>
      <c r="CR118" s="59"/>
      <c r="CS118" s="59"/>
      <c r="CT118" s="59"/>
      <c r="CU118" s="59"/>
      <c r="CV118" s="59"/>
      <c r="CW118" s="59"/>
      <c r="CX118" s="59"/>
      <c r="CY118" s="59"/>
      <c r="CZ118" s="59"/>
      <c r="DA118" s="59"/>
      <c r="DB118" s="59"/>
      <c r="DC118" s="59"/>
      <c r="DD118" s="59"/>
      <c r="DE118" s="59"/>
      <c r="DF118" s="59"/>
      <c r="DG118" s="59"/>
      <c r="DH118" s="59"/>
      <c r="DI118" s="59"/>
      <c r="DJ118" s="59"/>
      <c r="DK118" s="59"/>
      <c r="DL118" s="59"/>
      <c r="DM118" s="59"/>
      <c r="DN118" s="59"/>
      <c r="DO118" s="59"/>
    </row>
    <row r="119" spans="2:119" ht="16.5" hidden="1" thickBot="1" x14ac:dyDescent="0.3">
      <c r="B119" s="201"/>
      <c r="C119" s="197"/>
      <c r="D119" s="82">
        <v>6</v>
      </c>
      <c r="E119" s="96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92"/>
      <c r="Y119" s="92"/>
      <c r="Z119" s="92"/>
      <c r="AA119" s="92"/>
      <c r="AB119" s="92"/>
      <c r="AC119" s="92"/>
      <c r="AD119" s="92"/>
      <c r="AE119" s="92"/>
      <c r="AF119" s="92"/>
      <c r="AG119" s="92"/>
      <c r="AH119" s="92"/>
      <c r="AI119" s="97"/>
      <c r="AJ119" s="263"/>
      <c r="AK119" s="171"/>
      <c r="AL119" s="171"/>
      <c r="AM119" s="171"/>
      <c r="AN119" s="258"/>
      <c r="AO119" s="258"/>
      <c r="AP119" s="258"/>
      <c r="AQ119" s="171"/>
      <c r="AR119" s="256"/>
      <c r="CK119" s="58">
        <f>IF(DAY(INDEX('Сводный годовой график'!$BA$4:$BL$14,$C118,MONTH($B$114)))=E$3,1,0)</f>
        <v>0</v>
      </c>
      <c r="CL119" s="58">
        <f>IF(DAY(INDEX('Сводный годовой график'!$BA$4:$BL$14,$C118,MONTH($B$114)))=F$3,1,0)</f>
        <v>0</v>
      </c>
      <c r="CM119" s="58">
        <f>IF(DAY(INDEX('Сводный годовой график'!$BA$4:$BL$14,$C118,MONTH($B$114)))=G$3,1,0)</f>
        <v>0</v>
      </c>
      <c r="CN119" s="58">
        <f>IF(DAY(INDEX('Сводный годовой график'!$BA$4:$BL$14,$C118,MONTH($B$114)))=H$3,1,0)</f>
        <v>0</v>
      </c>
      <c r="CO119" s="58">
        <f>IF(DAY(INDEX('Сводный годовой график'!$BA$4:$BL$14,$C118,MONTH($B$114)))=I$3,1,0)</f>
        <v>0</v>
      </c>
      <c r="CP119" s="58">
        <f>IF(DAY(INDEX('Сводный годовой график'!$BA$4:$BL$14,$C118,MONTH($B$114)))=J$3,1,0)</f>
        <v>0</v>
      </c>
      <c r="CQ119" s="58">
        <f>IF(DAY(INDEX('Сводный годовой график'!$BA$4:$BL$14,$C118,MONTH($B$114)))=K$3,1,0)</f>
        <v>0</v>
      </c>
      <c r="CR119" s="58">
        <f>IF(DAY(INDEX('Сводный годовой график'!$BA$4:$BL$14,$C118,MONTH($B$114)))=L$3,1,0)</f>
        <v>0</v>
      </c>
      <c r="CS119" s="58">
        <f>IF(DAY(INDEX('Сводный годовой график'!$BA$4:$BL$14,$C118,MONTH($B$114)))=M$3,1,0)</f>
        <v>0</v>
      </c>
      <c r="CT119" s="58">
        <f>IF(DAY(INDEX('Сводный годовой график'!$BA$4:$BL$14,$C118,MONTH($B$114)))=N$3,1,0)</f>
        <v>0</v>
      </c>
      <c r="CU119" s="58">
        <f>IF(DAY(INDEX('Сводный годовой график'!$BA$4:$BL$14,$C118,MONTH($B$114)))=O$3,1,0)</f>
        <v>0</v>
      </c>
      <c r="CV119" s="58">
        <f>IF(DAY(INDEX('Сводный годовой график'!$BA$4:$BL$14,$C118,MONTH($B$114)))=P$3,1,0)</f>
        <v>0</v>
      </c>
      <c r="CW119" s="58">
        <f>IF(DAY(INDEX('Сводный годовой график'!$BA$4:$BL$14,$C118,MONTH($B$114)))=Q$3,1,0)</f>
        <v>0</v>
      </c>
      <c r="CX119" s="58">
        <f>IF(DAY(INDEX('Сводный годовой график'!$BA$4:$BL$14,$C118,MONTH($B$114)))=R$3,1,0)</f>
        <v>1</v>
      </c>
      <c r="CY119" s="58">
        <f>IF(DAY(INDEX('Сводный годовой график'!$BA$4:$BL$14,$C118,MONTH($B$114)))=S$3,1,0)</f>
        <v>0</v>
      </c>
      <c r="CZ119" s="58">
        <f>IF(DAY(INDEX('Сводный годовой график'!$BA$4:$BL$14,$C118,MONTH($B$114)))=T$3,1,0)</f>
        <v>0</v>
      </c>
      <c r="DA119" s="58">
        <f>IF(DAY(INDEX('Сводный годовой график'!$BA$4:$BL$14,$C118,MONTH($B$114)))=U$3,1,0)</f>
        <v>0</v>
      </c>
      <c r="DB119" s="58">
        <f>IF(DAY(INDEX('Сводный годовой график'!$BA$4:$BL$14,$C118,MONTH($B$114)))=V$3,1,0)</f>
        <v>0</v>
      </c>
      <c r="DC119" s="58">
        <f>IF(DAY(INDEX('Сводный годовой график'!$BA$4:$BL$14,$C118,MONTH($B$114)))=W$3,1,0)</f>
        <v>0</v>
      </c>
      <c r="DD119" s="58">
        <f>IF(DAY(INDEX('Сводный годовой график'!$BA$4:$BL$14,$C118,MONTH($B$114)))=X$3,1,0)</f>
        <v>0</v>
      </c>
      <c r="DE119" s="58">
        <f>IF(DAY(INDEX('Сводный годовой график'!$BA$4:$BL$14,$C118,MONTH($B$114)))=Y$3,1,0)</f>
        <v>0</v>
      </c>
      <c r="DF119" s="58">
        <f>IF(DAY(INDEX('Сводный годовой график'!$BA$4:$BL$14,$C118,MONTH($B$114)))=Z$3,1,0)</f>
        <v>0</v>
      </c>
      <c r="DG119" s="58">
        <f>IF(DAY(INDEX('Сводный годовой график'!$BA$4:$BL$14,$C118,MONTH($B$114)))=AA$3,1,0)</f>
        <v>0</v>
      </c>
      <c r="DH119" s="58">
        <f>IF(DAY(INDEX('Сводный годовой график'!$BA$4:$BL$14,$C118,MONTH($B$114)))=AB$3,1,0)</f>
        <v>0</v>
      </c>
      <c r="DI119" s="58">
        <f>IF(DAY(INDEX('Сводный годовой график'!$BA$4:$BL$14,$C118,MONTH($B$114)))=AC$3,1,0)</f>
        <v>0</v>
      </c>
      <c r="DJ119" s="58">
        <f>IF(DAY(INDEX('Сводный годовой график'!$BA$4:$BL$14,$C118,MONTH($B$114)))=AD$3,1,0)</f>
        <v>0</v>
      </c>
      <c r="DK119" s="58">
        <f>IF(DAY(INDEX('Сводный годовой график'!$BA$4:$BL$14,$C118,MONTH($B$114)))=AE$3,1,0)</f>
        <v>0</v>
      </c>
      <c r="DL119" s="58">
        <f>IF(DAY(INDEX('Сводный годовой график'!$BA$4:$BL$14,$C118,MONTH($B$114)))=AF$3,1,0)</f>
        <v>0</v>
      </c>
      <c r="DM119" s="58">
        <f>IF(DAY(INDEX('Сводный годовой график'!$BA$4:$BL$14,$C118,MONTH($B$114)))=AG$3,1,0)</f>
        <v>0</v>
      </c>
      <c r="DN119" s="58">
        <f>IF(DAY(INDEX('Сводный годовой график'!$BA$4:$BL$14,$C118,MONTH($B$114)))=AH$3,1,0)</f>
        <v>0</v>
      </c>
      <c r="DO119" s="58">
        <f>IF(DAY(INDEX('Сводный годовой график'!$BA$4:$BL$14,$C118,MONTH($B$114)))=AI$3,1,0)</f>
        <v>0</v>
      </c>
    </row>
    <row r="120" spans="2:119" ht="15.75" hidden="1" x14ac:dyDescent="0.25">
      <c r="B120" s="201"/>
      <c r="C120" s="196">
        <v>4</v>
      </c>
      <c r="D120" s="81">
        <v>7</v>
      </c>
      <c r="E120" s="96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92"/>
      <c r="Y120" s="92"/>
      <c r="Z120" s="92"/>
      <c r="AA120" s="92"/>
      <c r="AB120" s="92"/>
      <c r="AC120" s="92"/>
      <c r="AD120" s="92"/>
      <c r="AE120" s="92"/>
      <c r="AF120" s="92"/>
      <c r="AG120" s="92"/>
      <c r="AH120" s="92"/>
      <c r="AI120" s="97"/>
      <c r="AJ120" s="263"/>
      <c r="AK120" s="170">
        <f>$AJ$114-SUM(AY120:CC121)</f>
        <v>176</v>
      </c>
      <c r="AL120" s="170">
        <f t="shared" ref="AL120" si="157">SUM(E120:AI121)</f>
        <v>0</v>
      </c>
      <c r="AM120" s="170">
        <v>0</v>
      </c>
      <c r="AN120" s="257">
        <f t="shared" ref="AN120" si="158">-AM120-AK120+AL120</f>
        <v>-176</v>
      </c>
      <c r="AO120" s="257">
        <v>0</v>
      </c>
      <c r="AP120" s="257">
        <f t="shared" ref="AP120:AP122" ca="1" si="159">AN120+AP110</f>
        <v>-968</v>
      </c>
      <c r="AQ120" s="170">
        <v>0</v>
      </c>
      <c r="AR120" s="255">
        <v>1</v>
      </c>
      <c r="CK120" s="59"/>
      <c r="CL120" s="59"/>
      <c r="CM120" s="59"/>
      <c r="CN120" s="59"/>
      <c r="CO120" s="59"/>
      <c r="CP120" s="59"/>
      <c r="CQ120" s="59"/>
      <c r="CR120" s="59"/>
      <c r="CS120" s="59"/>
      <c r="CT120" s="59"/>
      <c r="CU120" s="59"/>
      <c r="CV120" s="59"/>
      <c r="CW120" s="59"/>
      <c r="CX120" s="59"/>
      <c r="CY120" s="59"/>
      <c r="CZ120" s="59"/>
      <c r="DA120" s="59"/>
      <c r="DB120" s="59"/>
      <c r="DC120" s="59"/>
      <c r="DD120" s="59"/>
      <c r="DE120" s="59"/>
      <c r="DF120" s="59"/>
      <c r="DG120" s="59"/>
      <c r="DH120" s="59"/>
      <c r="DI120" s="59"/>
      <c r="DJ120" s="59"/>
      <c r="DK120" s="59"/>
      <c r="DL120" s="59"/>
      <c r="DM120" s="59"/>
      <c r="DN120" s="59"/>
      <c r="DO120" s="59"/>
    </row>
    <row r="121" spans="2:119" ht="16.5" hidden="1" thickBot="1" x14ac:dyDescent="0.3">
      <c r="B121" s="201"/>
      <c r="C121" s="197"/>
      <c r="D121" s="82">
        <v>8</v>
      </c>
      <c r="E121" s="96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92"/>
      <c r="Y121" s="92"/>
      <c r="Z121" s="92"/>
      <c r="AA121" s="92"/>
      <c r="AB121" s="92"/>
      <c r="AC121" s="92"/>
      <c r="AD121" s="92"/>
      <c r="AE121" s="92"/>
      <c r="AF121" s="92"/>
      <c r="AG121" s="92"/>
      <c r="AH121" s="92"/>
      <c r="AI121" s="97"/>
      <c r="AJ121" s="263"/>
      <c r="AK121" s="171"/>
      <c r="AL121" s="171"/>
      <c r="AM121" s="171"/>
      <c r="AN121" s="258"/>
      <c r="AO121" s="258"/>
      <c r="AP121" s="258"/>
      <c r="AQ121" s="171"/>
      <c r="AR121" s="256"/>
      <c r="CK121" s="58">
        <f>IF(DAY(INDEX('Сводный годовой график'!$BA$4:$BL$14,$C120,MONTH($B$114)))=E$3,1,0)</f>
        <v>0</v>
      </c>
      <c r="CL121" s="58">
        <f>IF(DAY(INDEX('Сводный годовой график'!$BA$4:$BL$14,$C120,MONTH($B$114)))=F$3,1,0)</f>
        <v>0</v>
      </c>
      <c r="CM121" s="58">
        <f>IF(DAY(INDEX('Сводный годовой график'!$BA$4:$BL$14,$C120,MONTH($B$114)))=G$3,1,0)</f>
        <v>0</v>
      </c>
      <c r="CN121" s="58">
        <f>IF(DAY(INDEX('Сводный годовой график'!$BA$4:$BL$14,$C120,MONTH($B$114)))=H$3,1,0)</f>
        <v>0</v>
      </c>
      <c r="CO121" s="58">
        <f>IF(DAY(INDEX('Сводный годовой график'!$BA$4:$BL$14,$C120,MONTH($B$114)))=I$3,1,0)</f>
        <v>0</v>
      </c>
      <c r="CP121" s="58">
        <f>IF(DAY(INDEX('Сводный годовой график'!$BA$4:$BL$14,$C120,MONTH($B$114)))=J$3,1,0)</f>
        <v>0</v>
      </c>
      <c r="CQ121" s="58">
        <f>IF(DAY(INDEX('Сводный годовой график'!$BA$4:$BL$14,$C120,MONTH($B$114)))=K$3,1,0)</f>
        <v>0</v>
      </c>
      <c r="CR121" s="58">
        <f>IF(DAY(INDEX('Сводный годовой график'!$BA$4:$BL$14,$C120,MONTH($B$114)))=L$3,1,0)</f>
        <v>0</v>
      </c>
      <c r="CS121" s="58">
        <f>IF(DAY(INDEX('Сводный годовой график'!$BA$4:$BL$14,$C120,MONTH($B$114)))=M$3,1,0)</f>
        <v>0</v>
      </c>
      <c r="CT121" s="58">
        <f>IF(DAY(INDEX('Сводный годовой график'!$BA$4:$BL$14,$C120,MONTH($B$114)))=N$3,1,0)</f>
        <v>0</v>
      </c>
      <c r="CU121" s="58">
        <f>IF(DAY(INDEX('Сводный годовой график'!$BA$4:$BL$14,$C120,MONTH($B$114)))=O$3,1,0)</f>
        <v>0</v>
      </c>
      <c r="CV121" s="58">
        <f>IF(DAY(INDEX('Сводный годовой график'!$BA$4:$BL$14,$C120,MONTH($B$114)))=P$3,1,0)</f>
        <v>0</v>
      </c>
      <c r="CW121" s="58">
        <f>IF(DAY(INDEX('Сводный годовой график'!$BA$4:$BL$14,$C120,MONTH($B$114)))=Q$3,1,0)</f>
        <v>0</v>
      </c>
      <c r="CX121" s="58">
        <f>IF(DAY(INDEX('Сводный годовой график'!$BA$4:$BL$14,$C120,MONTH($B$114)))=R$3,1,0)</f>
        <v>0</v>
      </c>
      <c r="CY121" s="58">
        <f>IF(DAY(INDEX('Сводный годовой график'!$BA$4:$BL$14,$C120,MONTH($B$114)))=S$3,1,0)</f>
        <v>1</v>
      </c>
      <c r="CZ121" s="58">
        <f>IF(DAY(INDEX('Сводный годовой график'!$BA$4:$BL$14,$C120,MONTH($B$114)))=T$3,1,0)</f>
        <v>0</v>
      </c>
      <c r="DA121" s="58">
        <f>IF(DAY(INDEX('Сводный годовой график'!$BA$4:$BL$14,$C120,MONTH($B$114)))=U$3,1,0)</f>
        <v>0</v>
      </c>
      <c r="DB121" s="58">
        <f>IF(DAY(INDEX('Сводный годовой график'!$BA$4:$BL$14,$C120,MONTH($B$114)))=V$3,1,0)</f>
        <v>0</v>
      </c>
      <c r="DC121" s="58">
        <f>IF(DAY(INDEX('Сводный годовой график'!$BA$4:$BL$14,$C120,MONTH($B$114)))=W$3,1,0)</f>
        <v>0</v>
      </c>
      <c r="DD121" s="58">
        <f>IF(DAY(INDEX('Сводный годовой график'!$BA$4:$BL$14,$C120,MONTH($B$114)))=X$3,1,0)</f>
        <v>0</v>
      </c>
      <c r="DE121" s="58">
        <f>IF(DAY(INDEX('Сводный годовой график'!$BA$4:$BL$14,$C120,MONTH($B$114)))=Y$3,1,0)</f>
        <v>0</v>
      </c>
      <c r="DF121" s="58">
        <f>IF(DAY(INDEX('Сводный годовой график'!$BA$4:$BL$14,$C120,MONTH($B$114)))=Z$3,1,0)</f>
        <v>0</v>
      </c>
      <c r="DG121" s="58">
        <f>IF(DAY(INDEX('Сводный годовой график'!$BA$4:$BL$14,$C120,MONTH($B$114)))=AA$3,1,0)</f>
        <v>0</v>
      </c>
      <c r="DH121" s="58">
        <f>IF(DAY(INDEX('Сводный годовой график'!$BA$4:$BL$14,$C120,MONTH($B$114)))=AB$3,1,0)</f>
        <v>0</v>
      </c>
      <c r="DI121" s="58">
        <f>IF(DAY(INDEX('Сводный годовой график'!$BA$4:$BL$14,$C120,MONTH($B$114)))=AC$3,1,0)</f>
        <v>0</v>
      </c>
      <c r="DJ121" s="58">
        <f>IF(DAY(INDEX('Сводный годовой график'!$BA$4:$BL$14,$C120,MONTH($B$114)))=AD$3,1,0)</f>
        <v>0</v>
      </c>
      <c r="DK121" s="58">
        <f>IF(DAY(INDEX('Сводный годовой график'!$BA$4:$BL$14,$C120,MONTH($B$114)))=AE$3,1,0)</f>
        <v>0</v>
      </c>
      <c r="DL121" s="58">
        <f>IF(DAY(INDEX('Сводный годовой график'!$BA$4:$BL$14,$C120,MONTH($B$114)))=AF$3,1,0)</f>
        <v>0</v>
      </c>
      <c r="DM121" s="58">
        <f>IF(DAY(INDEX('Сводный годовой график'!$BA$4:$BL$14,$C120,MONTH($B$114)))=AG$3,1,0)</f>
        <v>0</v>
      </c>
      <c r="DN121" s="58">
        <f>IF(DAY(INDEX('Сводный годовой график'!$BA$4:$BL$14,$C120,MONTH($B$114)))=AH$3,1,0)</f>
        <v>0</v>
      </c>
      <c r="DO121" s="58">
        <f>IF(DAY(INDEX('Сводный годовой график'!$BA$4:$BL$14,$C120,MONTH($B$114)))=AI$3,1,0)</f>
        <v>0</v>
      </c>
    </row>
    <row r="122" spans="2:119" ht="15.75" hidden="1" x14ac:dyDescent="0.25">
      <c r="B122" s="201"/>
      <c r="C122" s="196">
        <v>5</v>
      </c>
      <c r="D122" s="81">
        <v>9</v>
      </c>
      <c r="E122" s="96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92"/>
      <c r="Y122" s="92"/>
      <c r="Z122" s="92"/>
      <c r="AA122" s="92"/>
      <c r="AB122" s="92"/>
      <c r="AC122" s="92"/>
      <c r="AD122" s="92"/>
      <c r="AE122" s="92"/>
      <c r="AF122" s="92"/>
      <c r="AG122" s="92"/>
      <c r="AH122" s="92"/>
      <c r="AI122" s="97"/>
      <c r="AJ122" s="263"/>
      <c r="AK122" s="170">
        <f>$AJ$114-SUM(AY122:CC123)</f>
        <v>176</v>
      </c>
      <c r="AL122" s="170">
        <f t="shared" ref="AL122" si="160">SUM(E122:AI123)</f>
        <v>0</v>
      </c>
      <c r="AM122" s="170">
        <v>0</v>
      </c>
      <c r="AN122" s="257">
        <f t="shared" ref="AN122" si="161">-AM122-AK122+AL122</f>
        <v>-176</v>
      </c>
      <c r="AO122" s="257">
        <v>0</v>
      </c>
      <c r="AP122" s="257">
        <f t="shared" si="159"/>
        <v>-2044</v>
      </c>
      <c r="AQ122" s="170">
        <v>0</v>
      </c>
      <c r="AR122" s="255">
        <v>1</v>
      </c>
      <c r="CK122" s="59"/>
      <c r="CL122" s="59"/>
      <c r="CM122" s="59"/>
      <c r="CN122" s="59"/>
      <c r="CO122" s="59"/>
      <c r="CP122" s="59"/>
      <c r="CQ122" s="59"/>
      <c r="CR122" s="59"/>
      <c r="CS122" s="59"/>
      <c r="CT122" s="59"/>
      <c r="CU122" s="59"/>
      <c r="CV122" s="59"/>
      <c r="CW122" s="59"/>
      <c r="CX122" s="59"/>
      <c r="CY122" s="59"/>
      <c r="CZ122" s="59"/>
      <c r="DA122" s="59"/>
      <c r="DB122" s="59"/>
      <c r="DC122" s="59"/>
      <c r="DD122" s="59"/>
      <c r="DE122" s="59"/>
      <c r="DF122" s="59"/>
      <c r="DG122" s="59"/>
      <c r="DH122" s="59"/>
      <c r="DI122" s="59"/>
      <c r="DJ122" s="59"/>
      <c r="DK122" s="59"/>
      <c r="DL122" s="59"/>
      <c r="DM122" s="59"/>
      <c r="DN122" s="59"/>
      <c r="DO122" s="59"/>
    </row>
    <row r="123" spans="2:119" ht="16.5" hidden="1" thickBot="1" x14ac:dyDescent="0.3">
      <c r="B123" s="202"/>
      <c r="C123" s="197"/>
      <c r="D123" s="82">
        <v>10</v>
      </c>
      <c r="E123" s="84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85"/>
      <c r="AJ123" s="227"/>
      <c r="AK123" s="172"/>
      <c r="AL123" s="172"/>
      <c r="AM123" s="172"/>
      <c r="AN123" s="260"/>
      <c r="AO123" s="260"/>
      <c r="AP123" s="260"/>
      <c r="AQ123" s="172"/>
      <c r="AR123" s="259"/>
      <c r="CK123" s="58">
        <f>IF(DAY(INDEX('Сводный годовой график'!$BA$4:$BL$14,$C122,MONTH($B$114)))=E$3,1,0)</f>
        <v>0</v>
      </c>
      <c r="CL123" s="58">
        <f>IF(DAY(INDEX('Сводный годовой график'!$BA$4:$BL$14,$C122,MONTH($B$114)))=F$3,1,0)</f>
        <v>0</v>
      </c>
      <c r="CM123" s="58">
        <f>IF(DAY(INDEX('Сводный годовой график'!$BA$4:$BL$14,$C122,MONTH($B$114)))=G$3,1,0)</f>
        <v>0</v>
      </c>
      <c r="CN123" s="58">
        <f>IF(DAY(INDEX('Сводный годовой график'!$BA$4:$BL$14,$C122,MONTH($B$114)))=H$3,1,0)</f>
        <v>0</v>
      </c>
      <c r="CO123" s="58">
        <f>IF(DAY(INDEX('Сводный годовой график'!$BA$4:$BL$14,$C122,MONTH($B$114)))=I$3,1,0)</f>
        <v>0</v>
      </c>
      <c r="CP123" s="58">
        <f>IF(DAY(INDEX('Сводный годовой график'!$BA$4:$BL$14,$C122,MONTH($B$114)))=J$3,1,0)</f>
        <v>0</v>
      </c>
      <c r="CQ123" s="58">
        <f>IF(DAY(INDEX('Сводный годовой график'!$BA$4:$BL$14,$C122,MONTH($B$114)))=K$3,1,0)</f>
        <v>0</v>
      </c>
      <c r="CR123" s="58">
        <f>IF(DAY(INDEX('Сводный годовой график'!$BA$4:$BL$14,$C122,MONTH($B$114)))=L$3,1,0)</f>
        <v>0</v>
      </c>
      <c r="CS123" s="58">
        <f>IF(DAY(INDEX('Сводный годовой график'!$BA$4:$BL$14,$C122,MONTH($B$114)))=M$3,1,0)</f>
        <v>0</v>
      </c>
      <c r="CT123" s="58">
        <f>IF(DAY(INDEX('Сводный годовой график'!$BA$4:$BL$14,$C122,MONTH($B$114)))=N$3,1,0)</f>
        <v>0</v>
      </c>
      <c r="CU123" s="58">
        <f>IF(DAY(INDEX('Сводный годовой график'!$BA$4:$BL$14,$C122,MONTH($B$114)))=O$3,1,0)</f>
        <v>0</v>
      </c>
      <c r="CV123" s="58">
        <f>IF(DAY(INDEX('Сводный годовой график'!$BA$4:$BL$14,$C122,MONTH($B$114)))=P$3,1,0)</f>
        <v>0</v>
      </c>
      <c r="CW123" s="58">
        <f>IF(DAY(INDEX('Сводный годовой график'!$BA$4:$BL$14,$C122,MONTH($B$114)))=Q$3,1,0)</f>
        <v>0</v>
      </c>
      <c r="CX123" s="58">
        <f>IF(DAY(INDEX('Сводный годовой график'!$BA$4:$BL$14,$C122,MONTH($B$114)))=R$3,1,0)</f>
        <v>0</v>
      </c>
      <c r="CY123" s="58">
        <f>IF(DAY(INDEX('Сводный годовой график'!$BA$4:$BL$14,$C122,MONTH($B$114)))=S$3,1,0)</f>
        <v>0</v>
      </c>
      <c r="CZ123" s="58">
        <f>IF(DAY(INDEX('Сводный годовой график'!$BA$4:$BL$14,$C122,MONTH($B$114)))=T$3,1,0)</f>
        <v>1</v>
      </c>
      <c r="DA123" s="58">
        <f>IF(DAY(INDEX('Сводный годовой график'!$BA$4:$BL$14,$C122,MONTH($B$114)))=U$3,1,0)</f>
        <v>0</v>
      </c>
      <c r="DB123" s="58">
        <f>IF(DAY(INDEX('Сводный годовой график'!$BA$4:$BL$14,$C122,MONTH($B$114)))=V$3,1,0)</f>
        <v>0</v>
      </c>
      <c r="DC123" s="58">
        <f>IF(DAY(INDEX('Сводный годовой график'!$BA$4:$BL$14,$C122,MONTH($B$114)))=W$3,1,0)</f>
        <v>0</v>
      </c>
      <c r="DD123" s="58">
        <f>IF(DAY(INDEX('Сводный годовой график'!$BA$4:$BL$14,$C122,MONTH($B$114)))=X$3,1,0)</f>
        <v>0</v>
      </c>
      <c r="DE123" s="58">
        <f>IF(DAY(INDEX('Сводный годовой график'!$BA$4:$BL$14,$C122,MONTH($B$114)))=Y$3,1,0)</f>
        <v>0</v>
      </c>
      <c r="DF123" s="58">
        <f>IF(DAY(INDEX('Сводный годовой график'!$BA$4:$BL$14,$C122,MONTH($B$114)))=Z$3,1,0)</f>
        <v>0</v>
      </c>
      <c r="DG123" s="58">
        <f>IF(DAY(INDEX('Сводный годовой график'!$BA$4:$BL$14,$C122,MONTH($B$114)))=AA$3,1,0)</f>
        <v>0</v>
      </c>
      <c r="DH123" s="58">
        <f>IF(DAY(INDEX('Сводный годовой график'!$BA$4:$BL$14,$C122,MONTH($B$114)))=AB$3,1,0)</f>
        <v>0</v>
      </c>
      <c r="DI123" s="58">
        <f>IF(DAY(INDEX('Сводный годовой график'!$BA$4:$BL$14,$C122,MONTH($B$114)))=AC$3,1,0)</f>
        <v>0</v>
      </c>
      <c r="DJ123" s="58">
        <f>IF(DAY(INDEX('Сводный годовой график'!$BA$4:$BL$14,$C122,MONTH($B$114)))=AD$3,1,0)</f>
        <v>0</v>
      </c>
      <c r="DK123" s="58">
        <f>IF(DAY(INDEX('Сводный годовой график'!$BA$4:$BL$14,$C122,MONTH($B$114)))=AE$3,1,0)</f>
        <v>0</v>
      </c>
      <c r="DL123" s="58">
        <f>IF(DAY(INDEX('Сводный годовой график'!$BA$4:$BL$14,$C122,MONTH($B$114)))=AF$3,1,0)</f>
        <v>0</v>
      </c>
      <c r="DM123" s="58">
        <f>IF(DAY(INDEX('Сводный годовой график'!$BA$4:$BL$14,$C122,MONTH($B$114)))=AG$3,1,0)</f>
        <v>0</v>
      </c>
      <c r="DN123" s="58">
        <f>IF(DAY(INDEX('Сводный годовой график'!$BA$4:$BL$14,$C122,MONTH($B$114)))=AH$3,1,0)</f>
        <v>0</v>
      </c>
      <c r="DO123" s="58">
        <f>IF(DAY(INDEX('Сводный годовой график'!$BA$4:$BL$14,$C122,MONTH($B$114)))=AI$3,1,0)</f>
        <v>0</v>
      </c>
    </row>
    <row r="124" spans="2:119" ht="24.95" customHeight="1" thickTop="1" thickBot="1" x14ac:dyDescent="0.3">
      <c r="B124" s="182" t="s">
        <v>38</v>
      </c>
      <c r="C124" s="184">
        <v>1</v>
      </c>
      <c r="D124" s="185"/>
      <c r="E124" s="185"/>
      <c r="F124" s="185"/>
      <c r="G124" s="185"/>
      <c r="H124" s="185"/>
      <c r="I124" s="185"/>
      <c r="J124" s="185"/>
      <c r="K124" s="185"/>
      <c r="L124" s="185"/>
      <c r="M124" s="185"/>
      <c r="N124" s="185"/>
      <c r="O124" s="185"/>
      <c r="P124" s="185"/>
      <c r="Q124" s="185"/>
      <c r="R124" s="185"/>
      <c r="S124" s="185"/>
      <c r="T124" s="185"/>
      <c r="U124" s="185"/>
      <c r="V124" s="185"/>
      <c r="W124" s="185"/>
      <c r="X124" s="185"/>
      <c r="Y124" s="185"/>
      <c r="Z124" s="185"/>
      <c r="AA124" s="185"/>
      <c r="AB124" s="185"/>
      <c r="AC124" s="185"/>
      <c r="AD124" s="185"/>
      <c r="AE124" s="185"/>
      <c r="AF124" s="185"/>
      <c r="AG124" s="185"/>
      <c r="AH124" s="185"/>
      <c r="AI124" s="186"/>
      <c r="AJ124" s="187">
        <f>IF(SUM($AJ$4:$AJ$123)=SUM(Подключения!H3:H14),SUM($AJ$4:$AJ$123),"!")</f>
        <v>1972</v>
      </c>
      <c r="AK124" s="36">
        <f>AK4+AK14+AK24+AK34+AK44+AK54+AK64+AK74+AK84+AK94+AK104+AK114</f>
        <v>1972</v>
      </c>
      <c r="AL124" s="36">
        <f ca="1">AL4+AL14+AL24+AL34+AL44+AL54+AL64+AL74+AL84+AL94+AL104+AL114</f>
        <v>1104</v>
      </c>
      <c r="AM124" s="36">
        <f ca="1">AM4+AM14+AM24+AM34+AM44+AM54+AM64+AM74+AM84+AM94+AM104+AM114</f>
        <v>68</v>
      </c>
      <c r="AN124" s="36">
        <f ca="1">AN4+AN14+AN24+AN34+AN44+AN54+AN64+AN74+AN84+AN94+AN104+AN114</f>
        <v>-936</v>
      </c>
      <c r="AO124" s="36">
        <f>AO4+AO14+AO24+AO34+AO44+AO54+AO64+AO74+AO84+AO94+AO104+AO114</f>
        <v>72</v>
      </c>
      <c r="AP124" s="36">
        <f ca="1">AP114</f>
        <v>-1008</v>
      </c>
      <c r="AQ124" s="36">
        <f>AQ4+AQ14+AQ24+AQ34+AQ44+AQ54+AQ64+AQ74+AQ84+AQ94+AQ104+AQ114</f>
        <v>30</v>
      </c>
      <c r="AR124" s="37">
        <f>AR4+AR14+AR24+AR34+AR44+AR54+AR64+AR74+AR84+AR94+AR104+AR114</f>
        <v>12</v>
      </c>
    </row>
    <row r="125" spans="2:119" ht="24.95" customHeight="1" thickBot="1" x14ac:dyDescent="0.3">
      <c r="B125" s="182"/>
      <c r="C125" s="190">
        <v>2</v>
      </c>
      <c r="D125" s="191"/>
      <c r="E125" s="191"/>
      <c r="F125" s="191"/>
      <c r="G125" s="191"/>
      <c r="H125" s="191"/>
      <c r="I125" s="191"/>
      <c r="J125" s="191"/>
      <c r="K125" s="191"/>
      <c r="L125" s="191"/>
      <c r="M125" s="191"/>
      <c r="N125" s="191"/>
      <c r="O125" s="191"/>
      <c r="P125" s="191"/>
      <c r="Q125" s="191"/>
      <c r="R125" s="191"/>
      <c r="S125" s="191"/>
      <c r="T125" s="191"/>
      <c r="U125" s="191"/>
      <c r="V125" s="191"/>
      <c r="W125" s="191"/>
      <c r="X125" s="191"/>
      <c r="Y125" s="191"/>
      <c r="Z125" s="191"/>
      <c r="AA125" s="191"/>
      <c r="AB125" s="191"/>
      <c r="AC125" s="191"/>
      <c r="AD125" s="191"/>
      <c r="AE125" s="191"/>
      <c r="AF125" s="191"/>
      <c r="AG125" s="191"/>
      <c r="AH125" s="191"/>
      <c r="AI125" s="192"/>
      <c r="AJ125" s="188"/>
      <c r="AK125" s="38">
        <f>AK6+AK16+AK26+AK36+AK46+AK56+AK66+AK76+AK86+AK96+AK106+AK116</f>
        <v>1972</v>
      </c>
      <c r="AL125" s="38">
        <f ca="1">AL6+AL16+AL26+AL36+AL46+AL56+AL66+AL76+AL86+AL96+AL106+AL116</f>
        <v>1108</v>
      </c>
      <c r="AM125" s="38">
        <f ca="1">AM6+AM16+AM26+AM36+AM46+AM56+AM66+AM76+AM86+AM96+AM106+AM116</f>
        <v>92</v>
      </c>
      <c r="AN125" s="38">
        <f ca="1">AN6+AN16+AN26+AN36+AN46+AN56+AN66+AN76+AN86+AN96+AN106+AN116</f>
        <v>-956</v>
      </c>
      <c r="AO125" s="38">
        <f>AO6+AO16+AO26+AO36+AO46+AO56+AO66+AO76+AO86+AO96+AO106+AO116</f>
        <v>60</v>
      </c>
      <c r="AP125" s="38">
        <f ca="1">AP116</f>
        <v>-1016</v>
      </c>
      <c r="AQ125" s="38">
        <f>AQ6+AQ16+AQ26+AQ36+AQ46+AQ56+AQ66+AQ76+AQ86+AQ96+AQ106+AQ116</f>
        <v>30</v>
      </c>
      <c r="AR125" s="39">
        <f>AR6+AR16+AR26+AR36+AR46+AR56+AR66+AR76+AR86+AR96+AR106+AR116</f>
        <v>12</v>
      </c>
    </row>
    <row r="126" spans="2:119" ht="24.95" customHeight="1" thickBot="1" x14ac:dyDescent="0.3">
      <c r="B126" s="182"/>
      <c r="C126" s="190">
        <v>3</v>
      </c>
      <c r="D126" s="191"/>
      <c r="E126" s="191"/>
      <c r="F126" s="191"/>
      <c r="G126" s="191"/>
      <c r="H126" s="191"/>
      <c r="I126" s="191"/>
      <c r="J126" s="191"/>
      <c r="K126" s="191"/>
      <c r="L126" s="191"/>
      <c r="M126" s="191"/>
      <c r="N126" s="191"/>
      <c r="O126" s="191"/>
      <c r="P126" s="191"/>
      <c r="Q126" s="191"/>
      <c r="R126" s="191"/>
      <c r="S126" s="191"/>
      <c r="T126" s="191"/>
      <c r="U126" s="191"/>
      <c r="V126" s="191"/>
      <c r="W126" s="191"/>
      <c r="X126" s="191"/>
      <c r="Y126" s="191"/>
      <c r="Z126" s="191"/>
      <c r="AA126" s="191"/>
      <c r="AB126" s="191"/>
      <c r="AC126" s="191"/>
      <c r="AD126" s="191"/>
      <c r="AE126" s="191"/>
      <c r="AF126" s="191"/>
      <c r="AG126" s="191"/>
      <c r="AH126" s="191"/>
      <c r="AI126" s="192"/>
      <c r="AJ126" s="188"/>
      <c r="AK126" s="38">
        <f>AK8+AK18+AK28+AK38+AK48+AK58+AK68+AK78+AK88+AK98+AK108+AK118</f>
        <v>1972</v>
      </c>
      <c r="AL126" s="38">
        <f ca="1">AL8+AL18+AL28+AL38+AL48+AL58+AL68+AL78+AL88+AL98+AL108+AL118</f>
        <v>1104</v>
      </c>
      <c r="AM126" s="38">
        <f ca="1">AM8+AM18+AM28+AM38+AM48+AM58+AM68+AM78+AM88+AM98+AM108+AM118</f>
        <v>80</v>
      </c>
      <c r="AN126" s="38">
        <f ca="1">AN8+AN18+AN28+AN38+AN48+AN58+AN68+AN78+AN88+AN98+AN108+AN118</f>
        <v>-948</v>
      </c>
      <c r="AO126" s="38">
        <f>AO8+AO18+AO28+AO38+AO48+AO58+AO68+AO78+AO88+AO98+AO108+AO118</f>
        <v>42</v>
      </c>
      <c r="AP126" s="38">
        <f ca="1">AP118</f>
        <v>-990</v>
      </c>
      <c r="AQ126" s="38">
        <f>AQ8+AQ18+AQ28+AQ38+AQ48+AQ58+AQ68+AQ78+AQ88+AQ98+AQ108+AQ118</f>
        <v>30</v>
      </c>
      <c r="AR126" s="39">
        <f>AR8+AR18+AR28+AR38+AR48+AR58+AR68+AR78+AR88+AR98+AR108+AR118</f>
        <v>11</v>
      </c>
    </row>
    <row r="127" spans="2:119" ht="24.95" customHeight="1" thickBot="1" x14ac:dyDescent="0.3">
      <c r="B127" s="182"/>
      <c r="C127" s="190">
        <v>4</v>
      </c>
      <c r="D127" s="191"/>
      <c r="E127" s="191"/>
      <c r="F127" s="191"/>
      <c r="G127" s="191"/>
      <c r="H127" s="191"/>
      <c r="I127" s="191"/>
      <c r="J127" s="191"/>
      <c r="K127" s="191"/>
      <c r="L127" s="191"/>
      <c r="M127" s="191"/>
      <c r="N127" s="191"/>
      <c r="O127" s="191"/>
      <c r="P127" s="191"/>
      <c r="Q127" s="191"/>
      <c r="R127" s="191"/>
      <c r="S127" s="191"/>
      <c r="T127" s="191"/>
      <c r="U127" s="191"/>
      <c r="V127" s="191"/>
      <c r="W127" s="191"/>
      <c r="X127" s="191"/>
      <c r="Y127" s="191"/>
      <c r="Z127" s="191"/>
      <c r="AA127" s="191"/>
      <c r="AB127" s="191"/>
      <c r="AC127" s="191"/>
      <c r="AD127" s="191"/>
      <c r="AE127" s="191"/>
      <c r="AF127" s="191"/>
      <c r="AG127" s="191"/>
      <c r="AH127" s="191"/>
      <c r="AI127" s="192"/>
      <c r="AJ127" s="188"/>
      <c r="AK127" s="38">
        <f>AK10+AK20+AK30+AK40+AK50+AK60+AK70+AK80+AK90+AK100+AK110+AK120</f>
        <v>1972</v>
      </c>
      <c r="AL127" s="38">
        <f ca="1">AL10+AL20+AL30+AL40+AL50+AL60+AL70+AL80+AL90+AL100+AL110+AL120</f>
        <v>1092</v>
      </c>
      <c r="AM127" s="38">
        <f ca="1">AM10+AM20+AM30+AM40+AM50+AM60+AM70+AM80+AM90+AM100+AM110+AM120</f>
        <v>88</v>
      </c>
      <c r="AN127" s="38">
        <f ca="1">AN10+AN20+AN30+AN40+AN50+AN60+AN70+AN80+AN90+AN100+AN110+AN120</f>
        <v>-968</v>
      </c>
      <c r="AO127" s="38">
        <f>AO10+AO20+AO30+AO40+AO50+AO60+AO70+AO80+AO90+AO100+AO110+AO120</f>
        <v>0</v>
      </c>
      <c r="AP127" s="38">
        <f ca="1">AP120</f>
        <v>-968</v>
      </c>
      <c r="AQ127" s="38">
        <f>AQ10+AQ20+AQ30+AQ40+AQ50+AQ60+AQ70+AQ80+AQ90+AQ100+AQ110+AQ120</f>
        <v>30</v>
      </c>
      <c r="AR127" s="39">
        <f>AR10+AR20+AR30+AR40+AR50+AR60+AR70+AR80+AR90+AR100+AR110+AR120</f>
        <v>11</v>
      </c>
    </row>
    <row r="128" spans="2:119" ht="24.95" customHeight="1" thickBot="1" x14ac:dyDescent="0.3">
      <c r="B128" s="183"/>
      <c r="C128" s="193">
        <v>5</v>
      </c>
      <c r="D128" s="194"/>
      <c r="E128" s="194"/>
      <c r="F128" s="194"/>
      <c r="G128" s="194"/>
      <c r="H128" s="194"/>
      <c r="I128" s="194"/>
      <c r="J128" s="194"/>
      <c r="K128" s="194"/>
      <c r="L128" s="194"/>
      <c r="M128" s="194"/>
      <c r="N128" s="194"/>
      <c r="O128" s="194"/>
      <c r="P128" s="194"/>
      <c r="Q128" s="194"/>
      <c r="R128" s="194"/>
      <c r="S128" s="194"/>
      <c r="T128" s="194"/>
      <c r="U128" s="194"/>
      <c r="V128" s="194"/>
      <c r="W128" s="194"/>
      <c r="X128" s="194"/>
      <c r="Y128" s="194"/>
      <c r="Z128" s="194"/>
      <c r="AA128" s="194"/>
      <c r="AB128" s="194"/>
      <c r="AC128" s="194"/>
      <c r="AD128" s="194"/>
      <c r="AE128" s="194"/>
      <c r="AF128" s="194"/>
      <c r="AG128" s="194"/>
      <c r="AH128" s="194"/>
      <c r="AI128" s="195"/>
      <c r="AJ128" s="189"/>
      <c r="AK128" s="40">
        <f>AK12+AK22+AK32+AK42+AK52+AK62+AK72+AK82+AK92+AK102+AK112+AK122</f>
        <v>1972</v>
      </c>
      <c r="AL128" s="40">
        <f>AL12+AL22+AL32+AL42+AL52+AL62+AL72+AL82+AL92+AL102+AL112+AL122</f>
        <v>0</v>
      </c>
      <c r="AM128" s="40">
        <f>AM12+AM22+AM32+AM42+AM52+AM62+AM72+AM82+AM92+AM102+AM112+AM122</f>
        <v>0</v>
      </c>
      <c r="AN128" s="40">
        <f>AN12+AN22+AN32+AN42+AN52+AN62+AN72+AN82+AN92+AN102+AN112+AN122</f>
        <v>-1972</v>
      </c>
      <c r="AO128" s="40">
        <f>AO12+AO22+AO32+AO42+AO52+AO62+AO72+AO82+AO92+AO102+AO112+AO122</f>
        <v>72</v>
      </c>
      <c r="AP128" s="40">
        <f>AP122</f>
        <v>-2044</v>
      </c>
      <c r="AQ128" s="40">
        <f>AQ12+AQ22+AQ32+AQ42+AQ52+AQ62+AQ72+AQ82+AQ92+AQ102+AQ112+AQ122</f>
        <v>30</v>
      </c>
      <c r="AR128" s="41">
        <f>AR12+AR22+AR32+AR42+AR52+AR62+AR72+AR82+AR92+AR102+AR112+AR122</f>
        <v>11</v>
      </c>
    </row>
    <row r="129" spans="3:42" ht="15.75" thickTop="1" x14ac:dyDescent="0.25"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</row>
  </sheetData>
  <autoFilter ref="B2:AR128" xr:uid="{00000000-0001-0000-0600-000000000000}"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</autoFilter>
  <mergeCells count="584">
    <mergeCell ref="AL118:AL119"/>
    <mergeCell ref="AK118:AK119"/>
    <mergeCell ref="AP116:AP117"/>
    <mergeCell ref="AO116:AO117"/>
    <mergeCell ref="C120:C121"/>
    <mergeCell ref="C122:C123"/>
    <mergeCell ref="C118:C119"/>
    <mergeCell ref="AL120:AL121"/>
    <mergeCell ref="AK120:AK121"/>
    <mergeCell ref="AR122:AR123"/>
    <mergeCell ref="AQ122:AQ123"/>
    <mergeCell ref="AP122:AP123"/>
    <mergeCell ref="AO122:AO123"/>
    <mergeCell ref="AN122:AN123"/>
    <mergeCell ref="AM122:AM123"/>
    <mergeCell ref="AL122:AL123"/>
    <mergeCell ref="AK122:AK123"/>
    <mergeCell ref="AR120:AR121"/>
    <mergeCell ref="AR118:AR119"/>
    <mergeCell ref="AQ118:AQ119"/>
    <mergeCell ref="AR116:AR117"/>
    <mergeCell ref="AQ116:AQ117"/>
    <mergeCell ref="AQ120:AQ121"/>
    <mergeCell ref="AP120:AP121"/>
    <mergeCell ref="AO120:AO121"/>
    <mergeCell ref="AN120:AN121"/>
    <mergeCell ref="AM120:AM121"/>
    <mergeCell ref="AP118:AP119"/>
    <mergeCell ref="AO118:AO119"/>
    <mergeCell ref="AN118:AN119"/>
    <mergeCell ref="AM118:AM119"/>
    <mergeCell ref="AM2:AM3"/>
    <mergeCell ref="AN2:AN3"/>
    <mergeCell ref="AO2:AO3"/>
    <mergeCell ref="AP2:AP3"/>
    <mergeCell ref="AQ2:AQ3"/>
    <mergeCell ref="AR2:AR3"/>
    <mergeCell ref="B2:B3"/>
    <mergeCell ref="C2:C3"/>
    <mergeCell ref="E2:AI2"/>
    <mergeCell ref="AJ2:AJ3"/>
    <mergeCell ref="AK2:AK3"/>
    <mergeCell ref="AL2:AL3"/>
    <mergeCell ref="AN4:AN5"/>
    <mergeCell ref="AO4:AO5"/>
    <mergeCell ref="AP4:AP5"/>
    <mergeCell ref="AQ4:AQ5"/>
    <mergeCell ref="AR4:AR5"/>
    <mergeCell ref="C6:C7"/>
    <mergeCell ref="AK6:AK7"/>
    <mergeCell ref="AL6:AL7"/>
    <mergeCell ref="AM6:AM7"/>
    <mergeCell ref="AN6:AN7"/>
    <mergeCell ref="C4:C5"/>
    <mergeCell ref="AJ4:AJ13"/>
    <mergeCell ref="AK4:AK5"/>
    <mergeCell ref="AL4:AL5"/>
    <mergeCell ref="AM4:AM5"/>
    <mergeCell ref="AO6:AO7"/>
    <mergeCell ref="AP6:AP7"/>
    <mergeCell ref="AQ6:AQ7"/>
    <mergeCell ref="AR6:AR7"/>
    <mergeCell ref="C8:C9"/>
    <mergeCell ref="AK8:AK9"/>
    <mergeCell ref="AL8:AL9"/>
    <mergeCell ref="AM8:AM9"/>
    <mergeCell ref="AN8:AN9"/>
    <mergeCell ref="AO8:AO9"/>
    <mergeCell ref="AP8:AP9"/>
    <mergeCell ref="AQ8:AQ9"/>
    <mergeCell ref="AR8:AR9"/>
    <mergeCell ref="C10:C11"/>
    <mergeCell ref="AK10:AK11"/>
    <mergeCell ref="AL10:AL11"/>
    <mergeCell ref="AM10:AM11"/>
    <mergeCell ref="AN10:AN11"/>
    <mergeCell ref="AO10:AO11"/>
    <mergeCell ref="AP10:AP11"/>
    <mergeCell ref="AQ10:AQ11"/>
    <mergeCell ref="AR10:AR11"/>
    <mergeCell ref="C12:C13"/>
    <mergeCell ref="AK12:AK13"/>
    <mergeCell ref="AL12:AL13"/>
    <mergeCell ref="AM12:AM13"/>
    <mergeCell ref="AN12:AN13"/>
    <mergeCell ref="AO12:AO13"/>
    <mergeCell ref="AP12:AP13"/>
    <mergeCell ref="AQ12:AQ13"/>
    <mergeCell ref="AR12:AR13"/>
    <mergeCell ref="B4:B13"/>
    <mergeCell ref="AQ14:AQ15"/>
    <mergeCell ref="AR14:AR15"/>
    <mergeCell ref="C16:C17"/>
    <mergeCell ref="AK16:AK17"/>
    <mergeCell ref="AL16:AL17"/>
    <mergeCell ref="AM16:AM17"/>
    <mergeCell ref="AN16:AN17"/>
    <mergeCell ref="AO16:AO17"/>
    <mergeCell ref="AP16:AP17"/>
    <mergeCell ref="AQ16:AQ17"/>
    <mergeCell ref="AR16:AR17"/>
    <mergeCell ref="B14:B23"/>
    <mergeCell ref="C14:C15"/>
    <mergeCell ref="AJ14:AJ23"/>
    <mergeCell ref="AK14:AK15"/>
    <mergeCell ref="AL14:AL15"/>
    <mergeCell ref="AM14:AM15"/>
    <mergeCell ref="AN14:AN15"/>
    <mergeCell ref="AO14:AO15"/>
    <mergeCell ref="AP14:AP15"/>
    <mergeCell ref="C18:C19"/>
    <mergeCell ref="AK18:AK19"/>
    <mergeCell ref="AL18:AL19"/>
    <mergeCell ref="AQ18:AQ19"/>
    <mergeCell ref="AR18:AR19"/>
    <mergeCell ref="AP20:AP21"/>
    <mergeCell ref="AQ20:AQ21"/>
    <mergeCell ref="AR20:AR21"/>
    <mergeCell ref="C22:C23"/>
    <mergeCell ref="AK22:AK23"/>
    <mergeCell ref="AL22:AL23"/>
    <mergeCell ref="AM22:AM23"/>
    <mergeCell ref="AN22:AN23"/>
    <mergeCell ref="AO22:AO23"/>
    <mergeCell ref="AP22:AP23"/>
    <mergeCell ref="C20:C21"/>
    <mergeCell ref="AK20:AK21"/>
    <mergeCell ref="AL20:AL21"/>
    <mergeCell ref="AM20:AM21"/>
    <mergeCell ref="AN20:AN21"/>
    <mergeCell ref="AO20:AO21"/>
    <mergeCell ref="AQ22:AQ23"/>
    <mergeCell ref="AR22:AR23"/>
    <mergeCell ref="AM18:AM19"/>
    <mergeCell ref="AN18:AN19"/>
    <mergeCell ref="AO18:AO19"/>
    <mergeCell ref="AP18:AP19"/>
    <mergeCell ref="B24:B33"/>
    <mergeCell ref="C24:C25"/>
    <mergeCell ref="AJ24:AJ33"/>
    <mergeCell ref="AK24:AK25"/>
    <mergeCell ref="AL24:AL25"/>
    <mergeCell ref="AM24:AM25"/>
    <mergeCell ref="AN24:AN25"/>
    <mergeCell ref="AO24:AO25"/>
    <mergeCell ref="AP24:AP25"/>
    <mergeCell ref="C28:C29"/>
    <mergeCell ref="AK28:AK29"/>
    <mergeCell ref="AL28:AL29"/>
    <mergeCell ref="AM28:AM29"/>
    <mergeCell ref="AN28:AN29"/>
    <mergeCell ref="AO28:AO29"/>
    <mergeCell ref="AP28:AP29"/>
    <mergeCell ref="AP32:AP33"/>
    <mergeCell ref="AQ24:AQ25"/>
    <mergeCell ref="AR24:AR25"/>
    <mergeCell ref="C26:C27"/>
    <mergeCell ref="AK26:AK27"/>
    <mergeCell ref="AL26:AL27"/>
    <mergeCell ref="AM26:AM27"/>
    <mergeCell ref="AN26:AN27"/>
    <mergeCell ref="AO26:AO27"/>
    <mergeCell ref="AP26:AP27"/>
    <mergeCell ref="AQ26:AQ27"/>
    <mergeCell ref="AR26:AR27"/>
    <mergeCell ref="AQ28:AQ29"/>
    <mergeCell ref="AR28:AR29"/>
    <mergeCell ref="C30:C31"/>
    <mergeCell ref="AK30:AK31"/>
    <mergeCell ref="AL30:AL31"/>
    <mergeCell ref="AM30:AM31"/>
    <mergeCell ref="AN30:AN31"/>
    <mergeCell ref="AO30:AO31"/>
    <mergeCell ref="AP30:AP31"/>
    <mergeCell ref="AQ30:AQ31"/>
    <mergeCell ref="AR30:AR31"/>
    <mergeCell ref="AQ32:AQ33"/>
    <mergeCell ref="AR32:AR33"/>
    <mergeCell ref="B34:B43"/>
    <mergeCell ref="C34:C35"/>
    <mergeCell ref="AJ34:AJ43"/>
    <mergeCell ref="AK34:AK35"/>
    <mergeCell ref="AL34:AL35"/>
    <mergeCell ref="AM34:AM35"/>
    <mergeCell ref="AN34:AN35"/>
    <mergeCell ref="C32:C33"/>
    <mergeCell ref="AK32:AK33"/>
    <mergeCell ref="AL32:AL33"/>
    <mergeCell ref="AM32:AM33"/>
    <mergeCell ref="AN32:AN33"/>
    <mergeCell ref="AO32:AO33"/>
    <mergeCell ref="AO34:AO35"/>
    <mergeCell ref="AP34:AP35"/>
    <mergeCell ref="AQ34:AQ35"/>
    <mergeCell ref="AR34:AR35"/>
    <mergeCell ref="C36:C37"/>
    <mergeCell ref="AK36:AK37"/>
    <mergeCell ref="AL36:AL37"/>
    <mergeCell ref="AM36:AM37"/>
    <mergeCell ref="AN36:AN37"/>
    <mergeCell ref="AO36:AO37"/>
    <mergeCell ref="AP36:AP37"/>
    <mergeCell ref="AQ36:AQ37"/>
    <mergeCell ref="AR36:AR37"/>
    <mergeCell ref="C38:C39"/>
    <mergeCell ref="AK38:AK39"/>
    <mergeCell ref="AL38:AL39"/>
    <mergeCell ref="AM38:AM39"/>
    <mergeCell ref="AN38:AN39"/>
    <mergeCell ref="AO38:AO39"/>
    <mergeCell ref="AP38:AP39"/>
    <mergeCell ref="AQ38:AQ39"/>
    <mergeCell ref="AR38:AR39"/>
    <mergeCell ref="C40:C41"/>
    <mergeCell ref="AK40:AK41"/>
    <mergeCell ref="AL40:AL41"/>
    <mergeCell ref="AM40:AM41"/>
    <mergeCell ref="AN40:AN41"/>
    <mergeCell ref="AO40:AO41"/>
    <mergeCell ref="AP40:AP41"/>
    <mergeCell ref="AQ40:AQ41"/>
    <mergeCell ref="AR40:AR41"/>
    <mergeCell ref="C42:C43"/>
    <mergeCell ref="AK42:AK43"/>
    <mergeCell ref="AL42:AL43"/>
    <mergeCell ref="AM42:AM43"/>
    <mergeCell ref="AN42:AN43"/>
    <mergeCell ref="AO42:AO43"/>
    <mergeCell ref="AP42:AP43"/>
    <mergeCell ref="AQ42:AQ43"/>
    <mergeCell ref="AR42:AR43"/>
    <mergeCell ref="AN44:AN45"/>
    <mergeCell ref="AO44:AO45"/>
    <mergeCell ref="AP44:AP45"/>
    <mergeCell ref="AQ44:AQ45"/>
    <mergeCell ref="AR44:AR45"/>
    <mergeCell ref="C46:C47"/>
    <mergeCell ref="AK46:AK47"/>
    <mergeCell ref="AL46:AL47"/>
    <mergeCell ref="AM46:AM47"/>
    <mergeCell ref="AN46:AN47"/>
    <mergeCell ref="C44:C45"/>
    <mergeCell ref="AJ44:AJ53"/>
    <mergeCell ref="AK44:AK45"/>
    <mergeCell ref="AL44:AL45"/>
    <mergeCell ref="AM44:AM45"/>
    <mergeCell ref="AO46:AO47"/>
    <mergeCell ref="AP46:AP47"/>
    <mergeCell ref="AQ46:AQ47"/>
    <mergeCell ref="AR46:AR47"/>
    <mergeCell ref="C48:C49"/>
    <mergeCell ref="AK48:AK49"/>
    <mergeCell ref="AL48:AL49"/>
    <mergeCell ref="AM48:AM49"/>
    <mergeCell ref="AN48:AN49"/>
    <mergeCell ref="AO48:AO49"/>
    <mergeCell ref="AP48:AP49"/>
    <mergeCell ref="AQ48:AQ49"/>
    <mergeCell ref="AR48:AR49"/>
    <mergeCell ref="C50:C51"/>
    <mergeCell ref="AK50:AK51"/>
    <mergeCell ref="AL50:AL51"/>
    <mergeCell ref="AM50:AM51"/>
    <mergeCell ref="AN50:AN51"/>
    <mergeCell ref="AO50:AO51"/>
    <mergeCell ref="AP50:AP51"/>
    <mergeCell ref="AQ50:AQ51"/>
    <mergeCell ref="AR50:AR51"/>
    <mergeCell ref="C52:C53"/>
    <mergeCell ref="AK52:AK53"/>
    <mergeCell ref="AL52:AL53"/>
    <mergeCell ref="AM52:AM53"/>
    <mergeCell ref="AN52:AN53"/>
    <mergeCell ref="AO52:AO53"/>
    <mergeCell ref="AP52:AP53"/>
    <mergeCell ref="AQ52:AQ53"/>
    <mergeCell ref="AR52:AR53"/>
    <mergeCell ref="B44:B53"/>
    <mergeCell ref="AQ54:AQ55"/>
    <mergeCell ref="AR54:AR55"/>
    <mergeCell ref="C56:C57"/>
    <mergeCell ref="AK56:AK57"/>
    <mergeCell ref="AL56:AL57"/>
    <mergeCell ref="AM56:AM57"/>
    <mergeCell ref="AN56:AN57"/>
    <mergeCell ref="AO56:AO57"/>
    <mergeCell ref="AP56:AP57"/>
    <mergeCell ref="AQ56:AQ57"/>
    <mergeCell ref="AR56:AR57"/>
    <mergeCell ref="B54:B63"/>
    <mergeCell ref="C54:C55"/>
    <mergeCell ref="AJ54:AJ63"/>
    <mergeCell ref="AK54:AK55"/>
    <mergeCell ref="AL54:AL55"/>
    <mergeCell ref="AM54:AM55"/>
    <mergeCell ref="AN54:AN55"/>
    <mergeCell ref="AO54:AO55"/>
    <mergeCell ref="AP54:AP55"/>
    <mergeCell ref="C58:C59"/>
    <mergeCell ref="AK58:AK59"/>
    <mergeCell ref="AL58:AL59"/>
    <mergeCell ref="AQ58:AQ59"/>
    <mergeCell ref="AR58:AR59"/>
    <mergeCell ref="AP60:AP61"/>
    <mergeCell ref="AQ60:AQ61"/>
    <mergeCell ref="AR60:AR61"/>
    <mergeCell ref="C62:C63"/>
    <mergeCell ref="AK62:AK63"/>
    <mergeCell ref="AL62:AL63"/>
    <mergeCell ref="AM62:AM63"/>
    <mergeCell ref="AN62:AN63"/>
    <mergeCell ref="AO62:AO63"/>
    <mergeCell ref="AP62:AP63"/>
    <mergeCell ref="C60:C61"/>
    <mergeCell ref="AK60:AK61"/>
    <mergeCell ref="AL60:AL61"/>
    <mergeCell ref="AM60:AM61"/>
    <mergeCell ref="AN60:AN61"/>
    <mergeCell ref="AO60:AO61"/>
    <mergeCell ref="AQ62:AQ63"/>
    <mergeCell ref="AR62:AR63"/>
    <mergeCell ref="AM58:AM59"/>
    <mergeCell ref="AN58:AN59"/>
    <mergeCell ref="AO58:AO59"/>
    <mergeCell ref="AP58:AP59"/>
    <mergeCell ref="B64:B73"/>
    <mergeCell ref="C64:C65"/>
    <mergeCell ref="AJ64:AJ73"/>
    <mergeCell ref="AK64:AK65"/>
    <mergeCell ref="AL64:AL65"/>
    <mergeCell ref="AM64:AM65"/>
    <mergeCell ref="AN64:AN65"/>
    <mergeCell ref="AO64:AO65"/>
    <mergeCell ref="AP64:AP65"/>
    <mergeCell ref="C68:C69"/>
    <mergeCell ref="AK68:AK69"/>
    <mergeCell ref="AL68:AL69"/>
    <mergeCell ref="AM68:AM69"/>
    <mergeCell ref="AN68:AN69"/>
    <mergeCell ref="AO68:AO69"/>
    <mergeCell ref="AP68:AP69"/>
    <mergeCell ref="AP72:AP73"/>
    <mergeCell ref="AQ64:AQ65"/>
    <mergeCell ref="AR64:AR65"/>
    <mergeCell ref="C66:C67"/>
    <mergeCell ref="AK66:AK67"/>
    <mergeCell ref="AL66:AL67"/>
    <mergeCell ref="AM66:AM67"/>
    <mergeCell ref="AN66:AN67"/>
    <mergeCell ref="AO66:AO67"/>
    <mergeCell ref="AP66:AP67"/>
    <mergeCell ref="AQ66:AQ67"/>
    <mergeCell ref="AR66:AR67"/>
    <mergeCell ref="AQ68:AQ69"/>
    <mergeCell ref="AR68:AR69"/>
    <mergeCell ref="C70:C71"/>
    <mergeCell ref="AK70:AK71"/>
    <mergeCell ref="AL70:AL71"/>
    <mergeCell ref="AM70:AM71"/>
    <mergeCell ref="AN70:AN71"/>
    <mergeCell ref="AO70:AO71"/>
    <mergeCell ref="AP70:AP71"/>
    <mergeCell ref="AQ70:AQ71"/>
    <mergeCell ref="AR70:AR71"/>
    <mergeCell ref="AQ72:AQ73"/>
    <mergeCell ref="AR72:AR73"/>
    <mergeCell ref="B74:B83"/>
    <mergeCell ref="C74:C75"/>
    <mergeCell ref="AJ74:AJ83"/>
    <mergeCell ref="AK74:AK75"/>
    <mergeCell ref="AL74:AL75"/>
    <mergeCell ref="AM74:AM75"/>
    <mergeCell ref="AN74:AN75"/>
    <mergeCell ref="C72:C73"/>
    <mergeCell ref="AK72:AK73"/>
    <mergeCell ref="AL72:AL73"/>
    <mergeCell ref="AM72:AM73"/>
    <mergeCell ref="AN72:AN73"/>
    <mergeCell ref="AO72:AO73"/>
    <mergeCell ref="AO74:AO75"/>
    <mergeCell ref="AP74:AP75"/>
    <mergeCell ref="AQ74:AQ75"/>
    <mergeCell ref="AR74:AR75"/>
    <mergeCell ref="C76:C77"/>
    <mergeCell ref="AK76:AK77"/>
    <mergeCell ref="AL76:AL77"/>
    <mergeCell ref="AM76:AM77"/>
    <mergeCell ref="AN76:AN77"/>
    <mergeCell ref="AO76:AO77"/>
    <mergeCell ref="AP76:AP77"/>
    <mergeCell ref="AQ76:AQ77"/>
    <mergeCell ref="AR76:AR77"/>
    <mergeCell ref="C78:C79"/>
    <mergeCell ref="AK78:AK79"/>
    <mergeCell ref="AL78:AL79"/>
    <mergeCell ref="AM78:AM79"/>
    <mergeCell ref="AN78:AN79"/>
    <mergeCell ref="AO78:AO79"/>
    <mergeCell ref="AP78:AP79"/>
    <mergeCell ref="AQ78:AQ79"/>
    <mergeCell ref="AR78:AR79"/>
    <mergeCell ref="C80:C81"/>
    <mergeCell ref="AK80:AK81"/>
    <mergeCell ref="AL80:AL81"/>
    <mergeCell ref="AM80:AM81"/>
    <mergeCell ref="AN80:AN81"/>
    <mergeCell ref="AO80:AO81"/>
    <mergeCell ref="AP80:AP81"/>
    <mergeCell ref="AQ80:AQ81"/>
    <mergeCell ref="AR80:AR81"/>
    <mergeCell ref="C82:C83"/>
    <mergeCell ref="AK82:AK83"/>
    <mergeCell ref="AL82:AL83"/>
    <mergeCell ref="AM82:AM83"/>
    <mergeCell ref="AN82:AN83"/>
    <mergeCell ref="AO82:AO83"/>
    <mergeCell ref="AP82:AP83"/>
    <mergeCell ref="AQ82:AQ83"/>
    <mergeCell ref="AR82:AR83"/>
    <mergeCell ref="AN84:AN85"/>
    <mergeCell ref="AO84:AO85"/>
    <mergeCell ref="AP84:AP85"/>
    <mergeCell ref="AQ84:AQ85"/>
    <mergeCell ref="AR84:AR85"/>
    <mergeCell ref="C86:C87"/>
    <mergeCell ref="AK86:AK87"/>
    <mergeCell ref="AL86:AL87"/>
    <mergeCell ref="AM86:AM87"/>
    <mergeCell ref="AN86:AN87"/>
    <mergeCell ref="C84:C85"/>
    <mergeCell ref="AJ84:AJ93"/>
    <mergeCell ref="AK84:AK85"/>
    <mergeCell ref="AL84:AL85"/>
    <mergeCell ref="AM84:AM85"/>
    <mergeCell ref="AO86:AO87"/>
    <mergeCell ref="AP86:AP87"/>
    <mergeCell ref="AQ86:AQ87"/>
    <mergeCell ref="AR86:AR87"/>
    <mergeCell ref="C88:C89"/>
    <mergeCell ref="AK88:AK89"/>
    <mergeCell ref="AL88:AL89"/>
    <mergeCell ref="AM88:AM89"/>
    <mergeCell ref="AN88:AN89"/>
    <mergeCell ref="AR92:AR93"/>
    <mergeCell ref="AO88:AO89"/>
    <mergeCell ref="AP88:AP89"/>
    <mergeCell ref="AQ88:AQ89"/>
    <mergeCell ref="AR88:AR89"/>
    <mergeCell ref="C90:C91"/>
    <mergeCell ref="AK90:AK91"/>
    <mergeCell ref="AL90:AL91"/>
    <mergeCell ref="AM90:AM91"/>
    <mergeCell ref="AN90:AN91"/>
    <mergeCell ref="AO90:AO91"/>
    <mergeCell ref="AP90:AP91"/>
    <mergeCell ref="AQ90:AQ91"/>
    <mergeCell ref="AR90:AR91"/>
    <mergeCell ref="C92:C93"/>
    <mergeCell ref="AK92:AK93"/>
    <mergeCell ref="AL92:AL93"/>
    <mergeCell ref="AM92:AM93"/>
    <mergeCell ref="AN92:AN93"/>
    <mergeCell ref="AO92:AO93"/>
    <mergeCell ref="AP92:AP93"/>
    <mergeCell ref="AQ92:AQ93"/>
    <mergeCell ref="AP98:AP99"/>
    <mergeCell ref="B84:B93"/>
    <mergeCell ref="AQ94:AQ95"/>
    <mergeCell ref="AR94:AR95"/>
    <mergeCell ref="C96:C97"/>
    <mergeCell ref="AK96:AK97"/>
    <mergeCell ref="AL96:AL97"/>
    <mergeCell ref="AM96:AM97"/>
    <mergeCell ref="AN96:AN97"/>
    <mergeCell ref="AO96:AO97"/>
    <mergeCell ref="AP96:AP97"/>
    <mergeCell ref="AQ96:AQ97"/>
    <mergeCell ref="AR96:AR97"/>
    <mergeCell ref="B94:B103"/>
    <mergeCell ref="C94:C95"/>
    <mergeCell ref="AJ94:AJ103"/>
    <mergeCell ref="AK94:AK95"/>
    <mergeCell ref="AL94:AL95"/>
    <mergeCell ref="AM94:AM95"/>
    <mergeCell ref="AN94:AN95"/>
    <mergeCell ref="AO94:AO95"/>
    <mergeCell ref="AP94:AP95"/>
    <mergeCell ref="C98:C99"/>
    <mergeCell ref="AK98:AK99"/>
    <mergeCell ref="AL98:AL99"/>
    <mergeCell ref="AQ98:AQ99"/>
    <mergeCell ref="AR98:AR99"/>
    <mergeCell ref="AP100:AP101"/>
    <mergeCell ref="AQ100:AQ101"/>
    <mergeCell ref="AR100:AR101"/>
    <mergeCell ref="C102:C103"/>
    <mergeCell ref="AK102:AK103"/>
    <mergeCell ref="AL102:AL103"/>
    <mergeCell ref="AM102:AM103"/>
    <mergeCell ref="AN102:AN103"/>
    <mergeCell ref="AO102:AO103"/>
    <mergeCell ref="AP102:AP103"/>
    <mergeCell ref="C100:C101"/>
    <mergeCell ref="AK100:AK101"/>
    <mergeCell ref="AL100:AL101"/>
    <mergeCell ref="AM100:AM101"/>
    <mergeCell ref="AN100:AN101"/>
    <mergeCell ref="AO100:AO101"/>
    <mergeCell ref="AQ102:AQ103"/>
    <mergeCell ref="AR102:AR103"/>
    <mergeCell ref="AM98:AM99"/>
    <mergeCell ref="AN98:AN99"/>
    <mergeCell ref="AO98:AO99"/>
    <mergeCell ref="AR106:AR107"/>
    <mergeCell ref="C104:C105"/>
    <mergeCell ref="AJ104:AJ113"/>
    <mergeCell ref="AK104:AK105"/>
    <mergeCell ref="AL104:AL105"/>
    <mergeCell ref="AM104:AM105"/>
    <mergeCell ref="AN104:AN105"/>
    <mergeCell ref="AO104:AO105"/>
    <mergeCell ref="AP104:AP105"/>
    <mergeCell ref="C108:C109"/>
    <mergeCell ref="AK108:AK109"/>
    <mergeCell ref="AL108:AL109"/>
    <mergeCell ref="AM108:AM109"/>
    <mergeCell ref="AN108:AN109"/>
    <mergeCell ref="AQ112:AQ113"/>
    <mergeCell ref="B104:B113"/>
    <mergeCell ref="AQ108:AQ109"/>
    <mergeCell ref="AR108:AR109"/>
    <mergeCell ref="C110:C111"/>
    <mergeCell ref="AK110:AK111"/>
    <mergeCell ref="AL110:AL111"/>
    <mergeCell ref="AM110:AM111"/>
    <mergeCell ref="AN110:AN111"/>
    <mergeCell ref="AO110:AO111"/>
    <mergeCell ref="AP110:AP111"/>
    <mergeCell ref="AQ110:AQ111"/>
    <mergeCell ref="AR110:AR111"/>
    <mergeCell ref="AO108:AO109"/>
    <mergeCell ref="AP108:AP109"/>
    <mergeCell ref="AQ104:AQ105"/>
    <mergeCell ref="AR104:AR105"/>
    <mergeCell ref="C106:C107"/>
    <mergeCell ref="AK106:AK107"/>
    <mergeCell ref="AL106:AL107"/>
    <mergeCell ref="AM106:AM107"/>
    <mergeCell ref="AN106:AN107"/>
    <mergeCell ref="AO106:AO107"/>
    <mergeCell ref="AP106:AP107"/>
    <mergeCell ref="AQ106:AQ107"/>
    <mergeCell ref="AP112:AP113"/>
    <mergeCell ref="AR112:AR113"/>
    <mergeCell ref="B114:B123"/>
    <mergeCell ref="C114:C115"/>
    <mergeCell ref="AJ114:AJ123"/>
    <mergeCell ref="AK114:AK115"/>
    <mergeCell ref="AL114:AL115"/>
    <mergeCell ref="AM114:AM115"/>
    <mergeCell ref="AN114:AN115"/>
    <mergeCell ref="C112:C113"/>
    <mergeCell ref="AK112:AK113"/>
    <mergeCell ref="AL112:AL113"/>
    <mergeCell ref="AM112:AM113"/>
    <mergeCell ref="AN112:AN113"/>
    <mergeCell ref="AO112:AO113"/>
    <mergeCell ref="AO114:AO115"/>
    <mergeCell ref="AP114:AP115"/>
    <mergeCell ref="AQ114:AQ115"/>
    <mergeCell ref="AR114:AR115"/>
    <mergeCell ref="C116:C117"/>
    <mergeCell ref="AK116:AK117"/>
    <mergeCell ref="AL116:AL117"/>
    <mergeCell ref="AM116:AM117"/>
    <mergeCell ref="AN116:AN117"/>
    <mergeCell ref="B124:B128"/>
    <mergeCell ref="C124:AI124"/>
    <mergeCell ref="AJ124:AJ128"/>
    <mergeCell ref="C125:AI125"/>
    <mergeCell ref="C126:AI126"/>
    <mergeCell ref="C127:AI127"/>
    <mergeCell ref="C128:AI128"/>
    <mergeCell ref="CK2:DO2"/>
  </mergeCells>
  <conditionalFormatting sqref="E4:AI13 E24:AI33 E14:AF23 E44:AI123 E34:AH43">
    <cfRule type="cellIs" dxfId="53" priority="5" operator="equal">
      <formula>"ОТ"</formula>
    </cfRule>
    <cfRule type="cellIs" dxfId="52" priority="6" operator="equal">
      <formula>"СП"</formula>
    </cfRule>
  </conditionalFormatting>
  <conditionalFormatting sqref="E4:AI13 E24:AI33 E14:AF23 E44:AI123 E34:AH43">
    <cfRule type="cellIs" dxfId="51" priority="4" operator="equal">
      <formula>0</formula>
    </cfRule>
  </conditionalFormatting>
  <conditionalFormatting sqref="AH14:AI23">
    <cfRule type="cellIs" dxfId="50" priority="3" operator="equal">
      <formula>0</formula>
    </cfRule>
  </conditionalFormatting>
  <conditionalFormatting sqref="AG14:AG23">
    <cfRule type="cellIs" dxfId="49" priority="2" operator="equal">
      <formula>0</formula>
    </cfRule>
  </conditionalFormatting>
  <conditionalFormatting sqref="AI34:AI43">
    <cfRule type="cellIs" dxfId="48" priority="1" operator="equal">
      <formula>0</formula>
    </cfRule>
  </conditionalFormatting>
  <pageMargins left="0.7" right="0.7" top="0.75" bottom="0.75" header="0.3" footer="0.3"/>
  <pageSetup paperSize="9" scale="2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52" id="{00000000-000E-0000-0600-000046000000}">
            <xm:f>OR(WEEKDAY(DATE($AV$1,MONTH($B$64),E$3),2)&gt;5,ISNUMBER(MATCH(DATE($AV$1,MONTH($B$64),E$3),Подключения!$A$2:$A$1039,0)))</xm:f>
            <x14:dxf>
              <fill>
                <patternFill>
                  <bgColor theme="4" tint="0.59996337778862885"/>
                </patternFill>
              </fill>
            </x14:dxf>
          </x14:cfRule>
          <xm:sqref>E64:AI73</xm:sqref>
        </x14:conditionalFormatting>
        <x14:conditionalFormatting xmlns:xm="http://schemas.microsoft.com/office/excel/2006/main">
          <x14:cfRule type="expression" priority="253" id="{00000000-000E-0000-0600-000045000000}">
            <xm:f>OR(WEEKDAY(DATE($AV$1,MONTH($B$74),E$3),2)&gt;5,ISNUMBER(MATCH(DATE($AV$1,MONTH($B$74),E$3),Подключения!$A$2:$A$1039,0)))</xm:f>
            <x14:dxf>
              <fill>
                <patternFill>
                  <bgColor theme="4" tint="0.59996337778862885"/>
                </patternFill>
              </fill>
            </x14:dxf>
          </x14:cfRule>
          <xm:sqref>E74:AI83</xm:sqref>
        </x14:conditionalFormatting>
        <x14:conditionalFormatting xmlns:xm="http://schemas.microsoft.com/office/excel/2006/main">
          <x14:cfRule type="expression" priority="254" id="{00000000-000E-0000-0600-000044000000}">
            <xm:f>OR(WEEKDAY(DATE($AV$1,MONTH($B$84),E$3),2)&gt;5,ISNUMBER(MATCH(DATE($AV$1,MONTH($B$84),E$3),Подключения!$A$2:$A$1039,0)))</xm:f>
            <x14:dxf>
              <fill>
                <patternFill>
                  <bgColor theme="4" tint="0.59996337778862885"/>
                </patternFill>
              </fill>
            </x14:dxf>
          </x14:cfRule>
          <xm:sqref>E84:AI93</xm:sqref>
        </x14:conditionalFormatting>
        <x14:conditionalFormatting xmlns:xm="http://schemas.microsoft.com/office/excel/2006/main">
          <x14:cfRule type="expression" priority="255" id="{00000000-000E-0000-0600-000043000000}">
            <xm:f>OR(WEEKDAY(DATE($AV$1,MONTH($B$94),E$3),2)&gt;5,ISNUMBER(MATCH(DATE($AV$1,MONTH($B$94),E$3),Подключения!$A$2:$A$1039,0)))</xm:f>
            <x14:dxf>
              <fill>
                <patternFill>
                  <bgColor theme="4" tint="0.59996337778862885"/>
                </patternFill>
              </fill>
            </x14:dxf>
          </x14:cfRule>
          <xm:sqref>E94:AI103</xm:sqref>
        </x14:conditionalFormatting>
        <x14:conditionalFormatting xmlns:xm="http://schemas.microsoft.com/office/excel/2006/main">
          <x14:cfRule type="expression" priority="256" id="{00000000-000E-0000-0600-000042000000}">
            <xm:f>OR(WEEKDAY(DATE($AV$1,MONTH($B$104),E$3),2)&gt;5,ISNUMBER(MATCH(DATE($AV$1,MONTH($B$104),E$3),Подключения!$A$2:$A$1039,0)))</xm:f>
            <x14:dxf>
              <fill>
                <patternFill>
                  <bgColor theme="4" tint="0.59996337778862885"/>
                </patternFill>
              </fill>
            </x14:dxf>
          </x14:cfRule>
          <xm:sqref>E104:AH113</xm:sqref>
        </x14:conditionalFormatting>
        <x14:conditionalFormatting xmlns:xm="http://schemas.microsoft.com/office/excel/2006/main">
          <x14:cfRule type="expression" priority="257" id="{00000000-000E-0000-0600-000041000000}">
            <xm:f>OR(WEEKDAY(DATE($AV$1,MONTH($B$114),E$3),2)&gt;5,ISNUMBER(MATCH(DATE($AV$1,MONTH($B$114),E$3),Подключения!$A$2:$A$1039,0)))</xm:f>
            <x14:dxf>
              <fill>
                <patternFill>
                  <bgColor theme="4" tint="0.59996337778862885"/>
                </patternFill>
              </fill>
            </x14:dxf>
          </x14:cfRule>
          <xm:sqref>E114:AI123</xm:sqref>
        </x14:conditionalFormatting>
        <x14:conditionalFormatting xmlns:xm="http://schemas.microsoft.com/office/excel/2006/main">
          <x14:cfRule type="expression" priority="258" id="{B8E6C04F-5D1B-44B8-BF53-CC7399002703}">
            <xm:f>OR(WEEKDAY(DATE($AV$1,MONTH($B$4),E$3),2)&gt;5,ISNUMBER(MATCH(DATE($AV$1,MONTH($B$4),E$3),Подключения!$A$2:$A$1039,0)))</xm:f>
            <x14:dxf>
              <fill>
                <patternFill>
                  <bgColor theme="3" tint="0.79998168889431442"/>
                </patternFill>
              </fill>
            </x14:dxf>
          </x14:cfRule>
          <xm:sqref>E4:AI13</xm:sqref>
        </x14:conditionalFormatting>
        <x14:conditionalFormatting xmlns:xm="http://schemas.microsoft.com/office/excel/2006/main">
          <x14:cfRule type="expression" priority="259" id="{82C8BFF9-C820-45B8-8F58-A1CB6F1B2256}">
            <xm:f>OR(WEEKDAY(DATE($AV$1,MONTH($B$14),E$3),2)&gt;5,ISNUMBER(MATCH(DATE($AV$1,MONTH($B$14),E$3),Подключения!$A$2:$A$1039,0)))</xm:f>
            <x14:dxf>
              <fill>
                <patternFill>
                  <bgColor theme="3" tint="0.79998168889431442"/>
                </patternFill>
              </fill>
            </x14:dxf>
          </x14:cfRule>
          <xm:sqref>E14:AF23</xm:sqref>
        </x14:conditionalFormatting>
        <x14:conditionalFormatting xmlns:xm="http://schemas.microsoft.com/office/excel/2006/main">
          <x14:cfRule type="expression" priority="260" id="{9E408D4D-D6D4-49A2-B046-AAF1E661EDDF}">
            <xm:f>OR(WEEKDAY(DATE($AV$1,MONTH($B$24),E$3),2)&gt;5,ISNUMBER(MATCH(DATE($AV$1,MONTH($B$24),E$3),Подключения!$A$2:$A$1039,0)))</xm:f>
            <x14:dxf>
              <fill>
                <patternFill>
                  <bgColor theme="3" tint="0.79998168889431442"/>
                </patternFill>
              </fill>
            </x14:dxf>
          </x14:cfRule>
          <xm:sqref>E24:AI33</xm:sqref>
        </x14:conditionalFormatting>
        <x14:conditionalFormatting xmlns:xm="http://schemas.microsoft.com/office/excel/2006/main">
          <x14:cfRule type="expression" priority="261" id="{719F91BF-96A6-4480-B6C3-291D8CB0DFEB}">
            <xm:f>OR(WEEKDAY(DATE($AV$1,MONTH($B$34),E$3),2)&gt;5,ISNUMBER(MATCH(DATE($AV$1,MONTH($B$34),E$3),Подключения!$A$2:$A$1039,0)))</xm:f>
            <x14:dxf>
              <fill>
                <patternFill>
                  <bgColor theme="3" tint="0.79998168889431442"/>
                </patternFill>
              </fill>
            </x14:dxf>
          </x14:cfRule>
          <xm:sqref>E34:AH43</xm:sqref>
        </x14:conditionalFormatting>
        <x14:conditionalFormatting xmlns:xm="http://schemas.microsoft.com/office/excel/2006/main">
          <x14:cfRule type="expression" priority="262" id="{26B7767A-4879-4179-88D5-2E800350CA26}">
            <xm:f>OR(WEEKDAY(DATE($AV$1,MONTH($B$44),E$3),2)&gt;5,ISNUMBER(MATCH(DATE($AV$1,MONTH($B$44),E$3),Подключения!$A$2:$A$1039,0)))</xm:f>
            <x14:dxf>
              <fill>
                <patternFill>
                  <bgColor theme="3" tint="0.79998168889431442"/>
                </patternFill>
              </fill>
            </x14:dxf>
          </x14:cfRule>
          <xm:sqref>E44:AI53</xm:sqref>
        </x14:conditionalFormatting>
        <x14:conditionalFormatting xmlns:xm="http://schemas.microsoft.com/office/excel/2006/main">
          <x14:cfRule type="expression" priority="263" id="{DDDD732D-73AD-45C1-BF54-F46694F2971C}">
            <xm:f>OR(WEEKDAY(DATE($AV$1,MONTH($B$54),E$3),2)&gt;5,ISNUMBER(MATCH(DATE($AV$1,MONTH($B$54),E$3),Подключения!$A$2:$A$1039,0)))</xm:f>
            <x14:dxf>
              <fill>
                <patternFill>
                  <bgColor theme="3" tint="0.79998168889431442"/>
                </patternFill>
              </fill>
            </x14:dxf>
          </x14:cfRule>
          <xm:sqref>E54:AI63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6">
    <tabColor theme="7" tint="-0.249977111117893"/>
    <pageSetUpPr fitToPage="1"/>
  </sheetPr>
  <dimension ref="B1:DO129"/>
  <sheetViews>
    <sheetView zoomScale="70" zoomScaleNormal="70" workbookViewId="0">
      <pane ySplit="3" topLeftCell="A4" activePane="bottomLeft" state="frozen"/>
      <selection activeCell="AY1" sqref="AY1:CC1048576"/>
      <selection pane="bottomLeft" activeCell="AR108" sqref="AR108:AR109"/>
    </sheetView>
  </sheetViews>
  <sheetFormatPr defaultRowHeight="15" x14ac:dyDescent="0.25"/>
  <cols>
    <col min="2" max="3" width="10.7109375" customWidth="1"/>
    <col min="4" max="4" width="4.5703125" customWidth="1"/>
    <col min="5" max="5" width="5.42578125" customWidth="1"/>
    <col min="6" max="6" width="5.140625" customWidth="1"/>
    <col min="7" max="35" width="4.7109375" customWidth="1"/>
    <col min="36" max="42" width="10.7109375" customWidth="1"/>
    <col min="45" max="46" width="10.7109375" bestFit="1" customWidth="1"/>
    <col min="51" max="119" width="2.7109375" customWidth="1"/>
  </cols>
  <sheetData>
    <row r="1" spans="2:119" ht="21.75" thickBot="1" x14ac:dyDescent="0.3">
      <c r="AV1" s="42">
        <f>'Сводный годовой график'!$AX$1</f>
        <v>2025</v>
      </c>
    </row>
    <row r="2" spans="2:119" ht="25.5" customHeight="1" thickTop="1" thickBot="1" x14ac:dyDescent="0.3">
      <c r="B2" s="242" t="s">
        <v>24</v>
      </c>
      <c r="C2" s="244" t="s">
        <v>25</v>
      </c>
      <c r="D2" s="46"/>
      <c r="E2" s="203" t="s">
        <v>26</v>
      </c>
      <c r="F2" s="203"/>
      <c r="G2" s="203"/>
      <c r="H2" s="203"/>
      <c r="I2" s="203"/>
      <c r="J2" s="203"/>
      <c r="K2" s="203"/>
      <c r="L2" s="203"/>
      <c r="M2" s="203"/>
      <c r="N2" s="203"/>
      <c r="O2" s="203"/>
      <c r="P2" s="203"/>
      <c r="Q2" s="203"/>
      <c r="R2" s="203"/>
      <c r="S2" s="203"/>
      <c r="T2" s="203"/>
      <c r="U2" s="203"/>
      <c r="V2" s="203"/>
      <c r="W2" s="203"/>
      <c r="X2" s="203"/>
      <c r="Y2" s="203"/>
      <c r="Z2" s="203"/>
      <c r="AA2" s="203"/>
      <c r="AB2" s="203"/>
      <c r="AC2" s="203"/>
      <c r="AD2" s="203"/>
      <c r="AE2" s="203"/>
      <c r="AF2" s="203"/>
      <c r="AG2" s="203"/>
      <c r="AH2" s="203"/>
      <c r="AI2" s="204"/>
      <c r="AJ2" s="246" t="s">
        <v>27</v>
      </c>
      <c r="AK2" s="248" t="s">
        <v>28</v>
      </c>
      <c r="AL2" s="250" t="s">
        <v>29</v>
      </c>
      <c r="AM2" s="232" t="s">
        <v>30</v>
      </c>
      <c r="AN2" s="234" t="s">
        <v>31</v>
      </c>
      <c r="AO2" s="234" t="s">
        <v>32</v>
      </c>
      <c r="AP2" s="236" t="s">
        <v>33</v>
      </c>
      <c r="AQ2" s="238" t="s">
        <v>34</v>
      </c>
      <c r="AR2" s="240" t="s">
        <v>35</v>
      </c>
      <c r="CK2" s="231" t="s">
        <v>66</v>
      </c>
      <c r="CL2" s="231"/>
      <c r="CM2" s="231"/>
      <c r="CN2" s="231"/>
      <c r="CO2" s="231"/>
      <c r="CP2" s="231"/>
      <c r="CQ2" s="231"/>
      <c r="CR2" s="231"/>
      <c r="CS2" s="231"/>
      <c r="CT2" s="231"/>
      <c r="CU2" s="231"/>
      <c r="CV2" s="231"/>
      <c r="CW2" s="231"/>
      <c r="CX2" s="231"/>
      <c r="CY2" s="231"/>
      <c r="CZ2" s="231"/>
      <c r="DA2" s="231"/>
      <c r="DB2" s="231"/>
      <c r="DC2" s="231"/>
      <c r="DD2" s="231"/>
      <c r="DE2" s="231"/>
      <c r="DF2" s="231"/>
      <c r="DG2" s="231"/>
      <c r="DH2" s="231"/>
      <c r="DI2" s="231"/>
      <c r="DJ2" s="231"/>
      <c r="DK2" s="231"/>
      <c r="DL2" s="231"/>
      <c r="DM2" s="231"/>
      <c r="DN2" s="231"/>
      <c r="DO2" s="231"/>
    </row>
    <row r="3" spans="2:119" ht="27" customHeight="1" thickBot="1" x14ac:dyDescent="0.3">
      <c r="B3" s="243"/>
      <c r="C3" s="245"/>
      <c r="D3" s="47"/>
      <c r="E3" s="43">
        <v>1</v>
      </c>
      <c r="F3" s="44">
        <f>E3+1</f>
        <v>2</v>
      </c>
      <c r="G3" s="44">
        <f t="shared" ref="G3:AH3" si="0">F3+1</f>
        <v>3</v>
      </c>
      <c r="H3" s="44">
        <f t="shared" si="0"/>
        <v>4</v>
      </c>
      <c r="I3" s="44">
        <f t="shared" si="0"/>
        <v>5</v>
      </c>
      <c r="J3" s="44">
        <f t="shared" si="0"/>
        <v>6</v>
      </c>
      <c r="K3" s="44">
        <f t="shared" si="0"/>
        <v>7</v>
      </c>
      <c r="L3" s="44">
        <f t="shared" si="0"/>
        <v>8</v>
      </c>
      <c r="M3" s="44">
        <f t="shared" si="0"/>
        <v>9</v>
      </c>
      <c r="N3" s="44">
        <f t="shared" si="0"/>
        <v>10</v>
      </c>
      <c r="O3" s="44">
        <f t="shared" si="0"/>
        <v>11</v>
      </c>
      <c r="P3" s="44">
        <f t="shared" si="0"/>
        <v>12</v>
      </c>
      <c r="Q3" s="44">
        <f t="shared" si="0"/>
        <v>13</v>
      </c>
      <c r="R3" s="44">
        <f t="shared" si="0"/>
        <v>14</v>
      </c>
      <c r="S3" s="44">
        <f t="shared" si="0"/>
        <v>15</v>
      </c>
      <c r="T3" s="44">
        <f t="shared" si="0"/>
        <v>16</v>
      </c>
      <c r="U3" s="44">
        <f t="shared" si="0"/>
        <v>17</v>
      </c>
      <c r="V3" s="44">
        <f t="shared" si="0"/>
        <v>18</v>
      </c>
      <c r="W3" s="44">
        <f t="shared" si="0"/>
        <v>19</v>
      </c>
      <c r="X3" s="44">
        <f t="shared" si="0"/>
        <v>20</v>
      </c>
      <c r="Y3" s="44">
        <f t="shared" si="0"/>
        <v>21</v>
      </c>
      <c r="Z3" s="44">
        <f t="shared" si="0"/>
        <v>22</v>
      </c>
      <c r="AA3" s="44">
        <f>Z3+1</f>
        <v>23</v>
      </c>
      <c r="AB3" s="44">
        <f t="shared" si="0"/>
        <v>24</v>
      </c>
      <c r="AC3" s="44">
        <f t="shared" si="0"/>
        <v>25</v>
      </c>
      <c r="AD3" s="44">
        <f t="shared" si="0"/>
        <v>26</v>
      </c>
      <c r="AE3" s="44">
        <f t="shared" si="0"/>
        <v>27</v>
      </c>
      <c r="AF3" s="44">
        <f t="shared" si="0"/>
        <v>28</v>
      </c>
      <c r="AG3" s="44">
        <f>AF3+1</f>
        <v>29</v>
      </c>
      <c r="AH3" s="44">
        <f t="shared" si="0"/>
        <v>30</v>
      </c>
      <c r="AI3" s="45">
        <f>AH3+1</f>
        <v>31</v>
      </c>
      <c r="AJ3" s="247"/>
      <c r="AK3" s="249"/>
      <c r="AL3" s="251"/>
      <c r="AM3" s="233"/>
      <c r="AN3" s="235"/>
      <c r="AO3" s="235"/>
      <c r="AP3" s="237"/>
      <c r="AQ3" s="239"/>
      <c r="AR3" s="241"/>
      <c r="CK3">
        <v>1</v>
      </c>
      <c r="CL3">
        <v>2</v>
      </c>
      <c r="CM3">
        <v>3</v>
      </c>
      <c r="CN3">
        <v>4</v>
      </c>
      <c r="CO3">
        <v>5</v>
      </c>
      <c r="CP3">
        <v>6</v>
      </c>
      <c r="CQ3">
        <v>7</v>
      </c>
      <c r="CR3">
        <v>8</v>
      </c>
      <c r="CS3">
        <v>9</v>
      </c>
      <c r="CT3">
        <v>10</v>
      </c>
      <c r="CU3">
        <v>11</v>
      </c>
      <c r="CV3">
        <v>12</v>
      </c>
      <c r="CW3">
        <v>13</v>
      </c>
      <c r="CX3">
        <v>14</v>
      </c>
      <c r="CY3">
        <v>15</v>
      </c>
      <c r="CZ3">
        <v>16</v>
      </c>
      <c r="DA3">
        <v>17</v>
      </c>
      <c r="DB3">
        <v>18</v>
      </c>
      <c r="DC3">
        <v>19</v>
      </c>
      <c r="DD3">
        <v>20</v>
      </c>
      <c r="DE3">
        <v>21</v>
      </c>
      <c r="DF3">
        <v>22</v>
      </c>
      <c r="DG3">
        <v>23</v>
      </c>
      <c r="DH3">
        <v>24</v>
      </c>
      <c r="DI3">
        <v>25</v>
      </c>
      <c r="DJ3">
        <v>26</v>
      </c>
      <c r="DK3">
        <v>27</v>
      </c>
      <c r="DL3">
        <v>28</v>
      </c>
      <c r="DM3">
        <v>29</v>
      </c>
      <c r="DN3">
        <v>30</v>
      </c>
      <c r="DO3">
        <v>31</v>
      </c>
    </row>
    <row r="4" spans="2:119" ht="17.25" customHeight="1" thickTop="1" thickBot="1" x14ac:dyDescent="0.3">
      <c r="B4" s="200">
        <f>DATE($AV$1,1,1)</f>
        <v>45658</v>
      </c>
      <c r="C4" s="196">
        <v>1</v>
      </c>
      <c r="D4" s="81">
        <v>1</v>
      </c>
      <c r="E4" s="92">
        <f ca="1">IF(AND(INDEX('Сводный годовой график'!$C$1:$AR$4,MATCH($C$4,'Сводный годовой график'!$B$1:$B$4),MATCH(DATE($AV$1,MONTH($B$4),E$3),'Сводный годовой график'!$C$5:$AR$5))&lt;&gt;12,INDIRECT(ADDRESS(ROW()+1,COLUMN()))="СП"),8,INDEX('Сводный годовой график'!$C$1:$AR$4,MATCH($C$4,'Сводный годовой график'!$B$1:$B$4),MATCH(DATE($AV$1,MONTH($B$4),E$3),'Сводный годовой график'!$C$5:$AR$5)))</f>
        <v>8</v>
      </c>
      <c r="F4" s="92">
        <f ca="1">IF(AND(INDEX('Сводный годовой график'!$C$1:$AR$4,MATCH($C$4,'Сводный годовой график'!$B$1:$B$4),MATCH(DATE($AV$1,MONTH($B$4),F$3),'Сводный годовой график'!$C$5:$AR$5))&lt;&gt;12,INDIRECT(ADDRESS(ROW()+1,COLUMN()))="СП"),8,INDEX('Сводный годовой график'!$C$1:$AR$4,MATCH($C$4,'Сводный годовой график'!$B$1:$B$4),MATCH(DATE($AV$1,MONTH($B$4),F$3),'Сводный годовой график'!$C$5:$AR$5)))</f>
        <v>0</v>
      </c>
      <c r="G4" s="92">
        <f ca="1">IF(AND(INDEX('Сводный годовой график'!$C$1:$AR$4,MATCH($C$4,'Сводный годовой график'!$B$1:$B$4),MATCH(DATE($AV$1,MONTH($B$4),G$3),'Сводный годовой график'!$C$5:$AR$5))&lt;&gt;12,INDIRECT(ADDRESS(ROW()+1,COLUMN()))="СП"),8,INDEX('Сводный годовой график'!$C$1:$AR$4,MATCH($C$4,'Сводный годовой график'!$B$1:$B$4),MATCH(DATE($AV$1,MONTH($B$4),G$3),'Сводный годовой график'!$C$5:$AR$5)))</f>
        <v>4</v>
      </c>
      <c r="H4" s="92">
        <f ca="1">IF(AND(INDEX('Сводный годовой график'!$C$1:$AR$4,MATCH($C$4,'Сводный годовой график'!$B$1:$B$4),MATCH(DATE($AV$1,MONTH($B$4),H$3),'Сводный годовой график'!$C$5:$AR$5))&lt;&gt;12,INDIRECT(ADDRESS(ROW()+1,COLUMN()))="СП"),8,INDEX('Сводный годовой график'!$C$1:$AR$4,MATCH($C$4,'Сводный годовой график'!$B$1:$B$4),MATCH(DATE($AV$1,MONTH($B$4),H$3),'Сводный годовой график'!$C$5:$AR$5)))</f>
        <v>8</v>
      </c>
      <c r="I4" s="92">
        <f ca="1">IF(AND(INDEX('Сводный годовой график'!$C$1:$AR$4,MATCH($C$4,'Сводный годовой график'!$B$1:$B$4),MATCH(DATE($AV$1,MONTH($B$4),I$3),'Сводный годовой график'!$C$5:$AR$5))&lt;&gt;12,INDIRECT(ADDRESS(ROW()+1,COLUMN()))="СП"),8,INDEX('Сводный годовой график'!$C$1:$AR$4,MATCH($C$4,'Сводный годовой график'!$B$1:$B$4),MATCH(DATE($AV$1,MONTH($B$4),I$3),'Сводный годовой график'!$C$5:$AR$5)))</f>
        <v>12</v>
      </c>
      <c r="J4" s="92">
        <f ca="1">IF(AND(INDEX('Сводный годовой график'!$C$1:$AR$4,MATCH($C$4,'Сводный годовой график'!$B$1:$B$4),MATCH(DATE($AV$1,MONTH($B$4),J$3),'Сводный годовой график'!$C$5:$AR$5))&lt;&gt;12,INDIRECT(ADDRESS(ROW()+1,COLUMN()))="СП"),8,INDEX('Сводный годовой график'!$C$1:$AR$4,MATCH($C$4,'Сводный годовой график'!$B$1:$B$4),MATCH(DATE($AV$1,MONTH($B$4),J$3),'Сводный годовой график'!$C$5:$AR$5)))</f>
        <v>4</v>
      </c>
      <c r="K4" s="92">
        <f ca="1">IF(AND(INDEX('Сводный годовой график'!$C$1:$AR$4,MATCH($C$4,'Сводный годовой график'!$B$1:$B$4),MATCH(DATE($AV$1,MONTH($B$4),K$3),'Сводный годовой график'!$C$5:$AR$5))&lt;&gt;12,INDIRECT(ADDRESS(ROW()+1,COLUMN()))="СП"),8,INDEX('Сводный годовой график'!$C$1:$AR$4,MATCH($C$4,'Сводный годовой график'!$B$1:$B$4),MATCH(DATE($AV$1,MONTH($B$4),K$3),'Сводный годовой график'!$C$5:$AR$5)))</f>
        <v>8</v>
      </c>
      <c r="L4" s="92">
        <f ca="1">IF(AND(INDEX('Сводный годовой график'!$C$1:$AR$4,MATCH($C$4,'Сводный годовой график'!$B$1:$B$4),MATCH(DATE($AV$1,MONTH($B$4),L$3),'Сводный годовой график'!$C$5:$AR$5))&lt;&gt;12,INDIRECT(ADDRESS(ROW()+1,COLUMN()))="СП"),8,INDEX('Сводный годовой график'!$C$1:$AR$4,MATCH($C$4,'Сводный годовой график'!$B$1:$B$4),MATCH(DATE($AV$1,MONTH($B$4),L$3),'Сводный годовой график'!$C$5:$AR$5)))</f>
        <v>12</v>
      </c>
      <c r="M4" s="92">
        <f ca="1">IF(AND(INDEX('Сводный годовой график'!$C$1:$AR$4,MATCH($C$4,'Сводный годовой график'!$B$1:$B$4),MATCH(DATE($AV$1,MONTH($B$4),M$3),'Сводный годовой график'!$C$5:$AR$5))&lt;&gt;12,INDIRECT(ADDRESS(ROW()+1,COLUMN()))="СП"),8,INDEX('Сводный годовой график'!$C$1:$AR$4,MATCH($C$4,'Сводный годовой график'!$B$1:$B$4),MATCH(DATE($AV$1,MONTH($B$4),M$3),'Сводный годовой график'!$C$5:$AR$5)))</f>
        <v>0</v>
      </c>
      <c r="N4" s="92">
        <f ca="1">IF(AND(INDEX('Сводный годовой график'!$C$1:$AR$4,MATCH($C$4,'Сводный годовой график'!$B$1:$B$4),MATCH(DATE($AV$1,MONTH($B$4),N$3),'Сводный годовой график'!$C$5:$AR$5))&lt;&gt;12,INDIRECT(ADDRESS(ROW()+1,COLUMN()))="СП"),8,INDEX('Сводный годовой график'!$C$1:$AR$4,MATCH($C$4,'Сводный годовой график'!$B$1:$B$4),MATCH(DATE($AV$1,MONTH($B$4),N$3),'Сводный годовой график'!$C$5:$AR$5)))</f>
        <v>0</v>
      </c>
      <c r="O4" s="92">
        <f ca="1">IF(AND(INDEX('Сводный годовой график'!$C$1:$AR$4,MATCH($C$4,'Сводный годовой график'!$B$1:$B$4),MATCH(DATE($AV$1,MONTH($B$4),O$3),'Сводный годовой график'!$C$5:$AR$5))&lt;&gt;12,INDIRECT(ADDRESS(ROW()+1,COLUMN()))="СП"),8,INDEX('Сводный годовой график'!$C$1:$AR$4,MATCH($C$4,'Сводный годовой график'!$B$1:$B$4),MATCH(DATE($AV$1,MONTH($B$4),O$3),'Сводный годовой график'!$C$5:$AR$5)))</f>
        <v>4</v>
      </c>
      <c r="P4" s="92">
        <f ca="1">IF(AND(INDEX('Сводный годовой график'!$C$1:$AR$4,MATCH($C$4,'Сводный годовой график'!$B$1:$B$4),MATCH(DATE($AV$1,MONTH($B$4),P$3),'Сводный годовой график'!$C$5:$AR$5))&lt;&gt;12,INDIRECT(ADDRESS(ROW()+1,COLUMN()))="СП"),8,INDEX('Сводный годовой график'!$C$1:$AR$4,MATCH($C$4,'Сводный годовой график'!$B$1:$B$4),MATCH(DATE($AV$1,MONTH($B$4),P$3),'Сводный годовой график'!$C$5:$AR$5)))</f>
        <v>8</v>
      </c>
      <c r="Q4" s="92">
        <f ca="1">IF(AND(INDEX('Сводный годовой график'!$C$1:$AR$4,MATCH($C$4,'Сводный годовой график'!$B$1:$B$4),MATCH(DATE($AV$1,MONTH($B$4),Q$3),'Сводный годовой график'!$C$5:$AR$5))&lt;&gt;12,INDIRECT(ADDRESS(ROW()+1,COLUMN()))="СП"),8,INDEX('Сводный годовой график'!$C$1:$AR$4,MATCH($C$4,'Сводный годовой график'!$B$1:$B$4),MATCH(DATE($AV$1,MONTH($B$4),Q$3),'Сводный годовой график'!$C$5:$AR$5)))</f>
        <v>12</v>
      </c>
      <c r="R4" s="92">
        <f ca="1">IF(AND(INDEX('Сводный годовой график'!$C$1:$AR$4,MATCH($C$4,'Сводный годовой график'!$B$1:$B$4),MATCH(DATE($AV$1,MONTH($B$4),R$3),'Сводный годовой график'!$C$5:$AR$5))&lt;&gt;12,INDIRECT(ADDRESS(ROW()+1,COLUMN()))="СП"),8,INDEX('Сводный годовой график'!$C$1:$AR$4,MATCH($C$4,'Сводный годовой график'!$B$1:$B$4),MATCH(DATE($AV$1,MONTH($B$4),R$3),'Сводный годовой график'!$C$5:$AR$5)))</f>
        <v>4</v>
      </c>
      <c r="S4" s="92">
        <f ca="1">IF(AND(INDEX('Сводный годовой график'!$C$1:$AR$4,MATCH($C$4,'Сводный годовой график'!$B$1:$B$4),MATCH(DATE($AV$1,MONTH($B$4),S$3),'Сводный годовой график'!$C$5:$AR$5))&lt;&gt;12,INDIRECT(ADDRESS(ROW()+1,COLUMN()))="СП"),8,INDEX('Сводный годовой график'!$C$1:$AR$4,MATCH($C$4,'Сводный годовой график'!$B$1:$B$4),MATCH(DATE($AV$1,MONTH($B$4),S$3),'Сводный годовой график'!$C$5:$AR$5)))</f>
        <v>8</v>
      </c>
      <c r="T4" s="92">
        <f ca="1">IF(AND(INDEX('Сводный годовой график'!$C$1:$AR$4,MATCH($C$4,'Сводный годовой график'!$B$1:$B$4),MATCH(DATE($AV$1,MONTH($B$4),T$3),'Сводный годовой график'!$C$5:$AR$5))&lt;&gt;12,INDIRECT(ADDRESS(ROW()+1,COLUMN()))="СП"),8,INDEX('Сводный годовой график'!$C$1:$AR$4,MATCH($C$4,'Сводный годовой график'!$B$1:$B$4),MATCH(DATE($AV$1,MONTH($B$4),T$3),'Сводный годовой график'!$C$5:$AR$5)))</f>
        <v>12</v>
      </c>
      <c r="U4" s="92">
        <f ca="1">IF(AND(INDEX('Сводный годовой график'!$C$1:$AR$4,MATCH($C$4,'Сводный годовой график'!$B$1:$B$4),MATCH(DATE($AV$1,MONTH($B$4),U$3),'Сводный годовой график'!$C$5:$AR$5))&lt;&gt;12,INDIRECT(ADDRESS(ROW()+1,COLUMN()))="СП"),8,INDEX('Сводный годовой график'!$C$1:$AR$4,MATCH($C$4,'Сводный годовой график'!$B$1:$B$4),MATCH(DATE($AV$1,MONTH($B$4),U$3),'Сводный годовой график'!$C$5:$AR$5)))</f>
        <v>0</v>
      </c>
      <c r="V4" s="92">
        <f ca="1">IF(AND(INDEX('Сводный годовой график'!$C$1:$AR$4,MATCH($C$4,'Сводный годовой график'!$B$1:$B$4),MATCH(DATE($AV$1,MONTH($B$4),V$3),'Сводный годовой график'!$C$5:$AR$5))&lt;&gt;12,INDIRECT(ADDRESS(ROW()+1,COLUMN()))="СП"),8,INDEX('Сводный годовой график'!$C$1:$AR$4,MATCH($C$4,'Сводный годовой график'!$B$1:$B$4),MATCH(DATE($AV$1,MONTH($B$4),V$3),'Сводный годовой график'!$C$5:$AR$5)))</f>
        <v>0</v>
      </c>
      <c r="W4" s="92">
        <f ca="1">IF(AND(INDEX('Сводный годовой график'!$C$1:$AR$4,MATCH($C$4,'Сводный годовой график'!$B$1:$B$4),MATCH(DATE($AV$1,MONTH($B$4),W$3),'Сводный годовой график'!$C$5:$AR$5))&lt;&gt;12,INDIRECT(ADDRESS(ROW()+1,COLUMN()))="СП"),8,INDEX('Сводный годовой график'!$C$1:$AR$4,MATCH($C$4,'Сводный годовой график'!$B$1:$B$4),MATCH(DATE($AV$1,MONTH($B$4),W$3),'Сводный годовой график'!$C$5:$AR$5)))</f>
        <v>4</v>
      </c>
      <c r="X4" s="92">
        <f ca="1">IF(AND(INDEX('Сводный годовой график'!$C$1:$AR$4,MATCH($C$4,'Сводный годовой график'!$B$1:$B$4),MATCH(DATE($AV$1,MONTH($B$4),X$3),'Сводный годовой график'!$C$5:$AR$5))&lt;&gt;12,INDIRECT(ADDRESS(ROW()+1,COLUMN()))="СП"),8,INDEX('Сводный годовой график'!$C$1:$AR$4,MATCH($C$4,'Сводный годовой график'!$B$1:$B$4),MATCH(DATE($AV$1,MONTH($B$4),X$3),'Сводный годовой график'!$C$5:$AR$5)))</f>
        <v>8</v>
      </c>
      <c r="Y4" s="92">
        <f ca="1">IF(AND(INDEX('Сводный годовой график'!$C$1:$AR$4,MATCH($C$4,'Сводный годовой график'!$B$1:$B$4),MATCH(DATE($AV$1,MONTH($B$4),Y$3),'Сводный годовой график'!$C$5:$AR$5))&lt;&gt;12,INDIRECT(ADDRESS(ROW()+1,COLUMN()))="СП"),8,INDEX('Сводный годовой график'!$C$1:$AR$4,MATCH($C$4,'Сводный годовой график'!$B$1:$B$4),MATCH(DATE($AV$1,MONTH($B$4),Y$3),'Сводный годовой график'!$C$5:$AR$5)))</f>
        <v>12</v>
      </c>
      <c r="Z4" s="92">
        <f ca="1">IF(AND(INDEX('Сводный годовой график'!$C$1:$AR$4,MATCH($C$4,'Сводный годовой график'!$B$1:$B$4),MATCH(DATE($AV$1,MONTH($B$4),Z$3),'Сводный годовой график'!$C$5:$AR$5))&lt;&gt;12,INDIRECT(ADDRESS(ROW()+1,COLUMN()))="СП"),8,INDEX('Сводный годовой график'!$C$1:$AR$4,MATCH($C$4,'Сводный годовой график'!$B$1:$B$4),MATCH(DATE($AV$1,MONTH($B$4),Z$3),'Сводный годовой график'!$C$5:$AR$5)))</f>
        <v>4</v>
      </c>
      <c r="AA4" s="92">
        <f ca="1">IF(AND(INDEX('Сводный годовой график'!$C$1:$AR$4,MATCH($C$4,'Сводный годовой график'!$B$1:$B$4),MATCH(DATE($AV$1,MONTH($B$4),AA$3),'Сводный годовой график'!$C$5:$AR$5))&lt;&gt;12,INDIRECT(ADDRESS(ROW()+1,COLUMN()))="СП"),8,INDEX('Сводный годовой график'!$C$1:$AR$4,MATCH($C$4,'Сводный годовой график'!$B$1:$B$4),MATCH(DATE($AV$1,MONTH($B$4),AA$3),'Сводный годовой график'!$C$5:$AR$5)))</f>
        <v>8</v>
      </c>
      <c r="AB4" s="92">
        <f ca="1">IF(AND(INDEX('Сводный годовой график'!$C$1:$AR$4,MATCH($C$4,'Сводный годовой график'!$B$1:$B$4),MATCH(DATE($AV$1,MONTH($B$4),AB$3),'Сводный годовой график'!$C$5:$AR$5))&lt;&gt;12,INDIRECT(ADDRESS(ROW()+1,COLUMN()))="СП"),8,INDEX('Сводный годовой график'!$C$1:$AR$4,MATCH($C$4,'Сводный годовой график'!$B$1:$B$4),MATCH(DATE($AV$1,MONTH($B$4),AB$3),'Сводный годовой график'!$C$5:$AR$5)))</f>
        <v>12</v>
      </c>
      <c r="AC4" s="92">
        <f ca="1">IF(AND(INDEX('Сводный годовой график'!$C$1:$AR$4,MATCH($C$4,'Сводный годовой график'!$B$1:$B$4),MATCH(DATE($AV$1,MONTH($B$4),AC$3),'Сводный годовой график'!$C$5:$AR$5))&lt;&gt;12,INDIRECT(ADDRESS(ROW()+1,COLUMN()))="СП"),8,INDEX('Сводный годовой график'!$C$1:$AR$4,MATCH($C$4,'Сводный годовой график'!$B$1:$B$4),MATCH(DATE($AV$1,MONTH($B$4),AC$3),'Сводный годовой график'!$C$5:$AR$5)))</f>
        <v>0</v>
      </c>
      <c r="AD4" s="92">
        <f ca="1">IF(AND(INDEX('Сводный годовой график'!$C$1:$AR$4,MATCH($C$4,'Сводный годовой график'!$B$1:$B$4),MATCH(DATE($AV$1,MONTH($B$4),AD$3),'Сводный годовой график'!$C$5:$AR$5))&lt;&gt;12,INDIRECT(ADDRESS(ROW()+1,COLUMN()))="СП"),8,INDEX('Сводный годовой график'!$C$1:$AR$4,MATCH($C$4,'Сводный годовой график'!$B$1:$B$4),MATCH(DATE($AV$1,MONTH($B$4),AD$3),'Сводный годовой график'!$C$5:$AR$5)))</f>
        <v>0</v>
      </c>
      <c r="AE4" s="92">
        <f ca="1">IF(AND(INDEX('Сводный годовой график'!$C$1:$AR$4,MATCH($C$4,'Сводный годовой график'!$B$1:$B$4),MATCH(DATE($AV$1,MONTH($B$4),AE$3),'Сводный годовой график'!$C$5:$AR$5))&lt;&gt;12,INDIRECT(ADDRESS(ROW()+1,COLUMN()))="СП"),8,INDEX('Сводный годовой график'!$C$1:$AR$4,MATCH($C$4,'Сводный годовой график'!$B$1:$B$4),MATCH(DATE($AV$1,MONTH($B$4),AE$3),'Сводный годовой график'!$C$5:$AR$5)))</f>
        <v>4</v>
      </c>
      <c r="AF4" s="92">
        <f ca="1">IF(AND(INDEX('Сводный годовой график'!$C$1:$AR$4,MATCH($C$4,'Сводный годовой график'!$B$1:$B$4),MATCH(DATE($AV$1,MONTH($B$4),AF$3),'Сводный годовой график'!$C$5:$AR$5))&lt;&gt;12,INDIRECT(ADDRESS(ROW()+1,COLUMN()))="СП"),8,INDEX('Сводный годовой график'!$C$1:$AR$4,MATCH($C$4,'Сводный годовой график'!$B$1:$B$4),MATCH(DATE($AV$1,MONTH($B$4),AF$3),'Сводный годовой график'!$C$5:$AR$5)))</f>
        <v>8</v>
      </c>
      <c r="AG4" s="92">
        <f ca="1">IF(AND(INDEX('Сводный годовой график'!$C$1:$AR$4,MATCH($C$4,'Сводный годовой график'!$B$1:$B$4),MATCH(DATE($AV$1,MONTH($B$4),AG$3),'Сводный годовой график'!$C$5:$AR$5))&lt;&gt;12,INDIRECT(ADDRESS(ROW()+1,COLUMN()))="СП"),8,INDEX('Сводный годовой график'!$C$1:$AR$4,MATCH($C$4,'Сводный годовой график'!$B$1:$B$4),MATCH(DATE($AV$1,MONTH($B$4),AG$3),'Сводный годовой график'!$C$5:$AR$5)))</f>
        <v>12</v>
      </c>
      <c r="AH4" s="92">
        <f ca="1">IF(AND(INDEX('Сводный годовой график'!$C$1:$AR$4,MATCH($C$4,'Сводный годовой график'!$B$1:$B$4),MATCH(DATE($AV$1,MONTH($B$4),AH$3),'Сводный годовой график'!$C$5:$AR$5))&lt;&gt;12,INDIRECT(ADDRESS(ROW()+1,COLUMN()))="СП"),8,INDEX('Сводный годовой график'!$C$1:$AR$4,MATCH($C$4,'Сводный годовой график'!$B$1:$B$4),MATCH(DATE($AV$1,MONTH($B$4),AH$3),'Сводный годовой график'!$C$5:$AR$5)))</f>
        <v>4</v>
      </c>
      <c r="AI4" s="92">
        <f ca="1">IF(AND(INDEX('Сводный годовой график'!$C$1:$AR$4,MATCH($C$4,'Сводный годовой график'!$B$1:$B$4),MATCH(DATE($AV$1,MONTH($B$4),AI$3),'Сводный годовой график'!$C$5:$AR$5))&lt;&gt;12,INDIRECT(ADDRESS(ROW()+1,COLUMN()))="СП"),8,INDEX('Сводный годовой график'!$C$1:$AR$4,MATCH($C$4,'Сводный годовой график'!$B$1:$B$4),MATCH(DATE($AV$1,MONTH($B$4),AI$3),'Сводный годовой график'!$C$5:$AR$5)))</f>
        <v>8</v>
      </c>
      <c r="AJ4" s="205">
        <f>INDEX(Подключения!$D$3:$H$14,MONTH(B4),5)</f>
        <v>136</v>
      </c>
      <c r="AK4" s="216">
        <f>$AJ$4-SUM(AY4:CC5)</f>
        <v>136</v>
      </c>
      <c r="AL4" s="216">
        <f ca="1">SUM(E4:AI5)</f>
        <v>188</v>
      </c>
      <c r="AM4" s="216">
        <f ca="1">SUM(E4:L4)</f>
        <v>56</v>
      </c>
      <c r="AN4" s="218">
        <f ca="1">-AM4-AK4+AL4</f>
        <v>-4</v>
      </c>
      <c r="AO4" s="218">
        <v>0</v>
      </c>
      <c r="AP4" s="218">
        <f ca="1">AN4-AO4</f>
        <v>-4</v>
      </c>
      <c r="AQ4" s="218" t="s">
        <v>37</v>
      </c>
      <c r="AR4" s="229">
        <v>1</v>
      </c>
      <c r="CK4" s="59"/>
      <c r="CL4" s="59"/>
      <c r="CM4" s="59"/>
      <c r="CN4" s="59"/>
      <c r="CO4" s="59"/>
      <c r="CP4" s="59"/>
      <c r="CQ4" s="59"/>
      <c r="CR4" s="59"/>
      <c r="CS4" s="59"/>
      <c r="CT4" s="59"/>
      <c r="CU4" s="59"/>
      <c r="CV4" s="59"/>
      <c r="CW4" s="59"/>
      <c r="CX4" s="59"/>
      <c r="CY4" s="59"/>
      <c r="CZ4" s="59"/>
      <c r="DA4" s="59"/>
      <c r="DB4" s="59"/>
      <c r="DC4" s="59"/>
      <c r="DD4" s="59"/>
      <c r="DE4" s="59"/>
      <c r="DF4" s="59"/>
      <c r="DG4" s="59"/>
      <c r="DH4" s="59"/>
      <c r="DI4" s="59"/>
      <c r="DJ4" s="59"/>
      <c r="DK4" s="59"/>
      <c r="DL4" s="59"/>
      <c r="DM4" s="59"/>
      <c r="DN4" s="59"/>
      <c r="DO4" s="59"/>
    </row>
    <row r="5" spans="2:119" ht="16.5" thickBot="1" x14ac:dyDescent="0.3">
      <c r="B5" s="201"/>
      <c r="C5" s="197"/>
      <c r="D5" s="82">
        <v>2</v>
      </c>
      <c r="E5" s="92" t="str">
        <f t="shared" ref="E5:AI5" si="1">IF(INDEX($CK$4:$DO$123,ROW()-3,E$3)=0,"","СП")</f>
        <v>СП</v>
      </c>
      <c r="F5" s="92" t="str">
        <f t="shared" si="1"/>
        <v/>
      </c>
      <c r="G5" s="92" t="str">
        <f t="shared" si="1"/>
        <v/>
      </c>
      <c r="H5" s="92" t="str">
        <f t="shared" si="1"/>
        <v/>
      </c>
      <c r="I5" s="92" t="str">
        <f t="shared" si="1"/>
        <v/>
      </c>
      <c r="J5" s="92" t="str">
        <f t="shared" si="1"/>
        <v/>
      </c>
      <c r="K5" s="92" t="str">
        <f t="shared" si="1"/>
        <v/>
      </c>
      <c r="L5" s="92" t="str">
        <f t="shared" si="1"/>
        <v/>
      </c>
      <c r="M5" s="92" t="str">
        <f t="shared" si="1"/>
        <v/>
      </c>
      <c r="N5" s="92" t="str">
        <f t="shared" si="1"/>
        <v/>
      </c>
      <c r="O5" s="92" t="str">
        <f t="shared" si="1"/>
        <v/>
      </c>
      <c r="P5" s="92" t="str">
        <f t="shared" si="1"/>
        <v/>
      </c>
      <c r="Q5" s="92" t="str">
        <f t="shared" si="1"/>
        <v/>
      </c>
      <c r="R5" s="92" t="str">
        <f t="shared" si="1"/>
        <v/>
      </c>
      <c r="S5" s="92" t="str">
        <f t="shared" si="1"/>
        <v/>
      </c>
      <c r="T5" s="92" t="str">
        <f t="shared" si="1"/>
        <v/>
      </c>
      <c r="U5" s="92" t="str">
        <f t="shared" si="1"/>
        <v/>
      </c>
      <c r="V5" s="92" t="str">
        <f t="shared" si="1"/>
        <v/>
      </c>
      <c r="W5" s="92" t="str">
        <f t="shared" si="1"/>
        <v/>
      </c>
      <c r="X5" s="92" t="str">
        <f t="shared" si="1"/>
        <v/>
      </c>
      <c r="Y5" s="92" t="str">
        <f t="shared" si="1"/>
        <v/>
      </c>
      <c r="Z5" s="92" t="str">
        <f t="shared" si="1"/>
        <v/>
      </c>
      <c r="AA5" s="92" t="str">
        <f t="shared" si="1"/>
        <v/>
      </c>
      <c r="AB5" s="92" t="str">
        <f t="shared" si="1"/>
        <v/>
      </c>
      <c r="AC5" s="92" t="str">
        <f t="shared" si="1"/>
        <v/>
      </c>
      <c r="AD5" s="92" t="str">
        <f t="shared" si="1"/>
        <v/>
      </c>
      <c r="AE5" s="92" t="str">
        <f t="shared" si="1"/>
        <v/>
      </c>
      <c r="AF5" s="92" t="str">
        <f t="shared" si="1"/>
        <v/>
      </c>
      <c r="AG5" s="92" t="str">
        <f t="shared" si="1"/>
        <v/>
      </c>
      <c r="AH5" s="92" t="str">
        <f t="shared" si="1"/>
        <v/>
      </c>
      <c r="AI5" s="92" t="str">
        <f t="shared" si="1"/>
        <v/>
      </c>
      <c r="AJ5" s="206"/>
      <c r="AK5" s="209"/>
      <c r="AL5" s="209"/>
      <c r="AM5" s="209"/>
      <c r="AN5" s="211"/>
      <c r="AO5" s="211"/>
      <c r="AP5" s="211"/>
      <c r="AQ5" s="211"/>
      <c r="AR5" s="230"/>
      <c r="CK5" s="58">
        <f>IF(DAY(INDEX('Сводный годовой график'!$BA$4:$BL$14,$C4,MONTH($B$4)))=E$3,1,0)</f>
        <v>1</v>
      </c>
      <c r="CL5" s="58">
        <f>IF(DAY(INDEX('Сводный годовой график'!$BA$4:$BL$14,$C4,MONTH($B$4)))=F$3,1,0)</f>
        <v>0</v>
      </c>
      <c r="CM5" s="58">
        <f>IF(DAY(INDEX('Сводный годовой график'!$BA$4:$BL$14,$C4,MONTH($B$4)))=G$3,1,0)</f>
        <v>0</v>
      </c>
      <c r="CN5" s="58">
        <f>IF(DAY(INDEX('Сводный годовой график'!$BA$4:$BL$14,$C4,MONTH($B$4)))=H$3,1,0)</f>
        <v>0</v>
      </c>
      <c r="CO5" s="58">
        <f>IF(DAY(INDEX('Сводный годовой график'!$BA$4:$BL$14,$C4,MONTH($B$4)))=I$3,1,0)</f>
        <v>0</v>
      </c>
      <c r="CP5" s="58">
        <f>IF(DAY(INDEX('Сводный годовой график'!$BA$4:$BL$14,$C4,MONTH($B$4)))=J$3,1,0)</f>
        <v>0</v>
      </c>
      <c r="CQ5" s="58">
        <f>IF(DAY(INDEX('Сводный годовой график'!$BA$4:$BL$14,$C4,MONTH($B$4)))=K$3,1,0)</f>
        <v>0</v>
      </c>
      <c r="CR5" s="58">
        <f>IF(DAY(INDEX('Сводный годовой график'!$BA$4:$BL$14,$C4,MONTH($B$4)))=L$3,1,0)</f>
        <v>0</v>
      </c>
      <c r="CS5" s="58">
        <f>IF(DAY(INDEX('Сводный годовой график'!$BA$4:$BL$14,$C4,MONTH($B$4)))=M$3,1,0)</f>
        <v>0</v>
      </c>
      <c r="CT5" s="58">
        <f>IF(DAY(INDEX('Сводный годовой график'!$BA$4:$BL$14,$C4,MONTH($B$4)))=N$3,1,0)</f>
        <v>0</v>
      </c>
      <c r="CU5" s="58">
        <f>IF(DAY(INDEX('Сводный годовой график'!$BA$4:$BL$14,$C4,MONTH($B$4)))=O$3,1,0)</f>
        <v>0</v>
      </c>
      <c r="CV5" s="58">
        <f>IF(DAY(INDEX('Сводный годовой график'!$BA$4:$BL$14,$C4,MONTH($B$4)))=P$3,1,0)</f>
        <v>0</v>
      </c>
      <c r="CW5" s="58">
        <f>IF(DAY(INDEX('Сводный годовой график'!$BA$4:$BL$14,$C4,MONTH($B$4)))=Q$3,1,0)</f>
        <v>0</v>
      </c>
      <c r="CX5" s="58">
        <f>IF(DAY(INDEX('Сводный годовой график'!$BA$4:$BL$14,$C4,MONTH($B$4)))=R$3,1,0)</f>
        <v>0</v>
      </c>
      <c r="CY5" s="58">
        <f>IF(DAY(INDEX('Сводный годовой график'!$BA$4:$BL$14,$C4,MONTH($B$4)))=S$3,1,0)</f>
        <v>0</v>
      </c>
      <c r="CZ5" s="58">
        <f>IF(DAY(INDEX('Сводный годовой график'!$BA$4:$BL$14,$C4,MONTH($B$4)))=T$3,1,0)</f>
        <v>0</v>
      </c>
      <c r="DA5" s="58">
        <f>IF(DAY(INDEX('Сводный годовой график'!$BA$4:$BL$14,$C4,MONTH($B$4)))=U$3,1,0)</f>
        <v>0</v>
      </c>
      <c r="DB5" s="58">
        <f>IF(DAY(INDEX('Сводный годовой график'!$BA$4:$BL$14,$C4,MONTH($B$4)))=V$3,1,0)</f>
        <v>0</v>
      </c>
      <c r="DC5" s="58">
        <f>IF(DAY(INDEX('Сводный годовой график'!$BA$4:$BL$14,$C4,MONTH($B$4)))=W$3,1,0)</f>
        <v>0</v>
      </c>
      <c r="DD5" s="58">
        <f>IF(DAY(INDEX('Сводный годовой график'!$BA$4:$BL$14,$C4,MONTH($B$4)))=X$3,1,0)</f>
        <v>0</v>
      </c>
      <c r="DE5" s="58">
        <f>IF(DAY(INDEX('Сводный годовой график'!$BA$4:$BL$14,$C4,MONTH($B$4)))=Y$3,1,0)</f>
        <v>0</v>
      </c>
      <c r="DF5" s="58">
        <f>IF(DAY(INDEX('Сводный годовой график'!$BA$4:$BL$14,$C4,MONTH($B$4)))=Z$3,1,0)</f>
        <v>0</v>
      </c>
      <c r="DG5" s="58">
        <f>IF(DAY(INDEX('Сводный годовой график'!$BA$4:$BL$14,$C4,MONTH($B$4)))=AA$3,1,0)</f>
        <v>0</v>
      </c>
      <c r="DH5" s="58">
        <f>IF(DAY(INDEX('Сводный годовой график'!$BA$4:$BL$14,$C4,MONTH($B$4)))=AB$3,1,0)</f>
        <v>0</v>
      </c>
      <c r="DI5" s="58">
        <f>IF(DAY(INDEX('Сводный годовой график'!$BA$4:$BL$14,$C4,MONTH($B$4)))=AC$3,1,0)</f>
        <v>0</v>
      </c>
      <c r="DJ5" s="58">
        <f>IF(DAY(INDEX('Сводный годовой график'!$BA$4:$BL$14,$C4,MONTH($B$4)))=AD$3,1,0)</f>
        <v>0</v>
      </c>
      <c r="DK5" s="58">
        <f>IF(DAY(INDEX('Сводный годовой график'!$BA$4:$BL$14,$C4,MONTH($B$4)))=AE$3,1,0)</f>
        <v>0</v>
      </c>
      <c r="DL5" s="58">
        <f>IF(DAY(INDEX('Сводный годовой график'!$BA$4:$BL$14,$C4,MONTH($B$4)))=AF$3,1,0)</f>
        <v>0</v>
      </c>
      <c r="DM5" s="58">
        <f>IF(DAY(INDEX('Сводный годовой график'!$BA$4:$BL$14,$C4,MONTH($B$4)))=AG$3,1,0)</f>
        <v>0</v>
      </c>
      <c r="DN5" s="58">
        <f>IF(DAY(INDEX('Сводный годовой график'!$BA$4:$BL$14,$C4,MONTH($B$4)))=AH$3,1,0)</f>
        <v>0</v>
      </c>
      <c r="DO5" s="58">
        <f>IF(DAY(INDEX('Сводный годовой график'!$BA$4:$BL$14,$C4,MONTH($B$4)))=AI$3,1,0)</f>
        <v>0</v>
      </c>
    </row>
    <row r="6" spans="2:119" ht="16.5" thickBot="1" x14ac:dyDescent="0.3">
      <c r="B6" s="201"/>
      <c r="C6" s="196">
        <v>2</v>
      </c>
      <c r="D6" s="81">
        <v>3</v>
      </c>
      <c r="E6" s="92">
        <f ca="1">IF(AND(INDEX('Сводный годовой график'!$C$1:$AR$4,MATCH($C$6,'Сводный годовой график'!$B$1:$B$4),MATCH(DATE($AV$1,MONTH($B$4),E$3),'Сводный годовой график'!$C$5:$AR$5))&lt;&gt;12,INDIRECT(ADDRESS(ROW()+1,COLUMN()))="СП"),8,INDEX('Сводный годовой график'!$C$1:$AR$4,MATCH($C$6,'Сводный годовой график'!$B$1:$B$4),MATCH(DATE($AV$1,MONTH($B$4),E$3),'Сводный годовой график'!$C$5:$AR$5)))</f>
        <v>4</v>
      </c>
      <c r="F6" s="92">
        <f ca="1">IF(AND(INDEX('Сводный годовой график'!$C$1:$AR$4,MATCH($C$6,'Сводный годовой график'!$B$1:$B$4),MATCH(DATE($AV$1,MONTH($B$4),F$3),'Сводный годовой график'!$C$5:$AR$5))&lt;&gt;12,INDIRECT(ADDRESS(ROW()+1,COLUMN()))="СП"),8,INDEX('Сводный годовой график'!$C$1:$AR$4,MATCH($C$6,'Сводный годовой график'!$B$1:$B$4),MATCH(DATE($AV$1,MONTH($B$4),F$3),'Сводный годовой график'!$C$5:$AR$5)))</f>
        <v>8</v>
      </c>
      <c r="G6" s="92">
        <f ca="1">IF(AND(INDEX('Сводный годовой график'!$C$1:$AR$4,MATCH($C$6,'Сводный годовой график'!$B$1:$B$4),MATCH(DATE($AV$1,MONTH($B$4),G$3),'Сводный годовой график'!$C$5:$AR$5))&lt;&gt;12,INDIRECT(ADDRESS(ROW()+1,COLUMN()))="СП"),8,INDEX('Сводный годовой график'!$C$1:$AR$4,MATCH($C$6,'Сводный годовой график'!$B$1:$B$4),MATCH(DATE($AV$1,MONTH($B$4),G$3),'Сводный годовой график'!$C$5:$AR$5)))</f>
        <v>12</v>
      </c>
      <c r="H6" s="92">
        <f ca="1">IF(AND(INDEX('Сводный годовой график'!$C$1:$AR$4,MATCH($C$6,'Сводный годовой график'!$B$1:$B$4),MATCH(DATE($AV$1,MONTH($B$4),H$3),'Сводный годовой график'!$C$5:$AR$5))&lt;&gt;12,INDIRECT(ADDRESS(ROW()+1,COLUMN()))="СП"),8,INDEX('Сводный годовой график'!$C$1:$AR$4,MATCH($C$6,'Сводный годовой график'!$B$1:$B$4),MATCH(DATE($AV$1,MONTH($B$4),H$3),'Сводный годовой график'!$C$5:$AR$5)))</f>
        <v>4</v>
      </c>
      <c r="I6" s="92">
        <f ca="1">IF(AND(INDEX('Сводный годовой график'!$C$1:$AR$4,MATCH($C$6,'Сводный годовой график'!$B$1:$B$4),MATCH(DATE($AV$1,MONTH($B$4),I$3),'Сводный годовой график'!$C$5:$AR$5))&lt;&gt;12,INDIRECT(ADDRESS(ROW()+1,COLUMN()))="СП"),8,INDEX('Сводный годовой график'!$C$1:$AR$4,MATCH($C$6,'Сводный годовой график'!$B$1:$B$4),MATCH(DATE($AV$1,MONTH($B$4),I$3),'Сводный годовой график'!$C$5:$AR$5)))</f>
        <v>8</v>
      </c>
      <c r="J6" s="92">
        <f ca="1">IF(AND(INDEX('Сводный годовой график'!$C$1:$AR$4,MATCH($C$6,'Сводный годовой график'!$B$1:$B$4),MATCH(DATE($AV$1,MONTH($B$4),J$3),'Сводный годовой график'!$C$5:$AR$5))&lt;&gt;12,INDIRECT(ADDRESS(ROW()+1,COLUMN()))="СП"),8,INDEX('Сводный годовой график'!$C$1:$AR$4,MATCH($C$6,'Сводный годовой график'!$B$1:$B$4),MATCH(DATE($AV$1,MONTH($B$4),J$3),'Сводный годовой график'!$C$5:$AR$5)))</f>
        <v>12</v>
      </c>
      <c r="K6" s="92">
        <f ca="1">IF(AND(INDEX('Сводный годовой график'!$C$1:$AR$4,MATCH($C$6,'Сводный годовой график'!$B$1:$B$4),MATCH(DATE($AV$1,MONTH($B$4),K$3),'Сводный годовой график'!$C$5:$AR$5))&lt;&gt;12,INDIRECT(ADDRESS(ROW()+1,COLUMN()))="СП"),8,INDEX('Сводный годовой график'!$C$1:$AR$4,MATCH($C$6,'Сводный годовой график'!$B$1:$B$4),MATCH(DATE($AV$1,MONTH($B$4),K$3),'Сводный годовой график'!$C$5:$AR$5)))</f>
        <v>0</v>
      </c>
      <c r="L6" s="92">
        <f ca="1">IF(AND(INDEX('Сводный годовой график'!$C$1:$AR$4,MATCH($C$6,'Сводный годовой график'!$B$1:$B$4),MATCH(DATE($AV$1,MONTH($B$4),L$3),'Сводный годовой график'!$C$5:$AR$5))&lt;&gt;12,INDIRECT(ADDRESS(ROW()+1,COLUMN()))="СП"),8,INDEX('Сводный годовой график'!$C$1:$AR$4,MATCH($C$6,'Сводный годовой график'!$B$1:$B$4),MATCH(DATE($AV$1,MONTH($B$4),L$3),'Сводный годовой график'!$C$5:$AR$5)))</f>
        <v>0</v>
      </c>
      <c r="M6" s="92">
        <f ca="1">IF(AND(INDEX('Сводный годовой график'!$C$1:$AR$4,MATCH($C$6,'Сводный годовой график'!$B$1:$B$4),MATCH(DATE($AV$1,MONTH($B$4),M$3),'Сводный годовой график'!$C$5:$AR$5))&lt;&gt;12,INDIRECT(ADDRESS(ROW()+1,COLUMN()))="СП"),8,INDEX('Сводный годовой график'!$C$1:$AR$4,MATCH($C$6,'Сводный годовой график'!$B$1:$B$4),MATCH(DATE($AV$1,MONTH($B$4),M$3),'Сводный годовой график'!$C$5:$AR$5)))</f>
        <v>4</v>
      </c>
      <c r="N6" s="92">
        <f ca="1">IF(AND(INDEX('Сводный годовой график'!$C$1:$AR$4,MATCH($C$6,'Сводный годовой график'!$B$1:$B$4),MATCH(DATE($AV$1,MONTH($B$4),N$3),'Сводный годовой график'!$C$5:$AR$5))&lt;&gt;12,INDIRECT(ADDRESS(ROW()+1,COLUMN()))="СП"),8,INDEX('Сводный годовой график'!$C$1:$AR$4,MATCH($C$6,'Сводный годовой график'!$B$1:$B$4),MATCH(DATE($AV$1,MONTH($B$4),N$3),'Сводный годовой график'!$C$5:$AR$5)))</f>
        <v>8</v>
      </c>
      <c r="O6" s="92">
        <f ca="1">IF(AND(INDEX('Сводный годовой график'!$C$1:$AR$4,MATCH($C$6,'Сводный годовой график'!$B$1:$B$4),MATCH(DATE($AV$1,MONTH($B$4),O$3),'Сводный годовой график'!$C$5:$AR$5))&lt;&gt;12,INDIRECT(ADDRESS(ROW()+1,COLUMN()))="СП"),8,INDEX('Сводный годовой график'!$C$1:$AR$4,MATCH($C$6,'Сводный годовой график'!$B$1:$B$4),MATCH(DATE($AV$1,MONTH($B$4),O$3),'Сводный годовой график'!$C$5:$AR$5)))</f>
        <v>12</v>
      </c>
      <c r="P6" s="92">
        <f ca="1">IF(AND(INDEX('Сводный годовой график'!$C$1:$AR$4,MATCH($C$6,'Сводный годовой график'!$B$1:$B$4),MATCH(DATE($AV$1,MONTH($B$4),P$3),'Сводный годовой график'!$C$5:$AR$5))&lt;&gt;12,INDIRECT(ADDRESS(ROW()+1,COLUMN()))="СП"),8,INDEX('Сводный годовой график'!$C$1:$AR$4,MATCH($C$6,'Сводный годовой график'!$B$1:$B$4),MATCH(DATE($AV$1,MONTH($B$4),P$3),'Сводный годовой график'!$C$5:$AR$5)))</f>
        <v>4</v>
      </c>
      <c r="Q6" s="92">
        <f ca="1">IF(AND(INDEX('Сводный годовой график'!$C$1:$AR$4,MATCH($C$6,'Сводный годовой график'!$B$1:$B$4),MATCH(DATE($AV$1,MONTH($B$4),Q$3),'Сводный годовой график'!$C$5:$AR$5))&lt;&gt;12,INDIRECT(ADDRESS(ROW()+1,COLUMN()))="СП"),8,INDEX('Сводный годовой график'!$C$1:$AR$4,MATCH($C$6,'Сводный годовой график'!$B$1:$B$4),MATCH(DATE($AV$1,MONTH($B$4),Q$3),'Сводный годовой график'!$C$5:$AR$5)))</f>
        <v>8</v>
      </c>
      <c r="R6" s="92">
        <f ca="1">IF(AND(INDEX('Сводный годовой график'!$C$1:$AR$4,MATCH($C$6,'Сводный годовой график'!$B$1:$B$4),MATCH(DATE($AV$1,MONTH($B$4),R$3),'Сводный годовой график'!$C$5:$AR$5))&lt;&gt;12,INDIRECT(ADDRESS(ROW()+1,COLUMN()))="СП"),8,INDEX('Сводный годовой график'!$C$1:$AR$4,MATCH($C$6,'Сводный годовой график'!$B$1:$B$4),MATCH(DATE($AV$1,MONTH($B$4),R$3),'Сводный годовой график'!$C$5:$AR$5)))</f>
        <v>12</v>
      </c>
      <c r="S6" s="92">
        <f ca="1">IF(AND(INDEX('Сводный годовой график'!$C$1:$AR$4,MATCH($C$6,'Сводный годовой график'!$B$1:$B$4),MATCH(DATE($AV$1,MONTH($B$4),S$3),'Сводный годовой график'!$C$5:$AR$5))&lt;&gt;12,INDIRECT(ADDRESS(ROW()+1,COLUMN()))="СП"),8,INDEX('Сводный годовой график'!$C$1:$AR$4,MATCH($C$6,'Сводный годовой график'!$B$1:$B$4),MATCH(DATE($AV$1,MONTH($B$4),S$3),'Сводный годовой график'!$C$5:$AR$5)))</f>
        <v>0</v>
      </c>
      <c r="T6" s="92">
        <f ca="1">IF(AND(INDEX('Сводный годовой график'!$C$1:$AR$4,MATCH($C$6,'Сводный годовой график'!$B$1:$B$4),MATCH(DATE($AV$1,MONTH($B$4),T$3),'Сводный годовой график'!$C$5:$AR$5))&lt;&gt;12,INDIRECT(ADDRESS(ROW()+1,COLUMN()))="СП"),8,INDEX('Сводный годовой график'!$C$1:$AR$4,MATCH($C$6,'Сводный годовой график'!$B$1:$B$4),MATCH(DATE($AV$1,MONTH($B$4),T$3),'Сводный годовой график'!$C$5:$AR$5)))</f>
        <v>0</v>
      </c>
      <c r="U6" s="92">
        <f ca="1">IF(AND(INDEX('Сводный годовой график'!$C$1:$AR$4,MATCH($C$6,'Сводный годовой график'!$B$1:$B$4),MATCH(DATE($AV$1,MONTH($B$4),U$3),'Сводный годовой график'!$C$5:$AR$5))&lt;&gt;12,INDIRECT(ADDRESS(ROW()+1,COLUMN()))="СП"),8,INDEX('Сводный годовой график'!$C$1:$AR$4,MATCH($C$6,'Сводный годовой график'!$B$1:$B$4),MATCH(DATE($AV$1,MONTH($B$4),U$3),'Сводный годовой график'!$C$5:$AR$5)))</f>
        <v>4</v>
      </c>
      <c r="V6" s="92">
        <f ca="1">IF(AND(INDEX('Сводный годовой график'!$C$1:$AR$4,MATCH($C$6,'Сводный годовой график'!$B$1:$B$4),MATCH(DATE($AV$1,MONTH($B$4),V$3),'Сводный годовой график'!$C$5:$AR$5))&lt;&gt;12,INDIRECT(ADDRESS(ROW()+1,COLUMN()))="СП"),8,INDEX('Сводный годовой график'!$C$1:$AR$4,MATCH($C$6,'Сводный годовой график'!$B$1:$B$4),MATCH(DATE($AV$1,MONTH($B$4),V$3),'Сводный годовой график'!$C$5:$AR$5)))</f>
        <v>8</v>
      </c>
      <c r="W6" s="92">
        <f ca="1">IF(AND(INDEX('Сводный годовой график'!$C$1:$AR$4,MATCH($C$6,'Сводный годовой график'!$B$1:$B$4),MATCH(DATE($AV$1,MONTH($B$4),W$3),'Сводный годовой график'!$C$5:$AR$5))&lt;&gt;12,INDIRECT(ADDRESS(ROW()+1,COLUMN()))="СП"),8,INDEX('Сводный годовой график'!$C$1:$AR$4,MATCH($C$6,'Сводный годовой график'!$B$1:$B$4),MATCH(DATE($AV$1,MONTH($B$4),W$3),'Сводный годовой график'!$C$5:$AR$5)))</f>
        <v>12</v>
      </c>
      <c r="X6" s="92">
        <f ca="1">IF(AND(INDEX('Сводный годовой график'!$C$1:$AR$4,MATCH($C$6,'Сводный годовой график'!$B$1:$B$4),MATCH(DATE($AV$1,MONTH($B$4),X$3),'Сводный годовой график'!$C$5:$AR$5))&lt;&gt;12,INDIRECT(ADDRESS(ROW()+1,COLUMN()))="СП"),8,INDEX('Сводный годовой график'!$C$1:$AR$4,MATCH($C$6,'Сводный годовой график'!$B$1:$B$4),MATCH(DATE($AV$1,MONTH($B$4),X$3),'Сводный годовой график'!$C$5:$AR$5)))</f>
        <v>4</v>
      </c>
      <c r="Y6" s="92">
        <f ca="1">IF(AND(INDEX('Сводный годовой график'!$C$1:$AR$4,MATCH($C$6,'Сводный годовой график'!$B$1:$B$4),MATCH(DATE($AV$1,MONTH($B$4),Y$3),'Сводный годовой график'!$C$5:$AR$5))&lt;&gt;12,INDIRECT(ADDRESS(ROW()+1,COLUMN()))="СП"),8,INDEX('Сводный годовой график'!$C$1:$AR$4,MATCH($C$6,'Сводный годовой график'!$B$1:$B$4),MATCH(DATE($AV$1,MONTH($B$4),Y$3),'Сводный годовой график'!$C$5:$AR$5)))</f>
        <v>8</v>
      </c>
      <c r="Z6" s="92">
        <f ca="1">IF(AND(INDEX('Сводный годовой график'!$C$1:$AR$4,MATCH($C$6,'Сводный годовой график'!$B$1:$B$4),MATCH(DATE($AV$1,MONTH($B$4),Z$3),'Сводный годовой график'!$C$5:$AR$5))&lt;&gt;12,INDIRECT(ADDRESS(ROW()+1,COLUMN()))="СП"),8,INDEX('Сводный годовой график'!$C$1:$AR$4,MATCH($C$6,'Сводный годовой график'!$B$1:$B$4),MATCH(DATE($AV$1,MONTH($B$4),Z$3),'Сводный годовой график'!$C$5:$AR$5)))</f>
        <v>12</v>
      </c>
      <c r="AA6" s="92">
        <f ca="1">IF(AND(INDEX('Сводный годовой график'!$C$1:$AR$4,MATCH($C$6,'Сводный годовой график'!$B$1:$B$4),MATCH(DATE($AV$1,MONTH($B$4),AA$3),'Сводный годовой график'!$C$5:$AR$5))&lt;&gt;12,INDIRECT(ADDRESS(ROW()+1,COLUMN()))="СП"),8,INDEX('Сводный годовой график'!$C$1:$AR$4,MATCH($C$6,'Сводный годовой график'!$B$1:$B$4),MATCH(DATE($AV$1,MONTH($B$4),AA$3),'Сводный годовой график'!$C$5:$AR$5)))</f>
        <v>0</v>
      </c>
      <c r="AB6" s="92">
        <f ca="1">IF(AND(INDEX('Сводный годовой график'!$C$1:$AR$4,MATCH($C$6,'Сводный годовой график'!$B$1:$B$4),MATCH(DATE($AV$1,MONTH($B$4),AB$3),'Сводный годовой график'!$C$5:$AR$5))&lt;&gt;12,INDIRECT(ADDRESS(ROW()+1,COLUMN()))="СП"),8,INDEX('Сводный годовой график'!$C$1:$AR$4,MATCH($C$6,'Сводный годовой график'!$B$1:$B$4),MATCH(DATE($AV$1,MONTH($B$4),AB$3),'Сводный годовой график'!$C$5:$AR$5)))</f>
        <v>0</v>
      </c>
      <c r="AC6" s="92">
        <f ca="1">IF(AND(INDEX('Сводный годовой график'!$C$1:$AR$4,MATCH($C$6,'Сводный годовой график'!$B$1:$B$4),MATCH(DATE($AV$1,MONTH($B$4),AC$3),'Сводный годовой график'!$C$5:$AR$5))&lt;&gt;12,INDIRECT(ADDRESS(ROW()+1,COLUMN()))="СП"),8,INDEX('Сводный годовой график'!$C$1:$AR$4,MATCH($C$6,'Сводный годовой график'!$B$1:$B$4),MATCH(DATE($AV$1,MONTH($B$4),AC$3),'Сводный годовой график'!$C$5:$AR$5)))</f>
        <v>4</v>
      </c>
      <c r="AD6" s="92">
        <f ca="1">IF(AND(INDEX('Сводный годовой график'!$C$1:$AR$4,MATCH($C$6,'Сводный годовой график'!$B$1:$B$4),MATCH(DATE($AV$1,MONTH($B$4),AD$3),'Сводный годовой график'!$C$5:$AR$5))&lt;&gt;12,INDIRECT(ADDRESS(ROW()+1,COLUMN()))="СП"),8,INDEX('Сводный годовой график'!$C$1:$AR$4,MATCH($C$6,'Сводный годовой график'!$B$1:$B$4),MATCH(DATE($AV$1,MONTH($B$4),AD$3),'Сводный годовой график'!$C$5:$AR$5)))</f>
        <v>8</v>
      </c>
      <c r="AE6" s="92">
        <f ca="1">IF(AND(INDEX('Сводный годовой график'!$C$1:$AR$4,MATCH($C$6,'Сводный годовой график'!$B$1:$B$4),MATCH(DATE($AV$1,MONTH($B$4),AE$3),'Сводный годовой график'!$C$5:$AR$5))&lt;&gt;12,INDIRECT(ADDRESS(ROW()+1,COLUMN()))="СП"),8,INDEX('Сводный годовой график'!$C$1:$AR$4,MATCH($C$6,'Сводный годовой график'!$B$1:$B$4),MATCH(DATE($AV$1,MONTH($B$4),AE$3),'Сводный годовой график'!$C$5:$AR$5)))</f>
        <v>12</v>
      </c>
      <c r="AF6" s="92">
        <f ca="1">IF(AND(INDEX('Сводный годовой график'!$C$1:$AR$4,MATCH($C$6,'Сводный годовой график'!$B$1:$B$4),MATCH(DATE($AV$1,MONTH($B$4),AF$3),'Сводный годовой график'!$C$5:$AR$5))&lt;&gt;12,INDIRECT(ADDRESS(ROW()+1,COLUMN()))="СП"),8,INDEX('Сводный годовой график'!$C$1:$AR$4,MATCH($C$6,'Сводный годовой график'!$B$1:$B$4),MATCH(DATE($AV$1,MONTH($B$4),AF$3),'Сводный годовой график'!$C$5:$AR$5)))</f>
        <v>4</v>
      </c>
      <c r="AG6" s="92">
        <f ca="1">IF(AND(INDEX('Сводный годовой график'!$C$1:$AR$4,MATCH($C$6,'Сводный годовой график'!$B$1:$B$4),MATCH(DATE($AV$1,MONTH($B$4),AG$3),'Сводный годовой график'!$C$5:$AR$5))&lt;&gt;12,INDIRECT(ADDRESS(ROW()+1,COLUMN()))="СП"),8,INDEX('Сводный годовой график'!$C$1:$AR$4,MATCH($C$6,'Сводный годовой график'!$B$1:$B$4),MATCH(DATE($AV$1,MONTH($B$4),AG$3),'Сводный годовой график'!$C$5:$AR$5)))</f>
        <v>8</v>
      </c>
      <c r="AH6" s="92">
        <f ca="1">IF(AND(INDEX('Сводный годовой график'!$C$1:$AR$4,MATCH($C$6,'Сводный годовой график'!$B$1:$B$4),MATCH(DATE($AV$1,MONTH($B$4),AH$3),'Сводный годовой график'!$C$5:$AR$5))&lt;&gt;12,INDIRECT(ADDRESS(ROW()+1,COLUMN()))="СП"),8,INDEX('Сводный годовой график'!$C$1:$AR$4,MATCH($C$6,'Сводный годовой график'!$B$1:$B$4),MATCH(DATE($AV$1,MONTH($B$4),AH$3),'Сводный годовой график'!$C$5:$AR$5)))</f>
        <v>12</v>
      </c>
      <c r="AI6" s="92">
        <f ca="1">IF(AND(INDEX('Сводный годовой график'!$C$1:$AR$4,MATCH($C$6,'Сводный годовой график'!$B$1:$B$4),MATCH(DATE($AV$1,MONTH($B$4),AI$3),'Сводный годовой график'!$C$5:$AR$5))&lt;&gt;12,INDIRECT(ADDRESS(ROW()+1,COLUMN()))="СП"),8,INDEX('Сводный годовой график'!$C$1:$AR$4,MATCH($C$6,'Сводный годовой график'!$B$1:$B$4),MATCH(DATE($AV$1,MONTH($B$4),AI$3),'Сводный годовой график'!$C$5:$AR$5)))</f>
        <v>0</v>
      </c>
      <c r="AJ6" s="206"/>
      <c r="AK6" s="209">
        <f>$AJ$4-SUM(AY6:CC7)</f>
        <v>136</v>
      </c>
      <c r="AL6" s="209">
        <f t="shared" ref="AL6" ca="1" si="2">SUM(E6:AI7)</f>
        <v>192</v>
      </c>
      <c r="AM6" s="209">
        <f t="shared" ref="AM6" ca="1" si="3">SUM(E6:L6)</f>
        <v>48</v>
      </c>
      <c r="AN6" s="211">
        <f t="shared" ref="AN6" ca="1" si="4">-AM6-AK6+AL6</f>
        <v>8</v>
      </c>
      <c r="AO6" s="211">
        <v>0</v>
      </c>
      <c r="AP6" s="211">
        <f t="shared" ref="AP6" ca="1" si="5">AN6-AO6</f>
        <v>8</v>
      </c>
      <c r="AQ6" s="209">
        <v>0</v>
      </c>
      <c r="AR6" s="210">
        <v>1</v>
      </c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  <c r="DH6" s="59"/>
      <c r="DI6" s="59"/>
      <c r="DJ6" s="59"/>
      <c r="DK6" s="59"/>
      <c r="DL6" s="59"/>
      <c r="DM6" s="59"/>
      <c r="DN6" s="59"/>
      <c r="DO6" s="59"/>
    </row>
    <row r="7" spans="2:119" ht="16.5" thickBot="1" x14ac:dyDescent="0.3">
      <c r="B7" s="201"/>
      <c r="C7" s="197"/>
      <c r="D7" s="82">
        <v>4</v>
      </c>
      <c r="E7" s="92" t="str">
        <f t="shared" ref="E7:AI7" si="6">IF(INDEX($CK$4:$DO$123,ROW()-3,E$3)=0,"","СП")</f>
        <v/>
      </c>
      <c r="F7" s="92" t="str">
        <f t="shared" si="6"/>
        <v>СП</v>
      </c>
      <c r="G7" s="92" t="str">
        <f t="shared" si="6"/>
        <v/>
      </c>
      <c r="H7" s="92" t="str">
        <f t="shared" si="6"/>
        <v/>
      </c>
      <c r="I7" s="92" t="str">
        <f t="shared" si="6"/>
        <v/>
      </c>
      <c r="J7" s="92" t="str">
        <f t="shared" si="6"/>
        <v/>
      </c>
      <c r="K7" s="92" t="str">
        <f t="shared" si="6"/>
        <v/>
      </c>
      <c r="L7" s="92" t="str">
        <f t="shared" si="6"/>
        <v/>
      </c>
      <c r="M7" s="92" t="str">
        <f t="shared" si="6"/>
        <v/>
      </c>
      <c r="N7" s="92" t="str">
        <f t="shared" si="6"/>
        <v/>
      </c>
      <c r="O7" s="92" t="str">
        <f t="shared" si="6"/>
        <v/>
      </c>
      <c r="P7" s="92" t="str">
        <f t="shared" si="6"/>
        <v/>
      </c>
      <c r="Q7" s="92" t="str">
        <f t="shared" si="6"/>
        <v/>
      </c>
      <c r="R7" s="92" t="str">
        <f t="shared" si="6"/>
        <v/>
      </c>
      <c r="S7" s="92" t="str">
        <f t="shared" si="6"/>
        <v/>
      </c>
      <c r="T7" s="92" t="str">
        <f t="shared" si="6"/>
        <v/>
      </c>
      <c r="U7" s="92" t="str">
        <f t="shared" si="6"/>
        <v/>
      </c>
      <c r="V7" s="92" t="str">
        <f t="shared" si="6"/>
        <v/>
      </c>
      <c r="W7" s="92" t="str">
        <f t="shared" si="6"/>
        <v/>
      </c>
      <c r="X7" s="92" t="str">
        <f t="shared" si="6"/>
        <v/>
      </c>
      <c r="Y7" s="92" t="str">
        <f t="shared" si="6"/>
        <v/>
      </c>
      <c r="Z7" s="92" t="str">
        <f t="shared" si="6"/>
        <v/>
      </c>
      <c r="AA7" s="92" t="str">
        <f t="shared" si="6"/>
        <v/>
      </c>
      <c r="AB7" s="92" t="str">
        <f t="shared" si="6"/>
        <v/>
      </c>
      <c r="AC7" s="92" t="str">
        <f t="shared" si="6"/>
        <v/>
      </c>
      <c r="AD7" s="92" t="str">
        <f t="shared" si="6"/>
        <v/>
      </c>
      <c r="AE7" s="92" t="str">
        <f t="shared" si="6"/>
        <v/>
      </c>
      <c r="AF7" s="92" t="str">
        <f t="shared" si="6"/>
        <v/>
      </c>
      <c r="AG7" s="92" t="str">
        <f t="shared" si="6"/>
        <v/>
      </c>
      <c r="AH7" s="92" t="str">
        <f t="shared" si="6"/>
        <v/>
      </c>
      <c r="AI7" s="92" t="str">
        <f t="shared" si="6"/>
        <v/>
      </c>
      <c r="AJ7" s="206"/>
      <c r="AK7" s="209"/>
      <c r="AL7" s="209"/>
      <c r="AM7" s="209"/>
      <c r="AN7" s="211"/>
      <c r="AO7" s="211"/>
      <c r="AP7" s="211"/>
      <c r="AQ7" s="209"/>
      <c r="AR7" s="210"/>
      <c r="AT7">
        <f>40*23</f>
        <v>920</v>
      </c>
      <c r="CK7" s="58">
        <f>IF(DAY(INDEX('Сводный годовой график'!$BA$4:$BL$14,$C6,MONTH($B$4)))=E$3,1,0)</f>
        <v>0</v>
      </c>
      <c r="CL7" s="58">
        <f>IF(DAY(INDEX('Сводный годовой график'!$BA$4:$BL$14,$C6,MONTH($B$4)))=F$3,1,0)</f>
        <v>1</v>
      </c>
      <c r="CM7" s="58">
        <f>IF(DAY(INDEX('Сводный годовой график'!$BA$4:$BL$14,$C6,MONTH($B$4)))=G$3,1,0)</f>
        <v>0</v>
      </c>
      <c r="CN7" s="58">
        <f>IF(DAY(INDEX('Сводный годовой график'!$BA$4:$BL$14,$C6,MONTH($B$4)))=H$3,1,0)</f>
        <v>0</v>
      </c>
      <c r="CO7" s="58">
        <f>IF(DAY(INDEX('Сводный годовой график'!$BA$4:$BL$14,$C6,MONTH($B$4)))=I$3,1,0)</f>
        <v>0</v>
      </c>
      <c r="CP7" s="58">
        <f>IF(DAY(INDEX('Сводный годовой график'!$BA$4:$BL$14,$C6,MONTH($B$4)))=J$3,1,0)</f>
        <v>0</v>
      </c>
      <c r="CQ7" s="58">
        <f>IF(DAY(INDEX('Сводный годовой график'!$BA$4:$BL$14,$C6,MONTH($B$4)))=K$3,1,0)</f>
        <v>0</v>
      </c>
      <c r="CR7" s="58">
        <f>IF(DAY(INDEX('Сводный годовой график'!$BA$4:$BL$14,$C6,MONTH($B$4)))=L$3,1,0)</f>
        <v>0</v>
      </c>
      <c r="CS7" s="58">
        <f>IF(DAY(INDEX('Сводный годовой график'!$BA$4:$BL$14,$C6,MONTH($B$4)))=M$3,1,0)</f>
        <v>0</v>
      </c>
      <c r="CT7" s="58">
        <f>IF(DAY(INDEX('Сводный годовой график'!$BA$4:$BL$14,$C6,MONTH($B$4)))=N$3,1,0)</f>
        <v>0</v>
      </c>
      <c r="CU7" s="58">
        <f>IF(DAY(INDEX('Сводный годовой график'!$BA$4:$BL$14,$C6,MONTH($B$4)))=O$3,1,0)</f>
        <v>0</v>
      </c>
      <c r="CV7" s="58">
        <f>IF(DAY(INDEX('Сводный годовой график'!$BA$4:$BL$14,$C6,MONTH($B$4)))=P$3,1,0)</f>
        <v>0</v>
      </c>
      <c r="CW7" s="58">
        <f>IF(DAY(INDEX('Сводный годовой график'!$BA$4:$BL$14,$C6,MONTH($B$4)))=Q$3,1,0)</f>
        <v>0</v>
      </c>
      <c r="CX7" s="58">
        <f>IF(DAY(INDEX('Сводный годовой график'!$BA$4:$BL$14,$C6,MONTH($B$4)))=R$3,1,0)</f>
        <v>0</v>
      </c>
      <c r="CY7" s="58">
        <f>IF(DAY(INDEX('Сводный годовой график'!$BA$4:$BL$14,$C6,MONTH($B$4)))=S$3,1,0)</f>
        <v>0</v>
      </c>
      <c r="CZ7" s="58">
        <f>IF(DAY(INDEX('Сводный годовой график'!$BA$4:$BL$14,$C6,MONTH($B$4)))=T$3,1,0)</f>
        <v>0</v>
      </c>
      <c r="DA7" s="58">
        <f>IF(DAY(INDEX('Сводный годовой график'!$BA$4:$BL$14,$C6,MONTH($B$4)))=U$3,1,0)</f>
        <v>0</v>
      </c>
      <c r="DB7" s="58">
        <f>IF(DAY(INDEX('Сводный годовой график'!$BA$4:$BL$14,$C6,MONTH($B$4)))=V$3,1,0)</f>
        <v>0</v>
      </c>
      <c r="DC7" s="58">
        <f>IF(DAY(INDEX('Сводный годовой график'!$BA$4:$BL$14,$C6,MONTH($B$4)))=W$3,1,0)</f>
        <v>0</v>
      </c>
      <c r="DD7" s="58">
        <f>IF(DAY(INDEX('Сводный годовой график'!$BA$4:$BL$14,$C6,MONTH($B$4)))=X$3,1,0)</f>
        <v>0</v>
      </c>
      <c r="DE7" s="58">
        <f>IF(DAY(INDEX('Сводный годовой график'!$BA$4:$BL$14,$C6,MONTH($B$4)))=Y$3,1,0)</f>
        <v>0</v>
      </c>
      <c r="DF7" s="58">
        <f>IF(DAY(INDEX('Сводный годовой график'!$BA$4:$BL$14,$C6,MONTH($B$4)))=Z$3,1,0)</f>
        <v>0</v>
      </c>
      <c r="DG7" s="58">
        <f>IF(DAY(INDEX('Сводный годовой график'!$BA$4:$BL$14,$C6,MONTH($B$4)))=AA$3,1,0)</f>
        <v>0</v>
      </c>
      <c r="DH7" s="58">
        <f>IF(DAY(INDEX('Сводный годовой график'!$BA$4:$BL$14,$C6,MONTH($B$4)))=AB$3,1,0)</f>
        <v>0</v>
      </c>
      <c r="DI7" s="58">
        <f>IF(DAY(INDEX('Сводный годовой график'!$BA$4:$BL$14,$C6,MONTH($B$4)))=AC$3,1,0)</f>
        <v>0</v>
      </c>
      <c r="DJ7" s="58">
        <f>IF(DAY(INDEX('Сводный годовой график'!$BA$4:$BL$14,$C6,MONTH($B$4)))=AD$3,1,0)</f>
        <v>0</v>
      </c>
      <c r="DK7" s="58">
        <f>IF(DAY(INDEX('Сводный годовой график'!$BA$4:$BL$14,$C6,MONTH($B$4)))=AE$3,1,0)</f>
        <v>0</v>
      </c>
      <c r="DL7" s="58">
        <f>IF(DAY(INDEX('Сводный годовой график'!$BA$4:$BL$14,$C6,MONTH($B$4)))=AF$3,1,0)</f>
        <v>0</v>
      </c>
      <c r="DM7" s="58">
        <f>IF(DAY(INDEX('Сводный годовой график'!$BA$4:$BL$14,$C6,MONTH($B$4)))=AG$3,1,0)</f>
        <v>0</v>
      </c>
      <c r="DN7" s="58">
        <f>IF(DAY(INDEX('Сводный годовой график'!$BA$4:$BL$14,$C6,MONTH($B$4)))=AH$3,1,0)</f>
        <v>0</v>
      </c>
      <c r="DO7" s="58">
        <f>IF(DAY(INDEX('Сводный годовой график'!$BA$4:$BL$14,$C6,MONTH($B$4)))=AI$3,1,0)</f>
        <v>0</v>
      </c>
    </row>
    <row r="8" spans="2:119" ht="16.5" thickBot="1" x14ac:dyDescent="0.3">
      <c r="B8" s="201"/>
      <c r="C8" s="196">
        <v>3</v>
      </c>
      <c r="D8" s="81">
        <v>5</v>
      </c>
      <c r="E8" s="92">
        <f ca="1">IF(AND(INDEX('Сводный годовой график'!$C$1:$AR$4,MATCH($C$8,'Сводный годовой график'!$B$1:$B$4),MATCH(DATE($AV$1,MONTH($B$4),E$3),'Сводный годовой график'!$C$5:$AR$5))&lt;&gt;12,INDIRECT(ADDRESS(ROW()+1,COLUMN()))="СП"),8,INDEX('Сводный годовой график'!$C$1:$AR$4,MATCH($C$8,'Сводный годовой график'!$B$1:$B$4),MATCH(DATE($AV$1,MONTH($B$4),E$3),'Сводный годовой график'!$C$5:$AR$5)))</f>
        <v>8</v>
      </c>
      <c r="F8" s="92">
        <f ca="1">IF(AND(INDEX('Сводный годовой график'!$C$1:$AR$4,MATCH($C$8,'Сводный годовой график'!$B$1:$B$4),MATCH(DATE($AV$1,MONTH($B$4),F$3),'Сводный годовой график'!$C$5:$AR$5))&lt;&gt;12,INDIRECT(ADDRESS(ROW()+1,COLUMN()))="СП"),8,INDEX('Сводный годовой график'!$C$1:$AR$4,MATCH($C$8,'Сводный годовой график'!$B$1:$B$4),MATCH(DATE($AV$1,MONTH($B$4),F$3),'Сводный годовой график'!$C$5:$AR$5)))</f>
        <v>12</v>
      </c>
      <c r="G8" s="92">
        <f ca="1">IF(AND(INDEX('Сводный годовой график'!$C$1:$AR$4,MATCH($C$8,'Сводный годовой график'!$B$1:$B$4),MATCH(DATE($AV$1,MONTH($B$4),G$3),'Сводный годовой график'!$C$5:$AR$5))&lt;&gt;12,INDIRECT(ADDRESS(ROW()+1,COLUMN()))="СП"),8,INDEX('Сводный годовой график'!$C$1:$AR$4,MATCH($C$8,'Сводный годовой график'!$B$1:$B$4),MATCH(DATE($AV$1,MONTH($B$4),G$3),'Сводный годовой график'!$C$5:$AR$5)))</f>
        <v>8</v>
      </c>
      <c r="H8" s="92">
        <f ca="1">IF(AND(INDEX('Сводный годовой график'!$C$1:$AR$4,MATCH($C$8,'Сводный годовой график'!$B$1:$B$4),MATCH(DATE($AV$1,MONTH($B$4),H$3),'Сводный годовой график'!$C$5:$AR$5))&lt;&gt;12,INDIRECT(ADDRESS(ROW()+1,COLUMN()))="СП"),8,INDEX('Сводный годовой график'!$C$1:$AR$4,MATCH($C$8,'Сводный годовой график'!$B$1:$B$4),MATCH(DATE($AV$1,MONTH($B$4),H$3),'Сводный годовой график'!$C$5:$AR$5)))</f>
        <v>0</v>
      </c>
      <c r="I8" s="92">
        <f ca="1">IF(AND(INDEX('Сводный годовой график'!$C$1:$AR$4,MATCH($C$8,'Сводный годовой график'!$B$1:$B$4),MATCH(DATE($AV$1,MONTH($B$4),I$3),'Сводный годовой график'!$C$5:$AR$5))&lt;&gt;12,INDIRECT(ADDRESS(ROW()+1,COLUMN()))="СП"),8,INDEX('Сводный годовой график'!$C$1:$AR$4,MATCH($C$8,'Сводный годовой график'!$B$1:$B$4),MATCH(DATE($AV$1,MONTH($B$4),I$3),'Сводный годовой график'!$C$5:$AR$5)))</f>
        <v>4</v>
      </c>
      <c r="J8" s="92">
        <f ca="1">IF(AND(INDEX('Сводный годовой график'!$C$1:$AR$4,MATCH($C$8,'Сводный годовой график'!$B$1:$B$4),MATCH(DATE($AV$1,MONTH($B$4),J$3),'Сводный годовой график'!$C$5:$AR$5))&lt;&gt;12,INDIRECT(ADDRESS(ROW()+1,COLUMN()))="СП"),8,INDEX('Сводный годовой график'!$C$1:$AR$4,MATCH($C$8,'Сводный годовой график'!$B$1:$B$4),MATCH(DATE($AV$1,MONTH($B$4),J$3),'Сводный годовой график'!$C$5:$AR$5)))</f>
        <v>8</v>
      </c>
      <c r="K8" s="92">
        <f ca="1">IF(AND(INDEX('Сводный годовой график'!$C$1:$AR$4,MATCH($C$8,'Сводный годовой график'!$B$1:$B$4),MATCH(DATE($AV$1,MONTH($B$4),K$3),'Сводный годовой график'!$C$5:$AR$5))&lt;&gt;12,INDIRECT(ADDRESS(ROW()+1,COLUMN()))="СП"),8,INDEX('Сводный годовой график'!$C$1:$AR$4,MATCH($C$8,'Сводный годовой график'!$B$1:$B$4),MATCH(DATE($AV$1,MONTH($B$4),K$3),'Сводный годовой график'!$C$5:$AR$5)))</f>
        <v>12</v>
      </c>
      <c r="L8" s="92">
        <f ca="1">IF(AND(INDEX('Сводный годовой график'!$C$1:$AR$4,MATCH($C$8,'Сводный годовой график'!$B$1:$B$4),MATCH(DATE($AV$1,MONTH($B$4),L$3),'Сводный годовой график'!$C$5:$AR$5))&lt;&gt;12,INDIRECT(ADDRESS(ROW()+1,COLUMN()))="СП"),8,INDEX('Сводный годовой график'!$C$1:$AR$4,MATCH($C$8,'Сводный годовой график'!$B$1:$B$4),MATCH(DATE($AV$1,MONTH($B$4),L$3),'Сводный годовой график'!$C$5:$AR$5)))</f>
        <v>4</v>
      </c>
      <c r="M8" s="92">
        <f ca="1">IF(AND(INDEX('Сводный годовой график'!$C$1:$AR$4,MATCH($C$8,'Сводный годовой график'!$B$1:$B$4),MATCH(DATE($AV$1,MONTH($B$4),M$3),'Сводный годовой график'!$C$5:$AR$5))&lt;&gt;12,INDIRECT(ADDRESS(ROW()+1,COLUMN()))="СП"),8,INDEX('Сводный годовой график'!$C$1:$AR$4,MATCH($C$8,'Сводный годовой график'!$B$1:$B$4),MATCH(DATE($AV$1,MONTH($B$4),M$3),'Сводный годовой график'!$C$5:$AR$5)))</f>
        <v>8</v>
      </c>
      <c r="N8" s="92">
        <f ca="1">IF(AND(INDEX('Сводный годовой график'!$C$1:$AR$4,MATCH($C$8,'Сводный годовой график'!$B$1:$B$4),MATCH(DATE($AV$1,MONTH($B$4),N$3),'Сводный годовой график'!$C$5:$AR$5))&lt;&gt;12,INDIRECT(ADDRESS(ROW()+1,COLUMN()))="СП"),8,INDEX('Сводный годовой график'!$C$1:$AR$4,MATCH($C$8,'Сводный годовой график'!$B$1:$B$4),MATCH(DATE($AV$1,MONTH($B$4),N$3),'Сводный годовой график'!$C$5:$AR$5)))</f>
        <v>12</v>
      </c>
      <c r="O8" s="92">
        <f ca="1">IF(AND(INDEX('Сводный годовой график'!$C$1:$AR$4,MATCH($C$8,'Сводный годовой график'!$B$1:$B$4),MATCH(DATE($AV$1,MONTH($B$4),O$3),'Сводный годовой график'!$C$5:$AR$5))&lt;&gt;12,INDIRECT(ADDRESS(ROW()+1,COLUMN()))="СП"),8,INDEX('Сводный годовой график'!$C$1:$AR$4,MATCH($C$8,'Сводный годовой график'!$B$1:$B$4),MATCH(DATE($AV$1,MONTH($B$4),O$3),'Сводный годовой график'!$C$5:$AR$5)))</f>
        <v>0</v>
      </c>
      <c r="P8" s="92">
        <f ca="1">IF(AND(INDEX('Сводный годовой график'!$C$1:$AR$4,MATCH($C$8,'Сводный годовой график'!$B$1:$B$4),MATCH(DATE($AV$1,MONTH($B$4),P$3),'Сводный годовой график'!$C$5:$AR$5))&lt;&gt;12,INDIRECT(ADDRESS(ROW()+1,COLUMN()))="СП"),8,INDEX('Сводный годовой график'!$C$1:$AR$4,MATCH($C$8,'Сводный годовой график'!$B$1:$B$4),MATCH(DATE($AV$1,MONTH($B$4),P$3),'Сводный годовой график'!$C$5:$AR$5)))</f>
        <v>0</v>
      </c>
      <c r="Q8" s="92">
        <f ca="1">IF(AND(INDEX('Сводный годовой график'!$C$1:$AR$4,MATCH($C$8,'Сводный годовой график'!$B$1:$B$4),MATCH(DATE($AV$1,MONTH($B$4),Q$3),'Сводный годовой график'!$C$5:$AR$5))&lt;&gt;12,INDIRECT(ADDRESS(ROW()+1,COLUMN()))="СП"),8,INDEX('Сводный годовой график'!$C$1:$AR$4,MATCH($C$8,'Сводный годовой график'!$B$1:$B$4),MATCH(DATE($AV$1,MONTH($B$4),Q$3),'Сводный годовой график'!$C$5:$AR$5)))</f>
        <v>4</v>
      </c>
      <c r="R8" s="92">
        <f ca="1">IF(AND(INDEX('Сводный годовой график'!$C$1:$AR$4,MATCH($C$8,'Сводный годовой график'!$B$1:$B$4),MATCH(DATE($AV$1,MONTH($B$4),R$3),'Сводный годовой график'!$C$5:$AR$5))&lt;&gt;12,INDIRECT(ADDRESS(ROW()+1,COLUMN()))="СП"),8,INDEX('Сводный годовой график'!$C$1:$AR$4,MATCH($C$8,'Сводный годовой график'!$B$1:$B$4),MATCH(DATE($AV$1,MONTH($B$4),R$3),'Сводный годовой график'!$C$5:$AR$5)))</f>
        <v>8</v>
      </c>
      <c r="S8" s="92">
        <f ca="1">IF(AND(INDEX('Сводный годовой график'!$C$1:$AR$4,MATCH($C$8,'Сводный годовой график'!$B$1:$B$4),MATCH(DATE($AV$1,MONTH($B$4),S$3),'Сводный годовой график'!$C$5:$AR$5))&lt;&gt;12,INDIRECT(ADDRESS(ROW()+1,COLUMN()))="СП"),8,INDEX('Сводный годовой график'!$C$1:$AR$4,MATCH($C$8,'Сводный годовой график'!$B$1:$B$4),MATCH(DATE($AV$1,MONTH($B$4),S$3),'Сводный годовой график'!$C$5:$AR$5)))</f>
        <v>12</v>
      </c>
      <c r="T8" s="92">
        <f ca="1">IF(AND(INDEX('Сводный годовой график'!$C$1:$AR$4,MATCH($C$8,'Сводный годовой график'!$B$1:$B$4),MATCH(DATE($AV$1,MONTH($B$4),T$3),'Сводный годовой график'!$C$5:$AR$5))&lt;&gt;12,INDIRECT(ADDRESS(ROW()+1,COLUMN()))="СП"),8,INDEX('Сводный годовой график'!$C$1:$AR$4,MATCH($C$8,'Сводный годовой график'!$B$1:$B$4),MATCH(DATE($AV$1,MONTH($B$4),T$3),'Сводный годовой график'!$C$5:$AR$5)))</f>
        <v>4</v>
      </c>
      <c r="U8" s="92">
        <f ca="1">IF(AND(INDEX('Сводный годовой график'!$C$1:$AR$4,MATCH($C$8,'Сводный годовой график'!$B$1:$B$4),MATCH(DATE($AV$1,MONTH($B$4),U$3),'Сводный годовой график'!$C$5:$AR$5))&lt;&gt;12,INDIRECT(ADDRESS(ROW()+1,COLUMN()))="СП"),8,INDEX('Сводный годовой график'!$C$1:$AR$4,MATCH($C$8,'Сводный годовой график'!$B$1:$B$4),MATCH(DATE($AV$1,MONTH($B$4),U$3),'Сводный годовой график'!$C$5:$AR$5)))</f>
        <v>8</v>
      </c>
      <c r="V8" s="92">
        <f ca="1">IF(AND(INDEX('Сводный годовой график'!$C$1:$AR$4,MATCH($C$8,'Сводный годовой график'!$B$1:$B$4),MATCH(DATE($AV$1,MONTH($B$4),V$3),'Сводный годовой график'!$C$5:$AR$5))&lt;&gt;12,INDIRECT(ADDRESS(ROW()+1,COLUMN()))="СП"),8,INDEX('Сводный годовой график'!$C$1:$AR$4,MATCH($C$8,'Сводный годовой график'!$B$1:$B$4),MATCH(DATE($AV$1,MONTH($B$4),V$3),'Сводный годовой график'!$C$5:$AR$5)))</f>
        <v>12</v>
      </c>
      <c r="W8" s="92">
        <f ca="1">IF(AND(INDEX('Сводный годовой график'!$C$1:$AR$4,MATCH($C$8,'Сводный годовой график'!$B$1:$B$4),MATCH(DATE($AV$1,MONTH($B$4),W$3),'Сводный годовой график'!$C$5:$AR$5))&lt;&gt;12,INDIRECT(ADDRESS(ROW()+1,COLUMN()))="СП"),8,INDEX('Сводный годовой график'!$C$1:$AR$4,MATCH($C$8,'Сводный годовой график'!$B$1:$B$4),MATCH(DATE($AV$1,MONTH($B$4),W$3),'Сводный годовой график'!$C$5:$AR$5)))</f>
        <v>0</v>
      </c>
      <c r="X8" s="92">
        <f ca="1">IF(AND(INDEX('Сводный годовой график'!$C$1:$AR$4,MATCH($C$8,'Сводный годовой график'!$B$1:$B$4),MATCH(DATE($AV$1,MONTH($B$4),X$3),'Сводный годовой график'!$C$5:$AR$5))&lt;&gt;12,INDIRECT(ADDRESS(ROW()+1,COLUMN()))="СП"),8,INDEX('Сводный годовой график'!$C$1:$AR$4,MATCH($C$8,'Сводный годовой график'!$B$1:$B$4),MATCH(DATE($AV$1,MONTH($B$4),X$3),'Сводный годовой график'!$C$5:$AR$5)))</f>
        <v>0</v>
      </c>
      <c r="Y8" s="92">
        <f ca="1">IF(AND(INDEX('Сводный годовой график'!$C$1:$AR$4,MATCH($C$8,'Сводный годовой график'!$B$1:$B$4),MATCH(DATE($AV$1,MONTH($B$4),Y$3),'Сводный годовой график'!$C$5:$AR$5))&lt;&gt;12,INDIRECT(ADDRESS(ROW()+1,COLUMN()))="СП"),8,INDEX('Сводный годовой график'!$C$1:$AR$4,MATCH($C$8,'Сводный годовой график'!$B$1:$B$4),MATCH(DATE($AV$1,MONTH($B$4),Y$3),'Сводный годовой график'!$C$5:$AR$5)))</f>
        <v>4</v>
      </c>
      <c r="Z8" s="92">
        <f ca="1">IF(AND(INDEX('Сводный годовой график'!$C$1:$AR$4,MATCH($C$8,'Сводный годовой график'!$B$1:$B$4),MATCH(DATE($AV$1,MONTH($B$4),Z$3),'Сводный годовой график'!$C$5:$AR$5))&lt;&gt;12,INDIRECT(ADDRESS(ROW()+1,COLUMN()))="СП"),8,INDEX('Сводный годовой график'!$C$1:$AR$4,MATCH($C$8,'Сводный годовой график'!$B$1:$B$4),MATCH(DATE($AV$1,MONTH($B$4),Z$3),'Сводный годовой график'!$C$5:$AR$5)))</f>
        <v>8</v>
      </c>
      <c r="AA8" s="92">
        <f ca="1">IF(AND(INDEX('Сводный годовой график'!$C$1:$AR$4,MATCH($C$8,'Сводный годовой график'!$B$1:$B$4),MATCH(DATE($AV$1,MONTH($B$4),AA$3),'Сводный годовой график'!$C$5:$AR$5))&lt;&gt;12,INDIRECT(ADDRESS(ROW()+1,COLUMN()))="СП"),8,INDEX('Сводный годовой график'!$C$1:$AR$4,MATCH($C$8,'Сводный годовой график'!$B$1:$B$4),MATCH(DATE($AV$1,MONTH($B$4),AA$3),'Сводный годовой график'!$C$5:$AR$5)))</f>
        <v>12</v>
      </c>
      <c r="AB8" s="92">
        <f ca="1">IF(AND(INDEX('Сводный годовой график'!$C$1:$AR$4,MATCH($C$8,'Сводный годовой график'!$B$1:$B$4),MATCH(DATE($AV$1,MONTH($B$4),AB$3),'Сводный годовой график'!$C$5:$AR$5))&lt;&gt;12,INDIRECT(ADDRESS(ROW()+1,COLUMN()))="СП"),8,INDEX('Сводный годовой график'!$C$1:$AR$4,MATCH($C$8,'Сводный годовой график'!$B$1:$B$4),MATCH(DATE($AV$1,MONTH($B$4),AB$3),'Сводный годовой график'!$C$5:$AR$5)))</f>
        <v>4</v>
      </c>
      <c r="AC8" s="92">
        <f ca="1">IF(AND(INDEX('Сводный годовой график'!$C$1:$AR$4,MATCH($C$8,'Сводный годовой график'!$B$1:$B$4),MATCH(DATE($AV$1,MONTH($B$4),AC$3),'Сводный годовой график'!$C$5:$AR$5))&lt;&gt;12,INDIRECT(ADDRESS(ROW()+1,COLUMN()))="СП"),8,INDEX('Сводный годовой график'!$C$1:$AR$4,MATCH($C$8,'Сводный годовой график'!$B$1:$B$4),MATCH(DATE($AV$1,MONTH($B$4),AC$3),'Сводный годовой график'!$C$5:$AR$5)))</f>
        <v>8</v>
      </c>
      <c r="AD8" s="92">
        <f ca="1">IF(AND(INDEX('Сводный годовой график'!$C$1:$AR$4,MATCH($C$8,'Сводный годовой график'!$B$1:$B$4),MATCH(DATE($AV$1,MONTH($B$4),AD$3),'Сводный годовой график'!$C$5:$AR$5))&lt;&gt;12,INDIRECT(ADDRESS(ROW()+1,COLUMN()))="СП"),8,INDEX('Сводный годовой график'!$C$1:$AR$4,MATCH($C$8,'Сводный годовой график'!$B$1:$B$4),MATCH(DATE($AV$1,MONTH($B$4),AD$3),'Сводный годовой график'!$C$5:$AR$5)))</f>
        <v>12</v>
      </c>
      <c r="AE8" s="92">
        <f ca="1">IF(AND(INDEX('Сводный годовой график'!$C$1:$AR$4,MATCH($C$8,'Сводный годовой график'!$B$1:$B$4),MATCH(DATE($AV$1,MONTH($B$4),AE$3),'Сводный годовой график'!$C$5:$AR$5))&lt;&gt;12,INDIRECT(ADDRESS(ROW()+1,COLUMN()))="СП"),8,INDEX('Сводный годовой график'!$C$1:$AR$4,MATCH($C$8,'Сводный годовой график'!$B$1:$B$4),MATCH(DATE($AV$1,MONTH($B$4),AE$3),'Сводный годовой график'!$C$5:$AR$5)))</f>
        <v>0</v>
      </c>
      <c r="AF8" s="92">
        <f ca="1">IF(AND(INDEX('Сводный годовой график'!$C$1:$AR$4,MATCH($C$8,'Сводный годовой график'!$B$1:$B$4),MATCH(DATE($AV$1,MONTH($B$4),AF$3),'Сводный годовой график'!$C$5:$AR$5))&lt;&gt;12,INDIRECT(ADDRESS(ROW()+1,COLUMN()))="СП"),8,INDEX('Сводный годовой график'!$C$1:$AR$4,MATCH($C$8,'Сводный годовой график'!$B$1:$B$4),MATCH(DATE($AV$1,MONTH($B$4),AF$3),'Сводный годовой график'!$C$5:$AR$5)))</f>
        <v>0</v>
      </c>
      <c r="AG8" s="92">
        <f ca="1">IF(AND(INDEX('Сводный годовой график'!$C$1:$AR$4,MATCH($C$8,'Сводный годовой график'!$B$1:$B$4),MATCH(DATE($AV$1,MONTH($B$4),AG$3),'Сводный годовой график'!$C$5:$AR$5))&lt;&gt;12,INDIRECT(ADDRESS(ROW()+1,COLUMN()))="СП"),8,INDEX('Сводный годовой график'!$C$1:$AR$4,MATCH($C$8,'Сводный годовой график'!$B$1:$B$4),MATCH(DATE($AV$1,MONTH($B$4),AG$3),'Сводный годовой график'!$C$5:$AR$5)))</f>
        <v>4</v>
      </c>
      <c r="AH8" s="92">
        <f ca="1">IF(AND(INDEX('Сводный годовой график'!$C$1:$AR$4,MATCH($C$8,'Сводный годовой график'!$B$1:$B$4),MATCH(DATE($AV$1,MONTH($B$4),AH$3),'Сводный годовой график'!$C$5:$AR$5))&lt;&gt;12,INDIRECT(ADDRESS(ROW()+1,COLUMN()))="СП"),8,INDEX('Сводный годовой график'!$C$1:$AR$4,MATCH($C$8,'Сводный годовой график'!$B$1:$B$4),MATCH(DATE($AV$1,MONTH($B$4),AH$3),'Сводный годовой график'!$C$5:$AR$5)))</f>
        <v>8</v>
      </c>
      <c r="AI8" s="92">
        <f ca="1">IF(AND(INDEX('Сводный годовой график'!$C$1:$AR$4,MATCH($C$8,'Сводный годовой график'!$B$1:$B$4),MATCH(DATE($AV$1,MONTH($B$4),AI$3),'Сводный годовой график'!$C$5:$AR$5))&lt;&gt;12,INDIRECT(ADDRESS(ROW()+1,COLUMN()))="СП"),8,INDEX('Сводный годовой график'!$C$1:$AR$4,MATCH($C$8,'Сводный годовой график'!$B$1:$B$4),MATCH(DATE($AV$1,MONTH($B$4),AI$3),'Сводный годовой график'!$C$5:$AR$5)))</f>
        <v>12</v>
      </c>
      <c r="AJ8" s="206"/>
      <c r="AK8" s="209">
        <f>$AJ$4-SUM(AY8:CC9)</f>
        <v>136</v>
      </c>
      <c r="AL8" s="209">
        <f t="shared" ref="AL8" ca="1" si="7">SUM(E8:AI9)</f>
        <v>196</v>
      </c>
      <c r="AM8" s="209">
        <f ca="1">SUM(E8:L8)</f>
        <v>56</v>
      </c>
      <c r="AN8" s="211">
        <f t="shared" ref="AN8" ca="1" si="8">-AM8-AK8+AL8</f>
        <v>4</v>
      </c>
      <c r="AO8" s="211">
        <v>0</v>
      </c>
      <c r="AP8" s="211">
        <f t="shared" ref="AP8" ca="1" si="9">AN8-AO8</f>
        <v>4</v>
      </c>
      <c r="AQ8" s="209">
        <v>0</v>
      </c>
      <c r="AR8" s="210">
        <v>1</v>
      </c>
      <c r="CK8" s="59"/>
      <c r="CL8" s="59"/>
      <c r="CM8" s="59"/>
      <c r="CN8" s="59"/>
      <c r="CO8" s="59"/>
      <c r="CP8" s="59"/>
      <c r="CQ8" s="59"/>
      <c r="CR8" s="59"/>
      <c r="CS8" s="59"/>
      <c r="CT8" s="59"/>
      <c r="CU8" s="59"/>
      <c r="CV8" s="59"/>
      <c r="CW8" s="59"/>
      <c r="CX8" s="59"/>
      <c r="CY8" s="59"/>
      <c r="CZ8" s="59"/>
      <c r="DA8" s="59"/>
      <c r="DB8" s="59"/>
      <c r="DC8" s="59"/>
      <c r="DD8" s="59"/>
      <c r="DE8" s="59"/>
      <c r="DF8" s="59"/>
      <c r="DG8" s="59"/>
      <c r="DH8" s="59"/>
      <c r="DI8" s="59"/>
      <c r="DJ8" s="59"/>
      <c r="DK8" s="59"/>
      <c r="DL8" s="59"/>
      <c r="DM8" s="59"/>
      <c r="DN8" s="59"/>
      <c r="DO8" s="59"/>
    </row>
    <row r="9" spans="2:119" ht="16.5" thickBot="1" x14ac:dyDescent="0.3">
      <c r="B9" s="201"/>
      <c r="C9" s="197"/>
      <c r="D9" s="82">
        <v>6</v>
      </c>
      <c r="E9" s="92" t="str">
        <f t="shared" ref="E9:AI9" si="10">IF(INDEX($CK$4:$DO$123,ROW()-3,E$3)=0,"","СП")</f>
        <v/>
      </c>
      <c r="F9" s="92" t="str">
        <f t="shared" si="10"/>
        <v/>
      </c>
      <c r="G9" s="92" t="str">
        <f t="shared" si="10"/>
        <v>СП</v>
      </c>
      <c r="H9" s="92" t="str">
        <f t="shared" si="10"/>
        <v/>
      </c>
      <c r="I9" s="92" t="str">
        <f t="shared" si="10"/>
        <v/>
      </c>
      <c r="J9" s="92" t="str">
        <f t="shared" si="10"/>
        <v/>
      </c>
      <c r="K9" s="92" t="str">
        <f t="shared" si="10"/>
        <v/>
      </c>
      <c r="L9" s="92" t="str">
        <f t="shared" si="10"/>
        <v/>
      </c>
      <c r="M9" s="92" t="str">
        <f t="shared" si="10"/>
        <v/>
      </c>
      <c r="N9" s="92" t="str">
        <f t="shared" si="10"/>
        <v/>
      </c>
      <c r="O9" s="92" t="str">
        <f t="shared" si="10"/>
        <v/>
      </c>
      <c r="P9" s="92" t="str">
        <f t="shared" si="10"/>
        <v/>
      </c>
      <c r="Q9" s="92" t="str">
        <f t="shared" si="10"/>
        <v/>
      </c>
      <c r="R9" s="92" t="str">
        <f t="shared" si="10"/>
        <v/>
      </c>
      <c r="S9" s="92" t="str">
        <f t="shared" si="10"/>
        <v/>
      </c>
      <c r="T9" s="92" t="str">
        <f t="shared" si="10"/>
        <v/>
      </c>
      <c r="U9" s="92" t="str">
        <f t="shared" si="10"/>
        <v/>
      </c>
      <c r="V9" s="92" t="str">
        <f t="shared" si="10"/>
        <v/>
      </c>
      <c r="W9" s="92" t="str">
        <f t="shared" si="10"/>
        <v/>
      </c>
      <c r="X9" s="92" t="str">
        <f t="shared" si="10"/>
        <v/>
      </c>
      <c r="Y9" s="92" t="str">
        <f t="shared" si="10"/>
        <v/>
      </c>
      <c r="Z9" s="92" t="str">
        <f t="shared" si="10"/>
        <v/>
      </c>
      <c r="AA9" s="92" t="str">
        <f t="shared" si="10"/>
        <v/>
      </c>
      <c r="AB9" s="92" t="str">
        <f t="shared" si="10"/>
        <v/>
      </c>
      <c r="AC9" s="92" t="str">
        <f t="shared" si="10"/>
        <v/>
      </c>
      <c r="AD9" s="92" t="str">
        <f t="shared" si="10"/>
        <v/>
      </c>
      <c r="AE9" s="92" t="str">
        <f t="shared" si="10"/>
        <v/>
      </c>
      <c r="AF9" s="92" t="str">
        <f t="shared" si="10"/>
        <v/>
      </c>
      <c r="AG9" s="92" t="str">
        <f t="shared" si="10"/>
        <v/>
      </c>
      <c r="AH9" s="92" t="str">
        <f t="shared" si="10"/>
        <v/>
      </c>
      <c r="AI9" s="92" t="str">
        <f t="shared" si="10"/>
        <v/>
      </c>
      <c r="AJ9" s="206"/>
      <c r="AK9" s="209"/>
      <c r="AL9" s="209"/>
      <c r="AM9" s="209"/>
      <c r="AN9" s="211"/>
      <c r="AO9" s="211"/>
      <c r="AP9" s="211"/>
      <c r="AQ9" s="209"/>
      <c r="AR9" s="210"/>
      <c r="CK9" s="58">
        <f>IF(DAY(INDEX('Сводный годовой график'!$BA$4:$BL$14,$C8,MONTH($B$4)))=E$3,1,0)</f>
        <v>0</v>
      </c>
      <c r="CL9" s="58">
        <f>IF(DAY(INDEX('Сводный годовой график'!$BA$4:$BL$14,$C8,MONTH($B$4)))=F$3,1,0)</f>
        <v>0</v>
      </c>
      <c r="CM9" s="58">
        <f>IF(DAY(INDEX('Сводный годовой график'!$BA$4:$BL$14,$C8,MONTH($B$4)))=G$3,1,0)</f>
        <v>1</v>
      </c>
      <c r="CN9" s="58">
        <f>IF(DAY(INDEX('Сводный годовой график'!$BA$4:$BL$14,$C8,MONTH($B$4)))=H$3,1,0)</f>
        <v>0</v>
      </c>
      <c r="CO9" s="58">
        <f>IF(DAY(INDEX('Сводный годовой график'!$BA$4:$BL$14,$C8,MONTH($B$4)))=I$3,1,0)</f>
        <v>0</v>
      </c>
      <c r="CP9" s="58">
        <f>IF(DAY(INDEX('Сводный годовой график'!$BA$4:$BL$14,$C8,MONTH($B$4)))=J$3,1,0)</f>
        <v>0</v>
      </c>
      <c r="CQ9" s="58">
        <f>IF(DAY(INDEX('Сводный годовой график'!$BA$4:$BL$14,$C8,MONTH($B$4)))=K$3,1,0)</f>
        <v>0</v>
      </c>
      <c r="CR9" s="58">
        <f>IF(DAY(INDEX('Сводный годовой график'!$BA$4:$BL$14,$C8,MONTH($B$4)))=L$3,1,0)</f>
        <v>0</v>
      </c>
      <c r="CS9" s="58">
        <f>IF(DAY(INDEX('Сводный годовой график'!$BA$4:$BL$14,$C8,MONTH($B$4)))=M$3,1,0)</f>
        <v>0</v>
      </c>
      <c r="CT9" s="58">
        <f>IF(DAY(INDEX('Сводный годовой график'!$BA$4:$BL$14,$C8,MONTH($B$4)))=N$3,1,0)</f>
        <v>0</v>
      </c>
      <c r="CU9" s="58">
        <f>IF(DAY(INDEX('Сводный годовой график'!$BA$4:$BL$14,$C8,MONTH($B$4)))=O$3,1,0)</f>
        <v>0</v>
      </c>
      <c r="CV9" s="58">
        <f>IF(DAY(INDEX('Сводный годовой график'!$BA$4:$BL$14,$C8,MONTH($B$4)))=P$3,1,0)</f>
        <v>0</v>
      </c>
      <c r="CW9" s="58">
        <f>IF(DAY(INDEX('Сводный годовой график'!$BA$4:$BL$14,$C8,MONTH($B$4)))=Q$3,1,0)</f>
        <v>0</v>
      </c>
      <c r="CX9" s="58">
        <f>IF(DAY(INDEX('Сводный годовой график'!$BA$4:$BL$14,$C8,MONTH($B$4)))=R$3,1,0)</f>
        <v>0</v>
      </c>
      <c r="CY9" s="58">
        <f>IF(DAY(INDEX('Сводный годовой график'!$BA$4:$BL$14,$C8,MONTH($B$4)))=S$3,1,0)</f>
        <v>0</v>
      </c>
      <c r="CZ9" s="58">
        <f>IF(DAY(INDEX('Сводный годовой график'!$BA$4:$BL$14,$C8,MONTH($B$4)))=T$3,1,0)</f>
        <v>0</v>
      </c>
      <c r="DA9" s="58">
        <f>IF(DAY(INDEX('Сводный годовой график'!$BA$4:$BL$14,$C8,MONTH($B$4)))=U$3,1,0)</f>
        <v>0</v>
      </c>
      <c r="DB9" s="58">
        <f>IF(DAY(INDEX('Сводный годовой график'!$BA$4:$BL$14,$C8,MONTH($B$4)))=V$3,1,0)</f>
        <v>0</v>
      </c>
      <c r="DC9" s="58">
        <f>IF(DAY(INDEX('Сводный годовой график'!$BA$4:$BL$14,$C8,MONTH($B$4)))=W$3,1,0)</f>
        <v>0</v>
      </c>
      <c r="DD9" s="58">
        <f>IF(DAY(INDEX('Сводный годовой график'!$BA$4:$BL$14,$C8,MONTH($B$4)))=X$3,1,0)</f>
        <v>0</v>
      </c>
      <c r="DE9" s="58">
        <f>IF(DAY(INDEX('Сводный годовой график'!$BA$4:$BL$14,$C8,MONTH($B$4)))=Y$3,1,0)</f>
        <v>0</v>
      </c>
      <c r="DF9" s="58">
        <f>IF(DAY(INDEX('Сводный годовой график'!$BA$4:$BL$14,$C8,MONTH($B$4)))=Z$3,1,0)</f>
        <v>0</v>
      </c>
      <c r="DG9" s="58">
        <f>IF(DAY(INDEX('Сводный годовой график'!$BA$4:$BL$14,$C8,MONTH($B$4)))=AA$3,1,0)</f>
        <v>0</v>
      </c>
      <c r="DH9" s="58">
        <f>IF(DAY(INDEX('Сводный годовой график'!$BA$4:$BL$14,$C8,MONTH($B$4)))=AB$3,1,0)</f>
        <v>0</v>
      </c>
      <c r="DI9" s="58">
        <f>IF(DAY(INDEX('Сводный годовой график'!$BA$4:$BL$14,$C8,MONTH($B$4)))=AC$3,1,0)</f>
        <v>0</v>
      </c>
      <c r="DJ9" s="58">
        <f>IF(DAY(INDEX('Сводный годовой график'!$BA$4:$BL$14,$C8,MONTH($B$4)))=AD$3,1,0)</f>
        <v>0</v>
      </c>
      <c r="DK9" s="58">
        <f>IF(DAY(INDEX('Сводный годовой график'!$BA$4:$BL$14,$C8,MONTH($B$4)))=AE$3,1,0)</f>
        <v>0</v>
      </c>
      <c r="DL9" s="58">
        <f>IF(DAY(INDEX('Сводный годовой график'!$BA$4:$BL$14,$C8,MONTH($B$4)))=AF$3,1,0)</f>
        <v>0</v>
      </c>
      <c r="DM9" s="58">
        <f>IF(DAY(INDEX('Сводный годовой график'!$BA$4:$BL$14,$C8,MONTH($B$4)))=AG$3,1,0)</f>
        <v>0</v>
      </c>
      <c r="DN9" s="58">
        <f>IF(DAY(INDEX('Сводный годовой график'!$BA$4:$BL$14,$C8,MONTH($B$4)))=AH$3,1,0)</f>
        <v>0</v>
      </c>
      <c r="DO9" s="58">
        <f>IF(DAY(INDEX('Сводный годовой график'!$BA$4:$BL$14,$C8,MONTH($B$4)))=AI$3,1,0)</f>
        <v>0</v>
      </c>
    </row>
    <row r="10" spans="2:119" ht="16.5" thickBot="1" x14ac:dyDescent="0.3">
      <c r="B10" s="201"/>
      <c r="C10" s="196">
        <v>4</v>
      </c>
      <c r="D10" s="81">
        <v>7</v>
      </c>
      <c r="E10" s="92">
        <f ca="1">IF(AND(INDEX('Сводный годовой график'!$C$1:$AR$4,MATCH($C$10,'Сводный годовой график'!$B$1:$B$4),MATCH(DATE($AV$1,MONTH($B$4),E$3),'Сводный годовой график'!$C$5:$AR$5))&lt;&gt;12,INDIRECT(ADDRESS(ROW()+1,COLUMN()))="СП"),8,INDEX('Сводный годовой график'!$C$1:$AR$4,MATCH($C$10,'Сводный годовой график'!$B$1:$B$4),MATCH(DATE($AV$1,MONTH($B$4),E$3),'Сводный годовой график'!$C$5:$AR$5)))</f>
        <v>12</v>
      </c>
      <c r="F10" s="92">
        <f ca="1">IF(AND(INDEX('Сводный годовой график'!$C$1:$AR$4,MATCH($C$10,'Сводный годовой график'!$B$1:$B$4),MATCH(DATE($AV$1,MONTH($B$4),F$3),'Сводный годовой график'!$C$5:$AR$5))&lt;&gt;12,INDIRECT(ADDRESS(ROW()+1,COLUMN()))="СП"),8,INDEX('Сводный годовой график'!$C$1:$AR$4,MATCH($C$10,'Сводный годовой график'!$B$1:$B$4),MATCH(DATE($AV$1,MONTH($B$4),F$3),'Сводный годовой график'!$C$5:$AR$5)))</f>
        <v>4</v>
      </c>
      <c r="G10" s="92">
        <f ca="1">IF(AND(INDEX('Сводный годовой график'!$C$1:$AR$4,MATCH($C$10,'Сводный годовой график'!$B$1:$B$4),MATCH(DATE($AV$1,MONTH($B$4),G$3),'Сводный годовой график'!$C$5:$AR$5))&lt;&gt;12,INDIRECT(ADDRESS(ROW()+1,COLUMN()))="СП"),8,INDEX('Сводный годовой график'!$C$1:$AR$4,MATCH($C$10,'Сводный годовой график'!$B$1:$B$4),MATCH(DATE($AV$1,MONTH($B$4),G$3),'Сводный годовой график'!$C$5:$AR$5)))</f>
        <v>8</v>
      </c>
      <c r="H10" s="92">
        <f ca="1">IF(AND(INDEX('Сводный годовой график'!$C$1:$AR$4,MATCH($C$10,'Сводный годовой график'!$B$1:$B$4),MATCH(DATE($AV$1,MONTH($B$4),H$3),'Сводный годовой график'!$C$5:$AR$5))&lt;&gt;12,INDIRECT(ADDRESS(ROW()+1,COLUMN()))="СП"),8,INDEX('Сводный годовой график'!$C$1:$AR$4,MATCH($C$10,'Сводный годовой график'!$B$1:$B$4),MATCH(DATE($AV$1,MONTH($B$4),H$3),'Сводный годовой график'!$C$5:$AR$5)))</f>
        <v>12</v>
      </c>
      <c r="I10" s="92">
        <f ca="1">IF(AND(INDEX('Сводный годовой график'!$C$1:$AR$4,MATCH($C$10,'Сводный годовой график'!$B$1:$B$4),MATCH(DATE($AV$1,MONTH($B$4),I$3),'Сводный годовой график'!$C$5:$AR$5))&lt;&gt;12,INDIRECT(ADDRESS(ROW()+1,COLUMN()))="СП"),8,INDEX('Сводный годовой график'!$C$1:$AR$4,MATCH($C$10,'Сводный годовой график'!$B$1:$B$4),MATCH(DATE($AV$1,MONTH($B$4),I$3),'Сводный годовой график'!$C$5:$AR$5)))</f>
        <v>0</v>
      </c>
      <c r="J10" s="92">
        <f ca="1">IF(AND(INDEX('Сводный годовой график'!$C$1:$AR$4,MATCH($C$10,'Сводный годовой график'!$B$1:$B$4),MATCH(DATE($AV$1,MONTH($B$4),J$3),'Сводный годовой график'!$C$5:$AR$5))&lt;&gt;12,INDIRECT(ADDRESS(ROW()+1,COLUMN()))="СП"),8,INDEX('Сводный годовой график'!$C$1:$AR$4,MATCH($C$10,'Сводный годовой график'!$B$1:$B$4),MATCH(DATE($AV$1,MONTH($B$4),J$3),'Сводный годовой график'!$C$5:$AR$5)))</f>
        <v>0</v>
      </c>
      <c r="K10" s="92">
        <f ca="1">IF(AND(INDEX('Сводный годовой график'!$C$1:$AR$4,MATCH($C$10,'Сводный годовой график'!$B$1:$B$4),MATCH(DATE($AV$1,MONTH($B$4),K$3),'Сводный годовой график'!$C$5:$AR$5))&lt;&gt;12,INDIRECT(ADDRESS(ROW()+1,COLUMN()))="СП"),8,INDEX('Сводный годовой график'!$C$1:$AR$4,MATCH($C$10,'Сводный годовой график'!$B$1:$B$4),MATCH(DATE($AV$1,MONTH($B$4),K$3),'Сводный годовой график'!$C$5:$AR$5)))</f>
        <v>4</v>
      </c>
      <c r="L10" s="92">
        <f ca="1">IF(AND(INDEX('Сводный годовой график'!$C$1:$AR$4,MATCH($C$10,'Сводный годовой график'!$B$1:$B$4),MATCH(DATE($AV$1,MONTH($B$4),L$3),'Сводный годовой график'!$C$5:$AR$5))&lt;&gt;12,INDIRECT(ADDRESS(ROW()+1,COLUMN()))="СП"),8,INDEX('Сводный годовой график'!$C$1:$AR$4,MATCH($C$10,'Сводный годовой график'!$B$1:$B$4),MATCH(DATE($AV$1,MONTH($B$4),L$3),'Сводный годовой график'!$C$5:$AR$5)))</f>
        <v>8</v>
      </c>
      <c r="M10" s="92">
        <f ca="1">IF(AND(INDEX('Сводный годовой график'!$C$1:$AR$4,MATCH($C$10,'Сводный годовой график'!$B$1:$B$4),MATCH(DATE($AV$1,MONTH($B$4),M$3),'Сводный годовой график'!$C$5:$AR$5))&lt;&gt;12,INDIRECT(ADDRESS(ROW()+1,COLUMN()))="СП"),8,INDEX('Сводный годовой график'!$C$1:$AR$4,MATCH($C$10,'Сводный годовой график'!$B$1:$B$4),MATCH(DATE($AV$1,MONTH($B$4),M$3),'Сводный годовой график'!$C$5:$AR$5)))</f>
        <v>12</v>
      </c>
      <c r="N10" s="92">
        <f ca="1">IF(AND(INDEX('Сводный годовой график'!$C$1:$AR$4,MATCH($C$10,'Сводный годовой график'!$B$1:$B$4),MATCH(DATE($AV$1,MONTH($B$4),N$3),'Сводный годовой график'!$C$5:$AR$5))&lt;&gt;12,INDIRECT(ADDRESS(ROW()+1,COLUMN()))="СП"),8,INDEX('Сводный годовой график'!$C$1:$AR$4,MATCH($C$10,'Сводный годовой график'!$B$1:$B$4),MATCH(DATE($AV$1,MONTH($B$4),N$3),'Сводный годовой график'!$C$5:$AR$5)))</f>
        <v>4</v>
      </c>
      <c r="O10" s="92">
        <f ca="1">IF(AND(INDEX('Сводный годовой график'!$C$1:$AR$4,MATCH($C$10,'Сводный годовой график'!$B$1:$B$4),MATCH(DATE($AV$1,MONTH($B$4),O$3),'Сводный годовой график'!$C$5:$AR$5))&lt;&gt;12,INDIRECT(ADDRESS(ROW()+1,COLUMN()))="СП"),8,INDEX('Сводный годовой график'!$C$1:$AR$4,MATCH($C$10,'Сводный годовой график'!$B$1:$B$4),MATCH(DATE($AV$1,MONTH($B$4),O$3),'Сводный годовой график'!$C$5:$AR$5)))</f>
        <v>8</v>
      </c>
      <c r="P10" s="92">
        <f ca="1">IF(AND(INDEX('Сводный годовой график'!$C$1:$AR$4,MATCH($C$10,'Сводный годовой график'!$B$1:$B$4),MATCH(DATE($AV$1,MONTH($B$4),P$3),'Сводный годовой график'!$C$5:$AR$5))&lt;&gt;12,INDIRECT(ADDRESS(ROW()+1,COLUMN()))="СП"),8,INDEX('Сводный годовой график'!$C$1:$AR$4,MATCH($C$10,'Сводный годовой график'!$B$1:$B$4),MATCH(DATE($AV$1,MONTH($B$4),P$3),'Сводный годовой график'!$C$5:$AR$5)))</f>
        <v>12</v>
      </c>
      <c r="Q10" s="92">
        <f ca="1">IF(AND(INDEX('Сводный годовой график'!$C$1:$AR$4,MATCH($C$10,'Сводный годовой график'!$B$1:$B$4),MATCH(DATE($AV$1,MONTH($B$4),Q$3),'Сводный годовой график'!$C$5:$AR$5))&lt;&gt;12,INDIRECT(ADDRESS(ROW()+1,COLUMN()))="СП"),8,INDEX('Сводный годовой график'!$C$1:$AR$4,MATCH($C$10,'Сводный годовой график'!$B$1:$B$4),MATCH(DATE($AV$1,MONTH($B$4),Q$3),'Сводный годовой график'!$C$5:$AR$5)))</f>
        <v>0</v>
      </c>
      <c r="R10" s="92">
        <f ca="1">IF(AND(INDEX('Сводный годовой график'!$C$1:$AR$4,MATCH($C$10,'Сводный годовой график'!$B$1:$B$4),MATCH(DATE($AV$1,MONTH($B$4),R$3),'Сводный годовой график'!$C$5:$AR$5))&lt;&gt;12,INDIRECT(ADDRESS(ROW()+1,COLUMN()))="СП"),8,INDEX('Сводный годовой график'!$C$1:$AR$4,MATCH($C$10,'Сводный годовой график'!$B$1:$B$4),MATCH(DATE($AV$1,MONTH($B$4),R$3),'Сводный годовой график'!$C$5:$AR$5)))</f>
        <v>0</v>
      </c>
      <c r="S10" s="92">
        <f ca="1">IF(AND(INDEX('Сводный годовой график'!$C$1:$AR$4,MATCH($C$10,'Сводный годовой график'!$B$1:$B$4),MATCH(DATE($AV$1,MONTH($B$4),S$3),'Сводный годовой график'!$C$5:$AR$5))&lt;&gt;12,INDIRECT(ADDRESS(ROW()+1,COLUMN()))="СП"),8,INDEX('Сводный годовой график'!$C$1:$AR$4,MATCH($C$10,'Сводный годовой график'!$B$1:$B$4),MATCH(DATE($AV$1,MONTH($B$4),S$3),'Сводный годовой график'!$C$5:$AR$5)))</f>
        <v>4</v>
      </c>
      <c r="T10" s="92">
        <f ca="1">IF(AND(INDEX('Сводный годовой график'!$C$1:$AR$4,MATCH($C$10,'Сводный годовой график'!$B$1:$B$4),MATCH(DATE($AV$1,MONTH($B$4),T$3),'Сводный годовой график'!$C$5:$AR$5))&lt;&gt;12,INDIRECT(ADDRESS(ROW()+1,COLUMN()))="СП"),8,INDEX('Сводный годовой график'!$C$1:$AR$4,MATCH($C$10,'Сводный годовой график'!$B$1:$B$4),MATCH(DATE($AV$1,MONTH($B$4),T$3),'Сводный годовой график'!$C$5:$AR$5)))</f>
        <v>8</v>
      </c>
      <c r="U10" s="92">
        <f ca="1">IF(AND(INDEX('Сводный годовой график'!$C$1:$AR$4,MATCH($C$10,'Сводный годовой график'!$B$1:$B$4),MATCH(DATE($AV$1,MONTH($B$4),U$3),'Сводный годовой график'!$C$5:$AR$5))&lt;&gt;12,INDIRECT(ADDRESS(ROW()+1,COLUMN()))="СП"),8,INDEX('Сводный годовой график'!$C$1:$AR$4,MATCH($C$10,'Сводный годовой график'!$B$1:$B$4),MATCH(DATE($AV$1,MONTH($B$4),U$3),'Сводный годовой график'!$C$5:$AR$5)))</f>
        <v>12</v>
      </c>
      <c r="V10" s="92">
        <f ca="1">IF(AND(INDEX('Сводный годовой график'!$C$1:$AR$4,MATCH($C$10,'Сводный годовой график'!$B$1:$B$4),MATCH(DATE($AV$1,MONTH($B$4),V$3),'Сводный годовой график'!$C$5:$AR$5))&lt;&gt;12,INDIRECT(ADDRESS(ROW()+1,COLUMN()))="СП"),8,INDEX('Сводный годовой график'!$C$1:$AR$4,MATCH($C$10,'Сводный годовой график'!$B$1:$B$4),MATCH(DATE($AV$1,MONTH($B$4),V$3),'Сводный годовой график'!$C$5:$AR$5)))</f>
        <v>4</v>
      </c>
      <c r="W10" s="92">
        <f ca="1">IF(AND(INDEX('Сводный годовой график'!$C$1:$AR$4,MATCH($C$10,'Сводный годовой график'!$B$1:$B$4),MATCH(DATE($AV$1,MONTH($B$4),W$3),'Сводный годовой график'!$C$5:$AR$5))&lt;&gt;12,INDIRECT(ADDRESS(ROW()+1,COLUMN()))="СП"),8,INDEX('Сводный годовой график'!$C$1:$AR$4,MATCH($C$10,'Сводный годовой график'!$B$1:$B$4),MATCH(DATE($AV$1,MONTH($B$4),W$3),'Сводный годовой график'!$C$5:$AR$5)))</f>
        <v>8</v>
      </c>
      <c r="X10" s="92">
        <f ca="1">IF(AND(INDEX('Сводный годовой график'!$C$1:$AR$4,MATCH($C$10,'Сводный годовой график'!$B$1:$B$4),MATCH(DATE($AV$1,MONTH($B$4),X$3),'Сводный годовой график'!$C$5:$AR$5))&lt;&gt;12,INDIRECT(ADDRESS(ROW()+1,COLUMN()))="СП"),8,INDEX('Сводный годовой график'!$C$1:$AR$4,MATCH($C$10,'Сводный годовой график'!$B$1:$B$4),MATCH(DATE($AV$1,MONTH($B$4),X$3),'Сводный годовой график'!$C$5:$AR$5)))</f>
        <v>12</v>
      </c>
      <c r="Y10" s="92">
        <f ca="1">IF(AND(INDEX('Сводный годовой график'!$C$1:$AR$4,MATCH($C$10,'Сводный годовой график'!$B$1:$B$4),MATCH(DATE($AV$1,MONTH($B$4),Y$3),'Сводный годовой график'!$C$5:$AR$5))&lt;&gt;12,INDIRECT(ADDRESS(ROW()+1,COLUMN()))="СП"),8,INDEX('Сводный годовой график'!$C$1:$AR$4,MATCH($C$10,'Сводный годовой график'!$B$1:$B$4),MATCH(DATE($AV$1,MONTH($B$4),Y$3),'Сводный годовой график'!$C$5:$AR$5)))</f>
        <v>0</v>
      </c>
      <c r="Z10" s="92">
        <f ca="1">IF(AND(INDEX('Сводный годовой график'!$C$1:$AR$4,MATCH($C$10,'Сводный годовой график'!$B$1:$B$4),MATCH(DATE($AV$1,MONTH($B$4),Z$3),'Сводный годовой график'!$C$5:$AR$5))&lt;&gt;12,INDIRECT(ADDRESS(ROW()+1,COLUMN()))="СП"),8,INDEX('Сводный годовой график'!$C$1:$AR$4,MATCH($C$10,'Сводный годовой график'!$B$1:$B$4),MATCH(DATE($AV$1,MONTH($B$4),Z$3),'Сводный годовой график'!$C$5:$AR$5)))</f>
        <v>0</v>
      </c>
      <c r="AA10" s="92">
        <f ca="1">IF(AND(INDEX('Сводный годовой график'!$C$1:$AR$4,MATCH($C$10,'Сводный годовой график'!$B$1:$B$4),MATCH(DATE($AV$1,MONTH($B$4),AA$3),'Сводный годовой график'!$C$5:$AR$5))&lt;&gt;12,INDIRECT(ADDRESS(ROW()+1,COLUMN()))="СП"),8,INDEX('Сводный годовой график'!$C$1:$AR$4,MATCH($C$10,'Сводный годовой график'!$B$1:$B$4),MATCH(DATE($AV$1,MONTH($B$4),AA$3),'Сводный годовой график'!$C$5:$AR$5)))</f>
        <v>4</v>
      </c>
      <c r="AB10" s="92">
        <f ca="1">IF(AND(INDEX('Сводный годовой график'!$C$1:$AR$4,MATCH($C$10,'Сводный годовой график'!$B$1:$B$4),MATCH(DATE($AV$1,MONTH($B$4),AB$3),'Сводный годовой график'!$C$5:$AR$5))&lt;&gt;12,INDIRECT(ADDRESS(ROW()+1,COLUMN()))="СП"),8,INDEX('Сводный годовой график'!$C$1:$AR$4,MATCH($C$10,'Сводный годовой график'!$B$1:$B$4),MATCH(DATE($AV$1,MONTH($B$4),AB$3),'Сводный годовой график'!$C$5:$AR$5)))</f>
        <v>8</v>
      </c>
      <c r="AC10" s="92">
        <f ca="1">IF(AND(INDEX('Сводный годовой график'!$C$1:$AR$4,MATCH($C$10,'Сводный годовой график'!$B$1:$B$4),MATCH(DATE($AV$1,MONTH($B$4),AC$3),'Сводный годовой график'!$C$5:$AR$5))&lt;&gt;12,INDIRECT(ADDRESS(ROW()+1,COLUMN()))="СП"),8,INDEX('Сводный годовой график'!$C$1:$AR$4,MATCH($C$10,'Сводный годовой график'!$B$1:$B$4),MATCH(DATE($AV$1,MONTH($B$4),AC$3),'Сводный годовой график'!$C$5:$AR$5)))</f>
        <v>12</v>
      </c>
      <c r="AD10" s="92">
        <f ca="1">IF(AND(INDEX('Сводный годовой график'!$C$1:$AR$4,MATCH($C$10,'Сводный годовой график'!$B$1:$B$4),MATCH(DATE($AV$1,MONTH($B$4),AD$3),'Сводный годовой график'!$C$5:$AR$5))&lt;&gt;12,INDIRECT(ADDRESS(ROW()+1,COLUMN()))="СП"),8,INDEX('Сводный годовой график'!$C$1:$AR$4,MATCH($C$10,'Сводный годовой график'!$B$1:$B$4),MATCH(DATE($AV$1,MONTH($B$4),AD$3),'Сводный годовой график'!$C$5:$AR$5)))</f>
        <v>4</v>
      </c>
      <c r="AE10" s="92">
        <f ca="1">IF(AND(INDEX('Сводный годовой график'!$C$1:$AR$4,MATCH($C$10,'Сводный годовой график'!$B$1:$B$4),MATCH(DATE($AV$1,MONTH($B$4),AE$3),'Сводный годовой график'!$C$5:$AR$5))&lt;&gt;12,INDIRECT(ADDRESS(ROW()+1,COLUMN()))="СП"),8,INDEX('Сводный годовой график'!$C$1:$AR$4,MATCH($C$10,'Сводный годовой график'!$B$1:$B$4),MATCH(DATE($AV$1,MONTH($B$4),AE$3),'Сводный годовой график'!$C$5:$AR$5)))</f>
        <v>8</v>
      </c>
      <c r="AF10" s="92">
        <f ca="1">IF(AND(INDEX('Сводный годовой график'!$C$1:$AR$4,MATCH($C$10,'Сводный годовой график'!$B$1:$B$4),MATCH(DATE($AV$1,MONTH($B$4),AF$3),'Сводный годовой график'!$C$5:$AR$5))&lt;&gt;12,INDIRECT(ADDRESS(ROW()+1,COLUMN()))="СП"),8,INDEX('Сводный годовой график'!$C$1:$AR$4,MATCH($C$10,'Сводный годовой график'!$B$1:$B$4),MATCH(DATE($AV$1,MONTH($B$4),AF$3),'Сводный годовой график'!$C$5:$AR$5)))</f>
        <v>12</v>
      </c>
      <c r="AG10" s="92">
        <f ca="1">IF(AND(INDEX('Сводный годовой график'!$C$1:$AR$4,MATCH($C$10,'Сводный годовой график'!$B$1:$B$4),MATCH(DATE($AV$1,MONTH($B$4),AG$3),'Сводный годовой график'!$C$5:$AR$5))&lt;&gt;12,INDIRECT(ADDRESS(ROW()+1,COLUMN()))="СП"),8,INDEX('Сводный годовой график'!$C$1:$AR$4,MATCH($C$10,'Сводный годовой график'!$B$1:$B$4),MATCH(DATE($AV$1,MONTH($B$4),AG$3),'Сводный годовой график'!$C$5:$AR$5)))</f>
        <v>0</v>
      </c>
      <c r="AH10" s="92">
        <f ca="1">IF(AND(INDEX('Сводный годовой график'!$C$1:$AR$4,MATCH($C$10,'Сводный годовой график'!$B$1:$B$4),MATCH(DATE($AV$1,MONTH($B$4),AH$3),'Сводный годовой график'!$C$5:$AR$5))&lt;&gt;12,INDIRECT(ADDRESS(ROW()+1,COLUMN()))="СП"),8,INDEX('Сводный годовой график'!$C$1:$AR$4,MATCH($C$10,'Сводный годовой график'!$B$1:$B$4),MATCH(DATE($AV$1,MONTH($B$4),AH$3),'Сводный годовой график'!$C$5:$AR$5)))</f>
        <v>0</v>
      </c>
      <c r="AI10" s="92">
        <f ca="1">IF(AND(INDEX('Сводный годовой график'!$C$1:$AR$4,MATCH($C$10,'Сводный годовой график'!$B$1:$B$4),MATCH(DATE($AV$1,MONTH($B$4),AI$3),'Сводный годовой график'!$C$5:$AR$5))&lt;&gt;12,INDIRECT(ADDRESS(ROW()+1,COLUMN()))="СП"),8,INDEX('Сводный годовой график'!$C$1:$AR$4,MATCH($C$10,'Сводный годовой график'!$B$1:$B$4),MATCH(DATE($AV$1,MONTH($B$4),AI$3),'Сводный годовой график'!$C$5:$AR$5)))</f>
        <v>4</v>
      </c>
      <c r="AJ10" s="206"/>
      <c r="AK10" s="209">
        <f>$AJ$4-SUM(AY10:CC11)</f>
        <v>136</v>
      </c>
      <c r="AL10" s="209">
        <f t="shared" ref="AL10" ca="1" si="11">SUM(E10:AI11)</f>
        <v>184</v>
      </c>
      <c r="AM10" s="209">
        <f t="shared" ref="AM10" ca="1" si="12">SUM(E10:L10)</f>
        <v>48</v>
      </c>
      <c r="AN10" s="211">
        <f t="shared" ref="AN10" ca="1" si="13">-AM10-AK10+AL10</f>
        <v>0</v>
      </c>
      <c r="AO10" s="211">
        <v>0</v>
      </c>
      <c r="AP10" s="211">
        <f t="shared" ref="AP10" ca="1" si="14">AN10-AO10</f>
        <v>0</v>
      </c>
      <c r="AQ10" s="209">
        <v>0</v>
      </c>
      <c r="AR10" s="210">
        <v>1</v>
      </c>
      <c r="CK10" s="59"/>
      <c r="CL10" s="59"/>
      <c r="CM10" s="59"/>
      <c r="CN10" s="59"/>
      <c r="CO10" s="59"/>
      <c r="CP10" s="59"/>
      <c r="CQ10" s="59"/>
      <c r="CR10" s="59"/>
      <c r="CS10" s="59"/>
      <c r="CT10" s="59"/>
      <c r="CU10" s="59"/>
      <c r="CV10" s="59"/>
      <c r="CW10" s="59"/>
      <c r="CX10" s="59"/>
      <c r="CY10" s="59"/>
      <c r="CZ10" s="59"/>
      <c r="DA10" s="59"/>
      <c r="DB10" s="59"/>
      <c r="DC10" s="59"/>
      <c r="DD10" s="59"/>
      <c r="DE10" s="59"/>
      <c r="DF10" s="59"/>
      <c r="DG10" s="59"/>
      <c r="DH10" s="59"/>
      <c r="DI10" s="59"/>
      <c r="DJ10" s="59"/>
      <c r="DK10" s="59"/>
      <c r="DL10" s="59"/>
      <c r="DM10" s="59"/>
      <c r="DN10" s="59"/>
      <c r="DO10" s="59"/>
    </row>
    <row r="11" spans="2:119" ht="16.5" thickBot="1" x14ac:dyDescent="0.3">
      <c r="B11" s="201"/>
      <c r="C11" s="197"/>
      <c r="D11" s="82">
        <v>8</v>
      </c>
      <c r="E11" s="92" t="str">
        <f t="shared" ref="E11:AI11" si="15">IF(INDEX($CK$4:$DO$123,ROW()-3,E$3)=0,"","СП")</f>
        <v/>
      </c>
      <c r="F11" s="92" t="str">
        <f t="shared" si="15"/>
        <v/>
      </c>
      <c r="G11" s="92" t="str">
        <f t="shared" si="15"/>
        <v/>
      </c>
      <c r="H11" s="92" t="str">
        <f t="shared" si="15"/>
        <v>СП</v>
      </c>
      <c r="I11" s="92" t="str">
        <f t="shared" si="15"/>
        <v/>
      </c>
      <c r="J11" s="92" t="str">
        <f t="shared" si="15"/>
        <v/>
      </c>
      <c r="K11" s="92" t="str">
        <f t="shared" si="15"/>
        <v/>
      </c>
      <c r="L11" s="92" t="str">
        <f t="shared" si="15"/>
        <v/>
      </c>
      <c r="M11" s="92" t="str">
        <f t="shared" si="15"/>
        <v/>
      </c>
      <c r="N11" s="92" t="str">
        <f t="shared" si="15"/>
        <v/>
      </c>
      <c r="O11" s="92" t="str">
        <f t="shared" si="15"/>
        <v/>
      </c>
      <c r="P11" s="92" t="str">
        <f t="shared" si="15"/>
        <v/>
      </c>
      <c r="Q11" s="92" t="str">
        <f t="shared" si="15"/>
        <v/>
      </c>
      <c r="R11" s="92" t="str">
        <f t="shared" si="15"/>
        <v/>
      </c>
      <c r="S11" s="92" t="str">
        <f t="shared" si="15"/>
        <v/>
      </c>
      <c r="T11" s="92" t="str">
        <f t="shared" si="15"/>
        <v/>
      </c>
      <c r="U11" s="92" t="str">
        <f t="shared" si="15"/>
        <v/>
      </c>
      <c r="V11" s="92" t="str">
        <f t="shared" si="15"/>
        <v/>
      </c>
      <c r="W11" s="92" t="str">
        <f t="shared" si="15"/>
        <v/>
      </c>
      <c r="X11" s="92" t="str">
        <f t="shared" si="15"/>
        <v/>
      </c>
      <c r="Y11" s="92" t="str">
        <f t="shared" si="15"/>
        <v/>
      </c>
      <c r="Z11" s="92" t="str">
        <f t="shared" si="15"/>
        <v/>
      </c>
      <c r="AA11" s="92" t="str">
        <f t="shared" si="15"/>
        <v/>
      </c>
      <c r="AB11" s="92" t="str">
        <f t="shared" si="15"/>
        <v/>
      </c>
      <c r="AC11" s="92" t="str">
        <f t="shared" si="15"/>
        <v/>
      </c>
      <c r="AD11" s="92" t="str">
        <f t="shared" si="15"/>
        <v/>
      </c>
      <c r="AE11" s="92" t="str">
        <f t="shared" si="15"/>
        <v/>
      </c>
      <c r="AF11" s="92" t="str">
        <f t="shared" si="15"/>
        <v/>
      </c>
      <c r="AG11" s="92" t="str">
        <f t="shared" si="15"/>
        <v/>
      </c>
      <c r="AH11" s="92" t="str">
        <f t="shared" si="15"/>
        <v/>
      </c>
      <c r="AI11" s="92" t="str">
        <f t="shared" si="15"/>
        <v/>
      </c>
      <c r="AJ11" s="206"/>
      <c r="AK11" s="209"/>
      <c r="AL11" s="209"/>
      <c r="AM11" s="209"/>
      <c r="AN11" s="211"/>
      <c r="AO11" s="211"/>
      <c r="AP11" s="211"/>
      <c r="AQ11" s="209"/>
      <c r="AR11" s="210"/>
      <c r="CK11" s="58">
        <f>IF(DAY(INDEX('Сводный годовой график'!$BA$4:$BL$14,$C10,MONTH($B$4)))=E$3,1,0)</f>
        <v>0</v>
      </c>
      <c r="CL11" s="58">
        <f>IF(DAY(INDEX('Сводный годовой график'!$BA$4:$BL$14,$C10,MONTH($B$4)))=F$3,1,0)</f>
        <v>0</v>
      </c>
      <c r="CM11" s="58">
        <f>IF(DAY(INDEX('Сводный годовой график'!$BA$4:$BL$14,$C10,MONTH($B$4)))=G$3,1,0)</f>
        <v>0</v>
      </c>
      <c r="CN11" s="58">
        <f>IF(DAY(INDEX('Сводный годовой график'!$BA$4:$BL$14,$C10,MONTH($B$4)))=H$3,1,0)</f>
        <v>1</v>
      </c>
      <c r="CO11" s="58">
        <f>IF(DAY(INDEX('Сводный годовой график'!$BA$4:$BL$14,$C10,MONTH($B$4)))=I$3,1,0)</f>
        <v>0</v>
      </c>
      <c r="CP11" s="58">
        <f>IF(DAY(INDEX('Сводный годовой график'!$BA$4:$BL$14,$C10,MONTH($B$4)))=J$3,1,0)</f>
        <v>0</v>
      </c>
      <c r="CQ11" s="58">
        <f>IF(DAY(INDEX('Сводный годовой график'!$BA$4:$BL$14,$C10,MONTH($B$4)))=K$3,1,0)</f>
        <v>0</v>
      </c>
      <c r="CR11" s="58">
        <f>IF(DAY(INDEX('Сводный годовой график'!$BA$4:$BL$14,$C10,MONTH($B$4)))=L$3,1,0)</f>
        <v>0</v>
      </c>
      <c r="CS11" s="58">
        <f>IF(DAY(INDEX('Сводный годовой график'!$BA$4:$BL$14,$C10,MONTH($B$4)))=M$3,1,0)</f>
        <v>0</v>
      </c>
      <c r="CT11" s="58">
        <f>IF(DAY(INDEX('Сводный годовой график'!$BA$4:$BL$14,$C10,MONTH($B$4)))=N$3,1,0)</f>
        <v>0</v>
      </c>
      <c r="CU11" s="58">
        <f>IF(DAY(INDEX('Сводный годовой график'!$BA$4:$BL$14,$C10,MONTH($B$4)))=O$3,1,0)</f>
        <v>0</v>
      </c>
      <c r="CV11" s="58">
        <f>IF(DAY(INDEX('Сводный годовой график'!$BA$4:$BL$14,$C10,MONTH($B$4)))=P$3,1,0)</f>
        <v>0</v>
      </c>
      <c r="CW11" s="58">
        <f>IF(DAY(INDEX('Сводный годовой график'!$BA$4:$BL$14,$C10,MONTH($B$4)))=Q$3,1,0)</f>
        <v>0</v>
      </c>
      <c r="CX11" s="58">
        <f>IF(DAY(INDEX('Сводный годовой график'!$BA$4:$BL$14,$C10,MONTH($B$4)))=R$3,1,0)</f>
        <v>0</v>
      </c>
      <c r="CY11" s="58">
        <f>IF(DAY(INDEX('Сводный годовой график'!$BA$4:$BL$14,$C10,MONTH($B$4)))=S$3,1,0)</f>
        <v>0</v>
      </c>
      <c r="CZ11" s="58">
        <f>IF(DAY(INDEX('Сводный годовой график'!$BA$4:$BL$14,$C10,MONTH($B$4)))=T$3,1,0)</f>
        <v>0</v>
      </c>
      <c r="DA11" s="58">
        <f>IF(DAY(INDEX('Сводный годовой график'!$BA$4:$BL$14,$C10,MONTH($B$4)))=U$3,1,0)</f>
        <v>0</v>
      </c>
      <c r="DB11" s="58">
        <f>IF(DAY(INDEX('Сводный годовой график'!$BA$4:$BL$14,$C10,MONTH($B$4)))=V$3,1,0)</f>
        <v>0</v>
      </c>
      <c r="DC11" s="58">
        <f>IF(DAY(INDEX('Сводный годовой график'!$BA$4:$BL$14,$C10,MONTH($B$4)))=W$3,1,0)</f>
        <v>0</v>
      </c>
      <c r="DD11" s="58">
        <f>IF(DAY(INDEX('Сводный годовой график'!$BA$4:$BL$14,$C10,MONTH($B$4)))=X$3,1,0)</f>
        <v>0</v>
      </c>
      <c r="DE11" s="58">
        <f>IF(DAY(INDEX('Сводный годовой график'!$BA$4:$BL$14,$C10,MONTH($B$4)))=Y$3,1,0)</f>
        <v>0</v>
      </c>
      <c r="DF11" s="58">
        <f>IF(DAY(INDEX('Сводный годовой график'!$BA$4:$BL$14,$C10,MONTH($B$4)))=Z$3,1,0)</f>
        <v>0</v>
      </c>
      <c r="DG11" s="58">
        <f>IF(DAY(INDEX('Сводный годовой график'!$BA$4:$BL$14,$C10,MONTH($B$4)))=AA$3,1,0)</f>
        <v>0</v>
      </c>
      <c r="DH11" s="58">
        <f>IF(DAY(INDEX('Сводный годовой график'!$BA$4:$BL$14,$C10,MONTH($B$4)))=AB$3,1,0)</f>
        <v>0</v>
      </c>
      <c r="DI11" s="58">
        <f>IF(DAY(INDEX('Сводный годовой график'!$BA$4:$BL$14,$C10,MONTH($B$4)))=AC$3,1,0)</f>
        <v>0</v>
      </c>
      <c r="DJ11" s="58">
        <f>IF(DAY(INDEX('Сводный годовой график'!$BA$4:$BL$14,$C10,MONTH($B$4)))=AD$3,1,0)</f>
        <v>0</v>
      </c>
      <c r="DK11" s="58">
        <f>IF(DAY(INDEX('Сводный годовой график'!$BA$4:$BL$14,$C10,MONTH($B$4)))=AE$3,1,0)</f>
        <v>0</v>
      </c>
      <c r="DL11" s="58">
        <f>IF(DAY(INDEX('Сводный годовой график'!$BA$4:$BL$14,$C10,MONTH($B$4)))=AF$3,1,0)</f>
        <v>0</v>
      </c>
      <c r="DM11" s="58">
        <f>IF(DAY(INDEX('Сводный годовой график'!$BA$4:$BL$14,$C10,MONTH($B$4)))=AG$3,1,0)</f>
        <v>0</v>
      </c>
      <c r="DN11" s="58">
        <f>IF(DAY(INDEX('Сводный годовой график'!$BA$4:$BL$14,$C10,MONTH($B$4)))=AH$3,1,0)</f>
        <v>0</v>
      </c>
      <c r="DO11" s="58">
        <f>IF(DAY(INDEX('Сводный годовой график'!$BA$4:$BL$14,$C10,MONTH($B$4)))=AI$3,1,0)</f>
        <v>0</v>
      </c>
    </row>
    <row r="12" spans="2:119" ht="16.5" thickBot="1" x14ac:dyDescent="0.3">
      <c r="B12" s="201"/>
      <c r="C12" s="196">
        <v>5</v>
      </c>
      <c r="D12" s="81">
        <v>9</v>
      </c>
      <c r="E12" s="92" t="s">
        <v>36</v>
      </c>
      <c r="F12" s="92" t="s">
        <v>36</v>
      </c>
      <c r="G12" s="92" t="s">
        <v>36</v>
      </c>
      <c r="H12" s="92" t="s">
        <v>36</v>
      </c>
      <c r="I12" s="92" t="s">
        <v>36</v>
      </c>
      <c r="J12" s="92" t="s">
        <v>36</v>
      </c>
      <c r="K12" s="92" t="s">
        <v>36</v>
      </c>
      <c r="L12" s="92" t="s">
        <v>36</v>
      </c>
      <c r="M12" s="92" t="s">
        <v>36</v>
      </c>
      <c r="N12" s="92" t="s">
        <v>36</v>
      </c>
      <c r="O12" s="92" t="s">
        <v>36</v>
      </c>
      <c r="P12" s="92" t="s">
        <v>36</v>
      </c>
      <c r="Q12" s="92" t="s">
        <v>36</v>
      </c>
      <c r="R12" s="92" t="s">
        <v>36</v>
      </c>
      <c r="S12" s="92" t="s">
        <v>36</v>
      </c>
      <c r="T12" s="92" t="s">
        <v>36</v>
      </c>
      <c r="U12" s="92" t="s">
        <v>36</v>
      </c>
      <c r="V12" s="92" t="s">
        <v>36</v>
      </c>
      <c r="W12" s="92" t="s">
        <v>36</v>
      </c>
      <c r="X12" s="92" t="s">
        <v>36</v>
      </c>
      <c r="Y12" s="92" t="s">
        <v>36</v>
      </c>
      <c r="Z12" s="92" t="s">
        <v>36</v>
      </c>
      <c r="AA12" s="92" t="s">
        <v>36</v>
      </c>
      <c r="AB12" s="92" t="s">
        <v>36</v>
      </c>
      <c r="AC12" s="92" t="s">
        <v>36</v>
      </c>
      <c r="AD12" s="92" t="s">
        <v>36</v>
      </c>
      <c r="AE12" s="92" t="s">
        <v>36</v>
      </c>
      <c r="AF12" s="92" t="s">
        <v>36</v>
      </c>
      <c r="AG12" s="92" t="s">
        <v>36</v>
      </c>
      <c r="AH12" s="92" t="s">
        <v>36</v>
      </c>
      <c r="AI12" s="92" t="s">
        <v>36</v>
      </c>
      <c r="AJ12" s="206"/>
      <c r="AK12" s="209">
        <f>$AJ$4-SUM(AY12:CC13)</f>
        <v>136</v>
      </c>
      <c r="AL12" s="209">
        <f t="shared" ref="AL12" si="16">SUM(E12:AI13)</f>
        <v>0</v>
      </c>
      <c r="AM12" s="209">
        <f t="shared" ref="AM12" si="17">SUM(E12:L12)</f>
        <v>0</v>
      </c>
      <c r="AN12" s="211">
        <f t="shared" ref="AN12" si="18">-AM12-AK12+AL12</f>
        <v>-136</v>
      </c>
      <c r="AO12" s="211">
        <v>0</v>
      </c>
      <c r="AP12" s="211">
        <f t="shared" ref="AP12" si="19">AN12-AO12</f>
        <v>-136</v>
      </c>
      <c r="AQ12" s="209">
        <v>7</v>
      </c>
      <c r="AR12" s="210">
        <v>1</v>
      </c>
      <c r="CK12" s="59"/>
      <c r="CL12" s="59"/>
      <c r="CM12" s="59"/>
      <c r="CN12" s="59"/>
      <c r="CO12" s="59"/>
      <c r="CP12" s="59"/>
      <c r="CQ12" s="59"/>
      <c r="CR12" s="59"/>
      <c r="CS12" s="59"/>
      <c r="CT12" s="59"/>
      <c r="CU12" s="59"/>
      <c r="CV12" s="59"/>
      <c r="CW12" s="59"/>
      <c r="CX12" s="59"/>
      <c r="CY12" s="59"/>
      <c r="CZ12" s="59"/>
      <c r="DA12" s="59"/>
      <c r="DB12" s="59"/>
      <c r="DC12" s="59"/>
      <c r="DD12" s="59"/>
      <c r="DE12" s="59"/>
      <c r="DF12" s="59"/>
      <c r="DG12" s="59"/>
      <c r="DH12" s="59"/>
      <c r="DI12" s="59"/>
      <c r="DJ12" s="59"/>
      <c r="DK12" s="59"/>
      <c r="DL12" s="59"/>
      <c r="DM12" s="59"/>
      <c r="DN12" s="59"/>
      <c r="DO12" s="59"/>
    </row>
    <row r="13" spans="2:119" ht="16.5" thickBot="1" x14ac:dyDescent="0.3">
      <c r="B13" s="201"/>
      <c r="C13" s="212"/>
      <c r="D13" s="99">
        <v>10</v>
      </c>
      <c r="E13" s="30" t="str">
        <f t="shared" ref="E13:AI13" si="20">IF(INDEX($CK$4:$DO$123,ROW()-3,E$3)=0,"","СП")</f>
        <v/>
      </c>
      <c r="F13" s="30" t="str">
        <f t="shared" si="20"/>
        <v/>
      </c>
      <c r="G13" s="30" t="str">
        <f t="shared" si="20"/>
        <v/>
      </c>
      <c r="H13" s="30" t="str">
        <f t="shared" si="20"/>
        <v/>
      </c>
      <c r="I13" s="30" t="str">
        <f t="shared" si="20"/>
        <v>СП</v>
      </c>
      <c r="J13" s="30" t="str">
        <f t="shared" si="20"/>
        <v/>
      </c>
      <c r="K13" s="30" t="str">
        <f t="shared" si="20"/>
        <v/>
      </c>
      <c r="L13" s="30" t="str">
        <f t="shared" si="20"/>
        <v/>
      </c>
      <c r="M13" s="30" t="str">
        <f t="shared" si="20"/>
        <v/>
      </c>
      <c r="N13" s="30" t="str">
        <f t="shared" si="20"/>
        <v/>
      </c>
      <c r="O13" s="30" t="str">
        <f t="shared" si="20"/>
        <v/>
      </c>
      <c r="P13" s="30" t="str">
        <f t="shared" si="20"/>
        <v/>
      </c>
      <c r="Q13" s="30" t="str">
        <f t="shared" si="20"/>
        <v/>
      </c>
      <c r="R13" s="30" t="str">
        <f t="shared" si="20"/>
        <v/>
      </c>
      <c r="S13" s="30" t="str">
        <f t="shared" si="20"/>
        <v/>
      </c>
      <c r="T13" s="30" t="str">
        <f t="shared" si="20"/>
        <v/>
      </c>
      <c r="U13" s="30" t="str">
        <f t="shared" si="20"/>
        <v/>
      </c>
      <c r="V13" s="30" t="str">
        <f t="shared" si="20"/>
        <v/>
      </c>
      <c r="W13" s="30" t="str">
        <f t="shared" si="20"/>
        <v/>
      </c>
      <c r="X13" s="30" t="str">
        <f t="shared" si="20"/>
        <v/>
      </c>
      <c r="Y13" s="30" t="str">
        <f t="shared" si="20"/>
        <v/>
      </c>
      <c r="Z13" s="30" t="str">
        <f t="shared" si="20"/>
        <v/>
      </c>
      <c r="AA13" s="30" t="str">
        <f t="shared" si="20"/>
        <v/>
      </c>
      <c r="AB13" s="30" t="str">
        <f t="shared" si="20"/>
        <v/>
      </c>
      <c r="AC13" s="30" t="str">
        <f t="shared" si="20"/>
        <v/>
      </c>
      <c r="AD13" s="30" t="str">
        <f t="shared" si="20"/>
        <v/>
      </c>
      <c r="AE13" s="30" t="str">
        <f t="shared" si="20"/>
        <v/>
      </c>
      <c r="AF13" s="30" t="str">
        <f t="shared" si="20"/>
        <v/>
      </c>
      <c r="AG13" s="30" t="str">
        <f t="shared" si="20"/>
        <v/>
      </c>
      <c r="AH13" s="30" t="str">
        <f t="shared" si="20"/>
        <v/>
      </c>
      <c r="AI13" s="30" t="str">
        <f t="shared" si="20"/>
        <v/>
      </c>
      <c r="AJ13" s="207"/>
      <c r="AK13" s="213"/>
      <c r="AL13" s="213"/>
      <c r="AM13" s="213"/>
      <c r="AN13" s="214"/>
      <c r="AO13" s="214"/>
      <c r="AP13" s="214"/>
      <c r="AQ13" s="213"/>
      <c r="AR13" s="215"/>
      <c r="CK13" s="58">
        <f>IF(DAY(INDEX('Сводный годовой график'!$BA$4:$BL$14,$C12,MONTH($B$4)))=E$3,1,0)</f>
        <v>0</v>
      </c>
      <c r="CL13" s="58">
        <f>IF(DAY(INDEX('Сводный годовой график'!$BA$4:$BL$14,$C12,MONTH($B$4)))=F$3,1,0)</f>
        <v>0</v>
      </c>
      <c r="CM13" s="58">
        <f>IF(DAY(INDEX('Сводный годовой график'!$BA$4:$BL$14,$C12,MONTH($B$4)))=G$3,1,0)</f>
        <v>0</v>
      </c>
      <c r="CN13" s="58">
        <f>IF(DAY(INDEX('Сводный годовой график'!$BA$4:$BL$14,$C12,MONTH($B$4)))=H$3,1,0)</f>
        <v>0</v>
      </c>
      <c r="CO13" s="58">
        <f>IF(DAY(INDEX('Сводный годовой график'!$BA$4:$BL$14,$C12,MONTH($B$4)))=I$3,1,0)</f>
        <v>1</v>
      </c>
      <c r="CP13" s="58">
        <f>IF(DAY(INDEX('Сводный годовой график'!$BA$4:$BL$14,$C12,MONTH($B$4)))=J$3,1,0)</f>
        <v>0</v>
      </c>
      <c r="CQ13" s="58">
        <f>IF(DAY(INDEX('Сводный годовой график'!$BA$4:$BL$14,$C12,MONTH($B$4)))=K$3,1,0)</f>
        <v>0</v>
      </c>
      <c r="CR13" s="58">
        <f>IF(DAY(INDEX('Сводный годовой график'!$BA$4:$BL$14,$C12,MONTH($B$4)))=L$3,1,0)</f>
        <v>0</v>
      </c>
      <c r="CS13" s="58">
        <f>IF(DAY(INDEX('Сводный годовой график'!$BA$4:$BL$14,$C12,MONTH($B$4)))=M$3,1,0)</f>
        <v>0</v>
      </c>
      <c r="CT13" s="58">
        <f>IF(DAY(INDEX('Сводный годовой график'!$BA$4:$BL$14,$C12,MONTH($B$4)))=N$3,1,0)</f>
        <v>0</v>
      </c>
      <c r="CU13" s="58">
        <f>IF(DAY(INDEX('Сводный годовой график'!$BA$4:$BL$14,$C12,MONTH($B$4)))=O$3,1,0)</f>
        <v>0</v>
      </c>
      <c r="CV13" s="58">
        <f>IF(DAY(INDEX('Сводный годовой график'!$BA$4:$BL$14,$C12,MONTH($B$4)))=P$3,1,0)</f>
        <v>0</v>
      </c>
      <c r="CW13" s="58">
        <f>IF(DAY(INDEX('Сводный годовой график'!$BA$4:$BL$14,$C12,MONTH($B$4)))=Q$3,1,0)</f>
        <v>0</v>
      </c>
      <c r="CX13" s="58">
        <f>IF(DAY(INDEX('Сводный годовой график'!$BA$4:$BL$14,$C12,MONTH($B$4)))=R$3,1,0)</f>
        <v>0</v>
      </c>
      <c r="CY13" s="58">
        <f>IF(DAY(INDEX('Сводный годовой график'!$BA$4:$BL$14,$C12,MONTH($B$4)))=S$3,1,0)</f>
        <v>0</v>
      </c>
      <c r="CZ13" s="58">
        <f>IF(DAY(INDEX('Сводный годовой график'!$BA$4:$BL$14,$C12,MONTH($B$4)))=T$3,1,0)</f>
        <v>0</v>
      </c>
      <c r="DA13" s="58">
        <f>IF(DAY(INDEX('Сводный годовой график'!$BA$4:$BL$14,$C12,MONTH($B$4)))=U$3,1,0)</f>
        <v>0</v>
      </c>
      <c r="DB13" s="58">
        <f>IF(DAY(INDEX('Сводный годовой график'!$BA$4:$BL$14,$C12,MONTH($B$4)))=V$3,1,0)</f>
        <v>0</v>
      </c>
      <c r="DC13" s="58">
        <f>IF(DAY(INDEX('Сводный годовой график'!$BA$4:$BL$14,$C12,MONTH($B$4)))=W$3,1,0)</f>
        <v>0</v>
      </c>
      <c r="DD13" s="58">
        <f>IF(DAY(INDEX('Сводный годовой график'!$BA$4:$BL$14,$C12,MONTH($B$4)))=X$3,1,0)</f>
        <v>0</v>
      </c>
      <c r="DE13" s="58">
        <f>IF(DAY(INDEX('Сводный годовой график'!$BA$4:$BL$14,$C12,MONTH($B$4)))=Y$3,1,0)</f>
        <v>0</v>
      </c>
      <c r="DF13" s="58">
        <f>IF(DAY(INDEX('Сводный годовой график'!$BA$4:$BL$14,$C12,MONTH($B$4)))=Z$3,1,0)</f>
        <v>0</v>
      </c>
      <c r="DG13" s="58">
        <f>IF(DAY(INDEX('Сводный годовой график'!$BA$4:$BL$14,$C12,MONTH($B$4)))=AA$3,1,0)</f>
        <v>0</v>
      </c>
      <c r="DH13" s="58">
        <f>IF(DAY(INDEX('Сводный годовой график'!$BA$4:$BL$14,$C12,MONTH($B$4)))=AB$3,1,0)</f>
        <v>0</v>
      </c>
      <c r="DI13" s="58">
        <f>IF(DAY(INDEX('Сводный годовой график'!$BA$4:$BL$14,$C12,MONTH($B$4)))=AC$3,1,0)</f>
        <v>0</v>
      </c>
      <c r="DJ13" s="58">
        <f>IF(DAY(INDEX('Сводный годовой график'!$BA$4:$BL$14,$C12,MONTH($B$4)))=AD$3,1,0)</f>
        <v>0</v>
      </c>
      <c r="DK13" s="58">
        <f>IF(DAY(INDEX('Сводный годовой график'!$BA$4:$BL$14,$C12,MONTH($B$4)))=AE$3,1,0)</f>
        <v>0</v>
      </c>
      <c r="DL13" s="58">
        <f>IF(DAY(INDEX('Сводный годовой график'!$BA$4:$BL$14,$C12,MONTH($B$4)))=AF$3,1,0)</f>
        <v>0</v>
      </c>
      <c r="DM13" s="58">
        <f>IF(DAY(INDEX('Сводный годовой график'!$BA$4:$BL$14,$C12,MONTH($B$4)))=AG$3,1,0)</f>
        <v>0</v>
      </c>
      <c r="DN13" s="58">
        <f>IF(DAY(INDEX('Сводный годовой график'!$BA$4:$BL$14,$C12,MONTH($B$4)))=AH$3,1,0)</f>
        <v>0</v>
      </c>
      <c r="DO13" s="58">
        <f>IF(DAY(INDEX('Сводный годовой график'!$BA$4:$BL$14,$C12,MONTH($B$4)))=AI$3,1,0)</f>
        <v>0</v>
      </c>
    </row>
    <row r="14" spans="2:119" ht="17.25" customHeight="1" thickTop="1" thickBot="1" x14ac:dyDescent="0.3">
      <c r="B14" s="200">
        <f>DATE($AV$1,2,1)</f>
        <v>45689</v>
      </c>
      <c r="C14" s="196">
        <v>1</v>
      </c>
      <c r="D14" s="81">
        <v>1</v>
      </c>
      <c r="E14" s="28">
        <f ca="1">IF(AND(INDEX('Сводный годовой график'!$C$1:$AR$4,MATCH($C$14,'Сводный годовой график'!$B$1:$B$4),MATCH(DATE($AV$1,MONTH($B$14),E$3),'Сводный годовой график'!$C$6:$AR$6))&lt;&gt;12,INDIRECT(ADDRESS(ROW()+1,COLUMN()))="СП"),8,INDEX('Сводный годовой график'!$C$1:$AR$4,MATCH($C$14,'Сводный годовой график'!$B$1:$B$4),MATCH(DATE($AV$1,MONTH($B$14),E$3),'Сводный годовой график'!$C$6:$AR$6)))</f>
        <v>12</v>
      </c>
      <c r="F14" s="28">
        <f ca="1">IF(AND(INDEX('Сводный годовой график'!$C$1:$AR$4,MATCH($C$14,'Сводный годовой график'!$B$1:$B$4),MATCH(DATE($AV$1,MONTH($B$14),F$3),'Сводный годовой график'!$C$6:$AR$6))&lt;&gt;12,INDIRECT(ADDRESS(ROW()+1,COLUMN()))="СП"),8,INDEX('Сводный годовой график'!$C$1:$AR$4,MATCH($C$14,'Сводный годовой график'!$B$1:$B$4),MATCH(DATE($AV$1,MONTH($B$14),F$3),'Сводный годовой график'!$C$6:$AR$6)))</f>
        <v>8</v>
      </c>
      <c r="G14" s="28">
        <f ca="1">IF(AND(INDEX('Сводный годовой график'!$C$1:$AR$4,MATCH($C$14,'Сводный годовой график'!$B$1:$B$4),MATCH(DATE($AV$1,MONTH($B$14),G$3),'Сводный годовой график'!$C$6:$AR$6))&lt;&gt;12,INDIRECT(ADDRESS(ROW()+1,COLUMN()))="СП"),8,INDEX('Сводный годовой график'!$C$1:$AR$4,MATCH($C$14,'Сводный годовой график'!$B$1:$B$4),MATCH(DATE($AV$1,MONTH($B$14),G$3),'Сводный годовой график'!$C$6:$AR$6)))</f>
        <v>0</v>
      </c>
      <c r="H14" s="28">
        <f ca="1">IF(AND(INDEX('Сводный годовой график'!$C$1:$AR$4,MATCH($C$14,'Сводный годовой график'!$B$1:$B$4),MATCH(DATE($AV$1,MONTH($B$14),H$3),'Сводный годовой график'!$C$6:$AR$6))&lt;&gt;12,INDIRECT(ADDRESS(ROW()+1,COLUMN()))="СП"),8,INDEX('Сводный годовой график'!$C$1:$AR$4,MATCH($C$14,'Сводный годовой график'!$B$1:$B$4),MATCH(DATE($AV$1,MONTH($B$14),H$3),'Сводный годовой график'!$C$6:$AR$6)))</f>
        <v>4</v>
      </c>
      <c r="I14" s="28">
        <f ca="1">IF(AND(INDEX('Сводный годовой график'!$C$1:$AR$4,MATCH($C$14,'Сводный годовой график'!$B$1:$B$4),MATCH(DATE($AV$1,MONTH($B$14),I$3),'Сводный годовой график'!$C$6:$AR$6))&lt;&gt;12,INDIRECT(ADDRESS(ROW()+1,COLUMN()))="СП"),8,INDEX('Сводный годовой график'!$C$1:$AR$4,MATCH($C$14,'Сводный годовой график'!$B$1:$B$4),MATCH(DATE($AV$1,MONTH($B$14),I$3),'Сводный годовой график'!$C$6:$AR$6)))</f>
        <v>8</v>
      </c>
      <c r="J14" s="28">
        <f ca="1">IF(AND(INDEX('Сводный годовой график'!$C$1:$AR$4,MATCH($C$14,'Сводный годовой график'!$B$1:$B$4),MATCH(DATE($AV$1,MONTH($B$14),J$3),'Сводный годовой график'!$C$6:$AR$6))&lt;&gt;12,INDIRECT(ADDRESS(ROW()+1,COLUMN()))="СП"),8,INDEX('Сводный годовой график'!$C$1:$AR$4,MATCH($C$14,'Сводный годовой график'!$B$1:$B$4),MATCH(DATE($AV$1,MONTH($B$14),J$3),'Сводный годовой график'!$C$6:$AR$6)))</f>
        <v>12</v>
      </c>
      <c r="K14" s="28">
        <f ca="1">IF(AND(INDEX('Сводный годовой график'!$C$1:$AR$4,MATCH($C$14,'Сводный годовой график'!$B$1:$B$4),MATCH(DATE($AV$1,MONTH($B$14),K$3),'Сводный годовой график'!$C$6:$AR$6))&lt;&gt;12,INDIRECT(ADDRESS(ROW()+1,COLUMN()))="СП"),8,INDEX('Сводный годовой график'!$C$1:$AR$4,MATCH($C$14,'Сводный годовой график'!$B$1:$B$4),MATCH(DATE($AV$1,MONTH($B$14),K$3),'Сводный годовой график'!$C$6:$AR$6)))</f>
        <v>4</v>
      </c>
      <c r="L14" s="28">
        <f ca="1">IF(AND(INDEX('Сводный годовой график'!$C$1:$AR$4,MATCH($C$14,'Сводный годовой график'!$B$1:$B$4),MATCH(DATE($AV$1,MONTH($B$14),L$3),'Сводный годовой график'!$C$6:$AR$6))&lt;&gt;12,INDIRECT(ADDRESS(ROW()+1,COLUMN()))="СП"),8,INDEX('Сводный годовой график'!$C$1:$AR$4,MATCH($C$14,'Сводный годовой график'!$B$1:$B$4),MATCH(DATE($AV$1,MONTH($B$14),L$3),'Сводный годовой график'!$C$6:$AR$6)))</f>
        <v>8</v>
      </c>
      <c r="M14" s="28">
        <f ca="1">IF(AND(INDEX('Сводный годовой график'!$C$1:$AR$4,MATCH($C$14,'Сводный годовой график'!$B$1:$B$4),MATCH(DATE($AV$1,MONTH($B$14),M$3),'Сводный годовой график'!$C$6:$AR$6))&lt;&gt;12,INDIRECT(ADDRESS(ROW()+1,COLUMN()))="СП"),8,INDEX('Сводный годовой график'!$C$1:$AR$4,MATCH($C$14,'Сводный годовой график'!$B$1:$B$4),MATCH(DATE($AV$1,MONTH($B$14),M$3),'Сводный годовой график'!$C$6:$AR$6)))</f>
        <v>12</v>
      </c>
      <c r="N14" s="28">
        <f ca="1">IF(AND(INDEX('Сводный годовой график'!$C$1:$AR$4,MATCH($C$14,'Сводный годовой график'!$B$1:$B$4),MATCH(DATE($AV$1,MONTH($B$14),N$3),'Сводный годовой график'!$C$6:$AR$6))&lt;&gt;12,INDIRECT(ADDRESS(ROW()+1,COLUMN()))="СП"),8,INDEX('Сводный годовой график'!$C$1:$AR$4,MATCH($C$14,'Сводный годовой график'!$B$1:$B$4),MATCH(DATE($AV$1,MONTH($B$14),N$3),'Сводный годовой график'!$C$6:$AR$6)))</f>
        <v>0</v>
      </c>
      <c r="O14" s="28">
        <f ca="1">IF(AND(INDEX('Сводный годовой график'!$C$1:$AR$4,MATCH($C$14,'Сводный годовой график'!$B$1:$B$4),MATCH(DATE($AV$1,MONTH($B$14),O$3),'Сводный годовой график'!$C$6:$AR$6))&lt;&gt;12,INDIRECT(ADDRESS(ROW()+1,COLUMN()))="СП"),8,INDEX('Сводный годовой график'!$C$1:$AR$4,MATCH($C$14,'Сводный годовой график'!$B$1:$B$4),MATCH(DATE($AV$1,MONTH($B$14),O$3),'Сводный годовой график'!$C$6:$AR$6)))</f>
        <v>0</v>
      </c>
      <c r="P14" s="28">
        <f ca="1">IF(AND(INDEX('Сводный годовой график'!$C$1:$AR$4,MATCH($C$14,'Сводный годовой график'!$B$1:$B$4),MATCH(DATE($AV$1,MONTH($B$14),P$3),'Сводный годовой график'!$C$6:$AR$6))&lt;&gt;12,INDIRECT(ADDRESS(ROW()+1,COLUMN()))="СП"),8,INDEX('Сводный годовой график'!$C$1:$AR$4,MATCH($C$14,'Сводный годовой график'!$B$1:$B$4),MATCH(DATE($AV$1,MONTH($B$14),P$3),'Сводный годовой график'!$C$6:$AR$6)))</f>
        <v>4</v>
      </c>
      <c r="Q14" s="28">
        <f ca="1">IF(AND(INDEX('Сводный годовой график'!$C$1:$AR$4,MATCH($C$14,'Сводный годовой график'!$B$1:$B$4),MATCH(DATE($AV$1,MONTH($B$14),Q$3),'Сводный годовой график'!$C$6:$AR$6))&lt;&gt;12,INDIRECT(ADDRESS(ROW()+1,COLUMN()))="СП"),8,INDEX('Сводный годовой график'!$C$1:$AR$4,MATCH($C$14,'Сводный годовой график'!$B$1:$B$4),MATCH(DATE($AV$1,MONTH($B$14),Q$3),'Сводный годовой график'!$C$6:$AR$6)))</f>
        <v>8</v>
      </c>
      <c r="R14" s="28">
        <f ca="1">IF(AND(INDEX('Сводный годовой график'!$C$1:$AR$4,MATCH($C$14,'Сводный годовой график'!$B$1:$B$4),MATCH(DATE($AV$1,MONTH($B$14),R$3),'Сводный годовой график'!$C$6:$AR$6))&lt;&gt;12,INDIRECT(ADDRESS(ROW()+1,COLUMN()))="СП"),8,INDEX('Сводный годовой график'!$C$1:$AR$4,MATCH($C$14,'Сводный годовой график'!$B$1:$B$4),MATCH(DATE($AV$1,MONTH($B$14),R$3),'Сводный годовой график'!$C$6:$AR$6)))</f>
        <v>12</v>
      </c>
      <c r="S14" s="28">
        <f ca="1">IF(AND(INDEX('Сводный годовой график'!$C$1:$AR$4,MATCH($C$14,'Сводный годовой график'!$B$1:$B$4),MATCH(DATE($AV$1,MONTH($B$14),S$3),'Сводный годовой график'!$C$6:$AR$6))&lt;&gt;12,INDIRECT(ADDRESS(ROW()+1,COLUMN()))="СП"),8,INDEX('Сводный годовой график'!$C$1:$AR$4,MATCH($C$14,'Сводный годовой график'!$B$1:$B$4),MATCH(DATE($AV$1,MONTH($B$14),S$3),'Сводный годовой график'!$C$6:$AR$6)))</f>
        <v>4</v>
      </c>
      <c r="T14" s="28">
        <f ca="1">IF(AND(INDEX('Сводный годовой график'!$C$1:$AR$4,MATCH($C$14,'Сводный годовой график'!$B$1:$B$4),MATCH(DATE($AV$1,MONTH($B$14),T$3),'Сводный годовой график'!$C$6:$AR$6))&lt;&gt;12,INDIRECT(ADDRESS(ROW()+1,COLUMN()))="СП"),8,INDEX('Сводный годовой график'!$C$1:$AR$4,MATCH($C$14,'Сводный годовой график'!$B$1:$B$4),MATCH(DATE($AV$1,MONTH($B$14),T$3),'Сводный годовой график'!$C$6:$AR$6)))</f>
        <v>8</v>
      </c>
      <c r="U14" s="28">
        <f ca="1">IF(AND(INDEX('Сводный годовой график'!$C$1:$AR$4,MATCH($C$14,'Сводный годовой график'!$B$1:$B$4),MATCH(DATE($AV$1,MONTH($B$14),U$3),'Сводный годовой график'!$C$6:$AR$6))&lt;&gt;12,INDIRECT(ADDRESS(ROW()+1,COLUMN()))="СП"),8,INDEX('Сводный годовой график'!$C$1:$AR$4,MATCH($C$14,'Сводный годовой график'!$B$1:$B$4),MATCH(DATE($AV$1,MONTH($B$14),U$3),'Сводный годовой график'!$C$6:$AR$6)))</f>
        <v>12</v>
      </c>
      <c r="V14" s="28">
        <f ca="1">IF(AND(INDEX('Сводный годовой график'!$C$1:$AR$4,MATCH($C$14,'Сводный годовой график'!$B$1:$B$4),MATCH(DATE($AV$1,MONTH($B$14),V$3),'Сводный годовой график'!$C$6:$AR$6))&lt;&gt;12,INDIRECT(ADDRESS(ROW()+1,COLUMN()))="СП"),8,INDEX('Сводный годовой график'!$C$1:$AR$4,MATCH($C$14,'Сводный годовой график'!$B$1:$B$4),MATCH(DATE($AV$1,MONTH($B$14),V$3),'Сводный годовой график'!$C$6:$AR$6)))</f>
        <v>0</v>
      </c>
      <c r="W14" s="28">
        <f ca="1">IF(AND(INDEX('Сводный годовой график'!$C$1:$AR$4,MATCH($C$14,'Сводный годовой график'!$B$1:$B$4),MATCH(DATE($AV$1,MONTH($B$14),W$3),'Сводный годовой график'!$C$6:$AR$6))&lt;&gt;12,INDIRECT(ADDRESS(ROW()+1,COLUMN()))="СП"),8,INDEX('Сводный годовой график'!$C$1:$AR$4,MATCH($C$14,'Сводный годовой график'!$B$1:$B$4),MATCH(DATE($AV$1,MONTH($B$14),W$3),'Сводный годовой график'!$C$6:$AR$6)))</f>
        <v>0</v>
      </c>
      <c r="X14" s="28">
        <f ca="1">IF(AND(INDEX('Сводный годовой график'!$C$1:$AR$4,MATCH($C$14,'Сводный годовой график'!$B$1:$B$4),MATCH(DATE($AV$1,MONTH($B$14),X$3),'Сводный годовой график'!$C$6:$AR$6))&lt;&gt;12,INDIRECT(ADDRESS(ROW()+1,COLUMN()))="СП"),8,INDEX('Сводный годовой график'!$C$1:$AR$4,MATCH($C$14,'Сводный годовой график'!$B$1:$B$4),MATCH(DATE($AV$1,MONTH($B$14),X$3),'Сводный годовой график'!$C$6:$AR$6)))</f>
        <v>4</v>
      </c>
      <c r="Y14" s="28">
        <f ca="1">IF(AND(INDEX('Сводный годовой график'!$C$1:$AR$4,MATCH($C$14,'Сводный годовой график'!$B$1:$B$4),MATCH(DATE($AV$1,MONTH($B$14),Y$3),'Сводный годовой график'!$C$6:$AR$6))&lt;&gt;12,INDIRECT(ADDRESS(ROW()+1,COLUMN()))="СП"),8,INDEX('Сводный годовой график'!$C$1:$AR$4,MATCH($C$14,'Сводный годовой график'!$B$1:$B$4),MATCH(DATE($AV$1,MONTH($B$14),Y$3),'Сводный годовой график'!$C$6:$AR$6)))</f>
        <v>8</v>
      </c>
      <c r="Z14" s="28">
        <f ca="1">IF(AND(INDEX('Сводный годовой график'!$C$1:$AR$4,MATCH($C$14,'Сводный годовой график'!$B$1:$B$4),MATCH(DATE($AV$1,MONTH($B$14),Z$3),'Сводный годовой график'!$C$6:$AR$6))&lt;&gt;12,INDIRECT(ADDRESS(ROW()+1,COLUMN()))="СП"),8,INDEX('Сводный годовой график'!$C$1:$AR$4,MATCH($C$14,'Сводный годовой график'!$B$1:$B$4),MATCH(DATE($AV$1,MONTH($B$14),Z$3),'Сводный годовой график'!$C$6:$AR$6)))</f>
        <v>12</v>
      </c>
      <c r="AA14" s="28">
        <f ca="1">IF(AND(INDEX('Сводный годовой график'!$C$1:$AR$4,MATCH($C$14,'Сводный годовой график'!$B$1:$B$4),MATCH(DATE($AV$1,MONTH($B$14),AA$3),'Сводный годовой график'!$C$6:$AR$6))&lt;&gt;12,INDIRECT(ADDRESS(ROW()+1,COLUMN()))="СП"),8,INDEX('Сводный годовой график'!$C$1:$AR$4,MATCH($C$14,'Сводный годовой график'!$B$1:$B$4),MATCH(DATE($AV$1,MONTH($B$14),AA$3),'Сводный годовой график'!$C$6:$AR$6)))</f>
        <v>4</v>
      </c>
      <c r="AB14" s="28">
        <f ca="1">IF(AND(INDEX('Сводный годовой график'!$C$1:$AR$4,MATCH($C$14,'Сводный годовой график'!$B$1:$B$4),MATCH(DATE($AV$1,MONTH($B$14),AB$3),'Сводный годовой график'!$C$6:$AR$6))&lt;&gt;12,INDIRECT(ADDRESS(ROW()+1,COLUMN()))="СП"),8,INDEX('Сводный годовой график'!$C$1:$AR$4,MATCH($C$14,'Сводный годовой график'!$B$1:$B$4),MATCH(DATE($AV$1,MONTH($B$14),AB$3),'Сводный годовой график'!$C$6:$AR$6)))</f>
        <v>8</v>
      </c>
      <c r="AC14" s="28">
        <f ca="1">IF(AND(INDEX('Сводный годовой график'!$C$1:$AR$4,MATCH($C$14,'Сводный годовой график'!$B$1:$B$4),MATCH(DATE($AV$1,MONTH($B$14),AC$3),'Сводный годовой график'!$C$6:$AR$6))&lt;&gt;12,INDIRECT(ADDRESS(ROW()+1,COLUMN()))="СП"),8,INDEX('Сводный годовой график'!$C$1:$AR$4,MATCH($C$14,'Сводный годовой график'!$B$1:$B$4),MATCH(DATE($AV$1,MONTH($B$14),AC$3),'Сводный годовой график'!$C$6:$AR$6)))</f>
        <v>12</v>
      </c>
      <c r="AD14" s="28">
        <f ca="1">IF(AND(INDEX('Сводный годовой график'!$C$1:$AR$4,MATCH($C$14,'Сводный годовой график'!$B$1:$B$4),MATCH(DATE($AV$1,MONTH($B$14),AD$3),'Сводный годовой график'!$C$6:$AR$6))&lt;&gt;12,INDIRECT(ADDRESS(ROW()+1,COLUMN()))="СП"),8,INDEX('Сводный годовой график'!$C$1:$AR$4,MATCH($C$14,'Сводный годовой график'!$B$1:$B$4),MATCH(DATE($AV$1,MONTH($B$14),AD$3),'Сводный годовой график'!$C$6:$AR$6)))</f>
        <v>0</v>
      </c>
      <c r="AE14" s="28">
        <f ca="1">IF(AND(INDEX('Сводный годовой график'!$C$1:$AR$4,MATCH($C$14,'Сводный годовой график'!$B$1:$B$4),MATCH(DATE($AV$1,MONTH($B$14),AE$3),'Сводный годовой график'!$C$6:$AR$6))&lt;&gt;12,INDIRECT(ADDRESS(ROW()+1,COLUMN()))="СП"),8,INDEX('Сводный годовой график'!$C$1:$AR$4,MATCH($C$14,'Сводный годовой график'!$B$1:$B$4),MATCH(DATE($AV$1,MONTH($B$14),AE$3),'Сводный годовой график'!$C$6:$AR$6)))</f>
        <v>0</v>
      </c>
      <c r="AF14" s="28">
        <f ca="1">IF(AND(INDEX('Сводный годовой график'!$C$1:$AR$4,MATCH($C$14,'Сводный годовой график'!$B$1:$B$4),MATCH(DATE($AV$1,MONTH($B$14),AF$3),'Сводный годовой график'!$C$6:$AR$6))&lt;&gt;12,INDIRECT(ADDRESS(ROW()+1,COLUMN()))="СП"),8,INDEX('Сводный годовой график'!$C$1:$AR$4,MATCH($C$14,'Сводный годовой график'!$B$1:$B$4),MATCH(DATE($AV$1,MONTH($B$14),AF$3),'Сводный годовой график'!$C$6:$AR$6)))</f>
        <v>4</v>
      </c>
      <c r="AG14" s="121"/>
      <c r="AH14" s="121"/>
      <c r="AI14" s="109"/>
      <c r="AJ14" s="205">
        <f>INDEX(Подключения!$D$3:$H$14,MONTH(B14),5)</f>
        <v>160</v>
      </c>
      <c r="AK14" s="203">
        <f>$AJ$14-SUM(AY14:CC15)</f>
        <v>160</v>
      </c>
      <c r="AL14" s="203">
        <f t="shared" ref="AL14" ca="1" si="21">SUM(E14:AI15)</f>
        <v>168</v>
      </c>
      <c r="AM14" s="203">
        <f ca="1">SUM(AA14)</f>
        <v>4</v>
      </c>
      <c r="AN14" s="208">
        <f t="shared" ref="AN14" ca="1" si="22">-AM14-AK14+AL14</f>
        <v>4</v>
      </c>
      <c r="AO14" s="208">
        <v>18</v>
      </c>
      <c r="AP14" s="208">
        <f ca="1">AN14+AP4-AO14</f>
        <v>-18</v>
      </c>
      <c r="AQ14" s="203">
        <v>0</v>
      </c>
      <c r="AR14" s="204">
        <v>1</v>
      </c>
      <c r="CK14" s="59"/>
      <c r="CL14" s="59"/>
      <c r="CM14" s="59"/>
      <c r="CN14" s="59"/>
      <c r="CO14" s="59"/>
      <c r="CP14" s="59"/>
      <c r="CQ14" s="59"/>
      <c r="CR14" s="59"/>
      <c r="CS14" s="59"/>
      <c r="CT14" s="59"/>
      <c r="CU14" s="59"/>
      <c r="CV14" s="59"/>
      <c r="CW14" s="59"/>
      <c r="CX14" s="59"/>
      <c r="CY14" s="59"/>
      <c r="CZ14" s="59"/>
      <c r="DA14" s="59"/>
      <c r="DB14" s="59"/>
      <c r="DC14" s="59"/>
      <c r="DD14" s="59"/>
      <c r="DE14" s="59"/>
      <c r="DF14" s="59"/>
      <c r="DG14" s="59"/>
      <c r="DH14" s="59"/>
      <c r="DI14" s="59"/>
      <c r="DJ14" s="59"/>
      <c r="DK14" s="59"/>
      <c r="DL14" s="59"/>
      <c r="DM14" s="59"/>
      <c r="DN14" s="59"/>
      <c r="DO14" s="59"/>
    </row>
    <row r="15" spans="2:119" ht="16.5" thickBot="1" x14ac:dyDescent="0.3">
      <c r="B15" s="201"/>
      <c r="C15" s="197"/>
      <c r="D15" s="82">
        <v>2</v>
      </c>
      <c r="E15" s="92" t="str">
        <f t="shared" ref="E15:AF15" si="23">IF(INDEX($CK$4:$DO$123,ROW()-3,E$3)=0,"","СП")</f>
        <v/>
      </c>
      <c r="F15" s="92" t="str">
        <f t="shared" si="23"/>
        <v>СП</v>
      </c>
      <c r="G15" s="92" t="str">
        <f t="shared" si="23"/>
        <v/>
      </c>
      <c r="H15" s="92" t="str">
        <f t="shared" si="23"/>
        <v/>
      </c>
      <c r="I15" s="92" t="str">
        <f t="shared" si="23"/>
        <v/>
      </c>
      <c r="J15" s="92" t="str">
        <f t="shared" si="23"/>
        <v/>
      </c>
      <c r="K15" s="92" t="str">
        <f t="shared" si="23"/>
        <v/>
      </c>
      <c r="L15" s="92" t="str">
        <f t="shared" si="23"/>
        <v/>
      </c>
      <c r="M15" s="92" t="str">
        <f t="shared" si="23"/>
        <v/>
      </c>
      <c r="N15" s="92" t="str">
        <f t="shared" si="23"/>
        <v/>
      </c>
      <c r="O15" s="92" t="str">
        <f t="shared" si="23"/>
        <v/>
      </c>
      <c r="P15" s="92" t="str">
        <f t="shared" si="23"/>
        <v/>
      </c>
      <c r="Q15" s="92" t="str">
        <f t="shared" si="23"/>
        <v/>
      </c>
      <c r="R15" s="92" t="str">
        <f t="shared" si="23"/>
        <v/>
      </c>
      <c r="S15" s="92" t="str">
        <f t="shared" si="23"/>
        <v/>
      </c>
      <c r="T15" s="92" t="str">
        <f t="shared" si="23"/>
        <v/>
      </c>
      <c r="U15" s="92" t="str">
        <f t="shared" si="23"/>
        <v/>
      </c>
      <c r="V15" s="92" t="str">
        <f t="shared" si="23"/>
        <v/>
      </c>
      <c r="W15" s="92" t="str">
        <f t="shared" si="23"/>
        <v/>
      </c>
      <c r="X15" s="92" t="str">
        <f t="shared" si="23"/>
        <v/>
      </c>
      <c r="Y15" s="92" t="str">
        <f t="shared" si="23"/>
        <v/>
      </c>
      <c r="Z15" s="92" t="str">
        <f t="shared" si="23"/>
        <v/>
      </c>
      <c r="AA15" s="92" t="str">
        <f t="shared" si="23"/>
        <v/>
      </c>
      <c r="AB15" s="92" t="str">
        <f t="shared" si="23"/>
        <v/>
      </c>
      <c r="AC15" s="92" t="str">
        <f t="shared" si="23"/>
        <v/>
      </c>
      <c r="AD15" s="92" t="str">
        <f t="shared" si="23"/>
        <v/>
      </c>
      <c r="AE15" s="92" t="str">
        <f t="shared" si="23"/>
        <v/>
      </c>
      <c r="AF15" s="92" t="str">
        <f t="shared" si="23"/>
        <v/>
      </c>
      <c r="AG15" s="119"/>
      <c r="AH15" s="119"/>
      <c r="AI15" s="110"/>
      <c r="AJ15" s="206"/>
      <c r="AK15" s="177"/>
      <c r="AL15" s="177"/>
      <c r="AM15" s="177"/>
      <c r="AN15" s="198"/>
      <c r="AO15" s="198"/>
      <c r="AP15" s="198"/>
      <c r="AQ15" s="177"/>
      <c r="AR15" s="179"/>
      <c r="CK15" s="58">
        <f>IF(DAY(INDEX('Сводный годовой график'!$BA$4:$BL$14,$C14,MONTH($B$14)))=E$3,1,0)</f>
        <v>0</v>
      </c>
      <c r="CL15" s="58">
        <f>IF(DAY(INDEX('Сводный годовой график'!$BA$4:$BL$14,$C14,MONTH($B$14)))=F$3,1,0)</f>
        <v>1</v>
      </c>
      <c r="CM15" s="58">
        <f>IF(DAY(INDEX('Сводный годовой график'!$BA$4:$BL$14,$C14,MONTH($B$14)))=G$3,1,0)</f>
        <v>0</v>
      </c>
      <c r="CN15" s="58">
        <f>IF(DAY(INDEX('Сводный годовой график'!$BA$4:$BL$14,$C14,MONTH($B$14)))=H$3,1,0)</f>
        <v>0</v>
      </c>
      <c r="CO15" s="58">
        <f>IF(DAY(INDEX('Сводный годовой график'!$BA$4:$BL$14,$C14,MONTH($B$14)))=I$3,1,0)</f>
        <v>0</v>
      </c>
      <c r="CP15" s="58">
        <f>IF(DAY(INDEX('Сводный годовой график'!$BA$4:$BL$14,$C14,MONTH($B$14)))=J$3,1,0)</f>
        <v>0</v>
      </c>
      <c r="CQ15" s="58">
        <f>IF(DAY(INDEX('Сводный годовой график'!$BA$4:$BL$14,$C14,MONTH($B$14)))=K$3,1,0)</f>
        <v>0</v>
      </c>
      <c r="CR15" s="58">
        <f>IF(DAY(INDEX('Сводный годовой график'!$BA$4:$BL$14,$C14,MONTH($B$14)))=L$3,1,0)</f>
        <v>0</v>
      </c>
      <c r="CS15" s="58">
        <f>IF(DAY(INDEX('Сводный годовой график'!$BA$4:$BL$14,$C14,MONTH($B$14)))=M$3,1,0)</f>
        <v>0</v>
      </c>
      <c r="CT15" s="58">
        <f>IF(DAY(INDEX('Сводный годовой график'!$BA$4:$BL$14,$C14,MONTH($B$14)))=N$3,1,0)</f>
        <v>0</v>
      </c>
      <c r="CU15" s="58">
        <f>IF(DAY(INDEX('Сводный годовой график'!$BA$4:$BL$14,$C14,MONTH($B$14)))=O$3,1,0)</f>
        <v>0</v>
      </c>
      <c r="CV15" s="58">
        <f>IF(DAY(INDEX('Сводный годовой график'!$BA$4:$BL$14,$C14,MONTH($B$14)))=P$3,1,0)</f>
        <v>0</v>
      </c>
      <c r="CW15" s="58">
        <f>IF(DAY(INDEX('Сводный годовой график'!$BA$4:$BL$14,$C14,MONTH($B$14)))=Q$3,1,0)</f>
        <v>0</v>
      </c>
      <c r="CX15" s="58">
        <f>IF(DAY(INDEX('Сводный годовой график'!$BA$4:$BL$14,$C14,MONTH($B$14)))=R$3,1,0)</f>
        <v>0</v>
      </c>
      <c r="CY15" s="58">
        <f>IF(DAY(INDEX('Сводный годовой график'!$BA$4:$BL$14,$C14,MONTH($B$14)))=S$3,1,0)</f>
        <v>0</v>
      </c>
      <c r="CZ15" s="58">
        <f>IF(DAY(INDEX('Сводный годовой график'!$BA$4:$BL$14,$C14,MONTH($B$14)))=T$3,1,0)</f>
        <v>0</v>
      </c>
      <c r="DA15" s="58">
        <f>IF(DAY(INDEX('Сводный годовой график'!$BA$4:$BL$14,$C14,MONTH($B$14)))=U$3,1,0)</f>
        <v>0</v>
      </c>
      <c r="DB15" s="58">
        <f>IF(DAY(INDEX('Сводный годовой график'!$BA$4:$BL$14,$C14,MONTH($B$14)))=V$3,1,0)</f>
        <v>0</v>
      </c>
      <c r="DC15" s="58">
        <f>IF(DAY(INDEX('Сводный годовой график'!$BA$4:$BL$14,$C14,MONTH($B$14)))=W$3,1,0)</f>
        <v>0</v>
      </c>
      <c r="DD15" s="58">
        <f>IF(DAY(INDEX('Сводный годовой график'!$BA$4:$BL$14,$C14,MONTH($B$14)))=X$3,1,0)</f>
        <v>0</v>
      </c>
      <c r="DE15" s="58">
        <f>IF(DAY(INDEX('Сводный годовой график'!$BA$4:$BL$14,$C14,MONTH($B$14)))=Y$3,1,0)</f>
        <v>0</v>
      </c>
      <c r="DF15" s="58">
        <f>IF(DAY(INDEX('Сводный годовой график'!$BA$4:$BL$14,$C14,MONTH($B$14)))=Z$3,1,0)</f>
        <v>0</v>
      </c>
      <c r="DG15" s="58">
        <f>IF(DAY(INDEX('Сводный годовой график'!$BA$4:$BL$14,$C14,MONTH($B$14)))=AA$3,1,0)</f>
        <v>0</v>
      </c>
      <c r="DH15" s="58">
        <f>IF(DAY(INDEX('Сводный годовой график'!$BA$4:$BL$14,$C14,MONTH($B$14)))=AB$3,1,0)</f>
        <v>0</v>
      </c>
      <c r="DI15" s="58">
        <f>IF(DAY(INDEX('Сводный годовой график'!$BA$4:$BL$14,$C14,MONTH($B$14)))=AC$3,1,0)</f>
        <v>0</v>
      </c>
      <c r="DJ15" s="58">
        <f>IF(DAY(INDEX('Сводный годовой график'!$BA$4:$BL$14,$C14,MONTH($B$14)))=AD$3,1,0)</f>
        <v>0</v>
      </c>
      <c r="DK15" s="58">
        <f>IF(DAY(INDEX('Сводный годовой график'!$BA$4:$BL$14,$C14,MONTH($B$14)))=AE$3,1,0)</f>
        <v>0</v>
      </c>
      <c r="DL15" s="58">
        <f>IF(DAY(INDEX('Сводный годовой график'!$BA$4:$BL$14,$C14,MONTH($B$14)))=AF$3,1,0)</f>
        <v>0</v>
      </c>
      <c r="DM15" s="58">
        <f>IF(DAY(INDEX('Сводный годовой график'!$BA$4:$BL$14,$C14,MONTH($B$14)))=AG$3,1,0)</f>
        <v>0</v>
      </c>
      <c r="DN15" s="58">
        <f>IF(DAY(INDEX('Сводный годовой график'!$BA$4:$BL$14,$C14,MONTH($B$14)))=AH$3,1,0)</f>
        <v>0</v>
      </c>
      <c r="DO15" s="58">
        <f>IF(DAY(INDEX('Сводный годовой график'!$BA$4:$BL$14,$C14,MONTH($B$14)))=AI$3,1,0)</f>
        <v>0</v>
      </c>
    </row>
    <row r="16" spans="2:119" ht="17.25" thickTop="1" thickBot="1" x14ac:dyDescent="0.3">
      <c r="B16" s="201"/>
      <c r="C16" s="196">
        <v>2</v>
      </c>
      <c r="D16" s="81">
        <v>3</v>
      </c>
      <c r="E16" s="92">
        <f ca="1">IF(AND(INDEX('Сводный годовой график'!$C$1:$AR$4,MATCH($C$16,'Сводный годовой график'!$B$1:$B$4),MATCH(DATE($AV$1,MONTH($B$14),E$3),'Сводный годовой график'!$C$6:$AR$6))&lt;&gt;12,INDIRECT(ADDRESS(ROW()+1,COLUMN()))="СП"),8,INDEX('Сводный годовой график'!$C$1:$AR$4,MATCH($C$16,'Сводный годовой график'!$B$1:$B$4),MATCH(DATE($AV$1,MONTH($B$14),E$3),'Сводный годовой график'!$C$6:$AR$6)))</f>
        <v>0</v>
      </c>
      <c r="F16" s="92">
        <f ca="1">IF(AND(INDEX('Сводный годовой график'!$C$1:$AR$4,MATCH($C$16,'Сводный годовой график'!$B$1:$B$4),MATCH(DATE($AV$1,MONTH($B$14),F$3),'Сводный годовой график'!$C$6:$AR$6))&lt;&gt;12,INDIRECT(ADDRESS(ROW()+1,COLUMN()))="СП"),8,INDEX('Сводный годовой график'!$C$1:$AR$4,MATCH($C$16,'Сводный годовой график'!$B$1:$B$4),MATCH(DATE($AV$1,MONTH($B$14),F$3),'Сводный годовой график'!$C$6:$AR$6)))</f>
        <v>4</v>
      </c>
      <c r="G16" s="92">
        <f ca="1">IF(AND(INDEX('Сводный годовой график'!$C$1:$AR$4,MATCH($C$16,'Сводный годовой график'!$B$1:$B$4),MATCH(DATE($AV$1,MONTH($B$14),G$3),'Сводный годовой график'!$C$6:$AR$6))&lt;&gt;12,INDIRECT(ADDRESS(ROW()+1,COLUMN()))="СП"),8,INDEX('Сводный годовой график'!$C$1:$AR$4,MATCH($C$16,'Сводный годовой график'!$B$1:$B$4),MATCH(DATE($AV$1,MONTH($B$14),G$3),'Сводный годовой график'!$C$6:$AR$6)))</f>
        <v>8</v>
      </c>
      <c r="H16" s="92">
        <f ca="1">IF(AND(INDEX('Сводный годовой график'!$C$1:$AR$4,MATCH($C$16,'Сводный годовой график'!$B$1:$B$4),MATCH(DATE($AV$1,MONTH($B$14),H$3),'Сводный годовой график'!$C$6:$AR$6))&lt;&gt;12,INDIRECT(ADDRESS(ROW()+1,COLUMN()))="СП"),8,INDEX('Сводный годовой график'!$C$1:$AR$4,MATCH($C$16,'Сводный годовой график'!$B$1:$B$4),MATCH(DATE($AV$1,MONTH($B$14),H$3),'Сводный годовой график'!$C$6:$AR$6)))</f>
        <v>12</v>
      </c>
      <c r="I16" s="92">
        <f ca="1">IF(AND(INDEX('Сводный годовой график'!$C$1:$AR$4,MATCH($C$16,'Сводный годовой график'!$B$1:$B$4),MATCH(DATE($AV$1,MONTH($B$14),I$3),'Сводный годовой график'!$C$6:$AR$6))&lt;&gt;12,INDIRECT(ADDRESS(ROW()+1,COLUMN()))="СП"),8,INDEX('Сводный годовой график'!$C$1:$AR$4,MATCH($C$16,'Сводный годовой график'!$B$1:$B$4),MATCH(DATE($AV$1,MONTH($B$14),I$3),'Сводный годовой график'!$C$6:$AR$6)))</f>
        <v>4</v>
      </c>
      <c r="J16" s="92">
        <f ca="1">IF(AND(INDEX('Сводный годовой график'!$C$1:$AR$4,MATCH($C$16,'Сводный годовой график'!$B$1:$B$4),MATCH(DATE($AV$1,MONTH($B$14),J$3),'Сводный годовой график'!$C$6:$AR$6))&lt;&gt;12,INDIRECT(ADDRESS(ROW()+1,COLUMN()))="СП"),8,INDEX('Сводный годовой график'!$C$1:$AR$4,MATCH($C$16,'Сводный годовой график'!$B$1:$B$4),MATCH(DATE($AV$1,MONTH($B$14),J$3),'Сводный годовой график'!$C$6:$AR$6)))</f>
        <v>8</v>
      </c>
      <c r="K16" s="92">
        <f ca="1">IF(AND(INDEX('Сводный годовой график'!$C$1:$AR$4,MATCH($C$16,'Сводный годовой график'!$B$1:$B$4),MATCH(DATE($AV$1,MONTH($B$14),K$3),'Сводный годовой график'!$C$6:$AR$6))&lt;&gt;12,INDIRECT(ADDRESS(ROW()+1,COLUMN()))="СП"),8,INDEX('Сводный годовой график'!$C$1:$AR$4,MATCH($C$16,'Сводный годовой график'!$B$1:$B$4),MATCH(DATE($AV$1,MONTH($B$14),K$3),'Сводный годовой график'!$C$6:$AR$6)))</f>
        <v>12</v>
      </c>
      <c r="L16" s="92">
        <f ca="1">IF(AND(INDEX('Сводный годовой график'!$C$1:$AR$4,MATCH($C$16,'Сводный годовой график'!$B$1:$B$4),MATCH(DATE($AV$1,MONTH($B$14),L$3),'Сводный годовой график'!$C$6:$AR$6))&lt;&gt;12,INDIRECT(ADDRESS(ROW()+1,COLUMN()))="СП"),8,INDEX('Сводный годовой график'!$C$1:$AR$4,MATCH($C$16,'Сводный годовой график'!$B$1:$B$4),MATCH(DATE($AV$1,MONTH($B$14),L$3),'Сводный годовой график'!$C$6:$AR$6)))</f>
        <v>0</v>
      </c>
      <c r="M16" s="92">
        <f ca="1">IF(AND(INDEX('Сводный годовой график'!$C$1:$AR$4,MATCH($C$16,'Сводный годовой график'!$B$1:$B$4),MATCH(DATE($AV$1,MONTH($B$14),M$3),'Сводный годовой график'!$C$6:$AR$6))&lt;&gt;12,INDIRECT(ADDRESS(ROW()+1,COLUMN()))="СП"),8,INDEX('Сводный годовой график'!$C$1:$AR$4,MATCH($C$16,'Сводный годовой график'!$B$1:$B$4),MATCH(DATE($AV$1,MONTH($B$14),M$3),'Сводный годовой график'!$C$6:$AR$6)))</f>
        <v>0</v>
      </c>
      <c r="N16" s="92">
        <f ca="1">IF(AND(INDEX('Сводный годовой график'!$C$1:$AR$4,MATCH($C$16,'Сводный годовой график'!$B$1:$B$4),MATCH(DATE($AV$1,MONTH($B$14),N$3),'Сводный годовой график'!$C$6:$AR$6))&lt;&gt;12,INDIRECT(ADDRESS(ROW()+1,COLUMN()))="СП"),8,INDEX('Сводный годовой график'!$C$1:$AR$4,MATCH($C$16,'Сводный годовой график'!$B$1:$B$4),MATCH(DATE($AV$1,MONTH($B$14),N$3),'Сводный годовой график'!$C$6:$AR$6)))</f>
        <v>4</v>
      </c>
      <c r="O16" s="92">
        <f ca="1">IF(AND(INDEX('Сводный годовой график'!$C$1:$AR$4,MATCH($C$16,'Сводный годовой график'!$B$1:$B$4),MATCH(DATE($AV$1,MONTH($B$14),O$3),'Сводный годовой график'!$C$6:$AR$6))&lt;&gt;12,INDIRECT(ADDRESS(ROW()+1,COLUMN()))="СП"),8,INDEX('Сводный годовой график'!$C$1:$AR$4,MATCH($C$16,'Сводный годовой график'!$B$1:$B$4),MATCH(DATE($AV$1,MONTH($B$14),O$3),'Сводный годовой график'!$C$6:$AR$6)))</f>
        <v>8</v>
      </c>
      <c r="P16" s="92">
        <f ca="1">IF(AND(INDEX('Сводный годовой график'!$C$1:$AR$4,MATCH($C$16,'Сводный годовой график'!$B$1:$B$4),MATCH(DATE($AV$1,MONTH($B$14),P$3),'Сводный годовой график'!$C$6:$AR$6))&lt;&gt;12,INDIRECT(ADDRESS(ROW()+1,COLUMN()))="СП"),8,INDEX('Сводный годовой график'!$C$1:$AR$4,MATCH($C$16,'Сводный годовой график'!$B$1:$B$4),MATCH(DATE($AV$1,MONTH($B$14),P$3),'Сводный годовой график'!$C$6:$AR$6)))</f>
        <v>12</v>
      </c>
      <c r="Q16" s="92">
        <f ca="1">IF(AND(INDEX('Сводный годовой график'!$C$1:$AR$4,MATCH($C$16,'Сводный годовой график'!$B$1:$B$4),MATCH(DATE($AV$1,MONTH($B$14),Q$3),'Сводный годовой график'!$C$6:$AR$6))&lt;&gt;12,INDIRECT(ADDRESS(ROW()+1,COLUMN()))="СП"),8,INDEX('Сводный годовой график'!$C$1:$AR$4,MATCH($C$16,'Сводный годовой график'!$B$1:$B$4),MATCH(DATE($AV$1,MONTH($B$14),Q$3),'Сводный годовой график'!$C$6:$AR$6)))</f>
        <v>4</v>
      </c>
      <c r="R16" s="92">
        <f ca="1">IF(AND(INDEX('Сводный годовой график'!$C$1:$AR$4,MATCH($C$16,'Сводный годовой график'!$B$1:$B$4),MATCH(DATE($AV$1,MONTH($B$14),R$3),'Сводный годовой график'!$C$6:$AR$6))&lt;&gt;12,INDIRECT(ADDRESS(ROW()+1,COLUMN()))="СП"),8,INDEX('Сводный годовой график'!$C$1:$AR$4,MATCH($C$16,'Сводный годовой график'!$B$1:$B$4),MATCH(DATE($AV$1,MONTH($B$14),R$3),'Сводный годовой график'!$C$6:$AR$6)))</f>
        <v>8</v>
      </c>
      <c r="S16" s="92">
        <f ca="1">IF(AND(INDEX('Сводный годовой график'!$C$1:$AR$4,MATCH($C$16,'Сводный годовой график'!$B$1:$B$4),MATCH(DATE($AV$1,MONTH($B$14),S$3),'Сводный годовой график'!$C$6:$AR$6))&lt;&gt;12,INDIRECT(ADDRESS(ROW()+1,COLUMN()))="СП"),8,INDEX('Сводный годовой график'!$C$1:$AR$4,MATCH($C$16,'Сводный годовой график'!$B$1:$B$4),MATCH(DATE($AV$1,MONTH($B$14),S$3),'Сводный годовой график'!$C$6:$AR$6)))</f>
        <v>12</v>
      </c>
      <c r="T16" s="92">
        <f ca="1">IF(AND(INDEX('Сводный годовой график'!$C$1:$AR$4,MATCH($C$16,'Сводный годовой график'!$B$1:$B$4),MATCH(DATE($AV$1,MONTH($B$14),T$3),'Сводный годовой график'!$C$6:$AR$6))&lt;&gt;12,INDIRECT(ADDRESS(ROW()+1,COLUMN()))="СП"),8,INDEX('Сводный годовой график'!$C$1:$AR$4,MATCH($C$16,'Сводный годовой график'!$B$1:$B$4),MATCH(DATE($AV$1,MONTH($B$14),T$3),'Сводный годовой график'!$C$6:$AR$6)))</f>
        <v>0</v>
      </c>
      <c r="U16" s="92">
        <f ca="1">IF(AND(INDEX('Сводный годовой график'!$C$1:$AR$4,MATCH($C$16,'Сводный годовой график'!$B$1:$B$4),MATCH(DATE($AV$1,MONTH($B$14),U$3),'Сводный годовой график'!$C$6:$AR$6))&lt;&gt;12,INDIRECT(ADDRESS(ROW()+1,COLUMN()))="СП"),8,INDEX('Сводный годовой график'!$C$1:$AR$4,MATCH($C$16,'Сводный годовой график'!$B$1:$B$4),MATCH(DATE($AV$1,MONTH($B$14),U$3),'Сводный годовой график'!$C$6:$AR$6)))</f>
        <v>0</v>
      </c>
      <c r="V16" s="92">
        <f ca="1">IF(AND(INDEX('Сводный годовой график'!$C$1:$AR$4,MATCH($C$16,'Сводный годовой график'!$B$1:$B$4),MATCH(DATE($AV$1,MONTH($B$14),V$3),'Сводный годовой график'!$C$6:$AR$6))&lt;&gt;12,INDIRECT(ADDRESS(ROW()+1,COLUMN()))="СП"),8,INDEX('Сводный годовой график'!$C$1:$AR$4,MATCH($C$16,'Сводный годовой график'!$B$1:$B$4),MATCH(DATE($AV$1,MONTH($B$14),V$3),'Сводный годовой график'!$C$6:$AR$6)))</f>
        <v>4</v>
      </c>
      <c r="W16" s="92">
        <f ca="1">IF(AND(INDEX('Сводный годовой график'!$C$1:$AR$4,MATCH($C$16,'Сводный годовой график'!$B$1:$B$4),MATCH(DATE($AV$1,MONTH($B$14),W$3),'Сводный годовой график'!$C$6:$AR$6))&lt;&gt;12,INDIRECT(ADDRESS(ROW()+1,COLUMN()))="СП"),8,INDEX('Сводный годовой график'!$C$1:$AR$4,MATCH($C$16,'Сводный годовой график'!$B$1:$B$4),MATCH(DATE($AV$1,MONTH($B$14),W$3),'Сводный годовой график'!$C$6:$AR$6)))</f>
        <v>8</v>
      </c>
      <c r="X16" s="92">
        <f ca="1">IF(AND(INDEX('Сводный годовой график'!$C$1:$AR$4,MATCH($C$16,'Сводный годовой график'!$B$1:$B$4),MATCH(DATE($AV$1,MONTH($B$14),X$3),'Сводный годовой график'!$C$6:$AR$6))&lt;&gt;12,INDIRECT(ADDRESS(ROW()+1,COLUMN()))="СП"),8,INDEX('Сводный годовой график'!$C$1:$AR$4,MATCH($C$16,'Сводный годовой график'!$B$1:$B$4),MATCH(DATE($AV$1,MONTH($B$14),X$3),'Сводный годовой график'!$C$6:$AR$6)))</f>
        <v>12</v>
      </c>
      <c r="Y16" s="92">
        <f ca="1">IF(AND(INDEX('Сводный годовой график'!$C$1:$AR$4,MATCH($C$16,'Сводный годовой график'!$B$1:$B$4),MATCH(DATE($AV$1,MONTH($B$14),Y$3),'Сводный годовой график'!$C$6:$AR$6))&lt;&gt;12,INDIRECT(ADDRESS(ROW()+1,COLUMN()))="СП"),8,INDEX('Сводный годовой график'!$C$1:$AR$4,MATCH($C$16,'Сводный годовой график'!$B$1:$B$4),MATCH(DATE($AV$1,MONTH($B$14),Y$3),'Сводный годовой график'!$C$6:$AR$6)))</f>
        <v>4</v>
      </c>
      <c r="Z16" s="92">
        <f ca="1">IF(AND(INDEX('Сводный годовой график'!$C$1:$AR$4,MATCH($C$16,'Сводный годовой график'!$B$1:$B$4),MATCH(DATE($AV$1,MONTH($B$14),Z$3),'Сводный годовой график'!$C$6:$AR$6))&lt;&gt;12,INDIRECT(ADDRESS(ROW()+1,COLUMN()))="СП"),8,INDEX('Сводный годовой график'!$C$1:$AR$4,MATCH($C$16,'Сводный годовой график'!$B$1:$B$4),MATCH(DATE($AV$1,MONTH($B$14),Z$3),'Сводный годовой график'!$C$6:$AR$6)))</f>
        <v>8</v>
      </c>
      <c r="AA16" s="92">
        <f ca="1">IF(AND(INDEX('Сводный годовой график'!$C$1:$AR$4,MATCH($C$16,'Сводный годовой график'!$B$1:$B$4),MATCH(DATE($AV$1,MONTH($B$14),AA$3),'Сводный годовой график'!$C$6:$AR$6))&lt;&gt;12,INDIRECT(ADDRESS(ROW()+1,COLUMN()))="СП"),8,INDEX('Сводный годовой график'!$C$1:$AR$4,MATCH($C$16,'Сводный годовой график'!$B$1:$B$4),MATCH(DATE($AV$1,MONTH($B$14),AA$3),'Сводный годовой график'!$C$6:$AR$6)))</f>
        <v>12</v>
      </c>
      <c r="AB16" s="92">
        <f ca="1">IF(AND(INDEX('Сводный годовой график'!$C$1:$AR$4,MATCH($C$16,'Сводный годовой график'!$B$1:$B$4),MATCH(DATE($AV$1,MONTH($B$14),AB$3),'Сводный годовой график'!$C$6:$AR$6))&lt;&gt;12,INDIRECT(ADDRESS(ROW()+1,COLUMN()))="СП"),8,INDEX('Сводный годовой график'!$C$1:$AR$4,MATCH($C$16,'Сводный годовой график'!$B$1:$B$4),MATCH(DATE($AV$1,MONTH($B$14),AB$3),'Сводный годовой график'!$C$6:$AR$6)))</f>
        <v>0</v>
      </c>
      <c r="AC16" s="92">
        <f ca="1">IF(AND(INDEX('Сводный годовой график'!$C$1:$AR$4,MATCH($C$16,'Сводный годовой график'!$B$1:$B$4),MATCH(DATE($AV$1,MONTH($B$14),AC$3),'Сводный годовой график'!$C$6:$AR$6))&lt;&gt;12,INDIRECT(ADDRESS(ROW()+1,COLUMN()))="СП"),8,INDEX('Сводный годовой график'!$C$1:$AR$4,MATCH($C$16,'Сводный годовой график'!$B$1:$B$4),MATCH(DATE($AV$1,MONTH($B$14),AC$3),'Сводный годовой график'!$C$6:$AR$6)))</f>
        <v>0</v>
      </c>
      <c r="AD16" s="92">
        <f ca="1">IF(AND(INDEX('Сводный годовой график'!$C$1:$AR$4,MATCH($C$16,'Сводный годовой график'!$B$1:$B$4),MATCH(DATE($AV$1,MONTH($B$14),AD$3),'Сводный годовой график'!$C$6:$AR$6))&lt;&gt;12,INDIRECT(ADDRESS(ROW()+1,COLUMN()))="СП"),8,INDEX('Сводный годовой график'!$C$1:$AR$4,MATCH($C$16,'Сводный годовой график'!$B$1:$B$4),MATCH(DATE($AV$1,MONTH($B$14),AD$3),'Сводный годовой график'!$C$6:$AR$6)))</f>
        <v>4</v>
      </c>
      <c r="AE16" s="92">
        <f ca="1">IF(AND(INDEX('Сводный годовой график'!$C$1:$AR$4,MATCH($C$16,'Сводный годовой график'!$B$1:$B$4),MATCH(DATE($AV$1,MONTH($B$14),AE$3),'Сводный годовой график'!$C$6:$AR$6))&lt;&gt;12,INDIRECT(ADDRESS(ROW()+1,COLUMN()))="СП"),8,INDEX('Сводный годовой график'!$C$1:$AR$4,MATCH($C$16,'Сводный годовой график'!$B$1:$B$4),MATCH(DATE($AV$1,MONTH($B$14),AE$3),'Сводный годовой график'!$C$6:$AR$6)))</f>
        <v>8</v>
      </c>
      <c r="AF16" s="92">
        <f ca="1">IF(AND(INDEX('Сводный годовой график'!$C$1:$AR$4,MATCH($C$16,'Сводный годовой график'!$B$1:$B$4),MATCH(DATE($AV$1,MONTH($B$14),AF$3),'Сводный годовой график'!$C$6:$AR$6))&lt;&gt;12,INDIRECT(ADDRESS(ROW()+1,COLUMN()))="СП"),8,INDEX('Сводный годовой график'!$C$1:$AR$4,MATCH($C$16,'Сводный годовой график'!$B$1:$B$4),MATCH(DATE($AV$1,MONTH($B$14),AF$3),'Сводный годовой график'!$C$6:$AR$6)))</f>
        <v>12</v>
      </c>
      <c r="AG16" s="119"/>
      <c r="AH16" s="119"/>
      <c r="AI16" s="110"/>
      <c r="AJ16" s="206"/>
      <c r="AK16" s="177">
        <f>$AJ$14-SUM(AY16:CC17)</f>
        <v>160</v>
      </c>
      <c r="AL16" s="177">
        <f t="shared" ref="AL16" ca="1" si="24">SUM(E16:AI17)</f>
        <v>168</v>
      </c>
      <c r="AM16" s="177">
        <f ca="1">SUM(AA16)</f>
        <v>12</v>
      </c>
      <c r="AN16" s="198">
        <f t="shared" ref="AN16" ca="1" si="25">-AM16-AK16+AL16</f>
        <v>-4</v>
      </c>
      <c r="AO16" s="198">
        <v>12</v>
      </c>
      <c r="AP16" s="208">
        <f ca="1">AN16+AP6-AO16</f>
        <v>-8</v>
      </c>
      <c r="AQ16" s="177">
        <v>0</v>
      </c>
      <c r="AR16" s="179">
        <v>1</v>
      </c>
      <c r="CK16" s="59"/>
      <c r="CL16" s="59"/>
      <c r="CM16" s="59"/>
      <c r="CN16" s="59"/>
      <c r="CO16" s="59"/>
      <c r="CP16" s="59"/>
      <c r="CQ16" s="59"/>
      <c r="CR16" s="59"/>
      <c r="CS16" s="59"/>
      <c r="CT16" s="59"/>
      <c r="CU16" s="59"/>
      <c r="CV16" s="59"/>
      <c r="CW16" s="59"/>
      <c r="CX16" s="59"/>
      <c r="CY16" s="59"/>
      <c r="CZ16" s="59"/>
      <c r="DA16" s="59"/>
      <c r="DB16" s="59"/>
      <c r="DC16" s="59"/>
      <c r="DD16" s="59"/>
      <c r="DE16" s="59"/>
      <c r="DF16" s="59"/>
      <c r="DG16" s="59"/>
      <c r="DH16" s="59"/>
      <c r="DI16" s="59"/>
      <c r="DJ16" s="59"/>
      <c r="DK16" s="59"/>
      <c r="DL16" s="59"/>
      <c r="DM16" s="59"/>
      <c r="DN16" s="59"/>
      <c r="DO16" s="59"/>
    </row>
    <row r="17" spans="2:119" ht="16.5" thickBot="1" x14ac:dyDescent="0.3">
      <c r="B17" s="201"/>
      <c r="C17" s="197"/>
      <c r="D17" s="82">
        <v>4</v>
      </c>
      <c r="E17" s="92" t="str">
        <f t="shared" ref="E17:AF17" si="26">IF(INDEX($CK$4:$DO$123,ROW()-3,E$3)=0,"","СП")</f>
        <v/>
      </c>
      <c r="F17" s="92" t="str">
        <f t="shared" si="26"/>
        <v/>
      </c>
      <c r="G17" s="92" t="str">
        <f t="shared" si="26"/>
        <v>СП</v>
      </c>
      <c r="H17" s="92" t="str">
        <f t="shared" si="26"/>
        <v/>
      </c>
      <c r="I17" s="92" t="str">
        <f t="shared" si="26"/>
        <v/>
      </c>
      <c r="J17" s="92" t="str">
        <f t="shared" si="26"/>
        <v/>
      </c>
      <c r="K17" s="92" t="str">
        <f t="shared" si="26"/>
        <v/>
      </c>
      <c r="L17" s="92" t="str">
        <f t="shared" si="26"/>
        <v/>
      </c>
      <c r="M17" s="92" t="str">
        <f t="shared" si="26"/>
        <v/>
      </c>
      <c r="N17" s="92" t="str">
        <f t="shared" si="26"/>
        <v/>
      </c>
      <c r="O17" s="92" t="str">
        <f t="shared" si="26"/>
        <v/>
      </c>
      <c r="P17" s="92" t="str">
        <f t="shared" si="26"/>
        <v/>
      </c>
      <c r="Q17" s="92" t="str">
        <f t="shared" si="26"/>
        <v/>
      </c>
      <c r="R17" s="92" t="str">
        <f t="shared" si="26"/>
        <v/>
      </c>
      <c r="S17" s="92" t="str">
        <f t="shared" si="26"/>
        <v/>
      </c>
      <c r="T17" s="92" t="str">
        <f t="shared" si="26"/>
        <v/>
      </c>
      <c r="U17" s="92" t="str">
        <f t="shared" si="26"/>
        <v/>
      </c>
      <c r="V17" s="92" t="str">
        <f t="shared" si="26"/>
        <v/>
      </c>
      <c r="W17" s="92" t="str">
        <f t="shared" si="26"/>
        <v/>
      </c>
      <c r="X17" s="92" t="str">
        <f t="shared" si="26"/>
        <v/>
      </c>
      <c r="Y17" s="92" t="str">
        <f t="shared" si="26"/>
        <v/>
      </c>
      <c r="Z17" s="92" t="str">
        <f t="shared" si="26"/>
        <v/>
      </c>
      <c r="AA17" s="92" t="str">
        <f t="shared" si="26"/>
        <v/>
      </c>
      <c r="AB17" s="92" t="str">
        <f t="shared" si="26"/>
        <v/>
      </c>
      <c r="AC17" s="92" t="str">
        <f t="shared" si="26"/>
        <v/>
      </c>
      <c r="AD17" s="92" t="str">
        <f t="shared" si="26"/>
        <v/>
      </c>
      <c r="AE17" s="92" t="str">
        <f t="shared" si="26"/>
        <v/>
      </c>
      <c r="AF17" s="92" t="str">
        <f t="shared" si="26"/>
        <v/>
      </c>
      <c r="AG17" s="119"/>
      <c r="AH17" s="119"/>
      <c r="AI17" s="110"/>
      <c r="AJ17" s="206"/>
      <c r="AK17" s="177"/>
      <c r="AL17" s="177"/>
      <c r="AM17" s="177"/>
      <c r="AN17" s="198"/>
      <c r="AO17" s="198"/>
      <c r="AP17" s="198"/>
      <c r="AQ17" s="177"/>
      <c r="AR17" s="179"/>
      <c r="CK17" s="58">
        <f>IF(DAY(INDEX('Сводный годовой график'!$BA$4:$BL$14,$C16,MONTH($B$14)))=E$3,1,0)</f>
        <v>0</v>
      </c>
      <c r="CL17" s="58">
        <f>IF(DAY(INDEX('Сводный годовой график'!$BA$4:$BL$14,$C16,MONTH($B$14)))=F$3,1,0)</f>
        <v>0</v>
      </c>
      <c r="CM17" s="58">
        <f>IF(DAY(INDEX('Сводный годовой график'!$BA$4:$BL$14,$C16,MONTH($B$14)))=G$3,1,0)</f>
        <v>1</v>
      </c>
      <c r="CN17" s="58">
        <f>IF(DAY(INDEX('Сводный годовой график'!$BA$4:$BL$14,$C16,MONTH($B$14)))=H$3,1,0)</f>
        <v>0</v>
      </c>
      <c r="CO17" s="58">
        <f>IF(DAY(INDEX('Сводный годовой график'!$BA$4:$BL$14,$C16,MONTH($B$14)))=I$3,1,0)</f>
        <v>0</v>
      </c>
      <c r="CP17" s="58">
        <f>IF(DAY(INDEX('Сводный годовой график'!$BA$4:$BL$14,$C16,MONTH($B$14)))=J$3,1,0)</f>
        <v>0</v>
      </c>
      <c r="CQ17" s="58">
        <f>IF(DAY(INDEX('Сводный годовой график'!$BA$4:$BL$14,$C16,MONTH($B$14)))=K$3,1,0)</f>
        <v>0</v>
      </c>
      <c r="CR17" s="58">
        <f>IF(DAY(INDEX('Сводный годовой график'!$BA$4:$BL$14,$C16,MONTH($B$14)))=L$3,1,0)</f>
        <v>0</v>
      </c>
      <c r="CS17" s="58">
        <f>IF(DAY(INDEX('Сводный годовой график'!$BA$4:$BL$14,$C16,MONTH($B$14)))=M$3,1,0)</f>
        <v>0</v>
      </c>
      <c r="CT17" s="58">
        <f>IF(DAY(INDEX('Сводный годовой график'!$BA$4:$BL$14,$C16,MONTH($B$14)))=N$3,1,0)</f>
        <v>0</v>
      </c>
      <c r="CU17" s="58">
        <f>IF(DAY(INDEX('Сводный годовой график'!$BA$4:$BL$14,$C16,MONTH($B$14)))=O$3,1,0)</f>
        <v>0</v>
      </c>
      <c r="CV17" s="58">
        <f>IF(DAY(INDEX('Сводный годовой график'!$BA$4:$BL$14,$C16,MONTH($B$14)))=P$3,1,0)</f>
        <v>0</v>
      </c>
      <c r="CW17" s="58">
        <f>IF(DAY(INDEX('Сводный годовой график'!$BA$4:$BL$14,$C16,MONTH($B$14)))=Q$3,1,0)</f>
        <v>0</v>
      </c>
      <c r="CX17" s="58">
        <f>IF(DAY(INDEX('Сводный годовой график'!$BA$4:$BL$14,$C16,MONTH($B$14)))=R$3,1,0)</f>
        <v>0</v>
      </c>
      <c r="CY17" s="58">
        <f>IF(DAY(INDEX('Сводный годовой график'!$BA$4:$BL$14,$C16,MONTH($B$14)))=S$3,1,0)</f>
        <v>0</v>
      </c>
      <c r="CZ17" s="58">
        <f>IF(DAY(INDEX('Сводный годовой график'!$BA$4:$BL$14,$C16,MONTH($B$14)))=T$3,1,0)</f>
        <v>0</v>
      </c>
      <c r="DA17" s="58">
        <f>IF(DAY(INDEX('Сводный годовой график'!$BA$4:$BL$14,$C16,MONTH($B$14)))=U$3,1,0)</f>
        <v>0</v>
      </c>
      <c r="DB17" s="58">
        <f>IF(DAY(INDEX('Сводный годовой график'!$BA$4:$BL$14,$C16,MONTH($B$14)))=V$3,1,0)</f>
        <v>0</v>
      </c>
      <c r="DC17" s="58">
        <f>IF(DAY(INDEX('Сводный годовой график'!$BA$4:$BL$14,$C16,MONTH($B$14)))=W$3,1,0)</f>
        <v>0</v>
      </c>
      <c r="DD17" s="58">
        <f>IF(DAY(INDEX('Сводный годовой график'!$BA$4:$BL$14,$C16,MONTH($B$14)))=X$3,1,0)</f>
        <v>0</v>
      </c>
      <c r="DE17" s="58">
        <f>IF(DAY(INDEX('Сводный годовой график'!$BA$4:$BL$14,$C16,MONTH($B$14)))=Y$3,1,0)</f>
        <v>0</v>
      </c>
      <c r="DF17" s="58">
        <f>IF(DAY(INDEX('Сводный годовой график'!$BA$4:$BL$14,$C16,MONTH($B$14)))=Z$3,1,0)</f>
        <v>0</v>
      </c>
      <c r="DG17" s="58">
        <f>IF(DAY(INDEX('Сводный годовой график'!$BA$4:$BL$14,$C16,MONTH($B$14)))=AA$3,1,0)</f>
        <v>0</v>
      </c>
      <c r="DH17" s="58">
        <f>IF(DAY(INDEX('Сводный годовой график'!$BA$4:$BL$14,$C16,MONTH($B$14)))=AB$3,1,0)</f>
        <v>0</v>
      </c>
      <c r="DI17" s="58">
        <f>IF(DAY(INDEX('Сводный годовой график'!$BA$4:$BL$14,$C16,MONTH($B$14)))=AC$3,1,0)</f>
        <v>0</v>
      </c>
      <c r="DJ17" s="58">
        <f>IF(DAY(INDEX('Сводный годовой график'!$BA$4:$BL$14,$C16,MONTH($B$14)))=AD$3,1,0)</f>
        <v>0</v>
      </c>
      <c r="DK17" s="58">
        <f>IF(DAY(INDEX('Сводный годовой график'!$BA$4:$BL$14,$C16,MONTH($B$14)))=AE$3,1,0)</f>
        <v>0</v>
      </c>
      <c r="DL17" s="58">
        <f>IF(DAY(INDEX('Сводный годовой график'!$BA$4:$BL$14,$C16,MONTH($B$14)))=AF$3,1,0)</f>
        <v>0</v>
      </c>
      <c r="DM17" s="58">
        <f>IF(DAY(INDEX('Сводный годовой график'!$BA$4:$BL$14,$C16,MONTH($B$14)))=AG$3,1,0)</f>
        <v>0</v>
      </c>
      <c r="DN17" s="58">
        <f>IF(DAY(INDEX('Сводный годовой график'!$BA$4:$BL$14,$C16,MONTH($B$14)))=AH$3,1,0)</f>
        <v>0</v>
      </c>
      <c r="DO17" s="58">
        <f>IF(DAY(INDEX('Сводный годовой график'!$BA$4:$BL$14,$C16,MONTH($B$14)))=AI$3,1,0)</f>
        <v>0</v>
      </c>
    </row>
    <row r="18" spans="2:119" ht="17.25" thickTop="1" thickBot="1" x14ac:dyDescent="0.3">
      <c r="B18" s="201"/>
      <c r="C18" s="196">
        <v>3</v>
      </c>
      <c r="D18" s="81">
        <v>5</v>
      </c>
      <c r="E18" s="92">
        <f ca="1">IF(AND(INDEX('Сводный годовой график'!$C$1:$AR$4,MATCH($C$18,'Сводный годовой график'!$B$1:$B$4),MATCH(DATE($AV$1,MONTH($B$14),E$3),'Сводный годовой график'!$C$6:$AR$6))&lt;&gt;12,INDIRECT(ADDRESS(ROW()+1,COLUMN()))="СП"),8,INDEX('Сводный годовой график'!$C$1:$AR$4,MATCH($C$18,'Сводный годовой график'!$B$1:$B$4),MATCH(DATE($AV$1,MONTH($B$14),E$3),'Сводный годовой график'!$C$6:$AR$6)))</f>
        <v>4</v>
      </c>
      <c r="F18" s="92">
        <f ca="1">IF(AND(INDEX('Сводный годовой график'!$C$1:$AR$4,MATCH($C$18,'Сводный годовой график'!$B$1:$B$4),MATCH(DATE($AV$1,MONTH($B$14),F$3),'Сводный годовой график'!$C$6:$AR$6))&lt;&gt;12,INDIRECT(ADDRESS(ROW()+1,COLUMN()))="СП"),8,INDEX('Сводный годовой график'!$C$1:$AR$4,MATCH($C$18,'Сводный годовой график'!$B$1:$B$4),MATCH(DATE($AV$1,MONTH($B$14),F$3),'Сводный годовой график'!$C$6:$AR$6)))</f>
        <v>8</v>
      </c>
      <c r="G18" s="92">
        <f ca="1">IF(AND(INDEX('Сводный годовой график'!$C$1:$AR$4,MATCH($C$18,'Сводный годовой график'!$B$1:$B$4),MATCH(DATE($AV$1,MONTH($B$14),G$3),'Сводный годовой график'!$C$6:$AR$6))&lt;&gt;12,INDIRECT(ADDRESS(ROW()+1,COLUMN()))="СП"),8,INDEX('Сводный годовой график'!$C$1:$AR$4,MATCH($C$18,'Сводный годовой график'!$B$1:$B$4),MATCH(DATE($AV$1,MONTH($B$14),G$3),'Сводный годовой график'!$C$6:$AR$6)))</f>
        <v>12</v>
      </c>
      <c r="H18" s="92">
        <f ca="1">IF(AND(INDEX('Сводный годовой график'!$C$1:$AR$4,MATCH($C$18,'Сводный годовой график'!$B$1:$B$4),MATCH(DATE($AV$1,MONTH($B$14),H$3),'Сводный годовой график'!$C$6:$AR$6))&lt;&gt;12,INDIRECT(ADDRESS(ROW()+1,COLUMN()))="СП"),8,INDEX('Сводный годовой график'!$C$1:$AR$4,MATCH($C$18,'Сводный годовой график'!$B$1:$B$4),MATCH(DATE($AV$1,MONTH($B$14),H$3),'Сводный годовой график'!$C$6:$AR$6)))</f>
        <v>8</v>
      </c>
      <c r="I18" s="92">
        <f ca="1">IF(AND(INDEX('Сводный годовой график'!$C$1:$AR$4,MATCH($C$18,'Сводный годовой график'!$B$1:$B$4),MATCH(DATE($AV$1,MONTH($B$14),I$3),'Сводный годовой график'!$C$6:$AR$6))&lt;&gt;12,INDIRECT(ADDRESS(ROW()+1,COLUMN()))="СП"),8,INDEX('Сводный годовой график'!$C$1:$AR$4,MATCH($C$18,'Сводный годовой график'!$B$1:$B$4),MATCH(DATE($AV$1,MONTH($B$14),I$3),'Сводный годовой график'!$C$6:$AR$6)))</f>
        <v>0</v>
      </c>
      <c r="J18" s="92">
        <f ca="1">IF(AND(INDEX('Сводный годовой график'!$C$1:$AR$4,MATCH($C$18,'Сводный годовой график'!$B$1:$B$4),MATCH(DATE($AV$1,MONTH($B$14),J$3),'Сводный годовой график'!$C$6:$AR$6))&lt;&gt;12,INDIRECT(ADDRESS(ROW()+1,COLUMN()))="СП"),8,INDEX('Сводный годовой график'!$C$1:$AR$4,MATCH($C$18,'Сводный годовой график'!$B$1:$B$4),MATCH(DATE($AV$1,MONTH($B$14),J$3),'Сводный годовой график'!$C$6:$AR$6)))</f>
        <v>4</v>
      </c>
      <c r="K18" s="92">
        <f ca="1">IF(AND(INDEX('Сводный годовой график'!$C$1:$AR$4,MATCH($C$18,'Сводный годовой график'!$B$1:$B$4),MATCH(DATE($AV$1,MONTH($B$14),K$3),'Сводный годовой график'!$C$6:$AR$6))&lt;&gt;12,INDIRECT(ADDRESS(ROW()+1,COLUMN()))="СП"),8,INDEX('Сводный годовой график'!$C$1:$AR$4,MATCH($C$18,'Сводный годовой график'!$B$1:$B$4),MATCH(DATE($AV$1,MONTH($B$14),K$3),'Сводный годовой график'!$C$6:$AR$6)))</f>
        <v>8</v>
      </c>
      <c r="L18" s="92">
        <f ca="1">IF(AND(INDEX('Сводный годовой график'!$C$1:$AR$4,MATCH($C$18,'Сводный годовой график'!$B$1:$B$4),MATCH(DATE($AV$1,MONTH($B$14),L$3),'Сводный годовой график'!$C$6:$AR$6))&lt;&gt;12,INDIRECT(ADDRESS(ROW()+1,COLUMN()))="СП"),8,INDEX('Сводный годовой график'!$C$1:$AR$4,MATCH($C$18,'Сводный годовой график'!$B$1:$B$4),MATCH(DATE($AV$1,MONTH($B$14),L$3),'Сводный годовой график'!$C$6:$AR$6)))</f>
        <v>12</v>
      </c>
      <c r="M18" s="92">
        <f ca="1">IF(AND(INDEX('Сводный годовой график'!$C$1:$AR$4,MATCH($C$18,'Сводный годовой график'!$B$1:$B$4),MATCH(DATE($AV$1,MONTH($B$14),M$3),'Сводный годовой график'!$C$6:$AR$6))&lt;&gt;12,INDIRECT(ADDRESS(ROW()+1,COLUMN()))="СП"),8,INDEX('Сводный годовой график'!$C$1:$AR$4,MATCH($C$18,'Сводный годовой график'!$B$1:$B$4),MATCH(DATE($AV$1,MONTH($B$14),M$3),'Сводный годовой график'!$C$6:$AR$6)))</f>
        <v>4</v>
      </c>
      <c r="N18" s="92">
        <f ca="1">IF(AND(INDEX('Сводный годовой график'!$C$1:$AR$4,MATCH($C$18,'Сводный годовой график'!$B$1:$B$4),MATCH(DATE($AV$1,MONTH($B$14),N$3),'Сводный годовой график'!$C$6:$AR$6))&lt;&gt;12,INDIRECT(ADDRESS(ROW()+1,COLUMN()))="СП"),8,INDEX('Сводный годовой график'!$C$1:$AR$4,MATCH($C$18,'Сводный годовой график'!$B$1:$B$4),MATCH(DATE($AV$1,MONTH($B$14),N$3),'Сводный годовой график'!$C$6:$AR$6)))</f>
        <v>8</v>
      </c>
      <c r="O18" s="92">
        <f ca="1">IF(AND(INDEX('Сводный годовой график'!$C$1:$AR$4,MATCH($C$18,'Сводный годовой график'!$B$1:$B$4),MATCH(DATE($AV$1,MONTH($B$14),O$3),'Сводный годовой график'!$C$6:$AR$6))&lt;&gt;12,INDIRECT(ADDRESS(ROW()+1,COLUMN()))="СП"),8,INDEX('Сводный годовой график'!$C$1:$AR$4,MATCH($C$18,'Сводный годовой график'!$B$1:$B$4),MATCH(DATE($AV$1,MONTH($B$14),O$3),'Сводный годовой график'!$C$6:$AR$6)))</f>
        <v>12</v>
      </c>
      <c r="P18" s="92">
        <f ca="1">IF(AND(INDEX('Сводный годовой график'!$C$1:$AR$4,MATCH($C$18,'Сводный годовой график'!$B$1:$B$4),MATCH(DATE($AV$1,MONTH($B$14),P$3),'Сводный годовой график'!$C$6:$AR$6))&lt;&gt;12,INDIRECT(ADDRESS(ROW()+1,COLUMN()))="СП"),8,INDEX('Сводный годовой график'!$C$1:$AR$4,MATCH($C$18,'Сводный годовой график'!$B$1:$B$4),MATCH(DATE($AV$1,MONTH($B$14),P$3),'Сводный годовой график'!$C$6:$AR$6)))</f>
        <v>0</v>
      </c>
      <c r="Q18" s="92">
        <f ca="1">IF(AND(INDEX('Сводный годовой график'!$C$1:$AR$4,MATCH($C$18,'Сводный годовой график'!$B$1:$B$4),MATCH(DATE($AV$1,MONTH($B$14),Q$3),'Сводный годовой график'!$C$6:$AR$6))&lt;&gt;12,INDIRECT(ADDRESS(ROW()+1,COLUMN()))="СП"),8,INDEX('Сводный годовой график'!$C$1:$AR$4,MATCH($C$18,'Сводный годовой график'!$B$1:$B$4),MATCH(DATE($AV$1,MONTH($B$14),Q$3),'Сводный годовой график'!$C$6:$AR$6)))</f>
        <v>0</v>
      </c>
      <c r="R18" s="92">
        <f ca="1">IF(AND(INDEX('Сводный годовой график'!$C$1:$AR$4,MATCH($C$18,'Сводный годовой график'!$B$1:$B$4),MATCH(DATE($AV$1,MONTH($B$14),R$3),'Сводный годовой график'!$C$6:$AR$6))&lt;&gt;12,INDIRECT(ADDRESS(ROW()+1,COLUMN()))="СП"),8,INDEX('Сводный годовой график'!$C$1:$AR$4,MATCH($C$18,'Сводный годовой график'!$B$1:$B$4),MATCH(DATE($AV$1,MONTH($B$14),R$3),'Сводный годовой график'!$C$6:$AR$6)))</f>
        <v>4</v>
      </c>
      <c r="S18" s="92">
        <f ca="1">IF(AND(INDEX('Сводный годовой график'!$C$1:$AR$4,MATCH($C$18,'Сводный годовой график'!$B$1:$B$4),MATCH(DATE($AV$1,MONTH($B$14),S$3),'Сводный годовой график'!$C$6:$AR$6))&lt;&gt;12,INDIRECT(ADDRESS(ROW()+1,COLUMN()))="СП"),8,INDEX('Сводный годовой график'!$C$1:$AR$4,MATCH($C$18,'Сводный годовой график'!$B$1:$B$4),MATCH(DATE($AV$1,MONTH($B$14),S$3),'Сводный годовой график'!$C$6:$AR$6)))</f>
        <v>8</v>
      </c>
      <c r="T18" s="92">
        <f ca="1">IF(AND(INDEX('Сводный годовой график'!$C$1:$AR$4,MATCH($C$18,'Сводный годовой график'!$B$1:$B$4),MATCH(DATE($AV$1,MONTH($B$14),T$3),'Сводный годовой график'!$C$6:$AR$6))&lt;&gt;12,INDIRECT(ADDRESS(ROW()+1,COLUMN()))="СП"),8,INDEX('Сводный годовой график'!$C$1:$AR$4,MATCH($C$18,'Сводный годовой график'!$B$1:$B$4),MATCH(DATE($AV$1,MONTH($B$14),T$3),'Сводный годовой график'!$C$6:$AR$6)))</f>
        <v>12</v>
      </c>
      <c r="U18" s="92">
        <f ca="1">IF(AND(INDEX('Сводный годовой график'!$C$1:$AR$4,MATCH($C$18,'Сводный годовой график'!$B$1:$B$4),MATCH(DATE($AV$1,MONTH($B$14),U$3),'Сводный годовой график'!$C$6:$AR$6))&lt;&gt;12,INDIRECT(ADDRESS(ROW()+1,COLUMN()))="СП"),8,INDEX('Сводный годовой график'!$C$1:$AR$4,MATCH($C$18,'Сводный годовой график'!$B$1:$B$4),MATCH(DATE($AV$1,MONTH($B$14),U$3),'Сводный годовой график'!$C$6:$AR$6)))</f>
        <v>4</v>
      </c>
      <c r="V18" s="92">
        <f ca="1">IF(AND(INDEX('Сводный годовой график'!$C$1:$AR$4,MATCH($C$18,'Сводный годовой график'!$B$1:$B$4),MATCH(DATE($AV$1,MONTH($B$14),V$3),'Сводный годовой график'!$C$6:$AR$6))&lt;&gt;12,INDIRECT(ADDRESS(ROW()+1,COLUMN()))="СП"),8,INDEX('Сводный годовой график'!$C$1:$AR$4,MATCH($C$18,'Сводный годовой график'!$B$1:$B$4),MATCH(DATE($AV$1,MONTH($B$14),V$3),'Сводный годовой график'!$C$6:$AR$6)))</f>
        <v>8</v>
      </c>
      <c r="W18" s="92">
        <f ca="1">IF(AND(INDEX('Сводный годовой график'!$C$1:$AR$4,MATCH($C$18,'Сводный годовой график'!$B$1:$B$4),MATCH(DATE($AV$1,MONTH($B$14),W$3),'Сводный годовой график'!$C$6:$AR$6))&lt;&gt;12,INDIRECT(ADDRESS(ROW()+1,COLUMN()))="СП"),8,INDEX('Сводный годовой график'!$C$1:$AR$4,MATCH($C$18,'Сводный годовой график'!$B$1:$B$4),MATCH(DATE($AV$1,MONTH($B$14),W$3),'Сводный годовой график'!$C$6:$AR$6)))</f>
        <v>12</v>
      </c>
      <c r="X18" s="92">
        <f ca="1">IF(AND(INDEX('Сводный годовой график'!$C$1:$AR$4,MATCH($C$18,'Сводный годовой график'!$B$1:$B$4),MATCH(DATE($AV$1,MONTH($B$14),X$3),'Сводный годовой график'!$C$6:$AR$6))&lt;&gt;12,INDIRECT(ADDRESS(ROW()+1,COLUMN()))="СП"),8,INDEX('Сводный годовой график'!$C$1:$AR$4,MATCH($C$18,'Сводный годовой график'!$B$1:$B$4),MATCH(DATE($AV$1,MONTH($B$14),X$3),'Сводный годовой график'!$C$6:$AR$6)))</f>
        <v>0</v>
      </c>
      <c r="Y18" s="92">
        <f ca="1">IF(AND(INDEX('Сводный годовой график'!$C$1:$AR$4,MATCH($C$18,'Сводный годовой график'!$B$1:$B$4),MATCH(DATE($AV$1,MONTH($B$14),Y$3),'Сводный годовой график'!$C$6:$AR$6))&lt;&gt;12,INDIRECT(ADDRESS(ROW()+1,COLUMN()))="СП"),8,INDEX('Сводный годовой график'!$C$1:$AR$4,MATCH($C$18,'Сводный годовой график'!$B$1:$B$4),MATCH(DATE($AV$1,MONTH($B$14),Y$3),'Сводный годовой график'!$C$6:$AR$6)))</f>
        <v>0</v>
      </c>
      <c r="Z18" s="92">
        <f ca="1">IF(AND(INDEX('Сводный годовой график'!$C$1:$AR$4,MATCH($C$18,'Сводный годовой график'!$B$1:$B$4),MATCH(DATE($AV$1,MONTH($B$14),Z$3),'Сводный годовой график'!$C$6:$AR$6))&lt;&gt;12,INDIRECT(ADDRESS(ROW()+1,COLUMN()))="СП"),8,INDEX('Сводный годовой график'!$C$1:$AR$4,MATCH($C$18,'Сводный годовой график'!$B$1:$B$4),MATCH(DATE($AV$1,MONTH($B$14),Z$3),'Сводный годовой график'!$C$6:$AR$6)))</f>
        <v>4</v>
      </c>
      <c r="AA18" s="92">
        <f ca="1">IF(AND(INDEX('Сводный годовой график'!$C$1:$AR$4,MATCH($C$18,'Сводный годовой график'!$B$1:$B$4),MATCH(DATE($AV$1,MONTH($B$14),AA$3),'Сводный годовой график'!$C$6:$AR$6))&lt;&gt;12,INDIRECT(ADDRESS(ROW()+1,COLUMN()))="СП"),8,INDEX('Сводный годовой график'!$C$1:$AR$4,MATCH($C$18,'Сводный годовой график'!$B$1:$B$4),MATCH(DATE($AV$1,MONTH($B$14),AA$3),'Сводный годовой график'!$C$6:$AR$6)))</f>
        <v>8</v>
      </c>
      <c r="AB18" s="92">
        <f ca="1">IF(AND(INDEX('Сводный годовой график'!$C$1:$AR$4,MATCH($C$18,'Сводный годовой график'!$B$1:$B$4),MATCH(DATE($AV$1,MONTH($B$14),AB$3),'Сводный годовой график'!$C$6:$AR$6))&lt;&gt;12,INDIRECT(ADDRESS(ROW()+1,COLUMN()))="СП"),8,INDEX('Сводный годовой график'!$C$1:$AR$4,MATCH($C$18,'Сводный годовой график'!$B$1:$B$4),MATCH(DATE($AV$1,MONTH($B$14),AB$3),'Сводный годовой график'!$C$6:$AR$6)))</f>
        <v>12</v>
      </c>
      <c r="AC18" s="92">
        <f ca="1">IF(AND(INDEX('Сводный годовой график'!$C$1:$AR$4,MATCH($C$18,'Сводный годовой график'!$B$1:$B$4),MATCH(DATE($AV$1,MONTH($B$14),AC$3),'Сводный годовой график'!$C$6:$AR$6))&lt;&gt;12,INDIRECT(ADDRESS(ROW()+1,COLUMN()))="СП"),8,INDEX('Сводный годовой график'!$C$1:$AR$4,MATCH($C$18,'Сводный годовой график'!$B$1:$B$4),MATCH(DATE($AV$1,MONTH($B$14),AC$3),'Сводный годовой график'!$C$6:$AR$6)))</f>
        <v>4</v>
      </c>
      <c r="AD18" s="92">
        <f ca="1">IF(AND(INDEX('Сводный годовой график'!$C$1:$AR$4,MATCH($C$18,'Сводный годовой график'!$B$1:$B$4),MATCH(DATE($AV$1,MONTH($B$14),AD$3),'Сводный годовой график'!$C$6:$AR$6))&lt;&gt;12,INDIRECT(ADDRESS(ROW()+1,COLUMN()))="СП"),8,INDEX('Сводный годовой график'!$C$1:$AR$4,MATCH($C$18,'Сводный годовой график'!$B$1:$B$4),MATCH(DATE($AV$1,MONTH($B$14),AD$3),'Сводный годовой график'!$C$6:$AR$6)))</f>
        <v>8</v>
      </c>
      <c r="AE18" s="92">
        <f ca="1">IF(AND(INDEX('Сводный годовой график'!$C$1:$AR$4,MATCH($C$18,'Сводный годовой график'!$B$1:$B$4),MATCH(DATE($AV$1,MONTH($B$14),AE$3),'Сводный годовой график'!$C$6:$AR$6))&lt;&gt;12,INDIRECT(ADDRESS(ROW()+1,COLUMN()))="СП"),8,INDEX('Сводный годовой график'!$C$1:$AR$4,MATCH($C$18,'Сводный годовой график'!$B$1:$B$4),MATCH(DATE($AV$1,MONTH($B$14),AE$3),'Сводный годовой график'!$C$6:$AR$6)))</f>
        <v>12</v>
      </c>
      <c r="AF18" s="92">
        <f ca="1">IF(AND(INDEX('Сводный годовой график'!$C$1:$AR$4,MATCH($C$18,'Сводный годовой график'!$B$1:$B$4),MATCH(DATE($AV$1,MONTH($B$14),AF$3),'Сводный годовой график'!$C$6:$AR$6))&lt;&gt;12,INDIRECT(ADDRESS(ROW()+1,COLUMN()))="СП"),8,INDEX('Сводный годовой график'!$C$1:$AR$4,MATCH($C$18,'Сводный годовой график'!$B$1:$B$4),MATCH(DATE($AV$1,MONTH($B$14),AF$3),'Сводный годовой график'!$C$6:$AR$6)))</f>
        <v>0</v>
      </c>
      <c r="AG18" s="119"/>
      <c r="AH18" s="119"/>
      <c r="AI18" s="110"/>
      <c r="AJ18" s="206"/>
      <c r="AK18" s="177">
        <f>$AJ$14-SUM(AY18:CC19)</f>
        <v>160</v>
      </c>
      <c r="AL18" s="177">
        <f t="shared" ref="AL18" ca="1" si="27">SUM(E18:AI19)</f>
        <v>176</v>
      </c>
      <c r="AM18" s="177">
        <f ca="1">SUM(AA18)</f>
        <v>8</v>
      </c>
      <c r="AN18" s="198">
        <f t="shared" ref="AN18" ca="1" si="28">-AM18-AK18+AL18</f>
        <v>8</v>
      </c>
      <c r="AO18" s="198">
        <v>24</v>
      </c>
      <c r="AP18" s="208">
        <f t="shared" ref="AP18" ca="1" si="29">AN18+AP8-AO18</f>
        <v>-12</v>
      </c>
      <c r="AQ18" s="177">
        <v>0</v>
      </c>
      <c r="AR18" s="179">
        <v>1</v>
      </c>
      <c r="CK18" s="59"/>
      <c r="CL18" s="59"/>
      <c r="CM18" s="59"/>
      <c r="CN18" s="59"/>
      <c r="CO18" s="59"/>
      <c r="CP18" s="59"/>
      <c r="CQ18" s="59"/>
      <c r="CR18" s="59"/>
      <c r="CS18" s="59"/>
      <c r="CT18" s="59"/>
      <c r="CU18" s="59"/>
      <c r="CV18" s="59"/>
      <c r="CW18" s="59"/>
      <c r="CX18" s="59"/>
      <c r="CY18" s="59"/>
      <c r="CZ18" s="59"/>
      <c r="DA18" s="59"/>
      <c r="DB18" s="59"/>
      <c r="DC18" s="59"/>
      <c r="DD18" s="59"/>
      <c r="DE18" s="59"/>
      <c r="DF18" s="59"/>
      <c r="DG18" s="59"/>
      <c r="DH18" s="59"/>
      <c r="DI18" s="59"/>
      <c r="DJ18" s="59"/>
      <c r="DK18" s="59"/>
      <c r="DL18" s="59"/>
      <c r="DM18" s="59"/>
      <c r="DN18" s="59"/>
      <c r="DO18" s="59"/>
    </row>
    <row r="19" spans="2:119" ht="16.5" thickBot="1" x14ac:dyDescent="0.3">
      <c r="B19" s="201"/>
      <c r="C19" s="197"/>
      <c r="D19" s="82">
        <v>6</v>
      </c>
      <c r="E19" s="92" t="str">
        <f t="shared" ref="E19:AF19" si="30">IF(INDEX($CK$4:$DO$123,ROW()-3,E$3)=0,"","СП")</f>
        <v/>
      </c>
      <c r="F19" s="92" t="str">
        <f t="shared" si="30"/>
        <v/>
      </c>
      <c r="G19" s="92" t="str">
        <f t="shared" si="30"/>
        <v/>
      </c>
      <c r="H19" s="92" t="str">
        <f t="shared" si="30"/>
        <v>СП</v>
      </c>
      <c r="I19" s="92" t="str">
        <f t="shared" si="30"/>
        <v/>
      </c>
      <c r="J19" s="92" t="str">
        <f t="shared" si="30"/>
        <v/>
      </c>
      <c r="K19" s="92" t="str">
        <f t="shared" si="30"/>
        <v/>
      </c>
      <c r="L19" s="92" t="str">
        <f t="shared" si="30"/>
        <v/>
      </c>
      <c r="M19" s="92" t="str">
        <f t="shared" si="30"/>
        <v/>
      </c>
      <c r="N19" s="92" t="str">
        <f t="shared" si="30"/>
        <v/>
      </c>
      <c r="O19" s="92" t="str">
        <f t="shared" si="30"/>
        <v/>
      </c>
      <c r="P19" s="92" t="str">
        <f t="shared" si="30"/>
        <v/>
      </c>
      <c r="Q19" s="92" t="str">
        <f t="shared" si="30"/>
        <v/>
      </c>
      <c r="R19" s="92" t="str">
        <f t="shared" si="30"/>
        <v/>
      </c>
      <c r="S19" s="92" t="str">
        <f t="shared" si="30"/>
        <v/>
      </c>
      <c r="T19" s="92" t="str">
        <f t="shared" si="30"/>
        <v/>
      </c>
      <c r="U19" s="92" t="str">
        <f t="shared" si="30"/>
        <v/>
      </c>
      <c r="V19" s="92" t="str">
        <f t="shared" si="30"/>
        <v/>
      </c>
      <c r="W19" s="92" t="str">
        <f t="shared" si="30"/>
        <v/>
      </c>
      <c r="X19" s="92" t="str">
        <f t="shared" si="30"/>
        <v/>
      </c>
      <c r="Y19" s="92" t="str">
        <f t="shared" si="30"/>
        <v/>
      </c>
      <c r="Z19" s="92" t="str">
        <f t="shared" si="30"/>
        <v/>
      </c>
      <c r="AA19" s="92" t="str">
        <f t="shared" si="30"/>
        <v/>
      </c>
      <c r="AB19" s="92" t="str">
        <f t="shared" si="30"/>
        <v/>
      </c>
      <c r="AC19" s="92" t="str">
        <f t="shared" si="30"/>
        <v/>
      </c>
      <c r="AD19" s="92" t="str">
        <f t="shared" si="30"/>
        <v/>
      </c>
      <c r="AE19" s="92" t="str">
        <f t="shared" si="30"/>
        <v/>
      </c>
      <c r="AF19" s="92" t="str">
        <f t="shared" si="30"/>
        <v/>
      </c>
      <c r="AG19" s="119"/>
      <c r="AH19" s="119"/>
      <c r="AI19" s="110"/>
      <c r="AJ19" s="206"/>
      <c r="AK19" s="177"/>
      <c r="AL19" s="177"/>
      <c r="AM19" s="177"/>
      <c r="AN19" s="198"/>
      <c r="AO19" s="198"/>
      <c r="AP19" s="198"/>
      <c r="AQ19" s="177"/>
      <c r="AR19" s="179"/>
      <c r="CK19" s="58">
        <f>IF(DAY(INDEX('Сводный годовой график'!$BA$4:$BL$14,$C18,MONTH($B$14)))=E$3,1,0)</f>
        <v>0</v>
      </c>
      <c r="CL19" s="58">
        <f>IF(DAY(INDEX('Сводный годовой график'!$BA$4:$BL$14,$C18,MONTH($B$14)))=F$3,1,0)</f>
        <v>0</v>
      </c>
      <c r="CM19" s="58">
        <f>IF(DAY(INDEX('Сводный годовой график'!$BA$4:$BL$14,$C18,MONTH($B$14)))=G$3,1,0)</f>
        <v>0</v>
      </c>
      <c r="CN19" s="58">
        <f>IF(DAY(INDEX('Сводный годовой график'!$BA$4:$BL$14,$C18,MONTH($B$14)))=H$3,1,0)</f>
        <v>1</v>
      </c>
      <c r="CO19" s="58">
        <f>IF(DAY(INDEX('Сводный годовой график'!$BA$4:$BL$14,$C18,MONTH($B$14)))=I$3,1,0)</f>
        <v>0</v>
      </c>
      <c r="CP19" s="58">
        <f>IF(DAY(INDEX('Сводный годовой график'!$BA$4:$BL$14,$C18,MONTH($B$14)))=J$3,1,0)</f>
        <v>0</v>
      </c>
      <c r="CQ19" s="58">
        <f>IF(DAY(INDEX('Сводный годовой график'!$BA$4:$BL$14,$C18,MONTH($B$14)))=K$3,1,0)</f>
        <v>0</v>
      </c>
      <c r="CR19" s="58">
        <f>IF(DAY(INDEX('Сводный годовой график'!$BA$4:$BL$14,$C18,MONTH($B$14)))=L$3,1,0)</f>
        <v>0</v>
      </c>
      <c r="CS19" s="58">
        <f>IF(DAY(INDEX('Сводный годовой график'!$BA$4:$BL$14,$C18,MONTH($B$14)))=M$3,1,0)</f>
        <v>0</v>
      </c>
      <c r="CT19" s="58">
        <f>IF(DAY(INDEX('Сводный годовой график'!$BA$4:$BL$14,$C18,MONTH($B$14)))=N$3,1,0)</f>
        <v>0</v>
      </c>
      <c r="CU19" s="58">
        <f>IF(DAY(INDEX('Сводный годовой график'!$BA$4:$BL$14,$C18,MONTH($B$14)))=O$3,1,0)</f>
        <v>0</v>
      </c>
      <c r="CV19" s="58">
        <f>IF(DAY(INDEX('Сводный годовой график'!$BA$4:$BL$14,$C18,MONTH($B$14)))=P$3,1,0)</f>
        <v>0</v>
      </c>
      <c r="CW19" s="58">
        <f>IF(DAY(INDEX('Сводный годовой график'!$BA$4:$BL$14,$C18,MONTH($B$14)))=Q$3,1,0)</f>
        <v>0</v>
      </c>
      <c r="CX19" s="58">
        <f>IF(DAY(INDEX('Сводный годовой график'!$BA$4:$BL$14,$C18,MONTH($B$14)))=R$3,1,0)</f>
        <v>0</v>
      </c>
      <c r="CY19" s="58">
        <f>IF(DAY(INDEX('Сводный годовой график'!$BA$4:$BL$14,$C18,MONTH($B$14)))=S$3,1,0)</f>
        <v>0</v>
      </c>
      <c r="CZ19" s="58">
        <f>IF(DAY(INDEX('Сводный годовой график'!$BA$4:$BL$14,$C18,MONTH($B$14)))=T$3,1,0)</f>
        <v>0</v>
      </c>
      <c r="DA19" s="58">
        <f>IF(DAY(INDEX('Сводный годовой график'!$BA$4:$BL$14,$C18,MONTH($B$14)))=U$3,1,0)</f>
        <v>0</v>
      </c>
      <c r="DB19" s="58">
        <f>IF(DAY(INDEX('Сводный годовой график'!$BA$4:$BL$14,$C18,MONTH($B$14)))=V$3,1,0)</f>
        <v>0</v>
      </c>
      <c r="DC19" s="58">
        <f>IF(DAY(INDEX('Сводный годовой график'!$BA$4:$BL$14,$C18,MONTH($B$14)))=W$3,1,0)</f>
        <v>0</v>
      </c>
      <c r="DD19" s="58">
        <f>IF(DAY(INDEX('Сводный годовой график'!$BA$4:$BL$14,$C18,MONTH($B$14)))=X$3,1,0)</f>
        <v>0</v>
      </c>
      <c r="DE19" s="58">
        <f>IF(DAY(INDEX('Сводный годовой график'!$BA$4:$BL$14,$C18,MONTH($B$14)))=Y$3,1,0)</f>
        <v>0</v>
      </c>
      <c r="DF19" s="58">
        <f>IF(DAY(INDEX('Сводный годовой график'!$BA$4:$BL$14,$C18,MONTH($B$14)))=Z$3,1,0)</f>
        <v>0</v>
      </c>
      <c r="DG19" s="58">
        <f>IF(DAY(INDEX('Сводный годовой график'!$BA$4:$BL$14,$C18,MONTH($B$14)))=AA$3,1,0)</f>
        <v>0</v>
      </c>
      <c r="DH19" s="58">
        <f>IF(DAY(INDEX('Сводный годовой график'!$BA$4:$BL$14,$C18,MONTH($B$14)))=AB$3,1,0)</f>
        <v>0</v>
      </c>
      <c r="DI19" s="58">
        <f>IF(DAY(INDEX('Сводный годовой график'!$BA$4:$BL$14,$C18,MONTH($B$14)))=AC$3,1,0)</f>
        <v>0</v>
      </c>
      <c r="DJ19" s="58">
        <f>IF(DAY(INDEX('Сводный годовой график'!$BA$4:$BL$14,$C18,MONTH($B$14)))=AD$3,1,0)</f>
        <v>0</v>
      </c>
      <c r="DK19" s="58">
        <f>IF(DAY(INDEX('Сводный годовой график'!$BA$4:$BL$14,$C18,MONTH($B$14)))=AE$3,1,0)</f>
        <v>0</v>
      </c>
      <c r="DL19" s="58">
        <f>IF(DAY(INDEX('Сводный годовой график'!$BA$4:$BL$14,$C18,MONTH($B$14)))=AF$3,1,0)</f>
        <v>0</v>
      </c>
      <c r="DM19" s="58">
        <f>IF(DAY(INDEX('Сводный годовой график'!$BA$4:$BL$14,$C18,MONTH($B$14)))=AG$3,1,0)</f>
        <v>0</v>
      </c>
      <c r="DN19" s="58">
        <f>IF(DAY(INDEX('Сводный годовой график'!$BA$4:$BL$14,$C18,MONTH($B$14)))=AH$3,1,0)</f>
        <v>0</v>
      </c>
      <c r="DO19" s="58">
        <f>IF(DAY(INDEX('Сводный годовой график'!$BA$4:$BL$14,$C18,MONTH($B$14)))=AI$3,1,0)</f>
        <v>0</v>
      </c>
    </row>
    <row r="20" spans="2:119" ht="17.25" thickTop="1" thickBot="1" x14ac:dyDescent="0.3">
      <c r="B20" s="201"/>
      <c r="C20" s="196">
        <v>4</v>
      </c>
      <c r="D20" s="81">
        <v>7</v>
      </c>
      <c r="E20" s="92">
        <f ca="1">IF(AND(INDEX('Сводный годовой график'!$C$1:$AR$4,MATCH($C$20,'Сводный годовой график'!$B$1:$B$4),MATCH(DATE($AV$1,MONTH($B$14),E$3),'Сводный годовой график'!$C$6:$AR$6))&lt;&gt;12,INDIRECT(ADDRESS(ROW()+1,COLUMN()))="СП"),8,INDEX('Сводный годовой график'!$C$1:$AR$4,MATCH($C$20,'Сводный годовой график'!$B$1:$B$4),MATCH(DATE($AV$1,MONTH($B$14),E$3),'Сводный годовой график'!$C$6:$AR$6)))</f>
        <v>8</v>
      </c>
      <c r="F20" s="92">
        <f ca="1">IF(AND(INDEX('Сводный годовой график'!$C$1:$AR$4,MATCH($C$20,'Сводный годовой график'!$B$1:$B$4),MATCH(DATE($AV$1,MONTH($B$14),F$3),'Сводный годовой график'!$C$6:$AR$6))&lt;&gt;12,INDIRECT(ADDRESS(ROW()+1,COLUMN()))="СП"),8,INDEX('Сводный годовой график'!$C$1:$AR$4,MATCH($C$20,'Сводный годовой график'!$B$1:$B$4),MATCH(DATE($AV$1,MONTH($B$14),F$3),'Сводный годовой график'!$C$6:$AR$6)))</f>
        <v>12</v>
      </c>
      <c r="G20" s="92">
        <f ca="1">IF(AND(INDEX('Сводный годовой график'!$C$1:$AR$4,MATCH($C$20,'Сводный годовой график'!$B$1:$B$4),MATCH(DATE($AV$1,MONTH($B$14),G$3),'Сводный годовой график'!$C$6:$AR$6))&lt;&gt;12,INDIRECT(ADDRESS(ROW()+1,COLUMN()))="СП"),8,INDEX('Сводный годовой график'!$C$1:$AR$4,MATCH($C$20,'Сводный годовой график'!$B$1:$B$4),MATCH(DATE($AV$1,MONTH($B$14),G$3),'Сводный годовой график'!$C$6:$AR$6)))</f>
        <v>4</v>
      </c>
      <c r="H20" s="92">
        <f ca="1">IF(AND(INDEX('Сводный годовой график'!$C$1:$AR$4,MATCH($C$20,'Сводный годовой график'!$B$1:$B$4),MATCH(DATE($AV$1,MONTH($B$14),H$3),'Сводный годовой график'!$C$6:$AR$6))&lt;&gt;12,INDIRECT(ADDRESS(ROW()+1,COLUMN()))="СП"),8,INDEX('Сводный годовой график'!$C$1:$AR$4,MATCH($C$20,'Сводный годовой график'!$B$1:$B$4),MATCH(DATE($AV$1,MONTH($B$14),H$3),'Сводный годовой график'!$C$6:$AR$6)))</f>
        <v>8</v>
      </c>
      <c r="I20" s="92">
        <f ca="1">IF(AND(INDEX('Сводный годовой график'!$C$1:$AR$4,MATCH($C$20,'Сводный годовой график'!$B$1:$B$4),MATCH(DATE($AV$1,MONTH($B$14),I$3),'Сводный годовой график'!$C$6:$AR$6))&lt;&gt;12,INDIRECT(ADDRESS(ROW()+1,COLUMN()))="СП"),8,INDEX('Сводный годовой график'!$C$1:$AR$4,MATCH($C$20,'Сводный годовой график'!$B$1:$B$4),MATCH(DATE($AV$1,MONTH($B$14),I$3),'Сводный годовой график'!$C$6:$AR$6)))</f>
        <v>12</v>
      </c>
      <c r="J20" s="92">
        <f ca="1">IF(AND(INDEX('Сводный годовой график'!$C$1:$AR$4,MATCH($C$20,'Сводный годовой график'!$B$1:$B$4),MATCH(DATE($AV$1,MONTH($B$14),J$3),'Сводный годовой график'!$C$6:$AR$6))&lt;&gt;12,INDIRECT(ADDRESS(ROW()+1,COLUMN()))="СП"),8,INDEX('Сводный годовой график'!$C$1:$AR$4,MATCH($C$20,'Сводный годовой график'!$B$1:$B$4),MATCH(DATE($AV$1,MONTH($B$14),J$3),'Сводный годовой график'!$C$6:$AR$6)))</f>
        <v>0</v>
      </c>
      <c r="K20" s="92">
        <f ca="1">IF(AND(INDEX('Сводный годовой график'!$C$1:$AR$4,MATCH($C$20,'Сводный годовой график'!$B$1:$B$4),MATCH(DATE($AV$1,MONTH($B$14),K$3),'Сводный годовой график'!$C$6:$AR$6))&lt;&gt;12,INDIRECT(ADDRESS(ROW()+1,COLUMN()))="СП"),8,INDEX('Сводный годовой график'!$C$1:$AR$4,MATCH($C$20,'Сводный годовой график'!$B$1:$B$4),MATCH(DATE($AV$1,MONTH($B$14),K$3),'Сводный годовой график'!$C$6:$AR$6)))</f>
        <v>0</v>
      </c>
      <c r="L20" s="92">
        <f ca="1">IF(AND(INDEX('Сводный годовой график'!$C$1:$AR$4,MATCH($C$20,'Сводный годовой график'!$B$1:$B$4),MATCH(DATE($AV$1,MONTH($B$14),L$3),'Сводный годовой график'!$C$6:$AR$6))&lt;&gt;12,INDIRECT(ADDRESS(ROW()+1,COLUMN()))="СП"),8,INDEX('Сводный годовой график'!$C$1:$AR$4,MATCH($C$20,'Сводный годовой график'!$B$1:$B$4),MATCH(DATE($AV$1,MONTH($B$14),L$3),'Сводный годовой график'!$C$6:$AR$6)))</f>
        <v>4</v>
      </c>
      <c r="M20" s="92">
        <f ca="1">IF(AND(INDEX('Сводный годовой график'!$C$1:$AR$4,MATCH($C$20,'Сводный годовой график'!$B$1:$B$4),MATCH(DATE($AV$1,MONTH($B$14),M$3),'Сводный годовой график'!$C$6:$AR$6))&lt;&gt;12,INDIRECT(ADDRESS(ROW()+1,COLUMN()))="СП"),8,INDEX('Сводный годовой график'!$C$1:$AR$4,MATCH($C$20,'Сводный годовой график'!$B$1:$B$4),MATCH(DATE($AV$1,MONTH($B$14),M$3),'Сводный годовой график'!$C$6:$AR$6)))</f>
        <v>8</v>
      </c>
      <c r="N20" s="92">
        <f ca="1">IF(AND(INDEX('Сводный годовой график'!$C$1:$AR$4,MATCH($C$20,'Сводный годовой график'!$B$1:$B$4),MATCH(DATE($AV$1,MONTH($B$14),N$3),'Сводный годовой график'!$C$6:$AR$6))&lt;&gt;12,INDIRECT(ADDRESS(ROW()+1,COLUMN()))="СП"),8,INDEX('Сводный годовой график'!$C$1:$AR$4,MATCH($C$20,'Сводный годовой график'!$B$1:$B$4),MATCH(DATE($AV$1,MONTH($B$14),N$3),'Сводный годовой график'!$C$6:$AR$6)))</f>
        <v>12</v>
      </c>
      <c r="O20" s="92">
        <f ca="1">IF(AND(INDEX('Сводный годовой график'!$C$1:$AR$4,MATCH($C$20,'Сводный годовой график'!$B$1:$B$4),MATCH(DATE($AV$1,MONTH($B$14),O$3),'Сводный годовой график'!$C$6:$AR$6))&lt;&gt;12,INDIRECT(ADDRESS(ROW()+1,COLUMN()))="СП"),8,INDEX('Сводный годовой график'!$C$1:$AR$4,MATCH($C$20,'Сводный годовой график'!$B$1:$B$4),MATCH(DATE($AV$1,MONTH($B$14),O$3),'Сводный годовой график'!$C$6:$AR$6)))</f>
        <v>4</v>
      </c>
      <c r="P20" s="92">
        <f ca="1">IF(AND(INDEX('Сводный годовой график'!$C$1:$AR$4,MATCH($C$20,'Сводный годовой график'!$B$1:$B$4),MATCH(DATE($AV$1,MONTH($B$14),P$3),'Сводный годовой график'!$C$6:$AR$6))&lt;&gt;12,INDIRECT(ADDRESS(ROW()+1,COLUMN()))="СП"),8,INDEX('Сводный годовой график'!$C$1:$AR$4,MATCH($C$20,'Сводный годовой график'!$B$1:$B$4),MATCH(DATE($AV$1,MONTH($B$14),P$3),'Сводный годовой график'!$C$6:$AR$6)))</f>
        <v>8</v>
      </c>
      <c r="Q20" s="92">
        <f ca="1">IF(AND(INDEX('Сводный годовой график'!$C$1:$AR$4,MATCH($C$20,'Сводный годовой график'!$B$1:$B$4),MATCH(DATE($AV$1,MONTH($B$14),Q$3),'Сводный годовой график'!$C$6:$AR$6))&lt;&gt;12,INDIRECT(ADDRESS(ROW()+1,COLUMN()))="СП"),8,INDEX('Сводный годовой график'!$C$1:$AR$4,MATCH($C$20,'Сводный годовой график'!$B$1:$B$4),MATCH(DATE($AV$1,MONTH($B$14),Q$3),'Сводный годовой график'!$C$6:$AR$6)))</f>
        <v>12</v>
      </c>
      <c r="R20" s="92">
        <f ca="1">IF(AND(INDEX('Сводный годовой график'!$C$1:$AR$4,MATCH($C$20,'Сводный годовой график'!$B$1:$B$4),MATCH(DATE($AV$1,MONTH($B$14),R$3),'Сводный годовой график'!$C$6:$AR$6))&lt;&gt;12,INDIRECT(ADDRESS(ROW()+1,COLUMN()))="СП"),8,INDEX('Сводный годовой график'!$C$1:$AR$4,MATCH($C$20,'Сводный годовой график'!$B$1:$B$4),MATCH(DATE($AV$1,MONTH($B$14),R$3),'Сводный годовой график'!$C$6:$AR$6)))</f>
        <v>0</v>
      </c>
      <c r="S20" s="92">
        <f ca="1">IF(AND(INDEX('Сводный годовой график'!$C$1:$AR$4,MATCH($C$20,'Сводный годовой график'!$B$1:$B$4),MATCH(DATE($AV$1,MONTH($B$14),S$3),'Сводный годовой график'!$C$6:$AR$6))&lt;&gt;12,INDIRECT(ADDRESS(ROW()+1,COLUMN()))="СП"),8,INDEX('Сводный годовой график'!$C$1:$AR$4,MATCH($C$20,'Сводный годовой график'!$B$1:$B$4),MATCH(DATE($AV$1,MONTH($B$14),S$3),'Сводный годовой график'!$C$6:$AR$6)))</f>
        <v>0</v>
      </c>
      <c r="T20" s="92">
        <f ca="1">IF(AND(INDEX('Сводный годовой график'!$C$1:$AR$4,MATCH($C$20,'Сводный годовой график'!$B$1:$B$4),MATCH(DATE($AV$1,MONTH($B$14),T$3),'Сводный годовой график'!$C$6:$AR$6))&lt;&gt;12,INDIRECT(ADDRESS(ROW()+1,COLUMN()))="СП"),8,INDEX('Сводный годовой график'!$C$1:$AR$4,MATCH($C$20,'Сводный годовой график'!$B$1:$B$4),MATCH(DATE($AV$1,MONTH($B$14),T$3),'Сводный годовой график'!$C$6:$AR$6)))</f>
        <v>4</v>
      </c>
      <c r="U20" s="92">
        <f ca="1">IF(AND(INDEX('Сводный годовой график'!$C$1:$AR$4,MATCH($C$20,'Сводный годовой график'!$B$1:$B$4),MATCH(DATE($AV$1,MONTH($B$14),U$3),'Сводный годовой график'!$C$6:$AR$6))&lt;&gt;12,INDIRECT(ADDRESS(ROW()+1,COLUMN()))="СП"),8,INDEX('Сводный годовой график'!$C$1:$AR$4,MATCH($C$20,'Сводный годовой график'!$B$1:$B$4),MATCH(DATE($AV$1,MONTH($B$14),U$3),'Сводный годовой график'!$C$6:$AR$6)))</f>
        <v>8</v>
      </c>
      <c r="V20" s="92">
        <f ca="1">IF(AND(INDEX('Сводный годовой график'!$C$1:$AR$4,MATCH($C$20,'Сводный годовой график'!$B$1:$B$4),MATCH(DATE($AV$1,MONTH($B$14),V$3),'Сводный годовой график'!$C$6:$AR$6))&lt;&gt;12,INDIRECT(ADDRESS(ROW()+1,COLUMN()))="СП"),8,INDEX('Сводный годовой график'!$C$1:$AR$4,MATCH($C$20,'Сводный годовой график'!$B$1:$B$4),MATCH(DATE($AV$1,MONTH($B$14),V$3),'Сводный годовой график'!$C$6:$AR$6)))</f>
        <v>12</v>
      </c>
      <c r="W20" s="92">
        <f ca="1">IF(AND(INDEX('Сводный годовой график'!$C$1:$AR$4,MATCH($C$20,'Сводный годовой график'!$B$1:$B$4),MATCH(DATE($AV$1,MONTH($B$14),W$3),'Сводный годовой график'!$C$6:$AR$6))&lt;&gt;12,INDIRECT(ADDRESS(ROW()+1,COLUMN()))="СП"),8,INDEX('Сводный годовой график'!$C$1:$AR$4,MATCH($C$20,'Сводный годовой график'!$B$1:$B$4),MATCH(DATE($AV$1,MONTH($B$14),W$3),'Сводный годовой график'!$C$6:$AR$6)))</f>
        <v>4</v>
      </c>
      <c r="X20" s="92">
        <f ca="1">IF(AND(INDEX('Сводный годовой график'!$C$1:$AR$4,MATCH($C$20,'Сводный годовой график'!$B$1:$B$4),MATCH(DATE($AV$1,MONTH($B$14),X$3),'Сводный годовой график'!$C$6:$AR$6))&lt;&gt;12,INDIRECT(ADDRESS(ROW()+1,COLUMN()))="СП"),8,INDEX('Сводный годовой график'!$C$1:$AR$4,MATCH($C$20,'Сводный годовой график'!$B$1:$B$4),MATCH(DATE($AV$1,MONTH($B$14),X$3),'Сводный годовой график'!$C$6:$AR$6)))</f>
        <v>8</v>
      </c>
      <c r="Y20" s="92">
        <f ca="1">IF(AND(INDEX('Сводный годовой график'!$C$1:$AR$4,MATCH($C$20,'Сводный годовой график'!$B$1:$B$4),MATCH(DATE($AV$1,MONTH($B$14),Y$3),'Сводный годовой график'!$C$6:$AR$6))&lt;&gt;12,INDIRECT(ADDRESS(ROW()+1,COLUMN()))="СП"),8,INDEX('Сводный годовой график'!$C$1:$AR$4,MATCH($C$20,'Сводный годовой график'!$B$1:$B$4),MATCH(DATE($AV$1,MONTH($B$14),Y$3),'Сводный годовой график'!$C$6:$AR$6)))</f>
        <v>12</v>
      </c>
      <c r="Z20" s="92">
        <f ca="1">IF(AND(INDEX('Сводный годовой график'!$C$1:$AR$4,MATCH($C$20,'Сводный годовой график'!$B$1:$B$4),MATCH(DATE($AV$1,MONTH($B$14),Z$3),'Сводный годовой график'!$C$6:$AR$6))&lt;&gt;12,INDIRECT(ADDRESS(ROW()+1,COLUMN()))="СП"),8,INDEX('Сводный годовой график'!$C$1:$AR$4,MATCH($C$20,'Сводный годовой график'!$B$1:$B$4),MATCH(DATE($AV$1,MONTH($B$14),Z$3),'Сводный годовой график'!$C$6:$AR$6)))</f>
        <v>0</v>
      </c>
      <c r="AA20" s="92">
        <f ca="1">IF(AND(INDEX('Сводный годовой график'!$C$1:$AR$4,MATCH($C$20,'Сводный годовой график'!$B$1:$B$4),MATCH(DATE($AV$1,MONTH($B$14),AA$3),'Сводный годовой график'!$C$6:$AR$6))&lt;&gt;12,INDIRECT(ADDRESS(ROW()+1,COLUMN()))="СП"),8,INDEX('Сводный годовой график'!$C$1:$AR$4,MATCH($C$20,'Сводный годовой график'!$B$1:$B$4),MATCH(DATE($AV$1,MONTH($B$14),AA$3),'Сводный годовой график'!$C$6:$AR$6)))</f>
        <v>0</v>
      </c>
      <c r="AB20" s="92">
        <f ca="1">IF(AND(INDEX('Сводный годовой график'!$C$1:$AR$4,MATCH($C$20,'Сводный годовой график'!$B$1:$B$4),MATCH(DATE($AV$1,MONTH($B$14),AB$3),'Сводный годовой график'!$C$6:$AR$6))&lt;&gt;12,INDIRECT(ADDRESS(ROW()+1,COLUMN()))="СП"),8,INDEX('Сводный годовой график'!$C$1:$AR$4,MATCH($C$20,'Сводный годовой график'!$B$1:$B$4),MATCH(DATE($AV$1,MONTH($B$14),AB$3),'Сводный годовой график'!$C$6:$AR$6)))</f>
        <v>4</v>
      </c>
      <c r="AC20" s="92">
        <f ca="1">IF(AND(INDEX('Сводный годовой график'!$C$1:$AR$4,MATCH($C$20,'Сводный годовой график'!$B$1:$B$4),MATCH(DATE($AV$1,MONTH($B$14),AC$3),'Сводный годовой график'!$C$6:$AR$6))&lt;&gt;12,INDIRECT(ADDRESS(ROW()+1,COLUMN()))="СП"),8,INDEX('Сводный годовой график'!$C$1:$AR$4,MATCH($C$20,'Сводный годовой график'!$B$1:$B$4),MATCH(DATE($AV$1,MONTH($B$14),AC$3),'Сводный годовой график'!$C$6:$AR$6)))</f>
        <v>8</v>
      </c>
      <c r="AD20" s="92">
        <f ca="1">IF(AND(INDEX('Сводный годовой график'!$C$1:$AR$4,MATCH($C$20,'Сводный годовой график'!$B$1:$B$4),MATCH(DATE($AV$1,MONTH($B$14),AD$3),'Сводный годовой график'!$C$6:$AR$6))&lt;&gt;12,INDIRECT(ADDRESS(ROW()+1,COLUMN()))="СП"),8,INDEX('Сводный годовой график'!$C$1:$AR$4,MATCH($C$20,'Сводный годовой график'!$B$1:$B$4),MATCH(DATE($AV$1,MONTH($B$14),AD$3),'Сводный годовой график'!$C$6:$AR$6)))</f>
        <v>12</v>
      </c>
      <c r="AE20" s="92">
        <f ca="1">IF(AND(INDEX('Сводный годовой график'!$C$1:$AR$4,MATCH($C$20,'Сводный годовой график'!$B$1:$B$4),MATCH(DATE($AV$1,MONTH($B$14),AE$3),'Сводный годовой график'!$C$6:$AR$6))&lt;&gt;12,INDIRECT(ADDRESS(ROW()+1,COLUMN()))="СП"),8,INDEX('Сводный годовой график'!$C$1:$AR$4,MATCH($C$20,'Сводный годовой график'!$B$1:$B$4),MATCH(DATE($AV$1,MONTH($B$14),AE$3),'Сводный годовой график'!$C$6:$AR$6)))</f>
        <v>4</v>
      </c>
      <c r="AF20" s="92">
        <f ca="1">IF(AND(INDEX('Сводный годовой график'!$C$1:$AR$4,MATCH($C$20,'Сводный годовой график'!$B$1:$B$4),MATCH(DATE($AV$1,MONTH($B$14),AF$3),'Сводный годовой график'!$C$6:$AR$6))&lt;&gt;12,INDIRECT(ADDRESS(ROW()+1,COLUMN()))="СП"),8,INDEX('Сводный годовой график'!$C$1:$AR$4,MATCH($C$20,'Сводный годовой график'!$B$1:$B$4),MATCH(DATE($AV$1,MONTH($B$14),AF$3),'Сводный годовой график'!$C$6:$AR$6)))</f>
        <v>8</v>
      </c>
      <c r="AG20" s="119"/>
      <c r="AH20" s="119"/>
      <c r="AI20" s="110"/>
      <c r="AJ20" s="206"/>
      <c r="AK20" s="177">
        <f>$AJ$14-SUM(AY20:CC21)</f>
        <v>160</v>
      </c>
      <c r="AL20" s="177">
        <f t="shared" ref="AL20" ca="1" si="31">SUM(E20:AI21)</f>
        <v>176</v>
      </c>
      <c r="AM20" s="177">
        <f ca="1">SUM(AA20)</f>
        <v>0</v>
      </c>
      <c r="AN20" s="198">
        <f t="shared" ref="AN20" ca="1" si="32">-AM20-AK20+AL20</f>
        <v>16</v>
      </c>
      <c r="AO20" s="198">
        <v>0</v>
      </c>
      <c r="AP20" s="208">
        <f t="shared" ref="AP20" ca="1" si="33">AN20+AP10-AO20</f>
        <v>16</v>
      </c>
      <c r="AQ20" s="177">
        <v>0</v>
      </c>
      <c r="AR20" s="179">
        <v>1</v>
      </c>
      <c r="CK20" s="59"/>
      <c r="CL20" s="59"/>
      <c r="CM20" s="59"/>
      <c r="CN20" s="59"/>
      <c r="CO20" s="59"/>
      <c r="CP20" s="59"/>
      <c r="CQ20" s="59"/>
      <c r="CR20" s="59"/>
      <c r="CS20" s="59"/>
      <c r="CT20" s="59"/>
      <c r="CU20" s="59"/>
      <c r="CV20" s="59"/>
      <c r="CW20" s="59"/>
      <c r="CX20" s="59"/>
      <c r="CY20" s="59"/>
      <c r="CZ20" s="59"/>
      <c r="DA20" s="59"/>
      <c r="DB20" s="59"/>
      <c r="DC20" s="59"/>
      <c r="DD20" s="59"/>
      <c r="DE20" s="59"/>
      <c r="DF20" s="59"/>
      <c r="DG20" s="59"/>
      <c r="DH20" s="59"/>
      <c r="DI20" s="59"/>
      <c r="DJ20" s="59"/>
      <c r="DK20" s="59"/>
      <c r="DL20" s="59"/>
      <c r="DM20" s="59"/>
      <c r="DN20" s="59"/>
      <c r="DO20" s="59"/>
    </row>
    <row r="21" spans="2:119" ht="16.5" thickBot="1" x14ac:dyDescent="0.3">
      <c r="B21" s="201"/>
      <c r="C21" s="197"/>
      <c r="D21" s="82">
        <v>8</v>
      </c>
      <c r="E21" s="92" t="str">
        <f t="shared" ref="E21:AF21" si="34">IF(INDEX($CK$4:$DO$123,ROW()-3,E$3)=0,"","СП")</f>
        <v/>
      </c>
      <c r="F21" s="92" t="str">
        <f t="shared" si="34"/>
        <v/>
      </c>
      <c r="G21" s="92" t="str">
        <f t="shared" si="34"/>
        <v/>
      </c>
      <c r="H21" s="92" t="str">
        <f t="shared" si="34"/>
        <v/>
      </c>
      <c r="I21" s="92" t="str">
        <f t="shared" si="34"/>
        <v>СП</v>
      </c>
      <c r="J21" s="92" t="str">
        <f t="shared" si="34"/>
        <v/>
      </c>
      <c r="K21" s="92" t="str">
        <f t="shared" si="34"/>
        <v/>
      </c>
      <c r="L21" s="92" t="str">
        <f t="shared" si="34"/>
        <v/>
      </c>
      <c r="M21" s="92" t="str">
        <f t="shared" si="34"/>
        <v/>
      </c>
      <c r="N21" s="92" t="str">
        <f t="shared" si="34"/>
        <v/>
      </c>
      <c r="O21" s="92" t="str">
        <f t="shared" si="34"/>
        <v/>
      </c>
      <c r="P21" s="92" t="str">
        <f t="shared" si="34"/>
        <v/>
      </c>
      <c r="Q21" s="92" t="str">
        <f t="shared" si="34"/>
        <v/>
      </c>
      <c r="R21" s="92" t="str">
        <f t="shared" si="34"/>
        <v/>
      </c>
      <c r="S21" s="92" t="str">
        <f t="shared" si="34"/>
        <v/>
      </c>
      <c r="T21" s="92" t="str">
        <f t="shared" si="34"/>
        <v/>
      </c>
      <c r="U21" s="92" t="str">
        <f t="shared" si="34"/>
        <v/>
      </c>
      <c r="V21" s="92" t="str">
        <f t="shared" si="34"/>
        <v/>
      </c>
      <c r="W21" s="92" t="str">
        <f t="shared" si="34"/>
        <v/>
      </c>
      <c r="X21" s="92" t="str">
        <f t="shared" si="34"/>
        <v/>
      </c>
      <c r="Y21" s="92" t="str">
        <f t="shared" si="34"/>
        <v/>
      </c>
      <c r="Z21" s="92" t="str">
        <f t="shared" si="34"/>
        <v/>
      </c>
      <c r="AA21" s="92" t="str">
        <f t="shared" si="34"/>
        <v/>
      </c>
      <c r="AB21" s="92" t="str">
        <f t="shared" si="34"/>
        <v/>
      </c>
      <c r="AC21" s="92" t="str">
        <f t="shared" si="34"/>
        <v/>
      </c>
      <c r="AD21" s="92" t="str">
        <f t="shared" si="34"/>
        <v/>
      </c>
      <c r="AE21" s="92" t="str">
        <f t="shared" si="34"/>
        <v/>
      </c>
      <c r="AF21" s="92" t="str">
        <f t="shared" si="34"/>
        <v/>
      </c>
      <c r="AG21" s="119"/>
      <c r="AH21" s="119"/>
      <c r="AI21" s="110"/>
      <c r="AJ21" s="206"/>
      <c r="AK21" s="177"/>
      <c r="AL21" s="177"/>
      <c r="AM21" s="177"/>
      <c r="AN21" s="198"/>
      <c r="AO21" s="198"/>
      <c r="AP21" s="198"/>
      <c r="AQ21" s="177"/>
      <c r="AR21" s="179"/>
      <c r="CK21" s="58">
        <f>IF(DAY(INDEX('Сводный годовой график'!$BA$4:$BL$14,$C20,MONTH($B$14)))=E$3,1,0)</f>
        <v>0</v>
      </c>
      <c r="CL21" s="58">
        <f>IF(DAY(INDEX('Сводный годовой график'!$BA$4:$BL$14,$C20,MONTH($B$14)))=F$3,1,0)</f>
        <v>0</v>
      </c>
      <c r="CM21" s="58">
        <f>IF(DAY(INDEX('Сводный годовой график'!$BA$4:$BL$14,$C20,MONTH($B$14)))=G$3,1,0)</f>
        <v>0</v>
      </c>
      <c r="CN21" s="58">
        <f>IF(DAY(INDEX('Сводный годовой график'!$BA$4:$BL$14,$C20,MONTH($B$14)))=H$3,1,0)</f>
        <v>0</v>
      </c>
      <c r="CO21" s="58">
        <f>IF(DAY(INDEX('Сводный годовой график'!$BA$4:$BL$14,$C20,MONTH($B$14)))=I$3,1,0)</f>
        <v>1</v>
      </c>
      <c r="CP21" s="58">
        <f>IF(DAY(INDEX('Сводный годовой график'!$BA$4:$BL$14,$C20,MONTH($B$14)))=J$3,1,0)</f>
        <v>0</v>
      </c>
      <c r="CQ21" s="58">
        <f>IF(DAY(INDEX('Сводный годовой график'!$BA$4:$BL$14,$C20,MONTH($B$14)))=K$3,1,0)</f>
        <v>0</v>
      </c>
      <c r="CR21" s="58">
        <f>IF(DAY(INDEX('Сводный годовой график'!$BA$4:$BL$14,$C20,MONTH($B$14)))=L$3,1,0)</f>
        <v>0</v>
      </c>
      <c r="CS21" s="58">
        <f>IF(DAY(INDEX('Сводный годовой график'!$BA$4:$BL$14,$C20,MONTH($B$14)))=M$3,1,0)</f>
        <v>0</v>
      </c>
      <c r="CT21" s="58">
        <f>IF(DAY(INDEX('Сводный годовой график'!$BA$4:$BL$14,$C20,MONTH($B$14)))=N$3,1,0)</f>
        <v>0</v>
      </c>
      <c r="CU21" s="58">
        <f>IF(DAY(INDEX('Сводный годовой график'!$BA$4:$BL$14,$C20,MONTH($B$14)))=O$3,1,0)</f>
        <v>0</v>
      </c>
      <c r="CV21" s="58">
        <f>IF(DAY(INDEX('Сводный годовой график'!$BA$4:$BL$14,$C20,MONTH($B$14)))=P$3,1,0)</f>
        <v>0</v>
      </c>
      <c r="CW21" s="58">
        <f>IF(DAY(INDEX('Сводный годовой график'!$BA$4:$BL$14,$C20,MONTH($B$14)))=Q$3,1,0)</f>
        <v>0</v>
      </c>
      <c r="CX21" s="58">
        <f>IF(DAY(INDEX('Сводный годовой график'!$BA$4:$BL$14,$C20,MONTH($B$14)))=R$3,1,0)</f>
        <v>0</v>
      </c>
      <c r="CY21" s="58">
        <f>IF(DAY(INDEX('Сводный годовой график'!$BA$4:$BL$14,$C20,MONTH($B$14)))=S$3,1,0)</f>
        <v>0</v>
      </c>
      <c r="CZ21" s="58">
        <f>IF(DAY(INDEX('Сводный годовой график'!$BA$4:$BL$14,$C20,MONTH($B$14)))=T$3,1,0)</f>
        <v>0</v>
      </c>
      <c r="DA21" s="58">
        <f>IF(DAY(INDEX('Сводный годовой график'!$BA$4:$BL$14,$C20,MONTH($B$14)))=U$3,1,0)</f>
        <v>0</v>
      </c>
      <c r="DB21" s="58">
        <f>IF(DAY(INDEX('Сводный годовой график'!$BA$4:$BL$14,$C20,MONTH($B$14)))=V$3,1,0)</f>
        <v>0</v>
      </c>
      <c r="DC21" s="58">
        <f>IF(DAY(INDEX('Сводный годовой график'!$BA$4:$BL$14,$C20,MONTH($B$14)))=W$3,1,0)</f>
        <v>0</v>
      </c>
      <c r="DD21" s="58">
        <f>IF(DAY(INDEX('Сводный годовой график'!$BA$4:$BL$14,$C20,MONTH($B$14)))=X$3,1,0)</f>
        <v>0</v>
      </c>
      <c r="DE21" s="58">
        <f>IF(DAY(INDEX('Сводный годовой график'!$BA$4:$BL$14,$C20,MONTH($B$14)))=Y$3,1,0)</f>
        <v>0</v>
      </c>
      <c r="DF21" s="58">
        <f>IF(DAY(INDEX('Сводный годовой график'!$BA$4:$BL$14,$C20,MONTH($B$14)))=Z$3,1,0)</f>
        <v>0</v>
      </c>
      <c r="DG21" s="58">
        <f>IF(DAY(INDEX('Сводный годовой график'!$BA$4:$BL$14,$C20,MONTH($B$14)))=AA$3,1,0)</f>
        <v>0</v>
      </c>
      <c r="DH21" s="58">
        <f>IF(DAY(INDEX('Сводный годовой график'!$BA$4:$BL$14,$C20,MONTH($B$14)))=AB$3,1,0)</f>
        <v>0</v>
      </c>
      <c r="DI21" s="58">
        <f>IF(DAY(INDEX('Сводный годовой график'!$BA$4:$BL$14,$C20,MONTH($B$14)))=AC$3,1,0)</f>
        <v>0</v>
      </c>
      <c r="DJ21" s="58">
        <f>IF(DAY(INDEX('Сводный годовой график'!$BA$4:$BL$14,$C20,MONTH($B$14)))=AD$3,1,0)</f>
        <v>0</v>
      </c>
      <c r="DK21" s="58">
        <f>IF(DAY(INDEX('Сводный годовой график'!$BA$4:$BL$14,$C20,MONTH($B$14)))=AE$3,1,0)</f>
        <v>0</v>
      </c>
      <c r="DL21" s="58">
        <f>IF(DAY(INDEX('Сводный годовой график'!$BA$4:$BL$14,$C20,MONTH($B$14)))=AF$3,1,0)</f>
        <v>0</v>
      </c>
      <c r="DM21" s="58">
        <f>IF(DAY(INDEX('Сводный годовой график'!$BA$4:$BL$14,$C20,MONTH($B$14)))=AG$3,1,0)</f>
        <v>0</v>
      </c>
      <c r="DN21" s="58">
        <f>IF(DAY(INDEX('Сводный годовой график'!$BA$4:$BL$14,$C20,MONTH($B$14)))=AH$3,1,0)</f>
        <v>0</v>
      </c>
      <c r="DO21" s="58">
        <f>IF(DAY(INDEX('Сводный годовой график'!$BA$4:$BL$14,$C20,MONTH($B$14)))=AI$3,1,0)</f>
        <v>0</v>
      </c>
    </row>
    <row r="22" spans="2:119" ht="17.25" thickTop="1" thickBot="1" x14ac:dyDescent="0.3">
      <c r="B22" s="201"/>
      <c r="C22" s="196">
        <v>5</v>
      </c>
      <c r="D22" s="81">
        <v>9</v>
      </c>
      <c r="E22" s="92" t="s">
        <v>36</v>
      </c>
      <c r="F22" s="92" t="s">
        <v>36</v>
      </c>
      <c r="G22" s="92" t="s">
        <v>36</v>
      </c>
      <c r="H22" s="92" t="s">
        <v>36</v>
      </c>
      <c r="I22" s="92" t="s">
        <v>36</v>
      </c>
      <c r="J22" s="92" t="s">
        <v>36</v>
      </c>
      <c r="K22" s="92" t="s">
        <v>36</v>
      </c>
      <c r="L22" s="92" t="s">
        <v>36</v>
      </c>
      <c r="M22" s="92" t="s">
        <v>36</v>
      </c>
      <c r="N22" s="92" t="s">
        <v>36</v>
      </c>
      <c r="O22" s="92" t="s">
        <v>36</v>
      </c>
      <c r="P22" s="92" t="s">
        <v>36</v>
      </c>
      <c r="Q22" s="92" t="s">
        <v>36</v>
      </c>
      <c r="R22" s="92" t="s">
        <v>36</v>
      </c>
      <c r="S22" s="92" t="s">
        <v>36</v>
      </c>
      <c r="T22" s="92" t="s">
        <v>36</v>
      </c>
      <c r="U22" s="92" t="s">
        <v>36</v>
      </c>
      <c r="V22" s="92" t="s">
        <v>36</v>
      </c>
      <c r="W22" s="92" t="s">
        <v>36</v>
      </c>
      <c r="X22" s="92" t="s">
        <v>36</v>
      </c>
      <c r="Y22" s="92" t="s">
        <v>36</v>
      </c>
      <c r="Z22" s="92" t="s">
        <v>36</v>
      </c>
      <c r="AA22" s="92" t="s">
        <v>36</v>
      </c>
      <c r="AB22" s="92" t="s">
        <v>36</v>
      </c>
      <c r="AC22" s="92" t="s">
        <v>36</v>
      </c>
      <c r="AD22" s="92" t="s">
        <v>36</v>
      </c>
      <c r="AE22" s="92" t="s">
        <v>36</v>
      </c>
      <c r="AF22" s="92" t="s">
        <v>36</v>
      </c>
      <c r="AG22" s="119"/>
      <c r="AH22" s="119"/>
      <c r="AI22" s="110"/>
      <c r="AJ22" s="206"/>
      <c r="AK22" s="177">
        <f>$AJ$14-SUM(AY22:CC23)</f>
        <v>160</v>
      </c>
      <c r="AL22" s="177">
        <f t="shared" ref="AL22" si="35">SUM(E22:AI23)</f>
        <v>0</v>
      </c>
      <c r="AM22" s="177">
        <f>SUM(AA22)</f>
        <v>0</v>
      </c>
      <c r="AN22" s="198">
        <f t="shared" ref="AN22" si="36">-AM22-AK22+AL22</f>
        <v>-160</v>
      </c>
      <c r="AO22" s="198">
        <v>0</v>
      </c>
      <c r="AP22" s="208">
        <f t="shared" ref="AP22" si="37">AN22+AP12-AO22</f>
        <v>-296</v>
      </c>
      <c r="AQ22" s="177">
        <v>0</v>
      </c>
      <c r="AR22" s="179">
        <v>1</v>
      </c>
      <c r="CK22" s="59"/>
      <c r="CL22" s="59"/>
      <c r="CM22" s="59"/>
      <c r="CN22" s="59"/>
      <c r="CO22" s="59"/>
      <c r="CP22" s="59"/>
      <c r="CQ22" s="59"/>
      <c r="CR22" s="59"/>
      <c r="CS22" s="59"/>
      <c r="CT22" s="59"/>
      <c r="CU22" s="59"/>
      <c r="CV22" s="59"/>
      <c r="CW22" s="59"/>
      <c r="CX22" s="59"/>
      <c r="CY22" s="59"/>
      <c r="CZ22" s="59"/>
      <c r="DA22" s="59"/>
      <c r="DB22" s="59"/>
      <c r="DC22" s="59"/>
      <c r="DD22" s="59"/>
      <c r="DE22" s="59"/>
      <c r="DF22" s="59"/>
      <c r="DG22" s="59"/>
      <c r="DH22" s="59"/>
      <c r="DI22" s="59"/>
      <c r="DJ22" s="59"/>
      <c r="DK22" s="59"/>
      <c r="DL22" s="59"/>
      <c r="DM22" s="59"/>
      <c r="DN22" s="59"/>
      <c r="DO22" s="59"/>
    </row>
    <row r="23" spans="2:119" ht="16.5" thickBot="1" x14ac:dyDescent="0.3">
      <c r="B23" s="202"/>
      <c r="C23" s="197"/>
      <c r="D23" s="82">
        <v>10</v>
      </c>
      <c r="E23" s="29" t="str">
        <f t="shared" ref="E23:AF23" si="38">IF(INDEX($CK$4:$DO$123,ROW()-3,E$3)=0,"","СП")</f>
        <v/>
      </c>
      <c r="F23" s="29" t="str">
        <f t="shared" si="38"/>
        <v/>
      </c>
      <c r="G23" s="29" t="str">
        <f t="shared" si="38"/>
        <v/>
      </c>
      <c r="H23" s="29" t="str">
        <f t="shared" si="38"/>
        <v/>
      </c>
      <c r="I23" s="29" t="str">
        <f t="shared" si="38"/>
        <v/>
      </c>
      <c r="J23" s="29" t="str">
        <f t="shared" si="38"/>
        <v>СП</v>
      </c>
      <c r="K23" s="29" t="str">
        <f t="shared" si="38"/>
        <v/>
      </c>
      <c r="L23" s="29" t="str">
        <f t="shared" si="38"/>
        <v/>
      </c>
      <c r="M23" s="29" t="str">
        <f t="shared" si="38"/>
        <v/>
      </c>
      <c r="N23" s="29" t="str">
        <f t="shared" si="38"/>
        <v/>
      </c>
      <c r="O23" s="29" t="str">
        <f t="shared" si="38"/>
        <v/>
      </c>
      <c r="P23" s="29" t="str">
        <f t="shared" si="38"/>
        <v/>
      </c>
      <c r="Q23" s="29" t="str">
        <f t="shared" si="38"/>
        <v/>
      </c>
      <c r="R23" s="29" t="str">
        <f t="shared" si="38"/>
        <v/>
      </c>
      <c r="S23" s="29" t="str">
        <f t="shared" si="38"/>
        <v/>
      </c>
      <c r="T23" s="29" t="str">
        <f t="shared" si="38"/>
        <v/>
      </c>
      <c r="U23" s="29" t="str">
        <f t="shared" si="38"/>
        <v/>
      </c>
      <c r="V23" s="29" t="str">
        <f t="shared" si="38"/>
        <v/>
      </c>
      <c r="W23" s="29" t="str">
        <f t="shared" si="38"/>
        <v/>
      </c>
      <c r="X23" s="29" t="str">
        <f t="shared" si="38"/>
        <v/>
      </c>
      <c r="Y23" s="29" t="str">
        <f t="shared" si="38"/>
        <v/>
      </c>
      <c r="Z23" s="29" t="str">
        <f t="shared" si="38"/>
        <v/>
      </c>
      <c r="AA23" s="29" t="str">
        <f t="shared" si="38"/>
        <v/>
      </c>
      <c r="AB23" s="29" t="str">
        <f t="shared" si="38"/>
        <v/>
      </c>
      <c r="AC23" s="29" t="str">
        <f t="shared" si="38"/>
        <v/>
      </c>
      <c r="AD23" s="29" t="str">
        <f t="shared" si="38"/>
        <v/>
      </c>
      <c r="AE23" s="29" t="str">
        <f t="shared" si="38"/>
        <v/>
      </c>
      <c r="AF23" s="29" t="str">
        <f t="shared" si="38"/>
        <v/>
      </c>
      <c r="AG23" s="124"/>
      <c r="AH23" s="124"/>
      <c r="AI23" s="111"/>
      <c r="AJ23" s="207"/>
      <c r="AK23" s="178"/>
      <c r="AL23" s="178"/>
      <c r="AM23" s="178"/>
      <c r="AN23" s="199"/>
      <c r="AO23" s="199"/>
      <c r="AP23" s="198"/>
      <c r="AQ23" s="178"/>
      <c r="AR23" s="180"/>
      <c r="CK23" s="58">
        <f>IF(DAY(INDEX('Сводный годовой график'!$BA$4:$BL$14,$C22,MONTH($B$14)))=E$3,1,0)</f>
        <v>0</v>
      </c>
      <c r="CL23" s="58">
        <f>IF(DAY(INDEX('Сводный годовой график'!$BA$4:$BL$14,$C22,MONTH($B$14)))=F$3,1,0)</f>
        <v>0</v>
      </c>
      <c r="CM23" s="58">
        <f>IF(DAY(INDEX('Сводный годовой график'!$BA$4:$BL$14,$C22,MONTH($B$14)))=G$3,1,0)</f>
        <v>0</v>
      </c>
      <c r="CN23" s="58">
        <f>IF(DAY(INDEX('Сводный годовой график'!$BA$4:$BL$14,$C22,MONTH($B$14)))=H$3,1,0)</f>
        <v>0</v>
      </c>
      <c r="CO23" s="58">
        <f>IF(DAY(INDEX('Сводный годовой график'!$BA$4:$BL$14,$C22,MONTH($B$14)))=I$3,1,0)</f>
        <v>0</v>
      </c>
      <c r="CP23" s="58">
        <f>IF(DAY(INDEX('Сводный годовой график'!$BA$4:$BL$14,$C22,MONTH($B$14)))=J$3,1,0)</f>
        <v>1</v>
      </c>
      <c r="CQ23" s="58">
        <f>IF(DAY(INDEX('Сводный годовой график'!$BA$4:$BL$14,$C22,MONTH($B$14)))=K$3,1,0)</f>
        <v>0</v>
      </c>
      <c r="CR23" s="58">
        <f>IF(DAY(INDEX('Сводный годовой график'!$BA$4:$BL$14,$C22,MONTH($B$14)))=L$3,1,0)</f>
        <v>0</v>
      </c>
      <c r="CS23" s="58">
        <f>IF(DAY(INDEX('Сводный годовой график'!$BA$4:$BL$14,$C22,MONTH($B$14)))=M$3,1,0)</f>
        <v>0</v>
      </c>
      <c r="CT23" s="58">
        <f>IF(DAY(INDEX('Сводный годовой график'!$BA$4:$BL$14,$C22,MONTH($B$14)))=N$3,1,0)</f>
        <v>0</v>
      </c>
      <c r="CU23" s="58">
        <f>IF(DAY(INDEX('Сводный годовой график'!$BA$4:$BL$14,$C22,MONTH($B$14)))=O$3,1,0)</f>
        <v>0</v>
      </c>
      <c r="CV23" s="58">
        <f>IF(DAY(INDEX('Сводный годовой график'!$BA$4:$BL$14,$C22,MONTH($B$14)))=P$3,1,0)</f>
        <v>0</v>
      </c>
      <c r="CW23" s="58">
        <f>IF(DAY(INDEX('Сводный годовой график'!$BA$4:$BL$14,$C22,MONTH($B$14)))=Q$3,1,0)</f>
        <v>0</v>
      </c>
      <c r="CX23" s="58">
        <f>IF(DAY(INDEX('Сводный годовой график'!$BA$4:$BL$14,$C22,MONTH($B$14)))=R$3,1,0)</f>
        <v>0</v>
      </c>
      <c r="CY23" s="58">
        <f>IF(DAY(INDEX('Сводный годовой график'!$BA$4:$BL$14,$C22,MONTH($B$14)))=S$3,1,0)</f>
        <v>0</v>
      </c>
      <c r="CZ23" s="58">
        <f>IF(DAY(INDEX('Сводный годовой график'!$BA$4:$BL$14,$C22,MONTH($B$14)))=T$3,1,0)</f>
        <v>0</v>
      </c>
      <c r="DA23" s="58">
        <f>IF(DAY(INDEX('Сводный годовой график'!$BA$4:$BL$14,$C22,MONTH($B$14)))=U$3,1,0)</f>
        <v>0</v>
      </c>
      <c r="DB23" s="58">
        <f>IF(DAY(INDEX('Сводный годовой график'!$BA$4:$BL$14,$C22,MONTH($B$14)))=V$3,1,0)</f>
        <v>0</v>
      </c>
      <c r="DC23" s="58">
        <f>IF(DAY(INDEX('Сводный годовой график'!$BA$4:$BL$14,$C22,MONTH($B$14)))=W$3,1,0)</f>
        <v>0</v>
      </c>
      <c r="DD23" s="58">
        <f>IF(DAY(INDEX('Сводный годовой график'!$BA$4:$BL$14,$C22,MONTH($B$14)))=X$3,1,0)</f>
        <v>0</v>
      </c>
      <c r="DE23" s="58">
        <f>IF(DAY(INDEX('Сводный годовой график'!$BA$4:$BL$14,$C22,MONTH($B$14)))=Y$3,1,0)</f>
        <v>0</v>
      </c>
      <c r="DF23" s="58">
        <f>IF(DAY(INDEX('Сводный годовой график'!$BA$4:$BL$14,$C22,MONTH($B$14)))=Z$3,1,0)</f>
        <v>0</v>
      </c>
      <c r="DG23" s="58">
        <f>IF(DAY(INDEX('Сводный годовой график'!$BA$4:$BL$14,$C22,MONTH($B$14)))=AA$3,1,0)</f>
        <v>0</v>
      </c>
      <c r="DH23" s="58">
        <f>IF(DAY(INDEX('Сводный годовой график'!$BA$4:$BL$14,$C22,MONTH($B$14)))=AB$3,1,0)</f>
        <v>0</v>
      </c>
      <c r="DI23" s="58">
        <f>IF(DAY(INDEX('Сводный годовой график'!$BA$4:$BL$14,$C22,MONTH($B$14)))=AC$3,1,0)</f>
        <v>0</v>
      </c>
      <c r="DJ23" s="58">
        <f>IF(DAY(INDEX('Сводный годовой график'!$BA$4:$BL$14,$C22,MONTH($B$14)))=AD$3,1,0)</f>
        <v>0</v>
      </c>
      <c r="DK23" s="58">
        <f>IF(DAY(INDEX('Сводный годовой график'!$BA$4:$BL$14,$C22,MONTH($B$14)))=AE$3,1,0)</f>
        <v>0</v>
      </c>
      <c r="DL23" s="58">
        <f>IF(DAY(INDEX('Сводный годовой график'!$BA$4:$BL$14,$C22,MONTH($B$14)))=AF$3,1,0)</f>
        <v>0</v>
      </c>
      <c r="DM23" s="58">
        <f>IF(DAY(INDEX('Сводный годовой график'!$BA$4:$BL$14,$C22,MONTH($B$14)))=AG$3,1,0)</f>
        <v>0</v>
      </c>
      <c r="DN23" s="58">
        <f>IF(DAY(INDEX('Сводный годовой график'!$BA$4:$BL$14,$C22,MONTH($B$14)))=AH$3,1,0)</f>
        <v>0</v>
      </c>
      <c r="DO23" s="58">
        <f>IF(DAY(INDEX('Сводный годовой график'!$BA$4:$BL$14,$C22,MONTH($B$14)))=AI$3,1,0)</f>
        <v>0</v>
      </c>
    </row>
    <row r="24" spans="2:119" ht="17.25" customHeight="1" thickTop="1" thickBot="1" x14ac:dyDescent="0.3">
      <c r="B24" s="201">
        <f>DATE($AV$1,3,1)</f>
        <v>45717</v>
      </c>
      <c r="C24" s="212">
        <v>1</v>
      </c>
      <c r="D24" s="99">
        <v>1</v>
      </c>
      <c r="E24" s="27">
        <f ca="1">IF(AND(INDEX('Сводный годовой график'!$C$1:$AR$4,MATCH($C$24,'Сводный годовой график'!$B$1:$B$4),MATCH(DATE($AV$1,MONTH($B$24),E$3),'Сводный годовой график'!$C$7:$AR$7))&lt;&gt;12,INDIRECT(ADDRESS(ROW()+1,COLUMN()))="СП"),8,INDEX('Сводный годовой график'!$C$1:$AR$4,MATCH($C$24,'Сводный годовой график'!$B$1:$B$4),MATCH(DATE($AV$1,MONTH($B$24),E$3),'Сводный годовой график'!$C$7:$AR$7)))</f>
        <v>8</v>
      </c>
      <c r="F24" s="27">
        <f ca="1">IF(AND(INDEX('Сводный годовой график'!$C$1:$AR$4,MATCH($C$24,'Сводный годовой график'!$B$1:$B$4),MATCH(DATE($AV$1,MONTH($B$24),F$3),'Сводный годовой график'!$C$7:$AR$7))&lt;&gt;12,INDIRECT(ADDRESS(ROW()+1,COLUMN()))="СП"),8,INDEX('Сводный годовой график'!$C$1:$AR$4,MATCH($C$24,'Сводный годовой график'!$B$1:$B$4),MATCH(DATE($AV$1,MONTH($B$24),F$3),'Сводный годовой график'!$C$7:$AR$7)))</f>
        <v>12</v>
      </c>
      <c r="G24" s="27">
        <f ca="1">IF(AND(INDEX('Сводный годовой график'!$C$1:$AR$4,MATCH($C$24,'Сводный годовой график'!$B$1:$B$4),MATCH(DATE($AV$1,MONTH($B$24),G$3),'Сводный годовой график'!$C$7:$AR$7))&lt;&gt;12,INDIRECT(ADDRESS(ROW()+1,COLUMN()))="СП"),8,INDEX('Сводный годовой график'!$C$1:$AR$4,MATCH($C$24,'Сводный годовой график'!$B$1:$B$4),MATCH(DATE($AV$1,MONTH($B$24),G$3),'Сводный годовой график'!$C$7:$AR$7)))</f>
        <v>8</v>
      </c>
      <c r="H24" s="27">
        <f ca="1">IF(AND(INDEX('Сводный годовой график'!$C$1:$AR$4,MATCH($C$24,'Сводный годовой график'!$B$1:$B$4),MATCH(DATE($AV$1,MONTH($B$24),H$3),'Сводный годовой график'!$C$7:$AR$7))&lt;&gt;12,INDIRECT(ADDRESS(ROW()+1,COLUMN()))="СП"),8,INDEX('Сводный годовой график'!$C$1:$AR$4,MATCH($C$24,'Сводный годовой график'!$B$1:$B$4),MATCH(DATE($AV$1,MONTH($B$24),H$3),'Сводный годовой график'!$C$7:$AR$7)))</f>
        <v>8</v>
      </c>
      <c r="I24" s="27">
        <f ca="1">IF(AND(INDEX('Сводный годовой график'!$C$1:$AR$4,MATCH($C$24,'Сводный годовой график'!$B$1:$B$4),MATCH(DATE($AV$1,MONTH($B$24),I$3),'Сводный годовой график'!$C$7:$AR$7))&lt;&gt;12,INDIRECT(ADDRESS(ROW()+1,COLUMN()))="СП"),8,INDEX('Сводный годовой график'!$C$1:$AR$4,MATCH($C$24,'Сводный годовой график'!$B$1:$B$4),MATCH(DATE($AV$1,MONTH($B$24),I$3),'Сводный годовой график'!$C$7:$AR$7)))</f>
        <v>12</v>
      </c>
      <c r="J24" s="27">
        <f ca="1">IF(AND(INDEX('Сводный годовой график'!$C$1:$AR$4,MATCH($C$24,'Сводный годовой график'!$B$1:$B$4),MATCH(DATE($AV$1,MONTH($B$24),J$3),'Сводный годовой график'!$C$7:$AR$7))&lt;&gt;12,INDIRECT(ADDRESS(ROW()+1,COLUMN()))="СП"),8,INDEX('Сводный годовой график'!$C$1:$AR$4,MATCH($C$24,'Сводный годовой график'!$B$1:$B$4),MATCH(DATE($AV$1,MONTH($B$24),J$3),'Сводный годовой график'!$C$7:$AR$7)))</f>
        <v>0</v>
      </c>
      <c r="K24" s="27">
        <f ca="1">IF(AND(INDEX('Сводный годовой график'!$C$1:$AR$4,MATCH($C$24,'Сводный годовой график'!$B$1:$B$4),MATCH(DATE($AV$1,MONTH($B$24),K$3),'Сводный годовой график'!$C$7:$AR$7))&lt;&gt;12,INDIRECT(ADDRESS(ROW()+1,COLUMN()))="СП"),8,INDEX('Сводный годовой график'!$C$1:$AR$4,MATCH($C$24,'Сводный годовой график'!$B$1:$B$4),MATCH(DATE($AV$1,MONTH($B$24),K$3),'Сводный годовой график'!$C$7:$AR$7)))</f>
        <v>0</v>
      </c>
      <c r="L24" s="27">
        <f ca="1">IF(AND(INDEX('Сводный годовой график'!$C$1:$AR$4,MATCH($C$24,'Сводный годовой график'!$B$1:$B$4),MATCH(DATE($AV$1,MONTH($B$24),L$3),'Сводный годовой график'!$C$7:$AR$7))&lt;&gt;12,INDIRECT(ADDRESS(ROW()+1,COLUMN()))="СП"),8,INDEX('Сводный годовой график'!$C$1:$AR$4,MATCH($C$24,'Сводный годовой график'!$B$1:$B$4),MATCH(DATE($AV$1,MONTH($B$24),L$3),'Сводный годовой график'!$C$7:$AR$7)))</f>
        <v>4</v>
      </c>
      <c r="M24" s="27">
        <f ca="1">IF(AND(INDEX('Сводный годовой график'!$C$1:$AR$4,MATCH($C$24,'Сводный годовой график'!$B$1:$B$4),MATCH(DATE($AV$1,MONTH($B$24),M$3),'Сводный годовой график'!$C$7:$AR$7))&lt;&gt;12,INDIRECT(ADDRESS(ROW()+1,COLUMN()))="СП"),8,INDEX('Сводный годовой график'!$C$1:$AR$4,MATCH($C$24,'Сводный годовой график'!$B$1:$B$4),MATCH(DATE($AV$1,MONTH($B$24),M$3),'Сводный годовой график'!$C$7:$AR$7)))</f>
        <v>8</v>
      </c>
      <c r="N24" s="27">
        <f ca="1">IF(AND(INDEX('Сводный годовой график'!$C$1:$AR$4,MATCH($C$24,'Сводный годовой график'!$B$1:$B$4),MATCH(DATE($AV$1,MONTH($B$24),N$3),'Сводный годовой график'!$C$7:$AR$7))&lt;&gt;12,INDIRECT(ADDRESS(ROW()+1,COLUMN()))="СП"),8,INDEX('Сводный годовой график'!$C$1:$AR$4,MATCH($C$24,'Сводный годовой график'!$B$1:$B$4),MATCH(DATE($AV$1,MONTH($B$24),N$3),'Сводный годовой график'!$C$7:$AR$7)))</f>
        <v>12</v>
      </c>
      <c r="O24" s="27">
        <f ca="1">IF(AND(INDEX('Сводный годовой график'!$C$1:$AR$4,MATCH($C$24,'Сводный годовой график'!$B$1:$B$4),MATCH(DATE($AV$1,MONTH($B$24),O$3),'Сводный годовой график'!$C$7:$AR$7))&lt;&gt;12,INDIRECT(ADDRESS(ROW()+1,COLUMN()))="СП"),8,INDEX('Сводный годовой график'!$C$1:$AR$4,MATCH($C$24,'Сводный годовой график'!$B$1:$B$4),MATCH(DATE($AV$1,MONTH($B$24),O$3),'Сводный годовой график'!$C$7:$AR$7)))</f>
        <v>4</v>
      </c>
      <c r="P24" s="27">
        <f ca="1">IF(AND(INDEX('Сводный годовой график'!$C$1:$AR$4,MATCH($C$24,'Сводный годовой график'!$B$1:$B$4),MATCH(DATE($AV$1,MONTH($B$24),P$3),'Сводный годовой график'!$C$7:$AR$7))&lt;&gt;12,INDIRECT(ADDRESS(ROW()+1,COLUMN()))="СП"),8,INDEX('Сводный годовой график'!$C$1:$AR$4,MATCH($C$24,'Сводный годовой график'!$B$1:$B$4),MATCH(DATE($AV$1,MONTH($B$24),P$3),'Сводный годовой график'!$C$7:$AR$7)))</f>
        <v>8</v>
      </c>
      <c r="Q24" s="27">
        <f ca="1">IF(AND(INDEX('Сводный годовой график'!$C$1:$AR$4,MATCH($C$24,'Сводный годовой график'!$B$1:$B$4),MATCH(DATE($AV$1,MONTH($B$24),Q$3),'Сводный годовой график'!$C$7:$AR$7))&lt;&gt;12,INDIRECT(ADDRESS(ROW()+1,COLUMN()))="СП"),8,INDEX('Сводный годовой график'!$C$1:$AR$4,MATCH($C$24,'Сводный годовой график'!$B$1:$B$4),MATCH(DATE($AV$1,MONTH($B$24),Q$3),'Сводный годовой график'!$C$7:$AR$7)))</f>
        <v>12</v>
      </c>
      <c r="R24" s="27">
        <f ca="1">IF(AND(INDEX('Сводный годовой график'!$C$1:$AR$4,MATCH($C$24,'Сводный годовой график'!$B$1:$B$4),MATCH(DATE($AV$1,MONTH($B$24),R$3),'Сводный годовой график'!$C$7:$AR$7))&lt;&gt;12,INDIRECT(ADDRESS(ROW()+1,COLUMN()))="СП"),8,INDEX('Сводный годовой график'!$C$1:$AR$4,MATCH($C$24,'Сводный годовой график'!$B$1:$B$4),MATCH(DATE($AV$1,MONTH($B$24),R$3),'Сводный годовой график'!$C$7:$AR$7)))</f>
        <v>0</v>
      </c>
      <c r="S24" s="27">
        <f ca="1">IF(AND(INDEX('Сводный годовой график'!$C$1:$AR$4,MATCH($C$24,'Сводный годовой график'!$B$1:$B$4),MATCH(DATE($AV$1,MONTH($B$24),S$3),'Сводный годовой график'!$C$7:$AR$7))&lt;&gt;12,INDIRECT(ADDRESS(ROW()+1,COLUMN()))="СП"),8,INDEX('Сводный годовой график'!$C$1:$AR$4,MATCH($C$24,'Сводный годовой график'!$B$1:$B$4),MATCH(DATE($AV$1,MONTH($B$24),S$3),'Сводный годовой график'!$C$7:$AR$7)))</f>
        <v>0</v>
      </c>
      <c r="T24" s="27">
        <f ca="1">IF(AND(INDEX('Сводный годовой график'!$C$1:$AR$4,MATCH($C$24,'Сводный годовой график'!$B$1:$B$4),MATCH(DATE($AV$1,MONTH($B$24),T$3),'Сводный годовой график'!$C$7:$AR$7))&lt;&gt;12,INDIRECT(ADDRESS(ROW()+1,COLUMN()))="СП"),8,INDEX('Сводный годовой график'!$C$1:$AR$4,MATCH($C$24,'Сводный годовой график'!$B$1:$B$4),MATCH(DATE($AV$1,MONTH($B$24),T$3),'Сводный годовой график'!$C$7:$AR$7)))</f>
        <v>4</v>
      </c>
      <c r="U24" s="27">
        <f ca="1">IF(AND(INDEX('Сводный годовой график'!$C$1:$AR$4,MATCH($C$24,'Сводный годовой график'!$B$1:$B$4),MATCH(DATE($AV$1,MONTH($B$24),U$3),'Сводный годовой график'!$C$7:$AR$7))&lt;&gt;12,INDIRECT(ADDRESS(ROW()+1,COLUMN()))="СП"),8,INDEX('Сводный годовой график'!$C$1:$AR$4,MATCH($C$24,'Сводный годовой график'!$B$1:$B$4),MATCH(DATE($AV$1,MONTH($B$24),U$3),'Сводный годовой график'!$C$7:$AR$7)))</f>
        <v>8</v>
      </c>
      <c r="V24" s="27">
        <f ca="1">IF(AND(INDEX('Сводный годовой график'!$C$1:$AR$4,MATCH($C$24,'Сводный годовой график'!$B$1:$B$4),MATCH(DATE($AV$1,MONTH($B$24),V$3),'Сводный годовой график'!$C$7:$AR$7))&lt;&gt;12,INDIRECT(ADDRESS(ROW()+1,COLUMN()))="СП"),8,INDEX('Сводный годовой график'!$C$1:$AR$4,MATCH($C$24,'Сводный годовой график'!$B$1:$B$4),MATCH(DATE($AV$1,MONTH($B$24),V$3),'Сводный годовой график'!$C$7:$AR$7)))</f>
        <v>12</v>
      </c>
      <c r="W24" s="27">
        <f ca="1">IF(AND(INDEX('Сводный годовой график'!$C$1:$AR$4,MATCH($C$24,'Сводный годовой график'!$B$1:$B$4),MATCH(DATE($AV$1,MONTH($B$24),W$3),'Сводный годовой график'!$C$7:$AR$7))&lt;&gt;12,INDIRECT(ADDRESS(ROW()+1,COLUMN()))="СП"),8,INDEX('Сводный годовой график'!$C$1:$AR$4,MATCH($C$24,'Сводный годовой график'!$B$1:$B$4),MATCH(DATE($AV$1,MONTH($B$24),W$3),'Сводный годовой график'!$C$7:$AR$7)))</f>
        <v>4</v>
      </c>
      <c r="X24" s="27">
        <f ca="1">IF(AND(INDEX('Сводный годовой график'!$C$1:$AR$4,MATCH($C$24,'Сводный годовой график'!$B$1:$B$4),MATCH(DATE($AV$1,MONTH($B$24),X$3),'Сводный годовой график'!$C$7:$AR$7))&lt;&gt;12,INDIRECT(ADDRESS(ROW()+1,COLUMN()))="СП"),8,INDEX('Сводный годовой график'!$C$1:$AR$4,MATCH($C$24,'Сводный годовой график'!$B$1:$B$4),MATCH(DATE($AV$1,MONTH($B$24),X$3),'Сводный годовой график'!$C$7:$AR$7)))</f>
        <v>8</v>
      </c>
      <c r="Y24" s="27">
        <f ca="1">IF(AND(INDEX('Сводный годовой график'!$C$1:$AR$4,MATCH($C$24,'Сводный годовой график'!$B$1:$B$4),MATCH(DATE($AV$1,MONTH($B$24),Y$3),'Сводный годовой график'!$C$7:$AR$7))&lt;&gt;12,INDIRECT(ADDRESS(ROW()+1,COLUMN()))="СП"),8,INDEX('Сводный годовой график'!$C$1:$AR$4,MATCH($C$24,'Сводный годовой график'!$B$1:$B$4),MATCH(DATE($AV$1,MONTH($B$24),Y$3),'Сводный годовой график'!$C$7:$AR$7)))</f>
        <v>12</v>
      </c>
      <c r="Z24" s="27">
        <f ca="1">IF(AND(INDEX('Сводный годовой график'!$C$1:$AR$4,MATCH($C$24,'Сводный годовой график'!$B$1:$B$4),MATCH(DATE($AV$1,MONTH($B$24),Z$3),'Сводный годовой график'!$C$7:$AR$7))&lt;&gt;12,INDIRECT(ADDRESS(ROW()+1,COLUMN()))="СП"),8,INDEX('Сводный годовой график'!$C$1:$AR$4,MATCH($C$24,'Сводный годовой график'!$B$1:$B$4),MATCH(DATE($AV$1,MONTH($B$24),Z$3),'Сводный годовой график'!$C$7:$AR$7)))</f>
        <v>0</v>
      </c>
      <c r="AA24" s="27">
        <f ca="1">IF(AND(INDEX('Сводный годовой график'!$C$1:$AR$4,MATCH($C$24,'Сводный годовой график'!$B$1:$B$4),MATCH(DATE($AV$1,MONTH($B$24),AA$3),'Сводный годовой график'!$C$7:$AR$7))&lt;&gt;12,INDIRECT(ADDRESS(ROW()+1,COLUMN()))="СП"),8,INDEX('Сводный годовой график'!$C$1:$AR$4,MATCH($C$24,'Сводный годовой график'!$B$1:$B$4),MATCH(DATE($AV$1,MONTH($B$24),AA$3),'Сводный годовой график'!$C$7:$AR$7)))</f>
        <v>0</v>
      </c>
      <c r="AB24" s="27">
        <f ca="1">IF(AND(INDEX('Сводный годовой график'!$C$1:$AR$4,MATCH($C$24,'Сводный годовой график'!$B$1:$B$4),MATCH(DATE($AV$1,MONTH($B$24),AB$3),'Сводный годовой график'!$C$7:$AR$7))&lt;&gt;12,INDIRECT(ADDRESS(ROW()+1,COLUMN()))="СП"),8,INDEX('Сводный годовой график'!$C$1:$AR$4,MATCH($C$24,'Сводный годовой график'!$B$1:$B$4),MATCH(DATE($AV$1,MONTH($B$24),AB$3),'Сводный годовой график'!$C$7:$AR$7)))</f>
        <v>4</v>
      </c>
      <c r="AC24" s="27">
        <f ca="1">IF(AND(INDEX('Сводный годовой график'!$C$1:$AR$4,MATCH($C$24,'Сводный годовой график'!$B$1:$B$4),MATCH(DATE($AV$1,MONTH($B$24),AC$3),'Сводный годовой график'!$C$7:$AR$7))&lt;&gt;12,INDIRECT(ADDRESS(ROW()+1,COLUMN()))="СП"),8,INDEX('Сводный годовой график'!$C$1:$AR$4,MATCH($C$24,'Сводный годовой график'!$B$1:$B$4),MATCH(DATE($AV$1,MONTH($B$24),AC$3),'Сводный годовой график'!$C$7:$AR$7)))</f>
        <v>8</v>
      </c>
      <c r="AD24" s="27">
        <f ca="1">IF(AND(INDEX('Сводный годовой график'!$C$1:$AR$4,MATCH($C$24,'Сводный годовой график'!$B$1:$B$4),MATCH(DATE($AV$1,MONTH($B$24),AD$3),'Сводный годовой график'!$C$7:$AR$7))&lt;&gt;12,INDIRECT(ADDRESS(ROW()+1,COLUMN()))="СП"),8,INDEX('Сводный годовой график'!$C$1:$AR$4,MATCH($C$24,'Сводный годовой график'!$B$1:$B$4),MATCH(DATE($AV$1,MONTH($B$24),AD$3),'Сводный годовой график'!$C$7:$AR$7)))</f>
        <v>12</v>
      </c>
      <c r="AE24" s="27">
        <f ca="1">IF(AND(INDEX('Сводный годовой график'!$C$1:$AR$4,MATCH($C$24,'Сводный годовой график'!$B$1:$B$4),MATCH(DATE($AV$1,MONTH($B$24),AE$3),'Сводный годовой график'!$C$7:$AR$7))&lt;&gt;12,INDIRECT(ADDRESS(ROW()+1,COLUMN()))="СП"),8,INDEX('Сводный годовой график'!$C$1:$AR$4,MATCH($C$24,'Сводный годовой график'!$B$1:$B$4),MATCH(DATE($AV$1,MONTH($B$24),AE$3),'Сводный годовой график'!$C$7:$AR$7)))</f>
        <v>4</v>
      </c>
      <c r="AF24" s="27">
        <f ca="1">IF(AND(INDEX('Сводный годовой график'!$C$1:$AR$4,MATCH($C$24,'Сводный годовой график'!$B$1:$B$4),MATCH(DATE($AV$1,MONTH($B$24),AF$3),'Сводный годовой график'!$C$7:$AR$7))&lt;&gt;12,INDIRECT(ADDRESS(ROW()+1,COLUMN()))="СП"),8,INDEX('Сводный годовой график'!$C$1:$AR$4,MATCH($C$24,'Сводный годовой график'!$B$1:$B$4),MATCH(DATE($AV$1,MONTH($B$24),AF$3),'Сводный годовой график'!$C$7:$AR$7)))</f>
        <v>8</v>
      </c>
      <c r="AG24" s="27">
        <f ca="1">IF(AND(INDEX('Сводный годовой график'!$C$1:$AR$4,MATCH($C$24,'Сводный годовой график'!$B$1:$B$4),MATCH(DATE($AV$1,MONTH($B$24),AG$3),'Сводный годовой график'!$C$7:$AR$7))&lt;&gt;12,INDIRECT(ADDRESS(ROW()+1,COLUMN()))="СП"),8,INDEX('Сводный годовой график'!$C$1:$AR$4,MATCH($C$24,'Сводный годовой график'!$B$1:$B$4),MATCH(DATE($AV$1,MONTH($B$24),AG$3),'Сводный годовой график'!$C$7:$AR$7)))</f>
        <v>12</v>
      </c>
      <c r="AH24" s="27">
        <f ca="1">IF(AND(INDEX('Сводный годовой график'!$C$1:$AR$4,MATCH($C$24,'Сводный годовой график'!$B$1:$B$4),MATCH(DATE($AV$1,MONTH($B$24),AH$3),'Сводный годовой график'!$C$7:$AR$7))&lt;&gt;12,INDIRECT(ADDRESS(ROW()+1,COLUMN()))="СП"),8,INDEX('Сводный годовой график'!$C$1:$AR$4,MATCH($C$24,'Сводный годовой график'!$B$1:$B$4),MATCH(DATE($AV$1,MONTH($B$24),AH$3),'Сводный годовой график'!$C$7:$AR$7)))</f>
        <v>0</v>
      </c>
      <c r="AI24" s="27">
        <f ca="1">IF(AND(INDEX('Сводный годовой график'!$C$1:$AR$4,MATCH($C$24,'Сводный годовой график'!$B$1:$B$4),MATCH(DATE($AV$1,MONTH($B$24),AI$3),'Сводный годовой график'!$C$7:$AR$7))&lt;&gt;12,INDIRECT(ADDRESS(ROW()+1,COLUMN()))="СП"),8,INDEX('Сводный годовой график'!$C$1:$AR$4,MATCH($C$24,'Сводный годовой график'!$B$1:$B$4),MATCH(DATE($AV$1,MONTH($B$24),AI$3),'Сводный годовой график'!$C$7:$AR$7)))</f>
        <v>0</v>
      </c>
      <c r="AJ24" s="205">
        <f>INDEX(Подключения!$D$3:$H$14,MONTH(B24),5)</f>
        <v>167</v>
      </c>
      <c r="AK24" s="216">
        <f>$AJ$24-SUM(AY24:CC25)</f>
        <v>167</v>
      </c>
      <c r="AL24" s="216">
        <f t="shared" ref="AL24" ca="1" si="39">SUM(E24:AI25)</f>
        <v>192</v>
      </c>
      <c r="AM24" s="216">
        <f ca="1">SUM(L24)</f>
        <v>4</v>
      </c>
      <c r="AN24" s="218">
        <f t="shared" ref="AN24" ca="1" si="40">-AM24-AK24+AL24</f>
        <v>21</v>
      </c>
      <c r="AO24" s="218">
        <v>12</v>
      </c>
      <c r="AP24" s="218">
        <f ca="1">AN24+AP14-AO24</f>
        <v>-9</v>
      </c>
      <c r="AQ24" s="216">
        <v>0</v>
      </c>
      <c r="AR24" s="217">
        <v>1</v>
      </c>
      <c r="CK24" s="59"/>
      <c r="CL24" s="59"/>
      <c r="CM24" s="59"/>
      <c r="CN24" s="59"/>
      <c r="CO24" s="59"/>
      <c r="CP24" s="59"/>
      <c r="CQ24" s="59"/>
      <c r="CR24" s="59"/>
      <c r="CS24" s="59"/>
      <c r="CT24" s="59"/>
      <c r="CU24" s="59"/>
      <c r="CV24" s="59"/>
      <c r="CW24" s="59"/>
      <c r="CX24" s="59"/>
      <c r="CY24" s="59"/>
      <c r="CZ24" s="59"/>
      <c r="DA24" s="59"/>
      <c r="DB24" s="59"/>
      <c r="DC24" s="59"/>
      <c r="DD24" s="59"/>
      <c r="DE24" s="59"/>
      <c r="DF24" s="59"/>
      <c r="DG24" s="59"/>
      <c r="DH24" s="59"/>
      <c r="DI24" s="59"/>
      <c r="DJ24" s="59"/>
      <c r="DK24" s="59"/>
      <c r="DL24" s="59"/>
      <c r="DM24" s="59"/>
      <c r="DN24" s="59"/>
      <c r="DO24" s="59"/>
    </row>
    <row r="25" spans="2:119" ht="16.5" thickBot="1" x14ac:dyDescent="0.3">
      <c r="B25" s="201"/>
      <c r="C25" s="197"/>
      <c r="D25" s="82">
        <v>2</v>
      </c>
      <c r="E25" s="92" t="str">
        <f t="shared" ref="E25:AI25" si="41">IF(INDEX($CK$4:$DO$123,ROW()-3,E$3)=0,"","СП")</f>
        <v/>
      </c>
      <c r="F25" s="92" t="str">
        <f t="shared" si="41"/>
        <v/>
      </c>
      <c r="G25" s="92" t="str">
        <f t="shared" si="41"/>
        <v>СП</v>
      </c>
      <c r="H25" s="92" t="str">
        <f t="shared" si="41"/>
        <v/>
      </c>
      <c r="I25" s="92" t="str">
        <f t="shared" si="41"/>
        <v/>
      </c>
      <c r="J25" s="92" t="str">
        <f t="shared" si="41"/>
        <v/>
      </c>
      <c r="K25" s="92" t="str">
        <f t="shared" si="41"/>
        <v/>
      </c>
      <c r="L25" s="92" t="str">
        <f t="shared" si="41"/>
        <v/>
      </c>
      <c r="M25" s="92" t="str">
        <f t="shared" si="41"/>
        <v/>
      </c>
      <c r="N25" s="92" t="str">
        <f t="shared" si="41"/>
        <v/>
      </c>
      <c r="O25" s="92" t="str">
        <f t="shared" si="41"/>
        <v/>
      </c>
      <c r="P25" s="92" t="str">
        <f t="shared" si="41"/>
        <v/>
      </c>
      <c r="Q25" s="92" t="str">
        <f t="shared" si="41"/>
        <v/>
      </c>
      <c r="R25" s="92" t="str">
        <f t="shared" si="41"/>
        <v/>
      </c>
      <c r="S25" s="92" t="str">
        <f t="shared" si="41"/>
        <v/>
      </c>
      <c r="T25" s="92" t="str">
        <f t="shared" si="41"/>
        <v/>
      </c>
      <c r="U25" s="92" t="str">
        <f t="shared" si="41"/>
        <v/>
      </c>
      <c r="V25" s="92" t="str">
        <f t="shared" si="41"/>
        <v/>
      </c>
      <c r="W25" s="92" t="str">
        <f t="shared" si="41"/>
        <v/>
      </c>
      <c r="X25" s="92" t="str">
        <f t="shared" si="41"/>
        <v/>
      </c>
      <c r="Y25" s="92" t="str">
        <f t="shared" si="41"/>
        <v/>
      </c>
      <c r="Z25" s="92" t="str">
        <f t="shared" si="41"/>
        <v/>
      </c>
      <c r="AA25" s="92" t="str">
        <f t="shared" si="41"/>
        <v/>
      </c>
      <c r="AB25" s="92" t="str">
        <f t="shared" si="41"/>
        <v/>
      </c>
      <c r="AC25" s="92" t="str">
        <f t="shared" si="41"/>
        <v/>
      </c>
      <c r="AD25" s="92" t="str">
        <f t="shared" si="41"/>
        <v/>
      </c>
      <c r="AE25" s="92" t="str">
        <f t="shared" si="41"/>
        <v/>
      </c>
      <c r="AF25" s="92" t="str">
        <f t="shared" si="41"/>
        <v/>
      </c>
      <c r="AG25" s="92" t="str">
        <f t="shared" si="41"/>
        <v/>
      </c>
      <c r="AH25" s="92" t="str">
        <f t="shared" si="41"/>
        <v/>
      </c>
      <c r="AI25" s="92" t="str">
        <f t="shared" si="41"/>
        <v/>
      </c>
      <c r="AJ25" s="206"/>
      <c r="AK25" s="209"/>
      <c r="AL25" s="209"/>
      <c r="AM25" s="209"/>
      <c r="AN25" s="211"/>
      <c r="AO25" s="211"/>
      <c r="AP25" s="211"/>
      <c r="AQ25" s="209"/>
      <c r="AR25" s="210"/>
      <c r="CK25" s="58">
        <f>IF(DAY(INDEX('Сводный годовой график'!$BA$4:$BL$14,$C24,MONTH($B$24)))=E$3,1,0)</f>
        <v>0</v>
      </c>
      <c r="CL25" s="58">
        <f>IF(DAY(INDEX('Сводный годовой график'!$BA$4:$BL$14,$C24,MONTH($B$24)))=F$3,1,0)</f>
        <v>0</v>
      </c>
      <c r="CM25" s="58">
        <f>IF(DAY(INDEX('Сводный годовой график'!$BA$4:$BL$14,$C24,MONTH($B$24)))=G$3,1,0)</f>
        <v>1</v>
      </c>
      <c r="CN25" s="58">
        <f>IF(DAY(INDEX('Сводный годовой график'!$BA$4:$BL$14,$C24,MONTH($B$24)))=H$3,1,0)</f>
        <v>0</v>
      </c>
      <c r="CO25" s="58">
        <f>IF(DAY(INDEX('Сводный годовой график'!$BA$4:$BL$14,$C24,MONTH($B$24)))=I$3,1,0)</f>
        <v>0</v>
      </c>
      <c r="CP25" s="58">
        <f>IF(DAY(INDEX('Сводный годовой график'!$BA$4:$BL$14,$C24,MONTH($B$24)))=J$3,1,0)</f>
        <v>0</v>
      </c>
      <c r="CQ25" s="58">
        <f>IF(DAY(INDEX('Сводный годовой график'!$BA$4:$BL$14,$C24,MONTH($B$24)))=K$3,1,0)</f>
        <v>0</v>
      </c>
      <c r="CR25" s="58">
        <f>IF(DAY(INDEX('Сводный годовой график'!$BA$4:$BL$14,$C24,MONTH($B$24)))=L$3,1,0)</f>
        <v>0</v>
      </c>
      <c r="CS25" s="58">
        <f>IF(DAY(INDEX('Сводный годовой график'!$BA$4:$BL$14,$C24,MONTH($B$24)))=M$3,1,0)</f>
        <v>0</v>
      </c>
      <c r="CT25" s="58">
        <f>IF(DAY(INDEX('Сводный годовой график'!$BA$4:$BL$14,$C24,MONTH($B$24)))=N$3,1,0)</f>
        <v>0</v>
      </c>
      <c r="CU25" s="58">
        <f>IF(DAY(INDEX('Сводный годовой график'!$BA$4:$BL$14,$C24,MONTH($B$24)))=O$3,1,0)</f>
        <v>0</v>
      </c>
      <c r="CV25" s="58">
        <f>IF(DAY(INDEX('Сводный годовой график'!$BA$4:$BL$14,$C24,MONTH($B$24)))=P$3,1,0)</f>
        <v>0</v>
      </c>
      <c r="CW25" s="58">
        <f>IF(DAY(INDEX('Сводный годовой график'!$BA$4:$BL$14,$C24,MONTH($B$24)))=Q$3,1,0)</f>
        <v>0</v>
      </c>
      <c r="CX25" s="58">
        <f>IF(DAY(INDEX('Сводный годовой график'!$BA$4:$BL$14,$C24,MONTH($B$24)))=R$3,1,0)</f>
        <v>0</v>
      </c>
      <c r="CY25" s="58">
        <f>IF(DAY(INDEX('Сводный годовой график'!$BA$4:$BL$14,$C24,MONTH($B$24)))=S$3,1,0)</f>
        <v>0</v>
      </c>
      <c r="CZ25" s="58">
        <f>IF(DAY(INDEX('Сводный годовой график'!$BA$4:$BL$14,$C24,MONTH($B$24)))=T$3,1,0)</f>
        <v>0</v>
      </c>
      <c r="DA25" s="58">
        <f>IF(DAY(INDEX('Сводный годовой график'!$BA$4:$BL$14,$C24,MONTH($B$24)))=U$3,1,0)</f>
        <v>0</v>
      </c>
      <c r="DB25" s="58">
        <f>IF(DAY(INDEX('Сводный годовой график'!$BA$4:$BL$14,$C24,MONTH($B$24)))=V$3,1,0)</f>
        <v>0</v>
      </c>
      <c r="DC25" s="58">
        <f>IF(DAY(INDEX('Сводный годовой график'!$BA$4:$BL$14,$C24,MONTH($B$24)))=W$3,1,0)</f>
        <v>0</v>
      </c>
      <c r="DD25" s="58">
        <f>IF(DAY(INDEX('Сводный годовой график'!$BA$4:$BL$14,$C24,MONTH($B$24)))=X$3,1,0)</f>
        <v>0</v>
      </c>
      <c r="DE25" s="58">
        <f>IF(DAY(INDEX('Сводный годовой график'!$BA$4:$BL$14,$C24,MONTH($B$24)))=Y$3,1,0)</f>
        <v>0</v>
      </c>
      <c r="DF25" s="58">
        <f>IF(DAY(INDEX('Сводный годовой график'!$BA$4:$BL$14,$C24,MONTH($B$24)))=Z$3,1,0)</f>
        <v>0</v>
      </c>
      <c r="DG25" s="58">
        <f>IF(DAY(INDEX('Сводный годовой график'!$BA$4:$BL$14,$C24,MONTH($B$24)))=AA$3,1,0)</f>
        <v>0</v>
      </c>
      <c r="DH25" s="58">
        <f>IF(DAY(INDEX('Сводный годовой график'!$BA$4:$BL$14,$C24,MONTH($B$24)))=AB$3,1,0)</f>
        <v>0</v>
      </c>
      <c r="DI25" s="58">
        <f>IF(DAY(INDEX('Сводный годовой график'!$BA$4:$BL$14,$C24,MONTH($B$24)))=AC$3,1,0)</f>
        <v>0</v>
      </c>
      <c r="DJ25" s="58">
        <f>IF(DAY(INDEX('Сводный годовой график'!$BA$4:$BL$14,$C24,MONTH($B$24)))=AD$3,1,0)</f>
        <v>0</v>
      </c>
      <c r="DK25" s="58">
        <f>IF(DAY(INDEX('Сводный годовой график'!$BA$4:$BL$14,$C24,MONTH($B$24)))=AE$3,1,0)</f>
        <v>0</v>
      </c>
      <c r="DL25" s="58">
        <f>IF(DAY(INDEX('Сводный годовой график'!$BA$4:$BL$14,$C24,MONTH($B$24)))=AF$3,1,0)</f>
        <v>0</v>
      </c>
      <c r="DM25" s="58">
        <f>IF(DAY(INDEX('Сводный годовой график'!$BA$4:$BL$14,$C24,MONTH($B$24)))=AG$3,1,0)</f>
        <v>0</v>
      </c>
      <c r="DN25" s="58">
        <f>IF(DAY(INDEX('Сводный годовой график'!$BA$4:$BL$14,$C24,MONTH($B$24)))=AH$3,1,0)</f>
        <v>0</v>
      </c>
      <c r="DO25" s="58">
        <f>IF(DAY(INDEX('Сводный годовой график'!$BA$4:$BL$14,$C24,MONTH($B$24)))=AI$3,1,0)</f>
        <v>0</v>
      </c>
    </row>
    <row r="26" spans="2:119" ht="16.5" thickBot="1" x14ac:dyDescent="0.3">
      <c r="B26" s="201"/>
      <c r="C26" s="196">
        <v>2</v>
      </c>
      <c r="D26" s="81">
        <v>3</v>
      </c>
      <c r="E26" s="92">
        <f ca="1">IF(AND(INDEX('Сводный годовой график'!$C$1:$AR$4,MATCH($C$26,'Сводный годовой график'!$B$1:$B$4),MATCH(DATE($AV$1,MONTH($B$24),E$3),'Сводный годовой график'!$C$7:$AR$7))&lt;&gt;12,INDIRECT(ADDRESS(ROW()+1,COLUMN()))="СП"),8,INDEX('Сводный годовой график'!$C$1:$AR$4,MATCH($C$26,'Сводный годовой график'!$B$1:$B$4),MATCH(DATE($AV$1,MONTH($B$24),E$3),'Сводный годовой график'!$C$7:$AR$7)))</f>
        <v>4</v>
      </c>
      <c r="F26" s="92">
        <f ca="1">IF(AND(INDEX('Сводный годовой график'!$C$1:$AR$4,MATCH($C$26,'Сводный годовой график'!$B$1:$B$4),MATCH(DATE($AV$1,MONTH($B$24),F$3),'Сводный годовой график'!$C$7:$AR$7))&lt;&gt;12,INDIRECT(ADDRESS(ROW()+1,COLUMN()))="СП"),8,INDEX('Сводный годовой график'!$C$1:$AR$4,MATCH($C$26,'Сводный годовой график'!$B$1:$B$4),MATCH(DATE($AV$1,MONTH($B$24),F$3),'Сводный годовой график'!$C$7:$AR$7)))</f>
        <v>8</v>
      </c>
      <c r="G26" s="92">
        <f ca="1">IF(AND(INDEX('Сводный годовой график'!$C$1:$AR$4,MATCH($C$26,'Сводный годовой график'!$B$1:$B$4),MATCH(DATE($AV$1,MONTH($B$24),G$3),'Сводный годовой график'!$C$7:$AR$7))&lt;&gt;12,INDIRECT(ADDRESS(ROW()+1,COLUMN()))="СП"),8,INDEX('Сводный годовой график'!$C$1:$AR$4,MATCH($C$26,'Сводный годовой график'!$B$1:$B$4),MATCH(DATE($AV$1,MONTH($B$24),G$3),'Сводный годовой график'!$C$7:$AR$7)))</f>
        <v>12</v>
      </c>
      <c r="H26" s="92">
        <f ca="1">IF(AND(INDEX('Сводный годовой график'!$C$1:$AR$4,MATCH($C$26,'Сводный годовой график'!$B$1:$B$4),MATCH(DATE($AV$1,MONTH($B$24),H$3),'Сводный годовой график'!$C$7:$AR$7))&lt;&gt;12,INDIRECT(ADDRESS(ROW()+1,COLUMN()))="СП"),8,INDEX('Сводный годовой график'!$C$1:$AR$4,MATCH($C$26,'Сводный годовой график'!$B$1:$B$4),MATCH(DATE($AV$1,MONTH($B$24),H$3),'Сводный годовой график'!$C$7:$AR$7)))</f>
        <v>8</v>
      </c>
      <c r="I26" s="92">
        <f ca="1">IF(AND(INDEX('Сводный годовой график'!$C$1:$AR$4,MATCH($C$26,'Сводный годовой график'!$B$1:$B$4),MATCH(DATE($AV$1,MONTH($B$24),I$3),'Сводный годовой график'!$C$7:$AR$7))&lt;&gt;12,INDIRECT(ADDRESS(ROW()+1,COLUMN()))="СП"),8,INDEX('Сводный годовой график'!$C$1:$AR$4,MATCH($C$26,'Сводный годовой график'!$B$1:$B$4),MATCH(DATE($AV$1,MONTH($B$24),I$3),'Сводный годовой график'!$C$7:$AR$7)))</f>
        <v>0</v>
      </c>
      <c r="J26" s="92">
        <f ca="1">IF(AND(INDEX('Сводный годовой график'!$C$1:$AR$4,MATCH($C$26,'Сводный годовой график'!$B$1:$B$4),MATCH(DATE($AV$1,MONTH($B$24),J$3),'Сводный годовой график'!$C$7:$AR$7))&lt;&gt;12,INDIRECT(ADDRESS(ROW()+1,COLUMN()))="СП"),8,INDEX('Сводный годовой график'!$C$1:$AR$4,MATCH($C$26,'Сводный годовой график'!$B$1:$B$4),MATCH(DATE($AV$1,MONTH($B$24),J$3),'Сводный годовой график'!$C$7:$AR$7)))</f>
        <v>4</v>
      </c>
      <c r="K26" s="92">
        <f ca="1">IF(AND(INDEX('Сводный годовой график'!$C$1:$AR$4,MATCH($C$26,'Сводный годовой график'!$B$1:$B$4),MATCH(DATE($AV$1,MONTH($B$24),K$3),'Сводный годовой график'!$C$7:$AR$7))&lt;&gt;12,INDIRECT(ADDRESS(ROW()+1,COLUMN()))="СП"),8,INDEX('Сводный годовой график'!$C$1:$AR$4,MATCH($C$26,'Сводный годовой график'!$B$1:$B$4),MATCH(DATE($AV$1,MONTH($B$24),K$3),'Сводный годовой график'!$C$7:$AR$7)))</f>
        <v>8</v>
      </c>
      <c r="L26" s="92">
        <f ca="1">IF(AND(INDEX('Сводный годовой график'!$C$1:$AR$4,MATCH($C$26,'Сводный годовой график'!$B$1:$B$4),MATCH(DATE($AV$1,MONTH($B$24),L$3),'Сводный годовой график'!$C$7:$AR$7))&lt;&gt;12,INDIRECT(ADDRESS(ROW()+1,COLUMN()))="СП"),8,INDEX('Сводный годовой график'!$C$1:$AR$4,MATCH($C$26,'Сводный годовой график'!$B$1:$B$4),MATCH(DATE($AV$1,MONTH($B$24),L$3),'Сводный годовой график'!$C$7:$AR$7)))</f>
        <v>12</v>
      </c>
      <c r="M26" s="92">
        <f ca="1">IF(AND(INDEX('Сводный годовой график'!$C$1:$AR$4,MATCH($C$26,'Сводный годовой график'!$B$1:$B$4),MATCH(DATE($AV$1,MONTH($B$24),M$3),'Сводный годовой график'!$C$7:$AR$7))&lt;&gt;12,INDIRECT(ADDRESS(ROW()+1,COLUMN()))="СП"),8,INDEX('Сводный годовой график'!$C$1:$AR$4,MATCH($C$26,'Сводный годовой график'!$B$1:$B$4),MATCH(DATE($AV$1,MONTH($B$24),M$3),'Сводный годовой график'!$C$7:$AR$7)))</f>
        <v>4</v>
      </c>
      <c r="N26" s="92">
        <f ca="1">IF(AND(INDEX('Сводный годовой график'!$C$1:$AR$4,MATCH($C$26,'Сводный годовой график'!$B$1:$B$4),MATCH(DATE($AV$1,MONTH($B$24),N$3),'Сводный годовой график'!$C$7:$AR$7))&lt;&gt;12,INDIRECT(ADDRESS(ROW()+1,COLUMN()))="СП"),8,INDEX('Сводный годовой график'!$C$1:$AR$4,MATCH($C$26,'Сводный годовой график'!$B$1:$B$4),MATCH(DATE($AV$1,MONTH($B$24),N$3),'Сводный годовой график'!$C$7:$AR$7)))</f>
        <v>8</v>
      </c>
      <c r="O26" s="92">
        <f ca="1">IF(AND(INDEX('Сводный годовой график'!$C$1:$AR$4,MATCH($C$26,'Сводный годовой график'!$B$1:$B$4),MATCH(DATE($AV$1,MONTH($B$24),O$3),'Сводный годовой график'!$C$7:$AR$7))&lt;&gt;12,INDIRECT(ADDRESS(ROW()+1,COLUMN()))="СП"),8,INDEX('Сводный годовой график'!$C$1:$AR$4,MATCH($C$26,'Сводный годовой график'!$B$1:$B$4),MATCH(DATE($AV$1,MONTH($B$24),O$3),'Сводный годовой график'!$C$7:$AR$7)))</f>
        <v>12</v>
      </c>
      <c r="P26" s="92">
        <f ca="1">IF(AND(INDEX('Сводный годовой график'!$C$1:$AR$4,MATCH($C$26,'Сводный годовой график'!$B$1:$B$4),MATCH(DATE($AV$1,MONTH($B$24),P$3),'Сводный годовой график'!$C$7:$AR$7))&lt;&gt;12,INDIRECT(ADDRESS(ROW()+1,COLUMN()))="СП"),8,INDEX('Сводный годовой график'!$C$1:$AR$4,MATCH($C$26,'Сводный годовой график'!$B$1:$B$4),MATCH(DATE($AV$1,MONTH($B$24),P$3),'Сводный годовой график'!$C$7:$AR$7)))</f>
        <v>0</v>
      </c>
      <c r="Q26" s="92">
        <f ca="1">IF(AND(INDEX('Сводный годовой график'!$C$1:$AR$4,MATCH($C$26,'Сводный годовой график'!$B$1:$B$4),MATCH(DATE($AV$1,MONTH($B$24),Q$3),'Сводный годовой график'!$C$7:$AR$7))&lt;&gt;12,INDIRECT(ADDRESS(ROW()+1,COLUMN()))="СП"),8,INDEX('Сводный годовой график'!$C$1:$AR$4,MATCH($C$26,'Сводный годовой график'!$B$1:$B$4),MATCH(DATE($AV$1,MONTH($B$24),Q$3),'Сводный годовой график'!$C$7:$AR$7)))</f>
        <v>0</v>
      </c>
      <c r="R26" s="92">
        <f ca="1">IF(AND(INDEX('Сводный годовой график'!$C$1:$AR$4,MATCH($C$26,'Сводный годовой график'!$B$1:$B$4),MATCH(DATE($AV$1,MONTH($B$24),R$3),'Сводный годовой график'!$C$7:$AR$7))&lt;&gt;12,INDIRECT(ADDRESS(ROW()+1,COLUMN()))="СП"),8,INDEX('Сводный годовой график'!$C$1:$AR$4,MATCH($C$26,'Сводный годовой график'!$B$1:$B$4),MATCH(DATE($AV$1,MONTH($B$24),R$3),'Сводный годовой график'!$C$7:$AR$7)))</f>
        <v>4</v>
      </c>
      <c r="S26" s="92">
        <f ca="1">IF(AND(INDEX('Сводный годовой график'!$C$1:$AR$4,MATCH($C$26,'Сводный годовой график'!$B$1:$B$4),MATCH(DATE($AV$1,MONTH($B$24),S$3),'Сводный годовой график'!$C$7:$AR$7))&lt;&gt;12,INDIRECT(ADDRESS(ROW()+1,COLUMN()))="СП"),8,INDEX('Сводный годовой график'!$C$1:$AR$4,MATCH($C$26,'Сводный годовой график'!$B$1:$B$4),MATCH(DATE($AV$1,MONTH($B$24),S$3),'Сводный годовой график'!$C$7:$AR$7)))</f>
        <v>8</v>
      </c>
      <c r="T26" s="92">
        <f ca="1">IF(AND(INDEX('Сводный годовой график'!$C$1:$AR$4,MATCH($C$26,'Сводный годовой график'!$B$1:$B$4),MATCH(DATE($AV$1,MONTH($B$24),T$3),'Сводный годовой график'!$C$7:$AR$7))&lt;&gt;12,INDIRECT(ADDRESS(ROW()+1,COLUMN()))="СП"),8,INDEX('Сводный годовой график'!$C$1:$AR$4,MATCH($C$26,'Сводный годовой график'!$B$1:$B$4),MATCH(DATE($AV$1,MONTH($B$24),T$3),'Сводный годовой график'!$C$7:$AR$7)))</f>
        <v>12</v>
      </c>
      <c r="U26" s="92">
        <f ca="1">IF(AND(INDEX('Сводный годовой график'!$C$1:$AR$4,MATCH($C$26,'Сводный годовой график'!$B$1:$B$4),MATCH(DATE($AV$1,MONTH($B$24),U$3),'Сводный годовой график'!$C$7:$AR$7))&lt;&gt;12,INDIRECT(ADDRESS(ROW()+1,COLUMN()))="СП"),8,INDEX('Сводный годовой график'!$C$1:$AR$4,MATCH($C$26,'Сводный годовой график'!$B$1:$B$4),MATCH(DATE($AV$1,MONTH($B$24),U$3),'Сводный годовой график'!$C$7:$AR$7)))</f>
        <v>4</v>
      </c>
      <c r="V26" s="92">
        <f ca="1">IF(AND(INDEX('Сводный годовой график'!$C$1:$AR$4,MATCH($C$26,'Сводный годовой график'!$B$1:$B$4),MATCH(DATE($AV$1,MONTH($B$24),V$3),'Сводный годовой график'!$C$7:$AR$7))&lt;&gt;12,INDIRECT(ADDRESS(ROW()+1,COLUMN()))="СП"),8,INDEX('Сводный годовой график'!$C$1:$AR$4,MATCH($C$26,'Сводный годовой график'!$B$1:$B$4),MATCH(DATE($AV$1,MONTH($B$24),V$3),'Сводный годовой график'!$C$7:$AR$7)))</f>
        <v>8</v>
      </c>
      <c r="W26" s="92">
        <f ca="1">IF(AND(INDEX('Сводный годовой график'!$C$1:$AR$4,MATCH($C$26,'Сводный годовой график'!$B$1:$B$4),MATCH(DATE($AV$1,MONTH($B$24),W$3),'Сводный годовой график'!$C$7:$AR$7))&lt;&gt;12,INDIRECT(ADDRESS(ROW()+1,COLUMN()))="СП"),8,INDEX('Сводный годовой график'!$C$1:$AR$4,MATCH($C$26,'Сводный годовой график'!$B$1:$B$4),MATCH(DATE($AV$1,MONTH($B$24),W$3),'Сводный годовой график'!$C$7:$AR$7)))</f>
        <v>12</v>
      </c>
      <c r="X26" s="92">
        <f ca="1">IF(AND(INDEX('Сводный годовой график'!$C$1:$AR$4,MATCH($C$26,'Сводный годовой график'!$B$1:$B$4),MATCH(DATE($AV$1,MONTH($B$24),X$3),'Сводный годовой график'!$C$7:$AR$7))&lt;&gt;12,INDIRECT(ADDRESS(ROW()+1,COLUMN()))="СП"),8,INDEX('Сводный годовой график'!$C$1:$AR$4,MATCH($C$26,'Сводный годовой график'!$B$1:$B$4),MATCH(DATE($AV$1,MONTH($B$24),X$3),'Сводный годовой график'!$C$7:$AR$7)))</f>
        <v>0</v>
      </c>
      <c r="Y26" s="92">
        <f ca="1">IF(AND(INDEX('Сводный годовой график'!$C$1:$AR$4,MATCH($C$26,'Сводный годовой график'!$B$1:$B$4),MATCH(DATE($AV$1,MONTH($B$24),Y$3),'Сводный годовой график'!$C$7:$AR$7))&lt;&gt;12,INDIRECT(ADDRESS(ROW()+1,COLUMN()))="СП"),8,INDEX('Сводный годовой график'!$C$1:$AR$4,MATCH($C$26,'Сводный годовой график'!$B$1:$B$4),MATCH(DATE($AV$1,MONTH($B$24),Y$3),'Сводный годовой график'!$C$7:$AR$7)))</f>
        <v>0</v>
      </c>
      <c r="Z26" s="92">
        <f ca="1">IF(AND(INDEX('Сводный годовой график'!$C$1:$AR$4,MATCH($C$26,'Сводный годовой график'!$B$1:$B$4),MATCH(DATE($AV$1,MONTH($B$24),Z$3),'Сводный годовой график'!$C$7:$AR$7))&lt;&gt;12,INDIRECT(ADDRESS(ROW()+1,COLUMN()))="СП"),8,INDEX('Сводный годовой график'!$C$1:$AR$4,MATCH($C$26,'Сводный годовой график'!$B$1:$B$4),MATCH(DATE($AV$1,MONTH($B$24),Z$3),'Сводный годовой график'!$C$7:$AR$7)))</f>
        <v>4</v>
      </c>
      <c r="AA26" s="92">
        <f ca="1">IF(AND(INDEX('Сводный годовой график'!$C$1:$AR$4,MATCH($C$26,'Сводный годовой график'!$B$1:$B$4),MATCH(DATE($AV$1,MONTH($B$24),AA$3),'Сводный годовой график'!$C$7:$AR$7))&lt;&gt;12,INDIRECT(ADDRESS(ROW()+1,COLUMN()))="СП"),8,INDEX('Сводный годовой график'!$C$1:$AR$4,MATCH($C$26,'Сводный годовой график'!$B$1:$B$4),MATCH(DATE($AV$1,MONTH($B$24),AA$3),'Сводный годовой график'!$C$7:$AR$7)))</f>
        <v>8</v>
      </c>
      <c r="AB26" s="92">
        <f ca="1">IF(AND(INDEX('Сводный годовой график'!$C$1:$AR$4,MATCH($C$26,'Сводный годовой график'!$B$1:$B$4),MATCH(DATE($AV$1,MONTH($B$24),AB$3),'Сводный годовой график'!$C$7:$AR$7))&lt;&gt;12,INDIRECT(ADDRESS(ROW()+1,COLUMN()))="СП"),8,INDEX('Сводный годовой график'!$C$1:$AR$4,MATCH($C$26,'Сводный годовой график'!$B$1:$B$4),MATCH(DATE($AV$1,MONTH($B$24),AB$3),'Сводный годовой график'!$C$7:$AR$7)))</f>
        <v>12</v>
      </c>
      <c r="AC26" s="92">
        <f ca="1">IF(AND(INDEX('Сводный годовой график'!$C$1:$AR$4,MATCH($C$26,'Сводный годовой график'!$B$1:$B$4),MATCH(DATE($AV$1,MONTH($B$24),AC$3),'Сводный годовой график'!$C$7:$AR$7))&lt;&gt;12,INDIRECT(ADDRESS(ROW()+1,COLUMN()))="СП"),8,INDEX('Сводный годовой график'!$C$1:$AR$4,MATCH($C$26,'Сводный годовой график'!$B$1:$B$4),MATCH(DATE($AV$1,MONTH($B$24),AC$3),'Сводный годовой график'!$C$7:$AR$7)))</f>
        <v>4</v>
      </c>
      <c r="AD26" s="92">
        <f ca="1">IF(AND(INDEX('Сводный годовой график'!$C$1:$AR$4,MATCH($C$26,'Сводный годовой график'!$B$1:$B$4),MATCH(DATE($AV$1,MONTH($B$24),AD$3),'Сводный годовой график'!$C$7:$AR$7))&lt;&gt;12,INDIRECT(ADDRESS(ROW()+1,COLUMN()))="СП"),8,INDEX('Сводный годовой график'!$C$1:$AR$4,MATCH($C$26,'Сводный годовой график'!$B$1:$B$4),MATCH(DATE($AV$1,MONTH($B$24),AD$3),'Сводный годовой график'!$C$7:$AR$7)))</f>
        <v>8</v>
      </c>
      <c r="AE26" s="92">
        <f ca="1">IF(AND(INDEX('Сводный годовой график'!$C$1:$AR$4,MATCH($C$26,'Сводный годовой график'!$B$1:$B$4),MATCH(DATE($AV$1,MONTH($B$24),AE$3),'Сводный годовой график'!$C$7:$AR$7))&lt;&gt;12,INDIRECT(ADDRESS(ROW()+1,COLUMN()))="СП"),8,INDEX('Сводный годовой график'!$C$1:$AR$4,MATCH($C$26,'Сводный годовой график'!$B$1:$B$4),MATCH(DATE($AV$1,MONTH($B$24),AE$3),'Сводный годовой график'!$C$7:$AR$7)))</f>
        <v>12</v>
      </c>
      <c r="AF26" s="92">
        <f ca="1">IF(AND(INDEX('Сводный годовой график'!$C$1:$AR$4,MATCH($C$26,'Сводный годовой график'!$B$1:$B$4),MATCH(DATE($AV$1,MONTH($B$24),AF$3),'Сводный годовой график'!$C$7:$AR$7))&lt;&gt;12,INDIRECT(ADDRESS(ROW()+1,COLUMN()))="СП"),8,INDEX('Сводный годовой график'!$C$1:$AR$4,MATCH($C$26,'Сводный годовой график'!$B$1:$B$4),MATCH(DATE($AV$1,MONTH($B$24),AF$3),'Сводный годовой график'!$C$7:$AR$7)))</f>
        <v>0</v>
      </c>
      <c r="AG26" s="92">
        <f ca="1">IF(AND(INDEX('Сводный годовой график'!$C$1:$AR$4,MATCH($C$26,'Сводный годовой график'!$B$1:$B$4),MATCH(DATE($AV$1,MONTH($B$24),AG$3),'Сводный годовой график'!$C$7:$AR$7))&lt;&gt;12,INDIRECT(ADDRESS(ROW()+1,COLUMN()))="СП"),8,INDEX('Сводный годовой график'!$C$1:$AR$4,MATCH($C$26,'Сводный годовой график'!$B$1:$B$4),MATCH(DATE($AV$1,MONTH($B$24),AG$3),'Сводный годовой график'!$C$7:$AR$7)))</f>
        <v>0</v>
      </c>
      <c r="AH26" s="92">
        <f ca="1">IF(AND(INDEX('Сводный годовой график'!$C$1:$AR$4,MATCH($C$26,'Сводный годовой график'!$B$1:$B$4),MATCH(DATE($AV$1,MONTH($B$24),AH$3),'Сводный годовой график'!$C$7:$AR$7))&lt;&gt;12,INDIRECT(ADDRESS(ROW()+1,COLUMN()))="СП"),8,INDEX('Сводный годовой график'!$C$1:$AR$4,MATCH($C$26,'Сводный годовой график'!$B$1:$B$4),MATCH(DATE($AV$1,MONTH($B$24),AH$3),'Сводный годовой график'!$C$7:$AR$7)))</f>
        <v>4</v>
      </c>
      <c r="AI26" s="92">
        <f ca="1">IF(AND(INDEX('Сводный годовой график'!$C$1:$AR$4,MATCH($C$26,'Сводный годовой график'!$B$1:$B$4),MATCH(DATE($AV$1,MONTH($B$24),AI$3),'Сводный годовой график'!$C$7:$AR$7))&lt;&gt;12,INDIRECT(ADDRESS(ROW()+1,COLUMN()))="СП"),8,INDEX('Сводный годовой график'!$C$1:$AR$4,MATCH($C$26,'Сводный годовой график'!$B$1:$B$4),MATCH(DATE($AV$1,MONTH($B$24),AI$3),'Сводный годовой график'!$C$7:$AR$7)))</f>
        <v>8</v>
      </c>
      <c r="AJ26" s="206"/>
      <c r="AK26" s="209">
        <f>$AJ$24-SUM(AY26:CC27)</f>
        <v>167</v>
      </c>
      <c r="AL26" s="209">
        <f t="shared" ref="AL26" ca="1" si="42">SUM(E26:AI27)</f>
        <v>188</v>
      </c>
      <c r="AM26" s="209">
        <f ca="1">SUM(L26)</f>
        <v>12</v>
      </c>
      <c r="AN26" s="211">
        <f t="shared" ref="AN26" ca="1" si="43">-AM26-AK26+AL26</f>
        <v>9</v>
      </c>
      <c r="AO26" s="211">
        <v>18</v>
      </c>
      <c r="AP26" s="211">
        <f ca="1">AN26+AP16-AO26</f>
        <v>-17</v>
      </c>
      <c r="AQ26" s="209">
        <v>0</v>
      </c>
      <c r="AR26" s="210">
        <v>1</v>
      </c>
      <c r="CK26" s="59"/>
      <c r="CL26" s="59"/>
      <c r="CM26" s="59"/>
      <c r="CN26" s="59"/>
      <c r="CO26" s="59"/>
      <c r="CP26" s="59"/>
      <c r="CQ26" s="59"/>
      <c r="CR26" s="59"/>
      <c r="CS26" s="59"/>
      <c r="CT26" s="59"/>
      <c r="CU26" s="59"/>
      <c r="CV26" s="59"/>
      <c r="CW26" s="59"/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59"/>
      <c r="DI26" s="59"/>
      <c r="DJ26" s="59"/>
      <c r="DK26" s="59"/>
      <c r="DL26" s="59"/>
      <c r="DM26" s="59"/>
      <c r="DN26" s="59"/>
      <c r="DO26" s="59"/>
    </row>
    <row r="27" spans="2:119" ht="16.5" thickBot="1" x14ac:dyDescent="0.3">
      <c r="B27" s="201"/>
      <c r="C27" s="197"/>
      <c r="D27" s="82">
        <v>4</v>
      </c>
      <c r="E27" s="92" t="str">
        <f t="shared" ref="E27:AI27" si="44">IF(INDEX($CK$4:$DO$123,ROW()-3,E$3)=0,"","СП")</f>
        <v/>
      </c>
      <c r="F27" s="92" t="str">
        <f t="shared" si="44"/>
        <v/>
      </c>
      <c r="G27" s="92" t="str">
        <f t="shared" si="44"/>
        <v/>
      </c>
      <c r="H27" s="92" t="str">
        <f t="shared" si="44"/>
        <v>СП</v>
      </c>
      <c r="I27" s="92" t="str">
        <f t="shared" si="44"/>
        <v/>
      </c>
      <c r="J27" s="92" t="str">
        <f t="shared" si="44"/>
        <v/>
      </c>
      <c r="K27" s="92" t="str">
        <f t="shared" si="44"/>
        <v/>
      </c>
      <c r="L27" s="92" t="str">
        <f t="shared" si="44"/>
        <v/>
      </c>
      <c r="M27" s="92" t="str">
        <f t="shared" si="44"/>
        <v/>
      </c>
      <c r="N27" s="92" t="str">
        <f t="shared" si="44"/>
        <v/>
      </c>
      <c r="O27" s="92" t="str">
        <f t="shared" si="44"/>
        <v/>
      </c>
      <c r="P27" s="92" t="str">
        <f t="shared" si="44"/>
        <v/>
      </c>
      <c r="Q27" s="92" t="str">
        <f t="shared" si="44"/>
        <v/>
      </c>
      <c r="R27" s="92" t="str">
        <f t="shared" si="44"/>
        <v/>
      </c>
      <c r="S27" s="92" t="str">
        <f t="shared" si="44"/>
        <v/>
      </c>
      <c r="T27" s="92" t="str">
        <f t="shared" si="44"/>
        <v/>
      </c>
      <c r="U27" s="92" t="str">
        <f t="shared" si="44"/>
        <v/>
      </c>
      <c r="V27" s="92" t="str">
        <f t="shared" si="44"/>
        <v/>
      </c>
      <c r="W27" s="92" t="str">
        <f t="shared" si="44"/>
        <v/>
      </c>
      <c r="X27" s="92" t="str">
        <f t="shared" si="44"/>
        <v/>
      </c>
      <c r="Y27" s="92" t="str">
        <f t="shared" si="44"/>
        <v/>
      </c>
      <c r="Z27" s="92" t="str">
        <f t="shared" si="44"/>
        <v/>
      </c>
      <c r="AA27" s="92" t="str">
        <f t="shared" si="44"/>
        <v/>
      </c>
      <c r="AB27" s="92" t="str">
        <f t="shared" si="44"/>
        <v/>
      </c>
      <c r="AC27" s="92" t="str">
        <f t="shared" si="44"/>
        <v/>
      </c>
      <c r="AD27" s="92" t="str">
        <f t="shared" si="44"/>
        <v/>
      </c>
      <c r="AE27" s="92" t="str">
        <f t="shared" si="44"/>
        <v/>
      </c>
      <c r="AF27" s="92" t="str">
        <f t="shared" si="44"/>
        <v/>
      </c>
      <c r="AG27" s="92" t="str">
        <f t="shared" si="44"/>
        <v/>
      </c>
      <c r="AH27" s="92" t="str">
        <f t="shared" si="44"/>
        <v/>
      </c>
      <c r="AI27" s="92" t="str">
        <f t="shared" si="44"/>
        <v/>
      </c>
      <c r="AJ27" s="206"/>
      <c r="AK27" s="209"/>
      <c r="AL27" s="209"/>
      <c r="AM27" s="209"/>
      <c r="AN27" s="211"/>
      <c r="AO27" s="211"/>
      <c r="AP27" s="211"/>
      <c r="AQ27" s="209"/>
      <c r="AR27" s="210"/>
      <c r="CK27" s="58">
        <f>IF(DAY(INDEX('Сводный годовой график'!$BA$4:$BL$14,$C26,MONTH($B$24)))=E$3,1,0)</f>
        <v>0</v>
      </c>
      <c r="CL27" s="58">
        <f>IF(DAY(INDEX('Сводный годовой график'!$BA$4:$BL$14,$C26,MONTH($B$24)))=F$3,1,0)</f>
        <v>0</v>
      </c>
      <c r="CM27" s="58">
        <f>IF(DAY(INDEX('Сводный годовой график'!$BA$4:$BL$14,$C26,MONTH($B$24)))=G$3,1,0)</f>
        <v>0</v>
      </c>
      <c r="CN27" s="58">
        <f>IF(DAY(INDEX('Сводный годовой график'!$BA$4:$BL$14,$C26,MONTH($B$24)))=H$3,1,0)</f>
        <v>1</v>
      </c>
      <c r="CO27" s="58">
        <f>IF(DAY(INDEX('Сводный годовой график'!$BA$4:$BL$14,$C26,MONTH($B$24)))=I$3,1,0)</f>
        <v>0</v>
      </c>
      <c r="CP27" s="58">
        <f>IF(DAY(INDEX('Сводный годовой график'!$BA$4:$BL$14,$C26,MONTH($B$24)))=J$3,1,0)</f>
        <v>0</v>
      </c>
      <c r="CQ27" s="58">
        <f>IF(DAY(INDEX('Сводный годовой график'!$BA$4:$BL$14,$C26,MONTH($B$24)))=K$3,1,0)</f>
        <v>0</v>
      </c>
      <c r="CR27" s="58">
        <f>IF(DAY(INDEX('Сводный годовой график'!$BA$4:$BL$14,$C26,MONTH($B$24)))=L$3,1,0)</f>
        <v>0</v>
      </c>
      <c r="CS27" s="58">
        <f>IF(DAY(INDEX('Сводный годовой график'!$BA$4:$BL$14,$C26,MONTH($B$24)))=M$3,1,0)</f>
        <v>0</v>
      </c>
      <c r="CT27" s="58">
        <f>IF(DAY(INDEX('Сводный годовой график'!$BA$4:$BL$14,$C26,MONTH($B$24)))=N$3,1,0)</f>
        <v>0</v>
      </c>
      <c r="CU27" s="58">
        <f>IF(DAY(INDEX('Сводный годовой график'!$BA$4:$BL$14,$C26,MONTH($B$24)))=O$3,1,0)</f>
        <v>0</v>
      </c>
      <c r="CV27" s="58">
        <f>IF(DAY(INDEX('Сводный годовой график'!$BA$4:$BL$14,$C26,MONTH($B$24)))=P$3,1,0)</f>
        <v>0</v>
      </c>
      <c r="CW27" s="58">
        <f>IF(DAY(INDEX('Сводный годовой график'!$BA$4:$BL$14,$C26,MONTH($B$24)))=Q$3,1,0)</f>
        <v>0</v>
      </c>
      <c r="CX27" s="58">
        <f>IF(DAY(INDEX('Сводный годовой график'!$BA$4:$BL$14,$C26,MONTH($B$24)))=R$3,1,0)</f>
        <v>0</v>
      </c>
      <c r="CY27" s="58">
        <f>IF(DAY(INDEX('Сводный годовой график'!$BA$4:$BL$14,$C26,MONTH($B$24)))=S$3,1,0)</f>
        <v>0</v>
      </c>
      <c r="CZ27" s="58">
        <f>IF(DAY(INDEX('Сводный годовой график'!$BA$4:$BL$14,$C26,MONTH($B$24)))=T$3,1,0)</f>
        <v>0</v>
      </c>
      <c r="DA27" s="58">
        <f>IF(DAY(INDEX('Сводный годовой график'!$BA$4:$BL$14,$C26,MONTH($B$24)))=U$3,1,0)</f>
        <v>0</v>
      </c>
      <c r="DB27" s="58">
        <f>IF(DAY(INDEX('Сводный годовой график'!$BA$4:$BL$14,$C26,MONTH($B$24)))=V$3,1,0)</f>
        <v>0</v>
      </c>
      <c r="DC27" s="58">
        <f>IF(DAY(INDEX('Сводный годовой график'!$BA$4:$BL$14,$C26,MONTH($B$24)))=W$3,1,0)</f>
        <v>0</v>
      </c>
      <c r="DD27" s="58">
        <f>IF(DAY(INDEX('Сводный годовой график'!$BA$4:$BL$14,$C26,MONTH($B$24)))=X$3,1,0)</f>
        <v>0</v>
      </c>
      <c r="DE27" s="58">
        <f>IF(DAY(INDEX('Сводный годовой график'!$BA$4:$BL$14,$C26,MONTH($B$24)))=Y$3,1,0)</f>
        <v>0</v>
      </c>
      <c r="DF27" s="58">
        <f>IF(DAY(INDEX('Сводный годовой график'!$BA$4:$BL$14,$C26,MONTH($B$24)))=Z$3,1,0)</f>
        <v>0</v>
      </c>
      <c r="DG27" s="58">
        <f>IF(DAY(INDEX('Сводный годовой график'!$BA$4:$BL$14,$C26,MONTH($B$24)))=AA$3,1,0)</f>
        <v>0</v>
      </c>
      <c r="DH27" s="58">
        <f>IF(DAY(INDEX('Сводный годовой график'!$BA$4:$BL$14,$C26,MONTH($B$24)))=AB$3,1,0)</f>
        <v>0</v>
      </c>
      <c r="DI27" s="58">
        <f>IF(DAY(INDEX('Сводный годовой график'!$BA$4:$BL$14,$C26,MONTH($B$24)))=AC$3,1,0)</f>
        <v>0</v>
      </c>
      <c r="DJ27" s="58">
        <f>IF(DAY(INDEX('Сводный годовой график'!$BA$4:$BL$14,$C26,MONTH($B$24)))=AD$3,1,0)</f>
        <v>0</v>
      </c>
      <c r="DK27" s="58">
        <f>IF(DAY(INDEX('Сводный годовой график'!$BA$4:$BL$14,$C26,MONTH($B$24)))=AE$3,1,0)</f>
        <v>0</v>
      </c>
      <c r="DL27" s="58">
        <f>IF(DAY(INDEX('Сводный годовой график'!$BA$4:$BL$14,$C26,MONTH($B$24)))=AF$3,1,0)</f>
        <v>0</v>
      </c>
      <c r="DM27" s="58">
        <f>IF(DAY(INDEX('Сводный годовой график'!$BA$4:$BL$14,$C26,MONTH($B$24)))=AG$3,1,0)</f>
        <v>0</v>
      </c>
      <c r="DN27" s="58">
        <f>IF(DAY(INDEX('Сводный годовой график'!$BA$4:$BL$14,$C26,MONTH($B$24)))=AH$3,1,0)</f>
        <v>0</v>
      </c>
      <c r="DO27" s="58">
        <f>IF(DAY(INDEX('Сводный годовой график'!$BA$4:$BL$14,$C26,MONTH($B$24)))=AI$3,1,0)</f>
        <v>0</v>
      </c>
    </row>
    <row r="28" spans="2:119" ht="16.5" thickBot="1" x14ac:dyDescent="0.3">
      <c r="B28" s="201"/>
      <c r="C28" s="196">
        <v>3</v>
      </c>
      <c r="D28" s="81">
        <v>5</v>
      </c>
      <c r="E28" s="92">
        <f ca="1">IF(AND(INDEX('Сводный годовой график'!$C$1:$AR$4,MATCH($C$28,'Сводный годовой график'!$B$1:$B$4),MATCH(DATE($AV$1,MONTH($B$24),E$3),'Сводный годовой график'!$C$7:$AR$7))&lt;&gt;12,INDIRECT(ADDRESS(ROW()+1,COLUMN()))="СП"),8,INDEX('Сводный годовой график'!$C$1:$AR$4,MATCH($C$28,'Сводный годовой график'!$B$1:$B$4),MATCH(DATE($AV$1,MONTH($B$24),E$3),'Сводный годовой график'!$C$7:$AR$7)))</f>
        <v>0</v>
      </c>
      <c r="F28" s="92">
        <f ca="1">IF(AND(INDEX('Сводный годовой график'!$C$1:$AR$4,MATCH($C$28,'Сводный годовой график'!$B$1:$B$4),MATCH(DATE($AV$1,MONTH($B$24),F$3),'Сводный годовой график'!$C$7:$AR$7))&lt;&gt;12,INDIRECT(ADDRESS(ROW()+1,COLUMN()))="СП"),8,INDEX('Сводный годовой график'!$C$1:$AR$4,MATCH($C$28,'Сводный годовой график'!$B$1:$B$4),MATCH(DATE($AV$1,MONTH($B$24),F$3),'Сводный годовой график'!$C$7:$AR$7)))</f>
        <v>4</v>
      </c>
      <c r="G28" s="92">
        <f ca="1">IF(AND(INDEX('Сводный годовой график'!$C$1:$AR$4,MATCH($C$28,'Сводный годовой график'!$B$1:$B$4),MATCH(DATE($AV$1,MONTH($B$24),G$3),'Сводный годовой график'!$C$7:$AR$7))&lt;&gt;12,INDIRECT(ADDRESS(ROW()+1,COLUMN()))="СП"),8,INDEX('Сводный годовой график'!$C$1:$AR$4,MATCH($C$28,'Сводный годовой график'!$B$1:$B$4),MATCH(DATE($AV$1,MONTH($B$24),G$3),'Сводный годовой график'!$C$7:$AR$7)))</f>
        <v>8</v>
      </c>
      <c r="H28" s="92">
        <f ca="1">IF(AND(INDEX('Сводный годовой график'!$C$1:$AR$4,MATCH($C$28,'Сводный годовой график'!$B$1:$B$4),MATCH(DATE($AV$1,MONTH($B$24),H$3),'Сводный годовой график'!$C$7:$AR$7))&lt;&gt;12,INDIRECT(ADDRESS(ROW()+1,COLUMN()))="СП"),8,INDEX('Сводный годовой график'!$C$1:$AR$4,MATCH($C$28,'Сводный годовой график'!$B$1:$B$4),MATCH(DATE($AV$1,MONTH($B$24),H$3),'Сводный годовой график'!$C$7:$AR$7)))</f>
        <v>12</v>
      </c>
      <c r="I28" s="92">
        <f ca="1">IF(AND(INDEX('Сводный годовой график'!$C$1:$AR$4,MATCH($C$28,'Сводный годовой график'!$B$1:$B$4),MATCH(DATE($AV$1,MONTH($B$24),I$3),'Сводный годовой график'!$C$7:$AR$7))&lt;&gt;12,INDIRECT(ADDRESS(ROW()+1,COLUMN()))="СП"),8,INDEX('Сводный годовой график'!$C$1:$AR$4,MATCH($C$28,'Сводный годовой график'!$B$1:$B$4),MATCH(DATE($AV$1,MONTH($B$24),I$3),'Сводный годовой график'!$C$7:$AR$7)))</f>
        <v>8</v>
      </c>
      <c r="J28" s="92">
        <f ca="1">IF(AND(INDEX('Сводный годовой график'!$C$1:$AR$4,MATCH($C$28,'Сводный годовой график'!$B$1:$B$4),MATCH(DATE($AV$1,MONTH($B$24),J$3),'Сводный годовой график'!$C$7:$AR$7))&lt;&gt;12,INDIRECT(ADDRESS(ROW()+1,COLUMN()))="СП"),8,INDEX('Сводный годовой график'!$C$1:$AR$4,MATCH($C$28,'Сводный годовой график'!$B$1:$B$4),MATCH(DATE($AV$1,MONTH($B$24),J$3),'Сводный годовой график'!$C$7:$AR$7)))</f>
        <v>8</v>
      </c>
      <c r="K28" s="92">
        <f ca="1">IF(AND(INDEX('Сводный годовой график'!$C$1:$AR$4,MATCH($C$28,'Сводный годовой график'!$B$1:$B$4),MATCH(DATE($AV$1,MONTH($B$24),K$3),'Сводный годовой график'!$C$7:$AR$7))&lt;&gt;12,INDIRECT(ADDRESS(ROW()+1,COLUMN()))="СП"),8,INDEX('Сводный годовой график'!$C$1:$AR$4,MATCH($C$28,'Сводный годовой график'!$B$1:$B$4),MATCH(DATE($AV$1,MONTH($B$24),K$3),'Сводный годовой график'!$C$7:$AR$7)))</f>
        <v>12</v>
      </c>
      <c r="L28" s="92">
        <f ca="1">IF(AND(INDEX('Сводный годовой график'!$C$1:$AR$4,MATCH($C$28,'Сводный годовой график'!$B$1:$B$4),MATCH(DATE($AV$1,MONTH($B$24),L$3),'Сводный годовой график'!$C$7:$AR$7))&lt;&gt;12,INDIRECT(ADDRESS(ROW()+1,COLUMN()))="СП"),8,INDEX('Сводный годовой график'!$C$1:$AR$4,MATCH($C$28,'Сводный годовой график'!$B$1:$B$4),MATCH(DATE($AV$1,MONTH($B$24),L$3),'Сводный годовой график'!$C$7:$AR$7)))</f>
        <v>0</v>
      </c>
      <c r="M28" s="92">
        <f ca="1">IF(AND(INDEX('Сводный годовой график'!$C$1:$AR$4,MATCH($C$28,'Сводный годовой график'!$B$1:$B$4),MATCH(DATE($AV$1,MONTH($B$24),M$3),'Сводный годовой график'!$C$7:$AR$7))&lt;&gt;12,INDIRECT(ADDRESS(ROW()+1,COLUMN()))="СП"),8,INDEX('Сводный годовой график'!$C$1:$AR$4,MATCH($C$28,'Сводный годовой график'!$B$1:$B$4),MATCH(DATE($AV$1,MONTH($B$24),M$3),'Сводный годовой график'!$C$7:$AR$7)))</f>
        <v>0</v>
      </c>
      <c r="N28" s="92">
        <f ca="1">IF(AND(INDEX('Сводный годовой график'!$C$1:$AR$4,MATCH($C$28,'Сводный годовой график'!$B$1:$B$4),MATCH(DATE($AV$1,MONTH($B$24),N$3),'Сводный годовой график'!$C$7:$AR$7))&lt;&gt;12,INDIRECT(ADDRESS(ROW()+1,COLUMN()))="СП"),8,INDEX('Сводный годовой график'!$C$1:$AR$4,MATCH($C$28,'Сводный годовой график'!$B$1:$B$4),MATCH(DATE($AV$1,MONTH($B$24),N$3),'Сводный годовой график'!$C$7:$AR$7)))</f>
        <v>4</v>
      </c>
      <c r="O28" s="92">
        <f ca="1">IF(AND(INDEX('Сводный годовой график'!$C$1:$AR$4,MATCH($C$28,'Сводный годовой график'!$B$1:$B$4),MATCH(DATE($AV$1,MONTH($B$24),O$3),'Сводный годовой график'!$C$7:$AR$7))&lt;&gt;12,INDIRECT(ADDRESS(ROW()+1,COLUMN()))="СП"),8,INDEX('Сводный годовой график'!$C$1:$AR$4,MATCH($C$28,'Сводный годовой график'!$B$1:$B$4),MATCH(DATE($AV$1,MONTH($B$24),O$3),'Сводный годовой график'!$C$7:$AR$7)))</f>
        <v>8</v>
      </c>
      <c r="P28" s="92">
        <f ca="1">IF(AND(INDEX('Сводный годовой график'!$C$1:$AR$4,MATCH($C$28,'Сводный годовой график'!$B$1:$B$4),MATCH(DATE($AV$1,MONTH($B$24),P$3),'Сводный годовой график'!$C$7:$AR$7))&lt;&gt;12,INDIRECT(ADDRESS(ROW()+1,COLUMN()))="СП"),8,INDEX('Сводный годовой график'!$C$1:$AR$4,MATCH($C$28,'Сводный годовой график'!$B$1:$B$4),MATCH(DATE($AV$1,MONTH($B$24),P$3),'Сводный годовой график'!$C$7:$AR$7)))</f>
        <v>12</v>
      </c>
      <c r="Q28" s="92">
        <f ca="1">IF(AND(INDEX('Сводный годовой график'!$C$1:$AR$4,MATCH($C$28,'Сводный годовой график'!$B$1:$B$4),MATCH(DATE($AV$1,MONTH($B$24),Q$3),'Сводный годовой график'!$C$7:$AR$7))&lt;&gt;12,INDIRECT(ADDRESS(ROW()+1,COLUMN()))="СП"),8,INDEX('Сводный годовой график'!$C$1:$AR$4,MATCH($C$28,'Сводный годовой график'!$B$1:$B$4),MATCH(DATE($AV$1,MONTH($B$24),Q$3),'Сводный годовой график'!$C$7:$AR$7)))</f>
        <v>4</v>
      </c>
      <c r="R28" s="92">
        <f ca="1">IF(AND(INDEX('Сводный годовой график'!$C$1:$AR$4,MATCH($C$28,'Сводный годовой график'!$B$1:$B$4),MATCH(DATE($AV$1,MONTH($B$24),R$3),'Сводный годовой график'!$C$7:$AR$7))&lt;&gt;12,INDIRECT(ADDRESS(ROW()+1,COLUMN()))="СП"),8,INDEX('Сводный годовой график'!$C$1:$AR$4,MATCH($C$28,'Сводный годовой график'!$B$1:$B$4),MATCH(DATE($AV$1,MONTH($B$24),R$3),'Сводный годовой график'!$C$7:$AR$7)))</f>
        <v>8</v>
      </c>
      <c r="S28" s="92">
        <f ca="1">IF(AND(INDEX('Сводный годовой график'!$C$1:$AR$4,MATCH($C$28,'Сводный годовой график'!$B$1:$B$4),MATCH(DATE($AV$1,MONTH($B$24),S$3),'Сводный годовой график'!$C$7:$AR$7))&lt;&gt;12,INDIRECT(ADDRESS(ROW()+1,COLUMN()))="СП"),8,INDEX('Сводный годовой график'!$C$1:$AR$4,MATCH($C$28,'Сводный годовой график'!$B$1:$B$4),MATCH(DATE($AV$1,MONTH($B$24),S$3),'Сводный годовой график'!$C$7:$AR$7)))</f>
        <v>12</v>
      </c>
      <c r="T28" s="92">
        <f ca="1">IF(AND(INDEX('Сводный годовой график'!$C$1:$AR$4,MATCH($C$28,'Сводный годовой график'!$B$1:$B$4),MATCH(DATE($AV$1,MONTH($B$24),T$3),'Сводный годовой график'!$C$7:$AR$7))&lt;&gt;12,INDIRECT(ADDRESS(ROW()+1,COLUMN()))="СП"),8,INDEX('Сводный годовой график'!$C$1:$AR$4,MATCH($C$28,'Сводный годовой график'!$B$1:$B$4),MATCH(DATE($AV$1,MONTH($B$24),T$3),'Сводный годовой график'!$C$7:$AR$7)))</f>
        <v>0</v>
      </c>
      <c r="U28" s="92">
        <f ca="1">IF(AND(INDEX('Сводный годовой график'!$C$1:$AR$4,MATCH($C$28,'Сводный годовой график'!$B$1:$B$4),MATCH(DATE($AV$1,MONTH($B$24),U$3),'Сводный годовой график'!$C$7:$AR$7))&lt;&gt;12,INDIRECT(ADDRESS(ROW()+1,COLUMN()))="СП"),8,INDEX('Сводный годовой график'!$C$1:$AR$4,MATCH($C$28,'Сводный годовой график'!$B$1:$B$4),MATCH(DATE($AV$1,MONTH($B$24),U$3),'Сводный годовой график'!$C$7:$AR$7)))</f>
        <v>0</v>
      </c>
      <c r="V28" s="92">
        <f ca="1">IF(AND(INDEX('Сводный годовой график'!$C$1:$AR$4,MATCH($C$28,'Сводный годовой график'!$B$1:$B$4),MATCH(DATE($AV$1,MONTH($B$24),V$3),'Сводный годовой график'!$C$7:$AR$7))&lt;&gt;12,INDIRECT(ADDRESS(ROW()+1,COLUMN()))="СП"),8,INDEX('Сводный годовой график'!$C$1:$AR$4,MATCH($C$28,'Сводный годовой график'!$B$1:$B$4),MATCH(DATE($AV$1,MONTH($B$24),V$3),'Сводный годовой график'!$C$7:$AR$7)))</f>
        <v>4</v>
      </c>
      <c r="W28" s="92">
        <f ca="1">IF(AND(INDEX('Сводный годовой график'!$C$1:$AR$4,MATCH($C$28,'Сводный годовой график'!$B$1:$B$4),MATCH(DATE($AV$1,MONTH($B$24),W$3),'Сводный годовой график'!$C$7:$AR$7))&lt;&gt;12,INDIRECT(ADDRESS(ROW()+1,COLUMN()))="СП"),8,INDEX('Сводный годовой график'!$C$1:$AR$4,MATCH($C$28,'Сводный годовой график'!$B$1:$B$4),MATCH(DATE($AV$1,MONTH($B$24),W$3),'Сводный годовой график'!$C$7:$AR$7)))</f>
        <v>8</v>
      </c>
      <c r="X28" s="92">
        <f ca="1">IF(AND(INDEX('Сводный годовой график'!$C$1:$AR$4,MATCH($C$28,'Сводный годовой график'!$B$1:$B$4),MATCH(DATE($AV$1,MONTH($B$24),X$3),'Сводный годовой график'!$C$7:$AR$7))&lt;&gt;12,INDIRECT(ADDRESS(ROW()+1,COLUMN()))="СП"),8,INDEX('Сводный годовой график'!$C$1:$AR$4,MATCH($C$28,'Сводный годовой график'!$B$1:$B$4),MATCH(DATE($AV$1,MONTH($B$24),X$3),'Сводный годовой график'!$C$7:$AR$7)))</f>
        <v>12</v>
      </c>
      <c r="Y28" s="92">
        <f ca="1">IF(AND(INDEX('Сводный годовой график'!$C$1:$AR$4,MATCH($C$28,'Сводный годовой график'!$B$1:$B$4),MATCH(DATE($AV$1,MONTH($B$24),Y$3),'Сводный годовой график'!$C$7:$AR$7))&lt;&gt;12,INDIRECT(ADDRESS(ROW()+1,COLUMN()))="СП"),8,INDEX('Сводный годовой график'!$C$1:$AR$4,MATCH($C$28,'Сводный годовой график'!$B$1:$B$4),MATCH(DATE($AV$1,MONTH($B$24),Y$3),'Сводный годовой график'!$C$7:$AR$7)))</f>
        <v>4</v>
      </c>
      <c r="Z28" s="92">
        <f ca="1">IF(AND(INDEX('Сводный годовой график'!$C$1:$AR$4,MATCH($C$28,'Сводный годовой график'!$B$1:$B$4),MATCH(DATE($AV$1,MONTH($B$24),Z$3),'Сводный годовой график'!$C$7:$AR$7))&lt;&gt;12,INDIRECT(ADDRESS(ROW()+1,COLUMN()))="СП"),8,INDEX('Сводный годовой график'!$C$1:$AR$4,MATCH($C$28,'Сводный годовой график'!$B$1:$B$4),MATCH(DATE($AV$1,MONTH($B$24),Z$3),'Сводный годовой график'!$C$7:$AR$7)))</f>
        <v>8</v>
      </c>
      <c r="AA28" s="92">
        <f ca="1">IF(AND(INDEX('Сводный годовой график'!$C$1:$AR$4,MATCH($C$28,'Сводный годовой график'!$B$1:$B$4),MATCH(DATE($AV$1,MONTH($B$24),AA$3),'Сводный годовой график'!$C$7:$AR$7))&lt;&gt;12,INDIRECT(ADDRESS(ROW()+1,COLUMN()))="СП"),8,INDEX('Сводный годовой график'!$C$1:$AR$4,MATCH($C$28,'Сводный годовой график'!$B$1:$B$4),MATCH(DATE($AV$1,MONTH($B$24),AA$3),'Сводный годовой график'!$C$7:$AR$7)))</f>
        <v>12</v>
      </c>
      <c r="AB28" s="92">
        <f ca="1">IF(AND(INDEX('Сводный годовой график'!$C$1:$AR$4,MATCH($C$28,'Сводный годовой график'!$B$1:$B$4),MATCH(DATE($AV$1,MONTH($B$24),AB$3),'Сводный годовой график'!$C$7:$AR$7))&lt;&gt;12,INDIRECT(ADDRESS(ROW()+1,COLUMN()))="СП"),8,INDEX('Сводный годовой график'!$C$1:$AR$4,MATCH($C$28,'Сводный годовой график'!$B$1:$B$4),MATCH(DATE($AV$1,MONTH($B$24),AB$3),'Сводный годовой график'!$C$7:$AR$7)))</f>
        <v>0</v>
      </c>
      <c r="AC28" s="92">
        <f ca="1">IF(AND(INDEX('Сводный годовой график'!$C$1:$AR$4,MATCH($C$28,'Сводный годовой график'!$B$1:$B$4),MATCH(DATE($AV$1,MONTH($B$24),AC$3),'Сводный годовой график'!$C$7:$AR$7))&lt;&gt;12,INDIRECT(ADDRESS(ROW()+1,COLUMN()))="СП"),8,INDEX('Сводный годовой график'!$C$1:$AR$4,MATCH($C$28,'Сводный годовой график'!$B$1:$B$4),MATCH(DATE($AV$1,MONTH($B$24),AC$3),'Сводный годовой график'!$C$7:$AR$7)))</f>
        <v>0</v>
      </c>
      <c r="AD28" s="92">
        <f ca="1">IF(AND(INDEX('Сводный годовой график'!$C$1:$AR$4,MATCH($C$28,'Сводный годовой график'!$B$1:$B$4),MATCH(DATE($AV$1,MONTH($B$24),AD$3),'Сводный годовой график'!$C$7:$AR$7))&lt;&gt;12,INDIRECT(ADDRESS(ROW()+1,COLUMN()))="СП"),8,INDEX('Сводный годовой график'!$C$1:$AR$4,MATCH($C$28,'Сводный годовой график'!$B$1:$B$4),MATCH(DATE($AV$1,MONTH($B$24),AD$3),'Сводный годовой график'!$C$7:$AR$7)))</f>
        <v>4</v>
      </c>
      <c r="AE28" s="92">
        <f ca="1">IF(AND(INDEX('Сводный годовой график'!$C$1:$AR$4,MATCH($C$28,'Сводный годовой график'!$B$1:$B$4),MATCH(DATE($AV$1,MONTH($B$24),AE$3),'Сводный годовой график'!$C$7:$AR$7))&lt;&gt;12,INDIRECT(ADDRESS(ROW()+1,COLUMN()))="СП"),8,INDEX('Сводный годовой график'!$C$1:$AR$4,MATCH($C$28,'Сводный годовой график'!$B$1:$B$4),MATCH(DATE($AV$1,MONTH($B$24),AE$3),'Сводный годовой график'!$C$7:$AR$7)))</f>
        <v>8</v>
      </c>
      <c r="AF28" s="92">
        <f ca="1">IF(AND(INDEX('Сводный годовой график'!$C$1:$AR$4,MATCH($C$28,'Сводный годовой график'!$B$1:$B$4),MATCH(DATE($AV$1,MONTH($B$24),AF$3),'Сводный годовой график'!$C$7:$AR$7))&lt;&gt;12,INDIRECT(ADDRESS(ROW()+1,COLUMN()))="СП"),8,INDEX('Сводный годовой график'!$C$1:$AR$4,MATCH($C$28,'Сводный годовой график'!$B$1:$B$4),MATCH(DATE($AV$1,MONTH($B$24),AF$3),'Сводный годовой график'!$C$7:$AR$7)))</f>
        <v>12</v>
      </c>
      <c r="AG28" s="92">
        <f ca="1">IF(AND(INDEX('Сводный годовой график'!$C$1:$AR$4,MATCH($C$28,'Сводный годовой график'!$B$1:$B$4),MATCH(DATE($AV$1,MONTH($B$24),AG$3),'Сводный годовой график'!$C$7:$AR$7))&lt;&gt;12,INDIRECT(ADDRESS(ROW()+1,COLUMN()))="СП"),8,INDEX('Сводный годовой график'!$C$1:$AR$4,MATCH($C$28,'Сводный годовой график'!$B$1:$B$4),MATCH(DATE($AV$1,MONTH($B$24),AG$3),'Сводный годовой график'!$C$7:$AR$7)))</f>
        <v>4</v>
      </c>
      <c r="AH28" s="92">
        <f ca="1">IF(AND(INDEX('Сводный годовой график'!$C$1:$AR$4,MATCH($C$28,'Сводный годовой график'!$B$1:$B$4),MATCH(DATE($AV$1,MONTH($B$24),AH$3),'Сводный годовой график'!$C$7:$AR$7))&lt;&gt;12,INDIRECT(ADDRESS(ROW()+1,COLUMN()))="СП"),8,INDEX('Сводный годовой график'!$C$1:$AR$4,MATCH($C$28,'Сводный годовой график'!$B$1:$B$4),MATCH(DATE($AV$1,MONTH($B$24),AH$3),'Сводный годовой график'!$C$7:$AR$7)))</f>
        <v>8</v>
      </c>
      <c r="AI28" s="92">
        <f ca="1">IF(AND(INDEX('Сводный годовой график'!$C$1:$AR$4,MATCH($C$28,'Сводный годовой график'!$B$1:$B$4),MATCH(DATE($AV$1,MONTH($B$24),AI$3),'Сводный годовой график'!$C$7:$AR$7))&lt;&gt;12,INDIRECT(ADDRESS(ROW()+1,COLUMN()))="СП"),8,INDEX('Сводный годовой график'!$C$1:$AR$4,MATCH($C$28,'Сводный годовой график'!$B$1:$B$4),MATCH(DATE($AV$1,MONTH($B$24),AI$3),'Сводный годовой график'!$C$7:$AR$7)))</f>
        <v>12</v>
      </c>
      <c r="AJ28" s="206"/>
      <c r="AK28" s="209">
        <f>$AJ$24-SUM(AY28:CC29)</f>
        <v>167</v>
      </c>
      <c r="AL28" s="209">
        <f t="shared" ref="AL28" ca="1" si="45">SUM(E28:AI29)</f>
        <v>196</v>
      </c>
      <c r="AM28" s="209">
        <f ca="1">SUM(L28)</f>
        <v>0</v>
      </c>
      <c r="AN28" s="211">
        <f t="shared" ref="AN28" ca="1" si="46">-AM28-AK28+AL28</f>
        <v>29</v>
      </c>
      <c r="AO28" s="211">
        <v>0</v>
      </c>
      <c r="AP28" s="211">
        <f ca="1">AN28+AP18-AO28</f>
        <v>17</v>
      </c>
      <c r="AQ28" s="209">
        <v>0</v>
      </c>
      <c r="AR28" s="210">
        <v>1</v>
      </c>
      <c r="CK28" s="59"/>
      <c r="CL28" s="59"/>
      <c r="CM28" s="59"/>
      <c r="CN28" s="59"/>
      <c r="CO28" s="59"/>
      <c r="CP28" s="59"/>
      <c r="CQ28" s="59"/>
      <c r="CR28" s="59"/>
      <c r="CS28" s="59"/>
      <c r="CT28" s="59"/>
      <c r="CU28" s="59"/>
      <c r="CV28" s="59"/>
      <c r="CW28" s="59"/>
      <c r="CX28" s="59"/>
      <c r="CY28" s="59"/>
      <c r="CZ28" s="59"/>
      <c r="DA28" s="59"/>
      <c r="DB28" s="59"/>
      <c r="DC28" s="59"/>
      <c r="DD28" s="59"/>
      <c r="DE28" s="59"/>
      <c r="DF28" s="59"/>
      <c r="DG28" s="59"/>
      <c r="DH28" s="59"/>
      <c r="DI28" s="59"/>
      <c r="DJ28" s="59"/>
      <c r="DK28" s="59"/>
      <c r="DL28" s="59"/>
      <c r="DM28" s="59"/>
      <c r="DN28" s="59"/>
      <c r="DO28" s="59"/>
    </row>
    <row r="29" spans="2:119" ht="16.5" thickBot="1" x14ac:dyDescent="0.3">
      <c r="B29" s="201"/>
      <c r="C29" s="197"/>
      <c r="D29" s="82">
        <v>6</v>
      </c>
      <c r="E29" s="92" t="str">
        <f t="shared" ref="E29:AI29" si="47">IF(INDEX($CK$4:$DO$123,ROW()-3,E$3)=0,"","СП")</f>
        <v/>
      </c>
      <c r="F29" s="92" t="str">
        <f t="shared" si="47"/>
        <v/>
      </c>
      <c r="G29" s="92" t="str">
        <f t="shared" si="47"/>
        <v/>
      </c>
      <c r="H29" s="92" t="str">
        <f t="shared" si="47"/>
        <v/>
      </c>
      <c r="I29" s="92" t="str">
        <f t="shared" si="47"/>
        <v>СП</v>
      </c>
      <c r="J29" s="92" t="str">
        <f t="shared" si="47"/>
        <v/>
      </c>
      <c r="K29" s="92" t="str">
        <f t="shared" si="47"/>
        <v/>
      </c>
      <c r="L29" s="92" t="str">
        <f t="shared" si="47"/>
        <v/>
      </c>
      <c r="M29" s="92" t="str">
        <f t="shared" si="47"/>
        <v/>
      </c>
      <c r="N29" s="92" t="str">
        <f t="shared" si="47"/>
        <v/>
      </c>
      <c r="O29" s="92" t="str">
        <f t="shared" si="47"/>
        <v/>
      </c>
      <c r="P29" s="92" t="str">
        <f t="shared" si="47"/>
        <v/>
      </c>
      <c r="Q29" s="92" t="str">
        <f t="shared" si="47"/>
        <v/>
      </c>
      <c r="R29" s="92" t="str">
        <f t="shared" si="47"/>
        <v/>
      </c>
      <c r="S29" s="92" t="str">
        <f t="shared" si="47"/>
        <v/>
      </c>
      <c r="T29" s="92" t="str">
        <f t="shared" si="47"/>
        <v/>
      </c>
      <c r="U29" s="92" t="str">
        <f t="shared" si="47"/>
        <v/>
      </c>
      <c r="V29" s="92" t="str">
        <f t="shared" si="47"/>
        <v/>
      </c>
      <c r="W29" s="92" t="str">
        <f t="shared" si="47"/>
        <v/>
      </c>
      <c r="X29" s="92" t="str">
        <f t="shared" si="47"/>
        <v/>
      </c>
      <c r="Y29" s="92" t="str">
        <f t="shared" si="47"/>
        <v/>
      </c>
      <c r="Z29" s="92" t="str">
        <f t="shared" si="47"/>
        <v/>
      </c>
      <c r="AA29" s="92" t="str">
        <f t="shared" si="47"/>
        <v/>
      </c>
      <c r="AB29" s="92" t="str">
        <f t="shared" si="47"/>
        <v/>
      </c>
      <c r="AC29" s="92" t="str">
        <f t="shared" si="47"/>
        <v/>
      </c>
      <c r="AD29" s="92" t="str">
        <f t="shared" si="47"/>
        <v/>
      </c>
      <c r="AE29" s="92" t="str">
        <f t="shared" si="47"/>
        <v/>
      </c>
      <c r="AF29" s="92" t="str">
        <f t="shared" si="47"/>
        <v/>
      </c>
      <c r="AG29" s="92" t="str">
        <f t="shared" si="47"/>
        <v/>
      </c>
      <c r="AH29" s="92" t="str">
        <f t="shared" si="47"/>
        <v/>
      </c>
      <c r="AI29" s="92" t="str">
        <f t="shared" si="47"/>
        <v/>
      </c>
      <c r="AJ29" s="206"/>
      <c r="AK29" s="209"/>
      <c r="AL29" s="209"/>
      <c r="AM29" s="209"/>
      <c r="AN29" s="211"/>
      <c r="AO29" s="211"/>
      <c r="AP29" s="211"/>
      <c r="AQ29" s="209"/>
      <c r="AR29" s="210"/>
      <c r="CK29" s="58">
        <f>IF(DAY(INDEX('Сводный годовой график'!$BA$4:$BL$14,$C28,MONTH($B$24)))=E$3,1,0)</f>
        <v>0</v>
      </c>
      <c r="CL29" s="58">
        <f>IF(DAY(INDEX('Сводный годовой график'!$BA$4:$BL$14,$C28,MONTH($B$24)))=F$3,1,0)</f>
        <v>0</v>
      </c>
      <c r="CM29" s="58">
        <f>IF(DAY(INDEX('Сводный годовой график'!$BA$4:$BL$14,$C28,MONTH($B$24)))=G$3,1,0)</f>
        <v>0</v>
      </c>
      <c r="CN29" s="58">
        <f>IF(DAY(INDEX('Сводный годовой график'!$BA$4:$BL$14,$C28,MONTH($B$24)))=H$3,1,0)</f>
        <v>0</v>
      </c>
      <c r="CO29" s="58">
        <f>IF(DAY(INDEX('Сводный годовой график'!$BA$4:$BL$14,$C28,MONTH($B$24)))=I$3,1,0)</f>
        <v>1</v>
      </c>
      <c r="CP29" s="58">
        <f>IF(DAY(INDEX('Сводный годовой график'!$BA$4:$BL$14,$C28,MONTH($B$24)))=J$3,1,0)</f>
        <v>0</v>
      </c>
      <c r="CQ29" s="58">
        <f>IF(DAY(INDEX('Сводный годовой график'!$BA$4:$BL$14,$C28,MONTH($B$24)))=K$3,1,0)</f>
        <v>0</v>
      </c>
      <c r="CR29" s="58">
        <f>IF(DAY(INDEX('Сводный годовой график'!$BA$4:$BL$14,$C28,MONTH($B$24)))=L$3,1,0)</f>
        <v>0</v>
      </c>
      <c r="CS29" s="58">
        <f>IF(DAY(INDEX('Сводный годовой график'!$BA$4:$BL$14,$C28,MONTH($B$24)))=M$3,1,0)</f>
        <v>0</v>
      </c>
      <c r="CT29" s="58">
        <f>IF(DAY(INDEX('Сводный годовой график'!$BA$4:$BL$14,$C28,MONTH($B$24)))=N$3,1,0)</f>
        <v>0</v>
      </c>
      <c r="CU29" s="58">
        <f>IF(DAY(INDEX('Сводный годовой график'!$BA$4:$BL$14,$C28,MONTH($B$24)))=O$3,1,0)</f>
        <v>0</v>
      </c>
      <c r="CV29" s="58">
        <f>IF(DAY(INDEX('Сводный годовой график'!$BA$4:$BL$14,$C28,MONTH($B$24)))=P$3,1,0)</f>
        <v>0</v>
      </c>
      <c r="CW29" s="58">
        <f>IF(DAY(INDEX('Сводный годовой график'!$BA$4:$BL$14,$C28,MONTH($B$24)))=Q$3,1,0)</f>
        <v>0</v>
      </c>
      <c r="CX29" s="58">
        <f>IF(DAY(INDEX('Сводный годовой график'!$BA$4:$BL$14,$C28,MONTH($B$24)))=R$3,1,0)</f>
        <v>0</v>
      </c>
      <c r="CY29" s="58">
        <f>IF(DAY(INDEX('Сводный годовой график'!$BA$4:$BL$14,$C28,MONTH($B$24)))=S$3,1,0)</f>
        <v>0</v>
      </c>
      <c r="CZ29" s="58">
        <f>IF(DAY(INDEX('Сводный годовой график'!$BA$4:$BL$14,$C28,MONTH($B$24)))=T$3,1,0)</f>
        <v>0</v>
      </c>
      <c r="DA29" s="58">
        <f>IF(DAY(INDEX('Сводный годовой график'!$BA$4:$BL$14,$C28,MONTH($B$24)))=U$3,1,0)</f>
        <v>0</v>
      </c>
      <c r="DB29" s="58">
        <f>IF(DAY(INDEX('Сводный годовой график'!$BA$4:$BL$14,$C28,MONTH($B$24)))=V$3,1,0)</f>
        <v>0</v>
      </c>
      <c r="DC29" s="58">
        <f>IF(DAY(INDEX('Сводный годовой график'!$BA$4:$BL$14,$C28,MONTH($B$24)))=W$3,1,0)</f>
        <v>0</v>
      </c>
      <c r="DD29" s="58">
        <f>IF(DAY(INDEX('Сводный годовой график'!$BA$4:$BL$14,$C28,MONTH($B$24)))=X$3,1,0)</f>
        <v>0</v>
      </c>
      <c r="DE29" s="58">
        <f>IF(DAY(INDEX('Сводный годовой график'!$BA$4:$BL$14,$C28,MONTH($B$24)))=Y$3,1,0)</f>
        <v>0</v>
      </c>
      <c r="DF29" s="58">
        <f>IF(DAY(INDEX('Сводный годовой график'!$BA$4:$BL$14,$C28,MONTH($B$24)))=Z$3,1,0)</f>
        <v>0</v>
      </c>
      <c r="DG29" s="58">
        <f>IF(DAY(INDEX('Сводный годовой график'!$BA$4:$BL$14,$C28,MONTH($B$24)))=AA$3,1,0)</f>
        <v>0</v>
      </c>
      <c r="DH29" s="58">
        <f>IF(DAY(INDEX('Сводный годовой график'!$BA$4:$BL$14,$C28,MONTH($B$24)))=AB$3,1,0)</f>
        <v>0</v>
      </c>
      <c r="DI29" s="58">
        <f>IF(DAY(INDEX('Сводный годовой график'!$BA$4:$BL$14,$C28,MONTH($B$24)))=AC$3,1,0)</f>
        <v>0</v>
      </c>
      <c r="DJ29" s="58">
        <f>IF(DAY(INDEX('Сводный годовой график'!$BA$4:$BL$14,$C28,MONTH($B$24)))=AD$3,1,0)</f>
        <v>0</v>
      </c>
      <c r="DK29" s="58">
        <f>IF(DAY(INDEX('Сводный годовой график'!$BA$4:$BL$14,$C28,MONTH($B$24)))=AE$3,1,0)</f>
        <v>0</v>
      </c>
      <c r="DL29" s="58">
        <f>IF(DAY(INDEX('Сводный годовой график'!$BA$4:$BL$14,$C28,MONTH($B$24)))=AF$3,1,0)</f>
        <v>0</v>
      </c>
      <c r="DM29" s="58">
        <f>IF(DAY(INDEX('Сводный годовой график'!$BA$4:$BL$14,$C28,MONTH($B$24)))=AG$3,1,0)</f>
        <v>0</v>
      </c>
      <c r="DN29" s="58">
        <f>IF(DAY(INDEX('Сводный годовой график'!$BA$4:$BL$14,$C28,MONTH($B$24)))=AH$3,1,0)</f>
        <v>0</v>
      </c>
      <c r="DO29" s="58">
        <f>IF(DAY(INDEX('Сводный годовой график'!$BA$4:$BL$14,$C28,MONTH($B$24)))=AI$3,1,0)</f>
        <v>0</v>
      </c>
    </row>
    <row r="30" spans="2:119" ht="16.5" thickBot="1" x14ac:dyDescent="0.3">
      <c r="B30" s="201"/>
      <c r="C30" s="196">
        <v>4</v>
      </c>
      <c r="D30" s="81">
        <v>7</v>
      </c>
      <c r="E30" s="92">
        <f ca="1">IF(AND(INDEX('Сводный годовой график'!$C$1:$AR$4,MATCH($C$30,'Сводный годовой график'!$B$1:$B$4),MATCH(DATE($AV$1,MONTH($B$24),E$3),'Сводный годовой график'!$C$7:$AR$7))&lt;&gt;12,INDIRECT(ADDRESS(ROW()+1,COLUMN()))="СП"),8,INDEX('Сводный годовой график'!$C$1:$AR$4,MATCH($C$30,'Сводный годовой график'!$B$1:$B$4),MATCH(DATE($AV$1,MONTH($B$24),E$3),'Сводный годовой график'!$C$7:$AR$7)))</f>
        <v>12</v>
      </c>
      <c r="F30" s="92">
        <f ca="1">IF(AND(INDEX('Сводный годовой график'!$C$1:$AR$4,MATCH($C$30,'Сводный годовой график'!$B$1:$B$4),MATCH(DATE($AV$1,MONTH($B$24),F$3),'Сводный годовой график'!$C$7:$AR$7))&lt;&gt;12,INDIRECT(ADDRESS(ROW()+1,COLUMN()))="СП"),8,INDEX('Сводный годовой график'!$C$1:$AR$4,MATCH($C$30,'Сводный годовой график'!$B$1:$B$4),MATCH(DATE($AV$1,MONTH($B$24),F$3),'Сводный годовой график'!$C$7:$AR$7)))</f>
        <v>0</v>
      </c>
      <c r="G30" s="92">
        <f ca="1">IF(AND(INDEX('Сводный годовой график'!$C$1:$AR$4,MATCH($C$30,'Сводный годовой график'!$B$1:$B$4),MATCH(DATE($AV$1,MONTH($B$24),G$3),'Сводный годовой график'!$C$7:$AR$7))&lt;&gt;12,INDIRECT(ADDRESS(ROW()+1,COLUMN()))="СП"),8,INDEX('Сводный годовой график'!$C$1:$AR$4,MATCH($C$30,'Сводный годовой график'!$B$1:$B$4),MATCH(DATE($AV$1,MONTH($B$24),G$3),'Сводный годовой график'!$C$7:$AR$7)))</f>
        <v>0</v>
      </c>
      <c r="H30" s="92">
        <f ca="1">IF(AND(INDEX('Сводный годовой график'!$C$1:$AR$4,MATCH($C$30,'Сводный годовой график'!$B$1:$B$4),MATCH(DATE($AV$1,MONTH($B$24),H$3),'Сводный годовой график'!$C$7:$AR$7))&lt;&gt;12,INDIRECT(ADDRESS(ROW()+1,COLUMN()))="СП"),8,INDEX('Сводный годовой график'!$C$1:$AR$4,MATCH($C$30,'Сводный годовой график'!$B$1:$B$4),MATCH(DATE($AV$1,MONTH($B$24),H$3),'Сводный годовой график'!$C$7:$AR$7)))</f>
        <v>4</v>
      </c>
      <c r="I30" s="92">
        <f ca="1">IF(AND(INDEX('Сводный годовой график'!$C$1:$AR$4,MATCH($C$30,'Сводный годовой график'!$B$1:$B$4),MATCH(DATE($AV$1,MONTH($B$24),I$3),'Сводный годовой график'!$C$7:$AR$7))&lt;&gt;12,INDIRECT(ADDRESS(ROW()+1,COLUMN()))="СП"),8,INDEX('Сводный годовой график'!$C$1:$AR$4,MATCH($C$30,'Сводный годовой график'!$B$1:$B$4),MATCH(DATE($AV$1,MONTH($B$24),I$3),'Сводный годовой график'!$C$7:$AR$7)))</f>
        <v>8</v>
      </c>
      <c r="J30" s="92">
        <f ca="1">IF(AND(INDEX('Сводный годовой график'!$C$1:$AR$4,MATCH($C$30,'Сводный годовой график'!$B$1:$B$4),MATCH(DATE($AV$1,MONTH($B$24),J$3),'Сводный годовой график'!$C$7:$AR$7))&lt;&gt;12,INDIRECT(ADDRESS(ROW()+1,COLUMN()))="СП"),8,INDEX('Сводный годовой график'!$C$1:$AR$4,MATCH($C$30,'Сводный годовой график'!$B$1:$B$4),MATCH(DATE($AV$1,MONTH($B$24),J$3),'Сводный годовой график'!$C$7:$AR$7)))</f>
        <v>12</v>
      </c>
      <c r="K30" s="92">
        <f ca="1">IF(AND(INDEX('Сводный годовой график'!$C$1:$AR$4,MATCH($C$30,'Сводный годовой график'!$B$1:$B$4),MATCH(DATE($AV$1,MONTH($B$24),K$3),'Сводный годовой график'!$C$7:$AR$7))&lt;&gt;12,INDIRECT(ADDRESS(ROW()+1,COLUMN()))="СП"),8,INDEX('Сводный годовой график'!$C$1:$AR$4,MATCH($C$30,'Сводный годовой график'!$B$1:$B$4),MATCH(DATE($AV$1,MONTH($B$24),K$3),'Сводный годовой график'!$C$7:$AR$7)))</f>
        <v>4</v>
      </c>
      <c r="L30" s="92">
        <f ca="1">IF(AND(INDEX('Сводный годовой график'!$C$1:$AR$4,MATCH($C$30,'Сводный годовой график'!$B$1:$B$4),MATCH(DATE($AV$1,MONTH($B$24),L$3),'Сводный годовой график'!$C$7:$AR$7))&lt;&gt;12,INDIRECT(ADDRESS(ROW()+1,COLUMN()))="СП"),8,INDEX('Сводный годовой график'!$C$1:$AR$4,MATCH($C$30,'Сводный годовой график'!$B$1:$B$4),MATCH(DATE($AV$1,MONTH($B$24),L$3),'Сводный годовой график'!$C$7:$AR$7)))</f>
        <v>8</v>
      </c>
      <c r="M30" s="92">
        <f ca="1">IF(AND(INDEX('Сводный годовой график'!$C$1:$AR$4,MATCH($C$30,'Сводный годовой график'!$B$1:$B$4),MATCH(DATE($AV$1,MONTH($B$24),M$3),'Сводный годовой график'!$C$7:$AR$7))&lt;&gt;12,INDIRECT(ADDRESS(ROW()+1,COLUMN()))="СП"),8,INDEX('Сводный годовой график'!$C$1:$AR$4,MATCH($C$30,'Сводный годовой график'!$B$1:$B$4),MATCH(DATE($AV$1,MONTH($B$24),M$3),'Сводный годовой график'!$C$7:$AR$7)))</f>
        <v>12</v>
      </c>
      <c r="N30" s="92">
        <f ca="1">IF(AND(INDEX('Сводный годовой график'!$C$1:$AR$4,MATCH($C$30,'Сводный годовой график'!$B$1:$B$4),MATCH(DATE($AV$1,MONTH($B$24),N$3),'Сводный годовой график'!$C$7:$AR$7))&lt;&gt;12,INDIRECT(ADDRESS(ROW()+1,COLUMN()))="СП"),8,INDEX('Сводный годовой график'!$C$1:$AR$4,MATCH($C$30,'Сводный годовой график'!$B$1:$B$4),MATCH(DATE($AV$1,MONTH($B$24),N$3),'Сводный годовой график'!$C$7:$AR$7)))</f>
        <v>0</v>
      </c>
      <c r="O30" s="92">
        <f ca="1">IF(AND(INDEX('Сводный годовой график'!$C$1:$AR$4,MATCH($C$30,'Сводный годовой график'!$B$1:$B$4),MATCH(DATE($AV$1,MONTH($B$24),O$3),'Сводный годовой график'!$C$7:$AR$7))&lt;&gt;12,INDIRECT(ADDRESS(ROW()+1,COLUMN()))="СП"),8,INDEX('Сводный годовой график'!$C$1:$AR$4,MATCH($C$30,'Сводный годовой график'!$B$1:$B$4),MATCH(DATE($AV$1,MONTH($B$24),O$3),'Сводный годовой график'!$C$7:$AR$7)))</f>
        <v>0</v>
      </c>
      <c r="P30" s="92">
        <f ca="1">IF(AND(INDEX('Сводный годовой график'!$C$1:$AR$4,MATCH($C$30,'Сводный годовой график'!$B$1:$B$4),MATCH(DATE($AV$1,MONTH($B$24),P$3),'Сводный годовой график'!$C$7:$AR$7))&lt;&gt;12,INDIRECT(ADDRESS(ROW()+1,COLUMN()))="СП"),8,INDEX('Сводный годовой график'!$C$1:$AR$4,MATCH($C$30,'Сводный годовой график'!$B$1:$B$4),MATCH(DATE($AV$1,MONTH($B$24),P$3),'Сводный годовой график'!$C$7:$AR$7)))</f>
        <v>4</v>
      </c>
      <c r="Q30" s="92">
        <f ca="1">IF(AND(INDEX('Сводный годовой график'!$C$1:$AR$4,MATCH($C$30,'Сводный годовой график'!$B$1:$B$4),MATCH(DATE($AV$1,MONTH($B$24),Q$3),'Сводный годовой график'!$C$7:$AR$7))&lt;&gt;12,INDIRECT(ADDRESS(ROW()+1,COLUMN()))="СП"),8,INDEX('Сводный годовой график'!$C$1:$AR$4,MATCH($C$30,'Сводный годовой график'!$B$1:$B$4),MATCH(DATE($AV$1,MONTH($B$24),Q$3),'Сводный годовой график'!$C$7:$AR$7)))</f>
        <v>8</v>
      </c>
      <c r="R30" s="92">
        <f ca="1">IF(AND(INDEX('Сводный годовой график'!$C$1:$AR$4,MATCH($C$30,'Сводный годовой график'!$B$1:$B$4),MATCH(DATE($AV$1,MONTH($B$24),R$3),'Сводный годовой график'!$C$7:$AR$7))&lt;&gt;12,INDIRECT(ADDRESS(ROW()+1,COLUMN()))="СП"),8,INDEX('Сводный годовой график'!$C$1:$AR$4,MATCH($C$30,'Сводный годовой график'!$B$1:$B$4),MATCH(DATE($AV$1,MONTH($B$24),R$3),'Сводный годовой график'!$C$7:$AR$7)))</f>
        <v>12</v>
      </c>
      <c r="S30" s="92">
        <f ca="1">IF(AND(INDEX('Сводный годовой график'!$C$1:$AR$4,MATCH($C$30,'Сводный годовой график'!$B$1:$B$4),MATCH(DATE($AV$1,MONTH($B$24),S$3),'Сводный годовой график'!$C$7:$AR$7))&lt;&gt;12,INDIRECT(ADDRESS(ROW()+1,COLUMN()))="СП"),8,INDEX('Сводный годовой график'!$C$1:$AR$4,MATCH($C$30,'Сводный годовой график'!$B$1:$B$4),MATCH(DATE($AV$1,MONTH($B$24),S$3),'Сводный годовой график'!$C$7:$AR$7)))</f>
        <v>4</v>
      </c>
      <c r="T30" s="92">
        <f ca="1">IF(AND(INDEX('Сводный годовой график'!$C$1:$AR$4,MATCH($C$30,'Сводный годовой график'!$B$1:$B$4),MATCH(DATE($AV$1,MONTH($B$24),T$3),'Сводный годовой график'!$C$7:$AR$7))&lt;&gt;12,INDIRECT(ADDRESS(ROW()+1,COLUMN()))="СП"),8,INDEX('Сводный годовой график'!$C$1:$AR$4,MATCH($C$30,'Сводный годовой график'!$B$1:$B$4),MATCH(DATE($AV$1,MONTH($B$24),T$3),'Сводный годовой график'!$C$7:$AR$7)))</f>
        <v>8</v>
      </c>
      <c r="U30" s="92">
        <f ca="1">IF(AND(INDEX('Сводный годовой график'!$C$1:$AR$4,MATCH($C$30,'Сводный годовой график'!$B$1:$B$4),MATCH(DATE($AV$1,MONTH($B$24),U$3),'Сводный годовой график'!$C$7:$AR$7))&lt;&gt;12,INDIRECT(ADDRESS(ROW()+1,COLUMN()))="СП"),8,INDEX('Сводный годовой график'!$C$1:$AR$4,MATCH($C$30,'Сводный годовой график'!$B$1:$B$4),MATCH(DATE($AV$1,MONTH($B$24),U$3),'Сводный годовой график'!$C$7:$AR$7)))</f>
        <v>12</v>
      </c>
      <c r="V30" s="92">
        <f ca="1">IF(AND(INDEX('Сводный годовой график'!$C$1:$AR$4,MATCH($C$30,'Сводный годовой график'!$B$1:$B$4),MATCH(DATE($AV$1,MONTH($B$24),V$3),'Сводный годовой график'!$C$7:$AR$7))&lt;&gt;12,INDIRECT(ADDRESS(ROW()+1,COLUMN()))="СП"),8,INDEX('Сводный годовой график'!$C$1:$AR$4,MATCH($C$30,'Сводный годовой график'!$B$1:$B$4),MATCH(DATE($AV$1,MONTH($B$24),V$3),'Сводный годовой график'!$C$7:$AR$7)))</f>
        <v>0</v>
      </c>
      <c r="W30" s="92">
        <f ca="1">IF(AND(INDEX('Сводный годовой график'!$C$1:$AR$4,MATCH($C$30,'Сводный годовой график'!$B$1:$B$4),MATCH(DATE($AV$1,MONTH($B$24),W$3),'Сводный годовой график'!$C$7:$AR$7))&lt;&gt;12,INDIRECT(ADDRESS(ROW()+1,COLUMN()))="СП"),8,INDEX('Сводный годовой график'!$C$1:$AR$4,MATCH($C$30,'Сводный годовой график'!$B$1:$B$4),MATCH(DATE($AV$1,MONTH($B$24),W$3),'Сводный годовой график'!$C$7:$AR$7)))</f>
        <v>0</v>
      </c>
      <c r="X30" s="92">
        <f ca="1">IF(AND(INDEX('Сводный годовой график'!$C$1:$AR$4,MATCH($C$30,'Сводный годовой график'!$B$1:$B$4),MATCH(DATE($AV$1,MONTH($B$24),X$3),'Сводный годовой график'!$C$7:$AR$7))&lt;&gt;12,INDIRECT(ADDRESS(ROW()+1,COLUMN()))="СП"),8,INDEX('Сводный годовой график'!$C$1:$AR$4,MATCH($C$30,'Сводный годовой график'!$B$1:$B$4),MATCH(DATE($AV$1,MONTH($B$24),X$3),'Сводный годовой график'!$C$7:$AR$7)))</f>
        <v>4</v>
      </c>
      <c r="Y30" s="92">
        <f ca="1">IF(AND(INDEX('Сводный годовой график'!$C$1:$AR$4,MATCH($C$30,'Сводный годовой график'!$B$1:$B$4),MATCH(DATE($AV$1,MONTH($B$24),Y$3),'Сводный годовой график'!$C$7:$AR$7))&lt;&gt;12,INDIRECT(ADDRESS(ROW()+1,COLUMN()))="СП"),8,INDEX('Сводный годовой график'!$C$1:$AR$4,MATCH($C$30,'Сводный годовой график'!$B$1:$B$4),MATCH(DATE($AV$1,MONTH($B$24),Y$3),'Сводный годовой график'!$C$7:$AR$7)))</f>
        <v>8</v>
      </c>
      <c r="Z30" s="92">
        <f ca="1">IF(AND(INDEX('Сводный годовой график'!$C$1:$AR$4,MATCH($C$30,'Сводный годовой график'!$B$1:$B$4),MATCH(DATE($AV$1,MONTH($B$24),Z$3),'Сводный годовой график'!$C$7:$AR$7))&lt;&gt;12,INDIRECT(ADDRESS(ROW()+1,COLUMN()))="СП"),8,INDEX('Сводный годовой график'!$C$1:$AR$4,MATCH($C$30,'Сводный годовой график'!$B$1:$B$4),MATCH(DATE($AV$1,MONTH($B$24),Z$3),'Сводный годовой график'!$C$7:$AR$7)))</f>
        <v>12</v>
      </c>
      <c r="AA30" s="92">
        <f ca="1">IF(AND(INDEX('Сводный годовой график'!$C$1:$AR$4,MATCH($C$30,'Сводный годовой график'!$B$1:$B$4),MATCH(DATE($AV$1,MONTH($B$24),AA$3),'Сводный годовой график'!$C$7:$AR$7))&lt;&gt;12,INDIRECT(ADDRESS(ROW()+1,COLUMN()))="СП"),8,INDEX('Сводный годовой график'!$C$1:$AR$4,MATCH($C$30,'Сводный годовой график'!$B$1:$B$4),MATCH(DATE($AV$1,MONTH($B$24),AA$3),'Сводный годовой график'!$C$7:$AR$7)))</f>
        <v>4</v>
      </c>
      <c r="AB30" s="92">
        <f ca="1">IF(AND(INDEX('Сводный годовой график'!$C$1:$AR$4,MATCH($C$30,'Сводный годовой график'!$B$1:$B$4),MATCH(DATE($AV$1,MONTH($B$24),AB$3),'Сводный годовой график'!$C$7:$AR$7))&lt;&gt;12,INDIRECT(ADDRESS(ROW()+1,COLUMN()))="СП"),8,INDEX('Сводный годовой график'!$C$1:$AR$4,MATCH($C$30,'Сводный годовой график'!$B$1:$B$4),MATCH(DATE($AV$1,MONTH($B$24),AB$3),'Сводный годовой график'!$C$7:$AR$7)))</f>
        <v>8</v>
      </c>
      <c r="AC30" s="92">
        <f ca="1">IF(AND(INDEX('Сводный годовой график'!$C$1:$AR$4,MATCH($C$30,'Сводный годовой график'!$B$1:$B$4),MATCH(DATE($AV$1,MONTH($B$24),AC$3),'Сводный годовой график'!$C$7:$AR$7))&lt;&gt;12,INDIRECT(ADDRESS(ROW()+1,COLUMN()))="СП"),8,INDEX('Сводный годовой график'!$C$1:$AR$4,MATCH($C$30,'Сводный годовой график'!$B$1:$B$4),MATCH(DATE($AV$1,MONTH($B$24),AC$3),'Сводный годовой график'!$C$7:$AR$7)))</f>
        <v>12</v>
      </c>
      <c r="AD30" s="92">
        <f ca="1">IF(AND(INDEX('Сводный годовой график'!$C$1:$AR$4,MATCH($C$30,'Сводный годовой график'!$B$1:$B$4),MATCH(DATE($AV$1,MONTH($B$24),AD$3),'Сводный годовой график'!$C$7:$AR$7))&lt;&gt;12,INDIRECT(ADDRESS(ROW()+1,COLUMN()))="СП"),8,INDEX('Сводный годовой график'!$C$1:$AR$4,MATCH($C$30,'Сводный годовой график'!$B$1:$B$4),MATCH(DATE($AV$1,MONTH($B$24),AD$3),'Сводный годовой график'!$C$7:$AR$7)))</f>
        <v>0</v>
      </c>
      <c r="AE30" s="92">
        <f ca="1">IF(AND(INDEX('Сводный годовой график'!$C$1:$AR$4,MATCH($C$30,'Сводный годовой график'!$B$1:$B$4),MATCH(DATE($AV$1,MONTH($B$24),AE$3),'Сводный годовой график'!$C$7:$AR$7))&lt;&gt;12,INDIRECT(ADDRESS(ROW()+1,COLUMN()))="СП"),8,INDEX('Сводный годовой график'!$C$1:$AR$4,MATCH($C$30,'Сводный годовой график'!$B$1:$B$4),MATCH(DATE($AV$1,MONTH($B$24),AE$3),'Сводный годовой график'!$C$7:$AR$7)))</f>
        <v>0</v>
      </c>
      <c r="AF30" s="92">
        <f ca="1">IF(AND(INDEX('Сводный годовой график'!$C$1:$AR$4,MATCH($C$30,'Сводный годовой график'!$B$1:$B$4),MATCH(DATE($AV$1,MONTH($B$24),AF$3),'Сводный годовой график'!$C$7:$AR$7))&lt;&gt;12,INDIRECT(ADDRESS(ROW()+1,COLUMN()))="СП"),8,INDEX('Сводный годовой график'!$C$1:$AR$4,MATCH($C$30,'Сводный годовой график'!$B$1:$B$4),MATCH(DATE($AV$1,MONTH($B$24),AF$3),'Сводный годовой график'!$C$7:$AR$7)))</f>
        <v>4</v>
      </c>
      <c r="AG30" s="92">
        <f ca="1">IF(AND(INDEX('Сводный годовой график'!$C$1:$AR$4,MATCH($C$30,'Сводный годовой график'!$B$1:$B$4),MATCH(DATE($AV$1,MONTH($B$24),AG$3),'Сводный годовой график'!$C$7:$AR$7))&lt;&gt;12,INDIRECT(ADDRESS(ROW()+1,COLUMN()))="СП"),8,INDEX('Сводный годовой график'!$C$1:$AR$4,MATCH($C$30,'Сводный годовой график'!$B$1:$B$4),MATCH(DATE($AV$1,MONTH($B$24),AG$3),'Сводный годовой график'!$C$7:$AR$7)))</f>
        <v>8</v>
      </c>
      <c r="AH30" s="92">
        <f ca="1">IF(AND(INDEX('Сводный годовой график'!$C$1:$AR$4,MATCH($C$30,'Сводный годовой график'!$B$1:$B$4),MATCH(DATE($AV$1,MONTH($B$24),AH$3),'Сводный годовой график'!$C$7:$AR$7))&lt;&gt;12,INDIRECT(ADDRESS(ROW()+1,COLUMN()))="СП"),8,INDEX('Сводный годовой график'!$C$1:$AR$4,MATCH($C$30,'Сводный годовой график'!$B$1:$B$4),MATCH(DATE($AV$1,MONTH($B$24),AH$3),'Сводный годовой график'!$C$7:$AR$7)))</f>
        <v>12</v>
      </c>
      <c r="AI30" s="92">
        <f ca="1">IF(AND(INDEX('Сводный годовой график'!$C$1:$AR$4,MATCH($C$30,'Сводный годовой график'!$B$1:$B$4),MATCH(DATE($AV$1,MONTH($B$24),AI$3),'Сводный годовой график'!$C$7:$AR$7))&lt;&gt;12,INDIRECT(ADDRESS(ROW()+1,COLUMN()))="СП"),8,INDEX('Сводный годовой график'!$C$1:$AR$4,MATCH($C$30,'Сводный годовой график'!$B$1:$B$4),MATCH(DATE($AV$1,MONTH($B$24),AI$3),'Сводный годовой график'!$C$7:$AR$7)))</f>
        <v>4</v>
      </c>
      <c r="AJ30" s="206"/>
      <c r="AK30" s="209">
        <f>$AJ$24-SUM(AY30:CC31)</f>
        <v>167</v>
      </c>
      <c r="AL30" s="209">
        <f t="shared" ref="AL30" ca="1" si="48">SUM(E30:AI31)</f>
        <v>184</v>
      </c>
      <c r="AM30" s="209">
        <f ca="1">SUM(L30)</f>
        <v>8</v>
      </c>
      <c r="AN30" s="211">
        <f t="shared" ref="AN30" ca="1" si="49">-AM30-AK30+AL30</f>
        <v>9</v>
      </c>
      <c r="AO30" s="211">
        <v>0</v>
      </c>
      <c r="AP30" s="211">
        <f ca="1">AN30+AP20-AO30</f>
        <v>25</v>
      </c>
      <c r="AQ30" s="209">
        <v>0</v>
      </c>
      <c r="AR30" s="210">
        <v>1</v>
      </c>
      <c r="CK30" s="59"/>
      <c r="CL30" s="59"/>
      <c r="CM30" s="59"/>
      <c r="CN30" s="59"/>
      <c r="CO30" s="59"/>
      <c r="CP30" s="59"/>
      <c r="CQ30" s="59"/>
      <c r="CR30" s="59"/>
      <c r="CS30" s="59"/>
      <c r="CT30" s="59"/>
      <c r="CU30" s="59"/>
      <c r="CV30" s="59"/>
      <c r="CW30" s="59"/>
      <c r="CX30" s="59"/>
      <c r="CY30" s="59"/>
      <c r="CZ30" s="59"/>
      <c r="DA30" s="59"/>
      <c r="DB30" s="59"/>
      <c r="DC30" s="59"/>
      <c r="DD30" s="59"/>
      <c r="DE30" s="59"/>
      <c r="DF30" s="59"/>
      <c r="DG30" s="59"/>
      <c r="DH30" s="59"/>
      <c r="DI30" s="59"/>
      <c r="DJ30" s="59"/>
      <c r="DK30" s="59"/>
      <c r="DL30" s="59"/>
      <c r="DM30" s="59"/>
      <c r="DN30" s="59"/>
      <c r="DO30" s="59"/>
    </row>
    <row r="31" spans="2:119" ht="16.5" thickBot="1" x14ac:dyDescent="0.3">
      <c r="B31" s="201"/>
      <c r="C31" s="197"/>
      <c r="D31" s="82">
        <v>8</v>
      </c>
      <c r="E31" s="92" t="str">
        <f t="shared" ref="E31:AI31" si="50">IF(INDEX($CK$4:$DO$123,ROW()-3,E$3)=0,"","СП")</f>
        <v/>
      </c>
      <c r="F31" s="92" t="str">
        <f t="shared" si="50"/>
        <v/>
      </c>
      <c r="G31" s="92" t="str">
        <f t="shared" si="50"/>
        <v/>
      </c>
      <c r="H31" s="92" t="str">
        <f t="shared" si="50"/>
        <v/>
      </c>
      <c r="I31" s="92" t="str">
        <f t="shared" si="50"/>
        <v/>
      </c>
      <c r="J31" s="92" t="str">
        <f t="shared" si="50"/>
        <v>СП</v>
      </c>
      <c r="K31" s="92" t="str">
        <f t="shared" si="50"/>
        <v/>
      </c>
      <c r="L31" s="92" t="str">
        <f t="shared" si="50"/>
        <v/>
      </c>
      <c r="M31" s="92" t="str">
        <f t="shared" si="50"/>
        <v/>
      </c>
      <c r="N31" s="92" t="str">
        <f t="shared" si="50"/>
        <v/>
      </c>
      <c r="O31" s="92" t="str">
        <f t="shared" si="50"/>
        <v/>
      </c>
      <c r="P31" s="92" t="str">
        <f t="shared" si="50"/>
        <v/>
      </c>
      <c r="Q31" s="92" t="str">
        <f t="shared" si="50"/>
        <v/>
      </c>
      <c r="R31" s="92" t="str">
        <f t="shared" si="50"/>
        <v/>
      </c>
      <c r="S31" s="92" t="str">
        <f t="shared" si="50"/>
        <v/>
      </c>
      <c r="T31" s="92" t="str">
        <f t="shared" si="50"/>
        <v/>
      </c>
      <c r="U31" s="92" t="str">
        <f t="shared" si="50"/>
        <v/>
      </c>
      <c r="V31" s="92" t="str">
        <f t="shared" si="50"/>
        <v/>
      </c>
      <c r="W31" s="92" t="str">
        <f t="shared" si="50"/>
        <v/>
      </c>
      <c r="X31" s="92" t="str">
        <f t="shared" si="50"/>
        <v/>
      </c>
      <c r="Y31" s="92" t="str">
        <f t="shared" si="50"/>
        <v/>
      </c>
      <c r="Z31" s="92" t="str">
        <f t="shared" si="50"/>
        <v/>
      </c>
      <c r="AA31" s="92" t="str">
        <f t="shared" si="50"/>
        <v/>
      </c>
      <c r="AB31" s="92" t="str">
        <f t="shared" si="50"/>
        <v/>
      </c>
      <c r="AC31" s="92" t="str">
        <f t="shared" si="50"/>
        <v/>
      </c>
      <c r="AD31" s="92" t="str">
        <f t="shared" si="50"/>
        <v/>
      </c>
      <c r="AE31" s="92" t="str">
        <f t="shared" si="50"/>
        <v/>
      </c>
      <c r="AF31" s="92" t="str">
        <f t="shared" si="50"/>
        <v/>
      </c>
      <c r="AG31" s="92" t="str">
        <f t="shared" si="50"/>
        <v/>
      </c>
      <c r="AH31" s="92" t="str">
        <f t="shared" si="50"/>
        <v/>
      </c>
      <c r="AI31" s="92" t="str">
        <f t="shared" si="50"/>
        <v/>
      </c>
      <c r="AJ31" s="206"/>
      <c r="AK31" s="209"/>
      <c r="AL31" s="209"/>
      <c r="AM31" s="209"/>
      <c r="AN31" s="211"/>
      <c r="AO31" s="211"/>
      <c r="AP31" s="211"/>
      <c r="AQ31" s="209"/>
      <c r="AR31" s="210"/>
      <c r="CK31" s="58">
        <f>IF(DAY(INDEX('Сводный годовой график'!$BA$4:$BL$14,$C30,MONTH($B$24)))=E$3,1,0)</f>
        <v>0</v>
      </c>
      <c r="CL31" s="58">
        <f>IF(DAY(INDEX('Сводный годовой график'!$BA$4:$BL$14,$C30,MONTH($B$24)))=F$3,1,0)</f>
        <v>0</v>
      </c>
      <c r="CM31" s="58">
        <f>IF(DAY(INDEX('Сводный годовой график'!$BA$4:$BL$14,$C30,MONTH($B$24)))=G$3,1,0)</f>
        <v>0</v>
      </c>
      <c r="CN31" s="58">
        <f>IF(DAY(INDEX('Сводный годовой график'!$BA$4:$BL$14,$C30,MONTH($B$24)))=H$3,1,0)</f>
        <v>0</v>
      </c>
      <c r="CO31" s="58">
        <f>IF(DAY(INDEX('Сводный годовой график'!$BA$4:$BL$14,$C30,MONTH($B$24)))=I$3,1,0)</f>
        <v>0</v>
      </c>
      <c r="CP31" s="58">
        <f>IF(DAY(INDEX('Сводный годовой график'!$BA$4:$BL$14,$C30,MONTH($B$24)))=J$3,1,0)</f>
        <v>1</v>
      </c>
      <c r="CQ31" s="58">
        <f>IF(DAY(INDEX('Сводный годовой график'!$BA$4:$BL$14,$C30,MONTH($B$24)))=K$3,1,0)</f>
        <v>0</v>
      </c>
      <c r="CR31" s="58">
        <f>IF(DAY(INDEX('Сводный годовой график'!$BA$4:$BL$14,$C30,MONTH($B$24)))=L$3,1,0)</f>
        <v>0</v>
      </c>
      <c r="CS31" s="58">
        <f>IF(DAY(INDEX('Сводный годовой график'!$BA$4:$BL$14,$C30,MONTH($B$24)))=M$3,1,0)</f>
        <v>0</v>
      </c>
      <c r="CT31" s="58">
        <f>IF(DAY(INDEX('Сводный годовой график'!$BA$4:$BL$14,$C30,MONTH($B$24)))=N$3,1,0)</f>
        <v>0</v>
      </c>
      <c r="CU31" s="58">
        <f>IF(DAY(INDEX('Сводный годовой график'!$BA$4:$BL$14,$C30,MONTH($B$24)))=O$3,1,0)</f>
        <v>0</v>
      </c>
      <c r="CV31" s="58">
        <f>IF(DAY(INDEX('Сводный годовой график'!$BA$4:$BL$14,$C30,MONTH($B$24)))=P$3,1,0)</f>
        <v>0</v>
      </c>
      <c r="CW31" s="58">
        <f>IF(DAY(INDEX('Сводный годовой график'!$BA$4:$BL$14,$C30,MONTH($B$24)))=Q$3,1,0)</f>
        <v>0</v>
      </c>
      <c r="CX31" s="58">
        <f>IF(DAY(INDEX('Сводный годовой график'!$BA$4:$BL$14,$C30,MONTH($B$24)))=R$3,1,0)</f>
        <v>0</v>
      </c>
      <c r="CY31" s="58">
        <f>IF(DAY(INDEX('Сводный годовой график'!$BA$4:$BL$14,$C30,MONTH($B$24)))=S$3,1,0)</f>
        <v>0</v>
      </c>
      <c r="CZ31" s="58">
        <f>IF(DAY(INDEX('Сводный годовой график'!$BA$4:$BL$14,$C30,MONTH($B$24)))=T$3,1,0)</f>
        <v>0</v>
      </c>
      <c r="DA31" s="58">
        <f>IF(DAY(INDEX('Сводный годовой график'!$BA$4:$BL$14,$C30,MONTH($B$24)))=U$3,1,0)</f>
        <v>0</v>
      </c>
      <c r="DB31" s="58">
        <f>IF(DAY(INDEX('Сводный годовой график'!$BA$4:$BL$14,$C30,MONTH($B$24)))=V$3,1,0)</f>
        <v>0</v>
      </c>
      <c r="DC31" s="58">
        <f>IF(DAY(INDEX('Сводный годовой график'!$BA$4:$BL$14,$C30,MONTH($B$24)))=W$3,1,0)</f>
        <v>0</v>
      </c>
      <c r="DD31" s="58">
        <f>IF(DAY(INDEX('Сводный годовой график'!$BA$4:$BL$14,$C30,MONTH($B$24)))=X$3,1,0)</f>
        <v>0</v>
      </c>
      <c r="DE31" s="58">
        <f>IF(DAY(INDEX('Сводный годовой график'!$BA$4:$BL$14,$C30,MONTH($B$24)))=Y$3,1,0)</f>
        <v>0</v>
      </c>
      <c r="DF31" s="58">
        <f>IF(DAY(INDEX('Сводный годовой график'!$BA$4:$BL$14,$C30,MONTH($B$24)))=Z$3,1,0)</f>
        <v>0</v>
      </c>
      <c r="DG31" s="58">
        <f>IF(DAY(INDEX('Сводный годовой график'!$BA$4:$BL$14,$C30,MONTH($B$24)))=AA$3,1,0)</f>
        <v>0</v>
      </c>
      <c r="DH31" s="58">
        <f>IF(DAY(INDEX('Сводный годовой график'!$BA$4:$BL$14,$C30,MONTH($B$24)))=AB$3,1,0)</f>
        <v>0</v>
      </c>
      <c r="DI31" s="58">
        <f>IF(DAY(INDEX('Сводный годовой график'!$BA$4:$BL$14,$C30,MONTH($B$24)))=AC$3,1,0)</f>
        <v>0</v>
      </c>
      <c r="DJ31" s="58">
        <f>IF(DAY(INDEX('Сводный годовой график'!$BA$4:$BL$14,$C30,MONTH($B$24)))=AD$3,1,0)</f>
        <v>0</v>
      </c>
      <c r="DK31" s="58">
        <f>IF(DAY(INDEX('Сводный годовой график'!$BA$4:$BL$14,$C30,MONTH($B$24)))=AE$3,1,0)</f>
        <v>0</v>
      </c>
      <c r="DL31" s="58">
        <f>IF(DAY(INDEX('Сводный годовой график'!$BA$4:$BL$14,$C30,MONTH($B$24)))=AF$3,1,0)</f>
        <v>0</v>
      </c>
      <c r="DM31" s="58">
        <f>IF(DAY(INDEX('Сводный годовой график'!$BA$4:$BL$14,$C30,MONTH($B$24)))=AG$3,1,0)</f>
        <v>0</v>
      </c>
      <c r="DN31" s="58">
        <f>IF(DAY(INDEX('Сводный годовой график'!$BA$4:$BL$14,$C30,MONTH($B$24)))=AH$3,1,0)</f>
        <v>0</v>
      </c>
      <c r="DO31" s="58">
        <f>IF(DAY(INDEX('Сводный годовой график'!$BA$4:$BL$14,$C30,MONTH($B$24)))=AI$3,1,0)</f>
        <v>0</v>
      </c>
    </row>
    <row r="32" spans="2:119" ht="16.5" thickBot="1" x14ac:dyDescent="0.3">
      <c r="B32" s="201"/>
      <c r="C32" s="196">
        <v>5</v>
      </c>
      <c r="D32" s="81">
        <v>9</v>
      </c>
      <c r="E32" s="92" t="s">
        <v>36</v>
      </c>
      <c r="F32" s="92" t="s">
        <v>36</v>
      </c>
      <c r="G32" s="92" t="s">
        <v>36</v>
      </c>
      <c r="H32" s="92" t="s">
        <v>36</v>
      </c>
      <c r="I32" s="92" t="s">
        <v>36</v>
      </c>
      <c r="J32" s="92" t="s">
        <v>36</v>
      </c>
      <c r="K32" s="92" t="s">
        <v>36</v>
      </c>
      <c r="L32" s="92" t="s">
        <v>36</v>
      </c>
      <c r="M32" s="92" t="s">
        <v>36</v>
      </c>
      <c r="N32" s="92" t="s">
        <v>36</v>
      </c>
      <c r="O32" s="92" t="s">
        <v>36</v>
      </c>
      <c r="P32" s="92" t="s">
        <v>36</v>
      </c>
      <c r="Q32" s="92" t="s">
        <v>36</v>
      </c>
      <c r="R32" s="92" t="s">
        <v>36</v>
      </c>
      <c r="S32" s="92" t="s">
        <v>36</v>
      </c>
      <c r="T32" s="92" t="s">
        <v>36</v>
      </c>
      <c r="U32" s="92" t="s">
        <v>36</v>
      </c>
      <c r="V32" s="92" t="s">
        <v>36</v>
      </c>
      <c r="W32" s="92" t="s">
        <v>36</v>
      </c>
      <c r="X32" s="92" t="s">
        <v>36</v>
      </c>
      <c r="Y32" s="92" t="s">
        <v>36</v>
      </c>
      <c r="Z32" s="92" t="s">
        <v>36</v>
      </c>
      <c r="AA32" s="92" t="s">
        <v>36</v>
      </c>
      <c r="AB32" s="92" t="s">
        <v>36</v>
      </c>
      <c r="AC32" s="92" t="s">
        <v>36</v>
      </c>
      <c r="AD32" s="92" t="s">
        <v>36</v>
      </c>
      <c r="AE32" s="92" t="s">
        <v>36</v>
      </c>
      <c r="AF32" s="92" t="s">
        <v>36</v>
      </c>
      <c r="AG32" s="92" t="s">
        <v>36</v>
      </c>
      <c r="AH32" s="92" t="s">
        <v>36</v>
      </c>
      <c r="AI32" s="92" t="s">
        <v>36</v>
      </c>
      <c r="AJ32" s="206"/>
      <c r="AK32" s="209">
        <f>$AJ$24-SUM(AY32:CC33)</f>
        <v>167</v>
      </c>
      <c r="AL32" s="209">
        <f t="shared" ref="AL32" si="51">SUM(E32:AI33)</f>
        <v>0</v>
      </c>
      <c r="AM32" s="209">
        <f>SUM(L32)</f>
        <v>0</v>
      </c>
      <c r="AN32" s="211">
        <f t="shared" ref="AN32" si="52">-AM32-AK32+AL32</f>
        <v>-167</v>
      </c>
      <c r="AO32" s="211">
        <v>12</v>
      </c>
      <c r="AP32" s="211">
        <f>AN32+AP22-AO32</f>
        <v>-475</v>
      </c>
      <c r="AQ32" s="209">
        <v>0</v>
      </c>
      <c r="AR32" s="210">
        <v>1</v>
      </c>
      <c r="CK32" s="59"/>
      <c r="CL32" s="59"/>
      <c r="CM32" s="59"/>
      <c r="CN32" s="59"/>
      <c r="CO32" s="59"/>
      <c r="CP32" s="59"/>
      <c r="CQ32" s="59"/>
      <c r="CR32" s="59"/>
      <c r="CS32" s="59"/>
      <c r="CT32" s="59"/>
      <c r="CU32" s="59"/>
      <c r="CV32" s="59"/>
      <c r="CW32" s="59"/>
      <c r="CX32" s="59"/>
      <c r="CY32" s="59"/>
      <c r="CZ32" s="59"/>
      <c r="DA32" s="59"/>
      <c r="DB32" s="59"/>
      <c r="DC32" s="59"/>
      <c r="DD32" s="59"/>
      <c r="DE32" s="59"/>
      <c r="DF32" s="59"/>
      <c r="DG32" s="59"/>
      <c r="DH32" s="59"/>
      <c r="DI32" s="59"/>
      <c r="DJ32" s="59"/>
      <c r="DK32" s="59"/>
      <c r="DL32" s="59"/>
      <c r="DM32" s="59"/>
      <c r="DN32" s="59"/>
      <c r="DO32" s="59"/>
    </row>
    <row r="33" spans="2:119" ht="16.5" thickBot="1" x14ac:dyDescent="0.3">
      <c r="B33" s="201"/>
      <c r="C33" s="212"/>
      <c r="D33" s="99">
        <v>10</v>
      </c>
      <c r="E33" s="30" t="str">
        <f t="shared" ref="E33:AI33" si="53">IF(INDEX($CK$4:$DO$123,ROW()-3,E$3)=0,"","СП")</f>
        <v/>
      </c>
      <c r="F33" s="30" t="str">
        <f t="shared" si="53"/>
        <v/>
      </c>
      <c r="G33" s="30" t="str">
        <f t="shared" si="53"/>
        <v/>
      </c>
      <c r="H33" s="30" t="str">
        <f t="shared" si="53"/>
        <v/>
      </c>
      <c r="I33" s="30" t="str">
        <f t="shared" si="53"/>
        <v/>
      </c>
      <c r="J33" s="30" t="str">
        <f t="shared" si="53"/>
        <v/>
      </c>
      <c r="K33" s="30" t="str">
        <f t="shared" si="53"/>
        <v>СП</v>
      </c>
      <c r="L33" s="30" t="str">
        <f t="shared" si="53"/>
        <v/>
      </c>
      <c r="M33" s="30" t="str">
        <f t="shared" si="53"/>
        <v/>
      </c>
      <c r="N33" s="30" t="str">
        <f t="shared" si="53"/>
        <v/>
      </c>
      <c r="O33" s="30" t="str">
        <f t="shared" si="53"/>
        <v/>
      </c>
      <c r="P33" s="30" t="str">
        <f t="shared" si="53"/>
        <v/>
      </c>
      <c r="Q33" s="30" t="str">
        <f t="shared" si="53"/>
        <v/>
      </c>
      <c r="R33" s="30" t="str">
        <f t="shared" si="53"/>
        <v/>
      </c>
      <c r="S33" s="30" t="str">
        <f t="shared" si="53"/>
        <v/>
      </c>
      <c r="T33" s="30" t="str">
        <f t="shared" si="53"/>
        <v/>
      </c>
      <c r="U33" s="30" t="str">
        <f t="shared" si="53"/>
        <v/>
      </c>
      <c r="V33" s="30" t="str">
        <f t="shared" si="53"/>
        <v/>
      </c>
      <c r="W33" s="30" t="str">
        <f t="shared" si="53"/>
        <v/>
      </c>
      <c r="X33" s="30" t="str">
        <f t="shared" si="53"/>
        <v/>
      </c>
      <c r="Y33" s="30" t="str">
        <f t="shared" si="53"/>
        <v/>
      </c>
      <c r="Z33" s="30" t="str">
        <f t="shared" si="53"/>
        <v/>
      </c>
      <c r="AA33" s="30" t="str">
        <f t="shared" si="53"/>
        <v/>
      </c>
      <c r="AB33" s="30" t="str">
        <f t="shared" si="53"/>
        <v/>
      </c>
      <c r="AC33" s="30" t="str">
        <f t="shared" si="53"/>
        <v/>
      </c>
      <c r="AD33" s="30" t="str">
        <f t="shared" si="53"/>
        <v/>
      </c>
      <c r="AE33" s="30" t="str">
        <f t="shared" si="53"/>
        <v/>
      </c>
      <c r="AF33" s="30" t="str">
        <f t="shared" si="53"/>
        <v/>
      </c>
      <c r="AG33" s="30" t="str">
        <f t="shared" si="53"/>
        <v/>
      </c>
      <c r="AH33" s="30" t="str">
        <f t="shared" si="53"/>
        <v/>
      </c>
      <c r="AI33" s="30" t="str">
        <f t="shared" si="53"/>
        <v/>
      </c>
      <c r="AJ33" s="207"/>
      <c r="AK33" s="213"/>
      <c r="AL33" s="213"/>
      <c r="AM33" s="213"/>
      <c r="AN33" s="214"/>
      <c r="AO33" s="214"/>
      <c r="AP33" s="214"/>
      <c r="AQ33" s="213"/>
      <c r="AR33" s="215"/>
      <c r="CK33" s="58">
        <f>IF(DAY(INDEX('Сводный годовой график'!$BA$4:$BL$14,$C32,MONTH($B$24)))=E$3,1,0)</f>
        <v>0</v>
      </c>
      <c r="CL33" s="58">
        <f>IF(DAY(INDEX('Сводный годовой график'!$BA$4:$BL$14,$C32,MONTH($B$24)))=F$3,1,0)</f>
        <v>0</v>
      </c>
      <c r="CM33" s="58">
        <f>IF(DAY(INDEX('Сводный годовой график'!$BA$4:$BL$14,$C32,MONTH($B$24)))=G$3,1,0)</f>
        <v>0</v>
      </c>
      <c r="CN33" s="58">
        <f>IF(DAY(INDEX('Сводный годовой график'!$BA$4:$BL$14,$C32,MONTH($B$24)))=H$3,1,0)</f>
        <v>0</v>
      </c>
      <c r="CO33" s="58">
        <f>IF(DAY(INDEX('Сводный годовой график'!$BA$4:$BL$14,$C32,MONTH($B$24)))=I$3,1,0)</f>
        <v>0</v>
      </c>
      <c r="CP33" s="58">
        <f>IF(DAY(INDEX('Сводный годовой график'!$BA$4:$BL$14,$C32,MONTH($B$24)))=J$3,1,0)</f>
        <v>0</v>
      </c>
      <c r="CQ33" s="58">
        <f>IF(DAY(INDEX('Сводный годовой график'!$BA$4:$BL$14,$C32,MONTH($B$24)))=K$3,1,0)</f>
        <v>1</v>
      </c>
      <c r="CR33" s="58">
        <f>IF(DAY(INDEX('Сводный годовой график'!$BA$4:$BL$14,$C32,MONTH($B$24)))=L$3,1,0)</f>
        <v>0</v>
      </c>
      <c r="CS33" s="58">
        <f>IF(DAY(INDEX('Сводный годовой график'!$BA$4:$BL$14,$C32,MONTH($B$24)))=M$3,1,0)</f>
        <v>0</v>
      </c>
      <c r="CT33" s="58">
        <f>IF(DAY(INDEX('Сводный годовой график'!$BA$4:$BL$14,$C32,MONTH($B$24)))=N$3,1,0)</f>
        <v>0</v>
      </c>
      <c r="CU33" s="58">
        <f>IF(DAY(INDEX('Сводный годовой график'!$BA$4:$BL$14,$C32,MONTH($B$24)))=O$3,1,0)</f>
        <v>0</v>
      </c>
      <c r="CV33" s="58">
        <f>IF(DAY(INDEX('Сводный годовой график'!$BA$4:$BL$14,$C32,MONTH($B$24)))=P$3,1,0)</f>
        <v>0</v>
      </c>
      <c r="CW33" s="58">
        <f>IF(DAY(INDEX('Сводный годовой график'!$BA$4:$BL$14,$C32,MONTH($B$24)))=Q$3,1,0)</f>
        <v>0</v>
      </c>
      <c r="CX33" s="58">
        <f>IF(DAY(INDEX('Сводный годовой график'!$BA$4:$BL$14,$C32,MONTH($B$24)))=R$3,1,0)</f>
        <v>0</v>
      </c>
      <c r="CY33" s="58">
        <f>IF(DAY(INDEX('Сводный годовой график'!$BA$4:$BL$14,$C32,MONTH($B$24)))=S$3,1,0)</f>
        <v>0</v>
      </c>
      <c r="CZ33" s="58">
        <f>IF(DAY(INDEX('Сводный годовой график'!$BA$4:$BL$14,$C32,MONTH($B$24)))=T$3,1,0)</f>
        <v>0</v>
      </c>
      <c r="DA33" s="58">
        <f>IF(DAY(INDEX('Сводный годовой график'!$BA$4:$BL$14,$C32,MONTH($B$24)))=U$3,1,0)</f>
        <v>0</v>
      </c>
      <c r="DB33" s="58">
        <f>IF(DAY(INDEX('Сводный годовой график'!$BA$4:$BL$14,$C32,MONTH($B$24)))=V$3,1,0)</f>
        <v>0</v>
      </c>
      <c r="DC33" s="58">
        <f>IF(DAY(INDEX('Сводный годовой график'!$BA$4:$BL$14,$C32,MONTH($B$24)))=W$3,1,0)</f>
        <v>0</v>
      </c>
      <c r="DD33" s="58">
        <f>IF(DAY(INDEX('Сводный годовой график'!$BA$4:$BL$14,$C32,MONTH($B$24)))=X$3,1,0)</f>
        <v>0</v>
      </c>
      <c r="DE33" s="58">
        <f>IF(DAY(INDEX('Сводный годовой график'!$BA$4:$BL$14,$C32,MONTH($B$24)))=Y$3,1,0)</f>
        <v>0</v>
      </c>
      <c r="DF33" s="58">
        <f>IF(DAY(INDEX('Сводный годовой график'!$BA$4:$BL$14,$C32,MONTH($B$24)))=Z$3,1,0)</f>
        <v>0</v>
      </c>
      <c r="DG33" s="58">
        <f>IF(DAY(INDEX('Сводный годовой график'!$BA$4:$BL$14,$C32,MONTH($B$24)))=AA$3,1,0)</f>
        <v>0</v>
      </c>
      <c r="DH33" s="58">
        <f>IF(DAY(INDEX('Сводный годовой график'!$BA$4:$BL$14,$C32,MONTH($B$24)))=AB$3,1,0)</f>
        <v>0</v>
      </c>
      <c r="DI33" s="58">
        <f>IF(DAY(INDEX('Сводный годовой график'!$BA$4:$BL$14,$C32,MONTH($B$24)))=AC$3,1,0)</f>
        <v>0</v>
      </c>
      <c r="DJ33" s="58">
        <f>IF(DAY(INDEX('Сводный годовой график'!$BA$4:$BL$14,$C32,MONTH($B$24)))=AD$3,1,0)</f>
        <v>0</v>
      </c>
      <c r="DK33" s="58">
        <f>IF(DAY(INDEX('Сводный годовой график'!$BA$4:$BL$14,$C32,MONTH($B$24)))=AE$3,1,0)</f>
        <v>0</v>
      </c>
      <c r="DL33" s="58">
        <f>IF(DAY(INDEX('Сводный годовой график'!$BA$4:$BL$14,$C32,MONTH($B$24)))=AF$3,1,0)</f>
        <v>0</v>
      </c>
      <c r="DM33" s="58">
        <f>IF(DAY(INDEX('Сводный годовой график'!$BA$4:$BL$14,$C32,MONTH($B$24)))=AG$3,1,0)</f>
        <v>0</v>
      </c>
      <c r="DN33" s="58">
        <f>IF(DAY(INDEX('Сводный годовой график'!$BA$4:$BL$14,$C32,MONTH($B$24)))=AH$3,1,0)</f>
        <v>0</v>
      </c>
      <c r="DO33" s="58">
        <f>IF(DAY(INDEX('Сводный годовой график'!$BA$4:$BL$14,$C32,MONTH($B$24)))=AI$3,1,0)</f>
        <v>0</v>
      </c>
    </row>
    <row r="34" spans="2:119" ht="17.25" customHeight="1" thickTop="1" thickBot="1" x14ac:dyDescent="0.3">
      <c r="B34" s="200">
        <f>DATE($AV$1,4,1)</f>
        <v>45748</v>
      </c>
      <c r="C34" s="196">
        <v>1</v>
      </c>
      <c r="D34" s="81">
        <v>1</v>
      </c>
      <c r="E34" s="28">
        <f ca="1">IF(AND(INDEX('Сводный годовой график'!$C$1:$AR$4,MATCH($C$34,'Сводный годовой график'!$B$1:$B$4),MATCH(DATE($AV$1,MONTH($B$34),E$3),'Сводный годовой график'!$C$8:$AR$8))&lt;&gt;12,INDIRECT(ADDRESS(ROW()+1,COLUMN()))="СП"),8,INDEX('Сводный годовой график'!$C$1:$AR$4,MATCH($C$34,'Сводный годовой график'!$B$1:$B$4),MATCH(DATE($AV$1,MONTH($B$34),E$3),'Сводный годовой график'!$C$8:$AR$8)))</f>
        <v>4</v>
      </c>
      <c r="F34" s="28">
        <f ca="1">IF(AND(INDEX('Сводный годовой график'!$C$1:$AR$4,MATCH($C$34,'Сводный годовой график'!$B$1:$B$4),MATCH(DATE($AV$1,MONTH($B$34),F$3),'Сводный годовой график'!$C$8:$AR$8))&lt;&gt;12,INDIRECT(ADDRESS(ROW()+1,COLUMN()))="СП"),8,INDEX('Сводный годовой график'!$C$1:$AR$4,MATCH($C$34,'Сводный годовой график'!$B$1:$B$4),MATCH(DATE($AV$1,MONTH($B$34),F$3),'Сводный годовой график'!$C$8:$AR$8)))</f>
        <v>8</v>
      </c>
      <c r="G34" s="28">
        <f ca="1">IF(AND(INDEX('Сводный годовой график'!$C$1:$AR$4,MATCH($C$34,'Сводный годовой график'!$B$1:$B$4),MATCH(DATE($AV$1,MONTH($B$34),G$3),'Сводный годовой график'!$C$8:$AR$8))&lt;&gt;12,INDIRECT(ADDRESS(ROW()+1,COLUMN()))="СП"),8,INDEX('Сводный годовой график'!$C$1:$AR$4,MATCH($C$34,'Сводный годовой график'!$B$1:$B$4),MATCH(DATE($AV$1,MONTH($B$34),G$3),'Сводный годовой график'!$C$8:$AR$8)))</f>
        <v>12</v>
      </c>
      <c r="H34" s="28">
        <f ca="1">IF(AND(INDEX('Сводный годовой график'!$C$1:$AR$4,MATCH($C$34,'Сводный годовой график'!$B$1:$B$4),MATCH(DATE($AV$1,MONTH($B$34),H$3),'Сводный годовой график'!$C$8:$AR$8))&lt;&gt;12,INDIRECT(ADDRESS(ROW()+1,COLUMN()))="СП"),8,INDEX('Сводный годовой график'!$C$1:$AR$4,MATCH($C$34,'Сводный годовой график'!$B$1:$B$4),MATCH(DATE($AV$1,MONTH($B$34),H$3),'Сводный годовой график'!$C$8:$AR$8)))</f>
        <v>8</v>
      </c>
      <c r="I34" s="28">
        <f ca="1">IF(AND(INDEX('Сводный годовой график'!$C$1:$AR$4,MATCH($C$34,'Сводный годовой график'!$B$1:$B$4),MATCH(DATE($AV$1,MONTH($B$34),I$3),'Сводный годовой график'!$C$8:$AR$8))&lt;&gt;12,INDIRECT(ADDRESS(ROW()+1,COLUMN()))="СП"),8,INDEX('Сводный годовой график'!$C$1:$AR$4,MATCH($C$34,'Сводный годовой график'!$B$1:$B$4),MATCH(DATE($AV$1,MONTH($B$34),I$3),'Сводный годовой график'!$C$8:$AR$8)))</f>
        <v>8</v>
      </c>
      <c r="J34" s="28">
        <f ca="1">IF(AND(INDEX('Сводный годовой график'!$C$1:$AR$4,MATCH($C$34,'Сводный годовой график'!$B$1:$B$4),MATCH(DATE($AV$1,MONTH($B$34),J$3),'Сводный годовой график'!$C$8:$AR$8))&lt;&gt;12,INDIRECT(ADDRESS(ROW()+1,COLUMN()))="СП"),8,INDEX('Сводный годовой график'!$C$1:$AR$4,MATCH($C$34,'Сводный годовой график'!$B$1:$B$4),MATCH(DATE($AV$1,MONTH($B$34),J$3),'Сводный годовой график'!$C$8:$AR$8)))</f>
        <v>12</v>
      </c>
      <c r="K34" s="28">
        <f ca="1">IF(AND(INDEX('Сводный годовой график'!$C$1:$AR$4,MATCH($C$34,'Сводный годовой график'!$B$1:$B$4),MATCH(DATE($AV$1,MONTH($B$34),K$3),'Сводный годовой график'!$C$8:$AR$8))&lt;&gt;12,INDIRECT(ADDRESS(ROW()+1,COLUMN()))="СП"),8,INDEX('Сводный годовой график'!$C$1:$AR$4,MATCH($C$34,'Сводный годовой график'!$B$1:$B$4),MATCH(DATE($AV$1,MONTH($B$34),K$3),'Сводный годовой график'!$C$8:$AR$8)))</f>
        <v>0</v>
      </c>
      <c r="L34" s="28">
        <f ca="1">IF(AND(INDEX('Сводный годовой график'!$C$1:$AR$4,MATCH($C$34,'Сводный годовой график'!$B$1:$B$4),MATCH(DATE($AV$1,MONTH($B$34),L$3),'Сводный годовой график'!$C$8:$AR$8))&lt;&gt;12,INDIRECT(ADDRESS(ROW()+1,COLUMN()))="СП"),8,INDEX('Сводный годовой график'!$C$1:$AR$4,MATCH($C$34,'Сводный годовой график'!$B$1:$B$4),MATCH(DATE($AV$1,MONTH($B$34),L$3),'Сводный годовой график'!$C$8:$AR$8)))</f>
        <v>0</v>
      </c>
      <c r="M34" s="28">
        <f ca="1">IF(AND(INDEX('Сводный годовой график'!$C$1:$AR$4,MATCH($C$34,'Сводный годовой график'!$B$1:$B$4),MATCH(DATE($AV$1,MONTH($B$34),M$3),'Сводный годовой график'!$C$8:$AR$8))&lt;&gt;12,INDIRECT(ADDRESS(ROW()+1,COLUMN()))="СП"),8,INDEX('Сводный годовой график'!$C$1:$AR$4,MATCH($C$34,'Сводный годовой график'!$B$1:$B$4),MATCH(DATE($AV$1,MONTH($B$34),M$3),'Сводный годовой график'!$C$8:$AR$8)))</f>
        <v>4</v>
      </c>
      <c r="N34" s="28">
        <f ca="1">IF(AND(INDEX('Сводный годовой график'!$C$1:$AR$4,MATCH($C$34,'Сводный годовой график'!$B$1:$B$4),MATCH(DATE($AV$1,MONTH($B$34),N$3),'Сводный годовой график'!$C$8:$AR$8))&lt;&gt;12,INDIRECT(ADDRESS(ROW()+1,COLUMN()))="СП"),8,INDEX('Сводный годовой график'!$C$1:$AR$4,MATCH($C$34,'Сводный годовой график'!$B$1:$B$4),MATCH(DATE($AV$1,MONTH($B$34),N$3),'Сводный годовой график'!$C$8:$AR$8)))</f>
        <v>8</v>
      </c>
      <c r="O34" s="28">
        <f ca="1">IF(AND(INDEX('Сводный годовой график'!$C$1:$AR$4,MATCH($C$34,'Сводный годовой график'!$B$1:$B$4),MATCH(DATE($AV$1,MONTH($B$34),O$3),'Сводный годовой график'!$C$8:$AR$8))&lt;&gt;12,INDIRECT(ADDRESS(ROW()+1,COLUMN()))="СП"),8,INDEX('Сводный годовой график'!$C$1:$AR$4,MATCH($C$34,'Сводный годовой график'!$B$1:$B$4),MATCH(DATE($AV$1,MONTH($B$34),O$3),'Сводный годовой график'!$C$8:$AR$8)))</f>
        <v>12</v>
      </c>
      <c r="P34" s="28">
        <f ca="1">IF(AND(INDEX('Сводный годовой график'!$C$1:$AR$4,MATCH($C$34,'Сводный годовой график'!$B$1:$B$4),MATCH(DATE($AV$1,MONTH($B$34),P$3),'Сводный годовой график'!$C$8:$AR$8))&lt;&gt;12,INDIRECT(ADDRESS(ROW()+1,COLUMN()))="СП"),8,INDEX('Сводный годовой график'!$C$1:$AR$4,MATCH($C$34,'Сводный годовой график'!$B$1:$B$4),MATCH(DATE($AV$1,MONTH($B$34),P$3),'Сводный годовой график'!$C$8:$AR$8)))</f>
        <v>4</v>
      </c>
      <c r="Q34" s="28">
        <f ca="1">IF(AND(INDEX('Сводный годовой график'!$C$1:$AR$4,MATCH($C$34,'Сводный годовой график'!$B$1:$B$4),MATCH(DATE($AV$1,MONTH($B$34),Q$3),'Сводный годовой график'!$C$8:$AR$8))&lt;&gt;12,INDIRECT(ADDRESS(ROW()+1,COLUMN()))="СП"),8,INDEX('Сводный годовой график'!$C$1:$AR$4,MATCH($C$34,'Сводный годовой график'!$B$1:$B$4),MATCH(DATE($AV$1,MONTH($B$34),Q$3),'Сводный годовой график'!$C$8:$AR$8)))</f>
        <v>8</v>
      </c>
      <c r="R34" s="28">
        <f ca="1">IF(AND(INDEX('Сводный годовой график'!$C$1:$AR$4,MATCH($C$34,'Сводный годовой график'!$B$1:$B$4),MATCH(DATE($AV$1,MONTH($B$34),R$3),'Сводный годовой график'!$C$8:$AR$8))&lt;&gt;12,INDIRECT(ADDRESS(ROW()+1,COLUMN()))="СП"),8,INDEX('Сводный годовой график'!$C$1:$AR$4,MATCH($C$34,'Сводный годовой график'!$B$1:$B$4),MATCH(DATE($AV$1,MONTH($B$34),R$3),'Сводный годовой график'!$C$8:$AR$8)))</f>
        <v>12</v>
      </c>
      <c r="S34" s="28">
        <f ca="1">IF(AND(INDEX('Сводный годовой график'!$C$1:$AR$4,MATCH($C$34,'Сводный годовой график'!$B$1:$B$4),MATCH(DATE($AV$1,MONTH($B$34),S$3),'Сводный годовой график'!$C$8:$AR$8))&lt;&gt;12,INDIRECT(ADDRESS(ROW()+1,COLUMN()))="СП"),8,INDEX('Сводный годовой график'!$C$1:$AR$4,MATCH($C$34,'Сводный годовой график'!$B$1:$B$4),MATCH(DATE($AV$1,MONTH($B$34),S$3),'Сводный годовой график'!$C$8:$AR$8)))</f>
        <v>0</v>
      </c>
      <c r="T34" s="28">
        <f ca="1">IF(AND(INDEX('Сводный годовой график'!$C$1:$AR$4,MATCH($C$34,'Сводный годовой график'!$B$1:$B$4),MATCH(DATE($AV$1,MONTH($B$34),T$3),'Сводный годовой график'!$C$8:$AR$8))&lt;&gt;12,INDIRECT(ADDRESS(ROW()+1,COLUMN()))="СП"),8,INDEX('Сводный годовой график'!$C$1:$AR$4,MATCH($C$34,'Сводный годовой график'!$B$1:$B$4),MATCH(DATE($AV$1,MONTH($B$34),T$3),'Сводный годовой график'!$C$8:$AR$8)))</f>
        <v>0</v>
      </c>
      <c r="U34" s="28">
        <f ca="1">IF(AND(INDEX('Сводный годовой график'!$C$1:$AR$4,MATCH($C$34,'Сводный годовой график'!$B$1:$B$4),MATCH(DATE($AV$1,MONTH($B$34),U$3),'Сводный годовой график'!$C$8:$AR$8))&lt;&gt;12,INDIRECT(ADDRESS(ROW()+1,COLUMN()))="СП"),8,INDEX('Сводный годовой график'!$C$1:$AR$4,MATCH($C$34,'Сводный годовой график'!$B$1:$B$4),MATCH(DATE($AV$1,MONTH($B$34),U$3),'Сводный годовой график'!$C$8:$AR$8)))</f>
        <v>4</v>
      </c>
      <c r="V34" s="28">
        <f ca="1">IF(AND(INDEX('Сводный годовой график'!$C$1:$AR$4,MATCH($C$34,'Сводный годовой график'!$B$1:$B$4),MATCH(DATE($AV$1,MONTH($B$34),V$3),'Сводный годовой график'!$C$8:$AR$8))&lt;&gt;12,INDIRECT(ADDRESS(ROW()+1,COLUMN()))="СП"),8,INDEX('Сводный годовой график'!$C$1:$AR$4,MATCH($C$34,'Сводный годовой график'!$B$1:$B$4),MATCH(DATE($AV$1,MONTH($B$34),V$3),'Сводный годовой график'!$C$8:$AR$8)))</f>
        <v>8</v>
      </c>
      <c r="W34" s="28">
        <f ca="1">IF(AND(INDEX('Сводный годовой график'!$C$1:$AR$4,MATCH($C$34,'Сводный годовой график'!$B$1:$B$4),MATCH(DATE($AV$1,MONTH($B$34),W$3),'Сводный годовой график'!$C$8:$AR$8))&lt;&gt;12,INDIRECT(ADDRESS(ROW()+1,COLUMN()))="СП"),8,INDEX('Сводный годовой график'!$C$1:$AR$4,MATCH($C$34,'Сводный годовой график'!$B$1:$B$4),MATCH(DATE($AV$1,MONTH($B$34),W$3),'Сводный годовой график'!$C$8:$AR$8)))</f>
        <v>12</v>
      </c>
      <c r="X34" s="28">
        <f ca="1">IF(AND(INDEX('Сводный годовой график'!$C$1:$AR$4,MATCH($C$34,'Сводный годовой график'!$B$1:$B$4),MATCH(DATE($AV$1,MONTH($B$34),X$3),'Сводный годовой график'!$C$8:$AR$8))&lt;&gt;12,INDIRECT(ADDRESS(ROW()+1,COLUMN()))="СП"),8,INDEX('Сводный годовой график'!$C$1:$AR$4,MATCH($C$34,'Сводный годовой график'!$B$1:$B$4),MATCH(DATE($AV$1,MONTH($B$34),X$3),'Сводный годовой график'!$C$8:$AR$8)))</f>
        <v>4</v>
      </c>
      <c r="Y34" s="28">
        <f ca="1">IF(AND(INDEX('Сводный годовой график'!$C$1:$AR$4,MATCH($C$34,'Сводный годовой график'!$B$1:$B$4),MATCH(DATE($AV$1,MONTH($B$34),Y$3),'Сводный годовой график'!$C$8:$AR$8))&lt;&gt;12,INDIRECT(ADDRESS(ROW()+1,COLUMN()))="СП"),8,INDEX('Сводный годовой график'!$C$1:$AR$4,MATCH($C$34,'Сводный годовой график'!$B$1:$B$4),MATCH(DATE($AV$1,MONTH($B$34),Y$3),'Сводный годовой график'!$C$8:$AR$8)))</f>
        <v>8</v>
      </c>
      <c r="Z34" s="28">
        <f ca="1">IF(AND(INDEX('Сводный годовой график'!$C$1:$AR$4,MATCH($C$34,'Сводный годовой график'!$B$1:$B$4),MATCH(DATE($AV$1,MONTH($B$34),Z$3),'Сводный годовой график'!$C$8:$AR$8))&lt;&gt;12,INDIRECT(ADDRESS(ROW()+1,COLUMN()))="СП"),8,INDEX('Сводный годовой график'!$C$1:$AR$4,MATCH($C$34,'Сводный годовой график'!$B$1:$B$4),MATCH(DATE($AV$1,MONTH($B$34),Z$3),'Сводный годовой график'!$C$8:$AR$8)))</f>
        <v>12</v>
      </c>
      <c r="AA34" s="28">
        <f ca="1">IF(AND(INDEX('Сводный годовой график'!$C$1:$AR$4,MATCH($C$34,'Сводный годовой график'!$B$1:$B$4),MATCH(DATE($AV$1,MONTH($B$34),AA$3),'Сводный годовой график'!$C$8:$AR$8))&lt;&gt;12,INDIRECT(ADDRESS(ROW()+1,COLUMN()))="СП"),8,INDEX('Сводный годовой график'!$C$1:$AR$4,MATCH($C$34,'Сводный годовой график'!$B$1:$B$4),MATCH(DATE($AV$1,MONTH($B$34),AA$3),'Сводный годовой график'!$C$8:$AR$8)))</f>
        <v>0</v>
      </c>
      <c r="AB34" s="28">
        <f ca="1">IF(AND(INDEX('Сводный годовой график'!$C$1:$AR$4,MATCH($C$34,'Сводный годовой график'!$B$1:$B$4),MATCH(DATE($AV$1,MONTH($B$34),AB$3),'Сводный годовой график'!$C$8:$AR$8))&lt;&gt;12,INDIRECT(ADDRESS(ROW()+1,COLUMN()))="СП"),8,INDEX('Сводный годовой график'!$C$1:$AR$4,MATCH($C$34,'Сводный годовой график'!$B$1:$B$4),MATCH(DATE($AV$1,MONTH($B$34),AB$3),'Сводный годовой график'!$C$8:$AR$8)))</f>
        <v>0</v>
      </c>
      <c r="AC34" s="28">
        <f ca="1">IF(AND(INDEX('Сводный годовой график'!$C$1:$AR$4,MATCH($C$34,'Сводный годовой график'!$B$1:$B$4),MATCH(DATE($AV$1,MONTH($B$34),AC$3),'Сводный годовой график'!$C$8:$AR$8))&lt;&gt;12,INDIRECT(ADDRESS(ROW()+1,COLUMN()))="СП"),8,INDEX('Сводный годовой график'!$C$1:$AR$4,MATCH($C$34,'Сводный годовой график'!$B$1:$B$4),MATCH(DATE($AV$1,MONTH($B$34),AC$3),'Сводный годовой график'!$C$8:$AR$8)))</f>
        <v>4</v>
      </c>
      <c r="AD34" s="28">
        <f ca="1">IF(AND(INDEX('Сводный годовой график'!$C$1:$AR$4,MATCH($C$34,'Сводный годовой график'!$B$1:$B$4),MATCH(DATE($AV$1,MONTH($B$34),AD$3),'Сводный годовой график'!$C$8:$AR$8))&lt;&gt;12,INDIRECT(ADDRESS(ROW()+1,COLUMN()))="СП"),8,INDEX('Сводный годовой график'!$C$1:$AR$4,MATCH($C$34,'Сводный годовой график'!$B$1:$B$4),MATCH(DATE($AV$1,MONTH($B$34),AD$3),'Сводный годовой график'!$C$8:$AR$8)))</f>
        <v>8</v>
      </c>
      <c r="AE34" s="28">
        <f ca="1">IF(AND(INDEX('Сводный годовой график'!$C$1:$AR$4,MATCH($C$34,'Сводный годовой график'!$B$1:$B$4),MATCH(DATE($AV$1,MONTH($B$34),AE$3),'Сводный годовой график'!$C$8:$AR$8))&lt;&gt;12,INDIRECT(ADDRESS(ROW()+1,COLUMN()))="СП"),8,INDEX('Сводный годовой график'!$C$1:$AR$4,MATCH($C$34,'Сводный годовой график'!$B$1:$B$4),MATCH(DATE($AV$1,MONTH($B$34),AE$3),'Сводный годовой график'!$C$8:$AR$8)))</f>
        <v>12</v>
      </c>
      <c r="AF34" s="28">
        <f ca="1">IF(AND(INDEX('Сводный годовой график'!$C$1:$AR$4,MATCH($C$34,'Сводный годовой график'!$B$1:$B$4),MATCH(DATE($AV$1,MONTH($B$34),AF$3),'Сводный годовой график'!$C$8:$AR$8))&lt;&gt;12,INDIRECT(ADDRESS(ROW()+1,COLUMN()))="СП"),8,INDEX('Сводный годовой график'!$C$1:$AR$4,MATCH($C$34,'Сводный годовой график'!$B$1:$B$4),MATCH(DATE($AV$1,MONTH($B$34),AF$3),'Сводный годовой график'!$C$8:$AR$8)))</f>
        <v>4</v>
      </c>
      <c r="AG34" s="28">
        <f ca="1">IF(AND(INDEX('Сводный годовой график'!$C$1:$AR$4,MATCH($C$34,'Сводный годовой график'!$B$1:$B$4),MATCH(DATE($AV$1,MONTH($B$34),AG$3),'Сводный годовой график'!$C$8:$AR$8))&lt;&gt;12,INDIRECT(ADDRESS(ROW()+1,COLUMN()))="СП"),8,INDEX('Сводный годовой график'!$C$1:$AR$4,MATCH($C$34,'Сводный годовой график'!$B$1:$B$4),MATCH(DATE($AV$1,MONTH($B$34),AG$3),'Сводный годовой график'!$C$8:$AR$8)))</f>
        <v>8</v>
      </c>
      <c r="AH34" s="28">
        <f ca="1">IF(AND(INDEX('Сводный годовой график'!$C$1:$AR$4,MATCH($C$34,'Сводный годовой график'!$B$1:$B$4),MATCH(DATE($AV$1,MONTH($B$34),AH$3),'Сводный годовой график'!$C$8:$AR$8))&lt;&gt;12,INDIRECT(ADDRESS(ROW()+1,COLUMN()))="СП"),8,INDEX('Сводный годовой график'!$C$1:$AR$4,MATCH($C$34,'Сводный годовой график'!$B$1:$B$4),MATCH(DATE($AV$1,MONTH($B$34),AH$3),'Сводный годовой график'!$C$8:$AR$8)))</f>
        <v>12</v>
      </c>
      <c r="AI34" s="121"/>
      <c r="AJ34" s="205">
        <f>INDEX(Подключения!$D$3:$H$14,MONTH(B34),5)</f>
        <v>175</v>
      </c>
      <c r="AK34" s="203">
        <f>$AJ$34-SUM(AY34:CC35)</f>
        <v>175</v>
      </c>
      <c r="AL34" s="203">
        <f t="shared" ref="AL34" ca="1" si="54">SUM(E34:AI35)</f>
        <v>196</v>
      </c>
      <c r="AM34" s="203">
        <v>0</v>
      </c>
      <c r="AN34" s="208">
        <f t="shared" ref="AN34" ca="1" si="55">-AM34-AK34+AL34</f>
        <v>21</v>
      </c>
      <c r="AO34" s="208">
        <v>12</v>
      </c>
      <c r="AP34" s="208">
        <f ca="1">AN34+AP24-AO34</f>
        <v>0</v>
      </c>
      <c r="AQ34" s="203">
        <v>0</v>
      </c>
      <c r="AR34" s="204">
        <v>1</v>
      </c>
      <c r="CK34" s="59"/>
      <c r="CL34" s="59"/>
      <c r="CM34" s="59"/>
      <c r="CN34" s="59"/>
      <c r="CO34" s="59"/>
      <c r="CP34" s="59"/>
      <c r="CQ34" s="59"/>
      <c r="CR34" s="59"/>
      <c r="CS34" s="59"/>
      <c r="CT34" s="59"/>
      <c r="CU34" s="59"/>
      <c r="CV34" s="59"/>
      <c r="CW34" s="59"/>
      <c r="CX34" s="59"/>
      <c r="CY34" s="59"/>
      <c r="CZ34" s="59"/>
      <c r="DA34" s="59"/>
      <c r="DB34" s="59"/>
      <c r="DC34" s="59"/>
      <c r="DD34" s="59"/>
      <c r="DE34" s="59"/>
      <c r="DF34" s="59"/>
      <c r="DG34" s="59"/>
      <c r="DH34" s="59"/>
      <c r="DI34" s="59"/>
      <c r="DJ34" s="59"/>
      <c r="DK34" s="59"/>
      <c r="DL34" s="59"/>
      <c r="DM34" s="59"/>
      <c r="DN34" s="59"/>
      <c r="DO34" s="59"/>
    </row>
    <row r="35" spans="2:119" ht="16.5" thickBot="1" x14ac:dyDescent="0.3">
      <c r="B35" s="201"/>
      <c r="C35" s="197"/>
      <c r="D35" s="82">
        <v>2</v>
      </c>
      <c r="E35" s="92" t="str">
        <f t="shared" ref="E35:AH35" si="56">IF(INDEX($CK$4:$DO$123,ROW()-3,E$3)=0,"","СП")</f>
        <v/>
      </c>
      <c r="F35" s="92" t="str">
        <f t="shared" si="56"/>
        <v/>
      </c>
      <c r="G35" s="92" t="str">
        <f t="shared" si="56"/>
        <v/>
      </c>
      <c r="H35" s="92" t="str">
        <f t="shared" si="56"/>
        <v>СП</v>
      </c>
      <c r="I35" s="92" t="str">
        <f t="shared" si="56"/>
        <v/>
      </c>
      <c r="J35" s="92" t="str">
        <f t="shared" si="56"/>
        <v/>
      </c>
      <c r="K35" s="92" t="str">
        <f t="shared" si="56"/>
        <v/>
      </c>
      <c r="L35" s="92" t="str">
        <f t="shared" si="56"/>
        <v/>
      </c>
      <c r="M35" s="92" t="str">
        <f t="shared" si="56"/>
        <v/>
      </c>
      <c r="N35" s="92" t="str">
        <f t="shared" si="56"/>
        <v/>
      </c>
      <c r="O35" s="92" t="str">
        <f t="shared" si="56"/>
        <v/>
      </c>
      <c r="P35" s="92" t="str">
        <f t="shared" si="56"/>
        <v/>
      </c>
      <c r="Q35" s="92" t="str">
        <f t="shared" si="56"/>
        <v/>
      </c>
      <c r="R35" s="92" t="str">
        <f t="shared" si="56"/>
        <v/>
      </c>
      <c r="S35" s="92" t="str">
        <f t="shared" si="56"/>
        <v/>
      </c>
      <c r="T35" s="92" t="str">
        <f t="shared" si="56"/>
        <v/>
      </c>
      <c r="U35" s="92" t="str">
        <f t="shared" si="56"/>
        <v/>
      </c>
      <c r="V35" s="92" t="str">
        <f t="shared" si="56"/>
        <v/>
      </c>
      <c r="W35" s="92" t="str">
        <f t="shared" si="56"/>
        <v/>
      </c>
      <c r="X35" s="92" t="str">
        <f t="shared" si="56"/>
        <v/>
      </c>
      <c r="Y35" s="92" t="str">
        <f t="shared" si="56"/>
        <v/>
      </c>
      <c r="Z35" s="92" t="str">
        <f t="shared" si="56"/>
        <v/>
      </c>
      <c r="AA35" s="92" t="str">
        <f t="shared" si="56"/>
        <v/>
      </c>
      <c r="AB35" s="92" t="str">
        <f t="shared" si="56"/>
        <v/>
      </c>
      <c r="AC35" s="92" t="str">
        <f t="shared" si="56"/>
        <v/>
      </c>
      <c r="AD35" s="92" t="str">
        <f t="shared" si="56"/>
        <v/>
      </c>
      <c r="AE35" s="92" t="str">
        <f t="shared" si="56"/>
        <v/>
      </c>
      <c r="AF35" s="92" t="str">
        <f t="shared" si="56"/>
        <v/>
      </c>
      <c r="AG35" s="92" t="str">
        <f t="shared" si="56"/>
        <v/>
      </c>
      <c r="AH35" s="92" t="str">
        <f t="shared" si="56"/>
        <v/>
      </c>
      <c r="AI35" s="119"/>
      <c r="AJ35" s="206"/>
      <c r="AK35" s="177"/>
      <c r="AL35" s="177"/>
      <c r="AM35" s="177"/>
      <c r="AN35" s="198"/>
      <c r="AO35" s="198"/>
      <c r="AP35" s="198"/>
      <c r="AQ35" s="177"/>
      <c r="AR35" s="179"/>
      <c r="CK35" s="58">
        <f>IF(DAY(INDEX('Сводный годовой график'!$BA$4:$BL$14,$C34,MONTH($B$34)))=E$3,1,0)</f>
        <v>0</v>
      </c>
      <c r="CL35" s="58">
        <f>IF(DAY(INDEX('Сводный годовой график'!$BA$4:$BL$14,$C34,MONTH($B$34)))=F$3,1,0)</f>
        <v>0</v>
      </c>
      <c r="CM35" s="58">
        <f>IF(DAY(INDEX('Сводный годовой график'!$BA$4:$BL$14,$C34,MONTH($B$34)))=G$3,1,0)</f>
        <v>0</v>
      </c>
      <c r="CN35" s="58">
        <f>IF(DAY(INDEX('Сводный годовой график'!$BA$4:$BL$14,$C34,MONTH($B$34)))=H$3,1,0)</f>
        <v>1</v>
      </c>
      <c r="CO35" s="58">
        <f>IF(DAY(INDEX('Сводный годовой график'!$BA$4:$BL$14,$C34,MONTH($B$34)))=I$3,1,0)</f>
        <v>0</v>
      </c>
      <c r="CP35" s="58">
        <f>IF(DAY(INDEX('Сводный годовой график'!$BA$4:$BL$14,$C34,MONTH($B$34)))=J$3,1,0)</f>
        <v>0</v>
      </c>
      <c r="CQ35" s="58">
        <f>IF(DAY(INDEX('Сводный годовой график'!$BA$4:$BL$14,$C34,MONTH($B$34)))=K$3,1,0)</f>
        <v>0</v>
      </c>
      <c r="CR35" s="58">
        <f>IF(DAY(INDEX('Сводный годовой график'!$BA$4:$BL$14,$C34,MONTH($B$34)))=L$3,1,0)</f>
        <v>0</v>
      </c>
      <c r="CS35" s="58">
        <f>IF(DAY(INDEX('Сводный годовой график'!$BA$4:$BL$14,$C34,MONTH($B$34)))=M$3,1,0)</f>
        <v>0</v>
      </c>
      <c r="CT35" s="58">
        <f>IF(DAY(INDEX('Сводный годовой график'!$BA$4:$BL$14,$C34,MONTH($B$34)))=N$3,1,0)</f>
        <v>0</v>
      </c>
      <c r="CU35" s="58">
        <f>IF(DAY(INDEX('Сводный годовой график'!$BA$4:$BL$14,$C34,MONTH($B$34)))=O$3,1,0)</f>
        <v>0</v>
      </c>
      <c r="CV35" s="58">
        <f>IF(DAY(INDEX('Сводный годовой график'!$BA$4:$BL$14,$C34,MONTH($B$34)))=P$3,1,0)</f>
        <v>0</v>
      </c>
      <c r="CW35" s="58">
        <f>IF(DAY(INDEX('Сводный годовой график'!$BA$4:$BL$14,$C34,MONTH($B$34)))=Q$3,1,0)</f>
        <v>0</v>
      </c>
      <c r="CX35" s="58">
        <f>IF(DAY(INDEX('Сводный годовой график'!$BA$4:$BL$14,$C34,MONTH($B$34)))=R$3,1,0)</f>
        <v>0</v>
      </c>
      <c r="CY35" s="58">
        <f>IF(DAY(INDEX('Сводный годовой график'!$BA$4:$BL$14,$C34,MONTH($B$34)))=S$3,1,0)</f>
        <v>0</v>
      </c>
      <c r="CZ35" s="58">
        <f>IF(DAY(INDEX('Сводный годовой график'!$BA$4:$BL$14,$C34,MONTH($B$34)))=T$3,1,0)</f>
        <v>0</v>
      </c>
      <c r="DA35" s="58">
        <f>IF(DAY(INDEX('Сводный годовой график'!$BA$4:$BL$14,$C34,MONTH($B$34)))=U$3,1,0)</f>
        <v>0</v>
      </c>
      <c r="DB35" s="58">
        <f>IF(DAY(INDEX('Сводный годовой график'!$BA$4:$BL$14,$C34,MONTH($B$34)))=V$3,1,0)</f>
        <v>0</v>
      </c>
      <c r="DC35" s="58">
        <f>IF(DAY(INDEX('Сводный годовой график'!$BA$4:$BL$14,$C34,MONTH($B$34)))=W$3,1,0)</f>
        <v>0</v>
      </c>
      <c r="DD35" s="58">
        <f>IF(DAY(INDEX('Сводный годовой график'!$BA$4:$BL$14,$C34,MONTH($B$34)))=X$3,1,0)</f>
        <v>0</v>
      </c>
      <c r="DE35" s="58">
        <f>IF(DAY(INDEX('Сводный годовой график'!$BA$4:$BL$14,$C34,MONTH($B$34)))=Y$3,1,0)</f>
        <v>0</v>
      </c>
      <c r="DF35" s="58">
        <f>IF(DAY(INDEX('Сводный годовой график'!$BA$4:$BL$14,$C34,MONTH($B$34)))=Z$3,1,0)</f>
        <v>0</v>
      </c>
      <c r="DG35" s="58">
        <f>IF(DAY(INDEX('Сводный годовой график'!$BA$4:$BL$14,$C34,MONTH($B$34)))=AA$3,1,0)</f>
        <v>0</v>
      </c>
      <c r="DH35" s="58">
        <f>IF(DAY(INDEX('Сводный годовой график'!$BA$4:$BL$14,$C34,MONTH($B$34)))=AB$3,1,0)</f>
        <v>0</v>
      </c>
      <c r="DI35" s="58">
        <f>IF(DAY(INDEX('Сводный годовой график'!$BA$4:$BL$14,$C34,MONTH($B$34)))=AC$3,1,0)</f>
        <v>0</v>
      </c>
      <c r="DJ35" s="58">
        <f>IF(DAY(INDEX('Сводный годовой график'!$BA$4:$BL$14,$C34,MONTH($B$34)))=AD$3,1,0)</f>
        <v>0</v>
      </c>
      <c r="DK35" s="58">
        <f>IF(DAY(INDEX('Сводный годовой график'!$BA$4:$BL$14,$C34,MONTH($B$34)))=AE$3,1,0)</f>
        <v>0</v>
      </c>
      <c r="DL35" s="58">
        <f>IF(DAY(INDEX('Сводный годовой график'!$BA$4:$BL$14,$C34,MONTH($B$34)))=AF$3,1,0)</f>
        <v>0</v>
      </c>
      <c r="DM35" s="58">
        <f>IF(DAY(INDEX('Сводный годовой график'!$BA$4:$BL$14,$C34,MONTH($B$34)))=AG$3,1,0)</f>
        <v>0</v>
      </c>
      <c r="DN35" s="58">
        <f>IF(DAY(INDEX('Сводный годовой график'!$BA$4:$BL$14,$C34,MONTH($B$34)))=AH$3,1,0)</f>
        <v>0</v>
      </c>
      <c r="DO35" s="58">
        <f>IF(DAY(INDEX('Сводный годовой график'!$BA$4:$BL$14,$C34,MONTH($B$34)))=AI$3,1,0)</f>
        <v>0</v>
      </c>
    </row>
    <row r="36" spans="2:119" ht="16.5" thickBot="1" x14ac:dyDescent="0.3">
      <c r="B36" s="201"/>
      <c r="C36" s="196">
        <v>2</v>
      </c>
      <c r="D36" s="81">
        <v>3</v>
      </c>
      <c r="E36" s="92">
        <f ca="1">IF(AND(INDEX('Сводный годовой график'!$C$1:$AR$4,MATCH($C$36,'Сводный годовой график'!$B$1:$B$4),MATCH(DATE($AV$1,MONTH($B$34),E$3),'Сводный годовой график'!$C$8:$AR$8))&lt;&gt;12,INDIRECT(ADDRESS(ROW()+1,COLUMN()))="СП"),8,INDEX('Сводный годовой график'!$C$1:$AR$4,MATCH($C$36,'Сводный годовой график'!$B$1:$B$4),MATCH(DATE($AV$1,MONTH($B$34),E$3),'Сводный годовой график'!$C$8:$AR$8)))</f>
        <v>12</v>
      </c>
      <c r="F36" s="92">
        <f ca="1">IF(AND(INDEX('Сводный годовой график'!$C$1:$AR$4,MATCH($C$36,'Сводный годовой график'!$B$1:$B$4),MATCH(DATE($AV$1,MONTH($B$34),F$3),'Сводный годовой график'!$C$8:$AR$8))&lt;&gt;12,INDIRECT(ADDRESS(ROW()+1,COLUMN()))="СП"),8,INDEX('Сводный годовой график'!$C$1:$AR$4,MATCH($C$36,'Сводный годовой график'!$B$1:$B$4),MATCH(DATE($AV$1,MONTH($B$34),F$3),'Сводный годовой график'!$C$8:$AR$8)))</f>
        <v>4</v>
      </c>
      <c r="G36" s="92">
        <f ca="1">IF(AND(INDEX('Сводный годовой график'!$C$1:$AR$4,MATCH($C$36,'Сводный годовой график'!$B$1:$B$4),MATCH(DATE($AV$1,MONTH($B$34),G$3),'Сводный годовой график'!$C$8:$AR$8))&lt;&gt;12,INDIRECT(ADDRESS(ROW()+1,COLUMN()))="СП"),8,INDEX('Сводный годовой график'!$C$1:$AR$4,MATCH($C$36,'Сводный годовой график'!$B$1:$B$4),MATCH(DATE($AV$1,MONTH($B$34),G$3),'Сводный годовой график'!$C$8:$AR$8)))</f>
        <v>8</v>
      </c>
      <c r="H36" s="92">
        <f ca="1">IF(AND(INDEX('Сводный годовой график'!$C$1:$AR$4,MATCH($C$36,'Сводный годовой график'!$B$1:$B$4),MATCH(DATE($AV$1,MONTH($B$34),H$3),'Сводный годовой график'!$C$8:$AR$8))&lt;&gt;12,INDIRECT(ADDRESS(ROW()+1,COLUMN()))="СП"),8,INDEX('Сводный годовой график'!$C$1:$AR$4,MATCH($C$36,'Сводный годовой график'!$B$1:$B$4),MATCH(DATE($AV$1,MONTH($B$34),H$3),'Сводный годовой график'!$C$8:$AR$8)))</f>
        <v>12</v>
      </c>
      <c r="I36" s="92">
        <f ca="1">IF(AND(INDEX('Сводный годовой график'!$C$1:$AR$4,MATCH($C$36,'Сводный годовой график'!$B$1:$B$4),MATCH(DATE($AV$1,MONTH($B$34),I$3),'Сводный годовой график'!$C$8:$AR$8))&lt;&gt;12,INDIRECT(ADDRESS(ROW()+1,COLUMN()))="СП"),8,INDEX('Сводный годовой график'!$C$1:$AR$4,MATCH($C$36,'Сводный годовой график'!$B$1:$B$4),MATCH(DATE($AV$1,MONTH($B$34),I$3),'Сводный годовой график'!$C$8:$AR$8)))</f>
        <v>8</v>
      </c>
      <c r="J36" s="92">
        <f ca="1">IF(AND(INDEX('Сводный годовой график'!$C$1:$AR$4,MATCH($C$36,'Сводный годовой график'!$B$1:$B$4),MATCH(DATE($AV$1,MONTH($B$34),J$3),'Сводный годовой график'!$C$8:$AR$8))&lt;&gt;12,INDIRECT(ADDRESS(ROW()+1,COLUMN()))="СП"),8,INDEX('Сводный годовой график'!$C$1:$AR$4,MATCH($C$36,'Сводный годовой график'!$B$1:$B$4),MATCH(DATE($AV$1,MONTH($B$34),J$3),'Сводный годовой график'!$C$8:$AR$8)))</f>
        <v>0</v>
      </c>
      <c r="K36" s="92">
        <f ca="1">IF(AND(INDEX('Сводный годовой график'!$C$1:$AR$4,MATCH($C$36,'Сводный годовой график'!$B$1:$B$4),MATCH(DATE($AV$1,MONTH($B$34),K$3),'Сводный годовой график'!$C$8:$AR$8))&lt;&gt;12,INDIRECT(ADDRESS(ROW()+1,COLUMN()))="СП"),8,INDEX('Сводный годовой график'!$C$1:$AR$4,MATCH($C$36,'Сводный годовой график'!$B$1:$B$4),MATCH(DATE($AV$1,MONTH($B$34),K$3),'Сводный годовой график'!$C$8:$AR$8)))</f>
        <v>4</v>
      </c>
      <c r="L36" s="92">
        <f ca="1">IF(AND(INDEX('Сводный годовой график'!$C$1:$AR$4,MATCH($C$36,'Сводный годовой график'!$B$1:$B$4),MATCH(DATE($AV$1,MONTH($B$34),L$3),'Сводный годовой график'!$C$8:$AR$8))&lt;&gt;12,INDIRECT(ADDRESS(ROW()+1,COLUMN()))="СП"),8,INDEX('Сводный годовой график'!$C$1:$AR$4,MATCH($C$36,'Сводный годовой график'!$B$1:$B$4),MATCH(DATE($AV$1,MONTH($B$34),L$3),'Сводный годовой график'!$C$8:$AR$8)))</f>
        <v>8</v>
      </c>
      <c r="M36" s="92">
        <f ca="1">IF(AND(INDEX('Сводный годовой график'!$C$1:$AR$4,MATCH($C$36,'Сводный годовой график'!$B$1:$B$4),MATCH(DATE($AV$1,MONTH($B$34),M$3),'Сводный годовой график'!$C$8:$AR$8))&lt;&gt;12,INDIRECT(ADDRESS(ROW()+1,COLUMN()))="СП"),8,INDEX('Сводный годовой график'!$C$1:$AR$4,MATCH($C$36,'Сводный годовой график'!$B$1:$B$4),MATCH(DATE($AV$1,MONTH($B$34),M$3),'Сводный годовой график'!$C$8:$AR$8)))</f>
        <v>12</v>
      </c>
      <c r="N36" s="92">
        <f ca="1">IF(AND(INDEX('Сводный годовой график'!$C$1:$AR$4,MATCH($C$36,'Сводный годовой график'!$B$1:$B$4),MATCH(DATE($AV$1,MONTH($B$34),N$3),'Сводный годовой график'!$C$8:$AR$8))&lt;&gt;12,INDIRECT(ADDRESS(ROW()+1,COLUMN()))="СП"),8,INDEX('Сводный годовой график'!$C$1:$AR$4,MATCH($C$36,'Сводный годовой график'!$B$1:$B$4),MATCH(DATE($AV$1,MONTH($B$34),N$3),'Сводный годовой график'!$C$8:$AR$8)))</f>
        <v>4</v>
      </c>
      <c r="O36" s="92">
        <f ca="1">IF(AND(INDEX('Сводный годовой график'!$C$1:$AR$4,MATCH($C$36,'Сводный годовой график'!$B$1:$B$4),MATCH(DATE($AV$1,MONTH($B$34),O$3),'Сводный годовой график'!$C$8:$AR$8))&lt;&gt;12,INDIRECT(ADDRESS(ROW()+1,COLUMN()))="СП"),8,INDEX('Сводный годовой график'!$C$1:$AR$4,MATCH($C$36,'Сводный годовой график'!$B$1:$B$4),MATCH(DATE($AV$1,MONTH($B$34),O$3),'Сводный годовой график'!$C$8:$AR$8)))</f>
        <v>8</v>
      </c>
      <c r="P36" s="92">
        <f ca="1">IF(AND(INDEX('Сводный годовой график'!$C$1:$AR$4,MATCH($C$36,'Сводный годовой график'!$B$1:$B$4),MATCH(DATE($AV$1,MONTH($B$34),P$3),'Сводный годовой график'!$C$8:$AR$8))&lt;&gt;12,INDIRECT(ADDRESS(ROW()+1,COLUMN()))="СП"),8,INDEX('Сводный годовой график'!$C$1:$AR$4,MATCH($C$36,'Сводный годовой график'!$B$1:$B$4),MATCH(DATE($AV$1,MONTH($B$34),P$3),'Сводный годовой график'!$C$8:$AR$8)))</f>
        <v>12</v>
      </c>
      <c r="Q36" s="92">
        <f ca="1">IF(AND(INDEX('Сводный годовой график'!$C$1:$AR$4,MATCH($C$36,'Сводный годовой график'!$B$1:$B$4),MATCH(DATE($AV$1,MONTH($B$34),Q$3),'Сводный годовой график'!$C$8:$AR$8))&lt;&gt;12,INDIRECT(ADDRESS(ROW()+1,COLUMN()))="СП"),8,INDEX('Сводный годовой график'!$C$1:$AR$4,MATCH($C$36,'Сводный годовой график'!$B$1:$B$4),MATCH(DATE($AV$1,MONTH($B$34),Q$3),'Сводный годовой график'!$C$8:$AR$8)))</f>
        <v>0</v>
      </c>
      <c r="R36" s="92">
        <f ca="1">IF(AND(INDEX('Сводный годовой график'!$C$1:$AR$4,MATCH($C$36,'Сводный годовой график'!$B$1:$B$4),MATCH(DATE($AV$1,MONTH($B$34),R$3),'Сводный годовой график'!$C$8:$AR$8))&lt;&gt;12,INDIRECT(ADDRESS(ROW()+1,COLUMN()))="СП"),8,INDEX('Сводный годовой график'!$C$1:$AR$4,MATCH($C$36,'Сводный годовой график'!$B$1:$B$4),MATCH(DATE($AV$1,MONTH($B$34),R$3),'Сводный годовой график'!$C$8:$AR$8)))</f>
        <v>0</v>
      </c>
      <c r="S36" s="92">
        <f ca="1">IF(AND(INDEX('Сводный годовой график'!$C$1:$AR$4,MATCH($C$36,'Сводный годовой график'!$B$1:$B$4),MATCH(DATE($AV$1,MONTH($B$34),S$3),'Сводный годовой график'!$C$8:$AR$8))&lt;&gt;12,INDIRECT(ADDRESS(ROW()+1,COLUMN()))="СП"),8,INDEX('Сводный годовой график'!$C$1:$AR$4,MATCH($C$36,'Сводный годовой график'!$B$1:$B$4),MATCH(DATE($AV$1,MONTH($B$34),S$3),'Сводный годовой график'!$C$8:$AR$8)))</f>
        <v>4</v>
      </c>
      <c r="T36" s="92">
        <f ca="1">IF(AND(INDEX('Сводный годовой график'!$C$1:$AR$4,MATCH($C$36,'Сводный годовой график'!$B$1:$B$4),MATCH(DATE($AV$1,MONTH($B$34),T$3),'Сводный годовой график'!$C$8:$AR$8))&lt;&gt;12,INDIRECT(ADDRESS(ROW()+1,COLUMN()))="СП"),8,INDEX('Сводный годовой график'!$C$1:$AR$4,MATCH($C$36,'Сводный годовой график'!$B$1:$B$4),MATCH(DATE($AV$1,MONTH($B$34),T$3),'Сводный годовой график'!$C$8:$AR$8)))</f>
        <v>8</v>
      </c>
      <c r="U36" s="92">
        <f ca="1">IF(AND(INDEX('Сводный годовой график'!$C$1:$AR$4,MATCH($C$36,'Сводный годовой график'!$B$1:$B$4),MATCH(DATE($AV$1,MONTH($B$34),U$3),'Сводный годовой график'!$C$8:$AR$8))&lt;&gt;12,INDIRECT(ADDRESS(ROW()+1,COLUMN()))="СП"),8,INDEX('Сводный годовой график'!$C$1:$AR$4,MATCH($C$36,'Сводный годовой график'!$B$1:$B$4),MATCH(DATE($AV$1,MONTH($B$34),U$3),'Сводный годовой график'!$C$8:$AR$8)))</f>
        <v>12</v>
      </c>
      <c r="V36" s="92">
        <f ca="1">IF(AND(INDEX('Сводный годовой график'!$C$1:$AR$4,MATCH($C$36,'Сводный годовой график'!$B$1:$B$4),MATCH(DATE($AV$1,MONTH($B$34),V$3),'Сводный годовой график'!$C$8:$AR$8))&lt;&gt;12,INDIRECT(ADDRESS(ROW()+1,COLUMN()))="СП"),8,INDEX('Сводный годовой график'!$C$1:$AR$4,MATCH($C$36,'Сводный годовой график'!$B$1:$B$4),MATCH(DATE($AV$1,MONTH($B$34),V$3),'Сводный годовой график'!$C$8:$AR$8)))</f>
        <v>4</v>
      </c>
      <c r="W36" s="92">
        <f ca="1">IF(AND(INDEX('Сводный годовой график'!$C$1:$AR$4,MATCH($C$36,'Сводный годовой график'!$B$1:$B$4),MATCH(DATE($AV$1,MONTH($B$34),W$3),'Сводный годовой график'!$C$8:$AR$8))&lt;&gt;12,INDIRECT(ADDRESS(ROW()+1,COLUMN()))="СП"),8,INDEX('Сводный годовой график'!$C$1:$AR$4,MATCH($C$36,'Сводный годовой график'!$B$1:$B$4),MATCH(DATE($AV$1,MONTH($B$34),W$3),'Сводный годовой график'!$C$8:$AR$8)))</f>
        <v>8</v>
      </c>
      <c r="X36" s="92">
        <f ca="1">IF(AND(INDEX('Сводный годовой график'!$C$1:$AR$4,MATCH($C$36,'Сводный годовой график'!$B$1:$B$4),MATCH(DATE($AV$1,MONTH($B$34),X$3),'Сводный годовой график'!$C$8:$AR$8))&lt;&gt;12,INDIRECT(ADDRESS(ROW()+1,COLUMN()))="СП"),8,INDEX('Сводный годовой график'!$C$1:$AR$4,MATCH($C$36,'Сводный годовой график'!$B$1:$B$4),MATCH(DATE($AV$1,MONTH($B$34),X$3),'Сводный годовой график'!$C$8:$AR$8)))</f>
        <v>12</v>
      </c>
      <c r="Y36" s="92">
        <f ca="1">IF(AND(INDEX('Сводный годовой график'!$C$1:$AR$4,MATCH($C$36,'Сводный годовой график'!$B$1:$B$4),MATCH(DATE($AV$1,MONTH($B$34),Y$3),'Сводный годовой график'!$C$8:$AR$8))&lt;&gt;12,INDIRECT(ADDRESS(ROW()+1,COLUMN()))="СП"),8,INDEX('Сводный годовой график'!$C$1:$AR$4,MATCH($C$36,'Сводный годовой график'!$B$1:$B$4),MATCH(DATE($AV$1,MONTH($B$34),Y$3),'Сводный годовой график'!$C$8:$AR$8)))</f>
        <v>0</v>
      </c>
      <c r="Z36" s="92">
        <f ca="1">IF(AND(INDEX('Сводный годовой график'!$C$1:$AR$4,MATCH($C$36,'Сводный годовой график'!$B$1:$B$4),MATCH(DATE($AV$1,MONTH($B$34),Z$3),'Сводный годовой график'!$C$8:$AR$8))&lt;&gt;12,INDIRECT(ADDRESS(ROW()+1,COLUMN()))="СП"),8,INDEX('Сводный годовой график'!$C$1:$AR$4,MATCH($C$36,'Сводный годовой график'!$B$1:$B$4),MATCH(DATE($AV$1,MONTH($B$34),Z$3),'Сводный годовой график'!$C$8:$AR$8)))</f>
        <v>0</v>
      </c>
      <c r="AA36" s="92">
        <f ca="1">IF(AND(INDEX('Сводный годовой график'!$C$1:$AR$4,MATCH($C$36,'Сводный годовой график'!$B$1:$B$4),MATCH(DATE($AV$1,MONTH($B$34),AA$3),'Сводный годовой график'!$C$8:$AR$8))&lt;&gt;12,INDIRECT(ADDRESS(ROW()+1,COLUMN()))="СП"),8,INDEX('Сводный годовой график'!$C$1:$AR$4,MATCH($C$36,'Сводный годовой график'!$B$1:$B$4),MATCH(DATE($AV$1,MONTH($B$34),AA$3),'Сводный годовой график'!$C$8:$AR$8)))</f>
        <v>4</v>
      </c>
      <c r="AB36" s="92">
        <f ca="1">IF(AND(INDEX('Сводный годовой график'!$C$1:$AR$4,MATCH($C$36,'Сводный годовой график'!$B$1:$B$4),MATCH(DATE($AV$1,MONTH($B$34),AB$3),'Сводный годовой график'!$C$8:$AR$8))&lt;&gt;12,INDIRECT(ADDRESS(ROW()+1,COLUMN()))="СП"),8,INDEX('Сводный годовой график'!$C$1:$AR$4,MATCH($C$36,'Сводный годовой график'!$B$1:$B$4),MATCH(DATE($AV$1,MONTH($B$34),AB$3),'Сводный годовой график'!$C$8:$AR$8)))</f>
        <v>8</v>
      </c>
      <c r="AC36" s="92">
        <f ca="1">IF(AND(INDEX('Сводный годовой график'!$C$1:$AR$4,MATCH($C$36,'Сводный годовой график'!$B$1:$B$4),MATCH(DATE($AV$1,MONTH($B$34),AC$3),'Сводный годовой график'!$C$8:$AR$8))&lt;&gt;12,INDIRECT(ADDRESS(ROW()+1,COLUMN()))="СП"),8,INDEX('Сводный годовой график'!$C$1:$AR$4,MATCH($C$36,'Сводный годовой график'!$B$1:$B$4),MATCH(DATE($AV$1,MONTH($B$34),AC$3),'Сводный годовой график'!$C$8:$AR$8)))</f>
        <v>12</v>
      </c>
      <c r="AD36" s="92">
        <f ca="1">IF(AND(INDEX('Сводный годовой график'!$C$1:$AR$4,MATCH($C$36,'Сводный годовой график'!$B$1:$B$4),MATCH(DATE($AV$1,MONTH($B$34),AD$3),'Сводный годовой график'!$C$8:$AR$8))&lt;&gt;12,INDIRECT(ADDRESS(ROW()+1,COLUMN()))="СП"),8,INDEX('Сводный годовой график'!$C$1:$AR$4,MATCH($C$36,'Сводный годовой график'!$B$1:$B$4),MATCH(DATE($AV$1,MONTH($B$34),AD$3),'Сводный годовой график'!$C$8:$AR$8)))</f>
        <v>4</v>
      </c>
      <c r="AE36" s="92">
        <f ca="1">IF(AND(INDEX('Сводный годовой график'!$C$1:$AR$4,MATCH($C$36,'Сводный годовой график'!$B$1:$B$4),MATCH(DATE($AV$1,MONTH($B$34),AE$3),'Сводный годовой график'!$C$8:$AR$8))&lt;&gt;12,INDIRECT(ADDRESS(ROW()+1,COLUMN()))="СП"),8,INDEX('Сводный годовой график'!$C$1:$AR$4,MATCH($C$36,'Сводный годовой график'!$B$1:$B$4),MATCH(DATE($AV$1,MONTH($B$34),AE$3),'Сводный годовой график'!$C$8:$AR$8)))</f>
        <v>8</v>
      </c>
      <c r="AF36" s="92">
        <f ca="1">IF(AND(INDEX('Сводный годовой график'!$C$1:$AR$4,MATCH($C$36,'Сводный годовой график'!$B$1:$B$4),MATCH(DATE($AV$1,MONTH($B$34),AF$3),'Сводный годовой график'!$C$8:$AR$8))&lt;&gt;12,INDIRECT(ADDRESS(ROW()+1,COLUMN()))="СП"),8,INDEX('Сводный годовой график'!$C$1:$AR$4,MATCH($C$36,'Сводный годовой график'!$B$1:$B$4),MATCH(DATE($AV$1,MONTH($B$34),AF$3),'Сводный годовой график'!$C$8:$AR$8)))</f>
        <v>12</v>
      </c>
      <c r="AG36" s="92">
        <f ca="1">IF(AND(INDEX('Сводный годовой график'!$C$1:$AR$4,MATCH($C$36,'Сводный годовой график'!$B$1:$B$4),MATCH(DATE($AV$1,MONTH($B$34),AG$3),'Сводный годовой график'!$C$8:$AR$8))&lt;&gt;12,INDIRECT(ADDRESS(ROW()+1,COLUMN()))="СП"),8,INDEX('Сводный годовой график'!$C$1:$AR$4,MATCH($C$36,'Сводный годовой график'!$B$1:$B$4),MATCH(DATE($AV$1,MONTH($B$34),AG$3),'Сводный годовой график'!$C$8:$AR$8)))</f>
        <v>0</v>
      </c>
      <c r="AH36" s="92">
        <f ca="1">IF(AND(INDEX('Сводный годовой график'!$C$1:$AR$4,MATCH($C$36,'Сводный годовой график'!$B$1:$B$4),MATCH(DATE($AV$1,MONTH($B$34),AH$3),'Сводный годовой график'!$C$8:$AR$8))&lt;&gt;12,INDIRECT(ADDRESS(ROW()+1,COLUMN()))="СП"),8,INDEX('Сводный годовой график'!$C$1:$AR$4,MATCH($C$36,'Сводный годовой график'!$B$1:$B$4),MATCH(DATE($AV$1,MONTH($B$34),AH$3),'Сводный годовой график'!$C$8:$AR$8)))</f>
        <v>0</v>
      </c>
      <c r="AI36" s="119"/>
      <c r="AJ36" s="206"/>
      <c r="AK36" s="177">
        <f>$AJ$34-SUM(AY36:CC37)</f>
        <v>175</v>
      </c>
      <c r="AL36" s="177">
        <f t="shared" ref="AL36" ca="1" si="57">SUM(E36:AI37)</f>
        <v>188</v>
      </c>
      <c r="AM36" s="177">
        <v>0</v>
      </c>
      <c r="AN36" s="198">
        <f t="shared" ref="AN36" ca="1" si="58">-AM36-AK36+AL36</f>
        <v>13</v>
      </c>
      <c r="AO36" s="198">
        <v>12</v>
      </c>
      <c r="AP36" s="198">
        <f t="shared" ref="AP36" ca="1" si="59">AN36+AP26-AO36</f>
        <v>-16</v>
      </c>
      <c r="AQ36" s="177">
        <v>0</v>
      </c>
      <c r="AR36" s="179">
        <v>1</v>
      </c>
      <c r="CK36" s="59"/>
      <c r="CL36" s="59"/>
      <c r="CM36" s="59"/>
      <c r="CN36" s="59"/>
      <c r="CO36" s="59"/>
      <c r="CP36" s="59"/>
      <c r="CQ36" s="59"/>
      <c r="CR36" s="59"/>
      <c r="CS36" s="59"/>
      <c r="CT36" s="59"/>
      <c r="CU36" s="59"/>
      <c r="CV36" s="59"/>
      <c r="CW36" s="59"/>
      <c r="CX36" s="59"/>
      <c r="CY36" s="59"/>
      <c r="CZ36" s="59"/>
      <c r="DA36" s="59"/>
      <c r="DB36" s="59"/>
      <c r="DC36" s="59"/>
      <c r="DD36" s="59"/>
      <c r="DE36" s="59"/>
      <c r="DF36" s="59"/>
      <c r="DG36" s="59"/>
      <c r="DH36" s="59"/>
      <c r="DI36" s="59"/>
      <c r="DJ36" s="59"/>
      <c r="DK36" s="59"/>
      <c r="DL36" s="59"/>
      <c r="DM36" s="59"/>
      <c r="DN36" s="59"/>
      <c r="DO36" s="59"/>
    </row>
    <row r="37" spans="2:119" ht="16.5" thickBot="1" x14ac:dyDescent="0.3">
      <c r="B37" s="201"/>
      <c r="C37" s="197"/>
      <c r="D37" s="82">
        <v>4</v>
      </c>
      <c r="E37" s="92" t="str">
        <f t="shared" ref="E37:AH37" si="60">IF(INDEX($CK$4:$DO$123,ROW()-3,E$3)=0,"","СП")</f>
        <v/>
      </c>
      <c r="F37" s="92" t="str">
        <f t="shared" si="60"/>
        <v/>
      </c>
      <c r="G37" s="92" t="str">
        <f t="shared" si="60"/>
        <v/>
      </c>
      <c r="H37" s="92" t="str">
        <f t="shared" si="60"/>
        <v/>
      </c>
      <c r="I37" s="92" t="str">
        <f t="shared" si="60"/>
        <v>СП</v>
      </c>
      <c r="J37" s="92" t="str">
        <f t="shared" si="60"/>
        <v/>
      </c>
      <c r="K37" s="92" t="str">
        <f t="shared" si="60"/>
        <v/>
      </c>
      <c r="L37" s="92" t="str">
        <f t="shared" si="60"/>
        <v/>
      </c>
      <c r="M37" s="92" t="str">
        <f t="shared" si="60"/>
        <v/>
      </c>
      <c r="N37" s="92" t="str">
        <f t="shared" si="60"/>
        <v/>
      </c>
      <c r="O37" s="92" t="str">
        <f t="shared" si="60"/>
        <v/>
      </c>
      <c r="P37" s="92" t="str">
        <f t="shared" si="60"/>
        <v/>
      </c>
      <c r="Q37" s="92" t="str">
        <f t="shared" si="60"/>
        <v/>
      </c>
      <c r="R37" s="92" t="str">
        <f t="shared" si="60"/>
        <v/>
      </c>
      <c r="S37" s="92" t="str">
        <f t="shared" si="60"/>
        <v/>
      </c>
      <c r="T37" s="92" t="str">
        <f t="shared" si="60"/>
        <v/>
      </c>
      <c r="U37" s="92" t="str">
        <f t="shared" si="60"/>
        <v/>
      </c>
      <c r="V37" s="92" t="str">
        <f t="shared" si="60"/>
        <v/>
      </c>
      <c r="W37" s="92" t="str">
        <f t="shared" si="60"/>
        <v/>
      </c>
      <c r="X37" s="92" t="str">
        <f t="shared" si="60"/>
        <v/>
      </c>
      <c r="Y37" s="92" t="str">
        <f t="shared" si="60"/>
        <v/>
      </c>
      <c r="Z37" s="92" t="str">
        <f t="shared" si="60"/>
        <v/>
      </c>
      <c r="AA37" s="92" t="str">
        <f t="shared" si="60"/>
        <v/>
      </c>
      <c r="AB37" s="92" t="str">
        <f t="shared" si="60"/>
        <v/>
      </c>
      <c r="AC37" s="92" t="str">
        <f t="shared" si="60"/>
        <v/>
      </c>
      <c r="AD37" s="92" t="str">
        <f t="shared" si="60"/>
        <v/>
      </c>
      <c r="AE37" s="92" t="str">
        <f t="shared" si="60"/>
        <v/>
      </c>
      <c r="AF37" s="92" t="str">
        <f t="shared" si="60"/>
        <v/>
      </c>
      <c r="AG37" s="92" t="str">
        <f t="shared" si="60"/>
        <v/>
      </c>
      <c r="AH37" s="92" t="str">
        <f t="shared" si="60"/>
        <v/>
      </c>
      <c r="AI37" s="119"/>
      <c r="AJ37" s="206"/>
      <c r="AK37" s="177"/>
      <c r="AL37" s="177"/>
      <c r="AM37" s="177"/>
      <c r="AN37" s="198"/>
      <c r="AO37" s="198"/>
      <c r="AP37" s="198"/>
      <c r="AQ37" s="177"/>
      <c r="AR37" s="179"/>
      <c r="CK37" s="58">
        <f>IF(DAY(INDEX('Сводный годовой график'!$BA$4:$BL$14,$C36,MONTH($B$34)))=E$3,1,0)</f>
        <v>0</v>
      </c>
      <c r="CL37" s="58">
        <f>IF(DAY(INDEX('Сводный годовой график'!$BA$4:$BL$14,$C36,MONTH($B$34)))=F$3,1,0)</f>
        <v>0</v>
      </c>
      <c r="CM37" s="58">
        <f>IF(DAY(INDEX('Сводный годовой график'!$BA$4:$BL$14,$C36,MONTH($B$34)))=G$3,1,0)</f>
        <v>0</v>
      </c>
      <c r="CN37" s="58">
        <f>IF(DAY(INDEX('Сводный годовой график'!$BA$4:$BL$14,$C36,MONTH($B$34)))=H$3,1,0)</f>
        <v>0</v>
      </c>
      <c r="CO37" s="58">
        <f>IF(DAY(INDEX('Сводный годовой график'!$BA$4:$BL$14,$C36,MONTH($B$34)))=I$3,1,0)</f>
        <v>1</v>
      </c>
      <c r="CP37" s="58">
        <f>IF(DAY(INDEX('Сводный годовой график'!$BA$4:$BL$14,$C36,MONTH($B$34)))=J$3,1,0)</f>
        <v>0</v>
      </c>
      <c r="CQ37" s="58">
        <f>IF(DAY(INDEX('Сводный годовой график'!$BA$4:$BL$14,$C36,MONTH($B$34)))=K$3,1,0)</f>
        <v>0</v>
      </c>
      <c r="CR37" s="58">
        <f>IF(DAY(INDEX('Сводный годовой график'!$BA$4:$BL$14,$C36,MONTH($B$34)))=L$3,1,0)</f>
        <v>0</v>
      </c>
      <c r="CS37" s="58">
        <f>IF(DAY(INDEX('Сводный годовой график'!$BA$4:$BL$14,$C36,MONTH($B$34)))=M$3,1,0)</f>
        <v>0</v>
      </c>
      <c r="CT37" s="58">
        <f>IF(DAY(INDEX('Сводный годовой график'!$BA$4:$BL$14,$C36,MONTH($B$34)))=N$3,1,0)</f>
        <v>0</v>
      </c>
      <c r="CU37" s="58">
        <f>IF(DAY(INDEX('Сводный годовой график'!$BA$4:$BL$14,$C36,MONTH($B$34)))=O$3,1,0)</f>
        <v>0</v>
      </c>
      <c r="CV37" s="58">
        <f>IF(DAY(INDEX('Сводный годовой график'!$BA$4:$BL$14,$C36,MONTH($B$34)))=P$3,1,0)</f>
        <v>0</v>
      </c>
      <c r="CW37" s="58">
        <f>IF(DAY(INDEX('Сводный годовой график'!$BA$4:$BL$14,$C36,MONTH($B$34)))=Q$3,1,0)</f>
        <v>0</v>
      </c>
      <c r="CX37" s="58">
        <f>IF(DAY(INDEX('Сводный годовой график'!$BA$4:$BL$14,$C36,MONTH($B$34)))=R$3,1,0)</f>
        <v>0</v>
      </c>
      <c r="CY37" s="58">
        <f>IF(DAY(INDEX('Сводный годовой график'!$BA$4:$BL$14,$C36,MONTH($B$34)))=S$3,1,0)</f>
        <v>0</v>
      </c>
      <c r="CZ37" s="58">
        <f>IF(DAY(INDEX('Сводный годовой график'!$BA$4:$BL$14,$C36,MONTH($B$34)))=T$3,1,0)</f>
        <v>0</v>
      </c>
      <c r="DA37" s="58">
        <f>IF(DAY(INDEX('Сводный годовой график'!$BA$4:$BL$14,$C36,MONTH($B$34)))=U$3,1,0)</f>
        <v>0</v>
      </c>
      <c r="DB37" s="58">
        <f>IF(DAY(INDEX('Сводный годовой график'!$BA$4:$BL$14,$C36,MONTH($B$34)))=V$3,1,0)</f>
        <v>0</v>
      </c>
      <c r="DC37" s="58">
        <f>IF(DAY(INDEX('Сводный годовой график'!$BA$4:$BL$14,$C36,MONTH($B$34)))=W$3,1,0)</f>
        <v>0</v>
      </c>
      <c r="DD37" s="58">
        <f>IF(DAY(INDEX('Сводный годовой график'!$BA$4:$BL$14,$C36,MONTH($B$34)))=X$3,1,0)</f>
        <v>0</v>
      </c>
      <c r="DE37" s="58">
        <f>IF(DAY(INDEX('Сводный годовой график'!$BA$4:$BL$14,$C36,MONTH($B$34)))=Y$3,1,0)</f>
        <v>0</v>
      </c>
      <c r="DF37" s="58">
        <f>IF(DAY(INDEX('Сводный годовой график'!$BA$4:$BL$14,$C36,MONTH($B$34)))=Z$3,1,0)</f>
        <v>0</v>
      </c>
      <c r="DG37" s="58">
        <f>IF(DAY(INDEX('Сводный годовой график'!$BA$4:$BL$14,$C36,MONTH($B$34)))=AA$3,1,0)</f>
        <v>0</v>
      </c>
      <c r="DH37" s="58">
        <f>IF(DAY(INDEX('Сводный годовой график'!$BA$4:$BL$14,$C36,MONTH($B$34)))=AB$3,1,0)</f>
        <v>0</v>
      </c>
      <c r="DI37" s="58">
        <f>IF(DAY(INDEX('Сводный годовой график'!$BA$4:$BL$14,$C36,MONTH($B$34)))=AC$3,1,0)</f>
        <v>0</v>
      </c>
      <c r="DJ37" s="58">
        <f>IF(DAY(INDEX('Сводный годовой график'!$BA$4:$BL$14,$C36,MONTH($B$34)))=AD$3,1,0)</f>
        <v>0</v>
      </c>
      <c r="DK37" s="58">
        <f>IF(DAY(INDEX('Сводный годовой график'!$BA$4:$BL$14,$C36,MONTH($B$34)))=AE$3,1,0)</f>
        <v>0</v>
      </c>
      <c r="DL37" s="58">
        <f>IF(DAY(INDEX('Сводный годовой график'!$BA$4:$BL$14,$C36,MONTH($B$34)))=AF$3,1,0)</f>
        <v>0</v>
      </c>
      <c r="DM37" s="58">
        <f>IF(DAY(INDEX('Сводный годовой график'!$BA$4:$BL$14,$C36,MONTH($B$34)))=AG$3,1,0)</f>
        <v>0</v>
      </c>
      <c r="DN37" s="58">
        <f>IF(DAY(INDEX('Сводный годовой график'!$BA$4:$BL$14,$C36,MONTH($B$34)))=AH$3,1,0)</f>
        <v>0</v>
      </c>
      <c r="DO37" s="58">
        <f>IF(DAY(INDEX('Сводный годовой график'!$BA$4:$BL$14,$C36,MONTH($B$34)))=AI$3,1,0)</f>
        <v>0</v>
      </c>
    </row>
    <row r="38" spans="2:119" ht="16.5" thickBot="1" x14ac:dyDescent="0.3">
      <c r="B38" s="201"/>
      <c r="C38" s="196">
        <v>3</v>
      </c>
      <c r="D38" s="81">
        <v>5</v>
      </c>
      <c r="E38" s="92">
        <f ca="1">IF(AND(INDEX('Сводный годовой график'!$C$1:$AR$4,MATCH($C$38,'Сводный годовой график'!$B$1:$B$4),MATCH(DATE($AV$1,MONTH($B$34),E$3),'Сводный годовой график'!$C$8:$AR$8))&lt;&gt;12,INDIRECT(ADDRESS(ROW()+1,COLUMN()))="СП"),8,INDEX('Сводный годовой график'!$C$1:$AR$4,MATCH($C$38,'Сводный годовой график'!$B$1:$B$4),MATCH(DATE($AV$1,MONTH($B$34),E$3),'Сводный годовой график'!$C$8:$AR$8)))</f>
        <v>0</v>
      </c>
      <c r="F38" s="92">
        <f ca="1">IF(AND(INDEX('Сводный годовой график'!$C$1:$AR$4,MATCH($C$38,'Сводный годовой график'!$B$1:$B$4),MATCH(DATE($AV$1,MONTH($B$34),F$3),'Сводный годовой график'!$C$8:$AR$8))&lt;&gt;12,INDIRECT(ADDRESS(ROW()+1,COLUMN()))="СП"),8,INDEX('Сводный годовой график'!$C$1:$AR$4,MATCH($C$38,'Сводный годовой график'!$B$1:$B$4),MATCH(DATE($AV$1,MONTH($B$34),F$3),'Сводный годовой график'!$C$8:$AR$8)))</f>
        <v>0</v>
      </c>
      <c r="G38" s="92">
        <f ca="1">IF(AND(INDEX('Сводный годовой график'!$C$1:$AR$4,MATCH($C$38,'Сводный годовой график'!$B$1:$B$4),MATCH(DATE($AV$1,MONTH($B$34),G$3),'Сводный годовой график'!$C$8:$AR$8))&lt;&gt;12,INDIRECT(ADDRESS(ROW()+1,COLUMN()))="СП"),8,INDEX('Сводный годовой график'!$C$1:$AR$4,MATCH($C$38,'Сводный годовой график'!$B$1:$B$4),MATCH(DATE($AV$1,MONTH($B$34),G$3),'Сводный годовой график'!$C$8:$AR$8)))</f>
        <v>4</v>
      </c>
      <c r="H38" s="92">
        <f ca="1">IF(AND(INDEX('Сводный годовой график'!$C$1:$AR$4,MATCH($C$38,'Сводный годовой график'!$B$1:$B$4),MATCH(DATE($AV$1,MONTH($B$34),H$3),'Сводный годовой график'!$C$8:$AR$8))&lt;&gt;12,INDIRECT(ADDRESS(ROW()+1,COLUMN()))="СП"),8,INDEX('Сводный годовой график'!$C$1:$AR$4,MATCH($C$38,'Сводный годовой график'!$B$1:$B$4),MATCH(DATE($AV$1,MONTH($B$34),H$3),'Сводный годовой график'!$C$8:$AR$8)))</f>
        <v>8</v>
      </c>
      <c r="I38" s="92">
        <f ca="1">IF(AND(INDEX('Сводный годовой график'!$C$1:$AR$4,MATCH($C$38,'Сводный годовой график'!$B$1:$B$4),MATCH(DATE($AV$1,MONTH($B$34),I$3),'Сводный годовой график'!$C$8:$AR$8))&lt;&gt;12,INDIRECT(ADDRESS(ROW()+1,COLUMN()))="СП"),8,INDEX('Сводный годовой график'!$C$1:$AR$4,MATCH($C$38,'Сводный годовой график'!$B$1:$B$4),MATCH(DATE($AV$1,MONTH($B$34),I$3),'Сводный годовой график'!$C$8:$AR$8)))</f>
        <v>12</v>
      </c>
      <c r="J38" s="92">
        <f ca="1">IF(AND(INDEX('Сводный годовой график'!$C$1:$AR$4,MATCH($C$38,'Сводный годовой график'!$B$1:$B$4),MATCH(DATE($AV$1,MONTH($B$34),J$3),'Сводный годовой график'!$C$8:$AR$8))&lt;&gt;12,INDIRECT(ADDRESS(ROW()+1,COLUMN()))="СП"),8,INDEX('Сводный годовой график'!$C$1:$AR$4,MATCH($C$38,'Сводный годовой график'!$B$1:$B$4),MATCH(DATE($AV$1,MONTH($B$34),J$3),'Сводный годовой график'!$C$8:$AR$8)))</f>
        <v>8</v>
      </c>
      <c r="K38" s="92">
        <f ca="1">IF(AND(INDEX('Сводный годовой график'!$C$1:$AR$4,MATCH($C$38,'Сводный годовой график'!$B$1:$B$4),MATCH(DATE($AV$1,MONTH($B$34),K$3),'Сводный годовой график'!$C$8:$AR$8))&lt;&gt;12,INDIRECT(ADDRESS(ROW()+1,COLUMN()))="СП"),8,INDEX('Сводный годовой график'!$C$1:$AR$4,MATCH($C$38,'Сводный годовой график'!$B$1:$B$4),MATCH(DATE($AV$1,MONTH($B$34),K$3),'Сводный годовой график'!$C$8:$AR$8)))</f>
        <v>8</v>
      </c>
      <c r="L38" s="92">
        <f ca="1">IF(AND(INDEX('Сводный годовой график'!$C$1:$AR$4,MATCH($C$38,'Сводный годовой график'!$B$1:$B$4),MATCH(DATE($AV$1,MONTH($B$34),L$3),'Сводный годовой график'!$C$8:$AR$8))&lt;&gt;12,INDIRECT(ADDRESS(ROW()+1,COLUMN()))="СП"),8,INDEX('Сводный годовой график'!$C$1:$AR$4,MATCH($C$38,'Сводный годовой график'!$B$1:$B$4),MATCH(DATE($AV$1,MONTH($B$34),L$3),'Сводный годовой график'!$C$8:$AR$8)))</f>
        <v>12</v>
      </c>
      <c r="M38" s="92">
        <f ca="1">IF(AND(INDEX('Сводный годовой график'!$C$1:$AR$4,MATCH($C$38,'Сводный годовой график'!$B$1:$B$4),MATCH(DATE($AV$1,MONTH($B$34),M$3),'Сводный годовой график'!$C$8:$AR$8))&lt;&gt;12,INDIRECT(ADDRESS(ROW()+1,COLUMN()))="СП"),8,INDEX('Сводный годовой график'!$C$1:$AR$4,MATCH($C$38,'Сводный годовой график'!$B$1:$B$4),MATCH(DATE($AV$1,MONTH($B$34),M$3),'Сводный годовой график'!$C$8:$AR$8)))</f>
        <v>0</v>
      </c>
      <c r="N38" s="92">
        <f ca="1">IF(AND(INDEX('Сводный годовой график'!$C$1:$AR$4,MATCH($C$38,'Сводный годовой график'!$B$1:$B$4),MATCH(DATE($AV$1,MONTH($B$34),N$3),'Сводный годовой график'!$C$8:$AR$8))&lt;&gt;12,INDIRECT(ADDRESS(ROW()+1,COLUMN()))="СП"),8,INDEX('Сводный годовой график'!$C$1:$AR$4,MATCH($C$38,'Сводный годовой график'!$B$1:$B$4),MATCH(DATE($AV$1,MONTH($B$34),N$3),'Сводный годовой график'!$C$8:$AR$8)))</f>
        <v>0</v>
      </c>
      <c r="O38" s="92">
        <f ca="1">IF(AND(INDEX('Сводный годовой график'!$C$1:$AR$4,MATCH($C$38,'Сводный годовой график'!$B$1:$B$4),MATCH(DATE($AV$1,MONTH($B$34),O$3),'Сводный годовой график'!$C$8:$AR$8))&lt;&gt;12,INDIRECT(ADDRESS(ROW()+1,COLUMN()))="СП"),8,INDEX('Сводный годовой график'!$C$1:$AR$4,MATCH($C$38,'Сводный годовой график'!$B$1:$B$4),MATCH(DATE($AV$1,MONTH($B$34),O$3),'Сводный годовой график'!$C$8:$AR$8)))</f>
        <v>4</v>
      </c>
      <c r="P38" s="92">
        <f ca="1">IF(AND(INDEX('Сводный годовой график'!$C$1:$AR$4,MATCH($C$38,'Сводный годовой график'!$B$1:$B$4),MATCH(DATE($AV$1,MONTH($B$34),P$3),'Сводный годовой график'!$C$8:$AR$8))&lt;&gt;12,INDIRECT(ADDRESS(ROW()+1,COLUMN()))="СП"),8,INDEX('Сводный годовой график'!$C$1:$AR$4,MATCH($C$38,'Сводный годовой график'!$B$1:$B$4),MATCH(DATE($AV$1,MONTH($B$34),P$3),'Сводный годовой график'!$C$8:$AR$8)))</f>
        <v>8</v>
      </c>
      <c r="Q38" s="92">
        <f ca="1">IF(AND(INDEX('Сводный годовой график'!$C$1:$AR$4,MATCH($C$38,'Сводный годовой график'!$B$1:$B$4),MATCH(DATE($AV$1,MONTH($B$34),Q$3),'Сводный годовой график'!$C$8:$AR$8))&lt;&gt;12,INDIRECT(ADDRESS(ROW()+1,COLUMN()))="СП"),8,INDEX('Сводный годовой график'!$C$1:$AR$4,MATCH($C$38,'Сводный годовой график'!$B$1:$B$4),MATCH(DATE($AV$1,MONTH($B$34),Q$3),'Сводный годовой график'!$C$8:$AR$8)))</f>
        <v>12</v>
      </c>
      <c r="R38" s="92">
        <f ca="1">IF(AND(INDEX('Сводный годовой график'!$C$1:$AR$4,MATCH($C$38,'Сводный годовой график'!$B$1:$B$4),MATCH(DATE($AV$1,MONTH($B$34),R$3),'Сводный годовой график'!$C$8:$AR$8))&lt;&gt;12,INDIRECT(ADDRESS(ROW()+1,COLUMN()))="СП"),8,INDEX('Сводный годовой график'!$C$1:$AR$4,MATCH($C$38,'Сводный годовой график'!$B$1:$B$4),MATCH(DATE($AV$1,MONTH($B$34),R$3),'Сводный годовой график'!$C$8:$AR$8)))</f>
        <v>4</v>
      </c>
      <c r="S38" s="92">
        <f ca="1">IF(AND(INDEX('Сводный годовой график'!$C$1:$AR$4,MATCH($C$38,'Сводный годовой график'!$B$1:$B$4),MATCH(DATE($AV$1,MONTH($B$34),S$3),'Сводный годовой график'!$C$8:$AR$8))&lt;&gt;12,INDIRECT(ADDRESS(ROW()+1,COLUMN()))="СП"),8,INDEX('Сводный годовой график'!$C$1:$AR$4,MATCH($C$38,'Сводный годовой график'!$B$1:$B$4),MATCH(DATE($AV$1,MONTH($B$34),S$3),'Сводный годовой график'!$C$8:$AR$8)))</f>
        <v>8</v>
      </c>
      <c r="T38" s="92">
        <f ca="1">IF(AND(INDEX('Сводный годовой график'!$C$1:$AR$4,MATCH($C$38,'Сводный годовой график'!$B$1:$B$4),MATCH(DATE($AV$1,MONTH($B$34),T$3),'Сводный годовой график'!$C$8:$AR$8))&lt;&gt;12,INDIRECT(ADDRESS(ROW()+1,COLUMN()))="СП"),8,INDEX('Сводный годовой график'!$C$1:$AR$4,MATCH($C$38,'Сводный годовой график'!$B$1:$B$4),MATCH(DATE($AV$1,MONTH($B$34),T$3),'Сводный годовой график'!$C$8:$AR$8)))</f>
        <v>12</v>
      </c>
      <c r="U38" s="92">
        <f ca="1">IF(AND(INDEX('Сводный годовой график'!$C$1:$AR$4,MATCH($C$38,'Сводный годовой график'!$B$1:$B$4),MATCH(DATE($AV$1,MONTH($B$34),U$3),'Сводный годовой график'!$C$8:$AR$8))&lt;&gt;12,INDIRECT(ADDRESS(ROW()+1,COLUMN()))="СП"),8,INDEX('Сводный годовой график'!$C$1:$AR$4,MATCH($C$38,'Сводный годовой график'!$B$1:$B$4),MATCH(DATE($AV$1,MONTH($B$34),U$3),'Сводный годовой график'!$C$8:$AR$8)))</f>
        <v>0</v>
      </c>
      <c r="V38" s="92">
        <f ca="1">IF(AND(INDEX('Сводный годовой график'!$C$1:$AR$4,MATCH($C$38,'Сводный годовой график'!$B$1:$B$4),MATCH(DATE($AV$1,MONTH($B$34),V$3),'Сводный годовой график'!$C$8:$AR$8))&lt;&gt;12,INDIRECT(ADDRESS(ROW()+1,COLUMN()))="СП"),8,INDEX('Сводный годовой график'!$C$1:$AR$4,MATCH($C$38,'Сводный годовой график'!$B$1:$B$4),MATCH(DATE($AV$1,MONTH($B$34),V$3),'Сводный годовой график'!$C$8:$AR$8)))</f>
        <v>0</v>
      </c>
      <c r="W38" s="92">
        <f ca="1">IF(AND(INDEX('Сводный годовой график'!$C$1:$AR$4,MATCH($C$38,'Сводный годовой график'!$B$1:$B$4),MATCH(DATE($AV$1,MONTH($B$34),W$3),'Сводный годовой график'!$C$8:$AR$8))&lt;&gt;12,INDIRECT(ADDRESS(ROW()+1,COLUMN()))="СП"),8,INDEX('Сводный годовой график'!$C$1:$AR$4,MATCH($C$38,'Сводный годовой график'!$B$1:$B$4),MATCH(DATE($AV$1,MONTH($B$34),W$3),'Сводный годовой график'!$C$8:$AR$8)))</f>
        <v>4</v>
      </c>
      <c r="X38" s="92">
        <f ca="1">IF(AND(INDEX('Сводный годовой график'!$C$1:$AR$4,MATCH($C$38,'Сводный годовой график'!$B$1:$B$4),MATCH(DATE($AV$1,MONTH($B$34),X$3),'Сводный годовой график'!$C$8:$AR$8))&lt;&gt;12,INDIRECT(ADDRESS(ROW()+1,COLUMN()))="СП"),8,INDEX('Сводный годовой график'!$C$1:$AR$4,MATCH($C$38,'Сводный годовой график'!$B$1:$B$4),MATCH(DATE($AV$1,MONTH($B$34),X$3),'Сводный годовой график'!$C$8:$AR$8)))</f>
        <v>8</v>
      </c>
      <c r="Y38" s="92">
        <f ca="1">IF(AND(INDEX('Сводный годовой график'!$C$1:$AR$4,MATCH($C$38,'Сводный годовой график'!$B$1:$B$4),MATCH(DATE($AV$1,MONTH($B$34),Y$3),'Сводный годовой график'!$C$8:$AR$8))&lt;&gt;12,INDIRECT(ADDRESS(ROW()+1,COLUMN()))="СП"),8,INDEX('Сводный годовой график'!$C$1:$AR$4,MATCH($C$38,'Сводный годовой график'!$B$1:$B$4),MATCH(DATE($AV$1,MONTH($B$34),Y$3),'Сводный годовой график'!$C$8:$AR$8)))</f>
        <v>12</v>
      </c>
      <c r="Z38" s="92">
        <f ca="1">IF(AND(INDEX('Сводный годовой график'!$C$1:$AR$4,MATCH($C$38,'Сводный годовой график'!$B$1:$B$4),MATCH(DATE($AV$1,MONTH($B$34),Z$3),'Сводный годовой график'!$C$8:$AR$8))&lt;&gt;12,INDIRECT(ADDRESS(ROW()+1,COLUMN()))="СП"),8,INDEX('Сводный годовой график'!$C$1:$AR$4,MATCH($C$38,'Сводный годовой график'!$B$1:$B$4),MATCH(DATE($AV$1,MONTH($B$34),Z$3),'Сводный годовой график'!$C$8:$AR$8)))</f>
        <v>4</v>
      </c>
      <c r="AA38" s="92">
        <f ca="1">IF(AND(INDEX('Сводный годовой график'!$C$1:$AR$4,MATCH($C$38,'Сводный годовой график'!$B$1:$B$4),MATCH(DATE($AV$1,MONTH($B$34),AA$3),'Сводный годовой график'!$C$8:$AR$8))&lt;&gt;12,INDIRECT(ADDRESS(ROW()+1,COLUMN()))="СП"),8,INDEX('Сводный годовой график'!$C$1:$AR$4,MATCH($C$38,'Сводный годовой график'!$B$1:$B$4),MATCH(DATE($AV$1,MONTH($B$34),AA$3),'Сводный годовой график'!$C$8:$AR$8)))</f>
        <v>8</v>
      </c>
      <c r="AB38" s="92">
        <f ca="1">IF(AND(INDEX('Сводный годовой график'!$C$1:$AR$4,MATCH($C$38,'Сводный годовой график'!$B$1:$B$4),MATCH(DATE($AV$1,MONTH($B$34),AB$3),'Сводный годовой график'!$C$8:$AR$8))&lt;&gt;12,INDIRECT(ADDRESS(ROW()+1,COLUMN()))="СП"),8,INDEX('Сводный годовой график'!$C$1:$AR$4,MATCH($C$38,'Сводный годовой график'!$B$1:$B$4),MATCH(DATE($AV$1,MONTH($B$34),AB$3),'Сводный годовой график'!$C$8:$AR$8)))</f>
        <v>12</v>
      </c>
      <c r="AC38" s="92">
        <f ca="1">IF(AND(INDEX('Сводный годовой график'!$C$1:$AR$4,MATCH($C$38,'Сводный годовой график'!$B$1:$B$4),MATCH(DATE($AV$1,MONTH($B$34),AC$3),'Сводный годовой график'!$C$8:$AR$8))&lt;&gt;12,INDIRECT(ADDRESS(ROW()+1,COLUMN()))="СП"),8,INDEX('Сводный годовой график'!$C$1:$AR$4,MATCH($C$38,'Сводный годовой график'!$B$1:$B$4),MATCH(DATE($AV$1,MONTH($B$34),AC$3),'Сводный годовой график'!$C$8:$AR$8)))</f>
        <v>0</v>
      </c>
      <c r="AD38" s="92">
        <f ca="1">IF(AND(INDEX('Сводный годовой график'!$C$1:$AR$4,MATCH($C$38,'Сводный годовой график'!$B$1:$B$4),MATCH(DATE($AV$1,MONTH($B$34),AD$3),'Сводный годовой график'!$C$8:$AR$8))&lt;&gt;12,INDIRECT(ADDRESS(ROW()+1,COLUMN()))="СП"),8,INDEX('Сводный годовой график'!$C$1:$AR$4,MATCH($C$38,'Сводный годовой график'!$B$1:$B$4),MATCH(DATE($AV$1,MONTH($B$34),AD$3),'Сводный годовой график'!$C$8:$AR$8)))</f>
        <v>0</v>
      </c>
      <c r="AE38" s="92">
        <f ca="1">IF(AND(INDEX('Сводный годовой график'!$C$1:$AR$4,MATCH($C$38,'Сводный годовой график'!$B$1:$B$4),MATCH(DATE($AV$1,MONTH($B$34),AE$3),'Сводный годовой график'!$C$8:$AR$8))&lt;&gt;12,INDIRECT(ADDRESS(ROW()+1,COLUMN()))="СП"),8,INDEX('Сводный годовой график'!$C$1:$AR$4,MATCH($C$38,'Сводный годовой график'!$B$1:$B$4),MATCH(DATE($AV$1,MONTH($B$34),AE$3),'Сводный годовой график'!$C$8:$AR$8)))</f>
        <v>4</v>
      </c>
      <c r="AF38" s="92">
        <f ca="1">IF(AND(INDEX('Сводный годовой график'!$C$1:$AR$4,MATCH($C$38,'Сводный годовой график'!$B$1:$B$4),MATCH(DATE($AV$1,MONTH($B$34),AF$3),'Сводный годовой график'!$C$8:$AR$8))&lt;&gt;12,INDIRECT(ADDRESS(ROW()+1,COLUMN()))="СП"),8,INDEX('Сводный годовой график'!$C$1:$AR$4,MATCH($C$38,'Сводный годовой график'!$B$1:$B$4),MATCH(DATE($AV$1,MONTH($B$34),AF$3),'Сводный годовой график'!$C$8:$AR$8)))</f>
        <v>8</v>
      </c>
      <c r="AG38" s="92">
        <f ca="1">IF(AND(INDEX('Сводный годовой график'!$C$1:$AR$4,MATCH($C$38,'Сводный годовой график'!$B$1:$B$4),MATCH(DATE($AV$1,MONTH($B$34),AG$3),'Сводный годовой график'!$C$8:$AR$8))&lt;&gt;12,INDIRECT(ADDRESS(ROW()+1,COLUMN()))="СП"),8,INDEX('Сводный годовой график'!$C$1:$AR$4,MATCH($C$38,'Сводный годовой график'!$B$1:$B$4),MATCH(DATE($AV$1,MONTH($B$34),AG$3),'Сводный годовой график'!$C$8:$AR$8)))</f>
        <v>12</v>
      </c>
      <c r="AH38" s="92">
        <f ca="1">IF(AND(INDEX('Сводный годовой график'!$C$1:$AR$4,MATCH($C$38,'Сводный годовой график'!$B$1:$B$4),MATCH(DATE($AV$1,MONTH($B$34),AH$3),'Сводный годовой график'!$C$8:$AR$8))&lt;&gt;12,INDIRECT(ADDRESS(ROW()+1,COLUMN()))="СП"),8,INDEX('Сводный годовой график'!$C$1:$AR$4,MATCH($C$38,'Сводный годовой график'!$B$1:$B$4),MATCH(DATE($AV$1,MONTH($B$34),AH$3),'Сводный годовой график'!$C$8:$AR$8)))</f>
        <v>4</v>
      </c>
      <c r="AI38" s="119"/>
      <c r="AJ38" s="206"/>
      <c r="AK38" s="177">
        <f>$AJ$34-SUM(AY38:CC39)</f>
        <v>175</v>
      </c>
      <c r="AL38" s="177">
        <f t="shared" ref="AL38" ca="1" si="61">SUM(E38:AI39)</f>
        <v>176</v>
      </c>
      <c r="AM38" s="177">
        <v>0</v>
      </c>
      <c r="AN38" s="198">
        <f t="shared" ref="AN38" ca="1" si="62">-AM38-AK38+AL38</f>
        <v>1</v>
      </c>
      <c r="AO38" s="198">
        <v>0</v>
      </c>
      <c r="AP38" s="198">
        <f t="shared" ref="AP38" ca="1" si="63">AN38+AP28-AO38</f>
        <v>18</v>
      </c>
      <c r="AQ38" s="177">
        <v>0</v>
      </c>
      <c r="AR38" s="179">
        <v>1</v>
      </c>
      <c r="CK38" s="59"/>
      <c r="CL38" s="59"/>
      <c r="CM38" s="59"/>
      <c r="CN38" s="59"/>
      <c r="CO38" s="59"/>
      <c r="CP38" s="59"/>
      <c r="CQ38" s="59"/>
      <c r="CR38" s="59"/>
      <c r="CS38" s="59"/>
      <c r="CT38" s="59"/>
      <c r="CU38" s="59"/>
      <c r="CV38" s="59"/>
      <c r="CW38" s="59"/>
      <c r="CX38" s="59"/>
      <c r="CY38" s="59"/>
      <c r="CZ38" s="59"/>
      <c r="DA38" s="59"/>
      <c r="DB38" s="59"/>
      <c r="DC38" s="59"/>
      <c r="DD38" s="59"/>
      <c r="DE38" s="59"/>
      <c r="DF38" s="59"/>
      <c r="DG38" s="59"/>
      <c r="DH38" s="59"/>
      <c r="DI38" s="59"/>
      <c r="DJ38" s="59"/>
      <c r="DK38" s="59"/>
      <c r="DL38" s="59"/>
      <c r="DM38" s="59"/>
      <c r="DN38" s="59"/>
      <c r="DO38" s="59"/>
    </row>
    <row r="39" spans="2:119" ht="16.5" thickBot="1" x14ac:dyDescent="0.3">
      <c r="B39" s="201"/>
      <c r="C39" s="197"/>
      <c r="D39" s="82">
        <v>6</v>
      </c>
      <c r="E39" s="92" t="str">
        <f t="shared" ref="E39:AH39" si="64">IF(INDEX($CK$4:$DO$123,ROW()-3,E$3)=0,"","СП")</f>
        <v/>
      </c>
      <c r="F39" s="92" t="str">
        <f t="shared" si="64"/>
        <v/>
      </c>
      <c r="G39" s="92" t="str">
        <f t="shared" si="64"/>
        <v/>
      </c>
      <c r="H39" s="92" t="str">
        <f t="shared" si="64"/>
        <v/>
      </c>
      <c r="I39" s="92" t="str">
        <f t="shared" si="64"/>
        <v/>
      </c>
      <c r="J39" s="92" t="str">
        <f t="shared" si="64"/>
        <v>СП</v>
      </c>
      <c r="K39" s="92" t="str">
        <f t="shared" si="64"/>
        <v/>
      </c>
      <c r="L39" s="92" t="str">
        <f t="shared" si="64"/>
        <v/>
      </c>
      <c r="M39" s="92" t="str">
        <f t="shared" si="64"/>
        <v/>
      </c>
      <c r="N39" s="92" t="str">
        <f t="shared" si="64"/>
        <v/>
      </c>
      <c r="O39" s="92" t="str">
        <f t="shared" si="64"/>
        <v/>
      </c>
      <c r="P39" s="92" t="str">
        <f t="shared" si="64"/>
        <v/>
      </c>
      <c r="Q39" s="92" t="str">
        <f t="shared" si="64"/>
        <v/>
      </c>
      <c r="R39" s="92" t="str">
        <f t="shared" si="64"/>
        <v/>
      </c>
      <c r="S39" s="92" t="str">
        <f t="shared" si="64"/>
        <v/>
      </c>
      <c r="T39" s="92" t="str">
        <f t="shared" si="64"/>
        <v/>
      </c>
      <c r="U39" s="92" t="str">
        <f t="shared" si="64"/>
        <v/>
      </c>
      <c r="V39" s="92" t="str">
        <f t="shared" si="64"/>
        <v/>
      </c>
      <c r="W39" s="92" t="str">
        <f t="shared" si="64"/>
        <v/>
      </c>
      <c r="X39" s="92" t="str">
        <f t="shared" si="64"/>
        <v/>
      </c>
      <c r="Y39" s="92" t="str">
        <f t="shared" si="64"/>
        <v/>
      </c>
      <c r="Z39" s="92" t="str">
        <f t="shared" si="64"/>
        <v/>
      </c>
      <c r="AA39" s="92" t="str">
        <f t="shared" si="64"/>
        <v/>
      </c>
      <c r="AB39" s="92" t="str">
        <f t="shared" si="64"/>
        <v/>
      </c>
      <c r="AC39" s="92" t="str">
        <f t="shared" si="64"/>
        <v/>
      </c>
      <c r="AD39" s="92" t="str">
        <f t="shared" si="64"/>
        <v/>
      </c>
      <c r="AE39" s="92" t="str">
        <f t="shared" si="64"/>
        <v/>
      </c>
      <c r="AF39" s="92" t="str">
        <f t="shared" si="64"/>
        <v/>
      </c>
      <c r="AG39" s="92" t="str">
        <f t="shared" si="64"/>
        <v/>
      </c>
      <c r="AH39" s="92" t="str">
        <f t="shared" si="64"/>
        <v/>
      </c>
      <c r="AI39" s="119"/>
      <c r="AJ39" s="206"/>
      <c r="AK39" s="177"/>
      <c r="AL39" s="177"/>
      <c r="AM39" s="177"/>
      <c r="AN39" s="198"/>
      <c r="AO39" s="198"/>
      <c r="AP39" s="198"/>
      <c r="AQ39" s="177"/>
      <c r="AR39" s="179"/>
      <c r="CK39" s="58">
        <f>IF(DAY(INDEX('Сводный годовой график'!$BA$4:$BL$14,$C38,MONTH($B$34)))=E$3,1,0)</f>
        <v>0</v>
      </c>
      <c r="CL39" s="58">
        <f>IF(DAY(INDEX('Сводный годовой график'!$BA$4:$BL$14,$C38,MONTH($B$34)))=F$3,1,0)</f>
        <v>0</v>
      </c>
      <c r="CM39" s="58">
        <f>IF(DAY(INDEX('Сводный годовой график'!$BA$4:$BL$14,$C38,MONTH($B$34)))=G$3,1,0)</f>
        <v>0</v>
      </c>
      <c r="CN39" s="58">
        <f>IF(DAY(INDEX('Сводный годовой график'!$BA$4:$BL$14,$C38,MONTH($B$34)))=H$3,1,0)</f>
        <v>0</v>
      </c>
      <c r="CO39" s="58">
        <f>IF(DAY(INDEX('Сводный годовой график'!$BA$4:$BL$14,$C38,MONTH($B$34)))=I$3,1,0)</f>
        <v>0</v>
      </c>
      <c r="CP39" s="58">
        <f>IF(DAY(INDEX('Сводный годовой график'!$BA$4:$BL$14,$C38,MONTH($B$34)))=J$3,1,0)</f>
        <v>1</v>
      </c>
      <c r="CQ39" s="58">
        <f>IF(DAY(INDEX('Сводный годовой график'!$BA$4:$BL$14,$C38,MONTH($B$34)))=K$3,1,0)</f>
        <v>0</v>
      </c>
      <c r="CR39" s="58">
        <f>IF(DAY(INDEX('Сводный годовой график'!$BA$4:$BL$14,$C38,MONTH($B$34)))=L$3,1,0)</f>
        <v>0</v>
      </c>
      <c r="CS39" s="58">
        <f>IF(DAY(INDEX('Сводный годовой график'!$BA$4:$BL$14,$C38,MONTH($B$34)))=M$3,1,0)</f>
        <v>0</v>
      </c>
      <c r="CT39" s="58">
        <f>IF(DAY(INDEX('Сводный годовой график'!$BA$4:$BL$14,$C38,MONTH($B$34)))=N$3,1,0)</f>
        <v>0</v>
      </c>
      <c r="CU39" s="58">
        <f>IF(DAY(INDEX('Сводный годовой график'!$BA$4:$BL$14,$C38,MONTH($B$34)))=O$3,1,0)</f>
        <v>0</v>
      </c>
      <c r="CV39" s="58">
        <f>IF(DAY(INDEX('Сводный годовой график'!$BA$4:$BL$14,$C38,MONTH($B$34)))=P$3,1,0)</f>
        <v>0</v>
      </c>
      <c r="CW39" s="58">
        <f>IF(DAY(INDEX('Сводный годовой график'!$BA$4:$BL$14,$C38,MONTH($B$34)))=Q$3,1,0)</f>
        <v>0</v>
      </c>
      <c r="CX39" s="58">
        <f>IF(DAY(INDEX('Сводный годовой график'!$BA$4:$BL$14,$C38,MONTH($B$34)))=R$3,1,0)</f>
        <v>0</v>
      </c>
      <c r="CY39" s="58">
        <f>IF(DAY(INDEX('Сводный годовой график'!$BA$4:$BL$14,$C38,MONTH($B$34)))=S$3,1,0)</f>
        <v>0</v>
      </c>
      <c r="CZ39" s="58">
        <f>IF(DAY(INDEX('Сводный годовой график'!$BA$4:$BL$14,$C38,MONTH($B$34)))=T$3,1,0)</f>
        <v>0</v>
      </c>
      <c r="DA39" s="58">
        <f>IF(DAY(INDEX('Сводный годовой график'!$BA$4:$BL$14,$C38,MONTH($B$34)))=U$3,1,0)</f>
        <v>0</v>
      </c>
      <c r="DB39" s="58">
        <f>IF(DAY(INDEX('Сводный годовой график'!$BA$4:$BL$14,$C38,MONTH($B$34)))=V$3,1,0)</f>
        <v>0</v>
      </c>
      <c r="DC39" s="58">
        <f>IF(DAY(INDEX('Сводный годовой график'!$BA$4:$BL$14,$C38,MONTH($B$34)))=W$3,1,0)</f>
        <v>0</v>
      </c>
      <c r="DD39" s="58">
        <f>IF(DAY(INDEX('Сводный годовой график'!$BA$4:$BL$14,$C38,MONTH($B$34)))=X$3,1,0)</f>
        <v>0</v>
      </c>
      <c r="DE39" s="58">
        <f>IF(DAY(INDEX('Сводный годовой график'!$BA$4:$BL$14,$C38,MONTH($B$34)))=Y$3,1,0)</f>
        <v>0</v>
      </c>
      <c r="DF39" s="58">
        <f>IF(DAY(INDEX('Сводный годовой график'!$BA$4:$BL$14,$C38,MONTH($B$34)))=Z$3,1,0)</f>
        <v>0</v>
      </c>
      <c r="DG39" s="58">
        <f>IF(DAY(INDEX('Сводный годовой график'!$BA$4:$BL$14,$C38,MONTH($B$34)))=AA$3,1,0)</f>
        <v>0</v>
      </c>
      <c r="DH39" s="58">
        <f>IF(DAY(INDEX('Сводный годовой график'!$BA$4:$BL$14,$C38,MONTH($B$34)))=AB$3,1,0)</f>
        <v>0</v>
      </c>
      <c r="DI39" s="58">
        <f>IF(DAY(INDEX('Сводный годовой график'!$BA$4:$BL$14,$C38,MONTH($B$34)))=AC$3,1,0)</f>
        <v>0</v>
      </c>
      <c r="DJ39" s="58">
        <f>IF(DAY(INDEX('Сводный годовой график'!$BA$4:$BL$14,$C38,MONTH($B$34)))=AD$3,1,0)</f>
        <v>0</v>
      </c>
      <c r="DK39" s="58">
        <f>IF(DAY(INDEX('Сводный годовой график'!$BA$4:$BL$14,$C38,MONTH($B$34)))=AE$3,1,0)</f>
        <v>0</v>
      </c>
      <c r="DL39" s="58">
        <f>IF(DAY(INDEX('Сводный годовой график'!$BA$4:$BL$14,$C38,MONTH($B$34)))=AF$3,1,0)</f>
        <v>0</v>
      </c>
      <c r="DM39" s="58">
        <f>IF(DAY(INDEX('Сводный годовой график'!$BA$4:$BL$14,$C38,MONTH($B$34)))=AG$3,1,0)</f>
        <v>0</v>
      </c>
      <c r="DN39" s="58">
        <f>IF(DAY(INDEX('Сводный годовой график'!$BA$4:$BL$14,$C38,MONTH($B$34)))=AH$3,1,0)</f>
        <v>0</v>
      </c>
      <c r="DO39" s="58">
        <f>IF(DAY(INDEX('Сводный годовой график'!$BA$4:$BL$14,$C38,MONTH($B$34)))=AI$3,1,0)</f>
        <v>0</v>
      </c>
    </row>
    <row r="40" spans="2:119" ht="16.5" thickBot="1" x14ac:dyDescent="0.3">
      <c r="B40" s="201"/>
      <c r="C40" s="196">
        <v>4</v>
      </c>
      <c r="D40" s="81">
        <v>7</v>
      </c>
      <c r="E40" s="92">
        <f ca="1">IF(AND(INDEX('Сводный годовой график'!$C$1:$AR$4,MATCH($C$40,'Сводный годовой график'!$B$1:$B$4),MATCH(DATE($AV$1,MONTH($B$34),E$3),'Сводный годовой график'!$C$8:$AR$8))&lt;&gt;12,INDIRECT(ADDRESS(ROW()+1,COLUMN()))="СП"),8,INDEX('Сводный годовой график'!$C$1:$AR$4,MATCH($C$40,'Сводный годовой график'!$B$1:$B$4),MATCH(DATE($AV$1,MONTH($B$34),E$3),'Сводный годовой график'!$C$8:$AR$8)))</f>
        <v>8</v>
      </c>
      <c r="F40" s="92">
        <f ca="1">IF(AND(INDEX('Сводный годовой график'!$C$1:$AR$4,MATCH($C$40,'Сводный годовой график'!$B$1:$B$4),MATCH(DATE($AV$1,MONTH($B$34),F$3),'Сводный годовой график'!$C$8:$AR$8))&lt;&gt;12,INDIRECT(ADDRESS(ROW()+1,COLUMN()))="СП"),8,INDEX('Сводный годовой график'!$C$1:$AR$4,MATCH($C$40,'Сводный годовой график'!$B$1:$B$4),MATCH(DATE($AV$1,MONTH($B$34),F$3),'Сводный годовой график'!$C$8:$AR$8)))</f>
        <v>12</v>
      </c>
      <c r="G40" s="92">
        <f ca="1">IF(AND(INDEX('Сводный годовой график'!$C$1:$AR$4,MATCH($C$40,'Сводный годовой график'!$B$1:$B$4),MATCH(DATE($AV$1,MONTH($B$34),G$3),'Сводный годовой график'!$C$8:$AR$8))&lt;&gt;12,INDIRECT(ADDRESS(ROW()+1,COLUMN()))="СП"),8,INDEX('Сводный годовой график'!$C$1:$AR$4,MATCH($C$40,'Сводный годовой график'!$B$1:$B$4),MATCH(DATE($AV$1,MONTH($B$34),G$3),'Сводный годовой график'!$C$8:$AR$8)))</f>
        <v>0</v>
      </c>
      <c r="H40" s="92">
        <f ca="1">IF(AND(INDEX('Сводный годовой график'!$C$1:$AR$4,MATCH($C$40,'Сводный годовой график'!$B$1:$B$4),MATCH(DATE($AV$1,MONTH($B$34),H$3),'Сводный годовой график'!$C$8:$AR$8))&lt;&gt;12,INDIRECT(ADDRESS(ROW()+1,COLUMN()))="СП"),8,INDEX('Сводный годовой график'!$C$1:$AR$4,MATCH($C$40,'Сводный годовой график'!$B$1:$B$4),MATCH(DATE($AV$1,MONTH($B$34),H$3),'Сводный годовой график'!$C$8:$AR$8)))</f>
        <v>0</v>
      </c>
      <c r="I40" s="92">
        <f ca="1">IF(AND(INDEX('Сводный годовой график'!$C$1:$AR$4,MATCH($C$40,'Сводный годовой график'!$B$1:$B$4),MATCH(DATE($AV$1,MONTH($B$34),I$3),'Сводный годовой график'!$C$8:$AR$8))&lt;&gt;12,INDIRECT(ADDRESS(ROW()+1,COLUMN()))="СП"),8,INDEX('Сводный годовой график'!$C$1:$AR$4,MATCH($C$40,'Сводный годовой график'!$B$1:$B$4),MATCH(DATE($AV$1,MONTH($B$34),I$3),'Сводный годовой график'!$C$8:$AR$8)))</f>
        <v>4</v>
      </c>
      <c r="J40" s="92">
        <f ca="1">IF(AND(INDEX('Сводный годовой график'!$C$1:$AR$4,MATCH($C$40,'Сводный годовой график'!$B$1:$B$4),MATCH(DATE($AV$1,MONTH($B$34),J$3),'Сводный годовой график'!$C$8:$AR$8))&lt;&gt;12,INDIRECT(ADDRESS(ROW()+1,COLUMN()))="СП"),8,INDEX('Сводный годовой график'!$C$1:$AR$4,MATCH($C$40,'Сводный годовой график'!$B$1:$B$4),MATCH(DATE($AV$1,MONTH($B$34),J$3),'Сводный годовой график'!$C$8:$AR$8)))</f>
        <v>8</v>
      </c>
      <c r="K40" s="92">
        <f ca="1">IF(AND(INDEX('Сводный годовой график'!$C$1:$AR$4,MATCH($C$40,'Сводный годовой график'!$B$1:$B$4),MATCH(DATE($AV$1,MONTH($B$34),K$3),'Сводный годовой график'!$C$8:$AR$8))&lt;&gt;12,INDIRECT(ADDRESS(ROW()+1,COLUMN()))="СП"),8,INDEX('Сводный годовой график'!$C$1:$AR$4,MATCH($C$40,'Сводный годовой график'!$B$1:$B$4),MATCH(DATE($AV$1,MONTH($B$34),K$3),'Сводный годовой график'!$C$8:$AR$8)))</f>
        <v>12</v>
      </c>
      <c r="L40" s="92">
        <f ca="1">IF(AND(INDEX('Сводный годовой график'!$C$1:$AR$4,MATCH($C$40,'Сводный годовой график'!$B$1:$B$4),MATCH(DATE($AV$1,MONTH($B$34),L$3),'Сводный годовой график'!$C$8:$AR$8))&lt;&gt;12,INDIRECT(ADDRESS(ROW()+1,COLUMN()))="СП"),8,INDEX('Сводный годовой график'!$C$1:$AR$4,MATCH($C$40,'Сводный годовой график'!$B$1:$B$4),MATCH(DATE($AV$1,MONTH($B$34),L$3),'Сводный годовой график'!$C$8:$AR$8)))</f>
        <v>4</v>
      </c>
      <c r="M40" s="92">
        <f ca="1">IF(AND(INDEX('Сводный годовой график'!$C$1:$AR$4,MATCH($C$40,'Сводный годовой график'!$B$1:$B$4),MATCH(DATE($AV$1,MONTH($B$34),M$3),'Сводный годовой график'!$C$8:$AR$8))&lt;&gt;12,INDIRECT(ADDRESS(ROW()+1,COLUMN()))="СП"),8,INDEX('Сводный годовой график'!$C$1:$AR$4,MATCH($C$40,'Сводный годовой график'!$B$1:$B$4),MATCH(DATE($AV$1,MONTH($B$34),M$3),'Сводный годовой график'!$C$8:$AR$8)))</f>
        <v>8</v>
      </c>
      <c r="N40" s="92">
        <f ca="1">IF(AND(INDEX('Сводный годовой график'!$C$1:$AR$4,MATCH($C$40,'Сводный годовой график'!$B$1:$B$4),MATCH(DATE($AV$1,MONTH($B$34),N$3),'Сводный годовой график'!$C$8:$AR$8))&lt;&gt;12,INDIRECT(ADDRESS(ROW()+1,COLUMN()))="СП"),8,INDEX('Сводный годовой график'!$C$1:$AR$4,MATCH($C$40,'Сводный годовой график'!$B$1:$B$4),MATCH(DATE($AV$1,MONTH($B$34),N$3),'Сводный годовой график'!$C$8:$AR$8)))</f>
        <v>12</v>
      </c>
      <c r="O40" s="92">
        <f ca="1">IF(AND(INDEX('Сводный годовой график'!$C$1:$AR$4,MATCH($C$40,'Сводный годовой график'!$B$1:$B$4),MATCH(DATE($AV$1,MONTH($B$34),O$3),'Сводный годовой график'!$C$8:$AR$8))&lt;&gt;12,INDIRECT(ADDRESS(ROW()+1,COLUMN()))="СП"),8,INDEX('Сводный годовой график'!$C$1:$AR$4,MATCH($C$40,'Сводный годовой график'!$B$1:$B$4),MATCH(DATE($AV$1,MONTH($B$34),O$3),'Сводный годовой график'!$C$8:$AR$8)))</f>
        <v>0</v>
      </c>
      <c r="P40" s="92">
        <f ca="1">IF(AND(INDEX('Сводный годовой график'!$C$1:$AR$4,MATCH($C$40,'Сводный годовой график'!$B$1:$B$4),MATCH(DATE($AV$1,MONTH($B$34),P$3),'Сводный годовой график'!$C$8:$AR$8))&lt;&gt;12,INDIRECT(ADDRESS(ROW()+1,COLUMN()))="СП"),8,INDEX('Сводный годовой график'!$C$1:$AR$4,MATCH($C$40,'Сводный годовой график'!$B$1:$B$4),MATCH(DATE($AV$1,MONTH($B$34),P$3),'Сводный годовой график'!$C$8:$AR$8)))</f>
        <v>0</v>
      </c>
      <c r="Q40" s="92">
        <f ca="1">IF(AND(INDEX('Сводный годовой график'!$C$1:$AR$4,MATCH($C$40,'Сводный годовой график'!$B$1:$B$4),MATCH(DATE($AV$1,MONTH($B$34),Q$3),'Сводный годовой график'!$C$8:$AR$8))&lt;&gt;12,INDIRECT(ADDRESS(ROW()+1,COLUMN()))="СП"),8,INDEX('Сводный годовой график'!$C$1:$AR$4,MATCH($C$40,'Сводный годовой график'!$B$1:$B$4),MATCH(DATE($AV$1,MONTH($B$34),Q$3),'Сводный годовой график'!$C$8:$AR$8)))</f>
        <v>4</v>
      </c>
      <c r="R40" s="92">
        <f ca="1">IF(AND(INDEX('Сводный годовой график'!$C$1:$AR$4,MATCH($C$40,'Сводный годовой график'!$B$1:$B$4),MATCH(DATE($AV$1,MONTH($B$34),R$3),'Сводный годовой график'!$C$8:$AR$8))&lt;&gt;12,INDIRECT(ADDRESS(ROW()+1,COLUMN()))="СП"),8,INDEX('Сводный годовой график'!$C$1:$AR$4,MATCH($C$40,'Сводный годовой график'!$B$1:$B$4),MATCH(DATE($AV$1,MONTH($B$34),R$3),'Сводный годовой график'!$C$8:$AR$8)))</f>
        <v>8</v>
      </c>
      <c r="S40" s="92">
        <f ca="1">IF(AND(INDEX('Сводный годовой график'!$C$1:$AR$4,MATCH($C$40,'Сводный годовой график'!$B$1:$B$4),MATCH(DATE($AV$1,MONTH($B$34),S$3),'Сводный годовой график'!$C$8:$AR$8))&lt;&gt;12,INDIRECT(ADDRESS(ROW()+1,COLUMN()))="СП"),8,INDEX('Сводный годовой график'!$C$1:$AR$4,MATCH($C$40,'Сводный годовой график'!$B$1:$B$4),MATCH(DATE($AV$1,MONTH($B$34),S$3),'Сводный годовой график'!$C$8:$AR$8)))</f>
        <v>12</v>
      </c>
      <c r="T40" s="92">
        <f ca="1">IF(AND(INDEX('Сводный годовой график'!$C$1:$AR$4,MATCH($C$40,'Сводный годовой график'!$B$1:$B$4),MATCH(DATE($AV$1,MONTH($B$34),T$3),'Сводный годовой график'!$C$8:$AR$8))&lt;&gt;12,INDIRECT(ADDRESS(ROW()+1,COLUMN()))="СП"),8,INDEX('Сводный годовой график'!$C$1:$AR$4,MATCH($C$40,'Сводный годовой график'!$B$1:$B$4),MATCH(DATE($AV$1,MONTH($B$34),T$3),'Сводный годовой график'!$C$8:$AR$8)))</f>
        <v>4</v>
      </c>
      <c r="U40" s="92">
        <f ca="1">IF(AND(INDEX('Сводный годовой график'!$C$1:$AR$4,MATCH($C$40,'Сводный годовой график'!$B$1:$B$4),MATCH(DATE($AV$1,MONTH($B$34),U$3),'Сводный годовой график'!$C$8:$AR$8))&lt;&gt;12,INDIRECT(ADDRESS(ROW()+1,COLUMN()))="СП"),8,INDEX('Сводный годовой график'!$C$1:$AR$4,MATCH($C$40,'Сводный годовой график'!$B$1:$B$4),MATCH(DATE($AV$1,MONTH($B$34),U$3),'Сводный годовой график'!$C$8:$AR$8)))</f>
        <v>8</v>
      </c>
      <c r="V40" s="92">
        <f ca="1">IF(AND(INDEX('Сводный годовой график'!$C$1:$AR$4,MATCH($C$40,'Сводный годовой график'!$B$1:$B$4),MATCH(DATE($AV$1,MONTH($B$34),V$3),'Сводный годовой график'!$C$8:$AR$8))&lt;&gt;12,INDIRECT(ADDRESS(ROW()+1,COLUMN()))="СП"),8,INDEX('Сводный годовой график'!$C$1:$AR$4,MATCH($C$40,'Сводный годовой график'!$B$1:$B$4),MATCH(DATE($AV$1,MONTH($B$34),V$3),'Сводный годовой график'!$C$8:$AR$8)))</f>
        <v>12</v>
      </c>
      <c r="W40" s="92">
        <f ca="1">IF(AND(INDEX('Сводный годовой график'!$C$1:$AR$4,MATCH($C$40,'Сводный годовой график'!$B$1:$B$4),MATCH(DATE($AV$1,MONTH($B$34),W$3),'Сводный годовой график'!$C$8:$AR$8))&lt;&gt;12,INDIRECT(ADDRESS(ROW()+1,COLUMN()))="СП"),8,INDEX('Сводный годовой график'!$C$1:$AR$4,MATCH($C$40,'Сводный годовой график'!$B$1:$B$4),MATCH(DATE($AV$1,MONTH($B$34),W$3),'Сводный годовой график'!$C$8:$AR$8)))</f>
        <v>0</v>
      </c>
      <c r="X40" s="92">
        <f ca="1">IF(AND(INDEX('Сводный годовой график'!$C$1:$AR$4,MATCH($C$40,'Сводный годовой график'!$B$1:$B$4),MATCH(DATE($AV$1,MONTH($B$34),X$3),'Сводный годовой график'!$C$8:$AR$8))&lt;&gt;12,INDIRECT(ADDRESS(ROW()+1,COLUMN()))="СП"),8,INDEX('Сводный годовой график'!$C$1:$AR$4,MATCH($C$40,'Сводный годовой график'!$B$1:$B$4),MATCH(DATE($AV$1,MONTH($B$34),X$3),'Сводный годовой график'!$C$8:$AR$8)))</f>
        <v>0</v>
      </c>
      <c r="Y40" s="92">
        <f ca="1">IF(AND(INDEX('Сводный годовой график'!$C$1:$AR$4,MATCH($C$40,'Сводный годовой график'!$B$1:$B$4),MATCH(DATE($AV$1,MONTH($B$34),Y$3),'Сводный годовой график'!$C$8:$AR$8))&lt;&gt;12,INDIRECT(ADDRESS(ROW()+1,COLUMN()))="СП"),8,INDEX('Сводный годовой график'!$C$1:$AR$4,MATCH($C$40,'Сводный годовой график'!$B$1:$B$4),MATCH(DATE($AV$1,MONTH($B$34),Y$3),'Сводный годовой график'!$C$8:$AR$8)))</f>
        <v>4</v>
      </c>
      <c r="Z40" s="92">
        <f ca="1">IF(AND(INDEX('Сводный годовой график'!$C$1:$AR$4,MATCH($C$40,'Сводный годовой график'!$B$1:$B$4),MATCH(DATE($AV$1,MONTH($B$34),Z$3),'Сводный годовой график'!$C$8:$AR$8))&lt;&gt;12,INDIRECT(ADDRESS(ROW()+1,COLUMN()))="СП"),8,INDEX('Сводный годовой график'!$C$1:$AR$4,MATCH($C$40,'Сводный годовой график'!$B$1:$B$4),MATCH(DATE($AV$1,MONTH($B$34),Z$3),'Сводный годовой график'!$C$8:$AR$8)))</f>
        <v>8</v>
      </c>
      <c r="AA40" s="92">
        <f ca="1">IF(AND(INDEX('Сводный годовой график'!$C$1:$AR$4,MATCH($C$40,'Сводный годовой график'!$B$1:$B$4),MATCH(DATE($AV$1,MONTH($B$34),AA$3),'Сводный годовой график'!$C$8:$AR$8))&lt;&gt;12,INDIRECT(ADDRESS(ROW()+1,COLUMN()))="СП"),8,INDEX('Сводный годовой график'!$C$1:$AR$4,MATCH($C$40,'Сводный годовой график'!$B$1:$B$4),MATCH(DATE($AV$1,MONTH($B$34),AA$3),'Сводный годовой график'!$C$8:$AR$8)))</f>
        <v>12</v>
      </c>
      <c r="AB40" s="92">
        <f ca="1">IF(AND(INDEX('Сводный годовой график'!$C$1:$AR$4,MATCH($C$40,'Сводный годовой график'!$B$1:$B$4),MATCH(DATE($AV$1,MONTH($B$34),AB$3),'Сводный годовой график'!$C$8:$AR$8))&lt;&gt;12,INDIRECT(ADDRESS(ROW()+1,COLUMN()))="СП"),8,INDEX('Сводный годовой график'!$C$1:$AR$4,MATCH($C$40,'Сводный годовой график'!$B$1:$B$4),MATCH(DATE($AV$1,MONTH($B$34),AB$3),'Сводный годовой график'!$C$8:$AR$8)))</f>
        <v>4</v>
      </c>
      <c r="AC40" s="92">
        <f ca="1">IF(AND(INDEX('Сводный годовой график'!$C$1:$AR$4,MATCH($C$40,'Сводный годовой график'!$B$1:$B$4),MATCH(DATE($AV$1,MONTH($B$34),AC$3),'Сводный годовой график'!$C$8:$AR$8))&lt;&gt;12,INDIRECT(ADDRESS(ROW()+1,COLUMN()))="СП"),8,INDEX('Сводный годовой график'!$C$1:$AR$4,MATCH($C$40,'Сводный годовой график'!$B$1:$B$4),MATCH(DATE($AV$1,MONTH($B$34),AC$3),'Сводный годовой график'!$C$8:$AR$8)))</f>
        <v>8</v>
      </c>
      <c r="AD40" s="92">
        <f ca="1">IF(AND(INDEX('Сводный годовой график'!$C$1:$AR$4,MATCH($C$40,'Сводный годовой график'!$B$1:$B$4),MATCH(DATE($AV$1,MONTH($B$34),AD$3),'Сводный годовой график'!$C$8:$AR$8))&lt;&gt;12,INDIRECT(ADDRESS(ROW()+1,COLUMN()))="СП"),8,INDEX('Сводный годовой график'!$C$1:$AR$4,MATCH($C$40,'Сводный годовой график'!$B$1:$B$4),MATCH(DATE($AV$1,MONTH($B$34),AD$3),'Сводный годовой график'!$C$8:$AR$8)))</f>
        <v>12</v>
      </c>
      <c r="AE40" s="92">
        <f ca="1">IF(AND(INDEX('Сводный годовой график'!$C$1:$AR$4,MATCH($C$40,'Сводный годовой график'!$B$1:$B$4),MATCH(DATE($AV$1,MONTH($B$34),AE$3),'Сводный годовой график'!$C$8:$AR$8))&lt;&gt;12,INDIRECT(ADDRESS(ROW()+1,COLUMN()))="СП"),8,INDEX('Сводный годовой график'!$C$1:$AR$4,MATCH($C$40,'Сводный годовой график'!$B$1:$B$4),MATCH(DATE($AV$1,MONTH($B$34),AE$3),'Сводный годовой график'!$C$8:$AR$8)))</f>
        <v>0</v>
      </c>
      <c r="AF40" s="92">
        <f ca="1">IF(AND(INDEX('Сводный годовой график'!$C$1:$AR$4,MATCH($C$40,'Сводный годовой график'!$B$1:$B$4),MATCH(DATE($AV$1,MONTH($B$34),AF$3),'Сводный годовой график'!$C$8:$AR$8))&lt;&gt;12,INDIRECT(ADDRESS(ROW()+1,COLUMN()))="СП"),8,INDEX('Сводный годовой график'!$C$1:$AR$4,MATCH($C$40,'Сводный годовой график'!$B$1:$B$4),MATCH(DATE($AV$1,MONTH($B$34),AF$3),'Сводный годовой график'!$C$8:$AR$8)))</f>
        <v>0</v>
      </c>
      <c r="AG40" s="92">
        <f ca="1">IF(AND(INDEX('Сводный годовой график'!$C$1:$AR$4,MATCH($C$40,'Сводный годовой график'!$B$1:$B$4),MATCH(DATE($AV$1,MONTH($B$34),AG$3),'Сводный годовой график'!$C$8:$AR$8))&lt;&gt;12,INDIRECT(ADDRESS(ROW()+1,COLUMN()))="СП"),8,INDEX('Сводный годовой график'!$C$1:$AR$4,MATCH($C$40,'Сводный годовой график'!$B$1:$B$4),MATCH(DATE($AV$1,MONTH($B$34),AG$3),'Сводный годовой график'!$C$8:$AR$8)))</f>
        <v>4</v>
      </c>
      <c r="AH40" s="92">
        <f ca="1">IF(AND(INDEX('Сводный годовой график'!$C$1:$AR$4,MATCH($C$40,'Сводный годовой график'!$B$1:$B$4),MATCH(DATE($AV$1,MONTH($B$34),AH$3),'Сводный годовой график'!$C$8:$AR$8))&lt;&gt;12,INDIRECT(ADDRESS(ROW()+1,COLUMN()))="СП"),8,INDEX('Сводный годовой график'!$C$1:$AR$4,MATCH($C$40,'Сводный годовой график'!$B$1:$B$4),MATCH(DATE($AV$1,MONTH($B$34),AH$3),'Сводный годовой график'!$C$8:$AR$8)))</f>
        <v>8</v>
      </c>
      <c r="AI40" s="119"/>
      <c r="AJ40" s="206"/>
      <c r="AK40" s="177">
        <f>$AJ$34-SUM(AY40:CC41)</f>
        <v>175</v>
      </c>
      <c r="AL40" s="177">
        <f t="shared" ref="AL40" ca="1" si="65">SUM(E40:AI41)</f>
        <v>176</v>
      </c>
      <c r="AM40" s="177">
        <v>0</v>
      </c>
      <c r="AN40" s="198">
        <f t="shared" ref="AN40" ca="1" si="66">-AM40-AK40+AL40</f>
        <v>1</v>
      </c>
      <c r="AO40" s="198">
        <v>0</v>
      </c>
      <c r="AP40" s="198">
        <f t="shared" ref="AP40" ca="1" si="67">AN40+AP30-AO40</f>
        <v>26</v>
      </c>
      <c r="AQ40" s="177">
        <v>0</v>
      </c>
      <c r="AR40" s="179">
        <v>1</v>
      </c>
      <c r="CK40" s="59"/>
      <c r="CL40" s="59"/>
      <c r="CM40" s="59"/>
      <c r="CN40" s="59"/>
      <c r="CO40" s="59"/>
      <c r="CP40" s="59"/>
      <c r="CQ40" s="59"/>
      <c r="CR40" s="59"/>
      <c r="CS40" s="59"/>
      <c r="CT40" s="59"/>
      <c r="CU40" s="59"/>
      <c r="CV40" s="59"/>
      <c r="CW40" s="59"/>
      <c r="CX40" s="59"/>
      <c r="CY40" s="59"/>
      <c r="CZ40" s="59"/>
      <c r="DA40" s="59"/>
      <c r="DB40" s="59"/>
      <c r="DC40" s="59"/>
      <c r="DD40" s="59"/>
      <c r="DE40" s="59"/>
      <c r="DF40" s="59"/>
      <c r="DG40" s="59"/>
      <c r="DH40" s="59"/>
      <c r="DI40" s="59"/>
      <c r="DJ40" s="59"/>
      <c r="DK40" s="59"/>
      <c r="DL40" s="59"/>
      <c r="DM40" s="59"/>
      <c r="DN40" s="59"/>
      <c r="DO40" s="59"/>
    </row>
    <row r="41" spans="2:119" ht="16.5" thickBot="1" x14ac:dyDescent="0.3">
      <c r="B41" s="201"/>
      <c r="C41" s="197"/>
      <c r="D41" s="82">
        <v>8</v>
      </c>
      <c r="E41" s="92" t="str">
        <f t="shared" ref="E41:AH41" si="68">IF(INDEX($CK$4:$DO$123,ROW()-3,E$3)=0,"","СП")</f>
        <v/>
      </c>
      <c r="F41" s="92" t="str">
        <f t="shared" si="68"/>
        <v/>
      </c>
      <c r="G41" s="92" t="str">
        <f t="shared" si="68"/>
        <v/>
      </c>
      <c r="H41" s="92" t="str">
        <f t="shared" si="68"/>
        <v/>
      </c>
      <c r="I41" s="92" t="str">
        <f t="shared" si="68"/>
        <v/>
      </c>
      <c r="J41" s="92" t="str">
        <f t="shared" si="68"/>
        <v/>
      </c>
      <c r="K41" s="92" t="str">
        <f t="shared" si="68"/>
        <v>СП</v>
      </c>
      <c r="L41" s="92" t="str">
        <f t="shared" si="68"/>
        <v/>
      </c>
      <c r="M41" s="92" t="str">
        <f t="shared" si="68"/>
        <v/>
      </c>
      <c r="N41" s="92" t="str">
        <f t="shared" si="68"/>
        <v/>
      </c>
      <c r="O41" s="92" t="str">
        <f t="shared" si="68"/>
        <v/>
      </c>
      <c r="P41" s="92" t="str">
        <f t="shared" si="68"/>
        <v/>
      </c>
      <c r="Q41" s="92" t="str">
        <f t="shared" si="68"/>
        <v/>
      </c>
      <c r="R41" s="92" t="str">
        <f t="shared" si="68"/>
        <v/>
      </c>
      <c r="S41" s="92" t="str">
        <f t="shared" si="68"/>
        <v/>
      </c>
      <c r="T41" s="92" t="str">
        <f t="shared" si="68"/>
        <v/>
      </c>
      <c r="U41" s="92" t="str">
        <f t="shared" si="68"/>
        <v/>
      </c>
      <c r="V41" s="92" t="str">
        <f t="shared" si="68"/>
        <v/>
      </c>
      <c r="W41" s="92" t="str">
        <f t="shared" si="68"/>
        <v/>
      </c>
      <c r="X41" s="92" t="str">
        <f t="shared" si="68"/>
        <v/>
      </c>
      <c r="Y41" s="92" t="str">
        <f t="shared" si="68"/>
        <v/>
      </c>
      <c r="Z41" s="92" t="str">
        <f t="shared" si="68"/>
        <v/>
      </c>
      <c r="AA41" s="92" t="str">
        <f t="shared" si="68"/>
        <v/>
      </c>
      <c r="AB41" s="92" t="str">
        <f t="shared" si="68"/>
        <v/>
      </c>
      <c r="AC41" s="92" t="str">
        <f t="shared" si="68"/>
        <v/>
      </c>
      <c r="AD41" s="92" t="str">
        <f t="shared" si="68"/>
        <v/>
      </c>
      <c r="AE41" s="92" t="str">
        <f t="shared" si="68"/>
        <v/>
      </c>
      <c r="AF41" s="92" t="str">
        <f t="shared" si="68"/>
        <v/>
      </c>
      <c r="AG41" s="92" t="str">
        <f t="shared" si="68"/>
        <v/>
      </c>
      <c r="AH41" s="92" t="str">
        <f t="shared" si="68"/>
        <v/>
      </c>
      <c r="AI41" s="119"/>
      <c r="AJ41" s="206"/>
      <c r="AK41" s="177"/>
      <c r="AL41" s="177"/>
      <c r="AM41" s="177"/>
      <c r="AN41" s="198"/>
      <c r="AO41" s="198"/>
      <c r="AP41" s="198"/>
      <c r="AQ41" s="177"/>
      <c r="AR41" s="179"/>
      <c r="CK41" s="58">
        <f>IF(DAY(INDEX('Сводный годовой график'!$BA$4:$BL$14,$C40,MONTH($B$34)))=E$3,1,0)</f>
        <v>0</v>
      </c>
      <c r="CL41" s="58">
        <f>IF(DAY(INDEX('Сводный годовой график'!$BA$4:$BL$14,$C40,MONTH($B$34)))=F$3,1,0)</f>
        <v>0</v>
      </c>
      <c r="CM41" s="58">
        <f>IF(DAY(INDEX('Сводный годовой график'!$BA$4:$BL$14,$C40,MONTH($B$34)))=G$3,1,0)</f>
        <v>0</v>
      </c>
      <c r="CN41" s="58">
        <f>IF(DAY(INDEX('Сводный годовой график'!$BA$4:$BL$14,$C40,MONTH($B$34)))=H$3,1,0)</f>
        <v>0</v>
      </c>
      <c r="CO41" s="58">
        <f>IF(DAY(INDEX('Сводный годовой график'!$BA$4:$BL$14,$C40,MONTH($B$34)))=I$3,1,0)</f>
        <v>0</v>
      </c>
      <c r="CP41" s="58">
        <f>IF(DAY(INDEX('Сводный годовой график'!$BA$4:$BL$14,$C40,MONTH($B$34)))=J$3,1,0)</f>
        <v>0</v>
      </c>
      <c r="CQ41" s="58">
        <f>IF(DAY(INDEX('Сводный годовой график'!$BA$4:$BL$14,$C40,MONTH($B$34)))=K$3,1,0)</f>
        <v>1</v>
      </c>
      <c r="CR41" s="58">
        <f>IF(DAY(INDEX('Сводный годовой график'!$BA$4:$BL$14,$C40,MONTH($B$34)))=L$3,1,0)</f>
        <v>0</v>
      </c>
      <c r="CS41" s="58">
        <f>IF(DAY(INDEX('Сводный годовой график'!$BA$4:$BL$14,$C40,MONTH($B$34)))=M$3,1,0)</f>
        <v>0</v>
      </c>
      <c r="CT41" s="58">
        <f>IF(DAY(INDEX('Сводный годовой график'!$BA$4:$BL$14,$C40,MONTH($B$34)))=N$3,1,0)</f>
        <v>0</v>
      </c>
      <c r="CU41" s="58">
        <f>IF(DAY(INDEX('Сводный годовой график'!$BA$4:$BL$14,$C40,MONTH($B$34)))=O$3,1,0)</f>
        <v>0</v>
      </c>
      <c r="CV41" s="58">
        <f>IF(DAY(INDEX('Сводный годовой график'!$BA$4:$BL$14,$C40,MONTH($B$34)))=P$3,1,0)</f>
        <v>0</v>
      </c>
      <c r="CW41" s="58">
        <f>IF(DAY(INDEX('Сводный годовой график'!$BA$4:$BL$14,$C40,MONTH($B$34)))=Q$3,1,0)</f>
        <v>0</v>
      </c>
      <c r="CX41" s="58">
        <f>IF(DAY(INDEX('Сводный годовой график'!$BA$4:$BL$14,$C40,MONTH($B$34)))=R$3,1,0)</f>
        <v>0</v>
      </c>
      <c r="CY41" s="58">
        <f>IF(DAY(INDEX('Сводный годовой график'!$BA$4:$BL$14,$C40,MONTH($B$34)))=S$3,1,0)</f>
        <v>0</v>
      </c>
      <c r="CZ41" s="58">
        <f>IF(DAY(INDEX('Сводный годовой график'!$BA$4:$BL$14,$C40,MONTH($B$34)))=T$3,1,0)</f>
        <v>0</v>
      </c>
      <c r="DA41" s="58">
        <f>IF(DAY(INDEX('Сводный годовой график'!$BA$4:$BL$14,$C40,MONTH($B$34)))=U$3,1,0)</f>
        <v>0</v>
      </c>
      <c r="DB41" s="58">
        <f>IF(DAY(INDEX('Сводный годовой график'!$BA$4:$BL$14,$C40,MONTH($B$34)))=V$3,1,0)</f>
        <v>0</v>
      </c>
      <c r="DC41" s="58">
        <f>IF(DAY(INDEX('Сводный годовой график'!$BA$4:$BL$14,$C40,MONTH($B$34)))=W$3,1,0)</f>
        <v>0</v>
      </c>
      <c r="DD41" s="58">
        <f>IF(DAY(INDEX('Сводный годовой график'!$BA$4:$BL$14,$C40,MONTH($B$34)))=X$3,1,0)</f>
        <v>0</v>
      </c>
      <c r="DE41" s="58">
        <f>IF(DAY(INDEX('Сводный годовой график'!$BA$4:$BL$14,$C40,MONTH($B$34)))=Y$3,1,0)</f>
        <v>0</v>
      </c>
      <c r="DF41" s="58">
        <f>IF(DAY(INDEX('Сводный годовой график'!$BA$4:$BL$14,$C40,MONTH($B$34)))=Z$3,1,0)</f>
        <v>0</v>
      </c>
      <c r="DG41" s="58">
        <f>IF(DAY(INDEX('Сводный годовой график'!$BA$4:$BL$14,$C40,MONTH($B$34)))=AA$3,1,0)</f>
        <v>0</v>
      </c>
      <c r="DH41" s="58">
        <f>IF(DAY(INDEX('Сводный годовой график'!$BA$4:$BL$14,$C40,MONTH($B$34)))=AB$3,1,0)</f>
        <v>0</v>
      </c>
      <c r="DI41" s="58">
        <f>IF(DAY(INDEX('Сводный годовой график'!$BA$4:$BL$14,$C40,MONTH($B$34)))=AC$3,1,0)</f>
        <v>0</v>
      </c>
      <c r="DJ41" s="58">
        <f>IF(DAY(INDEX('Сводный годовой график'!$BA$4:$BL$14,$C40,MONTH($B$34)))=AD$3,1,0)</f>
        <v>0</v>
      </c>
      <c r="DK41" s="58">
        <f>IF(DAY(INDEX('Сводный годовой график'!$BA$4:$BL$14,$C40,MONTH($B$34)))=AE$3,1,0)</f>
        <v>0</v>
      </c>
      <c r="DL41" s="58">
        <f>IF(DAY(INDEX('Сводный годовой график'!$BA$4:$BL$14,$C40,MONTH($B$34)))=AF$3,1,0)</f>
        <v>0</v>
      </c>
      <c r="DM41" s="58">
        <f>IF(DAY(INDEX('Сводный годовой график'!$BA$4:$BL$14,$C40,MONTH($B$34)))=AG$3,1,0)</f>
        <v>0</v>
      </c>
      <c r="DN41" s="58">
        <f>IF(DAY(INDEX('Сводный годовой график'!$BA$4:$BL$14,$C40,MONTH($B$34)))=AH$3,1,0)</f>
        <v>0</v>
      </c>
      <c r="DO41" s="58">
        <f>IF(DAY(INDEX('Сводный годовой график'!$BA$4:$BL$14,$C40,MONTH($B$34)))=AI$3,1,0)</f>
        <v>0</v>
      </c>
    </row>
    <row r="42" spans="2:119" ht="16.5" thickBot="1" x14ac:dyDescent="0.3">
      <c r="B42" s="201"/>
      <c r="C42" s="196">
        <v>5</v>
      </c>
      <c r="D42" s="81">
        <v>9</v>
      </c>
      <c r="E42" s="92" t="s">
        <v>36</v>
      </c>
      <c r="F42" s="92" t="s">
        <v>36</v>
      </c>
      <c r="G42" s="92" t="s">
        <v>36</v>
      </c>
      <c r="H42" s="92" t="s">
        <v>36</v>
      </c>
      <c r="I42" s="92" t="s">
        <v>36</v>
      </c>
      <c r="J42" s="92" t="s">
        <v>36</v>
      </c>
      <c r="K42" s="92" t="s">
        <v>36</v>
      </c>
      <c r="L42" s="92" t="s">
        <v>36</v>
      </c>
      <c r="M42" s="92" t="s">
        <v>36</v>
      </c>
      <c r="N42" s="92" t="s">
        <v>36</v>
      </c>
      <c r="O42" s="92" t="s">
        <v>36</v>
      </c>
      <c r="P42" s="92" t="s">
        <v>36</v>
      </c>
      <c r="Q42" s="92" t="s">
        <v>36</v>
      </c>
      <c r="R42" s="92" t="s">
        <v>36</v>
      </c>
      <c r="S42" s="92" t="s">
        <v>36</v>
      </c>
      <c r="T42" s="92" t="s">
        <v>36</v>
      </c>
      <c r="U42" s="92" t="s">
        <v>36</v>
      </c>
      <c r="V42" s="92" t="s">
        <v>36</v>
      </c>
      <c r="W42" s="92" t="s">
        <v>36</v>
      </c>
      <c r="X42" s="92" t="s">
        <v>36</v>
      </c>
      <c r="Y42" s="92" t="s">
        <v>36</v>
      </c>
      <c r="Z42" s="92" t="s">
        <v>36</v>
      </c>
      <c r="AA42" s="92" t="s">
        <v>36</v>
      </c>
      <c r="AB42" s="92" t="s">
        <v>36</v>
      </c>
      <c r="AC42" s="92" t="s">
        <v>36</v>
      </c>
      <c r="AD42" s="92" t="s">
        <v>36</v>
      </c>
      <c r="AE42" s="92" t="s">
        <v>36</v>
      </c>
      <c r="AF42" s="92" t="s">
        <v>36</v>
      </c>
      <c r="AG42" s="92" t="s">
        <v>36</v>
      </c>
      <c r="AH42" s="92" t="s">
        <v>36</v>
      </c>
      <c r="AI42" s="119"/>
      <c r="AJ42" s="206"/>
      <c r="AK42" s="177">
        <f>$AJ$34-SUM(AY42:CC43)</f>
        <v>175</v>
      </c>
      <c r="AL42" s="177">
        <f t="shared" ref="AL42" si="69">SUM(E42:AI43)</f>
        <v>0</v>
      </c>
      <c r="AM42" s="177">
        <v>0</v>
      </c>
      <c r="AN42" s="198">
        <f t="shared" ref="AN42" si="70">-AM42-AK42+AL42</f>
        <v>-175</v>
      </c>
      <c r="AO42" s="198">
        <v>12</v>
      </c>
      <c r="AP42" s="198">
        <f t="shared" ref="AP42" si="71">AN42+AP32-AO42</f>
        <v>-662</v>
      </c>
      <c r="AQ42" s="177">
        <v>0</v>
      </c>
      <c r="AR42" s="179">
        <v>1</v>
      </c>
      <c r="CK42" s="59"/>
      <c r="CL42" s="59"/>
      <c r="CM42" s="59"/>
      <c r="CN42" s="59"/>
      <c r="CO42" s="59"/>
      <c r="CP42" s="59"/>
      <c r="CQ42" s="59"/>
      <c r="CR42" s="59"/>
      <c r="CS42" s="59"/>
      <c r="CT42" s="59"/>
      <c r="CU42" s="59"/>
      <c r="CV42" s="59"/>
      <c r="CW42" s="59"/>
      <c r="CX42" s="59"/>
      <c r="CY42" s="59"/>
      <c r="CZ42" s="59"/>
      <c r="DA42" s="59"/>
      <c r="DB42" s="59"/>
      <c r="DC42" s="59"/>
      <c r="DD42" s="59"/>
      <c r="DE42" s="59"/>
      <c r="DF42" s="59"/>
      <c r="DG42" s="59"/>
      <c r="DH42" s="59"/>
      <c r="DI42" s="59"/>
      <c r="DJ42" s="59"/>
      <c r="DK42" s="59"/>
      <c r="DL42" s="59"/>
      <c r="DM42" s="59"/>
      <c r="DN42" s="59"/>
      <c r="DO42" s="59"/>
    </row>
    <row r="43" spans="2:119" ht="16.5" thickBot="1" x14ac:dyDescent="0.3">
      <c r="B43" s="202"/>
      <c r="C43" s="197"/>
      <c r="D43" s="82">
        <v>10</v>
      </c>
      <c r="E43" s="29" t="str">
        <f t="shared" ref="E43:AH43" si="72">IF(INDEX($CK$4:$DO$123,ROW()-3,E$3)=0,"","СП")</f>
        <v/>
      </c>
      <c r="F43" s="29" t="str">
        <f t="shared" si="72"/>
        <v/>
      </c>
      <c r="G43" s="29" t="str">
        <f t="shared" si="72"/>
        <v/>
      </c>
      <c r="H43" s="29" t="str">
        <f t="shared" si="72"/>
        <v/>
      </c>
      <c r="I43" s="29" t="str">
        <f t="shared" si="72"/>
        <v/>
      </c>
      <c r="J43" s="29" t="str">
        <f t="shared" si="72"/>
        <v/>
      </c>
      <c r="K43" s="29" t="str">
        <f t="shared" si="72"/>
        <v/>
      </c>
      <c r="L43" s="29" t="str">
        <f t="shared" si="72"/>
        <v>СП</v>
      </c>
      <c r="M43" s="29" t="str">
        <f t="shared" si="72"/>
        <v/>
      </c>
      <c r="N43" s="29" t="str">
        <f t="shared" si="72"/>
        <v/>
      </c>
      <c r="O43" s="29" t="str">
        <f t="shared" si="72"/>
        <v/>
      </c>
      <c r="P43" s="29" t="str">
        <f t="shared" si="72"/>
        <v/>
      </c>
      <c r="Q43" s="29" t="str">
        <f t="shared" si="72"/>
        <v/>
      </c>
      <c r="R43" s="29" t="str">
        <f t="shared" si="72"/>
        <v/>
      </c>
      <c r="S43" s="29" t="str">
        <f t="shared" si="72"/>
        <v/>
      </c>
      <c r="T43" s="29" t="str">
        <f t="shared" si="72"/>
        <v/>
      </c>
      <c r="U43" s="29" t="str">
        <f t="shared" si="72"/>
        <v/>
      </c>
      <c r="V43" s="29" t="str">
        <f t="shared" si="72"/>
        <v/>
      </c>
      <c r="W43" s="29" t="str">
        <f t="shared" si="72"/>
        <v/>
      </c>
      <c r="X43" s="29" t="str">
        <f t="shared" si="72"/>
        <v/>
      </c>
      <c r="Y43" s="29" t="str">
        <f t="shared" si="72"/>
        <v/>
      </c>
      <c r="Z43" s="29" t="str">
        <f t="shared" si="72"/>
        <v/>
      </c>
      <c r="AA43" s="29" t="str">
        <f t="shared" si="72"/>
        <v/>
      </c>
      <c r="AB43" s="29" t="str">
        <f t="shared" si="72"/>
        <v/>
      </c>
      <c r="AC43" s="29" t="str">
        <f t="shared" si="72"/>
        <v/>
      </c>
      <c r="AD43" s="29" t="str">
        <f t="shared" si="72"/>
        <v/>
      </c>
      <c r="AE43" s="29" t="str">
        <f t="shared" si="72"/>
        <v/>
      </c>
      <c r="AF43" s="29" t="str">
        <f t="shared" si="72"/>
        <v/>
      </c>
      <c r="AG43" s="29" t="str">
        <f t="shared" si="72"/>
        <v/>
      </c>
      <c r="AH43" s="29" t="str">
        <f t="shared" si="72"/>
        <v/>
      </c>
      <c r="AI43" s="124"/>
      <c r="AJ43" s="207"/>
      <c r="AK43" s="178"/>
      <c r="AL43" s="178"/>
      <c r="AM43" s="178"/>
      <c r="AN43" s="199"/>
      <c r="AO43" s="199"/>
      <c r="AP43" s="199"/>
      <c r="AQ43" s="178"/>
      <c r="AR43" s="180"/>
      <c r="CK43" s="58">
        <f>IF(DAY(INDEX('Сводный годовой график'!$BA$4:$BL$14,$C42,MONTH($B$34)))=E$3,1,0)</f>
        <v>0</v>
      </c>
      <c r="CL43" s="58">
        <f>IF(DAY(INDEX('Сводный годовой график'!$BA$4:$BL$14,$C42,MONTH($B$34)))=F$3,1,0)</f>
        <v>0</v>
      </c>
      <c r="CM43" s="58">
        <f>IF(DAY(INDEX('Сводный годовой график'!$BA$4:$BL$14,$C42,MONTH($B$34)))=G$3,1,0)</f>
        <v>0</v>
      </c>
      <c r="CN43" s="58">
        <f>IF(DAY(INDEX('Сводный годовой график'!$BA$4:$BL$14,$C42,MONTH($B$34)))=H$3,1,0)</f>
        <v>0</v>
      </c>
      <c r="CO43" s="58">
        <f>IF(DAY(INDEX('Сводный годовой график'!$BA$4:$BL$14,$C42,MONTH($B$34)))=I$3,1,0)</f>
        <v>0</v>
      </c>
      <c r="CP43" s="58">
        <f>IF(DAY(INDEX('Сводный годовой график'!$BA$4:$BL$14,$C42,MONTH($B$34)))=J$3,1,0)</f>
        <v>0</v>
      </c>
      <c r="CQ43" s="58">
        <f>IF(DAY(INDEX('Сводный годовой график'!$BA$4:$BL$14,$C42,MONTH($B$34)))=K$3,1,0)</f>
        <v>0</v>
      </c>
      <c r="CR43" s="58">
        <f>IF(DAY(INDEX('Сводный годовой график'!$BA$4:$BL$14,$C42,MONTH($B$34)))=L$3,1,0)</f>
        <v>1</v>
      </c>
      <c r="CS43" s="58">
        <f>IF(DAY(INDEX('Сводный годовой график'!$BA$4:$BL$14,$C42,MONTH($B$34)))=M$3,1,0)</f>
        <v>0</v>
      </c>
      <c r="CT43" s="58">
        <f>IF(DAY(INDEX('Сводный годовой график'!$BA$4:$BL$14,$C42,MONTH($B$34)))=N$3,1,0)</f>
        <v>0</v>
      </c>
      <c r="CU43" s="58">
        <f>IF(DAY(INDEX('Сводный годовой график'!$BA$4:$BL$14,$C42,MONTH($B$34)))=O$3,1,0)</f>
        <v>0</v>
      </c>
      <c r="CV43" s="58">
        <f>IF(DAY(INDEX('Сводный годовой график'!$BA$4:$BL$14,$C42,MONTH($B$34)))=P$3,1,0)</f>
        <v>0</v>
      </c>
      <c r="CW43" s="58">
        <f>IF(DAY(INDEX('Сводный годовой график'!$BA$4:$BL$14,$C42,MONTH($B$34)))=Q$3,1,0)</f>
        <v>0</v>
      </c>
      <c r="CX43" s="58">
        <f>IF(DAY(INDEX('Сводный годовой график'!$BA$4:$BL$14,$C42,MONTH($B$34)))=R$3,1,0)</f>
        <v>0</v>
      </c>
      <c r="CY43" s="58">
        <f>IF(DAY(INDEX('Сводный годовой график'!$BA$4:$BL$14,$C42,MONTH($B$34)))=S$3,1,0)</f>
        <v>0</v>
      </c>
      <c r="CZ43" s="58">
        <f>IF(DAY(INDEX('Сводный годовой график'!$BA$4:$BL$14,$C42,MONTH($B$34)))=T$3,1,0)</f>
        <v>0</v>
      </c>
      <c r="DA43" s="58">
        <f>IF(DAY(INDEX('Сводный годовой график'!$BA$4:$BL$14,$C42,MONTH($B$34)))=U$3,1,0)</f>
        <v>0</v>
      </c>
      <c r="DB43" s="58">
        <f>IF(DAY(INDEX('Сводный годовой график'!$BA$4:$BL$14,$C42,MONTH($B$34)))=V$3,1,0)</f>
        <v>0</v>
      </c>
      <c r="DC43" s="58">
        <f>IF(DAY(INDEX('Сводный годовой график'!$BA$4:$BL$14,$C42,MONTH($B$34)))=W$3,1,0)</f>
        <v>0</v>
      </c>
      <c r="DD43" s="58">
        <f>IF(DAY(INDEX('Сводный годовой график'!$BA$4:$BL$14,$C42,MONTH($B$34)))=X$3,1,0)</f>
        <v>0</v>
      </c>
      <c r="DE43" s="58">
        <f>IF(DAY(INDEX('Сводный годовой график'!$BA$4:$BL$14,$C42,MONTH($B$34)))=Y$3,1,0)</f>
        <v>0</v>
      </c>
      <c r="DF43" s="58">
        <f>IF(DAY(INDEX('Сводный годовой график'!$BA$4:$BL$14,$C42,MONTH($B$34)))=Z$3,1,0)</f>
        <v>0</v>
      </c>
      <c r="DG43" s="58">
        <f>IF(DAY(INDEX('Сводный годовой график'!$BA$4:$BL$14,$C42,MONTH($B$34)))=AA$3,1,0)</f>
        <v>0</v>
      </c>
      <c r="DH43" s="58">
        <f>IF(DAY(INDEX('Сводный годовой график'!$BA$4:$BL$14,$C42,MONTH($B$34)))=AB$3,1,0)</f>
        <v>0</v>
      </c>
      <c r="DI43" s="58">
        <f>IF(DAY(INDEX('Сводный годовой график'!$BA$4:$BL$14,$C42,MONTH($B$34)))=AC$3,1,0)</f>
        <v>0</v>
      </c>
      <c r="DJ43" s="58">
        <f>IF(DAY(INDEX('Сводный годовой график'!$BA$4:$BL$14,$C42,MONTH($B$34)))=AD$3,1,0)</f>
        <v>0</v>
      </c>
      <c r="DK43" s="58">
        <f>IF(DAY(INDEX('Сводный годовой график'!$BA$4:$BL$14,$C42,MONTH($B$34)))=AE$3,1,0)</f>
        <v>0</v>
      </c>
      <c r="DL43" s="58">
        <f>IF(DAY(INDEX('Сводный годовой график'!$BA$4:$BL$14,$C42,MONTH($B$34)))=AF$3,1,0)</f>
        <v>0</v>
      </c>
      <c r="DM43" s="58">
        <f>IF(DAY(INDEX('Сводный годовой график'!$BA$4:$BL$14,$C42,MONTH($B$34)))=AG$3,1,0)</f>
        <v>0</v>
      </c>
      <c r="DN43" s="58">
        <f>IF(DAY(INDEX('Сводный годовой график'!$BA$4:$BL$14,$C42,MONTH($B$34)))=AH$3,1,0)</f>
        <v>0</v>
      </c>
      <c r="DO43" s="58">
        <f>IF(DAY(INDEX('Сводный годовой график'!$BA$4:$BL$14,$C42,MONTH($B$34)))=AI$3,1,0)</f>
        <v>0</v>
      </c>
    </row>
    <row r="44" spans="2:119" ht="17.25" customHeight="1" thickTop="1" thickBot="1" x14ac:dyDescent="0.3">
      <c r="B44" s="201">
        <f>DATE($AV$1,5,1)</f>
        <v>45778</v>
      </c>
      <c r="C44" s="212">
        <v>1</v>
      </c>
      <c r="D44" s="99">
        <v>1</v>
      </c>
      <c r="E44" s="27">
        <f ca="1">IF(AND(INDEX('Сводный годовой график'!$C$1:$AR$4,MATCH($C$44,'Сводный годовой график'!$B$1:$B$4),MATCH(DATE($AV$1,MONTH($B$44),E$3),'Сводный годовой график'!$C$9:$AR$9))&lt;&gt;12,INDIRECT(ADDRESS(ROW()+1,COLUMN()))="СП"),8,INDEX('Сводный годовой график'!$C$1:$AR$4,MATCH($C$44,'Сводный годовой график'!$B$1:$B$4),MATCH(DATE($AV$1,MONTH($B$44),E$3),'Сводный годовой график'!$C$9:$AR$9)))</f>
        <v>0</v>
      </c>
      <c r="F44" s="27">
        <f ca="1">IF(AND(INDEX('Сводный годовой график'!$C$1:$AR$4,MATCH($C$44,'Сводный годовой график'!$B$1:$B$4),MATCH(DATE($AV$1,MONTH($B$44),F$3),'Сводный годовой график'!$C$9:$AR$9))&lt;&gt;12,INDIRECT(ADDRESS(ROW()+1,COLUMN()))="СП"),8,INDEX('Сводный годовой график'!$C$1:$AR$4,MATCH($C$44,'Сводный годовой график'!$B$1:$B$4),MATCH(DATE($AV$1,MONTH($B$44),F$3),'Сводный годовой график'!$C$9:$AR$9)))</f>
        <v>0</v>
      </c>
      <c r="G44" s="27">
        <f ca="1">IF(AND(INDEX('Сводный годовой график'!$C$1:$AR$4,MATCH($C$44,'Сводный годовой график'!$B$1:$B$4),MATCH(DATE($AV$1,MONTH($B$44),G$3),'Сводный годовой график'!$C$9:$AR$9))&lt;&gt;12,INDIRECT(ADDRESS(ROW()+1,COLUMN()))="СП"),8,INDEX('Сводный годовой график'!$C$1:$AR$4,MATCH($C$44,'Сводный годовой график'!$B$1:$B$4),MATCH(DATE($AV$1,MONTH($B$44),G$3),'Сводный годовой график'!$C$9:$AR$9)))</f>
        <v>4</v>
      </c>
      <c r="H44" s="27">
        <f ca="1">IF(AND(INDEX('Сводный годовой график'!$C$1:$AR$4,MATCH($C$44,'Сводный годовой график'!$B$1:$B$4),MATCH(DATE($AV$1,MONTH($B$44),H$3),'Сводный годовой график'!$C$9:$AR$9))&lt;&gt;12,INDIRECT(ADDRESS(ROW()+1,COLUMN()))="СП"),8,INDEX('Сводный годовой график'!$C$1:$AR$4,MATCH($C$44,'Сводный годовой график'!$B$1:$B$4),MATCH(DATE($AV$1,MONTH($B$44),H$3),'Сводный годовой график'!$C$9:$AR$9)))</f>
        <v>8</v>
      </c>
      <c r="I44" s="27">
        <f ca="1">IF(AND(INDEX('Сводный годовой график'!$C$1:$AR$4,MATCH($C$44,'Сводный годовой график'!$B$1:$B$4),MATCH(DATE($AV$1,MONTH($B$44),I$3),'Сводный годовой график'!$C$9:$AR$9))&lt;&gt;12,INDIRECT(ADDRESS(ROW()+1,COLUMN()))="СП"),8,INDEX('Сводный годовой график'!$C$1:$AR$4,MATCH($C$44,'Сводный годовой график'!$B$1:$B$4),MATCH(DATE($AV$1,MONTH($B$44),I$3),'Сводный годовой график'!$C$9:$AR$9)))</f>
        <v>12</v>
      </c>
      <c r="J44" s="27">
        <f ca="1">IF(AND(INDEX('Сводный годовой график'!$C$1:$AR$4,MATCH($C$44,'Сводный годовой график'!$B$1:$B$4),MATCH(DATE($AV$1,MONTH($B$44),J$3),'Сводный годовой график'!$C$9:$AR$9))&lt;&gt;12,INDIRECT(ADDRESS(ROW()+1,COLUMN()))="СП"),8,INDEX('Сводный годовой график'!$C$1:$AR$4,MATCH($C$44,'Сводный годовой график'!$B$1:$B$4),MATCH(DATE($AV$1,MONTH($B$44),J$3),'Сводный годовой график'!$C$9:$AR$9)))</f>
        <v>4</v>
      </c>
      <c r="K44" s="27">
        <f ca="1">IF(AND(INDEX('Сводный годовой график'!$C$1:$AR$4,MATCH($C$44,'Сводный годовой график'!$B$1:$B$4),MATCH(DATE($AV$1,MONTH($B$44),K$3),'Сводный годовой график'!$C$9:$AR$9))&lt;&gt;12,INDIRECT(ADDRESS(ROW()+1,COLUMN()))="СП"),8,INDEX('Сводный годовой график'!$C$1:$AR$4,MATCH($C$44,'Сводный годовой график'!$B$1:$B$4),MATCH(DATE($AV$1,MONTH($B$44),K$3),'Сводный годовой график'!$C$9:$AR$9)))</f>
        <v>8</v>
      </c>
      <c r="L44" s="27">
        <f ca="1">IF(AND(INDEX('Сводный годовой график'!$C$1:$AR$4,MATCH($C$44,'Сводный годовой график'!$B$1:$B$4),MATCH(DATE($AV$1,MONTH($B$44),L$3),'Сводный годовой график'!$C$9:$AR$9))&lt;&gt;12,INDIRECT(ADDRESS(ROW()+1,COLUMN()))="СП"),8,INDEX('Сводный годовой график'!$C$1:$AR$4,MATCH($C$44,'Сводный годовой график'!$B$1:$B$4),MATCH(DATE($AV$1,MONTH($B$44),L$3),'Сводный годовой график'!$C$9:$AR$9)))</f>
        <v>12</v>
      </c>
      <c r="M44" s="27">
        <f ca="1">IF(AND(INDEX('Сводный годовой график'!$C$1:$AR$4,MATCH($C$44,'Сводный годовой график'!$B$1:$B$4),MATCH(DATE($AV$1,MONTH($B$44),M$3),'Сводный годовой график'!$C$9:$AR$9))&lt;&gt;12,INDIRECT(ADDRESS(ROW()+1,COLUMN()))="СП"),8,INDEX('Сводный годовой график'!$C$1:$AR$4,MATCH($C$44,'Сводный годовой график'!$B$1:$B$4),MATCH(DATE($AV$1,MONTH($B$44),M$3),'Сводный годовой график'!$C$9:$AR$9)))</f>
        <v>0</v>
      </c>
      <c r="N44" s="27">
        <f ca="1">IF(AND(INDEX('Сводный годовой график'!$C$1:$AR$4,MATCH($C$44,'Сводный годовой график'!$B$1:$B$4),MATCH(DATE($AV$1,MONTH($B$44),N$3),'Сводный годовой график'!$C$9:$AR$9))&lt;&gt;12,INDIRECT(ADDRESS(ROW()+1,COLUMN()))="СП"),8,INDEX('Сводный годовой график'!$C$1:$AR$4,MATCH($C$44,'Сводный годовой график'!$B$1:$B$4),MATCH(DATE($AV$1,MONTH($B$44),N$3),'Сводный годовой график'!$C$9:$AR$9)))</f>
        <v>0</v>
      </c>
      <c r="O44" s="27">
        <f ca="1">IF(AND(INDEX('Сводный годовой график'!$C$1:$AR$4,MATCH($C$44,'Сводный годовой график'!$B$1:$B$4),MATCH(DATE($AV$1,MONTH($B$44),O$3),'Сводный годовой график'!$C$9:$AR$9))&lt;&gt;12,INDIRECT(ADDRESS(ROW()+1,COLUMN()))="СП"),8,INDEX('Сводный годовой график'!$C$1:$AR$4,MATCH($C$44,'Сводный годовой график'!$B$1:$B$4),MATCH(DATE($AV$1,MONTH($B$44),O$3),'Сводный годовой график'!$C$9:$AR$9)))</f>
        <v>4</v>
      </c>
      <c r="P44" s="27">
        <f ca="1">IF(AND(INDEX('Сводный годовой график'!$C$1:$AR$4,MATCH($C$44,'Сводный годовой график'!$B$1:$B$4),MATCH(DATE($AV$1,MONTH($B$44),P$3),'Сводный годовой график'!$C$9:$AR$9))&lt;&gt;12,INDIRECT(ADDRESS(ROW()+1,COLUMN()))="СП"),8,INDEX('Сводный годовой график'!$C$1:$AR$4,MATCH($C$44,'Сводный годовой график'!$B$1:$B$4),MATCH(DATE($AV$1,MONTH($B$44),P$3),'Сводный годовой график'!$C$9:$AR$9)))</f>
        <v>8</v>
      </c>
      <c r="Q44" s="27">
        <f ca="1">IF(AND(INDEX('Сводный годовой график'!$C$1:$AR$4,MATCH($C$44,'Сводный годовой график'!$B$1:$B$4),MATCH(DATE($AV$1,MONTH($B$44),Q$3),'Сводный годовой график'!$C$9:$AR$9))&lt;&gt;12,INDIRECT(ADDRESS(ROW()+1,COLUMN()))="СП"),8,INDEX('Сводный годовой график'!$C$1:$AR$4,MATCH($C$44,'Сводный годовой график'!$B$1:$B$4),MATCH(DATE($AV$1,MONTH($B$44),Q$3),'Сводный годовой график'!$C$9:$AR$9)))</f>
        <v>12</v>
      </c>
      <c r="R44" s="27">
        <f ca="1">IF(AND(INDEX('Сводный годовой график'!$C$1:$AR$4,MATCH($C$44,'Сводный годовой график'!$B$1:$B$4),MATCH(DATE($AV$1,MONTH($B$44),R$3),'Сводный годовой график'!$C$9:$AR$9))&lt;&gt;12,INDIRECT(ADDRESS(ROW()+1,COLUMN()))="СП"),8,INDEX('Сводный годовой график'!$C$1:$AR$4,MATCH($C$44,'Сводный годовой график'!$B$1:$B$4),MATCH(DATE($AV$1,MONTH($B$44),R$3),'Сводный годовой график'!$C$9:$AR$9)))</f>
        <v>4</v>
      </c>
      <c r="S44" s="27">
        <f ca="1">IF(AND(INDEX('Сводный годовой график'!$C$1:$AR$4,MATCH($C$44,'Сводный годовой график'!$B$1:$B$4),MATCH(DATE($AV$1,MONTH($B$44),S$3),'Сводный годовой график'!$C$9:$AR$9))&lt;&gt;12,INDIRECT(ADDRESS(ROW()+1,COLUMN()))="СП"),8,INDEX('Сводный годовой график'!$C$1:$AR$4,MATCH($C$44,'Сводный годовой график'!$B$1:$B$4),MATCH(DATE($AV$1,MONTH($B$44),S$3),'Сводный годовой график'!$C$9:$AR$9)))</f>
        <v>8</v>
      </c>
      <c r="T44" s="27">
        <f ca="1">IF(AND(INDEX('Сводный годовой график'!$C$1:$AR$4,MATCH($C$44,'Сводный годовой график'!$B$1:$B$4),MATCH(DATE($AV$1,MONTH($B$44),T$3),'Сводный годовой график'!$C$9:$AR$9))&lt;&gt;12,INDIRECT(ADDRESS(ROW()+1,COLUMN()))="СП"),8,INDEX('Сводный годовой график'!$C$1:$AR$4,MATCH($C$44,'Сводный годовой график'!$B$1:$B$4),MATCH(DATE($AV$1,MONTH($B$44),T$3),'Сводный годовой график'!$C$9:$AR$9)))</f>
        <v>12</v>
      </c>
      <c r="U44" s="27">
        <f ca="1">IF(AND(INDEX('Сводный годовой график'!$C$1:$AR$4,MATCH($C$44,'Сводный годовой график'!$B$1:$B$4),MATCH(DATE($AV$1,MONTH($B$44),U$3),'Сводный годовой график'!$C$9:$AR$9))&lt;&gt;12,INDIRECT(ADDRESS(ROW()+1,COLUMN()))="СП"),8,INDEX('Сводный годовой график'!$C$1:$AR$4,MATCH($C$44,'Сводный годовой график'!$B$1:$B$4),MATCH(DATE($AV$1,MONTH($B$44),U$3),'Сводный годовой график'!$C$9:$AR$9)))</f>
        <v>0</v>
      </c>
      <c r="V44" s="27">
        <f ca="1">IF(AND(INDEX('Сводный годовой график'!$C$1:$AR$4,MATCH($C$44,'Сводный годовой график'!$B$1:$B$4),MATCH(DATE($AV$1,MONTH($B$44),V$3),'Сводный годовой график'!$C$9:$AR$9))&lt;&gt;12,INDIRECT(ADDRESS(ROW()+1,COLUMN()))="СП"),8,INDEX('Сводный годовой график'!$C$1:$AR$4,MATCH($C$44,'Сводный годовой график'!$B$1:$B$4),MATCH(DATE($AV$1,MONTH($B$44),V$3),'Сводный годовой график'!$C$9:$AR$9)))</f>
        <v>0</v>
      </c>
      <c r="W44" s="27">
        <f ca="1">IF(AND(INDEX('Сводный годовой график'!$C$1:$AR$4,MATCH($C$44,'Сводный годовой график'!$B$1:$B$4),MATCH(DATE($AV$1,MONTH($B$44),W$3),'Сводный годовой график'!$C$9:$AR$9))&lt;&gt;12,INDIRECT(ADDRESS(ROW()+1,COLUMN()))="СП"),8,INDEX('Сводный годовой график'!$C$1:$AR$4,MATCH($C$44,'Сводный годовой график'!$B$1:$B$4),MATCH(DATE($AV$1,MONTH($B$44),W$3),'Сводный годовой график'!$C$9:$AR$9)))</f>
        <v>4</v>
      </c>
      <c r="X44" s="27">
        <f ca="1">IF(AND(INDEX('Сводный годовой график'!$C$1:$AR$4,MATCH($C$44,'Сводный годовой график'!$B$1:$B$4),MATCH(DATE($AV$1,MONTH($B$44),X$3),'Сводный годовой график'!$C$9:$AR$9))&lt;&gt;12,INDIRECT(ADDRESS(ROW()+1,COLUMN()))="СП"),8,INDEX('Сводный годовой график'!$C$1:$AR$4,MATCH($C$44,'Сводный годовой график'!$B$1:$B$4),MATCH(DATE($AV$1,MONTH($B$44),X$3),'Сводный годовой график'!$C$9:$AR$9)))</f>
        <v>8</v>
      </c>
      <c r="Y44" s="27">
        <f ca="1">IF(AND(INDEX('Сводный годовой график'!$C$1:$AR$4,MATCH($C$44,'Сводный годовой график'!$B$1:$B$4),MATCH(DATE($AV$1,MONTH($B$44),Y$3),'Сводный годовой график'!$C$9:$AR$9))&lt;&gt;12,INDIRECT(ADDRESS(ROW()+1,COLUMN()))="СП"),8,INDEX('Сводный годовой график'!$C$1:$AR$4,MATCH($C$44,'Сводный годовой график'!$B$1:$B$4),MATCH(DATE($AV$1,MONTH($B$44),Y$3),'Сводный годовой график'!$C$9:$AR$9)))</f>
        <v>12</v>
      </c>
      <c r="Z44" s="27">
        <f ca="1">IF(AND(INDEX('Сводный годовой график'!$C$1:$AR$4,MATCH($C$44,'Сводный годовой график'!$B$1:$B$4),MATCH(DATE($AV$1,MONTH($B$44),Z$3),'Сводный годовой график'!$C$9:$AR$9))&lt;&gt;12,INDIRECT(ADDRESS(ROW()+1,COLUMN()))="СП"),8,INDEX('Сводный годовой график'!$C$1:$AR$4,MATCH($C$44,'Сводный годовой график'!$B$1:$B$4),MATCH(DATE($AV$1,MONTH($B$44),Z$3),'Сводный годовой график'!$C$9:$AR$9)))</f>
        <v>4</v>
      </c>
      <c r="AA44" s="27">
        <f ca="1">IF(AND(INDEX('Сводный годовой график'!$C$1:$AR$4,MATCH($C$44,'Сводный годовой график'!$B$1:$B$4),MATCH(DATE($AV$1,MONTH($B$44),AA$3),'Сводный годовой график'!$C$9:$AR$9))&lt;&gt;12,INDIRECT(ADDRESS(ROW()+1,COLUMN()))="СП"),8,INDEX('Сводный годовой график'!$C$1:$AR$4,MATCH($C$44,'Сводный годовой график'!$B$1:$B$4),MATCH(DATE($AV$1,MONTH($B$44),AA$3),'Сводный годовой график'!$C$9:$AR$9)))</f>
        <v>8</v>
      </c>
      <c r="AB44" s="27">
        <f ca="1">IF(AND(INDEX('Сводный годовой график'!$C$1:$AR$4,MATCH($C$44,'Сводный годовой график'!$B$1:$B$4),MATCH(DATE($AV$1,MONTH($B$44),AB$3),'Сводный годовой график'!$C$9:$AR$9))&lt;&gt;12,INDIRECT(ADDRESS(ROW()+1,COLUMN()))="СП"),8,INDEX('Сводный годовой график'!$C$1:$AR$4,MATCH($C$44,'Сводный годовой график'!$B$1:$B$4),MATCH(DATE($AV$1,MONTH($B$44),AB$3),'Сводный годовой график'!$C$9:$AR$9)))</f>
        <v>12</v>
      </c>
      <c r="AC44" s="27">
        <f ca="1">IF(AND(INDEX('Сводный годовой график'!$C$1:$AR$4,MATCH($C$44,'Сводный годовой график'!$B$1:$B$4),MATCH(DATE($AV$1,MONTH($B$44),AC$3),'Сводный годовой график'!$C$9:$AR$9))&lt;&gt;12,INDIRECT(ADDRESS(ROW()+1,COLUMN()))="СП"),8,INDEX('Сводный годовой график'!$C$1:$AR$4,MATCH($C$44,'Сводный годовой график'!$B$1:$B$4),MATCH(DATE($AV$1,MONTH($B$44),AC$3),'Сводный годовой график'!$C$9:$AR$9)))</f>
        <v>0</v>
      </c>
      <c r="AD44" s="27">
        <f ca="1">IF(AND(INDEX('Сводный годовой график'!$C$1:$AR$4,MATCH($C$44,'Сводный годовой график'!$B$1:$B$4),MATCH(DATE($AV$1,MONTH($B$44),AD$3),'Сводный годовой график'!$C$9:$AR$9))&lt;&gt;12,INDIRECT(ADDRESS(ROW()+1,COLUMN()))="СП"),8,INDEX('Сводный годовой график'!$C$1:$AR$4,MATCH($C$44,'Сводный годовой график'!$B$1:$B$4),MATCH(DATE($AV$1,MONTH($B$44),AD$3),'Сводный годовой график'!$C$9:$AR$9)))</f>
        <v>0</v>
      </c>
      <c r="AE44" s="27">
        <f ca="1">IF(AND(INDEX('Сводный годовой график'!$C$1:$AR$4,MATCH($C$44,'Сводный годовой график'!$B$1:$B$4),MATCH(DATE($AV$1,MONTH($B$44),AE$3),'Сводный годовой график'!$C$9:$AR$9))&lt;&gt;12,INDIRECT(ADDRESS(ROW()+1,COLUMN()))="СП"),8,INDEX('Сводный годовой график'!$C$1:$AR$4,MATCH($C$44,'Сводный годовой график'!$B$1:$B$4),MATCH(DATE($AV$1,MONTH($B$44),AE$3),'Сводный годовой график'!$C$9:$AR$9)))</f>
        <v>4</v>
      </c>
      <c r="AF44" s="27">
        <f ca="1">IF(AND(INDEX('Сводный годовой график'!$C$1:$AR$4,MATCH($C$44,'Сводный годовой график'!$B$1:$B$4),MATCH(DATE($AV$1,MONTH($B$44),AF$3),'Сводный годовой график'!$C$9:$AR$9))&lt;&gt;12,INDIRECT(ADDRESS(ROW()+1,COLUMN()))="СП"),8,INDEX('Сводный годовой график'!$C$1:$AR$4,MATCH($C$44,'Сводный годовой график'!$B$1:$B$4),MATCH(DATE($AV$1,MONTH($B$44),AF$3),'Сводный годовой график'!$C$9:$AR$9)))</f>
        <v>8</v>
      </c>
      <c r="AG44" s="27">
        <f ca="1">IF(AND(INDEX('Сводный годовой график'!$C$1:$AR$4,MATCH($C$44,'Сводный годовой график'!$B$1:$B$4),MATCH(DATE($AV$1,MONTH($B$44),AG$3),'Сводный годовой график'!$C$9:$AR$9))&lt;&gt;12,INDIRECT(ADDRESS(ROW()+1,COLUMN()))="СП"),8,INDEX('Сводный годовой график'!$C$1:$AR$4,MATCH($C$44,'Сводный годовой график'!$B$1:$B$4),MATCH(DATE($AV$1,MONTH($B$44),AG$3),'Сводный годовой график'!$C$9:$AR$9)))</f>
        <v>12</v>
      </c>
      <c r="AH44" s="27">
        <f ca="1">IF(AND(INDEX('Сводный годовой график'!$C$1:$AR$4,MATCH($C$44,'Сводный годовой график'!$B$1:$B$4),MATCH(DATE($AV$1,MONTH($B$44),AH$3),'Сводный годовой график'!$C$9:$AR$9))&lt;&gt;12,INDIRECT(ADDRESS(ROW()+1,COLUMN()))="СП"),8,INDEX('Сводный годовой график'!$C$1:$AR$4,MATCH($C$44,'Сводный годовой график'!$B$1:$B$4),MATCH(DATE($AV$1,MONTH($B$44),AH$3),'Сводный годовой график'!$C$9:$AR$9)))</f>
        <v>4</v>
      </c>
      <c r="AI44" s="27">
        <f ca="1">IF(AND(INDEX('Сводный годовой график'!$C$1:$AR$4,MATCH($C$44,'Сводный годовой график'!$B$1:$B$4),MATCH(DATE($AV$1,MONTH($B$44),AI$3),'Сводный годовой график'!$C$9:$AR$9))&lt;&gt;12,INDIRECT(ADDRESS(ROW()+1,COLUMN()))="СП"),8,INDEX('Сводный годовой график'!$C$1:$AR$4,MATCH($C$44,'Сводный годовой график'!$B$1:$B$4),MATCH(DATE($AV$1,MONTH($B$44),AI$3),'Сводный годовой график'!$C$9:$AR$9)))</f>
        <v>8</v>
      </c>
      <c r="AJ44" s="205">
        <f>INDEX(Подключения!$D$3:$H$14,MONTH(B44),5)</f>
        <v>144</v>
      </c>
      <c r="AK44" s="216">
        <f>$AJ$44-SUM(AY44:CC45)</f>
        <v>144</v>
      </c>
      <c r="AL44" s="216">
        <f ca="1">SUM(E44:AI45)</f>
        <v>180</v>
      </c>
      <c r="AM44" s="216">
        <f ca="1">(SUM(E44)+SUM(M44))</f>
        <v>0</v>
      </c>
      <c r="AN44" s="218">
        <f t="shared" ref="AN44" ca="1" si="73">-AM44-AK44+AL44</f>
        <v>36</v>
      </c>
      <c r="AO44" s="228"/>
      <c r="AP44" s="218">
        <f ca="1">AN44+AP34-AO44-AO44</f>
        <v>36</v>
      </c>
      <c r="AQ44" s="216">
        <v>0</v>
      </c>
      <c r="AR44" s="217">
        <v>1</v>
      </c>
      <c r="CK44" s="59"/>
      <c r="CL44" s="59"/>
      <c r="CM44" s="59"/>
      <c r="CN44" s="59"/>
      <c r="CO44" s="59"/>
      <c r="CP44" s="59"/>
      <c r="CQ44" s="59"/>
      <c r="CR44" s="59"/>
      <c r="CS44" s="59"/>
      <c r="CT44" s="59"/>
      <c r="CU44" s="59"/>
      <c r="CV44" s="59"/>
      <c r="CW44" s="59"/>
      <c r="CX44" s="59"/>
      <c r="CY44" s="59"/>
      <c r="CZ44" s="59"/>
      <c r="DA44" s="59"/>
      <c r="DB44" s="59"/>
      <c r="DC44" s="59"/>
      <c r="DD44" s="59"/>
      <c r="DE44" s="59"/>
      <c r="DF44" s="59"/>
      <c r="DG44" s="59"/>
      <c r="DH44" s="59"/>
      <c r="DI44" s="59"/>
      <c r="DJ44" s="59"/>
      <c r="DK44" s="59"/>
      <c r="DL44" s="59"/>
      <c r="DM44" s="59"/>
      <c r="DN44" s="59"/>
      <c r="DO44" s="59"/>
    </row>
    <row r="45" spans="2:119" ht="16.5" thickBot="1" x14ac:dyDescent="0.3">
      <c r="B45" s="201"/>
      <c r="C45" s="197"/>
      <c r="D45" s="82">
        <v>2</v>
      </c>
      <c r="E45" s="92" t="str">
        <f t="shared" ref="E45:AI45" si="74">IF(INDEX($CK$4:$DO$123,ROW()-3,E$3)=0,"","СП")</f>
        <v/>
      </c>
      <c r="F45" s="92" t="str">
        <f t="shared" si="74"/>
        <v/>
      </c>
      <c r="G45" s="92" t="str">
        <f t="shared" si="74"/>
        <v/>
      </c>
      <c r="H45" s="92" t="str">
        <f t="shared" si="74"/>
        <v/>
      </c>
      <c r="I45" s="92" t="str">
        <f t="shared" si="74"/>
        <v>СП</v>
      </c>
      <c r="J45" s="92" t="str">
        <f t="shared" si="74"/>
        <v/>
      </c>
      <c r="K45" s="92" t="str">
        <f t="shared" si="74"/>
        <v/>
      </c>
      <c r="L45" s="92" t="str">
        <f t="shared" si="74"/>
        <v/>
      </c>
      <c r="M45" s="92" t="str">
        <f t="shared" si="74"/>
        <v/>
      </c>
      <c r="N45" s="92" t="str">
        <f t="shared" si="74"/>
        <v/>
      </c>
      <c r="O45" s="92" t="str">
        <f t="shared" si="74"/>
        <v/>
      </c>
      <c r="P45" s="92" t="str">
        <f t="shared" si="74"/>
        <v/>
      </c>
      <c r="Q45" s="92" t="str">
        <f t="shared" si="74"/>
        <v/>
      </c>
      <c r="R45" s="92" t="str">
        <f t="shared" si="74"/>
        <v/>
      </c>
      <c r="S45" s="92" t="str">
        <f t="shared" si="74"/>
        <v/>
      </c>
      <c r="T45" s="92" t="str">
        <f t="shared" si="74"/>
        <v/>
      </c>
      <c r="U45" s="92" t="str">
        <f t="shared" si="74"/>
        <v/>
      </c>
      <c r="V45" s="92" t="str">
        <f t="shared" si="74"/>
        <v/>
      </c>
      <c r="W45" s="92" t="str">
        <f t="shared" si="74"/>
        <v/>
      </c>
      <c r="X45" s="92" t="str">
        <f t="shared" si="74"/>
        <v/>
      </c>
      <c r="Y45" s="92" t="str">
        <f t="shared" si="74"/>
        <v/>
      </c>
      <c r="Z45" s="92" t="str">
        <f t="shared" si="74"/>
        <v/>
      </c>
      <c r="AA45" s="92" t="str">
        <f t="shared" si="74"/>
        <v/>
      </c>
      <c r="AB45" s="92" t="str">
        <f t="shared" si="74"/>
        <v/>
      </c>
      <c r="AC45" s="92" t="str">
        <f t="shared" si="74"/>
        <v/>
      </c>
      <c r="AD45" s="92" t="str">
        <f t="shared" si="74"/>
        <v/>
      </c>
      <c r="AE45" s="92" t="str">
        <f t="shared" si="74"/>
        <v/>
      </c>
      <c r="AF45" s="92" t="str">
        <f t="shared" si="74"/>
        <v/>
      </c>
      <c r="AG45" s="92" t="str">
        <f t="shared" si="74"/>
        <v/>
      </c>
      <c r="AH45" s="92" t="str">
        <f t="shared" si="74"/>
        <v/>
      </c>
      <c r="AI45" s="92" t="str">
        <f t="shared" si="74"/>
        <v/>
      </c>
      <c r="AJ45" s="206"/>
      <c r="AK45" s="209"/>
      <c r="AL45" s="209"/>
      <c r="AM45" s="209"/>
      <c r="AN45" s="211"/>
      <c r="AO45" s="225"/>
      <c r="AP45" s="211"/>
      <c r="AQ45" s="209"/>
      <c r="AR45" s="210"/>
      <c r="CK45" s="58">
        <f>IF(DAY(INDEX('Сводный годовой график'!$BA$4:$BL$14,$C44,MONTH($B$44)))=E$3,1,0)</f>
        <v>0</v>
      </c>
      <c r="CL45" s="58">
        <f>IF(DAY(INDEX('Сводный годовой график'!$BA$4:$BL$14,$C44,MONTH($B$44)))=F$3,1,0)</f>
        <v>0</v>
      </c>
      <c r="CM45" s="58">
        <f>IF(DAY(INDEX('Сводный годовой график'!$BA$4:$BL$14,$C44,MONTH($B$44)))=G$3,1,0)</f>
        <v>0</v>
      </c>
      <c r="CN45" s="58">
        <f>IF(DAY(INDEX('Сводный годовой график'!$BA$4:$BL$14,$C44,MONTH($B$44)))=H$3,1,0)</f>
        <v>0</v>
      </c>
      <c r="CO45" s="58">
        <f>IF(DAY(INDEX('Сводный годовой график'!$BA$4:$BL$14,$C44,MONTH($B$44)))=I$3,1,0)</f>
        <v>1</v>
      </c>
      <c r="CP45" s="58">
        <f>IF(DAY(INDEX('Сводный годовой график'!$BA$4:$BL$14,$C44,MONTH($B$44)))=J$3,1,0)</f>
        <v>0</v>
      </c>
      <c r="CQ45" s="58">
        <f>IF(DAY(INDEX('Сводный годовой график'!$BA$4:$BL$14,$C44,MONTH($B$44)))=K$3,1,0)</f>
        <v>0</v>
      </c>
      <c r="CR45" s="58">
        <f>IF(DAY(INDEX('Сводный годовой график'!$BA$4:$BL$14,$C44,MONTH($B$44)))=L$3,1,0)</f>
        <v>0</v>
      </c>
      <c r="CS45" s="58">
        <f>IF(DAY(INDEX('Сводный годовой график'!$BA$4:$BL$14,$C44,MONTH($B$44)))=M$3,1,0)</f>
        <v>0</v>
      </c>
      <c r="CT45" s="58">
        <f>IF(DAY(INDEX('Сводный годовой график'!$BA$4:$BL$14,$C44,MONTH($B$44)))=N$3,1,0)</f>
        <v>0</v>
      </c>
      <c r="CU45" s="58">
        <f>IF(DAY(INDEX('Сводный годовой график'!$BA$4:$BL$14,$C44,MONTH($B$44)))=O$3,1,0)</f>
        <v>0</v>
      </c>
      <c r="CV45" s="58">
        <f>IF(DAY(INDEX('Сводный годовой график'!$BA$4:$BL$14,$C44,MONTH($B$44)))=P$3,1,0)</f>
        <v>0</v>
      </c>
      <c r="CW45" s="58">
        <f>IF(DAY(INDEX('Сводный годовой график'!$BA$4:$BL$14,$C44,MONTH($B$44)))=Q$3,1,0)</f>
        <v>0</v>
      </c>
      <c r="CX45" s="58">
        <f>IF(DAY(INDEX('Сводный годовой график'!$BA$4:$BL$14,$C44,MONTH($B$44)))=R$3,1,0)</f>
        <v>0</v>
      </c>
      <c r="CY45" s="58">
        <f>IF(DAY(INDEX('Сводный годовой график'!$BA$4:$BL$14,$C44,MONTH($B$44)))=S$3,1,0)</f>
        <v>0</v>
      </c>
      <c r="CZ45" s="58">
        <f>IF(DAY(INDEX('Сводный годовой график'!$BA$4:$BL$14,$C44,MONTH($B$44)))=T$3,1,0)</f>
        <v>0</v>
      </c>
      <c r="DA45" s="58">
        <f>IF(DAY(INDEX('Сводный годовой график'!$BA$4:$BL$14,$C44,MONTH($B$44)))=U$3,1,0)</f>
        <v>0</v>
      </c>
      <c r="DB45" s="58">
        <f>IF(DAY(INDEX('Сводный годовой график'!$BA$4:$BL$14,$C44,MONTH($B$44)))=V$3,1,0)</f>
        <v>0</v>
      </c>
      <c r="DC45" s="58">
        <f>IF(DAY(INDEX('Сводный годовой график'!$BA$4:$BL$14,$C44,MONTH($B$44)))=W$3,1,0)</f>
        <v>0</v>
      </c>
      <c r="DD45" s="58">
        <f>IF(DAY(INDEX('Сводный годовой график'!$BA$4:$BL$14,$C44,MONTH($B$44)))=X$3,1,0)</f>
        <v>0</v>
      </c>
      <c r="DE45" s="58">
        <f>IF(DAY(INDEX('Сводный годовой график'!$BA$4:$BL$14,$C44,MONTH($B$44)))=Y$3,1,0)</f>
        <v>0</v>
      </c>
      <c r="DF45" s="58">
        <f>IF(DAY(INDEX('Сводный годовой график'!$BA$4:$BL$14,$C44,MONTH($B$44)))=Z$3,1,0)</f>
        <v>0</v>
      </c>
      <c r="DG45" s="58">
        <f>IF(DAY(INDEX('Сводный годовой график'!$BA$4:$BL$14,$C44,MONTH($B$44)))=AA$3,1,0)</f>
        <v>0</v>
      </c>
      <c r="DH45" s="58">
        <f>IF(DAY(INDEX('Сводный годовой график'!$BA$4:$BL$14,$C44,MONTH($B$44)))=AB$3,1,0)</f>
        <v>0</v>
      </c>
      <c r="DI45" s="58">
        <f>IF(DAY(INDEX('Сводный годовой график'!$BA$4:$BL$14,$C44,MONTH($B$44)))=AC$3,1,0)</f>
        <v>0</v>
      </c>
      <c r="DJ45" s="58">
        <f>IF(DAY(INDEX('Сводный годовой график'!$BA$4:$BL$14,$C44,MONTH($B$44)))=AD$3,1,0)</f>
        <v>0</v>
      </c>
      <c r="DK45" s="58">
        <f>IF(DAY(INDEX('Сводный годовой график'!$BA$4:$BL$14,$C44,MONTH($B$44)))=AE$3,1,0)</f>
        <v>0</v>
      </c>
      <c r="DL45" s="58">
        <f>IF(DAY(INDEX('Сводный годовой график'!$BA$4:$BL$14,$C44,MONTH($B$44)))=AF$3,1,0)</f>
        <v>0</v>
      </c>
      <c r="DM45" s="58">
        <f>IF(DAY(INDEX('Сводный годовой график'!$BA$4:$BL$14,$C44,MONTH($B$44)))=AG$3,1,0)</f>
        <v>0</v>
      </c>
      <c r="DN45" s="58">
        <f>IF(DAY(INDEX('Сводный годовой график'!$BA$4:$BL$14,$C44,MONTH($B$44)))=AH$3,1,0)</f>
        <v>0</v>
      </c>
      <c r="DO45" s="58">
        <f>IF(DAY(INDEX('Сводный годовой график'!$BA$4:$BL$14,$C44,MONTH($B$44)))=AI$3,1,0)</f>
        <v>0</v>
      </c>
    </row>
    <row r="46" spans="2:119" ht="16.5" thickBot="1" x14ac:dyDescent="0.3">
      <c r="B46" s="201"/>
      <c r="C46" s="196">
        <v>2</v>
      </c>
      <c r="D46" s="81">
        <v>3</v>
      </c>
      <c r="E46" s="92">
        <f ca="1">IF(AND(INDEX('Сводный годовой график'!$C$1:$AR$4,MATCH($C$46,'Сводный годовой график'!$B$1:$B$4),MATCH(DATE($AV$1,MONTH($B$44),E$3),'Сводный годовой график'!$C$9:$AR$9))&lt;&gt;12,INDIRECT(ADDRESS(ROW()+1,COLUMN()))="СП"),8,INDEX('Сводный годовой график'!$C$1:$AR$4,MATCH($C$46,'Сводный годовой график'!$B$1:$B$4),MATCH(DATE($AV$1,MONTH($B$44),E$3),'Сводный годовой график'!$C$9:$AR$9)))</f>
        <v>4</v>
      </c>
      <c r="F46" s="92">
        <f ca="1">IF(AND(INDEX('Сводный годовой график'!$C$1:$AR$4,MATCH($C$46,'Сводный годовой график'!$B$1:$B$4),MATCH(DATE($AV$1,MONTH($B$44),F$3),'Сводный годовой график'!$C$9:$AR$9))&lt;&gt;12,INDIRECT(ADDRESS(ROW()+1,COLUMN()))="СП"),8,INDEX('Сводный годовой график'!$C$1:$AR$4,MATCH($C$46,'Сводный годовой график'!$B$1:$B$4),MATCH(DATE($AV$1,MONTH($B$44),F$3),'Сводный годовой график'!$C$9:$AR$9)))</f>
        <v>8</v>
      </c>
      <c r="G46" s="92">
        <f ca="1">IF(AND(INDEX('Сводный годовой график'!$C$1:$AR$4,MATCH($C$46,'Сводный годовой график'!$B$1:$B$4),MATCH(DATE($AV$1,MONTH($B$44),G$3),'Сводный годовой график'!$C$9:$AR$9))&lt;&gt;12,INDIRECT(ADDRESS(ROW()+1,COLUMN()))="СП"),8,INDEX('Сводный годовой график'!$C$1:$AR$4,MATCH($C$46,'Сводный годовой график'!$B$1:$B$4),MATCH(DATE($AV$1,MONTH($B$44),G$3),'Сводный годовой график'!$C$9:$AR$9)))</f>
        <v>12</v>
      </c>
      <c r="H46" s="92">
        <f ca="1">IF(AND(INDEX('Сводный годовой график'!$C$1:$AR$4,MATCH($C$46,'Сводный годовой график'!$B$1:$B$4),MATCH(DATE($AV$1,MONTH($B$44),H$3),'Сводный годовой график'!$C$9:$AR$9))&lt;&gt;12,INDIRECT(ADDRESS(ROW()+1,COLUMN()))="СП"),8,INDEX('Сводный годовой график'!$C$1:$AR$4,MATCH($C$46,'Сводный годовой график'!$B$1:$B$4),MATCH(DATE($AV$1,MONTH($B$44),H$3),'Сводный годовой график'!$C$9:$AR$9)))</f>
        <v>4</v>
      </c>
      <c r="I46" s="92">
        <f ca="1">IF(AND(INDEX('Сводный годовой график'!$C$1:$AR$4,MATCH($C$46,'Сводный годовой график'!$B$1:$B$4),MATCH(DATE($AV$1,MONTH($B$44),I$3),'Сводный годовой график'!$C$9:$AR$9))&lt;&gt;12,INDIRECT(ADDRESS(ROW()+1,COLUMN()))="СП"),8,INDEX('Сводный годовой график'!$C$1:$AR$4,MATCH($C$46,'Сводный годовой график'!$B$1:$B$4),MATCH(DATE($AV$1,MONTH($B$44),I$3),'Сводный годовой график'!$C$9:$AR$9)))</f>
        <v>8</v>
      </c>
      <c r="J46" s="92">
        <f ca="1">IF(AND(INDEX('Сводный годовой график'!$C$1:$AR$4,MATCH($C$46,'Сводный годовой график'!$B$1:$B$4),MATCH(DATE($AV$1,MONTH($B$44),J$3),'Сводный годовой график'!$C$9:$AR$9))&lt;&gt;12,INDIRECT(ADDRESS(ROW()+1,COLUMN()))="СП"),8,INDEX('Сводный годовой график'!$C$1:$AR$4,MATCH($C$46,'Сводный годовой график'!$B$1:$B$4),MATCH(DATE($AV$1,MONTH($B$44),J$3),'Сводный годовой график'!$C$9:$AR$9)))</f>
        <v>12</v>
      </c>
      <c r="K46" s="92">
        <f ca="1">IF(AND(INDEX('Сводный годовой график'!$C$1:$AR$4,MATCH($C$46,'Сводный годовой график'!$B$1:$B$4),MATCH(DATE($AV$1,MONTH($B$44),K$3),'Сводный годовой график'!$C$9:$AR$9))&lt;&gt;12,INDIRECT(ADDRESS(ROW()+1,COLUMN()))="СП"),8,INDEX('Сводный годовой график'!$C$1:$AR$4,MATCH($C$46,'Сводный годовой график'!$B$1:$B$4),MATCH(DATE($AV$1,MONTH($B$44),K$3),'Сводный годовой график'!$C$9:$AR$9)))</f>
        <v>0</v>
      </c>
      <c r="L46" s="92">
        <f ca="1">IF(AND(INDEX('Сводный годовой график'!$C$1:$AR$4,MATCH($C$46,'Сводный годовой график'!$B$1:$B$4),MATCH(DATE($AV$1,MONTH($B$44),L$3),'Сводный годовой график'!$C$9:$AR$9))&lt;&gt;12,INDIRECT(ADDRESS(ROW()+1,COLUMN()))="СП"),8,INDEX('Сводный годовой график'!$C$1:$AR$4,MATCH($C$46,'Сводный годовой график'!$B$1:$B$4),MATCH(DATE($AV$1,MONTH($B$44),L$3),'Сводный годовой график'!$C$9:$AR$9)))</f>
        <v>0</v>
      </c>
      <c r="M46" s="92">
        <f ca="1">IF(AND(INDEX('Сводный годовой график'!$C$1:$AR$4,MATCH($C$46,'Сводный годовой график'!$B$1:$B$4),MATCH(DATE($AV$1,MONTH($B$44),M$3),'Сводный годовой график'!$C$9:$AR$9))&lt;&gt;12,INDIRECT(ADDRESS(ROW()+1,COLUMN()))="СП"),8,INDEX('Сводный годовой график'!$C$1:$AR$4,MATCH($C$46,'Сводный годовой график'!$B$1:$B$4),MATCH(DATE($AV$1,MONTH($B$44),M$3),'Сводный годовой график'!$C$9:$AR$9)))</f>
        <v>4</v>
      </c>
      <c r="N46" s="92">
        <f ca="1">IF(AND(INDEX('Сводный годовой график'!$C$1:$AR$4,MATCH($C$46,'Сводный годовой график'!$B$1:$B$4),MATCH(DATE($AV$1,MONTH($B$44),N$3),'Сводный годовой график'!$C$9:$AR$9))&lt;&gt;12,INDIRECT(ADDRESS(ROW()+1,COLUMN()))="СП"),8,INDEX('Сводный годовой график'!$C$1:$AR$4,MATCH($C$46,'Сводный годовой график'!$B$1:$B$4),MATCH(DATE($AV$1,MONTH($B$44),N$3),'Сводный годовой график'!$C$9:$AR$9)))</f>
        <v>8</v>
      </c>
      <c r="O46" s="92">
        <f ca="1">IF(AND(INDEX('Сводный годовой график'!$C$1:$AR$4,MATCH($C$46,'Сводный годовой график'!$B$1:$B$4),MATCH(DATE($AV$1,MONTH($B$44),O$3),'Сводный годовой график'!$C$9:$AR$9))&lt;&gt;12,INDIRECT(ADDRESS(ROW()+1,COLUMN()))="СП"),8,INDEX('Сводный годовой график'!$C$1:$AR$4,MATCH($C$46,'Сводный годовой график'!$B$1:$B$4),MATCH(DATE($AV$1,MONTH($B$44),O$3),'Сводный годовой график'!$C$9:$AR$9)))</f>
        <v>12</v>
      </c>
      <c r="P46" s="92">
        <f ca="1">IF(AND(INDEX('Сводный годовой график'!$C$1:$AR$4,MATCH($C$46,'Сводный годовой график'!$B$1:$B$4),MATCH(DATE($AV$1,MONTH($B$44),P$3),'Сводный годовой график'!$C$9:$AR$9))&lt;&gt;12,INDIRECT(ADDRESS(ROW()+1,COLUMN()))="СП"),8,INDEX('Сводный годовой график'!$C$1:$AR$4,MATCH($C$46,'Сводный годовой график'!$B$1:$B$4),MATCH(DATE($AV$1,MONTH($B$44),P$3),'Сводный годовой график'!$C$9:$AR$9)))</f>
        <v>4</v>
      </c>
      <c r="Q46" s="92">
        <f ca="1">IF(AND(INDEX('Сводный годовой график'!$C$1:$AR$4,MATCH($C$46,'Сводный годовой график'!$B$1:$B$4),MATCH(DATE($AV$1,MONTH($B$44),Q$3),'Сводный годовой график'!$C$9:$AR$9))&lt;&gt;12,INDIRECT(ADDRESS(ROW()+1,COLUMN()))="СП"),8,INDEX('Сводный годовой график'!$C$1:$AR$4,MATCH($C$46,'Сводный годовой график'!$B$1:$B$4),MATCH(DATE($AV$1,MONTH($B$44),Q$3),'Сводный годовой график'!$C$9:$AR$9)))</f>
        <v>8</v>
      </c>
      <c r="R46" s="92">
        <f ca="1">IF(AND(INDEX('Сводный годовой график'!$C$1:$AR$4,MATCH($C$46,'Сводный годовой график'!$B$1:$B$4),MATCH(DATE($AV$1,MONTH($B$44),R$3),'Сводный годовой график'!$C$9:$AR$9))&lt;&gt;12,INDIRECT(ADDRESS(ROW()+1,COLUMN()))="СП"),8,INDEX('Сводный годовой график'!$C$1:$AR$4,MATCH($C$46,'Сводный годовой график'!$B$1:$B$4),MATCH(DATE($AV$1,MONTH($B$44),R$3),'Сводный годовой график'!$C$9:$AR$9)))</f>
        <v>12</v>
      </c>
      <c r="S46" s="92">
        <f ca="1">IF(AND(INDEX('Сводный годовой график'!$C$1:$AR$4,MATCH($C$46,'Сводный годовой график'!$B$1:$B$4),MATCH(DATE($AV$1,MONTH($B$44),S$3),'Сводный годовой график'!$C$9:$AR$9))&lt;&gt;12,INDIRECT(ADDRESS(ROW()+1,COLUMN()))="СП"),8,INDEX('Сводный годовой график'!$C$1:$AR$4,MATCH($C$46,'Сводный годовой график'!$B$1:$B$4),MATCH(DATE($AV$1,MONTH($B$44),S$3),'Сводный годовой график'!$C$9:$AR$9)))</f>
        <v>0</v>
      </c>
      <c r="T46" s="92">
        <f ca="1">IF(AND(INDEX('Сводный годовой график'!$C$1:$AR$4,MATCH($C$46,'Сводный годовой график'!$B$1:$B$4),MATCH(DATE($AV$1,MONTH($B$44),T$3),'Сводный годовой график'!$C$9:$AR$9))&lt;&gt;12,INDIRECT(ADDRESS(ROW()+1,COLUMN()))="СП"),8,INDEX('Сводный годовой график'!$C$1:$AR$4,MATCH($C$46,'Сводный годовой график'!$B$1:$B$4),MATCH(DATE($AV$1,MONTH($B$44),T$3),'Сводный годовой график'!$C$9:$AR$9)))</f>
        <v>0</v>
      </c>
      <c r="U46" s="92">
        <f ca="1">IF(AND(INDEX('Сводный годовой график'!$C$1:$AR$4,MATCH($C$46,'Сводный годовой график'!$B$1:$B$4),MATCH(DATE($AV$1,MONTH($B$44),U$3),'Сводный годовой график'!$C$9:$AR$9))&lt;&gt;12,INDIRECT(ADDRESS(ROW()+1,COLUMN()))="СП"),8,INDEX('Сводный годовой график'!$C$1:$AR$4,MATCH($C$46,'Сводный годовой график'!$B$1:$B$4),MATCH(DATE($AV$1,MONTH($B$44),U$3),'Сводный годовой график'!$C$9:$AR$9)))</f>
        <v>4</v>
      </c>
      <c r="V46" s="92">
        <f ca="1">IF(AND(INDEX('Сводный годовой график'!$C$1:$AR$4,MATCH($C$46,'Сводный годовой график'!$B$1:$B$4),MATCH(DATE($AV$1,MONTH($B$44),V$3),'Сводный годовой график'!$C$9:$AR$9))&lt;&gt;12,INDIRECT(ADDRESS(ROW()+1,COLUMN()))="СП"),8,INDEX('Сводный годовой график'!$C$1:$AR$4,MATCH($C$46,'Сводный годовой график'!$B$1:$B$4),MATCH(DATE($AV$1,MONTH($B$44),V$3),'Сводный годовой график'!$C$9:$AR$9)))</f>
        <v>8</v>
      </c>
      <c r="W46" s="92">
        <f ca="1">IF(AND(INDEX('Сводный годовой график'!$C$1:$AR$4,MATCH($C$46,'Сводный годовой график'!$B$1:$B$4),MATCH(DATE($AV$1,MONTH($B$44),W$3),'Сводный годовой график'!$C$9:$AR$9))&lt;&gt;12,INDIRECT(ADDRESS(ROW()+1,COLUMN()))="СП"),8,INDEX('Сводный годовой график'!$C$1:$AR$4,MATCH($C$46,'Сводный годовой график'!$B$1:$B$4),MATCH(DATE($AV$1,MONTH($B$44),W$3),'Сводный годовой график'!$C$9:$AR$9)))</f>
        <v>12</v>
      </c>
      <c r="X46" s="92">
        <f ca="1">IF(AND(INDEX('Сводный годовой график'!$C$1:$AR$4,MATCH($C$46,'Сводный годовой график'!$B$1:$B$4),MATCH(DATE($AV$1,MONTH($B$44),X$3),'Сводный годовой график'!$C$9:$AR$9))&lt;&gt;12,INDIRECT(ADDRESS(ROW()+1,COLUMN()))="СП"),8,INDEX('Сводный годовой график'!$C$1:$AR$4,MATCH($C$46,'Сводный годовой график'!$B$1:$B$4),MATCH(DATE($AV$1,MONTH($B$44),X$3),'Сводный годовой график'!$C$9:$AR$9)))</f>
        <v>4</v>
      </c>
      <c r="Y46" s="92">
        <f ca="1">IF(AND(INDEX('Сводный годовой график'!$C$1:$AR$4,MATCH($C$46,'Сводный годовой график'!$B$1:$B$4),MATCH(DATE($AV$1,MONTH($B$44),Y$3),'Сводный годовой график'!$C$9:$AR$9))&lt;&gt;12,INDIRECT(ADDRESS(ROW()+1,COLUMN()))="СП"),8,INDEX('Сводный годовой график'!$C$1:$AR$4,MATCH($C$46,'Сводный годовой график'!$B$1:$B$4),MATCH(DATE($AV$1,MONTH($B$44),Y$3),'Сводный годовой график'!$C$9:$AR$9)))</f>
        <v>8</v>
      </c>
      <c r="Z46" s="92">
        <f ca="1">IF(AND(INDEX('Сводный годовой график'!$C$1:$AR$4,MATCH($C$46,'Сводный годовой график'!$B$1:$B$4),MATCH(DATE($AV$1,MONTH($B$44),Z$3),'Сводный годовой график'!$C$9:$AR$9))&lt;&gt;12,INDIRECT(ADDRESS(ROW()+1,COLUMN()))="СП"),8,INDEX('Сводный годовой график'!$C$1:$AR$4,MATCH($C$46,'Сводный годовой график'!$B$1:$B$4),MATCH(DATE($AV$1,MONTH($B$44),Z$3),'Сводный годовой график'!$C$9:$AR$9)))</f>
        <v>12</v>
      </c>
      <c r="AA46" s="92">
        <f ca="1">IF(AND(INDEX('Сводный годовой график'!$C$1:$AR$4,MATCH($C$46,'Сводный годовой график'!$B$1:$B$4),MATCH(DATE($AV$1,MONTH($B$44),AA$3),'Сводный годовой график'!$C$9:$AR$9))&lt;&gt;12,INDIRECT(ADDRESS(ROW()+1,COLUMN()))="СП"),8,INDEX('Сводный годовой график'!$C$1:$AR$4,MATCH($C$46,'Сводный годовой график'!$B$1:$B$4),MATCH(DATE($AV$1,MONTH($B$44),AA$3),'Сводный годовой график'!$C$9:$AR$9)))</f>
        <v>0</v>
      </c>
      <c r="AB46" s="92">
        <f ca="1">IF(AND(INDEX('Сводный годовой график'!$C$1:$AR$4,MATCH($C$46,'Сводный годовой график'!$B$1:$B$4),MATCH(DATE($AV$1,MONTH($B$44),AB$3),'Сводный годовой график'!$C$9:$AR$9))&lt;&gt;12,INDIRECT(ADDRESS(ROW()+1,COLUMN()))="СП"),8,INDEX('Сводный годовой график'!$C$1:$AR$4,MATCH($C$46,'Сводный годовой график'!$B$1:$B$4),MATCH(DATE($AV$1,MONTH($B$44),AB$3),'Сводный годовой график'!$C$9:$AR$9)))</f>
        <v>0</v>
      </c>
      <c r="AC46" s="92">
        <f ca="1">IF(AND(INDEX('Сводный годовой график'!$C$1:$AR$4,MATCH($C$46,'Сводный годовой график'!$B$1:$B$4),MATCH(DATE($AV$1,MONTH($B$44),AC$3),'Сводный годовой график'!$C$9:$AR$9))&lt;&gt;12,INDIRECT(ADDRESS(ROW()+1,COLUMN()))="СП"),8,INDEX('Сводный годовой график'!$C$1:$AR$4,MATCH($C$46,'Сводный годовой график'!$B$1:$B$4),MATCH(DATE($AV$1,MONTH($B$44),AC$3),'Сводный годовой график'!$C$9:$AR$9)))</f>
        <v>4</v>
      </c>
      <c r="AD46" s="92">
        <f ca="1">IF(AND(INDEX('Сводный годовой график'!$C$1:$AR$4,MATCH($C$46,'Сводный годовой график'!$B$1:$B$4),MATCH(DATE($AV$1,MONTH($B$44),AD$3),'Сводный годовой график'!$C$9:$AR$9))&lt;&gt;12,INDIRECT(ADDRESS(ROW()+1,COLUMN()))="СП"),8,INDEX('Сводный годовой график'!$C$1:$AR$4,MATCH($C$46,'Сводный годовой график'!$B$1:$B$4),MATCH(DATE($AV$1,MONTH($B$44),AD$3),'Сводный годовой график'!$C$9:$AR$9)))</f>
        <v>8</v>
      </c>
      <c r="AE46" s="92">
        <f ca="1">IF(AND(INDEX('Сводный годовой график'!$C$1:$AR$4,MATCH($C$46,'Сводный годовой график'!$B$1:$B$4),MATCH(DATE($AV$1,MONTH($B$44),AE$3),'Сводный годовой график'!$C$9:$AR$9))&lt;&gt;12,INDIRECT(ADDRESS(ROW()+1,COLUMN()))="СП"),8,INDEX('Сводный годовой график'!$C$1:$AR$4,MATCH($C$46,'Сводный годовой график'!$B$1:$B$4),MATCH(DATE($AV$1,MONTH($B$44),AE$3),'Сводный годовой график'!$C$9:$AR$9)))</f>
        <v>12</v>
      </c>
      <c r="AF46" s="92">
        <f ca="1">IF(AND(INDEX('Сводный годовой график'!$C$1:$AR$4,MATCH($C$46,'Сводный годовой график'!$B$1:$B$4),MATCH(DATE($AV$1,MONTH($B$44),AF$3),'Сводный годовой график'!$C$9:$AR$9))&lt;&gt;12,INDIRECT(ADDRESS(ROW()+1,COLUMN()))="СП"),8,INDEX('Сводный годовой график'!$C$1:$AR$4,MATCH($C$46,'Сводный годовой график'!$B$1:$B$4),MATCH(DATE($AV$1,MONTH($B$44),AF$3),'Сводный годовой график'!$C$9:$AR$9)))</f>
        <v>4</v>
      </c>
      <c r="AG46" s="92">
        <f ca="1">IF(AND(INDEX('Сводный годовой график'!$C$1:$AR$4,MATCH($C$46,'Сводный годовой график'!$B$1:$B$4),MATCH(DATE($AV$1,MONTH($B$44),AG$3),'Сводный годовой график'!$C$9:$AR$9))&lt;&gt;12,INDIRECT(ADDRESS(ROW()+1,COLUMN()))="СП"),8,INDEX('Сводный годовой график'!$C$1:$AR$4,MATCH($C$46,'Сводный годовой график'!$B$1:$B$4),MATCH(DATE($AV$1,MONTH($B$44),AG$3),'Сводный годовой график'!$C$9:$AR$9)))</f>
        <v>8</v>
      </c>
      <c r="AH46" s="92">
        <f ca="1">IF(AND(INDEX('Сводный годовой график'!$C$1:$AR$4,MATCH($C$46,'Сводный годовой график'!$B$1:$B$4),MATCH(DATE($AV$1,MONTH($B$44),AH$3),'Сводный годовой график'!$C$9:$AR$9))&lt;&gt;12,INDIRECT(ADDRESS(ROW()+1,COLUMN()))="СП"),8,INDEX('Сводный годовой график'!$C$1:$AR$4,MATCH($C$46,'Сводный годовой график'!$B$1:$B$4),MATCH(DATE($AV$1,MONTH($B$44),AH$3),'Сводный годовой график'!$C$9:$AR$9)))</f>
        <v>12</v>
      </c>
      <c r="AI46" s="92">
        <f ca="1">IF(AND(INDEX('Сводный годовой график'!$C$1:$AR$4,MATCH($C$46,'Сводный годовой график'!$B$1:$B$4),MATCH(DATE($AV$1,MONTH($B$44),AI$3),'Сводный годовой график'!$C$9:$AR$9))&lt;&gt;12,INDIRECT(ADDRESS(ROW()+1,COLUMN()))="СП"),8,INDEX('Сводный годовой график'!$C$1:$AR$4,MATCH($C$46,'Сводный годовой график'!$B$1:$B$4),MATCH(DATE($AV$1,MONTH($B$44),AI$3),'Сводный годовой график'!$C$9:$AR$9)))</f>
        <v>0</v>
      </c>
      <c r="AJ46" s="206"/>
      <c r="AK46" s="209">
        <f>$AJ$44-SUM(AY46:CC47)</f>
        <v>144</v>
      </c>
      <c r="AL46" s="209">
        <f t="shared" ref="AL46" ca="1" si="75">SUM(E46:AI47)</f>
        <v>192</v>
      </c>
      <c r="AM46" s="209">
        <f t="shared" ref="AM46" ca="1" si="76">(SUM(E46)+SUM(M46))</f>
        <v>8</v>
      </c>
      <c r="AN46" s="211">
        <f t="shared" ref="AN46" ca="1" si="77">-AM46-AK46+AL46</f>
        <v>40</v>
      </c>
      <c r="AO46" s="224">
        <v>0</v>
      </c>
      <c r="AP46" s="211">
        <f ca="1">AN46+AP36-AO46</f>
        <v>24</v>
      </c>
      <c r="AQ46" s="209">
        <v>0</v>
      </c>
      <c r="AR46" s="210">
        <v>1</v>
      </c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59"/>
      <c r="DI46" s="59"/>
      <c r="DJ46" s="59"/>
      <c r="DK46" s="59"/>
      <c r="DL46" s="59"/>
      <c r="DM46" s="59"/>
      <c r="DN46" s="59"/>
      <c r="DO46" s="59"/>
    </row>
    <row r="47" spans="2:119" ht="16.5" thickBot="1" x14ac:dyDescent="0.3">
      <c r="B47" s="201"/>
      <c r="C47" s="197"/>
      <c r="D47" s="82">
        <v>4</v>
      </c>
      <c r="E47" s="92" t="str">
        <f t="shared" ref="E47:AI47" si="78">IF(INDEX($CK$4:$DO$123,ROW()-3,E$3)=0,"","СП")</f>
        <v/>
      </c>
      <c r="F47" s="92" t="str">
        <f t="shared" si="78"/>
        <v/>
      </c>
      <c r="G47" s="92" t="str">
        <f t="shared" si="78"/>
        <v/>
      </c>
      <c r="H47" s="92" t="str">
        <f t="shared" si="78"/>
        <v/>
      </c>
      <c r="I47" s="92" t="str">
        <f t="shared" si="78"/>
        <v/>
      </c>
      <c r="J47" s="92" t="str">
        <f t="shared" si="78"/>
        <v>СП</v>
      </c>
      <c r="K47" s="92" t="str">
        <f t="shared" si="78"/>
        <v/>
      </c>
      <c r="L47" s="92" t="str">
        <f t="shared" si="78"/>
        <v/>
      </c>
      <c r="M47" s="92" t="str">
        <f t="shared" si="78"/>
        <v/>
      </c>
      <c r="N47" s="92" t="str">
        <f t="shared" si="78"/>
        <v/>
      </c>
      <c r="O47" s="92" t="str">
        <f t="shared" si="78"/>
        <v/>
      </c>
      <c r="P47" s="92" t="str">
        <f t="shared" si="78"/>
        <v/>
      </c>
      <c r="Q47" s="92" t="str">
        <f t="shared" si="78"/>
        <v/>
      </c>
      <c r="R47" s="92" t="str">
        <f t="shared" si="78"/>
        <v/>
      </c>
      <c r="S47" s="92" t="str">
        <f t="shared" si="78"/>
        <v/>
      </c>
      <c r="T47" s="92" t="str">
        <f t="shared" si="78"/>
        <v/>
      </c>
      <c r="U47" s="92" t="str">
        <f t="shared" si="78"/>
        <v/>
      </c>
      <c r="V47" s="92" t="str">
        <f t="shared" si="78"/>
        <v/>
      </c>
      <c r="W47" s="92" t="str">
        <f t="shared" si="78"/>
        <v/>
      </c>
      <c r="X47" s="92" t="str">
        <f t="shared" si="78"/>
        <v/>
      </c>
      <c r="Y47" s="92" t="str">
        <f t="shared" si="78"/>
        <v/>
      </c>
      <c r="Z47" s="92" t="str">
        <f t="shared" si="78"/>
        <v/>
      </c>
      <c r="AA47" s="92" t="str">
        <f t="shared" si="78"/>
        <v/>
      </c>
      <c r="AB47" s="92" t="str">
        <f t="shared" si="78"/>
        <v/>
      </c>
      <c r="AC47" s="92" t="str">
        <f t="shared" si="78"/>
        <v/>
      </c>
      <c r="AD47" s="92" t="str">
        <f t="shared" si="78"/>
        <v/>
      </c>
      <c r="AE47" s="92" t="str">
        <f t="shared" si="78"/>
        <v/>
      </c>
      <c r="AF47" s="92" t="str">
        <f t="shared" si="78"/>
        <v/>
      </c>
      <c r="AG47" s="92" t="str">
        <f t="shared" si="78"/>
        <v/>
      </c>
      <c r="AH47" s="92" t="str">
        <f t="shared" si="78"/>
        <v/>
      </c>
      <c r="AI47" s="92" t="str">
        <f t="shared" si="78"/>
        <v/>
      </c>
      <c r="AJ47" s="206"/>
      <c r="AK47" s="209"/>
      <c r="AL47" s="209"/>
      <c r="AM47" s="209"/>
      <c r="AN47" s="211"/>
      <c r="AO47" s="225"/>
      <c r="AP47" s="211"/>
      <c r="AQ47" s="209"/>
      <c r="AR47" s="210"/>
      <c r="CK47" s="58">
        <f>IF(DAY(INDEX('Сводный годовой график'!$BA$4:$BL$14,$C46,MONTH($B$44)))=E$3,1,0)</f>
        <v>0</v>
      </c>
      <c r="CL47" s="58">
        <f>IF(DAY(INDEX('Сводный годовой график'!$BA$4:$BL$14,$C46,MONTH($B$44)))=F$3,1,0)</f>
        <v>0</v>
      </c>
      <c r="CM47" s="58">
        <f>IF(DAY(INDEX('Сводный годовой график'!$BA$4:$BL$14,$C46,MONTH($B$44)))=G$3,1,0)</f>
        <v>0</v>
      </c>
      <c r="CN47" s="58">
        <f>IF(DAY(INDEX('Сводный годовой график'!$BA$4:$BL$14,$C46,MONTH($B$44)))=H$3,1,0)</f>
        <v>0</v>
      </c>
      <c r="CO47" s="58">
        <f>IF(DAY(INDEX('Сводный годовой график'!$BA$4:$BL$14,$C46,MONTH($B$44)))=I$3,1,0)</f>
        <v>0</v>
      </c>
      <c r="CP47" s="58">
        <f>IF(DAY(INDEX('Сводный годовой график'!$BA$4:$BL$14,$C46,MONTH($B$44)))=J$3,1,0)</f>
        <v>1</v>
      </c>
      <c r="CQ47" s="58">
        <f>IF(DAY(INDEX('Сводный годовой график'!$BA$4:$BL$14,$C46,MONTH($B$44)))=K$3,1,0)</f>
        <v>0</v>
      </c>
      <c r="CR47" s="58">
        <f>IF(DAY(INDEX('Сводный годовой график'!$BA$4:$BL$14,$C46,MONTH($B$44)))=L$3,1,0)</f>
        <v>0</v>
      </c>
      <c r="CS47" s="58">
        <f>IF(DAY(INDEX('Сводный годовой график'!$BA$4:$BL$14,$C46,MONTH($B$44)))=M$3,1,0)</f>
        <v>0</v>
      </c>
      <c r="CT47" s="58">
        <f>IF(DAY(INDEX('Сводный годовой график'!$BA$4:$BL$14,$C46,MONTH($B$44)))=N$3,1,0)</f>
        <v>0</v>
      </c>
      <c r="CU47" s="58">
        <f>IF(DAY(INDEX('Сводный годовой график'!$BA$4:$BL$14,$C46,MONTH($B$44)))=O$3,1,0)</f>
        <v>0</v>
      </c>
      <c r="CV47" s="58">
        <f>IF(DAY(INDEX('Сводный годовой график'!$BA$4:$BL$14,$C46,MONTH($B$44)))=P$3,1,0)</f>
        <v>0</v>
      </c>
      <c r="CW47" s="58">
        <f>IF(DAY(INDEX('Сводный годовой график'!$BA$4:$BL$14,$C46,MONTH($B$44)))=Q$3,1,0)</f>
        <v>0</v>
      </c>
      <c r="CX47" s="58">
        <f>IF(DAY(INDEX('Сводный годовой график'!$BA$4:$BL$14,$C46,MONTH($B$44)))=R$3,1,0)</f>
        <v>0</v>
      </c>
      <c r="CY47" s="58">
        <f>IF(DAY(INDEX('Сводный годовой график'!$BA$4:$BL$14,$C46,MONTH($B$44)))=S$3,1,0)</f>
        <v>0</v>
      </c>
      <c r="CZ47" s="58">
        <f>IF(DAY(INDEX('Сводный годовой график'!$BA$4:$BL$14,$C46,MONTH($B$44)))=T$3,1,0)</f>
        <v>0</v>
      </c>
      <c r="DA47" s="58">
        <f>IF(DAY(INDEX('Сводный годовой график'!$BA$4:$BL$14,$C46,MONTH($B$44)))=U$3,1,0)</f>
        <v>0</v>
      </c>
      <c r="DB47" s="58">
        <f>IF(DAY(INDEX('Сводный годовой график'!$BA$4:$BL$14,$C46,MONTH($B$44)))=V$3,1,0)</f>
        <v>0</v>
      </c>
      <c r="DC47" s="58">
        <f>IF(DAY(INDEX('Сводный годовой график'!$BA$4:$BL$14,$C46,MONTH($B$44)))=W$3,1,0)</f>
        <v>0</v>
      </c>
      <c r="DD47" s="58">
        <f>IF(DAY(INDEX('Сводный годовой график'!$BA$4:$BL$14,$C46,MONTH($B$44)))=X$3,1,0)</f>
        <v>0</v>
      </c>
      <c r="DE47" s="58">
        <f>IF(DAY(INDEX('Сводный годовой график'!$BA$4:$BL$14,$C46,MONTH($B$44)))=Y$3,1,0)</f>
        <v>0</v>
      </c>
      <c r="DF47" s="58">
        <f>IF(DAY(INDEX('Сводный годовой график'!$BA$4:$BL$14,$C46,MONTH($B$44)))=Z$3,1,0)</f>
        <v>0</v>
      </c>
      <c r="DG47" s="58">
        <f>IF(DAY(INDEX('Сводный годовой график'!$BA$4:$BL$14,$C46,MONTH($B$44)))=AA$3,1,0)</f>
        <v>0</v>
      </c>
      <c r="DH47" s="58">
        <f>IF(DAY(INDEX('Сводный годовой график'!$BA$4:$BL$14,$C46,MONTH($B$44)))=AB$3,1,0)</f>
        <v>0</v>
      </c>
      <c r="DI47" s="58">
        <f>IF(DAY(INDEX('Сводный годовой график'!$BA$4:$BL$14,$C46,MONTH($B$44)))=AC$3,1,0)</f>
        <v>0</v>
      </c>
      <c r="DJ47" s="58">
        <f>IF(DAY(INDEX('Сводный годовой график'!$BA$4:$BL$14,$C46,MONTH($B$44)))=AD$3,1,0)</f>
        <v>0</v>
      </c>
      <c r="DK47" s="58">
        <f>IF(DAY(INDEX('Сводный годовой график'!$BA$4:$BL$14,$C46,MONTH($B$44)))=AE$3,1,0)</f>
        <v>0</v>
      </c>
      <c r="DL47" s="58">
        <f>IF(DAY(INDEX('Сводный годовой график'!$BA$4:$BL$14,$C46,MONTH($B$44)))=AF$3,1,0)</f>
        <v>0</v>
      </c>
      <c r="DM47" s="58">
        <f>IF(DAY(INDEX('Сводный годовой график'!$BA$4:$BL$14,$C46,MONTH($B$44)))=AG$3,1,0)</f>
        <v>0</v>
      </c>
      <c r="DN47" s="58">
        <f>IF(DAY(INDEX('Сводный годовой график'!$BA$4:$BL$14,$C46,MONTH($B$44)))=AH$3,1,0)</f>
        <v>0</v>
      </c>
      <c r="DO47" s="58">
        <f>IF(DAY(INDEX('Сводный годовой график'!$BA$4:$BL$14,$C46,MONTH($B$44)))=AI$3,1,0)</f>
        <v>0</v>
      </c>
    </row>
    <row r="48" spans="2:119" ht="16.5" thickBot="1" x14ac:dyDescent="0.3">
      <c r="B48" s="201"/>
      <c r="C48" s="196">
        <v>3</v>
      </c>
      <c r="D48" s="81">
        <v>5</v>
      </c>
      <c r="E48" s="92">
        <f ca="1">IF(AND(INDEX('Сводный годовой график'!$C$1:$AR$4,MATCH($C$48,'Сводный годовой график'!$B$1:$B$4),MATCH(DATE($AV$1,MONTH($B$44),E$3),'Сводный годовой график'!$C$9:$AR$9))&lt;&gt;12,INDIRECT(ADDRESS(ROW()+1,COLUMN()))="СП"),8,INDEX('Сводный годовой график'!$C$1:$AR$4,MATCH($C$48,'Сводный годовой график'!$B$1:$B$4),MATCH(DATE($AV$1,MONTH($B$44),E$3),'Сводный годовой график'!$C$9:$AR$9)))</f>
        <v>8</v>
      </c>
      <c r="F48" s="92">
        <f ca="1">IF(AND(INDEX('Сводный годовой график'!$C$1:$AR$4,MATCH($C$48,'Сводный годовой график'!$B$1:$B$4),MATCH(DATE($AV$1,MONTH($B$44),F$3),'Сводный годовой график'!$C$9:$AR$9))&lt;&gt;12,INDIRECT(ADDRESS(ROW()+1,COLUMN()))="СП"),8,INDEX('Сводный годовой график'!$C$1:$AR$4,MATCH($C$48,'Сводный годовой график'!$B$1:$B$4),MATCH(DATE($AV$1,MONTH($B$44),F$3),'Сводный годовой график'!$C$9:$AR$9)))</f>
        <v>12</v>
      </c>
      <c r="G48" s="92">
        <f ca="1">IF(AND(INDEX('Сводный годовой график'!$C$1:$AR$4,MATCH($C$48,'Сводный годовой график'!$B$1:$B$4),MATCH(DATE($AV$1,MONTH($B$44),G$3),'Сводный годовой график'!$C$9:$AR$9))&lt;&gt;12,INDIRECT(ADDRESS(ROW()+1,COLUMN()))="СП"),8,INDEX('Сводный годовой график'!$C$1:$AR$4,MATCH($C$48,'Сводный годовой график'!$B$1:$B$4),MATCH(DATE($AV$1,MONTH($B$44),G$3),'Сводный годовой график'!$C$9:$AR$9)))</f>
        <v>0</v>
      </c>
      <c r="H48" s="92">
        <f ca="1">IF(AND(INDEX('Сводный годовой график'!$C$1:$AR$4,MATCH($C$48,'Сводный годовой график'!$B$1:$B$4),MATCH(DATE($AV$1,MONTH($B$44),H$3),'Сводный годовой график'!$C$9:$AR$9))&lt;&gt;12,INDIRECT(ADDRESS(ROW()+1,COLUMN()))="СП"),8,INDEX('Сводный годовой график'!$C$1:$AR$4,MATCH($C$48,'Сводный годовой график'!$B$1:$B$4),MATCH(DATE($AV$1,MONTH($B$44),H$3),'Сводный годовой график'!$C$9:$AR$9)))</f>
        <v>0</v>
      </c>
      <c r="I48" s="92">
        <f ca="1">IF(AND(INDEX('Сводный годовой график'!$C$1:$AR$4,MATCH($C$48,'Сводный годовой график'!$B$1:$B$4),MATCH(DATE($AV$1,MONTH($B$44),I$3),'Сводный годовой график'!$C$9:$AR$9))&lt;&gt;12,INDIRECT(ADDRESS(ROW()+1,COLUMN()))="СП"),8,INDEX('Сводный годовой график'!$C$1:$AR$4,MATCH($C$48,'Сводный годовой график'!$B$1:$B$4),MATCH(DATE($AV$1,MONTH($B$44),I$3),'Сводный годовой график'!$C$9:$AR$9)))</f>
        <v>4</v>
      </c>
      <c r="J48" s="92">
        <f ca="1">IF(AND(INDEX('Сводный годовой график'!$C$1:$AR$4,MATCH($C$48,'Сводный годовой график'!$B$1:$B$4),MATCH(DATE($AV$1,MONTH($B$44),J$3),'Сводный годовой график'!$C$9:$AR$9))&lt;&gt;12,INDIRECT(ADDRESS(ROW()+1,COLUMN()))="СП"),8,INDEX('Сводный годовой график'!$C$1:$AR$4,MATCH($C$48,'Сводный годовой график'!$B$1:$B$4),MATCH(DATE($AV$1,MONTH($B$44),J$3),'Сводный годовой график'!$C$9:$AR$9)))</f>
        <v>8</v>
      </c>
      <c r="K48" s="92">
        <f ca="1">IF(AND(INDEX('Сводный годовой график'!$C$1:$AR$4,MATCH($C$48,'Сводный годовой график'!$B$1:$B$4),MATCH(DATE($AV$1,MONTH($B$44),K$3),'Сводный годовой график'!$C$9:$AR$9))&lt;&gt;12,INDIRECT(ADDRESS(ROW()+1,COLUMN()))="СП"),8,INDEX('Сводный годовой график'!$C$1:$AR$4,MATCH($C$48,'Сводный годовой график'!$B$1:$B$4),MATCH(DATE($AV$1,MONTH($B$44),K$3),'Сводный годовой график'!$C$9:$AR$9)))</f>
        <v>12</v>
      </c>
      <c r="L48" s="92">
        <f ca="1">IF(AND(INDEX('Сводный годовой график'!$C$1:$AR$4,MATCH($C$48,'Сводный годовой график'!$B$1:$B$4),MATCH(DATE($AV$1,MONTH($B$44),L$3),'Сводный годовой график'!$C$9:$AR$9))&lt;&gt;12,INDIRECT(ADDRESS(ROW()+1,COLUMN()))="СП"),8,INDEX('Сводный годовой график'!$C$1:$AR$4,MATCH($C$48,'Сводный годовой график'!$B$1:$B$4),MATCH(DATE($AV$1,MONTH($B$44),L$3),'Сводный годовой график'!$C$9:$AR$9)))</f>
        <v>4</v>
      </c>
      <c r="M48" s="92">
        <f ca="1">IF(AND(INDEX('Сводный годовой график'!$C$1:$AR$4,MATCH($C$48,'Сводный годовой график'!$B$1:$B$4),MATCH(DATE($AV$1,MONTH($B$44),M$3),'Сводный годовой график'!$C$9:$AR$9))&lt;&gt;12,INDIRECT(ADDRESS(ROW()+1,COLUMN()))="СП"),8,INDEX('Сводный годовой график'!$C$1:$AR$4,MATCH($C$48,'Сводный годовой график'!$B$1:$B$4),MATCH(DATE($AV$1,MONTH($B$44),M$3),'Сводный годовой график'!$C$9:$AR$9)))</f>
        <v>8</v>
      </c>
      <c r="N48" s="92">
        <f ca="1">IF(AND(INDEX('Сводный годовой график'!$C$1:$AR$4,MATCH($C$48,'Сводный годовой график'!$B$1:$B$4),MATCH(DATE($AV$1,MONTH($B$44),N$3),'Сводный годовой график'!$C$9:$AR$9))&lt;&gt;12,INDIRECT(ADDRESS(ROW()+1,COLUMN()))="СП"),8,INDEX('Сводный годовой график'!$C$1:$AR$4,MATCH($C$48,'Сводный годовой график'!$B$1:$B$4),MATCH(DATE($AV$1,MONTH($B$44),N$3),'Сводный годовой график'!$C$9:$AR$9)))</f>
        <v>12</v>
      </c>
      <c r="O48" s="92">
        <f ca="1">IF(AND(INDEX('Сводный годовой график'!$C$1:$AR$4,MATCH($C$48,'Сводный годовой график'!$B$1:$B$4),MATCH(DATE($AV$1,MONTH($B$44),O$3),'Сводный годовой график'!$C$9:$AR$9))&lt;&gt;12,INDIRECT(ADDRESS(ROW()+1,COLUMN()))="СП"),8,INDEX('Сводный годовой график'!$C$1:$AR$4,MATCH($C$48,'Сводный годовой график'!$B$1:$B$4),MATCH(DATE($AV$1,MONTH($B$44),O$3),'Сводный годовой график'!$C$9:$AR$9)))</f>
        <v>0</v>
      </c>
      <c r="P48" s="92">
        <f ca="1">IF(AND(INDEX('Сводный годовой график'!$C$1:$AR$4,MATCH($C$48,'Сводный годовой график'!$B$1:$B$4),MATCH(DATE($AV$1,MONTH($B$44),P$3),'Сводный годовой график'!$C$9:$AR$9))&lt;&gt;12,INDIRECT(ADDRESS(ROW()+1,COLUMN()))="СП"),8,INDEX('Сводный годовой график'!$C$1:$AR$4,MATCH($C$48,'Сводный годовой график'!$B$1:$B$4),MATCH(DATE($AV$1,MONTH($B$44),P$3),'Сводный годовой график'!$C$9:$AR$9)))</f>
        <v>0</v>
      </c>
      <c r="Q48" s="92">
        <f ca="1">IF(AND(INDEX('Сводный годовой график'!$C$1:$AR$4,MATCH($C$48,'Сводный годовой график'!$B$1:$B$4),MATCH(DATE($AV$1,MONTH($B$44),Q$3),'Сводный годовой график'!$C$9:$AR$9))&lt;&gt;12,INDIRECT(ADDRESS(ROW()+1,COLUMN()))="СП"),8,INDEX('Сводный годовой график'!$C$1:$AR$4,MATCH($C$48,'Сводный годовой график'!$B$1:$B$4),MATCH(DATE($AV$1,MONTH($B$44),Q$3),'Сводный годовой график'!$C$9:$AR$9)))</f>
        <v>4</v>
      </c>
      <c r="R48" s="92">
        <f ca="1">IF(AND(INDEX('Сводный годовой график'!$C$1:$AR$4,MATCH($C$48,'Сводный годовой график'!$B$1:$B$4),MATCH(DATE($AV$1,MONTH($B$44),R$3),'Сводный годовой график'!$C$9:$AR$9))&lt;&gt;12,INDIRECT(ADDRESS(ROW()+1,COLUMN()))="СП"),8,INDEX('Сводный годовой график'!$C$1:$AR$4,MATCH($C$48,'Сводный годовой график'!$B$1:$B$4),MATCH(DATE($AV$1,MONTH($B$44),R$3),'Сводный годовой график'!$C$9:$AR$9)))</f>
        <v>8</v>
      </c>
      <c r="S48" s="92">
        <f ca="1">IF(AND(INDEX('Сводный годовой график'!$C$1:$AR$4,MATCH($C$48,'Сводный годовой график'!$B$1:$B$4),MATCH(DATE($AV$1,MONTH($B$44),S$3),'Сводный годовой график'!$C$9:$AR$9))&lt;&gt;12,INDIRECT(ADDRESS(ROW()+1,COLUMN()))="СП"),8,INDEX('Сводный годовой график'!$C$1:$AR$4,MATCH($C$48,'Сводный годовой график'!$B$1:$B$4),MATCH(DATE($AV$1,MONTH($B$44),S$3),'Сводный годовой график'!$C$9:$AR$9)))</f>
        <v>12</v>
      </c>
      <c r="T48" s="92">
        <f ca="1">IF(AND(INDEX('Сводный годовой график'!$C$1:$AR$4,MATCH($C$48,'Сводный годовой график'!$B$1:$B$4),MATCH(DATE($AV$1,MONTH($B$44),T$3),'Сводный годовой график'!$C$9:$AR$9))&lt;&gt;12,INDIRECT(ADDRESS(ROW()+1,COLUMN()))="СП"),8,INDEX('Сводный годовой график'!$C$1:$AR$4,MATCH($C$48,'Сводный годовой график'!$B$1:$B$4),MATCH(DATE($AV$1,MONTH($B$44),T$3),'Сводный годовой график'!$C$9:$AR$9)))</f>
        <v>4</v>
      </c>
      <c r="U48" s="92">
        <f ca="1">IF(AND(INDEX('Сводный годовой график'!$C$1:$AR$4,MATCH($C$48,'Сводный годовой график'!$B$1:$B$4),MATCH(DATE($AV$1,MONTH($B$44),U$3),'Сводный годовой график'!$C$9:$AR$9))&lt;&gt;12,INDIRECT(ADDRESS(ROW()+1,COLUMN()))="СП"),8,INDEX('Сводный годовой график'!$C$1:$AR$4,MATCH($C$48,'Сводный годовой график'!$B$1:$B$4),MATCH(DATE($AV$1,MONTH($B$44),U$3),'Сводный годовой график'!$C$9:$AR$9)))</f>
        <v>8</v>
      </c>
      <c r="V48" s="92">
        <f ca="1">IF(AND(INDEX('Сводный годовой график'!$C$1:$AR$4,MATCH($C$48,'Сводный годовой график'!$B$1:$B$4),MATCH(DATE($AV$1,MONTH($B$44),V$3),'Сводный годовой график'!$C$9:$AR$9))&lt;&gt;12,INDIRECT(ADDRESS(ROW()+1,COLUMN()))="СП"),8,INDEX('Сводный годовой график'!$C$1:$AR$4,MATCH($C$48,'Сводный годовой график'!$B$1:$B$4),MATCH(DATE($AV$1,MONTH($B$44),V$3),'Сводный годовой график'!$C$9:$AR$9)))</f>
        <v>12</v>
      </c>
      <c r="W48" s="92">
        <f ca="1">IF(AND(INDEX('Сводный годовой график'!$C$1:$AR$4,MATCH($C$48,'Сводный годовой график'!$B$1:$B$4),MATCH(DATE($AV$1,MONTH($B$44),W$3),'Сводный годовой график'!$C$9:$AR$9))&lt;&gt;12,INDIRECT(ADDRESS(ROW()+1,COLUMN()))="СП"),8,INDEX('Сводный годовой график'!$C$1:$AR$4,MATCH($C$48,'Сводный годовой график'!$B$1:$B$4),MATCH(DATE($AV$1,MONTH($B$44),W$3),'Сводный годовой график'!$C$9:$AR$9)))</f>
        <v>0</v>
      </c>
      <c r="X48" s="92">
        <f ca="1">IF(AND(INDEX('Сводный годовой график'!$C$1:$AR$4,MATCH($C$48,'Сводный годовой график'!$B$1:$B$4),MATCH(DATE($AV$1,MONTH($B$44),X$3),'Сводный годовой график'!$C$9:$AR$9))&lt;&gt;12,INDIRECT(ADDRESS(ROW()+1,COLUMN()))="СП"),8,INDEX('Сводный годовой график'!$C$1:$AR$4,MATCH($C$48,'Сводный годовой график'!$B$1:$B$4),MATCH(DATE($AV$1,MONTH($B$44),X$3),'Сводный годовой график'!$C$9:$AR$9)))</f>
        <v>0</v>
      </c>
      <c r="Y48" s="92">
        <f ca="1">IF(AND(INDEX('Сводный годовой график'!$C$1:$AR$4,MATCH($C$48,'Сводный годовой график'!$B$1:$B$4),MATCH(DATE($AV$1,MONTH($B$44),Y$3),'Сводный годовой график'!$C$9:$AR$9))&lt;&gt;12,INDIRECT(ADDRESS(ROW()+1,COLUMN()))="СП"),8,INDEX('Сводный годовой график'!$C$1:$AR$4,MATCH($C$48,'Сводный годовой график'!$B$1:$B$4),MATCH(DATE($AV$1,MONTH($B$44),Y$3),'Сводный годовой график'!$C$9:$AR$9)))</f>
        <v>4</v>
      </c>
      <c r="Z48" s="92">
        <f ca="1">IF(AND(INDEX('Сводный годовой график'!$C$1:$AR$4,MATCH($C$48,'Сводный годовой график'!$B$1:$B$4),MATCH(DATE($AV$1,MONTH($B$44),Z$3),'Сводный годовой график'!$C$9:$AR$9))&lt;&gt;12,INDIRECT(ADDRESS(ROW()+1,COLUMN()))="СП"),8,INDEX('Сводный годовой график'!$C$1:$AR$4,MATCH($C$48,'Сводный годовой график'!$B$1:$B$4),MATCH(DATE($AV$1,MONTH($B$44),Z$3),'Сводный годовой график'!$C$9:$AR$9)))</f>
        <v>8</v>
      </c>
      <c r="AA48" s="92">
        <f ca="1">IF(AND(INDEX('Сводный годовой график'!$C$1:$AR$4,MATCH($C$48,'Сводный годовой график'!$B$1:$B$4),MATCH(DATE($AV$1,MONTH($B$44),AA$3),'Сводный годовой график'!$C$9:$AR$9))&lt;&gt;12,INDIRECT(ADDRESS(ROW()+1,COLUMN()))="СП"),8,INDEX('Сводный годовой график'!$C$1:$AR$4,MATCH($C$48,'Сводный годовой график'!$B$1:$B$4),MATCH(DATE($AV$1,MONTH($B$44),AA$3),'Сводный годовой график'!$C$9:$AR$9)))</f>
        <v>12</v>
      </c>
      <c r="AB48" s="92">
        <f ca="1">IF(AND(INDEX('Сводный годовой график'!$C$1:$AR$4,MATCH($C$48,'Сводный годовой график'!$B$1:$B$4),MATCH(DATE($AV$1,MONTH($B$44),AB$3),'Сводный годовой график'!$C$9:$AR$9))&lt;&gt;12,INDIRECT(ADDRESS(ROW()+1,COLUMN()))="СП"),8,INDEX('Сводный годовой график'!$C$1:$AR$4,MATCH($C$48,'Сводный годовой график'!$B$1:$B$4),MATCH(DATE($AV$1,MONTH($B$44),AB$3),'Сводный годовой график'!$C$9:$AR$9)))</f>
        <v>4</v>
      </c>
      <c r="AC48" s="92">
        <f ca="1">IF(AND(INDEX('Сводный годовой график'!$C$1:$AR$4,MATCH($C$48,'Сводный годовой график'!$B$1:$B$4),MATCH(DATE($AV$1,MONTH($B$44),AC$3),'Сводный годовой график'!$C$9:$AR$9))&lt;&gt;12,INDIRECT(ADDRESS(ROW()+1,COLUMN()))="СП"),8,INDEX('Сводный годовой график'!$C$1:$AR$4,MATCH($C$48,'Сводный годовой график'!$B$1:$B$4),MATCH(DATE($AV$1,MONTH($B$44),AC$3),'Сводный годовой график'!$C$9:$AR$9)))</f>
        <v>8</v>
      </c>
      <c r="AD48" s="92">
        <f ca="1">IF(AND(INDEX('Сводный годовой график'!$C$1:$AR$4,MATCH($C$48,'Сводный годовой график'!$B$1:$B$4),MATCH(DATE($AV$1,MONTH($B$44),AD$3),'Сводный годовой график'!$C$9:$AR$9))&lt;&gt;12,INDIRECT(ADDRESS(ROW()+1,COLUMN()))="СП"),8,INDEX('Сводный годовой график'!$C$1:$AR$4,MATCH($C$48,'Сводный годовой график'!$B$1:$B$4),MATCH(DATE($AV$1,MONTH($B$44),AD$3),'Сводный годовой график'!$C$9:$AR$9)))</f>
        <v>12</v>
      </c>
      <c r="AE48" s="92">
        <f ca="1">IF(AND(INDEX('Сводный годовой график'!$C$1:$AR$4,MATCH($C$48,'Сводный годовой график'!$B$1:$B$4),MATCH(DATE($AV$1,MONTH($B$44),AE$3),'Сводный годовой график'!$C$9:$AR$9))&lt;&gt;12,INDIRECT(ADDRESS(ROW()+1,COLUMN()))="СП"),8,INDEX('Сводный годовой график'!$C$1:$AR$4,MATCH($C$48,'Сводный годовой график'!$B$1:$B$4),MATCH(DATE($AV$1,MONTH($B$44),AE$3),'Сводный годовой график'!$C$9:$AR$9)))</f>
        <v>0</v>
      </c>
      <c r="AF48" s="92">
        <f ca="1">IF(AND(INDEX('Сводный годовой график'!$C$1:$AR$4,MATCH($C$48,'Сводный годовой график'!$B$1:$B$4),MATCH(DATE($AV$1,MONTH($B$44),AF$3),'Сводный годовой график'!$C$9:$AR$9))&lt;&gt;12,INDIRECT(ADDRESS(ROW()+1,COLUMN()))="СП"),8,INDEX('Сводный годовой график'!$C$1:$AR$4,MATCH($C$48,'Сводный годовой график'!$B$1:$B$4),MATCH(DATE($AV$1,MONTH($B$44),AF$3),'Сводный годовой график'!$C$9:$AR$9)))</f>
        <v>0</v>
      </c>
      <c r="AG48" s="92">
        <f ca="1">IF(AND(INDEX('Сводный годовой график'!$C$1:$AR$4,MATCH($C$48,'Сводный годовой график'!$B$1:$B$4),MATCH(DATE($AV$1,MONTH($B$44),AG$3),'Сводный годовой график'!$C$9:$AR$9))&lt;&gt;12,INDIRECT(ADDRESS(ROW()+1,COLUMN()))="СП"),8,INDEX('Сводный годовой график'!$C$1:$AR$4,MATCH($C$48,'Сводный годовой график'!$B$1:$B$4),MATCH(DATE($AV$1,MONTH($B$44),AG$3),'Сводный годовой график'!$C$9:$AR$9)))</f>
        <v>4</v>
      </c>
      <c r="AH48" s="92">
        <f ca="1">IF(AND(INDEX('Сводный годовой график'!$C$1:$AR$4,MATCH($C$48,'Сводный годовой график'!$B$1:$B$4),MATCH(DATE($AV$1,MONTH($B$44),AH$3),'Сводный годовой график'!$C$9:$AR$9))&lt;&gt;12,INDIRECT(ADDRESS(ROW()+1,COLUMN()))="СП"),8,INDEX('Сводный годовой график'!$C$1:$AR$4,MATCH($C$48,'Сводный годовой график'!$B$1:$B$4),MATCH(DATE($AV$1,MONTH($B$44),AH$3),'Сводный годовой график'!$C$9:$AR$9)))</f>
        <v>8</v>
      </c>
      <c r="AI48" s="92">
        <f ca="1">IF(AND(INDEX('Сводный годовой график'!$C$1:$AR$4,MATCH($C$48,'Сводный годовой график'!$B$1:$B$4),MATCH(DATE($AV$1,MONTH($B$44),AI$3),'Сводный годовой график'!$C$9:$AR$9))&lt;&gt;12,INDIRECT(ADDRESS(ROW()+1,COLUMN()))="СП"),8,INDEX('Сводный годовой график'!$C$1:$AR$4,MATCH($C$48,'Сводный годовой график'!$B$1:$B$4),MATCH(DATE($AV$1,MONTH($B$44),AI$3),'Сводный годовой график'!$C$9:$AR$9)))</f>
        <v>12</v>
      </c>
      <c r="AJ48" s="206"/>
      <c r="AK48" s="209">
        <f>$AJ$44-SUM(AY48:CC49)</f>
        <v>144</v>
      </c>
      <c r="AL48" s="209">
        <f t="shared" ref="AL48" ca="1" si="79">SUM(E48:AI49)</f>
        <v>188</v>
      </c>
      <c r="AM48" s="209">
        <f t="shared" ref="AM48" ca="1" si="80">(SUM(E48)+SUM(M48))</f>
        <v>16</v>
      </c>
      <c r="AN48" s="211">
        <f t="shared" ref="AN48" ca="1" si="81">-AM48-AK48+AL48</f>
        <v>28</v>
      </c>
      <c r="AO48" s="224">
        <v>0</v>
      </c>
      <c r="AP48" s="211">
        <f t="shared" ref="AP48" ca="1" si="82">AN48+AP38</f>
        <v>46</v>
      </c>
      <c r="AQ48" s="209">
        <v>0</v>
      </c>
      <c r="AR48" s="210">
        <v>1</v>
      </c>
      <c r="CK48" s="59"/>
      <c r="CL48" s="59"/>
      <c r="CM48" s="59"/>
      <c r="CN48" s="59"/>
      <c r="CO48" s="59"/>
      <c r="CP48" s="59"/>
      <c r="CQ48" s="59"/>
      <c r="CR48" s="59"/>
      <c r="CS48" s="59"/>
      <c r="CT48" s="59"/>
      <c r="CU48" s="59"/>
      <c r="CV48" s="59"/>
      <c r="CW48" s="59"/>
      <c r="CX48" s="59"/>
      <c r="CY48" s="59"/>
      <c r="CZ48" s="59"/>
      <c r="DA48" s="59"/>
      <c r="DB48" s="59"/>
      <c r="DC48" s="59"/>
      <c r="DD48" s="59"/>
      <c r="DE48" s="59"/>
      <c r="DF48" s="59"/>
      <c r="DG48" s="59"/>
      <c r="DH48" s="59"/>
      <c r="DI48" s="59"/>
      <c r="DJ48" s="59"/>
      <c r="DK48" s="59"/>
      <c r="DL48" s="59"/>
      <c r="DM48" s="59"/>
      <c r="DN48" s="59"/>
      <c r="DO48" s="59"/>
    </row>
    <row r="49" spans="2:119" ht="16.5" thickBot="1" x14ac:dyDescent="0.3">
      <c r="B49" s="201"/>
      <c r="C49" s="197"/>
      <c r="D49" s="82">
        <v>6</v>
      </c>
      <c r="E49" s="92" t="str">
        <f t="shared" ref="E49:AI49" si="83">IF(INDEX($CK$4:$DO$123,ROW()-3,E$3)=0,"","СП")</f>
        <v/>
      </c>
      <c r="F49" s="92" t="str">
        <f t="shared" si="83"/>
        <v/>
      </c>
      <c r="G49" s="92" t="str">
        <f t="shared" si="83"/>
        <v/>
      </c>
      <c r="H49" s="92" t="str">
        <f t="shared" si="83"/>
        <v/>
      </c>
      <c r="I49" s="92" t="str">
        <f t="shared" si="83"/>
        <v/>
      </c>
      <c r="J49" s="92" t="str">
        <f t="shared" si="83"/>
        <v/>
      </c>
      <c r="K49" s="92" t="str">
        <f t="shared" si="83"/>
        <v>СП</v>
      </c>
      <c r="L49" s="92" t="str">
        <f t="shared" si="83"/>
        <v/>
      </c>
      <c r="M49" s="92" t="str">
        <f t="shared" si="83"/>
        <v/>
      </c>
      <c r="N49" s="92" t="str">
        <f t="shared" si="83"/>
        <v/>
      </c>
      <c r="O49" s="92" t="str">
        <f t="shared" si="83"/>
        <v/>
      </c>
      <c r="P49" s="92" t="str">
        <f t="shared" si="83"/>
        <v/>
      </c>
      <c r="Q49" s="92" t="str">
        <f t="shared" si="83"/>
        <v/>
      </c>
      <c r="R49" s="92" t="str">
        <f t="shared" si="83"/>
        <v/>
      </c>
      <c r="S49" s="92" t="str">
        <f t="shared" si="83"/>
        <v/>
      </c>
      <c r="T49" s="92" t="str">
        <f t="shared" si="83"/>
        <v/>
      </c>
      <c r="U49" s="92" t="str">
        <f t="shared" si="83"/>
        <v/>
      </c>
      <c r="V49" s="92" t="str">
        <f t="shared" si="83"/>
        <v/>
      </c>
      <c r="W49" s="92" t="str">
        <f t="shared" si="83"/>
        <v/>
      </c>
      <c r="X49" s="92" t="str">
        <f t="shared" si="83"/>
        <v/>
      </c>
      <c r="Y49" s="92" t="str">
        <f t="shared" si="83"/>
        <v/>
      </c>
      <c r="Z49" s="92" t="str">
        <f t="shared" si="83"/>
        <v/>
      </c>
      <c r="AA49" s="92" t="str">
        <f t="shared" si="83"/>
        <v/>
      </c>
      <c r="AB49" s="92" t="str">
        <f t="shared" si="83"/>
        <v/>
      </c>
      <c r="AC49" s="92" t="str">
        <f t="shared" si="83"/>
        <v/>
      </c>
      <c r="AD49" s="92" t="str">
        <f t="shared" si="83"/>
        <v/>
      </c>
      <c r="AE49" s="92" t="str">
        <f t="shared" si="83"/>
        <v/>
      </c>
      <c r="AF49" s="92" t="str">
        <f t="shared" si="83"/>
        <v/>
      </c>
      <c r="AG49" s="92" t="str">
        <f t="shared" si="83"/>
        <v/>
      </c>
      <c r="AH49" s="92" t="str">
        <f t="shared" si="83"/>
        <v/>
      </c>
      <c r="AI49" s="92" t="str">
        <f t="shared" si="83"/>
        <v/>
      </c>
      <c r="AJ49" s="206"/>
      <c r="AK49" s="209"/>
      <c r="AL49" s="209"/>
      <c r="AM49" s="209"/>
      <c r="AN49" s="211"/>
      <c r="AO49" s="225"/>
      <c r="AP49" s="211"/>
      <c r="AQ49" s="209"/>
      <c r="AR49" s="210"/>
      <c r="CK49" s="58">
        <f>IF(DAY(INDEX('Сводный годовой график'!$BA$4:$BL$14,$C48,MONTH($B$44)))=E$3,1,0)</f>
        <v>0</v>
      </c>
      <c r="CL49" s="58">
        <f>IF(DAY(INDEX('Сводный годовой график'!$BA$4:$BL$14,$C48,MONTH($B$44)))=F$3,1,0)</f>
        <v>0</v>
      </c>
      <c r="CM49" s="58">
        <f>IF(DAY(INDEX('Сводный годовой график'!$BA$4:$BL$14,$C48,MONTH($B$44)))=G$3,1,0)</f>
        <v>0</v>
      </c>
      <c r="CN49" s="58">
        <f>IF(DAY(INDEX('Сводный годовой график'!$BA$4:$BL$14,$C48,MONTH($B$44)))=H$3,1,0)</f>
        <v>0</v>
      </c>
      <c r="CO49" s="58">
        <f>IF(DAY(INDEX('Сводный годовой график'!$BA$4:$BL$14,$C48,MONTH($B$44)))=I$3,1,0)</f>
        <v>0</v>
      </c>
      <c r="CP49" s="58">
        <f>IF(DAY(INDEX('Сводный годовой график'!$BA$4:$BL$14,$C48,MONTH($B$44)))=J$3,1,0)</f>
        <v>0</v>
      </c>
      <c r="CQ49" s="58">
        <f>IF(DAY(INDEX('Сводный годовой график'!$BA$4:$BL$14,$C48,MONTH($B$44)))=K$3,1,0)</f>
        <v>1</v>
      </c>
      <c r="CR49" s="58">
        <f>IF(DAY(INDEX('Сводный годовой график'!$BA$4:$BL$14,$C48,MONTH($B$44)))=L$3,1,0)</f>
        <v>0</v>
      </c>
      <c r="CS49" s="58">
        <f>IF(DAY(INDEX('Сводный годовой график'!$BA$4:$BL$14,$C48,MONTH($B$44)))=M$3,1,0)</f>
        <v>0</v>
      </c>
      <c r="CT49" s="58">
        <f>IF(DAY(INDEX('Сводный годовой график'!$BA$4:$BL$14,$C48,MONTH($B$44)))=N$3,1,0)</f>
        <v>0</v>
      </c>
      <c r="CU49" s="58">
        <f>IF(DAY(INDEX('Сводный годовой график'!$BA$4:$BL$14,$C48,MONTH($B$44)))=O$3,1,0)</f>
        <v>0</v>
      </c>
      <c r="CV49" s="58">
        <f>IF(DAY(INDEX('Сводный годовой график'!$BA$4:$BL$14,$C48,MONTH($B$44)))=P$3,1,0)</f>
        <v>0</v>
      </c>
      <c r="CW49" s="58">
        <f>IF(DAY(INDEX('Сводный годовой график'!$BA$4:$BL$14,$C48,MONTH($B$44)))=Q$3,1,0)</f>
        <v>0</v>
      </c>
      <c r="CX49" s="58">
        <f>IF(DAY(INDEX('Сводный годовой график'!$BA$4:$BL$14,$C48,MONTH($B$44)))=R$3,1,0)</f>
        <v>0</v>
      </c>
      <c r="CY49" s="58">
        <f>IF(DAY(INDEX('Сводный годовой график'!$BA$4:$BL$14,$C48,MONTH($B$44)))=S$3,1,0)</f>
        <v>0</v>
      </c>
      <c r="CZ49" s="58">
        <f>IF(DAY(INDEX('Сводный годовой график'!$BA$4:$BL$14,$C48,MONTH($B$44)))=T$3,1,0)</f>
        <v>0</v>
      </c>
      <c r="DA49" s="58">
        <f>IF(DAY(INDEX('Сводный годовой график'!$BA$4:$BL$14,$C48,MONTH($B$44)))=U$3,1,0)</f>
        <v>0</v>
      </c>
      <c r="DB49" s="58">
        <f>IF(DAY(INDEX('Сводный годовой график'!$BA$4:$BL$14,$C48,MONTH($B$44)))=V$3,1,0)</f>
        <v>0</v>
      </c>
      <c r="DC49" s="58">
        <f>IF(DAY(INDEX('Сводный годовой график'!$BA$4:$BL$14,$C48,MONTH($B$44)))=W$3,1,0)</f>
        <v>0</v>
      </c>
      <c r="DD49" s="58">
        <f>IF(DAY(INDEX('Сводный годовой график'!$BA$4:$BL$14,$C48,MONTH($B$44)))=X$3,1,0)</f>
        <v>0</v>
      </c>
      <c r="DE49" s="58">
        <f>IF(DAY(INDEX('Сводный годовой график'!$BA$4:$BL$14,$C48,MONTH($B$44)))=Y$3,1,0)</f>
        <v>0</v>
      </c>
      <c r="DF49" s="58">
        <f>IF(DAY(INDEX('Сводный годовой график'!$BA$4:$BL$14,$C48,MONTH($B$44)))=Z$3,1,0)</f>
        <v>0</v>
      </c>
      <c r="DG49" s="58">
        <f>IF(DAY(INDEX('Сводный годовой график'!$BA$4:$BL$14,$C48,MONTH($B$44)))=AA$3,1,0)</f>
        <v>0</v>
      </c>
      <c r="DH49" s="58">
        <f>IF(DAY(INDEX('Сводный годовой график'!$BA$4:$BL$14,$C48,MONTH($B$44)))=AB$3,1,0)</f>
        <v>0</v>
      </c>
      <c r="DI49" s="58">
        <f>IF(DAY(INDEX('Сводный годовой график'!$BA$4:$BL$14,$C48,MONTH($B$44)))=AC$3,1,0)</f>
        <v>0</v>
      </c>
      <c r="DJ49" s="58">
        <f>IF(DAY(INDEX('Сводный годовой график'!$BA$4:$BL$14,$C48,MONTH($B$44)))=AD$3,1,0)</f>
        <v>0</v>
      </c>
      <c r="DK49" s="58">
        <f>IF(DAY(INDEX('Сводный годовой график'!$BA$4:$BL$14,$C48,MONTH($B$44)))=AE$3,1,0)</f>
        <v>0</v>
      </c>
      <c r="DL49" s="58">
        <f>IF(DAY(INDEX('Сводный годовой график'!$BA$4:$BL$14,$C48,MONTH($B$44)))=AF$3,1,0)</f>
        <v>0</v>
      </c>
      <c r="DM49" s="58">
        <f>IF(DAY(INDEX('Сводный годовой график'!$BA$4:$BL$14,$C48,MONTH($B$44)))=AG$3,1,0)</f>
        <v>0</v>
      </c>
      <c r="DN49" s="58">
        <f>IF(DAY(INDEX('Сводный годовой график'!$BA$4:$BL$14,$C48,MONTH($B$44)))=AH$3,1,0)</f>
        <v>0</v>
      </c>
      <c r="DO49" s="58">
        <f>IF(DAY(INDEX('Сводный годовой график'!$BA$4:$BL$14,$C48,MONTH($B$44)))=AI$3,1,0)</f>
        <v>0</v>
      </c>
    </row>
    <row r="50" spans="2:119" ht="16.5" thickBot="1" x14ac:dyDescent="0.3">
      <c r="B50" s="201"/>
      <c r="C50" s="196">
        <v>4</v>
      </c>
      <c r="D50" s="81">
        <v>7</v>
      </c>
      <c r="E50" s="92">
        <f ca="1">IF(AND(INDEX('Сводный годовой график'!$C$1:$AR$4,MATCH($C$50,'Сводный годовой график'!$B$1:$B$4),MATCH(DATE($AV$1,MONTH($B$44),E$3),'Сводный годовой график'!$C$9:$AR$9))&lt;&gt;12,INDIRECT(ADDRESS(ROW()+1,COLUMN()))="СП"),8,INDEX('Сводный годовой график'!$C$1:$AR$4,MATCH($C$50,'Сводный годовой график'!$B$1:$B$4),MATCH(DATE($AV$1,MONTH($B$44),E$3),'Сводный годовой график'!$C$9:$AR$9)))</f>
        <v>12</v>
      </c>
      <c r="F50" s="92">
        <f ca="1">IF(AND(INDEX('Сводный годовой график'!$C$1:$AR$4,MATCH($C$50,'Сводный годовой график'!$B$1:$B$4),MATCH(DATE($AV$1,MONTH($B$44),F$3),'Сводный годовой график'!$C$9:$AR$9))&lt;&gt;12,INDIRECT(ADDRESS(ROW()+1,COLUMN()))="СП"),8,INDEX('Сводный годовой график'!$C$1:$AR$4,MATCH($C$50,'Сводный годовой график'!$B$1:$B$4),MATCH(DATE($AV$1,MONTH($B$44),F$3),'Сводный годовой график'!$C$9:$AR$9)))</f>
        <v>4</v>
      </c>
      <c r="G50" s="92">
        <f ca="1">IF(AND(INDEX('Сводный годовой график'!$C$1:$AR$4,MATCH($C$50,'Сводный годовой график'!$B$1:$B$4),MATCH(DATE($AV$1,MONTH($B$44),G$3),'Сводный годовой график'!$C$9:$AR$9))&lt;&gt;12,INDIRECT(ADDRESS(ROW()+1,COLUMN()))="СП"),8,INDEX('Сводный годовой график'!$C$1:$AR$4,MATCH($C$50,'Сводный годовой график'!$B$1:$B$4),MATCH(DATE($AV$1,MONTH($B$44),G$3),'Сводный годовой график'!$C$9:$AR$9)))</f>
        <v>8</v>
      </c>
      <c r="H50" s="92">
        <f ca="1">IF(AND(INDEX('Сводный годовой график'!$C$1:$AR$4,MATCH($C$50,'Сводный годовой график'!$B$1:$B$4),MATCH(DATE($AV$1,MONTH($B$44),H$3),'Сводный годовой график'!$C$9:$AR$9))&lt;&gt;12,INDIRECT(ADDRESS(ROW()+1,COLUMN()))="СП"),8,INDEX('Сводный годовой график'!$C$1:$AR$4,MATCH($C$50,'Сводный годовой график'!$B$1:$B$4),MATCH(DATE($AV$1,MONTH($B$44),H$3),'Сводный годовой график'!$C$9:$AR$9)))</f>
        <v>12</v>
      </c>
      <c r="I50" s="92">
        <f ca="1">IF(AND(INDEX('Сводный годовой график'!$C$1:$AR$4,MATCH($C$50,'Сводный годовой график'!$B$1:$B$4),MATCH(DATE($AV$1,MONTH($B$44),I$3),'Сводный годовой график'!$C$9:$AR$9))&lt;&gt;12,INDIRECT(ADDRESS(ROW()+1,COLUMN()))="СП"),8,INDEX('Сводный годовой график'!$C$1:$AR$4,MATCH($C$50,'Сводный годовой график'!$B$1:$B$4),MATCH(DATE($AV$1,MONTH($B$44),I$3),'Сводный годовой график'!$C$9:$AR$9)))</f>
        <v>0</v>
      </c>
      <c r="J50" s="92">
        <f ca="1">IF(AND(INDEX('Сводный годовой график'!$C$1:$AR$4,MATCH($C$50,'Сводный годовой график'!$B$1:$B$4),MATCH(DATE($AV$1,MONTH($B$44),J$3),'Сводный годовой график'!$C$9:$AR$9))&lt;&gt;12,INDIRECT(ADDRESS(ROW()+1,COLUMN()))="СП"),8,INDEX('Сводный годовой график'!$C$1:$AR$4,MATCH($C$50,'Сводный годовой график'!$B$1:$B$4),MATCH(DATE($AV$1,MONTH($B$44),J$3),'Сводный годовой график'!$C$9:$AR$9)))</f>
        <v>0</v>
      </c>
      <c r="K50" s="92">
        <f ca="1">IF(AND(INDEX('Сводный годовой график'!$C$1:$AR$4,MATCH($C$50,'Сводный годовой график'!$B$1:$B$4),MATCH(DATE($AV$1,MONTH($B$44),K$3),'Сводный годовой график'!$C$9:$AR$9))&lt;&gt;12,INDIRECT(ADDRESS(ROW()+1,COLUMN()))="СП"),8,INDEX('Сводный годовой график'!$C$1:$AR$4,MATCH($C$50,'Сводный годовой график'!$B$1:$B$4),MATCH(DATE($AV$1,MONTH($B$44),K$3),'Сводный годовой график'!$C$9:$AR$9)))</f>
        <v>4</v>
      </c>
      <c r="L50" s="92">
        <f ca="1">IF(AND(INDEX('Сводный годовой график'!$C$1:$AR$4,MATCH($C$50,'Сводный годовой график'!$B$1:$B$4),MATCH(DATE($AV$1,MONTH($B$44),L$3),'Сводный годовой график'!$C$9:$AR$9))&lt;&gt;12,INDIRECT(ADDRESS(ROW()+1,COLUMN()))="СП"),8,INDEX('Сводный годовой график'!$C$1:$AR$4,MATCH($C$50,'Сводный годовой график'!$B$1:$B$4),MATCH(DATE($AV$1,MONTH($B$44),L$3),'Сводный годовой график'!$C$9:$AR$9)))</f>
        <v>8</v>
      </c>
      <c r="M50" s="92">
        <f ca="1">IF(AND(INDEX('Сводный годовой график'!$C$1:$AR$4,MATCH($C$50,'Сводный годовой график'!$B$1:$B$4),MATCH(DATE($AV$1,MONTH($B$44),M$3),'Сводный годовой график'!$C$9:$AR$9))&lt;&gt;12,INDIRECT(ADDRESS(ROW()+1,COLUMN()))="СП"),8,INDEX('Сводный годовой график'!$C$1:$AR$4,MATCH($C$50,'Сводный годовой график'!$B$1:$B$4),MATCH(DATE($AV$1,MONTH($B$44),M$3),'Сводный годовой график'!$C$9:$AR$9)))</f>
        <v>12</v>
      </c>
      <c r="N50" s="92">
        <f ca="1">IF(AND(INDEX('Сводный годовой график'!$C$1:$AR$4,MATCH($C$50,'Сводный годовой график'!$B$1:$B$4),MATCH(DATE($AV$1,MONTH($B$44),N$3),'Сводный годовой график'!$C$9:$AR$9))&lt;&gt;12,INDIRECT(ADDRESS(ROW()+1,COLUMN()))="СП"),8,INDEX('Сводный годовой график'!$C$1:$AR$4,MATCH($C$50,'Сводный годовой график'!$B$1:$B$4),MATCH(DATE($AV$1,MONTH($B$44),N$3),'Сводный годовой график'!$C$9:$AR$9)))</f>
        <v>4</v>
      </c>
      <c r="O50" s="92">
        <f ca="1">IF(AND(INDEX('Сводный годовой график'!$C$1:$AR$4,MATCH($C$50,'Сводный годовой график'!$B$1:$B$4),MATCH(DATE($AV$1,MONTH($B$44),O$3),'Сводный годовой график'!$C$9:$AR$9))&lt;&gt;12,INDIRECT(ADDRESS(ROW()+1,COLUMN()))="СП"),8,INDEX('Сводный годовой график'!$C$1:$AR$4,MATCH($C$50,'Сводный годовой график'!$B$1:$B$4),MATCH(DATE($AV$1,MONTH($B$44),O$3),'Сводный годовой график'!$C$9:$AR$9)))</f>
        <v>8</v>
      </c>
      <c r="P50" s="92">
        <f ca="1">IF(AND(INDEX('Сводный годовой график'!$C$1:$AR$4,MATCH($C$50,'Сводный годовой график'!$B$1:$B$4),MATCH(DATE($AV$1,MONTH($B$44),P$3),'Сводный годовой график'!$C$9:$AR$9))&lt;&gt;12,INDIRECT(ADDRESS(ROW()+1,COLUMN()))="СП"),8,INDEX('Сводный годовой график'!$C$1:$AR$4,MATCH($C$50,'Сводный годовой график'!$B$1:$B$4),MATCH(DATE($AV$1,MONTH($B$44),P$3),'Сводный годовой график'!$C$9:$AR$9)))</f>
        <v>12</v>
      </c>
      <c r="Q50" s="92">
        <f ca="1">IF(AND(INDEX('Сводный годовой график'!$C$1:$AR$4,MATCH($C$50,'Сводный годовой график'!$B$1:$B$4),MATCH(DATE($AV$1,MONTH($B$44),Q$3),'Сводный годовой график'!$C$9:$AR$9))&lt;&gt;12,INDIRECT(ADDRESS(ROW()+1,COLUMN()))="СП"),8,INDEX('Сводный годовой график'!$C$1:$AR$4,MATCH($C$50,'Сводный годовой график'!$B$1:$B$4),MATCH(DATE($AV$1,MONTH($B$44),Q$3),'Сводный годовой график'!$C$9:$AR$9)))</f>
        <v>0</v>
      </c>
      <c r="R50" s="92">
        <f ca="1">IF(AND(INDEX('Сводный годовой график'!$C$1:$AR$4,MATCH($C$50,'Сводный годовой график'!$B$1:$B$4),MATCH(DATE($AV$1,MONTH($B$44),R$3),'Сводный годовой график'!$C$9:$AR$9))&lt;&gt;12,INDIRECT(ADDRESS(ROW()+1,COLUMN()))="СП"),8,INDEX('Сводный годовой график'!$C$1:$AR$4,MATCH($C$50,'Сводный годовой график'!$B$1:$B$4),MATCH(DATE($AV$1,MONTH($B$44),R$3),'Сводный годовой график'!$C$9:$AR$9)))</f>
        <v>0</v>
      </c>
      <c r="S50" s="92">
        <f ca="1">IF(AND(INDEX('Сводный годовой график'!$C$1:$AR$4,MATCH($C$50,'Сводный годовой график'!$B$1:$B$4),MATCH(DATE($AV$1,MONTH($B$44),S$3),'Сводный годовой график'!$C$9:$AR$9))&lt;&gt;12,INDIRECT(ADDRESS(ROW()+1,COLUMN()))="СП"),8,INDEX('Сводный годовой график'!$C$1:$AR$4,MATCH($C$50,'Сводный годовой график'!$B$1:$B$4),MATCH(DATE($AV$1,MONTH($B$44),S$3),'Сводный годовой график'!$C$9:$AR$9)))</f>
        <v>4</v>
      </c>
      <c r="T50" s="92">
        <f ca="1">IF(AND(INDEX('Сводный годовой график'!$C$1:$AR$4,MATCH($C$50,'Сводный годовой график'!$B$1:$B$4),MATCH(DATE($AV$1,MONTH($B$44),T$3),'Сводный годовой график'!$C$9:$AR$9))&lt;&gt;12,INDIRECT(ADDRESS(ROW()+1,COLUMN()))="СП"),8,INDEX('Сводный годовой график'!$C$1:$AR$4,MATCH($C$50,'Сводный годовой график'!$B$1:$B$4),MATCH(DATE($AV$1,MONTH($B$44),T$3),'Сводный годовой график'!$C$9:$AR$9)))</f>
        <v>8</v>
      </c>
      <c r="U50" s="92">
        <f ca="1">IF(AND(INDEX('Сводный годовой график'!$C$1:$AR$4,MATCH($C$50,'Сводный годовой график'!$B$1:$B$4),MATCH(DATE($AV$1,MONTH($B$44),U$3),'Сводный годовой график'!$C$9:$AR$9))&lt;&gt;12,INDIRECT(ADDRESS(ROW()+1,COLUMN()))="СП"),8,INDEX('Сводный годовой график'!$C$1:$AR$4,MATCH($C$50,'Сводный годовой график'!$B$1:$B$4),MATCH(DATE($AV$1,MONTH($B$44),U$3),'Сводный годовой график'!$C$9:$AR$9)))</f>
        <v>12</v>
      </c>
      <c r="V50" s="92">
        <f ca="1">IF(AND(INDEX('Сводный годовой график'!$C$1:$AR$4,MATCH($C$50,'Сводный годовой график'!$B$1:$B$4),MATCH(DATE($AV$1,MONTH($B$44),V$3),'Сводный годовой график'!$C$9:$AR$9))&lt;&gt;12,INDIRECT(ADDRESS(ROW()+1,COLUMN()))="СП"),8,INDEX('Сводный годовой график'!$C$1:$AR$4,MATCH($C$50,'Сводный годовой график'!$B$1:$B$4),MATCH(DATE($AV$1,MONTH($B$44),V$3),'Сводный годовой график'!$C$9:$AR$9)))</f>
        <v>4</v>
      </c>
      <c r="W50" s="92">
        <f ca="1">IF(AND(INDEX('Сводный годовой график'!$C$1:$AR$4,MATCH($C$50,'Сводный годовой график'!$B$1:$B$4),MATCH(DATE($AV$1,MONTH($B$44),W$3),'Сводный годовой график'!$C$9:$AR$9))&lt;&gt;12,INDIRECT(ADDRESS(ROW()+1,COLUMN()))="СП"),8,INDEX('Сводный годовой график'!$C$1:$AR$4,MATCH($C$50,'Сводный годовой график'!$B$1:$B$4),MATCH(DATE($AV$1,MONTH($B$44),W$3),'Сводный годовой график'!$C$9:$AR$9)))</f>
        <v>8</v>
      </c>
      <c r="X50" s="92">
        <f ca="1">IF(AND(INDEX('Сводный годовой график'!$C$1:$AR$4,MATCH($C$50,'Сводный годовой график'!$B$1:$B$4),MATCH(DATE($AV$1,MONTH($B$44),X$3),'Сводный годовой график'!$C$9:$AR$9))&lt;&gt;12,INDIRECT(ADDRESS(ROW()+1,COLUMN()))="СП"),8,INDEX('Сводный годовой график'!$C$1:$AR$4,MATCH($C$50,'Сводный годовой график'!$B$1:$B$4),MATCH(DATE($AV$1,MONTH($B$44),X$3),'Сводный годовой график'!$C$9:$AR$9)))</f>
        <v>12</v>
      </c>
      <c r="Y50" s="92">
        <f ca="1">IF(AND(INDEX('Сводный годовой график'!$C$1:$AR$4,MATCH($C$50,'Сводный годовой график'!$B$1:$B$4),MATCH(DATE($AV$1,MONTH($B$44),Y$3),'Сводный годовой график'!$C$9:$AR$9))&lt;&gt;12,INDIRECT(ADDRESS(ROW()+1,COLUMN()))="СП"),8,INDEX('Сводный годовой график'!$C$1:$AR$4,MATCH($C$50,'Сводный годовой график'!$B$1:$B$4),MATCH(DATE($AV$1,MONTH($B$44),Y$3),'Сводный годовой график'!$C$9:$AR$9)))</f>
        <v>0</v>
      </c>
      <c r="Z50" s="92">
        <f ca="1">IF(AND(INDEX('Сводный годовой график'!$C$1:$AR$4,MATCH($C$50,'Сводный годовой график'!$B$1:$B$4),MATCH(DATE($AV$1,MONTH($B$44),Z$3),'Сводный годовой график'!$C$9:$AR$9))&lt;&gt;12,INDIRECT(ADDRESS(ROW()+1,COLUMN()))="СП"),8,INDEX('Сводный годовой график'!$C$1:$AR$4,MATCH($C$50,'Сводный годовой график'!$B$1:$B$4),MATCH(DATE($AV$1,MONTH($B$44),Z$3),'Сводный годовой график'!$C$9:$AR$9)))</f>
        <v>0</v>
      </c>
      <c r="AA50" s="92">
        <f ca="1">IF(AND(INDEX('Сводный годовой график'!$C$1:$AR$4,MATCH($C$50,'Сводный годовой график'!$B$1:$B$4),MATCH(DATE($AV$1,MONTH($B$44),AA$3),'Сводный годовой график'!$C$9:$AR$9))&lt;&gt;12,INDIRECT(ADDRESS(ROW()+1,COLUMN()))="СП"),8,INDEX('Сводный годовой график'!$C$1:$AR$4,MATCH($C$50,'Сводный годовой график'!$B$1:$B$4),MATCH(DATE($AV$1,MONTH($B$44),AA$3),'Сводный годовой график'!$C$9:$AR$9)))</f>
        <v>4</v>
      </c>
      <c r="AB50" s="92">
        <f ca="1">IF(AND(INDEX('Сводный годовой график'!$C$1:$AR$4,MATCH($C$50,'Сводный годовой график'!$B$1:$B$4),MATCH(DATE($AV$1,MONTH($B$44),AB$3),'Сводный годовой график'!$C$9:$AR$9))&lt;&gt;12,INDIRECT(ADDRESS(ROW()+1,COLUMN()))="СП"),8,INDEX('Сводный годовой график'!$C$1:$AR$4,MATCH($C$50,'Сводный годовой график'!$B$1:$B$4),MATCH(DATE($AV$1,MONTH($B$44),AB$3),'Сводный годовой график'!$C$9:$AR$9)))</f>
        <v>8</v>
      </c>
      <c r="AC50" s="92">
        <f ca="1">IF(AND(INDEX('Сводный годовой график'!$C$1:$AR$4,MATCH($C$50,'Сводный годовой график'!$B$1:$B$4),MATCH(DATE($AV$1,MONTH($B$44),AC$3),'Сводный годовой график'!$C$9:$AR$9))&lt;&gt;12,INDIRECT(ADDRESS(ROW()+1,COLUMN()))="СП"),8,INDEX('Сводный годовой график'!$C$1:$AR$4,MATCH($C$50,'Сводный годовой график'!$B$1:$B$4),MATCH(DATE($AV$1,MONTH($B$44),AC$3),'Сводный годовой график'!$C$9:$AR$9)))</f>
        <v>12</v>
      </c>
      <c r="AD50" s="92">
        <f ca="1">IF(AND(INDEX('Сводный годовой график'!$C$1:$AR$4,MATCH($C$50,'Сводный годовой график'!$B$1:$B$4),MATCH(DATE($AV$1,MONTH($B$44),AD$3),'Сводный годовой график'!$C$9:$AR$9))&lt;&gt;12,INDIRECT(ADDRESS(ROW()+1,COLUMN()))="СП"),8,INDEX('Сводный годовой график'!$C$1:$AR$4,MATCH($C$50,'Сводный годовой график'!$B$1:$B$4),MATCH(DATE($AV$1,MONTH($B$44),AD$3),'Сводный годовой график'!$C$9:$AR$9)))</f>
        <v>4</v>
      </c>
      <c r="AE50" s="92">
        <f ca="1">IF(AND(INDEX('Сводный годовой график'!$C$1:$AR$4,MATCH($C$50,'Сводный годовой график'!$B$1:$B$4),MATCH(DATE($AV$1,MONTH($B$44),AE$3),'Сводный годовой график'!$C$9:$AR$9))&lt;&gt;12,INDIRECT(ADDRESS(ROW()+1,COLUMN()))="СП"),8,INDEX('Сводный годовой график'!$C$1:$AR$4,MATCH($C$50,'Сводный годовой график'!$B$1:$B$4),MATCH(DATE($AV$1,MONTH($B$44),AE$3),'Сводный годовой график'!$C$9:$AR$9)))</f>
        <v>8</v>
      </c>
      <c r="AF50" s="92">
        <f ca="1">IF(AND(INDEX('Сводный годовой график'!$C$1:$AR$4,MATCH($C$50,'Сводный годовой график'!$B$1:$B$4),MATCH(DATE($AV$1,MONTH($B$44),AF$3),'Сводный годовой график'!$C$9:$AR$9))&lt;&gt;12,INDIRECT(ADDRESS(ROW()+1,COLUMN()))="СП"),8,INDEX('Сводный годовой график'!$C$1:$AR$4,MATCH($C$50,'Сводный годовой график'!$B$1:$B$4),MATCH(DATE($AV$1,MONTH($B$44),AF$3),'Сводный годовой график'!$C$9:$AR$9)))</f>
        <v>12</v>
      </c>
      <c r="AG50" s="92">
        <f ca="1">IF(AND(INDEX('Сводный годовой график'!$C$1:$AR$4,MATCH($C$50,'Сводный годовой график'!$B$1:$B$4),MATCH(DATE($AV$1,MONTH($B$44),AG$3),'Сводный годовой график'!$C$9:$AR$9))&lt;&gt;12,INDIRECT(ADDRESS(ROW()+1,COLUMN()))="СП"),8,INDEX('Сводный годовой график'!$C$1:$AR$4,MATCH($C$50,'Сводный годовой график'!$B$1:$B$4),MATCH(DATE($AV$1,MONTH($B$44),AG$3),'Сводный годовой график'!$C$9:$AR$9)))</f>
        <v>0</v>
      </c>
      <c r="AH50" s="92">
        <f ca="1">IF(AND(INDEX('Сводный годовой график'!$C$1:$AR$4,MATCH($C$50,'Сводный годовой график'!$B$1:$B$4),MATCH(DATE($AV$1,MONTH($B$44),AH$3),'Сводный годовой график'!$C$9:$AR$9))&lt;&gt;12,INDIRECT(ADDRESS(ROW()+1,COLUMN()))="СП"),8,INDEX('Сводный годовой график'!$C$1:$AR$4,MATCH($C$50,'Сводный годовой график'!$B$1:$B$4),MATCH(DATE($AV$1,MONTH($B$44),AH$3),'Сводный годовой график'!$C$9:$AR$9)))</f>
        <v>0</v>
      </c>
      <c r="AI50" s="92">
        <f ca="1">IF(AND(INDEX('Сводный годовой график'!$C$1:$AR$4,MATCH($C$50,'Сводный годовой график'!$B$1:$B$4),MATCH(DATE($AV$1,MONTH($B$44),AI$3),'Сводный годовой график'!$C$9:$AR$9))&lt;&gt;12,INDIRECT(ADDRESS(ROW()+1,COLUMN()))="СП"),8,INDEX('Сводный годовой график'!$C$1:$AR$4,MATCH($C$50,'Сводный годовой график'!$B$1:$B$4),MATCH(DATE($AV$1,MONTH($B$44),AI$3),'Сводный годовой график'!$C$9:$AR$9)))</f>
        <v>4</v>
      </c>
      <c r="AJ50" s="206"/>
      <c r="AK50" s="209">
        <f>$AJ$44-SUM(AY50:CC51)</f>
        <v>144</v>
      </c>
      <c r="AL50" s="209">
        <f t="shared" ref="AL50" ca="1" si="84">SUM(E50:AI51)</f>
        <v>184</v>
      </c>
      <c r="AM50" s="209">
        <f t="shared" ref="AM50" ca="1" si="85">(SUM(E50)+SUM(M50))</f>
        <v>24</v>
      </c>
      <c r="AN50" s="211">
        <f t="shared" ref="AN50" ca="1" si="86">-AM50-AK50+AL50</f>
        <v>16</v>
      </c>
      <c r="AO50" s="224"/>
      <c r="AP50" s="211">
        <f ca="1">AN50+AP40-AO50</f>
        <v>42</v>
      </c>
      <c r="AQ50" s="209">
        <v>0</v>
      </c>
      <c r="AR50" s="210">
        <v>1</v>
      </c>
      <c r="CK50" s="59"/>
      <c r="CL50" s="59"/>
      <c r="CM50" s="59"/>
      <c r="CN50" s="59"/>
      <c r="CO50" s="59"/>
      <c r="CP50" s="59"/>
      <c r="CQ50" s="59"/>
      <c r="CR50" s="59"/>
      <c r="CS50" s="59"/>
      <c r="CT50" s="59"/>
      <c r="CU50" s="59"/>
      <c r="CV50" s="59"/>
      <c r="CW50" s="59"/>
      <c r="CX50" s="59"/>
      <c r="CY50" s="59"/>
      <c r="CZ50" s="59"/>
      <c r="DA50" s="59"/>
      <c r="DB50" s="59"/>
      <c r="DC50" s="59"/>
      <c r="DD50" s="59"/>
      <c r="DE50" s="59"/>
      <c r="DF50" s="59"/>
      <c r="DG50" s="59"/>
      <c r="DH50" s="59"/>
      <c r="DI50" s="59"/>
      <c r="DJ50" s="59"/>
      <c r="DK50" s="59"/>
      <c r="DL50" s="59"/>
      <c r="DM50" s="59"/>
      <c r="DN50" s="59"/>
      <c r="DO50" s="59"/>
    </row>
    <row r="51" spans="2:119" ht="16.5" thickBot="1" x14ac:dyDescent="0.3">
      <c r="B51" s="201"/>
      <c r="C51" s="197"/>
      <c r="D51" s="82">
        <v>8</v>
      </c>
      <c r="E51" s="92" t="str">
        <f t="shared" ref="E51:AI51" si="87">IF(INDEX($CK$4:$DO$123,ROW()-3,E$3)=0,"","СП")</f>
        <v/>
      </c>
      <c r="F51" s="92" t="str">
        <f t="shared" si="87"/>
        <v/>
      </c>
      <c r="G51" s="92" t="str">
        <f t="shared" si="87"/>
        <v/>
      </c>
      <c r="H51" s="92" t="str">
        <f t="shared" si="87"/>
        <v/>
      </c>
      <c r="I51" s="92" t="str">
        <f t="shared" si="87"/>
        <v/>
      </c>
      <c r="J51" s="92" t="str">
        <f t="shared" si="87"/>
        <v/>
      </c>
      <c r="K51" s="92" t="str">
        <f t="shared" si="87"/>
        <v/>
      </c>
      <c r="L51" s="92" t="str">
        <f t="shared" si="87"/>
        <v>СП</v>
      </c>
      <c r="M51" s="92" t="str">
        <f t="shared" si="87"/>
        <v/>
      </c>
      <c r="N51" s="92" t="str">
        <f t="shared" si="87"/>
        <v/>
      </c>
      <c r="O51" s="92" t="str">
        <f t="shared" si="87"/>
        <v/>
      </c>
      <c r="P51" s="92" t="str">
        <f t="shared" si="87"/>
        <v/>
      </c>
      <c r="Q51" s="92" t="str">
        <f t="shared" si="87"/>
        <v/>
      </c>
      <c r="R51" s="92" t="str">
        <f t="shared" si="87"/>
        <v/>
      </c>
      <c r="S51" s="92" t="str">
        <f t="shared" si="87"/>
        <v/>
      </c>
      <c r="T51" s="92" t="str">
        <f t="shared" si="87"/>
        <v/>
      </c>
      <c r="U51" s="92" t="str">
        <f t="shared" si="87"/>
        <v/>
      </c>
      <c r="V51" s="92" t="str">
        <f t="shared" si="87"/>
        <v/>
      </c>
      <c r="W51" s="92" t="str">
        <f t="shared" si="87"/>
        <v/>
      </c>
      <c r="X51" s="92" t="str">
        <f t="shared" si="87"/>
        <v/>
      </c>
      <c r="Y51" s="92" t="str">
        <f t="shared" si="87"/>
        <v/>
      </c>
      <c r="Z51" s="92" t="str">
        <f t="shared" si="87"/>
        <v/>
      </c>
      <c r="AA51" s="92" t="str">
        <f t="shared" si="87"/>
        <v/>
      </c>
      <c r="AB51" s="92" t="str">
        <f t="shared" si="87"/>
        <v/>
      </c>
      <c r="AC51" s="92" t="str">
        <f t="shared" si="87"/>
        <v/>
      </c>
      <c r="AD51" s="92" t="str">
        <f t="shared" si="87"/>
        <v/>
      </c>
      <c r="AE51" s="92" t="str">
        <f t="shared" si="87"/>
        <v/>
      </c>
      <c r="AF51" s="92" t="str">
        <f t="shared" si="87"/>
        <v/>
      </c>
      <c r="AG51" s="92" t="str">
        <f t="shared" si="87"/>
        <v/>
      </c>
      <c r="AH51" s="92" t="str">
        <f t="shared" si="87"/>
        <v/>
      </c>
      <c r="AI51" s="92" t="str">
        <f t="shared" si="87"/>
        <v/>
      </c>
      <c r="AJ51" s="206"/>
      <c r="AK51" s="209"/>
      <c r="AL51" s="209"/>
      <c r="AM51" s="209"/>
      <c r="AN51" s="211"/>
      <c r="AO51" s="225"/>
      <c r="AP51" s="211"/>
      <c r="AQ51" s="209"/>
      <c r="AR51" s="210"/>
      <c r="CK51" s="58">
        <f>IF(DAY(INDEX('Сводный годовой график'!$BA$4:$BL$14,$C50,MONTH($B$44)))=E$3,1,0)</f>
        <v>0</v>
      </c>
      <c r="CL51" s="58">
        <f>IF(DAY(INDEX('Сводный годовой график'!$BA$4:$BL$14,$C50,MONTH($B$44)))=F$3,1,0)</f>
        <v>0</v>
      </c>
      <c r="CM51" s="58">
        <f>IF(DAY(INDEX('Сводный годовой график'!$BA$4:$BL$14,$C50,MONTH($B$44)))=G$3,1,0)</f>
        <v>0</v>
      </c>
      <c r="CN51" s="58">
        <f>IF(DAY(INDEX('Сводный годовой график'!$BA$4:$BL$14,$C50,MONTH($B$44)))=H$3,1,0)</f>
        <v>0</v>
      </c>
      <c r="CO51" s="58">
        <f>IF(DAY(INDEX('Сводный годовой график'!$BA$4:$BL$14,$C50,MONTH($B$44)))=I$3,1,0)</f>
        <v>0</v>
      </c>
      <c r="CP51" s="58">
        <f>IF(DAY(INDEX('Сводный годовой график'!$BA$4:$BL$14,$C50,MONTH($B$44)))=J$3,1,0)</f>
        <v>0</v>
      </c>
      <c r="CQ51" s="58">
        <f>IF(DAY(INDEX('Сводный годовой график'!$BA$4:$BL$14,$C50,MONTH($B$44)))=K$3,1,0)</f>
        <v>0</v>
      </c>
      <c r="CR51" s="58">
        <f>IF(DAY(INDEX('Сводный годовой график'!$BA$4:$BL$14,$C50,MONTH($B$44)))=L$3,1,0)</f>
        <v>1</v>
      </c>
      <c r="CS51" s="58">
        <f>IF(DAY(INDEX('Сводный годовой график'!$BA$4:$BL$14,$C50,MONTH($B$44)))=M$3,1,0)</f>
        <v>0</v>
      </c>
      <c r="CT51" s="58">
        <f>IF(DAY(INDEX('Сводный годовой график'!$BA$4:$BL$14,$C50,MONTH($B$44)))=N$3,1,0)</f>
        <v>0</v>
      </c>
      <c r="CU51" s="58">
        <f>IF(DAY(INDEX('Сводный годовой график'!$BA$4:$BL$14,$C50,MONTH($B$44)))=O$3,1,0)</f>
        <v>0</v>
      </c>
      <c r="CV51" s="58">
        <f>IF(DAY(INDEX('Сводный годовой график'!$BA$4:$BL$14,$C50,MONTH($B$44)))=P$3,1,0)</f>
        <v>0</v>
      </c>
      <c r="CW51" s="58">
        <f>IF(DAY(INDEX('Сводный годовой график'!$BA$4:$BL$14,$C50,MONTH($B$44)))=Q$3,1,0)</f>
        <v>0</v>
      </c>
      <c r="CX51" s="58">
        <f>IF(DAY(INDEX('Сводный годовой график'!$BA$4:$BL$14,$C50,MONTH($B$44)))=R$3,1,0)</f>
        <v>0</v>
      </c>
      <c r="CY51" s="58">
        <f>IF(DAY(INDEX('Сводный годовой график'!$BA$4:$BL$14,$C50,MONTH($B$44)))=S$3,1,0)</f>
        <v>0</v>
      </c>
      <c r="CZ51" s="58">
        <f>IF(DAY(INDEX('Сводный годовой график'!$BA$4:$BL$14,$C50,MONTH($B$44)))=T$3,1,0)</f>
        <v>0</v>
      </c>
      <c r="DA51" s="58">
        <f>IF(DAY(INDEX('Сводный годовой график'!$BA$4:$BL$14,$C50,MONTH($B$44)))=U$3,1,0)</f>
        <v>0</v>
      </c>
      <c r="DB51" s="58">
        <f>IF(DAY(INDEX('Сводный годовой график'!$BA$4:$BL$14,$C50,MONTH($B$44)))=V$3,1,0)</f>
        <v>0</v>
      </c>
      <c r="DC51" s="58">
        <f>IF(DAY(INDEX('Сводный годовой график'!$BA$4:$BL$14,$C50,MONTH($B$44)))=W$3,1,0)</f>
        <v>0</v>
      </c>
      <c r="DD51" s="58">
        <f>IF(DAY(INDEX('Сводный годовой график'!$BA$4:$BL$14,$C50,MONTH($B$44)))=X$3,1,0)</f>
        <v>0</v>
      </c>
      <c r="DE51" s="58">
        <f>IF(DAY(INDEX('Сводный годовой график'!$BA$4:$BL$14,$C50,MONTH($B$44)))=Y$3,1,0)</f>
        <v>0</v>
      </c>
      <c r="DF51" s="58">
        <f>IF(DAY(INDEX('Сводный годовой график'!$BA$4:$BL$14,$C50,MONTH($B$44)))=Z$3,1,0)</f>
        <v>0</v>
      </c>
      <c r="DG51" s="58">
        <f>IF(DAY(INDEX('Сводный годовой график'!$BA$4:$BL$14,$C50,MONTH($B$44)))=AA$3,1,0)</f>
        <v>0</v>
      </c>
      <c r="DH51" s="58">
        <f>IF(DAY(INDEX('Сводный годовой график'!$BA$4:$BL$14,$C50,MONTH($B$44)))=AB$3,1,0)</f>
        <v>0</v>
      </c>
      <c r="DI51" s="58">
        <f>IF(DAY(INDEX('Сводный годовой график'!$BA$4:$BL$14,$C50,MONTH($B$44)))=AC$3,1,0)</f>
        <v>0</v>
      </c>
      <c r="DJ51" s="58">
        <f>IF(DAY(INDEX('Сводный годовой график'!$BA$4:$BL$14,$C50,MONTH($B$44)))=AD$3,1,0)</f>
        <v>0</v>
      </c>
      <c r="DK51" s="58">
        <f>IF(DAY(INDEX('Сводный годовой график'!$BA$4:$BL$14,$C50,MONTH($B$44)))=AE$3,1,0)</f>
        <v>0</v>
      </c>
      <c r="DL51" s="58">
        <f>IF(DAY(INDEX('Сводный годовой график'!$BA$4:$BL$14,$C50,MONTH($B$44)))=AF$3,1,0)</f>
        <v>0</v>
      </c>
      <c r="DM51" s="58">
        <f>IF(DAY(INDEX('Сводный годовой график'!$BA$4:$BL$14,$C50,MONTH($B$44)))=AG$3,1,0)</f>
        <v>0</v>
      </c>
      <c r="DN51" s="58">
        <f>IF(DAY(INDEX('Сводный годовой график'!$BA$4:$BL$14,$C50,MONTH($B$44)))=AH$3,1,0)</f>
        <v>0</v>
      </c>
      <c r="DO51" s="58">
        <f>IF(DAY(INDEX('Сводный годовой график'!$BA$4:$BL$14,$C50,MONTH($B$44)))=AI$3,1,0)</f>
        <v>0</v>
      </c>
    </row>
    <row r="52" spans="2:119" ht="16.5" thickBot="1" x14ac:dyDescent="0.3">
      <c r="B52" s="201"/>
      <c r="C52" s="196">
        <v>5</v>
      </c>
      <c r="D52" s="81">
        <v>9</v>
      </c>
      <c r="E52" s="92" t="s">
        <v>36</v>
      </c>
      <c r="F52" s="92" t="s">
        <v>36</v>
      </c>
      <c r="G52" s="92" t="s">
        <v>36</v>
      </c>
      <c r="H52" s="92" t="s">
        <v>36</v>
      </c>
      <c r="I52" s="92" t="s">
        <v>36</v>
      </c>
      <c r="J52" s="92" t="s">
        <v>36</v>
      </c>
      <c r="K52" s="92" t="s">
        <v>36</v>
      </c>
      <c r="L52" s="92" t="s">
        <v>36</v>
      </c>
      <c r="M52" s="92" t="s">
        <v>36</v>
      </c>
      <c r="N52" s="92" t="s">
        <v>36</v>
      </c>
      <c r="O52" s="92" t="s">
        <v>36</v>
      </c>
      <c r="P52" s="92" t="s">
        <v>36</v>
      </c>
      <c r="Q52" s="92" t="s">
        <v>36</v>
      </c>
      <c r="R52" s="92" t="s">
        <v>36</v>
      </c>
      <c r="S52" s="92" t="s">
        <v>36</v>
      </c>
      <c r="T52" s="92" t="s">
        <v>36</v>
      </c>
      <c r="U52" s="92" t="s">
        <v>36</v>
      </c>
      <c r="V52" s="92" t="s">
        <v>36</v>
      </c>
      <c r="W52" s="92" t="s">
        <v>36</v>
      </c>
      <c r="X52" s="92" t="s">
        <v>36</v>
      </c>
      <c r="Y52" s="92" t="s">
        <v>36</v>
      </c>
      <c r="Z52" s="92" t="s">
        <v>36</v>
      </c>
      <c r="AA52" s="92" t="s">
        <v>36</v>
      </c>
      <c r="AB52" s="92" t="s">
        <v>36</v>
      </c>
      <c r="AC52" s="92" t="s">
        <v>36</v>
      </c>
      <c r="AD52" s="92" t="s">
        <v>36</v>
      </c>
      <c r="AE52" s="92" t="s">
        <v>36</v>
      </c>
      <c r="AF52" s="92" t="s">
        <v>36</v>
      </c>
      <c r="AG52" s="92" t="s">
        <v>36</v>
      </c>
      <c r="AH52" s="92" t="s">
        <v>36</v>
      </c>
      <c r="AI52" s="92" t="s">
        <v>36</v>
      </c>
      <c r="AJ52" s="206"/>
      <c r="AK52" s="209">
        <f>$AJ$44-SUM(AY52:CC53)</f>
        <v>144</v>
      </c>
      <c r="AL52" s="209">
        <f t="shared" ref="AL52" si="88">SUM(E52:AI53)</f>
        <v>0</v>
      </c>
      <c r="AM52" s="209">
        <f t="shared" ref="AM52" si="89">(SUM(E52)+SUM(M52))</f>
        <v>0</v>
      </c>
      <c r="AN52" s="211">
        <f t="shared" ref="AN52" si="90">-AM52-AK52+AL52</f>
        <v>-144</v>
      </c>
      <c r="AO52" s="224">
        <v>0</v>
      </c>
      <c r="AP52" s="211">
        <f t="shared" ref="AP52" si="91">AN52+AP42</f>
        <v>-806</v>
      </c>
      <c r="AQ52" s="209">
        <v>0</v>
      </c>
      <c r="AR52" s="210">
        <v>1</v>
      </c>
      <c r="CK52" s="59"/>
      <c r="CL52" s="59"/>
      <c r="CM52" s="59"/>
      <c r="CN52" s="59"/>
      <c r="CO52" s="59"/>
      <c r="CP52" s="59"/>
      <c r="CQ52" s="59"/>
      <c r="CR52" s="59"/>
      <c r="CS52" s="59"/>
      <c r="CT52" s="59"/>
      <c r="CU52" s="59"/>
      <c r="CV52" s="59"/>
      <c r="CW52" s="59"/>
      <c r="CX52" s="59"/>
      <c r="CY52" s="59"/>
      <c r="CZ52" s="59"/>
      <c r="DA52" s="59"/>
      <c r="DB52" s="59"/>
      <c r="DC52" s="59"/>
      <c r="DD52" s="59"/>
      <c r="DE52" s="59"/>
      <c r="DF52" s="59"/>
      <c r="DG52" s="59"/>
      <c r="DH52" s="59"/>
      <c r="DI52" s="59"/>
      <c r="DJ52" s="59"/>
      <c r="DK52" s="59"/>
      <c r="DL52" s="59"/>
      <c r="DM52" s="59"/>
      <c r="DN52" s="59"/>
      <c r="DO52" s="59"/>
    </row>
    <row r="53" spans="2:119" ht="16.5" thickBot="1" x14ac:dyDescent="0.3">
      <c r="B53" s="201"/>
      <c r="C53" s="212"/>
      <c r="D53" s="99">
        <v>10</v>
      </c>
      <c r="E53" s="30" t="str">
        <f t="shared" ref="E53:AI53" si="92">IF(INDEX($CK$4:$DO$123,ROW()-3,E$3)=0,"","СП")</f>
        <v/>
      </c>
      <c r="F53" s="30" t="str">
        <f t="shared" si="92"/>
        <v/>
      </c>
      <c r="G53" s="30" t="str">
        <f t="shared" si="92"/>
        <v/>
      </c>
      <c r="H53" s="30" t="str">
        <f t="shared" si="92"/>
        <v/>
      </c>
      <c r="I53" s="30" t="str">
        <f t="shared" si="92"/>
        <v/>
      </c>
      <c r="J53" s="30" t="str">
        <f t="shared" si="92"/>
        <v/>
      </c>
      <c r="K53" s="30" t="str">
        <f t="shared" si="92"/>
        <v/>
      </c>
      <c r="L53" s="30" t="str">
        <f t="shared" si="92"/>
        <v/>
      </c>
      <c r="M53" s="30" t="str">
        <f t="shared" si="92"/>
        <v>СП</v>
      </c>
      <c r="N53" s="30" t="str">
        <f t="shared" si="92"/>
        <v/>
      </c>
      <c r="O53" s="30" t="str">
        <f t="shared" si="92"/>
        <v/>
      </c>
      <c r="P53" s="30" t="str">
        <f t="shared" si="92"/>
        <v/>
      </c>
      <c r="Q53" s="30" t="str">
        <f t="shared" si="92"/>
        <v/>
      </c>
      <c r="R53" s="30" t="str">
        <f t="shared" si="92"/>
        <v/>
      </c>
      <c r="S53" s="30" t="str">
        <f t="shared" si="92"/>
        <v/>
      </c>
      <c r="T53" s="30" t="str">
        <f t="shared" si="92"/>
        <v/>
      </c>
      <c r="U53" s="30" t="str">
        <f t="shared" si="92"/>
        <v/>
      </c>
      <c r="V53" s="30" t="str">
        <f t="shared" si="92"/>
        <v/>
      </c>
      <c r="W53" s="30" t="str">
        <f t="shared" si="92"/>
        <v/>
      </c>
      <c r="X53" s="30" t="str">
        <f t="shared" si="92"/>
        <v/>
      </c>
      <c r="Y53" s="30" t="str">
        <f t="shared" si="92"/>
        <v/>
      </c>
      <c r="Z53" s="30" t="str">
        <f t="shared" si="92"/>
        <v/>
      </c>
      <c r="AA53" s="30" t="str">
        <f t="shared" si="92"/>
        <v/>
      </c>
      <c r="AB53" s="30" t="str">
        <f t="shared" si="92"/>
        <v/>
      </c>
      <c r="AC53" s="30" t="str">
        <f t="shared" si="92"/>
        <v/>
      </c>
      <c r="AD53" s="30" t="str">
        <f t="shared" si="92"/>
        <v/>
      </c>
      <c r="AE53" s="30" t="str">
        <f t="shared" si="92"/>
        <v/>
      </c>
      <c r="AF53" s="30" t="str">
        <f t="shared" si="92"/>
        <v/>
      </c>
      <c r="AG53" s="30" t="str">
        <f t="shared" si="92"/>
        <v/>
      </c>
      <c r="AH53" s="30" t="str">
        <f t="shared" si="92"/>
        <v/>
      </c>
      <c r="AI53" s="30" t="str">
        <f t="shared" si="92"/>
        <v/>
      </c>
      <c r="AJ53" s="207"/>
      <c r="AK53" s="213"/>
      <c r="AL53" s="213"/>
      <c r="AM53" s="213"/>
      <c r="AN53" s="214"/>
      <c r="AO53" s="227"/>
      <c r="AP53" s="214"/>
      <c r="AQ53" s="213"/>
      <c r="AR53" s="215"/>
      <c r="CK53" s="58">
        <f>IF(DAY(INDEX('Сводный годовой график'!$BA$4:$BL$14,$C52,MONTH($B$44)))=E$3,1,0)</f>
        <v>0</v>
      </c>
      <c r="CL53" s="58">
        <f>IF(DAY(INDEX('Сводный годовой график'!$BA$4:$BL$14,$C52,MONTH($B$44)))=F$3,1,0)</f>
        <v>0</v>
      </c>
      <c r="CM53" s="58">
        <f>IF(DAY(INDEX('Сводный годовой график'!$BA$4:$BL$14,$C52,MONTH($B$44)))=G$3,1,0)</f>
        <v>0</v>
      </c>
      <c r="CN53" s="58">
        <f>IF(DAY(INDEX('Сводный годовой график'!$BA$4:$BL$14,$C52,MONTH($B$44)))=H$3,1,0)</f>
        <v>0</v>
      </c>
      <c r="CO53" s="58">
        <f>IF(DAY(INDEX('Сводный годовой график'!$BA$4:$BL$14,$C52,MONTH($B$44)))=I$3,1,0)</f>
        <v>0</v>
      </c>
      <c r="CP53" s="58">
        <f>IF(DAY(INDEX('Сводный годовой график'!$BA$4:$BL$14,$C52,MONTH($B$44)))=J$3,1,0)</f>
        <v>0</v>
      </c>
      <c r="CQ53" s="58">
        <f>IF(DAY(INDEX('Сводный годовой график'!$BA$4:$BL$14,$C52,MONTH($B$44)))=K$3,1,0)</f>
        <v>0</v>
      </c>
      <c r="CR53" s="58">
        <f>IF(DAY(INDEX('Сводный годовой график'!$BA$4:$BL$14,$C52,MONTH($B$44)))=L$3,1,0)</f>
        <v>0</v>
      </c>
      <c r="CS53" s="58">
        <f>IF(DAY(INDEX('Сводный годовой график'!$BA$4:$BL$14,$C52,MONTH($B$44)))=M$3,1,0)</f>
        <v>1</v>
      </c>
      <c r="CT53" s="58">
        <f>IF(DAY(INDEX('Сводный годовой график'!$BA$4:$BL$14,$C52,MONTH($B$44)))=N$3,1,0)</f>
        <v>0</v>
      </c>
      <c r="CU53" s="58">
        <f>IF(DAY(INDEX('Сводный годовой график'!$BA$4:$BL$14,$C52,MONTH($B$44)))=O$3,1,0)</f>
        <v>0</v>
      </c>
      <c r="CV53" s="58">
        <f>IF(DAY(INDEX('Сводный годовой график'!$BA$4:$BL$14,$C52,MONTH($B$44)))=P$3,1,0)</f>
        <v>0</v>
      </c>
      <c r="CW53" s="58">
        <f>IF(DAY(INDEX('Сводный годовой график'!$BA$4:$BL$14,$C52,MONTH($B$44)))=Q$3,1,0)</f>
        <v>0</v>
      </c>
      <c r="CX53" s="58">
        <f>IF(DAY(INDEX('Сводный годовой график'!$BA$4:$BL$14,$C52,MONTH($B$44)))=R$3,1,0)</f>
        <v>0</v>
      </c>
      <c r="CY53" s="58">
        <f>IF(DAY(INDEX('Сводный годовой график'!$BA$4:$BL$14,$C52,MONTH($B$44)))=S$3,1,0)</f>
        <v>0</v>
      </c>
      <c r="CZ53" s="58">
        <f>IF(DAY(INDEX('Сводный годовой график'!$BA$4:$BL$14,$C52,MONTH($B$44)))=T$3,1,0)</f>
        <v>0</v>
      </c>
      <c r="DA53" s="58">
        <f>IF(DAY(INDEX('Сводный годовой график'!$BA$4:$BL$14,$C52,MONTH($B$44)))=U$3,1,0)</f>
        <v>0</v>
      </c>
      <c r="DB53" s="58">
        <f>IF(DAY(INDEX('Сводный годовой график'!$BA$4:$BL$14,$C52,MONTH($B$44)))=V$3,1,0)</f>
        <v>0</v>
      </c>
      <c r="DC53" s="58">
        <f>IF(DAY(INDEX('Сводный годовой график'!$BA$4:$BL$14,$C52,MONTH($B$44)))=W$3,1,0)</f>
        <v>0</v>
      </c>
      <c r="DD53" s="58">
        <f>IF(DAY(INDEX('Сводный годовой график'!$BA$4:$BL$14,$C52,MONTH($B$44)))=X$3,1,0)</f>
        <v>0</v>
      </c>
      <c r="DE53" s="58">
        <f>IF(DAY(INDEX('Сводный годовой график'!$BA$4:$BL$14,$C52,MONTH($B$44)))=Y$3,1,0)</f>
        <v>0</v>
      </c>
      <c r="DF53" s="58">
        <f>IF(DAY(INDEX('Сводный годовой график'!$BA$4:$BL$14,$C52,MONTH($B$44)))=Z$3,1,0)</f>
        <v>0</v>
      </c>
      <c r="DG53" s="58">
        <f>IF(DAY(INDEX('Сводный годовой график'!$BA$4:$BL$14,$C52,MONTH($B$44)))=AA$3,1,0)</f>
        <v>0</v>
      </c>
      <c r="DH53" s="58">
        <f>IF(DAY(INDEX('Сводный годовой график'!$BA$4:$BL$14,$C52,MONTH($B$44)))=AB$3,1,0)</f>
        <v>0</v>
      </c>
      <c r="DI53" s="58">
        <f>IF(DAY(INDEX('Сводный годовой график'!$BA$4:$BL$14,$C52,MONTH($B$44)))=AC$3,1,0)</f>
        <v>0</v>
      </c>
      <c r="DJ53" s="58">
        <f>IF(DAY(INDEX('Сводный годовой график'!$BA$4:$BL$14,$C52,MONTH($B$44)))=AD$3,1,0)</f>
        <v>0</v>
      </c>
      <c r="DK53" s="58">
        <f>IF(DAY(INDEX('Сводный годовой график'!$BA$4:$BL$14,$C52,MONTH($B$44)))=AE$3,1,0)</f>
        <v>0</v>
      </c>
      <c r="DL53" s="58">
        <f>IF(DAY(INDEX('Сводный годовой график'!$BA$4:$BL$14,$C52,MONTH($B$44)))=AF$3,1,0)</f>
        <v>0</v>
      </c>
      <c r="DM53" s="58">
        <f>IF(DAY(INDEX('Сводный годовой график'!$BA$4:$BL$14,$C52,MONTH($B$44)))=AG$3,1,0)</f>
        <v>0</v>
      </c>
      <c r="DN53" s="58">
        <f>IF(DAY(INDEX('Сводный годовой график'!$BA$4:$BL$14,$C52,MONTH($B$44)))=AH$3,1,0)</f>
        <v>0</v>
      </c>
      <c r="DO53" s="58">
        <f>IF(DAY(INDEX('Сводный годовой график'!$BA$4:$BL$14,$C52,MONTH($B$44)))=AI$3,1,0)</f>
        <v>0</v>
      </c>
    </row>
    <row r="54" spans="2:119" ht="17.25" customHeight="1" thickTop="1" thickBot="1" x14ac:dyDescent="0.3">
      <c r="B54" s="200">
        <f>DATE($AV$1,6,1)</f>
        <v>45809</v>
      </c>
      <c r="C54" s="196">
        <v>1</v>
      </c>
      <c r="D54" s="81">
        <v>1</v>
      </c>
      <c r="E54" s="28">
        <f ca="1">IF(AND(INDEX('Сводный годовой график'!$C$1:$AR$4,MATCH($C$54,'Сводный годовой график'!$B$1:$B$4),MATCH(DATE($AV$1,MONTH($B$54),E$3),'Сводный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график'!$B$1:$B$4),MATCH(DATE($AV$1,MONTH($B$54),E$3),'Сводный годовой график'!$C$10:$AR$10)))</f>
        <v>12</v>
      </c>
      <c r="F54" s="28">
        <f ca="1">IF(AND(INDEX('Сводный годовой график'!$C$1:$AR$4,MATCH($C$54,'Сводный годовой график'!$B$1:$B$4),MATCH(DATE($AV$1,MONTH($B$54),F$3),'Сводный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график'!$B$1:$B$4),MATCH(DATE($AV$1,MONTH($B$54),F$3),'Сводный годовой график'!$C$10:$AR$10)))</f>
        <v>0</v>
      </c>
      <c r="G54" s="28">
        <f ca="1">IF(AND(INDEX('Сводный годовой график'!$C$1:$AR$4,MATCH($C$54,'Сводный годовой график'!$B$1:$B$4),MATCH(DATE($AV$1,MONTH($B$54),G$3),'Сводный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график'!$B$1:$B$4),MATCH(DATE($AV$1,MONTH($B$54),G$3),'Сводный годовой график'!$C$10:$AR$10)))</f>
        <v>0</v>
      </c>
      <c r="H54" s="28">
        <f ca="1">IF(AND(INDEX('Сводный годовой график'!$C$1:$AR$4,MATCH($C$54,'Сводный годовой график'!$B$1:$B$4),MATCH(DATE($AV$1,MONTH($B$54),H$3),'Сводный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график'!$B$1:$B$4),MATCH(DATE($AV$1,MONTH($B$54),H$3),'Сводный годовой график'!$C$10:$AR$10)))</f>
        <v>4</v>
      </c>
      <c r="I54" s="28">
        <f ca="1">IF(AND(INDEX('Сводный годовой график'!$C$1:$AR$4,MATCH($C$54,'Сводный годовой график'!$B$1:$B$4),MATCH(DATE($AV$1,MONTH($B$54),I$3),'Сводный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график'!$B$1:$B$4),MATCH(DATE($AV$1,MONTH($B$54),I$3),'Сводный годовой график'!$C$10:$AR$10)))</f>
        <v>8</v>
      </c>
      <c r="J54" s="28">
        <f ca="1">IF(AND(INDEX('Сводный годовой график'!$C$1:$AR$4,MATCH($C$54,'Сводный годовой график'!$B$1:$B$4),MATCH(DATE($AV$1,MONTH($B$54),J$3),'Сводный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график'!$B$1:$B$4),MATCH(DATE($AV$1,MONTH($B$54),J$3),'Сводный годовой график'!$C$10:$AR$10)))</f>
        <v>12</v>
      </c>
      <c r="K54" s="28">
        <f ca="1">IF(AND(INDEX('Сводный годовой график'!$C$1:$AR$4,MATCH($C$54,'Сводный годовой график'!$B$1:$B$4),MATCH(DATE($AV$1,MONTH($B$54),K$3),'Сводный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график'!$B$1:$B$4),MATCH(DATE($AV$1,MONTH($B$54),K$3),'Сводный годовой график'!$C$10:$AR$10)))</f>
        <v>4</v>
      </c>
      <c r="L54" s="28">
        <f ca="1">IF(AND(INDEX('Сводный годовой график'!$C$1:$AR$4,MATCH($C$54,'Сводный годовой график'!$B$1:$B$4),MATCH(DATE($AV$1,MONTH($B$54),L$3),'Сводный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график'!$B$1:$B$4),MATCH(DATE($AV$1,MONTH($B$54),L$3),'Сводный годовой график'!$C$10:$AR$10)))</f>
        <v>8</v>
      </c>
      <c r="M54" s="28">
        <f ca="1">IF(AND(INDEX('Сводный годовой график'!$C$1:$AR$4,MATCH($C$54,'Сводный годовой график'!$B$1:$B$4),MATCH(DATE($AV$1,MONTH($B$54),M$3),'Сводный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график'!$B$1:$B$4),MATCH(DATE($AV$1,MONTH($B$54),M$3),'Сводный годовой график'!$C$10:$AR$10)))</f>
        <v>12</v>
      </c>
      <c r="N54" s="28">
        <f ca="1">IF(AND(INDEX('Сводный годовой график'!$C$1:$AR$4,MATCH($C$54,'Сводный годовой график'!$B$1:$B$4),MATCH(DATE($AV$1,MONTH($B$54),N$3),'Сводный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график'!$B$1:$B$4),MATCH(DATE($AV$1,MONTH($B$54),N$3),'Сводный годовой график'!$C$10:$AR$10)))</f>
        <v>0</v>
      </c>
      <c r="O54" s="28">
        <f ca="1">IF(AND(INDEX('Сводный годовой график'!$C$1:$AR$4,MATCH($C$54,'Сводный годовой график'!$B$1:$B$4),MATCH(DATE($AV$1,MONTH($B$54),O$3),'Сводный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график'!$B$1:$B$4),MATCH(DATE($AV$1,MONTH($B$54),O$3),'Сводный годовой график'!$C$10:$AR$10)))</f>
        <v>0</v>
      </c>
      <c r="P54" s="28">
        <f ca="1">IF(AND(INDEX('Сводный годовой график'!$C$1:$AR$4,MATCH($C$54,'Сводный годовой график'!$B$1:$B$4),MATCH(DATE($AV$1,MONTH($B$54),P$3),'Сводный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график'!$B$1:$B$4),MATCH(DATE($AV$1,MONTH($B$54),P$3),'Сводный годовой график'!$C$10:$AR$10)))</f>
        <v>4</v>
      </c>
      <c r="Q54" s="28">
        <f ca="1">IF(AND(INDEX('Сводный годовой график'!$C$1:$AR$4,MATCH($C$54,'Сводный годовой график'!$B$1:$B$4),MATCH(DATE($AV$1,MONTH($B$54),Q$3),'Сводный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график'!$B$1:$B$4),MATCH(DATE($AV$1,MONTH($B$54),Q$3),'Сводный годовой график'!$C$10:$AR$10)))</f>
        <v>8</v>
      </c>
      <c r="R54" s="28">
        <f ca="1">IF(AND(INDEX('Сводный годовой график'!$C$1:$AR$4,MATCH($C$54,'Сводный годовой график'!$B$1:$B$4),MATCH(DATE($AV$1,MONTH($B$54),R$3),'Сводный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график'!$B$1:$B$4),MATCH(DATE($AV$1,MONTH($B$54),R$3),'Сводный годовой график'!$C$10:$AR$10)))</f>
        <v>12</v>
      </c>
      <c r="S54" s="28">
        <f ca="1">IF(AND(INDEX('Сводный годовой график'!$C$1:$AR$4,MATCH($C$54,'Сводный годовой график'!$B$1:$B$4),MATCH(DATE($AV$1,MONTH($B$54),S$3),'Сводный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график'!$B$1:$B$4),MATCH(DATE($AV$1,MONTH($B$54),S$3),'Сводный годовой график'!$C$10:$AR$10)))</f>
        <v>4</v>
      </c>
      <c r="T54" s="28">
        <f ca="1">IF(AND(INDEX('Сводный годовой график'!$C$1:$AR$4,MATCH($C$54,'Сводный годовой график'!$B$1:$B$4),MATCH(DATE($AV$1,MONTH($B$54),T$3),'Сводный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график'!$B$1:$B$4),MATCH(DATE($AV$1,MONTH($B$54),T$3),'Сводный годовой график'!$C$10:$AR$10)))</f>
        <v>8</v>
      </c>
      <c r="U54" s="28">
        <f ca="1">IF(AND(INDEX('Сводный годовой график'!$C$1:$AR$4,MATCH($C$54,'Сводный годовой график'!$B$1:$B$4),MATCH(DATE($AV$1,MONTH($B$54),U$3),'Сводный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график'!$B$1:$B$4),MATCH(DATE($AV$1,MONTH($B$54),U$3),'Сводный годовой график'!$C$10:$AR$10)))</f>
        <v>12</v>
      </c>
      <c r="V54" s="28">
        <f ca="1">IF(AND(INDEX('Сводный годовой график'!$C$1:$AR$4,MATCH($C$54,'Сводный годовой график'!$B$1:$B$4),MATCH(DATE($AV$1,MONTH($B$54),V$3),'Сводный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график'!$B$1:$B$4),MATCH(DATE($AV$1,MONTH($B$54),V$3),'Сводный годовой график'!$C$10:$AR$10)))</f>
        <v>0</v>
      </c>
      <c r="W54" s="28">
        <f ca="1">IF(AND(INDEX('Сводный годовой график'!$C$1:$AR$4,MATCH($C$54,'Сводный годовой график'!$B$1:$B$4),MATCH(DATE($AV$1,MONTH($B$54),W$3),'Сводный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график'!$B$1:$B$4),MATCH(DATE($AV$1,MONTH($B$54),W$3),'Сводный годовой график'!$C$10:$AR$10)))</f>
        <v>0</v>
      </c>
      <c r="X54" s="28">
        <f ca="1">IF(AND(INDEX('Сводный годовой график'!$C$1:$AR$4,MATCH($C$54,'Сводный годовой график'!$B$1:$B$4),MATCH(DATE($AV$1,MONTH($B$54),X$3),'Сводный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график'!$B$1:$B$4),MATCH(DATE($AV$1,MONTH($B$54),X$3),'Сводный годовой график'!$C$10:$AR$10)))</f>
        <v>4</v>
      </c>
      <c r="Y54" s="28">
        <f ca="1">IF(AND(INDEX('Сводный годовой график'!$C$1:$AR$4,MATCH($C$54,'Сводный годовой график'!$B$1:$B$4),MATCH(DATE($AV$1,MONTH($B$54),Y$3),'Сводный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график'!$B$1:$B$4),MATCH(DATE($AV$1,MONTH($B$54),Y$3),'Сводный годовой график'!$C$10:$AR$10)))</f>
        <v>8</v>
      </c>
      <c r="Z54" s="28">
        <f ca="1">IF(AND(INDEX('Сводный годовой график'!$C$1:$AR$4,MATCH($C$54,'Сводный годовой график'!$B$1:$B$4),MATCH(DATE($AV$1,MONTH($B$54),Z$3),'Сводный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график'!$B$1:$B$4),MATCH(DATE($AV$1,MONTH($B$54),Z$3),'Сводный годовой график'!$C$10:$AR$10)))</f>
        <v>12</v>
      </c>
      <c r="AA54" s="28">
        <f ca="1">IF(AND(INDEX('Сводный годовой график'!$C$1:$AR$4,MATCH($C$54,'Сводный годовой график'!$B$1:$B$4),MATCH(DATE($AV$1,MONTH($B$54),AA$3),'Сводный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график'!$B$1:$B$4),MATCH(DATE($AV$1,MONTH($B$54),AA$3),'Сводный годовой график'!$C$10:$AR$10)))</f>
        <v>4</v>
      </c>
      <c r="AB54" s="28">
        <f ca="1">IF(AND(INDEX('Сводный годовой график'!$C$1:$AR$4,MATCH($C$54,'Сводный годовой график'!$B$1:$B$4),MATCH(DATE($AV$1,MONTH($B$54),AB$3),'Сводный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график'!$B$1:$B$4),MATCH(DATE($AV$1,MONTH($B$54),AB$3),'Сводный годовой график'!$C$10:$AR$10)))</f>
        <v>8</v>
      </c>
      <c r="AC54" s="28">
        <f ca="1">IF(AND(INDEX('Сводный годовой график'!$C$1:$AR$4,MATCH($C$54,'Сводный годовой график'!$B$1:$B$4),MATCH(DATE($AV$1,MONTH($B$54),AC$3),'Сводный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график'!$B$1:$B$4),MATCH(DATE($AV$1,MONTH($B$54),AC$3),'Сводный годовой график'!$C$10:$AR$10)))</f>
        <v>12</v>
      </c>
      <c r="AD54" s="28">
        <f ca="1">IF(AND(INDEX('Сводный годовой график'!$C$1:$AR$4,MATCH($C$54,'Сводный годовой график'!$B$1:$B$4),MATCH(DATE($AV$1,MONTH($B$54),AD$3),'Сводный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график'!$B$1:$B$4),MATCH(DATE($AV$1,MONTH($B$54),AD$3),'Сводный годовой график'!$C$10:$AR$10)))</f>
        <v>0</v>
      </c>
      <c r="AE54" s="28">
        <f ca="1">IF(AND(INDEX('Сводный годовой график'!$C$1:$AR$4,MATCH($C$54,'Сводный годовой график'!$B$1:$B$4),MATCH(DATE($AV$1,MONTH($B$54),AE$3),'Сводный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график'!$B$1:$B$4),MATCH(DATE($AV$1,MONTH($B$54),AE$3),'Сводный годовой график'!$C$10:$AR$10)))</f>
        <v>0</v>
      </c>
      <c r="AF54" s="28">
        <f ca="1">IF(AND(INDEX('Сводный годовой график'!$C$1:$AR$4,MATCH($C$54,'Сводный годовой график'!$B$1:$B$4),MATCH(DATE($AV$1,MONTH($B$54),AF$3),'Сводный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график'!$B$1:$B$4),MATCH(DATE($AV$1,MONTH($B$54),AF$3),'Сводный годовой график'!$C$10:$AR$10)))</f>
        <v>4</v>
      </c>
      <c r="AG54" s="28">
        <f ca="1">IF(AND(INDEX('Сводный годовой график'!$C$1:$AR$4,MATCH($C$54,'Сводный годовой график'!$B$1:$B$4),MATCH(DATE($AV$1,MONTH($B$54),AG$3),'Сводный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график'!$B$1:$B$4),MATCH(DATE($AV$1,MONTH($B$54),AG$3),'Сводный годовой график'!$C$10:$AR$10)))</f>
        <v>8</v>
      </c>
      <c r="AH54" s="28">
        <f ca="1">IF(AND(INDEX('Сводный годовой график'!$C$1:$AR$4,MATCH($C$54,'Сводный годовой график'!$B$1:$B$4),MATCH(DATE($AV$1,MONTH($B$54),AH$3),'Сводный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график'!$B$1:$B$4),MATCH(DATE($AV$1,MONTH($B$54),AH$3),'Сводный годовой график'!$C$10:$AR$10)))</f>
        <v>12</v>
      </c>
      <c r="AI54" s="109"/>
      <c r="AJ54" s="205">
        <f>INDEX(Подключения!$D$3:$H$14,MONTH(B54),5)</f>
        <v>151</v>
      </c>
      <c r="AK54" s="203">
        <f>$AJ$54-SUM(AY54:CC55)</f>
        <v>151</v>
      </c>
      <c r="AL54" s="203">
        <f t="shared" ref="AL54" ca="1" si="93">SUM(E54:AI55)</f>
        <v>180</v>
      </c>
      <c r="AM54" s="203">
        <f ca="1">SUM(P54)</f>
        <v>4</v>
      </c>
      <c r="AN54" s="208">
        <f t="shared" ref="AN54" ca="1" si="94">-AM54-AK54+AL54</f>
        <v>25</v>
      </c>
      <c r="AO54" s="208">
        <v>0</v>
      </c>
      <c r="AP54" s="208">
        <f ca="1">AN54+AP44-AO54</f>
        <v>61</v>
      </c>
      <c r="AQ54" s="203">
        <v>0</v>
      </c>
      <c r="AR54" s="204">
        <v>1</v>
      </c>
      <c r="CK54" s="59"/>
      <c r="CL54" s="59"/>
      <c r="CM54" s="59"/>
      <c r="CN54" s="59"/>
      <c r="CO54" s="59"/>
      <c r="CP54" s="59"/>
      <c r="CQ54" s="59"/>
      <c r="CR54" s="59"/>
      <c r="CS54" s="59"/>
      <c r="CT54" s="59"/>
      <c r="CU54" s="59"/>
      <c r="CV54" s="59"/>
      <c r="CW54" s="59"/>
      <c r="CX54" s="59"/>
      <c r="CY54" s="59"/>
      <c r="CZ54" s="59"/>
      <c r="DA54" s="59"/>
      <c r="DB54" s="59"/>
      <c r="DC54" s="59"/>
      <c r="DD54" s="59"/>
      <c r="DE54" s="59"/>
      <c r="DF54" s="59"/>
      <c r="DG54" s="59"/>
      <c r="DH54" s="59"/>
      <c r="DI54" s="59"/>
      <c r="DJ54" s="59"/>
      <c r="DK54" s="59"/>
      <c r="DL54" s="59"/>
      <c r="DM54" s="59"/>
      <c r="DN54" s="59"/>
      <c r="DO54" s="59"/>
    </row>
    <row r="55" spans="2:119" ht="16.5" thickBot="1" x14ac:dyDescent="0.3">
      <c r="B55" s="201"/>
      <c r="C55" s="197"/>
      <c r="D55" s="82">
        <v>2</v>
      </c>
      <c r="E55" s="92" t="str">
        <f t="shared" ref="E55:AH55" si="95">IF(INDEX($CK$4:$DO$123,ROW()-3,E$3)=0,"","СП")</f>
        <v/>
      </c>
      <c r="F55" s="92" t="str">
        <f t="shared" si="95"/>
        <v/>
      </c>
      <c r="G55" s="92" t="str">
        <f t="shared" si="95"/>
        <v/>
      </c>
      <c r="H55" s="92" t="str">
        <f t="shared" si="95"/>
        <v/>
      </c>
      <c r="I55" s="92" t="str">
        <f t="shared" si="95"/>
        <v/>
      </c>
      <c r="J55" s="92" t="str">
        <f t="shared" si="95"/>
        <v>СП</v>
      </c>
      <c r="K55" s="92" t="str">
        <f t="shared" si="95"/>
        <v/>
      </c>
      <c r="L55" s="92" t="str">
        <f t="shared" si="95"/>
        <v/>
      </c>
      <c r="M55" s="92" t="str">
        <f t="shared" si="95"/>
        <v/>
      </c>
      <c r="N55" s="92" t="str">
        <f t="shared" si="95"/>
        <v/>
      </c>
      <c r="O55" s="92" t="str">
        <f t="shared" si="95"/>
        <v/>
      </c>
      <c r="P55" s="92" t="str">
        <f t="shared" si="95"/>
        <v/>
      </c>
      <c r="Q55" s="92" t="str">
        <f t="shared" si="95"/>
        <v/>
      </c>
      <c r="R55" s="92" t="str">
        <f t="shared" si="95"/>
        <v/>
      </c>
      <c r="S55" s="92" t="str">
        <f t="shared" si="95"/>
        <v/>
      </c>
      <c r="T55" s="92" t="str">
        <f t="shared" si="95"/>
        <v/>
      </c>
      <c r="U55" s="92" t="str">
        <f t="shared" si="95"/>
        <v/>
      </c>
      <c r="V55" s="92" t="str">
        <f t="shared" si="95"/>
        <v/>
      </c>
      <c r="W55" s="92" t="str">
        <f t="shared" si="95"/>
        <v/>
      </c>
      <c r="X55" s="92" t="str">
        <f t="shared" si="95"/>
        <v/>
      </c>
      <c r="Y55" s="92" t="str">
        <f t="shared" si="95"/>
        <v/>
      </c>
      <c r="Z55" s="92" t="str">
        <f t="shared" si="95"/>
        <v/>
      </c>
      <c r="AA55" s="92" t="str">
        <f t="shared" si="95"/>
        <v/>
      </c>
      <c r="AB55" s="92" t="str">
        <f t="shared" si="95"/>
        <v/>
      </c>
      <c r="AC55" s="92" t="str">
        <f t="shared" si="95"/>
        <v/>
      </c>
      <c r="AD55" s="92" t="str">
        <f t="shared" si="95"/>
        <v/>
      </c>
      <c r="AE55" s="92" t="str">
        <f t="shared" si="95"/>
        <v/>
      </c>
      <c r="AF55" s="92" t="str">
        <f t="shared" si="95"/>
        <v/>
      </c>
      <c r="AG55" s="92" t="str">
        <f t="shared" si="95"/>
        <v/>
      </c>
      <c r="AH55" s="92" t="str">
        <f t="shared" si="95"/>
        <v/>
      </c>
      <c r="AI55" s="110"/>
      <c r="AJ55" s="206"/>
      <c r="AK55" s="177"/>
      <c r="AL55" s="177"/>
      <c r="AM55" s="177"/>
      <c r="AN55" s="198"/>
      <c r="AO55" s="198"/>
      <c r="AP55" s="198"/>
      <c r="AQ55" s="177"/>
      <c r="AR55" s="179"/>
      <c r="CK55" s="58">
        <f>IF(DAY(INDEX('Сводный годовой график'!$BA$4:$BL$14,$C54,MONTH($B$54)))=E$3,1,0)</f>
        <v>0</v>
      </c>
      <c r="CL55" s="58">
        <f>IF(DAY(INDEX('Сводный годовой график'!$BA$4:$BL$14,$C54,MONTH($B$54)))=F$3,1,0)</f>
        <v>0</v>
      </c>
      <c r="CM55" s="58">
        <f>IF(DAY(INDEX('Сводный годовой график'!$BA$4:$BL$14,$C54,MONTH($B$54)))=G$3,1,0)</f>
        <v>0</v>
      </c>
      <c r="CN55" s="58">
        <f>IF(DAY(INDEX('Сводный годовой график'!$BA$4:$BL$14,$C54,MONTH($B$54)))=H$3,1,0)</f>
        <v>0</v>
      </c>
      <c r="CO55" s="58">
        <f>IF(DAY(INDEX('Сводный годовой график'!$BA$4:$BL$14,$C54,MONTH($B$54)))=I$3,1,0)</f>
        <v>0</v>
      </c>
      <c r="CP55" s="58">
        <f>IF(DAY(INDEX('Сводный годовой график'!$BA$4:$BL$14,$C54,MONTH($B$54)))=J$3,1,0)</f>
        <v>1</v>
      </c>
      <c r="CQ55" s="58">
        <f>IF(DAY(INDEX('Сводный годовой график'!$BA$4:$BL$14,$C54,MONTH($B$54)))=K$3,1,0)</f>
        <v>0</v>
      </c>
      <c r="CR55" s="58">
        <f>IF(DAY(INDEX('Сводный годовой график'!$BA$4:$BL$14,$C54,MONTH($B$54)))=L$3,1,0)</f>
        <v>0</v>
      </c>
      <c r="CS55" s="58">
        <f>IF(DAY(INDEX('Сводный годовой график'!$BA$4:$BL$14,$C54,MONTH($B$54)))=M$3,1,0)</f>
        <v>0</v>
      </c>
      <c r="CT55" s="58">
        <f>IF(DAY(INDEX('Сводный годовой график'!$BA$4:$BL$14,$C54,MONTH($B$54)))=N$3,1,0)</f>
        <v>0</v>
      </c>
      <c r="CU55" s="58">
        <f>IF(DAY(INDEX('Сводный годовой график'!$BA$4:$BL$14,$C54,MONTH($B$54)))=O$3,1,0)</f>
        <v>0</v>
      </c>
      <c r="CV55" s="58">
        <f>IF(DAY(INDEX('Сводный годовой график'!$BA$4:$BL$14,$C54,MONTH($B$54)))=P$3,1,0)</f>
        <v>0</v>
      </c>
      <c r="CW55" s="58">
        <f>IF(DAY(INDEX('Сводный годовой график'!$BA$4:$BL$14,$C54,MONTH($B$54)))=Q$3,1,0)</f>
        <v>0</v>
      </c>
      <c r="CX55" s="58">
        <f>IF(DAY(INDEX('Сводный годовой график'!$BA$4:$BL$14,$C54,MONTH($B$54)))=R$3,1,0)</f>
        <v>0</v>
      </c>
      <c r="CY55" s="58">
        <f>IF(DAY(INDEX('Сводный годовой график'!$BA$4:$BL$14,$C54,MONTH($B$54)))=S$3,1,0)</f>
        <v>0</v>
      </c>
      <c r="CZ55" s="58">
        <f>IF(DAY(INDEX('Сводный годовой график'!$BA$4:$BL$14,$C54,MONTH($B$54)))=T$3,1,0)</f>
        <v>0</v>
      </c>
      <c r="DA55" s="58">
        <f>IF(DAY(INDEX('Сводный годовой график'!$BA$4:$BL$14,$C54,MONTH($B$54)))=U$3,1,0)</f>
        <v>0</v>
      </c>
      <c r="DB55" s="58">
        <f>IF(DAY(INDEX('Сводный годовой график'!$BA$4:$BL$14,$C54,MONTH($B$54)))=V$3,1,0)</f>
        <v>0</v>
      </c>
      <c r="DC55" s="58">
        <f>IF(DAY(INDEX('Сводный годовой график'!$BA$4:$BL$14,$C54,MONTH($B$54)))=W$3,1,0)</f>
        <v>0</v>
      </c>
      <c r="DD55" s="58">
        <f>IF(DAY(INDEX('Сводный годовой график'!$BA$4:$BL$14,$C54,MONTH($B$54)))=X$3,1,0)</f>
        <v>0</v>
      </c>
      <c r="DE55" s="58">
        <f>IF(DAY(INDEX('Сводный годовой график'!$BA$4:$BL$14,$C54,MONTH($B$54)))=Y$3,1,0)</f>
        <v>0</v>
      </c>
      <c r="DF55" s="58">
        <f>IF(DAY(INDEX('Сводный годовой график'!$BA$4:$BL$14,$C54,MONTH($B$54)))=Z$3,1,0)</f>
        <v>0</v>
      </c>
      <c r="DG55" s="58">
        <f>IF(DAY(INDEX('Сводный годовой график'!$BA$4:$BL$14,$C54,MONTH($B$54)))=AA$3,1,0)</f>
        <v>0</v>
      </c>
      <c r="DH55" s="58">
        <f>IF(DAY(INDEX('Сводный годовой график'!$BA$4:$BL$14,$C54,MONTH($B$54)))=AB$3,1,0)</f>
        <v>0</v>
      </c>
      <c r="DI55" s="58">
        <f>IF(DAY(INDEX('Сводный годовой график'!$BA$4:$BL$14,$C54,MONTH($B$54)))=AC$3,1,0)</f>
        <v>0</v>
      </c>
      <c r="DJ55" s="58">
        <f>IF(DAY(INDEX('Сводный годовой график'!$BA$4:$BL$14,$C54,MONTH($B$54)))=AD$3,1,0)</f>
        <v>0</v>
      </c>
      <c r="DK55" s="58">
        <f>IF(DAY(INDEX('Сводный годовой график'!$BA$4:$BL$14,$C54,MONTH($B$54)))=AE$3,1,0)</f>
        <v>0</v>
      </c>
      <c r="DL55" s="58">
        <f>IF(DAY(INDEX('Сводный годовой график'!$BA$4:$BL$14,$C54,MONTH($B$54)))=AF$3,1,0)</f>
        <v>0</v>
      </c>
      <c r="DM55" s="58">
        <f>IF(DAY(INDEX('Сводный годовой график'!$BA$4:$BL$14,$C54,MONTH($B$54)))=AG$3,1,0)</f>
        <v>0</v>
      </c>
      <c r="DN55" s="58">
        <f>IF(DAY(INDEX('Сводный годовой график'!$BA$4:$BL$14,$C54,MONTH($B$54)))=AH$3,1,0)</f>
        <v>0</v>
      </c>
      <c r="DO55" s="58">
        <f>IF(DAY(INDEX('Сводный годовой график'!$BA$4:$BL$14,$C54,MONTH($B$54)))=AI$3,1,0)</f>
        <v>0</v>
      </c>
    </row>
    <row r="56" spans="2:119" ht="16.5" thickBot="1" x14ac:dyDescent="0.3">
      <c r="B56" s="201"/>
      <c r="C56" s="196">
        <v>2</v>
      </c>
      <c r="D56" s="81">
        <v>3</v>
      </c>
      <c r="E56" s="92">
        <f ca="1">IF(AND(INDEX('Сводный годовой график'!$C$1:$AR$4,MATCH($C$56,'Сводный годовой график'!$B$1:$B$4),MATCH(DATE($AV$1,MONTH($B$54),E$3),'Сводный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график'!$B$1:$B$4),MATCH(DATE($AV$1,MONTH($B$54),E$3),'Сводный годовой график'!$C$10:$AR$10)))</f>
        <v>0</v>
      </c>
      <c r="F56" s="92">
        <f ca="1">IF(AND(INDEX('Сводный годовой график'!$C$1:$AR$4,MATCH($C$56,'Сводный годовой график'!$B$1:$B$4),MATCH(DATE($AV$1,MONTH($B$54),F$3),'Сводный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график'!$B$1:$B$4),MATCH(DATE($AV$1,MONTH($B$54),F$3),'Сводный годовой график'!$C$10:$AR$10)))</f>
        <v>4</v>
      </c>
      <c r="G56" s="92">
        <f ca="1">IF(AND(INDEX('Сводный годовой график'!$C$1:$AR$4,MATCH($C$56,'Сводный годовой график'!$B$1:$B$4),MATCH(DATE($AV$1,MONTH($B$54),G$3),'Сводный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график'!$B$1:$B$4),MATCH(DATE($AV$1,MONTH($B$54),G$3),'Сводный годовой график'!$C$10:$AR$10)))</f>
        <v>8</v>
      </c>
      <c r="H56" s="92">
        <f ca="1">IF(AND(INDEX('Сводный годовой график'!$C$1:$AR$4,MATCH($C$56,'Сводный годовой график'!$B$1:$B$4),MATCH(DATE($AV$1,MONTH($B$54),H$3),'Сводный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график'!$B$1:$B$4),MATCH(DATE($AV$1,MONTH($B$54),H$3),'Сводный годовой график'!$C$10:$AR$10)))</f>
        <v>12</v>
      </c>
      <c r="I56" s="92">
        <f ca="1">IF(AND(INDEX('Сводный годовой график'!$C$1:$AR$4,MATCH($C$56,'Сводный годовой график'!$B$1:$B$4),MATCH(DATE($AV$1,MONTH($B$54),I$3),'Сводный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график'!$B$1:$B$4),MATCH(DATE($AV$1,MONTH($B$54),I$3),'Сводный годовой график'!$C$10:$AR$10)))</f>
        <v>4</v>
      </c>
      <c r="J56" s="92">
        <f ca="1">IF(AND(INDEX('Сводный годовой график'!$C$1:$AR$4,MATCH($C$56,'Сводный годовой график'!$B$1:$B$4),MATCH(DATE($AV$1,MONTH($B$54),J$3),'Сводный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график'!$B$1:$B$4),MATCH(DATE($AV$1,MONTH($B$54),J$3),'Сводный годовой график'!$C$10:$AR$10)))</f>
        <v>8</v>
      </c>
      <c r="K56" s="92">
        <f ca="1">IF(AND(INDEX('Сводный годовой график'!$C$1:$AR$4,MATCH($C$56,'Сводный годовой график'!$B$1:$B$4),MATCH(DATE($AV$1,MONTH($B$54),K$3),'Сводный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график'!$B$1:$B$4),MATCH(DATE($AV$1,MONTH($B$54),K$3),'Сводный годовой график'!$C$10:$AR$10)))</f>
        <v>12</v>
      </c>
      <c r="L56" s="92">
        <f ca="1">IF(AND(INDEX('Сводный годовой график'!$C$1:$AR$4,MATCH($C$56,'Сводный годовой график'!$B$1:$B$4),MATCH(DATE($AV$1,MONTH($B$54),L$3),'Сводный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график'!$B$1:$B$4),MATCH(DATE($AV$1,MONTH($B$54),L$3),'Сводный годовой график'!$C$10:$AR$10)))</f>
        <v>0</v>
      </c>
      <c r="M56" s="92">
        <f ca="1">IF(AND(INDEX('Сводный годовой график'!$C$1:$AR$4,MATCH($C$56,'Сводный годовой график'!$B$1:$B$4),MATCH(DATE($AV$1,MONTH($B$54),M$3),'Сводный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график'!$B$1:$B$4),MATCH(DATE($AV$1,MONTH($B$54),M$3),'Сводный годовой график'!$C$10:$AR$10)))</f>
        <v>0</v>
      </c>
      <c r="N56" s="92">
        <f ca="1">IF(AND(INDEX('Сводный годовой график'!$C$1:$AR$4,MATCH($C$56,'Сводный годовой график'!$B$1:$B$4),MATCH(DATE($AV$1,MONTH($B$54),N$3),'Сводный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график'!$B$1:$B$4),MATCH(DATE($AV$1,MONTH($B$54),N$3),'Сводный годовой график'!$C$10:$AR$10)))</f>
        <v>4</v>
      </c>
      <c r="O56" s="92">
        <f ca="1">IF(AND(INDEX('Сводный годовой график'!$C$1:$AR$4,MATCH($C$56,'Сводный годовой график'!$B$1:$B$4),MATCH(DATE($AV$1,MONTH($B$54),O$3),'Сводный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график'!$B$1:$B$4),MATCH(DATE($AV$1,MONTH($B$54),O$3),'Сводный годовой график'!$C$10:$AR$10)))</f>
        <v>8</v>
      </c>
      <c r="P56" s="92">
        <f ca="1">IF(AND(INDEX('Сводный годовой график'!$C$1:$AR$4,MATCH($C$56,'Сводный годовой график'!$B$1:$B$4),MATCH(DATE($AV$1,MONTH($B$54),P$3),'Сводный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график'!$B$1:$B$4),MATCH(DATE($AV$1,MONTH($B$54),P$3),'Сводный годовой график'!$C$10:$AR$10)))</f>
        <v>12</v>
      </c>
      <c r="Q56" s="92">
        <f ca="1">IF(AND(INDEX('Сводный годовой график'!$C$1:$AR$4,MATCH($C$56,'Сводный годовой график'!$B$1:$B$4),MATCH(DATE($AV$1,MONTH($B$54),Q$3),'Сводный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график'!$B$1:$B$4),MATCH(DATE($AV$1,MONTH($B$54),Q$3),'Сводный годовой график'!$C$10:$AR$10)))</f>
        <v>4</v>
      </c>
      <c r="R56" s="92">
        <f ca="1">IF(AND(INDEX('Сводный годовой график'!$C$1:$AR$4,MATCH($C$56,'Сводный годовой график'!$B$1:$B$4),MATCH(DATE($AV$1,MONTH($B$54),R$3),'Сводный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график'!$B$1:$B$4),MATCH(DATE($AV$1,MONTH($B$54),R$3),'Сводный годовой график'!$C$10:$AR$10)))</f>
        <v>8</v>
      </c>
      <c r="S56" s="92">
        <f ca="1">IF(AND(INDEX('Сводный годовой график'!$C$1:$AR$4,MATCH($C$56,'Сводный годовой график'!$B$1:$B$4),MATCH(DATE($AV$1,MONTH($B$54),S$3),'Сводный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график'!$B$1:$B$4),MATCH(DATE($AV$1,MONTH($B$54),S$3),'Сводный годовой график'!$C$10:$AR$10)))</f>
        <v>12</v>
      </c>
      <c r="T56" s="92">
        <f ca="1">IF(AND(INDEX('Сводный годовой график'!$C$1:$AR$4,MATCH($C$56,'Сводный годовой график'!$B$1:$B$4),MATCH(DATE($AV$1,MONTH($B$54),T$3),'Сводный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график'!$B$1:$B$4),MATCH(DATE($AV$1,MONTH($B$54),T$3),'Сводный годовой график'!$C$10:$AR$10)))</f>
        <v>0</v>
      </c>
      <c r="U56" s="92">
        <f ca="1">IF(AND(INDEX('Сводный годовой график'!$C$1:$AR$4,MATCH($C$56,'Сводный годовой график'!$B$1:$B$4),MATCH(DATE($AV$1,MONTH($B$54),U$3),'Сводный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график'!$B$1:$B$4),MATCH(DATE($AV$1,MONTH($B$54),U$3),'Сводный годовой график'!$C$10:$AR$10)))</f>
        <v>0</v>
      </c>
      <c r="V56" s="92">
        <f ca="1">IF(AND(INDEX('Сводный годовой график'!$C$1:$AR$4,MATCH($C$56,'Сводный годовой график'!$B$1:$B$4),MATCH(DATE($AV$1,MONTH($B$54),V$3),'Сводный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график'!$B$1:$B$4),MATCH(DATE($AV$1,MONTH($B$54),V$3),'Сводный годовой график'!$C$10:$AR$10)))</f>
        <v>4</v>
      </c>
      <c r="W56" s="92">
        <f ca="1">IF(AND(INDEX('Сводный годовой график'!$C$1:$AR$4,MATCH($C$56,'Сводный годовой график'!$B$1:$B$4),MATCH(DATE($AV$1,MONTH($B$54),W$3),'Сводный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график'!$B$1:$B$4),MATCH(DATE($AV$1,MONTH($B$54),W$3),'Сводный годовой график'!$C$10:$AR$10)))</f>
        <v>8</v>
      </c>
      <c r="X56" s="92">
        <f ca="1">IF(AND(INDEX('Сводный годовой график'!$C$1:$AR$4,MATCH($C$56,'Сводный годовой график'!$B$1:$B$4),MATCH(DATE($AV$1,MONTH($B$54),X$3),'Сводный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график'!$B$1:$B$4),MATCH(DATE($AV$1,MONTH($B$54),X$3),'Сводный годовой график'!$C$10:$AR$10)))</f>
        <v>12</v>
      </c>
      <c r="Y56" s="92">
        <f ca="1">IF(AND(INDEX('Сводный годовой график'!$C$1:$AR$4,MATCH($C$56,'Сводный годовой график'!$B$1:$B$4),MATCH(DATE($AV$1,MONTH($B$54),Y$3),'Сводный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график'!$B$1:$B$4),MATCH(DATE($AV$1,MONTH($B$54),Y$3),'Сводный годовой график'!$C$10:$AR$10)))</f>
        <v>4</v>
      </c>
      <c r="Z56" s="92">
        <f ca="1">IF(AND(INDEX('Сводный годовой график'!$C$1:$AR$4,MATCH($C$56,'Сводный годовой график'!$B$1:$B$4),MATCH(DATE($AV$1,MONTH($B$54),Z$3),'Сводный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график'!$B$1:$B$4),MATCH(DATE($AV$1,MONTH($B$54),Z$3),'Сводный годовой график'!$C$10:$AR$10)))</f>
        <v>8</v>
      </c>
      <c r="AA56" s="92">
        <f ca="1">IF(AND(INDEX('Сводный годовой график'!$C$1:$AR$4,MATCH($C$56,'Сводный годовой график'!$B$1:$B$4),MATCH(DATE($AV$1,MONTH($B$54),AA$3),'Сводный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график'!$B$1:$B$4),MATCH(DATE($AV$1,MONTH($B$54),AA$3),'Сводный годовой график'!$C$10:$AR$10)))</f>
        <v>12</v>
      </c>
      <c r="AB56" s="92">
        <f ca="1">IF(AND(INDEX('Сводный годовой график'!$C$1:$AR$4,MATCH($C$56,'Сводный годовой график'!$B$1:$B$4),MATCH(DATE($AV$1,MONTH($B$54),AB$3),'Сводный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график'!$B$1:$B$4),MATCH(DATE($AV$1,MONTH($B$54),AB$3),'Сводный годовой график'!$C$10:$AR$10)))</f>
        <v>0</v>
      </c>
      <c r="AC56" s="92">
        <f ca="1">IF(AND(INDEX('Сводный годовой график'!$C$1:$AR$4,MATCH($C$56,'Сводный годовой график'!$B$1:$B$4),MATCH(DATE($AV$1,MONTH($B$54),AC$3),'Сводный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график'!$B$1:$B$4),MATCH(DATE($AV$1,MONTH($B$54),AC$3),'Сводный годовой график'!$C$10:$AR$10)))</f>
        <v>0</v>
      </c>
      <c r="AD56" s="92">
        <f ca="1">IF(AND(INDEX('Сводный годовой график'!$C$1:$AR$4,MATCH($C$56,'Сводный годовой график'!$B$1:$B$4),MATCH(DATE($AV$1,MONTH($B$54),AD$3),'Сводный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график'!$B$1:$B$4),MATCH(DATE($AV$1,MONTH($B$54),AD$3),'Сводный годовой график'!$C$10:$AR$10)))</f>
        <v>4</v>
      </c>
      <c r="AE56" s="92">
        <f ca="1">IF(AND(INDEX('Сводный годовой график'!$C$1:$AR$4,MATCH($C$56,'Сводный годовой график'!$B$1:$B$4),MATCH(DATE($AV$1,MONTH($B$54),AE$3),'Сводный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график'!$B$1:$B$4),MATCH(DATE($AV$1,MONTH($B$54),AE$3),'Сводный годовой график'!$C$10:$AR$10)))</f>
        <v>8</v>
      </c>
      <c r="AF56" s="92">
        <f ca="1">IF(AND(INDEX('Сводный годовой график'!$C$1:$AR$4,MATCH($C$56,'Сводный годовой график'!$B$1:$B$4),MATCH(DATE($AV$1,MONTH($B$54),AF$3),'Сводный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график'!$B$1:$B$4),MATCH(DATE($AV$1,MONTH($B$54),AF$3),'Сводный годовой график'!$C$10:$AR$10)))</f>
        <v>12</v>
      </c>
      <c r="AG56" s="92">
        <f ca="1">IF(AND(INDEX('Сводный годовой график'!$C$1:$AR$4,MATCH($C$56,'Сводный годовой график'!$B$1:$B$4),MATCH(DATE($AV$1,MONTH($B$54),AG$3),'Сводный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график'!$B$1:$B$4),MATCH(DATE($AV$1,MONTH($B$54),AG$3),'Сводный годовой график'!$C$10:$AR$10)))</f>
        <v>4</v>
      </c>
      <c r="AH56" s="92">
        <f ca="1">IF(AND(INDEX('Сводный годовой график'!$C$1:$AR$4,MATCH($C$56,'Сводный годовой график'!$B$1:$B$4),MATCH(DATE($AV$1,MONTH($B$54),AH$3),'Сводный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график'!$B$1:$B$4),MATCH(DATE($AV$1,MONTH($B$54),AH$3),'Сводный годовой график'!$C$10:$AR$10)))</f>
        <v>8</v>
      </c>
      <c r="AI56" s="110"/>
      <c r="AJ56" s="206"/>
      <c r="AK56" s="177">
        <f>$AJ$54-SUM(AY56:CC57)</f>
        <v>151</v>
      </c>
      <c r="AL56" s="177">
        <f t="shared" ref="AL56" ca="1" si="96">SUM(E56:AI57)</f>
        <v>180</v>
      </c>
      <c r="AM56" s="177">
        <f ca="1">SUM(P56)</f>
        <v>12</v>
      </c>
      <c r="AN56" s="198">
        <f t="shared" ref="AN56" ca="1" si="97">-AM56-AK56+AL56</f>
        <v>17</v>
      </c>
      <c r="AO56" s="198">
        <v>0</v>
      </c>
      <c r="AP56" s="198">
        <f ca="1">AN56+AP46-AO56</f>
        <v>41</v>
      </c>
      <c r="AQ56" s="177">
        <v>0</v>
      </c>
      <c r="AR56" s="179">
        <v>1</v>
      </c>
      <c r="CK56" s="59"/>
      <c r="CL56" s="59"/>
      <c r="CM56" s="59"/>
      <c r="CN56" s="59"/>
      <c r="CO56" s="59"/>
      <c r="CP56" s="59"/>
      <c r="CQ56" s="59"/>
      <c r="CR56" s="59"/>
      <c r="CS56" s="59"/>
      <c r="CT56" s="59"/>
      <c r="CU56" s="59"/>
      <c r="CV56" s="59"/>
      <c r="CW56" s="59"/>
      <c r="CX56" s="59"/>
      <c r="CY56" s="59"/>
      <c r="CZ56" s="59"/>
      <c r="DA56" s="59"/>
      <c r="DB56" s="59"/>
      <c r="DC56" s="59"/>
      <c r="DD56" s="59"/>
      <c r="DE56" s="59"/>
      <c r="DF56" s="59"/>
      <c r="DG56" s="59"/>
      <c r="DH56" s="59"/>
      <c r="DI56" s="59"/>
      <c r="DJ56" s="59"/>
      <c r="DK56" s="59"/>
      <c r="DL56" s="59"/>
      <c r="DM56" s="59"/>
      <c r="DN56" s="59"/>
      <c r="DO56" s="59"/>
    </row>
    <row r="57" spans="2:119" ht="16.5" thickBot="1" x14ac:dyDescent="0.3">
      <c r="B57" s="201"/>
      <c r="C57" s="197"/>
      <c r="D57" s="82">
        <v>4</v>
      </c>
      <c r="E57" s="92" t="str">
        <f t="shared" ref="E57:AH57" si="98">IF(INDEX($CK$4:$DO$123,ROW()-3,E$3)=0,"","СП")</f>
        <v/>
      </c>
      <c r="F57" s="92" t="str">
        <f t="shared" si="98"/>
        <v/>
      </c>
      <c r="G57" s="92" t="str">
        <f t="shared" si="98"/>
        <v/>
      </c>
      <c r="H57" s="92" t="str">
        <f t="shared" si="98"/>
        <v/>
      </c>
      <c r="I57" s="92" t="str">
        <f t="shared" si="98"/>
        <v/>
      </c>
      <c r="J57" s="92" t="str">
        <f t="shared" si="98"/>
        <v/>
      </c>
      <c r="K57" s="92" t="str">
        <f t="shared" si="98"/>
        <v>СП</v>
      </c>
      <c r="L57" s="92" t="str">
        <f t="shared" si="98"/>
        <v/>
      </c>
      <c r="M57" s="92" t="str">
        <f t="shared" si="98"/>
        <v/>
      </c>
      <c r="N57" s="92" t="str">
        <f t="shared" si="98"/>
        <v/>
      </c>
      <c r="O57" s="92" t="str">
        <f t="shared" si="98"/>
        <v/>
      </c>
      <c r="P57" s="92" t="str">
        <f t="shared" si="98"/>
        <v/>
      </c>
      <c r="Q57" s="92" t="str">
        <f t="shared" si="98"/>
        <v/>
      </c>
      <c r="R57" s="92" t="str">
        <f t="shared" si="98"/>
        <v/>
      </c>
      <c r="S57" s="92" t="str">
        <f t="shared" si="98"/>
        <v/>
      </c>
      <c r="T57" s="92" t="str">
        <f t="shared" si="98"/>
        <v/>
      </c>
      <c r="U57" s="92" t="str">
        <f t="shared" si="98"/>
        <v/>
      </c>
      <c r="V57" s="92" t="str">
        <f t="shared" si="98"/>
        <v/>
      </c>
      <c r="W57" s="92" t="str">
        <f t="shared" si="98"/>
        <v/>
      </c>
      <c r="X57" s="92" t="str">
        <f t="shared" si="98"/>
        <v/>
      </c>
      <c r="Y57" s="92" t="str">
        <f t="shared" si="98"/>
        <v/>
      </c>
      <c r="Z57" s="92" t="str">
        <f t="shared" si="98"/>
        <v/>
      </c>
      <c r="AA57" s="92" t="str">
        <f t="shared" si="98"/>
        <v/>
      </c>
      <c r="AB57" s="92" t="str">
        <f t="shared" si="98"/>
        <v/>
      </c>
      <c r="AC57" s="92" t="str">
        <f t="shared" si="98"/>
        <v/>
      </c>
      <c r="AD57" s="92" t="str">
        <f t="shared" si="98"/>
        <v/>
      </c>
      <c r="AE57" s="92" t="str">
        <f t="shared" si="98"/>
        <v/>
      </c>
      <c r="AF57" s="92" t="str">
        <f t="shared" si="98"/>
        <v/>
      </c>
      <c r="AG57" s="92" t="str">
        <f t="shared" si="98"/>
        <v/>
      </c>
      <c r="AH57" s="92" t="str">
        <f t="shared" si="98"/>
        <v/>
      </c>
      <c r="AI57" s="110"/>
      <c r="AJ57" s="206"/>
      <c r="AK57" s="177"/>
      <c r="AL57" s="177"/>
      <c r="AM57" s="177"/>
      <c r="AN57" s="198"/>
      <c r="AO57" s="198"/>
      <c r="AP57" s="198"/>
      <c r="AQ57" s="177"/>
      <c r="AR57" s="179"/>
      <c r="CK57" s="58">
        <f>IF(DAY(INDEX('Сводный годовой график'!$BA$4:$BL$14,$C56,MONTH($B$54)))=E$3,1,0)</f>
        <v>0</v>
      </c>
      <c r="CL57" s="58">
        <f>IF(DAY(INDEX('Сводный годовой график'!$BA$4:$BL$14,$C56,MONTH($B$54)))=F$3,1,0)</f>
        <v>0</v>
      </c>
      <c r="CM57" s="58">
        <f>IF(DAY(INDEX('Сводный годовой график'!$BA$4:$BL$14,$C56,MONTH($B$54)))=G$3,1,0)</f>
        <v>0</v>
      </c>
      <c r="CN57" s="58">
        <f>IF(DAY(INDEX('Сводный годовой график'!$BA$4:$BL$14,$C56,MONTH($B$54)))=H$3,1,0)</f>
        <v>0</v>
      </c>
      <c r="CO57" s="58">
        <f>IF(DAY(INDEX('Сводный годовой график'!$BA$4:$BL$14,$C56,MONTH($B$54)))=I$3,1,0)</f>
        <v>0</v>
      </c>
      <c r="CP57" s="58">
        <f>IF(DAY(INDEX('Сводный годовой график'!$BA$4:$BL$14,$C56,MONTH($B$54)))=J$3,1,0)</f>
        <v>0</v>
      </c>
      <c r="CQ57" s="58">
        <f>IF(DAY(INDEX('Сводный годовой график'!$BA$4:$BL$14,$C56,MONTH($B$54)))=K$3,1,0)</f>
        <v>1</v>
      </c>
      <c r="CR57" s="58">
        <f>IF(DAY(INDEX('Сводный годовой график'!$BA$4:$BL$14,$C56,MONTH($B$54)))=L$3,1,0)</f>
        <v>0</v>
      </c>
      <c r="CS57" s="58">
        <f>IF(DAY(INDEX('Сводный годовой график'!$BA$4:$BL$14,$C56,MONTH($B$54)))=M$3,1,0)</f>
        <v>0</v>
      </c>
      <c r="CT57" s="58">
        <f>IF(DAY(INDEX('Сводный годовой график'!$BA$4:$BL$14,$C56,MONTH($B$54)))=N$3,1,0)</f>
        <v>0</v>
      </c>
      <c r="CU57" s="58">
        <f>IF(DAY(INDEX('Сводный годовой график'!$BA$4:$BL$14,$C56,MONTH($B$54)))=O$3,1,0)</f>
        <v>0</v>
      </c>
      <c r="CV57" s="58">
        <f>IF(DAY(INDEX('Сводный годовой график'!$BA$4:$BL$14,$C56,MONTH($B$54)))=P$3,1,0)</f>
        <v>0</v>
      </c>
      <c r="CW57" s="58">
        <f>IF(DAY(INDEX('Сводный годовой график'!$BA$4:$BL$14,$C56,MONTH($B$54)))=Q$3,1,0)</f>
        <v>0</v>
      </c>
      <c r="CX57" s="58">
        <f>IF(DAY(INDEX('Сводный годовой график'!$BA$4:$BL$14,$C56,MONTH($B$54)))=R$3,1,0)</f>
        <v>0</v>
      </c>
      <c r="CY57" s="58">
        <f>IF(DAY(INDEX('Сводный годовой график'!$BA$4:$BL$14,$C56,MONTH($B$54)))=S$3,1,0)</f>
        <v>0</v>
      </c>
      <c r="CZ57" s="58">
        <f>IF(DAY(INDEX('Сводный годовой график'!$BA$4:$BL$14,$C56,MONTH($B$54)))=T$3,1,0)</f>
        <v>0</v>
      </c>
      <c r="DA57" s="58">
        <f>IF(DAY(INDEX('Сводный годовой график'!$BA$4:$BL$14,$C56,MONTH($B$54)))=U$3,1,0)</f>
        <v>0</v>
      </c>
      <c r="DB57" s="58">
        <f>IF(DAY(INDEX('Сводный годовой график'!$BA$4:$BL$14,$C56,MONTH($B$54)))=V$3,1,0)</f>
        <v>0</v>
      </c>
      <c r="DC57" s="58">
        <f>IF(DAY(INDEX('Сводный годовой график'!$BA$4:$BL$14,$C56,MONTH($B$54)))=W$3,1,0)</f>
        <v>0</v>
      </c>
      <c r="DD57" s="58">
        <f>IF(DAY(INDEX('Сводный годовой график'!$BA$4:$BL$14,$C56,MONTH($B$54)))=X$3,1,0)</f>
        <v>0</v>
      </c>
      <c r="DE57" s="58">
        <f>IF(DAY(INDEX('Сводный годовой график'!$BA$4:$BL$14,$C56,MONTH($B$54)))=Y$3,1,0)</f>
        <v>0</v>
      </c>
      <c r="DF57" s="58">
        <f>IF(DAY(INDEX('Сводный годовой график'!$BA$4:$BL$14,$C56,MONTH($B$54)))=Z$3,1,0)</f>
        <v>0</v>
      </c>
      <c r="DG57" s="58">
        <f>IF(DAY(INDEX('Сводный годовой график'!$BA$4:$BL$14,$C56,MONTH($B$54)))=AA$3,1,0)</f>
        <v>0</v>
      </c>
      <c r="DH57" s="58">
        <f>IF(DAY(INDEX('Сводный годовой график'!$BA$4:$BL$14,$C56,MONTH($B$54)))=AB$3,1,0)</f>
        <v>0</v>
      </c>
      <c r="DI57" s="58">
        <f>IF(DAY(INDEX('Сводный годовой график'!$BA$4:$BL$14,$C56,MONTH($B$54)))=AC$3,1,0)</f>
        <v>0</v>
      </c>
      <c r="DJ57" s="58">
        <f>IF(DAY(INDEX('Сводный годовой график'!$BA$4:$BL$14,$C56,MONTH($B$54)))=AD$3,1,0)</f>
        <v>0</v>
      </c>
      <c r="DK57" s="58">
        <f>IF(DAY(INDEX('Сводный годовой график'!$BA$4:$BL$14,$C56,MONTH($B$54)))=AE$3,1,0)</f>
        <v>0</v>
      </c>
      <c r="DL57" s="58">
        <f>IF(DAY(INDEX('Сводный годовой график'!$BA$4:$BL$14,$C56,MONTH($B$54)))=AF$3,1,0)</f>
        <v>0</v>
      </c>
      <c r="DM57" s="58">
        <f>IF(DAY(INDEX('Сводный годовой график'!$BA$4:$BL$14,$C56,MONTH($B$54)))=AG$3,1,0)</f>
        <v>0</v>
      </c>
      <c r="DN57" s="58">
        <f>IF(DAY(INDEX('Сводный годовой график'!$BA$4:$BL$14,$C56,MONTH($B$54)))=AH$3,1,0)</f>
        <v>0</v>
      </c>
      <c r="DO57" s="58">
        <f>IF(DAY(INDEX('Сводный годовой график'!$BA$4:$BL$14,$C56,MONTH($B$54)))=AI$3,1,0)</f>
        <v>0</v>
      </c>
    </row>
    <row r="58" spans="2:119" ht="16.5" thickBot="1" x14ac:dyDescent="0.3">
      <c r="B58" s="201"/>
      <c r="C58" s="196">
        <v>3</v>
      </c>
      <c r="D58" s="81">
        <v>5</v>
      </c>
      <c r="E58" s="92">
        <f ca="1">IF(AND(INDEX('Сводный годовой график'!$C$1:$AR$4,MATCH($C$58,'Сводный годовой график'!$B$1:$B$4),MATCH(DATE($AV$1,MONTH($B$54),E$3),'Сводный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график'!$B$1:$B$4),MATCH(DATE($AV$1,MONTH($B$54),E$3),'Сводный годовой график'!$C$10:$AR$10)))</f>
        <v>4</v>
      </c>
      <c r="F58" s="92">
        <f ca="1">IF(AND(INDEX('Сводный годовой график'!$C$1:$AR$4,MATCH($C$58,'Сводный годовой график'!$B$1:$B$4),MATCH(DATE($AV$1,MONTH($B$54),F$3),'Сводный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график'!$B$1:$B$4),MATCH(DATE($AV$1,MONTH($B$54),F$3),'Сводный годовой график'!$C$10:$AR$10)))</f>
        <v>8</v>
      </c>
      <c r="G58" s="92">
        <f ca="1">IF(AND(INDEX('Сводный годовой график'!$C$1:$AR$4,MATCH($C$58,'Сводный годовой график'!$B$1:$B$4),MATCH(DATE($AV$1,MONTH($B$54),G$3),'Сводный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график'!$B$1:$B$4),MATCH(DATE($AV$1,MONTH($B$54),G$3),'Сводный годовой график'!$C$10:$AR$10)))</f>
        <v>12</v>
      </c>
      <c r="H58" s="92">
        <f ca="1">IF(AND(INDEX('Сводный годовой график'!$C$1:$AR$4,MATCH($C$58,'Сводный годовой график'!$B$1:$B$4),MATCH(DATE($AV$1,MONTH($B$54),H$3),'Сводный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график'!$B$1:$B$4),MATCH(DATE($AV$1,MONTH($B$54),H$3),'Сводный годовой график'!$C$10:$AR$10)))</f>
        <v>0</v>
      </c>
      <c r="I58" s="92">
        <f ca="1">IF(AND(INDEX('Сводный годовой график'!$C$1:$AR$4,MATCH($C$58,'Сводный годовой график'!$B$1:$B$4),MATCH(DATE($AV$1,MONTH($B$54),I$3),'Сводный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график'!$B$1:$B$4),MATCH(DATE($AV$1,MONTH($B$54),I$3),'Сводный годовой график'!$C$10:$AR$10)))</f>
        <v>0</v>
      </c>
      <c r="J58" s="92">
        <f ca="1">IF(AND(INDEX('Сводный годовой график'!$C$1:$AR$4,MATCH($C$58,'Сводный годовой график'!$B$1:$B$4),MATCH(DATE($AV$1,MONTH($B$54),J$3),'Сводный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график'!$B$1:$B$4),MATCH(DATE($AV$1,MONTH($B$54),J$3),'Сводный годовой график'!$C$10:$AR$10)))</f>
        <v>4</v>
      </c>
      <c r="K58" s="92">
        <f ca="1">IF(AND(INDEX('Сводный годовой график'!$C$1:$AR$4,MATCH($C$58,'Сводный годовой график'!$B$1:$B$4),MATCH(DATE($AV$1,MONTH($B$54),K$3),'Сводный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график'!$B$1:$B$4),MATCH(DATE($AV$1,MONTH($B$54),K$3),'Сводный годовой график'!$C$10:$AR$10)))</f>
        <v>8</v>
      </c>
      <c r="L58" s="92">
        <f ca="1">IF(AND(INDEX('Сводный годовой график'!$C$1:$AR$4,MATCH($C$58,'Сводный годовой график'!$B$1:$B$4),MATCH(DATE($AV$1,MONTH($B$54),L$3),'Сводный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график'!$B$1:$B$4),MATCH(DATE($AV$1,MONTH($B$54),L$3),'Сводный годовой график'!$C$10:$AR$10)))</f>
        <v>12</v>
      </c>
      <c r="M58" s="92">
        <f ca="1">IF(AND(INDEX('Сводный годовой график'!$C$1:$AR$4,MATCH($C$58,'Сводный годовой график'!$B$1:$B$4),MATCH(DATE($AV$1,MONTH($B$54),M$3),'Сводный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график'!$B$1:$B$4),MATCH(DATE($AV$1,MONTH($B$54),M$3),'Сводный годовой график'!$C$10:$AR$10)))</f>
        <v>4</v>
      </c>
      <c r="N58" s="92">
        <f ca="1">IF(AND(INDEX('Сводный годовой график'!$C$1:$AR$4,MATCH($C$58,'Сводный годовой график'!$B$1:$B$4),MATCH(DATE($AV$1,MONTH($B$54),N$3),'Сводный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график'!$B$1:$B$4),MATCH(DATE($AV$1,MONTH($B$54),N$3),'Сводный годовой график'!$C$10:$AR$10)))</f>
        <v>8</v>
      </c>
      <c r="O58" s="92">
        <f ca="1">IF(AND(INDEX('Сводный годовой график'!$C$1:$AR$4,MATCH($C$58,'Сводный годовой график'!$B$1:$B$4),MATCH(DATE($AV$1,MONTH($B$54),O$3),'Сводный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график'!$B$1:$B$4),MATCH(DATE($AV$1,MONTH($B$54),O$3),'Сводный годовой график'!$C$10:$AR$10)))</f>
        <v>12</v>
      </c>
      <c r="P58" s="92">
        <f ca="1">IF(AND(INDEX('Сводный годовой график'!$C$1:$AR$4,MATCH($C$58,'Сводный годовой график'!$B$1:$B$4),MATCH(DATE($AV$1,MONTH($B$54),P$3),'Сводный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график'!$B$1:$B$4),MATCH(DATE($AV$1,MONTH($B$54),P$3),'Сводный годовой график'!$C$10:$AR$10)))</f>
        <v>0</v>
      </c>
      <c r="Q58" s="92">
        <f ca="1">IF(AND(INDEX('Сводный годовой график'!$C$1:$AR$4,MATCH($C$58,'Сводный годовой график'!$B$1:$B$4),MATCH(DATE($AV$1,MONTH($B$54),Q$3),'Сводный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график'!$B$1:$B$4),MATCH(DATE($AV$1,MONTH($B$54),Q$3),'Сводный годовой график'!$C$10:$AR$10)))</f>
        <v>0</v>
      </c>
      <c r="R58" s="92">
        <f ca="1">IF(AND(INDEX('Сводный годовой график'!$C$1:$AR$4,MATCH($C$58,'Сводный годовой график'!$B$1:$B$4),MATCH(DATE($AV$1,MONTH($B$54),R$3),'Сводный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график'!$B$1:$B$4),MATCH(DATE($AV$1,MONTH($B$54),R$3),'Сводный годовой график'!$C$10:$AR$10)))</f>
        <v>4</v>
      </c>
      <c r="S58" s="92">
        <f ca="1">IF(AND(INDEX('Сводный годовой график'!$C$1:$AR$4,MATCH($C$58,'Сводный годовой график'!$B$1:$B$4),MATCH(DATE($AV$1,MONTH($B$54),S$3),'Сводный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график'!$B$1:$B$4),MATCH(DATE($AV$1,MONTH($B$54),S$3),'Сводный годовой график'!$C$10:$AR$10)))</f>
        <v>8</v>
      </c>
      <c r="T58" s="92">
        <f ca="1">IF(AND(INDEX('Сводный годовой график'!$C$1:$AR$4,MATCH($C$58,'Сводный годовой график'!$B$1:$B$4),MATCH(DATE($AV$1,MONTH($B$54),T$3),'Сводный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график'!$B$1:$B$4),MATCH(DATE($AV$1,MONTH($B$54),T$3),'Сводный годовой график'!$C$10:$AR$10)))</f>
        <v>12</v>
      </c>
      <c r="U58" s="92">
        <f ca="1">IF(AND(INDEX('Сводный годовой график'!$C$1:$AR$4,MATCH($C$58,'Сводный годовой график'!$B$1:$B$4),MATCH(DATE($AV$1,MONTH($B$54),U$3),'Сводный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график'!$B$1:$B$4),MATCH(DATE($AV$1,MONTH($B$54),U$3),'Сводный годовой график'!$C$10:$AR$10)))</f>
        <v>4</v>
      </c>
      <c r="V58" s="92">
        <f ca="1">IF(AND(INDEX('Сводный годовой график'!$C$1:$AR$4,MATCH($C$58,'Сводный годовой график'!$B$1:$B$4),MATCH(DATE($AV$1,MONTH($B$54),V$3),'Сводный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график'!$B$1:$B$4),MATCH(DATE($AV$1,MONTH($B$54),V$3),'Сводный годовой график'!$C$10:$AR$10)))</f>
        <v>8</v>
      </c>
      <c r="W58" s="92">
        <f ca="1">IF(AND(INDEX('Сводный годовой график'!$C$1:$AR$4,MATCH($C$58,'Сводный годовой график'!$B$1:$B$4),MATCH(DATE($AV$1,MONTH($B$54),W$3),'Сводный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график'!$B$1:$B$4),MATCH(DATE($AV$1,MONTH($B$54),W$3),'Сводный годовой график'!$C$10:$AR$10)))</f>
        <v>12</v>
      </c>
      <c r="X58" s="92">
        <f ca="1">IF(AND(INDEX('Сводный годовой график'!$C$1:$AR$4,MATCH($C$58,'Сводный годовой график'!$B$1:$B$4),MATCH(DATE($AV$1,MONTH($B$54),X$3),'Сводный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график'!$B$1:$B$4),MATCH(DATE($AV$1,MONTH($B$54),X$3),'Сводный годовой график'!$C$10:$AR$10)))</f>
        <v>0</v>
      </c>
      <c r="Y58" s="92">
        <f ca="1">IF(AND(INDEX('Сводный годовой график'!$C$1:$AR$4,MATCH($C$58,'Сводный годовой график'!$B$1:$B$4),MATCH(DATE($AV$1,MONTH($B$54),Y$3),'Сводный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график'!$B$1:$B$4),MATCH(DATE($AV$1,MONTH($B$54),Y$3),'Сводный годовой график'!$C$10:$AR$10)))</f>
        <v>0</v>
      </c>
      <c r="Z58" s="92">
        <f ca="1">IF(AND(INDEX('Сводный годовой график'!$C$1:$AR$4,MATCH($C$58,'Сводный годовой график'!$B$1:$B$4),MATCH(DATE($AV$1,MONTH($B$54),Z$3),'Сводный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график'!$B$1:$B$4),MATCH(DATE($AV$1,MONTH($B$54),Z$3),'Сводный годовой график'!$C$10:$AR$10)))</f>
        <v>4</v>
      </c>
      <c r="AA58" s="92">
        <f ca="1">IF(AND(INDEX('Сводный годовой график'!$C$1:$AR$4,MATCH($C$58,'Сводный годовой график'!$B$1:$B$4),MATCH(DATE($AV$1,MONTH($B$54),AA$3),'Сводный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график'!$B$1:$B$4),MATCH(DATE($AV$1,MONTH($B$54),AA$3),'Сводный годовой график'!$C$10:$AR$10)))</f>
        <v>8</v>
      </c>
      <c r="AB58" s="92">
        <f ca="1">IF(AND(INDEX('Сводный годовой график'!$C$1:$AR$4,MATCH($C$58,'Сводный годовой график'!$B$1:$B$4),MATCH(DATE($AV$1,MONTH($B$54),AB$3),'Сводный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график'!$B$1:$B$4),MATCH(DATE($AV$1,MONTH($B$54),AB$3),'Сводный годовой график'!$C$10:$AR$10)))</f>
        <v>12</v>
      </c>
      <c r="AC58" s="92">
        <f ca="1">IF(AND(INDEX('Сводный годовой график'!$C$1:$AR$4,MATCH($C$58,'Сводный годовой график'!$B$1:$B$4),MATCH(DATE($AV$1,MONTH($B$54),AC$3),'Сводный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график'!$B$1:$B$4),MATCH(DATE($AV$1,MONTH($B$54),AC$3),'Сводный годовой график'!$C$10:$AR$10)))</f>
        <v>4</v>
      </c>
      <c r="AD58" s="92">
        <f ca="1">IF(AND(INDEX('Сводный годовой график'!$C$1:$AR$4,MATCH($C$58,'Сводный годовой график'!$B$1:$B$4),MATCH(DATE($AV$1,MONTH($B$54),AD$3),'Сводный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график'!$B$1:$B$4),MATCH(DATE($AV$1,MONTH($B$54),AD$3),'Сводный годовой график'!$C$10:$AR$10)))</f>
        <v>8</v>
      </c>
      <c r="AE58" s="92">
        <f ca="1">IF(AND(INDEX('Сводный годовой график'!$C$1:$AR$4,MATCH($C$58,'Сводный годовой график'!$B$1:$B$4),MATCH(DATE($AV$1,MONTH($B$54),AE$3),'Сводный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график'!$B$1:$B$4),MATCH(DATE($AV$1,MONTH($B$54),AE$3),'Сводный годовой график'!$C$10:$AR$10)))</f>
        <v>12</v>
      </c>
      <c r="AF58" s="92">
        <f ca="1">IF(AND(INDEX('Сводный годовой график'!$C$1:$AR$4,MATCH($C$58,'Сводный годовой график'!$B$1:$B$4),MATCH(DATE($AV$1,MONTH($B$54),AF$3),'Сводный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график'!$B$1:$B$4),MATCH(DATE($AV$1,MONTH($B$54),AF$3),'Сводный годовой график'!$C$10:$AR$10)))</f>
        <v>0</v>
      </c>
      <c r="AG58" s="92">
        <f ca="1">IF(AND(INDEX('Сводный годовой график'!$C$1:$AR$4,MATCH($C$58,'Сводный годовой график'!$B$1:$B$4),MATCH(DATE($AV$1,MONTH($B$54),AG$3),'Сводный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график'!$B$1:$B$4),MATCH(DATE($AV$1,MONTH($B$54),AG$3),'Сводный годовой график'!$C$10:$AR$10)))</f>
        <v>0</v>
      </c>
      <c r="AH58" s="92">
        <f ca="1">IF(AND(INDEX('Сводный годовой график'!$C$1:$AR$4,MATCH($C$58,'Сводный годовой график'!$B$1:$B$4),MATCH(DATE($AV$1,MONTH($B$54),AH$3),'Сводный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график'!$B$1:$B$4),MATCH(DATE($AV$1,MONTH($B$54),AH$3),'Сводный годовой график'!$C$10:$AR$10)))</f>
        <v>4</v>
      </c>
      <c r="AI58" s="110"/>
      <c r="AJ58" s="206"/>
      <c r="AK58" s="177">
        <f>$AJ$54-SUM(AY58:CC59)</f>
        <v>151</v>
      </c>
      <c r="AL58" s="177">
        <f t="shared" ref="AL58" ca="1" si="99">SUM(E58:AI59)</f>
        <v>172</v>
      </c>
      <c r="AM58" s="177">
        <f ca="1">SUM(P58)</f>
        <v>0</v>
      </c>
      <c r="AN58" s="198">
        <f t="shared" ref="AN58" ca="1" si="100">-AM58-AK58+AL58</f>
        <v>21</v>
      </c>
      <c r="AO58" s="198">
        <v>0</v>
      </c>
      <c r="AP58" s="198">
        <f ca="1">AN58+AP48-AO58</f>
        <v>67</v>
      </c>
      <c r="AQ58" s="177">
        <v>0</v>
      </c>
      <c r="AR58" s="179">
        <v>1</v>
      </c>
      <c r="CK58" s="59"/>
      <c r="CL58" s="59"/>
      <c r="CM58" s="59"/>
      <c r="CN58" s="59"/>
      <c r="CO58" s="59"/>
      <c r="CP58" s="59"/>
      <c r="CQ58" s="59"/>
      <c r="CR58" s="59"/>
      <c r="CS58" s="59"/>
      <c r="CT58" s="59"/>
      <c r="CU58" s="59"/>
      <c r="CV58" s="59"/>
      <c r="CW58" s="59"/>
      <c r="CX58" s="59"/>
      <c r="CY58" s="59"/>
      <c r="CZ58" s="59"/>
      <c r="DA58" s="59"/>
      <c r="DB58" s="59"/>
      <c r="DC58" s="59"/>
      <c r="DD58" s="59"/>
      <c r="DE58" s="59"/>
      <c r="DF58" s="59"/>
      <c r="DG58" s="59"/>
      <c r="DH58" s="59"/>
      <c r="DI58" s="59"/>
      <c r="DJ58" s="59"/>
      <c r="DK58" s="59"/>
      <c r="DL58" s="59"/>
      <c r="DM58" s="59"/>
      <c r="DN58" s="59"/>
      <c r="DO58" s="59"/>
    </row>
    <row r="59" spans="2:119" ht="16.5" thickBot="1" x14ac:dyDescent="0.3">
      <c r="B59" s="201"/>
      <c r="C59" s="197"/>
      <c r="D59" s="82">
        <v>6</v>
      </c>
      <c r="E59" s="92" t="str">
        <f t="shared" ref="E59:AH59" si="101">IF(INDEX($CK$4:$DO$123,ROW()-3,E$3)=0,"","СП")</f>
        <v/>
      </c>
      <c r="F59" s="92" t="str">
        <f t="shared" si="101"/>
        <v/>
      </c>
      <c r="G59" s="92" t="str">
        <f t="shared" si="101"/>
        <v/>
      </c>
      <c r="H59" s="92" t="str">
        <f t="shared" si="101"/>
        <v/>
      </c>
      <c r="I59" s="92" t="str">
        <f t="shared" si="101"/>
        <v/>
      </c>
      <c r="J59" s="92" t="str">
        <f t="shared" si="101"/>
        <v/>
      </c>
      <c r="K59" s="92" t="str">
        <f t="shared" si="101"/>
        <v/>
      </c>
      <c r="L59" s="92" t="str">
        <f t="shared" si="101"/>
        <v>СП</v>
      </c>
      <c r="M59" s="92" t="str">
        <f t="shared" si="101"/>
        <v/>
      </c>
      <c r="N59" s="92" t="str">
        <f t="shared" si="101"/>
        <v/>
      </c>
      <c r="O59" s="92" t="str">
        <f t="shared" si="101"/>
        <v/>
      </c>
      <c r="P59" s="92" t="str">
        <f t="shared" si="101"/>
        <v/>
      </c>
      <c r="Q59" s="92" t="str">
        <f t="shared" si="101"/>
        <v/>
      </c>
      <c r="R59" s="92" t="str">
        <f t="shared" si="101"/>
        <v/>
      </c>
      <c r="S59" s="92" t="str">
        <f t="shared" si="101"/>
        <v/>
      </c>
      <c r="T59" s="92" t="str">
        <f t="shared" si="101"/>
        <v/>
      </c>
      <c r="U59" s="92" t="str">
        <f t="shared" si="101"/>
        <v/>
      </c>
      <c r="V59" s="92" t="str">
        <f t="shared" si="101"/>
        <v/>
      </c>
      <c r="W59" s="92" t="str">
        <f t="shared" si="101"/>
        <v/>
      </c>
      <c r="X59" s="92" t="str">
        <f t="shared" si="101"/>
        <v/>
      </c>
      <c r="Y59" s="92" t="str">
        <f t="shared" si="101"/>
        <v/>
      </c>
      <c r="Z59" s="92" t="str">
        <f t="shared" si="101"/>
        <v/>
      </c>
      <c r="AA59" s="92" t="str">
        <f t="shared" si="101"/>
        <v/>
      </c>
      <c r="AB59" s="92" t="str">
        <f t="shared" si="101"/>
        <v/>
      </c>
      <c r="AC59" s="92" t="str">
        <f t="shared" si="101"/>
        <v/>
      </c>
      <c r="AD59" s="92" t="str">
        <f t="shared" si="101"/>
        <v/>
      </c>
      <c r="AE59" s="92" t="str">
        <f t="shared" si="101"/>
        <v/>
      </c>
      <c r="AF59" s="92" t="str">
        <f t="shared" si="101"/>
        <v/>
      </c>
      <c r="AG59" s="92" t="str">
        <f t="shared" si="101"/>
        <v/>
      </c>
      <c r="AH59" s="92" t="str">
        <f t="shared" si="101"/>
        <v/>
      </c>
      <c r="AI59" s="110"/>
      <c r="AJ59" s="206"/>
      <c r="AK59" s="177"/>
      <c r="AL59" s="177"/>
      <c r="AM59" s="177"/>
      <c r="AN59" s="198"/>
      <c r="AO59" s="198"/>
      <c r="AP59" s="198"/>
      <c r="AQ59" s="177"/>
      <c r="AR59" s="179"/>
      <c r="CK59" s="58">
        <f>IF(DAY(INDEX('Сводный годовой график'!$BA$4:$BL$14,$C58,MONTH($B$54)))=E$3,1,0)</f>
        <v>0</v>
      </c>
      <c r="CL59" s="58">
        <f>IF(DAY(INDEX('Сводный годовой график'!$BA$4:$BL$14,$C58,MONTH($B$54)))=F$3,1,0)</f>
        <v>0</v>
      </c>
      <c r="CM59" s="58">
        <f>IF(DAY(INDEX('Сводный годовой график'!$BA$4:$BL$14,$C58,MONTH($B$54)))=G$3,1,0)</f>
        <v>0</v>
      </c>
      <c r="CN59" s="58">
        <f>IF(DAY(INDEX('Сводный годовой график'!$BA$4:$BL$14,$C58,MONTH($B$54)))=H$3,1,0)</f>
        <v>0</v>
      </c>
      <c r="CO59" s="58">
        <f>IF(DAY(INDEX('Сводный годовой график'!$BA$4:$BL$14,$C58,MONTH($B$54)))=I$3,1,0)</f>
        <v>0</v>
      </c>
      <c r="CP59" s="58">
        <f>IF(DAY(INDEX('Сводный годовой график'!$BA$4:$BL$14,$C58,MONTH($B$54)))=J$3,1,0)</f>
        <v>0</v>
      </c>
      <c r="CQ59" s="58">
        <f>IF(DAY(INDEX('Сводный годовой график'!$BA$4:$BL$14,$C58,MONTH($B$54)))=K$3,1,0)</f>
        <v>0</v>
      </c>
      <c r="CR59" s="58">
        <f>IF(DAY(INDEX('Сводный годовой график'!$BA$4:$BL$14,$C58,MONTH($B$54)))=L$3,1,0)</f>
        <v>1</v>
      </c>
      <c r="CS59" s="58">
        <f>IF(DAY(INDEX('Сводный годовой график'!$BA$4:$BL$14,$C58,MONTH($B$54)))=M$3,1,0)</f>
        <v>0</v>
      </c>
      <c r="CT59" s="58">
        <f>IF(DAY(INDEX('Сводный годовой график'!$BA$4:$BL$14,$C58,MONTH($B$54)))=N$3,1,0)</f>
        <v>0</v>
      </c>
      <c r="CU59" s="58">
        <f>IF(DAY(INDEX('Сводный годовой график'!$BA$4:$BL$14,$C58,MONTH($B$54)))=O$3,1,0)</f>
        <v>0</v>
      </c>
      <c r="CV59" s="58">
        <f>IF(DAY(INDEX('Сводный годовой график'!$BA$4:$BL$14,$C58,MONTH($B$54)))=P$3,1,0)</f>
        <v>0</v>
      </c>
      <c r="CW59" s="58">
        <f>IF(DAY(INDEX('Сводный годовой график'!$BA$4:$BL$14,$C58,MONTH($B$54)))=Q$3,1,0)</f>
        <v>0</v>
      </c>
      <c r="CX59" s="58">
        <f>IF(DAY(INDEX('Сводный годовой график'!$BA$4:$BL$14,$C58,MONTH($B$54)))=R$3,1,0)</f>
        <v>0</v>
      </c>
      <c r="CY59" s="58">
        <f>IF(DAY(INDEX('Сводный годовой график'!$BA$4:$BL$14,$C58,MONTH($B$54)))=S$3,1,0)</f>
        <v>0</v>
      </c>
      <c r="CZ59" s="58">
        <f>IF(DAY(INDEX('Сводный годовой график'!$BA$4:$BL$14,$C58,MONTH($B$54)))=T$3,1,0)</f>
        <v>0</v>
      </c>
      <c r="DA59" s="58">
        <f>IF(DAY(INDEX('Сводный годовой график'!$BA$4:$BL$14,$C58,MONTH($B$54)))=U$3,1,0)</f>
        <v>0</v>
      </c>
      <c r="DB59" s="58">
        <f>IF(DAY(INDEX('Сводный годовой график'!$BA$4:$BL$14,$C58,MONTH($B$54)))=V$3,1,0)</f>
        <v>0</v>
      </c>
      <c r="DC59" s="58">
        <f>IF(DAY(INDEX('Сводный годовой график'!$BA$4:$BL$14,$C58,MONTH($B$54)))=W$3,1,0)</f>
        <v>0</v>
      </c>
      <c r="DD59" s="58">
        <f>IF(DAY(INDEX('Сводный годовой график'!$BA$4:$BL$14,$C58,MONTH($B$54)))=X$3,1,0)</f>
        <v>0</v>
      </c>
      <c r="DE59" s="58">
        <f>IF(DAY(INDEX('Сводный годовой график'!$BA$4:$BL$14,$C58,MONTH($B$54)))=Y$3,1,0)</f>
        <v>0</v>
      </c>
      <c r="DF59" s="58">
        <f>IF(DAY(INDEX('Сводный годовой график'!$BA$4:$BL$14,$C58,MONTH($B$54)))=Z$3,1,0)</f>
        <v>0</v>
      </c>
      <c r="DG59" s="58">
        <f>IF(DAY(INDEX('Сводный годовой график'!$BA$4:$BL$14,$C58,MONTH($B$54)))=AA$3,1,0)</f>
        <v>0</v>
      </c>
      <c r="DH59" s="58">
        <f>IF(DAY(INDEX('Сводный годовой график'!$BA$4:$BL$14,$C58,MONTH($B$54)))=AB$3,1,0)</f>
        <v>0</v>
      </c>
      <c r="DI59" s="58">
        <f>IF(DAY(INDEX('Сводный годовой график'!$BA$4:$BL$14,$C58,MONTH($B$54)))=AC$3,1,0)</f>
        <v>0</v>
      </c>
      <c r="DJ59" s="58">
        <f>IF(DAY(INDEX('Сводный годовой график'!$BA$4:$BL$14,$C58,MONTH($B$54)))=AD$3,1,0)</f>
        <v>0</v>
      </c>
      <c r="DK59" s="58">
        <f>IF(DAY(INDEX('Сводный годовой график'!$BA$4:$BL$14,$C58,MONTH($B$54)))=AE$3,1,0)</f>
        <v>0</v>
      </c>
      <c r="DL59" s="58">
        <f>IF(DAY(INDEX('Сводный годовой график'!$BA$4:$BL$14,$C58,MONTH($B$54)))=AF$3,1,0)</f>
        <v>0</v>
      </c>
      <c r="DM59" s="58">
        <f>IF(DAY(INDEX('Сводный годовой график'!$BA$4:$BL$14,$C58,MONTH($B$54)))=AG$3,1,0)</f>
        <v>0</v>
      </c>
      <c r="DN59" s="58">
        <f>IF(DAY(INDEX('Сводный годовой график'!$BA$4:$BL$14,$C58,MONTH($B$54)))=AH$3,1,0)</f>
        <v>0</v>
      </c>
      <c r="DO59" s="58">
        <f>IF(DAY(INDEX('Сводный годовой график'!$BA$4:$BL$14,$C58,MONTH($B$54)))=AI$3,1,0)</f>
        <v>0</v>
      </c>
    </row>
    <row r="60" spans="2:119" ht="16.5" thickBot="1" x14ac:dyDescent="0.3">
      <c r="B60" s="201"/>
      <c r="C60" s="196">
        <v>4</v>
      </c>
      <c r="D60" s="81">
        <v>7</v>
      </c>
      <c r="E60" s="92">
        <f ca="1">IF(AND(INDEX('Сводный годовой график'!$C$1:$AR$4,MATCH($C$60,'Сводный годовой график'!$B$1:$B$4),MATCH(DATE($AV$1,MONTH($B$54),E$3),'Сводный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график'!$B$1:$B$4),MATCH(DATE($AV$1,MONTH($B$54),E$3),'Сводный годовой график'!$C$10:$AR$10)))</f>
        <v>8</v>
      </c>
      <c r="F60" s="92">
        <f ca="1">IF(AND(INDEX('Сводный годовой график'!$C$1:$AR$4,MATCH($C$60,'Сводный годовой график'!$B$1:$B$4),MATCH(DATE($AV$1,MONTH($B$54),F$3),'Сводный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график'!$B$1:$B$4),MATCH(DATE($AV$1,MONTH($B$54),F$3),'Сводный годовой график'!$C$10:$AR$10)))</f>
        <v>12</v>
      </c>
      <c r="G60" s="92">
        <f ca="1">IF(AND(INDEX('Сводный годовой график'!$C$1:$AR$4,MATCH($C$60,'Сводный годовой график'!$B$1:$B$4),MATCH(DATE($AV$1,MONTH($B$54),G$3),'Сводный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график'!$B$1:$B$4),MATCH(DATE($AV$1,MONTH($B$54),G$3),'Сводный годовой график'!$C$10:$AR$10)))</f>
        <v>4</v>
      </c>
      <c r="H60" s="92">
        <f ca="1">IF(AND(INDEX('Сводный годовой график'!$C$1:$AR$4,MATCH($C$60,'Сводный годовой график'!$B$1:$B$4),MATCH(DATE($AV$1,MONTH($B$54),H$3),'Сводный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график'!$B$1:$B$4),MATCH(DATE($AV$1,MONTH($B$54),H$3),'Сводный годовой график'!$C$10:$AR$10)))</f>
        <v>8</v>
      </c>
      <c r="I60" s="92">
        <f ca="1">IF(AND(INDEX('Сводный годовой график'!$C$1:$AR$4,MATCH($C$60,'Сводный годовой график'!$B$1:$B$4),MATCH(DATE($AV$1,MONTH($B$54),I$3),'Сводный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график'!$B$1:$B$4),MATCH(DATE($AV$1,MONTH($B$54),I$3),'Сводный годовой график'!$C$10:$AR$10)))</f>
        <v>12</v>
      </c>
      <c r="J60" s="92">
        <f ca="1">IF(AND(INDEX('Сводный годовой график'!$C$1:$AR$4,MATCH($C$60,'Сводный годовой график'!$B$1:$B$4),MATCH(DATE($AV$1,MONTH($B$54),J$3),'Сводный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график'!$B$1:$B$4),MATCH(DATE($AV$1,MONTH($B$54),J$3),'Сводный годовой график'!$C$10:$AR$10)))</f>
        <v>0</v>
      </c>
      <c r="K60" s="92">
        <f ca="1">IF(AND(INDEX('Сводный годовой график'!$C$1:$AR$4,MATCH($C$60,'Сводный годовой график'!$B$1:$B$4),MATCH(DATE($AV$1,MONTH($B$54),K$3),'Сводный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график'!$B$1:$B$4),MATCH(DATE($AV$1,MONTH($B$54),K$3),'Сводный годовой график'!$C$10:$AR$10)))</f>
        <v>0</v>
      </c>
      <c r="L60" s="92">
        <f ca="1">IF(AND(INDEX('Сводный годовой график'!$C$1:$AR$4,MATCH($C$60,'Сводный годовой график'!$B$1:$B$4),MATCH(DATE($AV$1,MONTH($B$54),L$3),'Сводный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график'!$B$1:$B$4),MATCH(DATE($AV$1,MONTH($B$54),L$3),'Сводный годовой график'!$C$10:$AR$10)))</f>
        <v>4</v>
      </c>
      <c r="M60" s="92">
        <f ca="1">IF(AND(INDEX('Сводный годовой график'!$C$1:$AR$4,MATCH($C$60,'Сводный годовой график'!$B$1:$B$4),MATCH(DATE($AV$1,MONTH($B$54),M$3),'Сводный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график'!$B$1:$B$4),MATCH(DATE($AV$1,MONTH($B$54),M$3),'Сводный годовой график'!$C$10:$AR$10)))</f>
        <v>8</v>
      </c>
      <c r="N60" s="92">
        <f ca="1">IF(AND(INDEX('Сводный годовой график'!$C$1:$AR$4,MATCH($C$60,'Сводный годовой график'!$B$1:$B$4),MATCH(DATE($AV$1,MONTH($B$54),N$3),'Сводный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график'!$B$1:$B$4),MATCH(DATE($AV$1,MONTH($B$54),N$3),'Сводный годовой график'!$C$10:$AR$10)))</f>
        <v>12</v>
      </c>
      <c r="O60" s="92">
        <f ca="1">IF(AND(INDEX('Сводный годовой график'!$C$1:$AR$4,MATCH($C$60,'Сводный годовой график'!$B$1:$B$4),MATCH(DATE($AV$1,MONTH($B$54),O$3),'Сводный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график'!$B$1:$B$4),MATCH(DATE($AV$1,MONTH($B$54),O$3),'Сводный годовой график'!$C$10:$AR$10)))</f>
        <v>4</v>
      </c>
      <c r="P60" s="92">
        <f ca="1">IF(AND(INDEX('Сводный годовой график'!$C$1:$AR$4,MATCH($C$60,'Сводный годовой график'!$B$1:$B$4),MATCH(DATE($AV$1,MONTH($B$54),P$3),'Сводный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график'!$B$1:$B$4),MATCH(DATE($AV$1,MONTH($B$54),P$3),'Сводный годовой график'!$C$10:$AR$10)))</f>
        <v>8</v>
      </c>
      <c r="Q60" s="92">
        <f ca="1">IF(AND(INDEX('Сводный годовой график'!$C$1:$AR$4,MATCH($C$60,'Сводный годовой график'!$B$1:$B$4),MATCH(DATE($AV$1,MONTH($B$54),Q$3),'Сводный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график'!$B$1:$B$4),MATCH(DATE($AV$1,MONTH($B$54),Q$3),'Сводный годовой график'!$C$10:$AR$10)))</f>
        <v>12</v>
      </c>
      <c r="R60" s="92">
        <f ca="1">IF(AND(INDEX('Сводный годовой график'!$C$1:$AR$4,MATCH($C$60,'Сводный годовой график'!$B$1:$B$4),MATCH(DATE($AV$1,MONTH($B$54),R$3),'Сводный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график'!$B$1:$B$4),MATCH(DATE($AV$1,MONTH($B$54),R$3),'Сводный годовой график'!$C$10:$AR$10)))</f>
        <v>0</v>
      </c>
      <c r="S60" s="92">
        <f ca="1">IF(AND(INDEX('Сводный годовой график'!$C$1:$AR$4,MATCH($C$60,'Сводный годовой график'!$B$1:$B$4),MATCH(DATE($AV$1,MONTH($B$54),S$3),'Сводный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график'!$B$1:$B$4),MATCH(DATE($AV$1,MONTH($B$54),S$3),'Сводный годовой график'!$C$10:$AR$10)))</f>
        <v>0</v>
      </c>
      <c r="T60" s="92">
        <f ca="1">IF(AND(INDEX('Сводный годовой график'!$C$1:$AR$4,MATCH($C$60,'Сводный годовой график'!$B$1:$B$4),MATCH(DATE($AV$1,MONTH($B$54),T$3),'Сводный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график'!$B$1:$B$4),MATCH(DATE($AV$1,MONTH($B$54),T$3),'Сводный годовой график'!$C$10:$AR$10)))</f>
        <v>4</v>
      </c>
      <c r="U60" s="92">
        <f ca="1">IF(AND(INDEX('Сводный годовой график'!$C$1:$AR$4,MATCH($C$60,'Сводный годовой график'!$B$1:$B$4),MATCH(DATE($AV$1,MONTH($B$54),U$3),'Сводный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график'!$B$1:$B$4),MATCH(DATE($AV$1,MONTH($B$54),U$3),'Сводный годовой график'!$C$10:$AR$10)))</f>
        <v>8</v>
      </c>
      <c r="V60" s="92">
        <f ca="1">IF(AND(INDEX('Сводный годовой график'!$C$1:$AR$4,MATCH($C$60,'Сводный годовой график'!$B$1:$B$4),MATCH(DATE($AV$1,MONTH($B$54),V$3),'Сводный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график'!$B$1:$B$4),MATCH(DATE($AV$1,MONTH($B$54),V$3),'Сводный годовой график'!$C$10:$AR$10)))</f>
        <v>12</v>
      </c>
      <c r="W60" s="92">
        <f ca="1">IF(AND(INDEX('Сводный годовой график'!$C$1:$AR$4,MATCH($C$60,'Сводный годовой график'!$B$1:$B$4),MATCH(DATE($AV$1,MONTH($B$54),W$3),'Сводный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график'!$B$1:$B$4),MATCH(DATE($AV$1,MONTH($B$54),W$3),'Сводный годовой график'!$C$10:$AR$10)))</f>
        <v>4</v>
      </c>
      <c r="X60" s="92">
        <f ca="1">IF(AND(INDEX('Сводный годовой график'!$C$1:$AR$4,MATCH($C$60,'Сводный годовой график'!$B$1:$B$4),MATCH(DATE($AV$1,MONTH($B$54),X$3),'Сводный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график'!$B$1:$B$4),MATCH(DATE($AV$1,MONTH($B$54),X$3),'Сводный годовой график'!$C$10:$AR$10)))</f>
        <v>8</v>
      </c>
      <c r="Y60" s="92">
        <f ca="1">IF(AND(INDEX('Сводный годовой график'!$C$1:$AR$4,MATCH($C$60,'Сводный годовой график'!$B$1:$B$4),MATCH(DATE($AV$1,MONTH($B$54),Y$3),'Сводный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график'!$B$1:$B$4),MATCH(DATE($AV$1,MONTH($B$54),Y$3),'Сводный годовой график'!$C$10:$AR$10)))</f>
        <v>12</v>
      </c>
      <c r="Z60" s="92">
        <f ca="1">IF(AND(INDEX('Сводный годовой график'!$C$1:$AR$4,MATCH($C$60,'Сводный годовой график'!$B$1:$B$4),MATCH(DATE($AV$1,MONTH($B$54),Z$3),'Сводный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график'!$B$1:$B$4),MATCH(DATE($AV$1,MONTH($B$54),Z$3),'Сводный годовой график'!$C$10:$AR$10)))</f>
        <v>0</v>
      </c>
      <c r="AA60" s="92">
        <f ca="1">IF(AND(INDEX('Сводный годовой график'!$C$1:$AR$4,MATCH($C$60,'Сводный годовой график'!$B$1:$B$4),MATCH(DATE($AV$1,MONTH($B$54),AA$3),'Сводный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график'!$B$1:$B$4),MATCH(DATE($AV$1,MONTH($B$54),AA$3),'Сводный годовой график'!$C$10:$AR$10)))</f>
        <v>0</v>
      </c>
      <c r="AB60" s="92">
        <f ca="1">IF(AND(INDEX('Сводный годовой график'!$C$1:$AR$4,MATCH($C$60,'Сводный годовой график'!$B$1:$B$4),MATCH(DATE($AV$1,MONTH($B$54),AB$3),'Сводный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график'!$B$1:$B$4),MATCH(DATE($AV$1,MONTH($B$54),AB$3),'Сводный годовой график'!$C$10:$AR$10)))</f>
        <v>4</v>
      </c>
      <c r="AC60" s="92">
        <f ca="1">IF(AND(INDEX('Сводный годовой график'!$C$1:$AR$4,MATCH($C$60,'Сводный годовой график'!$B$1:$B$4),MATCH(DATE($AV$1,MONTH($B$54),AC$3),'Сводный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график'!$B$1:$B$4),MATCH(DATE($AV$1,MONTH($B$54),AC$3),'Сводный годовой график'!$C$10:$AR$10)))</f>
        <v>8</v>
      </c>
      <c r="AD60" s="92">
        <f ca="1">IF(AND(INDEX('Сводный годовой график'!$C$1:$AR$4,MATCH($C$60,'Сводный годовой график'!$B$1:$B$4),MATCH(DATE($AV$1,MONTH($B$54),AD$3),'Сводный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график'!$B$1:$B$4),MATCH(DATE($AV$1,MONTH($B$54),AD$3),'Сводный годовой график'!$C$10:$AR$10)))</f>
        <v>12</v>
      </c>
      <c r="AE60" s="92">
        <f ca="1">IF(AND(INDEX('Сводный годовой график'!$C$1:$AR$4,MATCH($C$60,'Сводный годовой график'!$B$1:$B$4),MATCH(DATE($AV$1,MONTH($B$54),AE$3),'Сводный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график'!$B$1:$B$4),MATCH(DATE($AV$1,MONTH($B$54),AE$3),'Сводный годовой график'!$C$10:$AR$10)))</f>
        <v>4</v>
      </c>
      <c r="AF60" s="92">
        <f ca="1">IF(AND(INDEX('Сводный годовой график'!$C$1:$AR$4,MATCH($C$60,'Сводный годовой график'!$B$1:$B$4),MATCH(DATE($AV$1,MONTH($B$54),AF$3),'Сводный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график'!$B$1:$B$4),MATCH(DATE($AV$1,MONTH($B$54),AF$3),'Сводный годовой график'!$C$10:$AR$10)))</f>
        <v>8</v>
      </c>
      <c r="AG60" s="92">
        <f ca="1">IF(AND(INDEX('Сводный годовой график'!$C$1:$AR$4,MATCH($C$60,'Сводный годовой график'!$B$1:$B$4),MATCH(DATE($AV$1,MONTH($B$54),AG$3),'Сводный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график'!$B$1:$B$4),MATCH(DATE($AV$1,MONTH($B$54),AG$3),'Сводный годовой график'!$C$10:$AR$10)))</f>
        <v>12</v>
      </c>
      <c r="AH60" s="92">
        <f ca="1">IF(AND(INDEX('Сводный годовой график'!$C$1:$AR$4,MATCH($C$60,'Сводный годовой график'!$B$1:$B$4),MATCH(DATE($AV$1,MONTH($B$54),AH$3),'Сводный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график'!$B$1:$B$4),MATCH(DATE($AV$1,MONTH($B$54),AH$3),'Сводный годовой график'!$C$10:$AR$10)))</f>
        <v>0</v>
      </c>
      <c r="AI60" s="110"/>
      <c r="AJ60" s="206"/>
      <c r="AK60" s="177">
        <f>$AJ$54-SUM(AY60:CC61)</f>
        <v>151</v>
      </c>
      <c r="AL60" s="177">
        <f t="shared" ref="AL60" ca="1" si="102">SUM(E60:AI61)</f>
        <v>188</v>
      </c>
      <c r="AM60" s="177">
        <f ca="1">SUM(P60)</f>
        <v>8</v>
      </c>
      <c r="AN60" s="198">
        <f t="shared" ref="AN60" ca="1" si="103">-AM60-AK60+AL60</f>
        <v>29</v>
      </c>
      <c r="AO60" s="198">
        <v>0</v>
      </c>
      <c r="AP60" s="198">
        <f t="shared" ref="AP60" ca="1" si="104">AN60+AP50</f>
        <v>71</v>
      </c>
      <c r="AQ60" s="177">
        <v>29</v>
      </c>
      <c r="AR60" s="179">
        <v>0</v>
      </c>
      <c r="CK60" s="59"/>
      <c r="CL60" s="59"/>
      <c r="CM60" s="59"/>
      <c r="CN60" s="59"/>
      <c r="CO60" s="59"/>
      <c r="CP60" s="59"/>
      <c r="CQ60" s="59"/>
      <c r="CR60" s="59"/>
      <c r="CS60" s="59"/>
      <c r="CT60" s="59"/>
      <c r="CU60" s="59"/>
      <c r="CV60" s="59"/>
      <c r="CW60" s="59"/>
      <c r="CX60" s="59"/>
      <c r="CY60" s="59"/>
      <c r="CZ60" s="59"/>
      <c r="DA60" s="59"/>
      <c r="DB60" s="59"/>
      <c r="DC60" s="59"/>
      <c r="DD60" s="59"/>
      <c r="DE60" s="59"/>
      <c r="DF60" s="59"/>
      <c r="DG60" s="59"/>
      <c r="DH60" s="59"/>
      <c r="DI60" s="59"/>
      <c r="DJ60" s="59"/>
      <c r="DK60" s="59"/>
      <c r="DL60" s="59"/>
      <c r="DM60" s="59"/>
      <c r="DN60" s="59"/>
      <c r="DO60" s="59"/>
    </row>
    <row r="61" spans="2:119" ht="16.5" thickBot="1" x14ac:dyDescent="0.3">
      <c r="B61" s="201"/>
      <c r="C61" s="197"/>
      <c r="D61" s="82">
        <v>8</v>
      </c>
      <c r="E61" s="92" t="str">
        <f t="shared" ref="E61:AH61" si="105">IF(INDEX($CK$4:$DO$123,ROW()-3,E$3)=0,"","СП")</f>
        <v/>
      </c>
      <c r="F61" s="92" t="str">
        <f t="shared" si="105"/>
        <v/>
      </c>
      <c r="G61" s="92" t="str">
        <f t="shared" si="105"/>
        <v/>
      </c>
      <c r="H61" s="92" t="str">
        <f t="shared" si="105"/>
        <v/>
      </c>
      <c r="I61" s="92" t="str">
        <f t="shared" si="105"/>
        <v/>
      </c>
      <c r="J61" s="92" t="str">
        <f t="shared" si="105"/>
        <v/>
      </c>
      <c r="K61" s="92" t="str">
        <f t="shared" si="105"/>
        <v/>
      </c>
      <c r="L61" s="92" t="str">
        <f t="shared" si="105"/>
        <v/>
      </c>
      <c r="M61" s="92" t="str">
        <f t="shared" si="105"/>
        <v>СП</v>
      </c>
      <c r="N61" s="92" t="str">
        <f t="shared" si="105"/>
        <v/>
      </c>
      <c r="O61" s="92" t="str">
        <f t="shared" si="105"/>
        <v/>
      </c>
      <c r="P61" s="92" t="str">
        <f t="shared" si="105"/>
        <v/>
      </c>
      <c r="Q61" s="92" t="str">
        <f t="shared" si="105"/>
        <v/>
      </c>
      <c r="R61" s="92" t="str">
        <f t="shared" si="105"/>
        <v/>
      </c>
      <c r="S61" s="92" t="str">
        <f t="shared" si="105"/>
        <v/>
      </c>
      <c r="T61" s="92" t="str">
        <f t="shared" si="105"/>
        <v/>
      </c>
      <c r="U61" s="92" t="str">
        <f t="shared" si="105"/>
        <v/>
      </c>
      <c r="V61" s="92" t="str">
        <f t="shared" si="105"/>
        <v/>
      </c>
      <c r="W61" s="92" t="str">
        <f t="shared" si="105"/>
        <v/>
      </c>
      <c r="X61" s="92" t="str">
        <f t="shared" si="105"/>
        <v/>
      </c>
      <c r="Y61" s="92" t="str">
        <f t="shared" si="105"/>
        <v/>
      </c>
      <c r="Z61" s="92" t="str">
        <f t="shared" si="105"/>
        <v/>
      </c>
      <c r="AA61" s="92" t="str">
        <f t="shared" si="105"/>
        <v/>
      </c>
      <c r="AB61" s="92" t="str">
        <f t="shared" si="105"/>
        <v/>
      </c>
      <c r="AC61" s="92" t="str">
        <f t="shared" si="105"/>
        <v/>
      </c>
      <c r="AD61" s="92" t="str">
        <f t="shared" si="105"/>
        <v/>
      </c>
      <c r="AE61" s="92" t="str">
        <f t="shared" si="105"/>
        <v/>
      </c>
      <c r="AF61" s="92" t="str">
        <f t="shared" si="105"/>
        <v/>
      </c>
      <c r="AG61" s="92" t="str">
        <f t="shared" si="105"/>
        <v/>
      </c>
      <c r="AH61" s="92" t="str">
        <f t="shared" si="105"/>
        <v/>
      </c>
      <c r="AI61" s="110"/>
      <c r="AJ61" s="206"/>
      <c r="AK61" s="177"/>
      <c r="AL61" s="177"/>
      <c r="AM61" s="177"/>
      <c r="AN61" s="198"/>
      <c r="AO61" s="198"/>
      <c r="AP61" s="198"/>
      <c r="AQ61" s="177"/>
      <c r="AR61" s="179"/>
      <c r="CK61" s="58">
        <f>IF(DAY(INDEX('Сводный годовой график'!$BA$4:$BL$14,$C60,MONTH($B$54)))=E$3,1,0)</f>
        <v>0</v>
      </c>
      <c r="CL61" s="58">
        <f>IF(DAY(INDEX('Сводный годовой график'!$BA$4:$BL$14,$C60,MONTH($B$54)))=F$3,1,0)</f>
        <v>0</v>
      </c>
      <c r="CM61" s="58">
        <f>IF(DAY(INDEX('Сводный годовой график'!$BA$4:$BL$14,$C60,MONTH($B$54)))=G$3,1,0)</f>
        <v>0</v>
      </c>
      <c r="CN61" s="58">
        <f>IF(DAY(INDEX('Сводный годовой график'!$BA$4:$BL$14,$C60,MONTH($B$54)))=H$3,1,0)</f>
        <v>0</v>
      </c>
      <c r="CO61" s="58">
        <f>IF(DAY(INDEX('Сводный годовой график'!$BA$4:$BL$14,$C60,MONTH($B$54)))=I$3,1,0)</f>
        <v>0</v>
      </c>
      <c r="CP61" s="58">
        <f>IF(DAY(INDEX('Сводный годовой график'!$BA$4:$BL$14,$C60,MONTH($B$54)))=J$3,1,0)</f>
        <v>0</v>
      </c>
      <c r="CQ61" s="58">
        <f>IF(DAY(INDEX('Сводный годовой график'!$BA$4:$BL$14,$C60,MONTH($B$54)))=K$3,1,0)</f>
        <v>0</v>
      </c>
      <c r="CR61" s="58">
        <f>IF(DAY(INDEX('Сводный годовой график'!$BA$4:$BL$14,$C60,MONTH($B$54)))=L$3,1,0)</f>
        <v>0</v>
      </c>
      <c r="CS61" s="58">
        <f>IF(DAY(INDEX('Сводный годовой график'!$BA$4:$BL$14,$C60,MONTH($B$54)))=M$3,1,0)</f>
        <v>1</v>
      </c>
      <c r="CT61" s="58">
        <f>IF(DAY(INDEX('Сводный годовой график'!$BA$4:$BL$14,$C60,MONTH($B$54)))=N$3,1,0)</f>
        <v>0</v>
      </c>
      <c r="CU61" s="58">
        <f>IF(DAY(INDEX('Сводный годовой график'!$BA$4:$BL$14,$C60,MONTH($B$54)))=O$3,1,0)</f>
        <v>0</v>
      </c>
      <c r="CV61" s="58">
        <f>IF(DAY(INDEX('Сводный годовой график'!$BA$4:$BL$14,$C60,MONTH($B$54)))=P$3,1,0)</f>
        <v>0</v>
      </c>
      <c r="CW61" s="58">
        <f>IF(DAY(INDEX('Сводный годовой график'!$BA$4:$BL$14,$C60,MONTH($B$54)))=Q$3,1,0)</f>
        <v>0</v>
      </c>
      <c r="CX61" s="58">
        <f>IF(DAY(INDEX('Сводный годовой график'!$BA$4:$BL$14,$C60,MONTH($B$54)))=R$3,1,0)</f>
        <v>0</v>
      </c>
      <c r="CY61" s="58">
        <f>IF(DAY(INDEX('Сводный годовой график'!$BA$4:$BL$14,$C60,MONTH($B$54)))=S$3,1,0)</f>
        <v>0</v>
      </c>
      <c r="CZ61" s="58">
        <f>IF(DAY(INDEX('Сводный годовой график'!$BA$4:$BL$14,$C60,MONTH($B$54)))=T$3,1,0)</f>
        <v>0</v>
      </c>
      <c r="DA61" s="58">
        <f>IF(DAY(INDEX('Сводный годовой график'!$BA$4:$BL$14,$C60,MONTH($B$54)))=U$3,1,0)</f>
        <v>0</v>
      </c>
      <c r="DB61" s="58">
        <f>IF(DAY(INDEX('Сводный годовой график'!$BA$4:$BL$14,$C60,MONTH($B$54)))=V$3,1,0)</f>
        <v>0</v>
      </c>
      <c r="DC61" s="58">
        <f>IF(DAY(INDEX('Сводный годовой график'!$BA$4:$BL$14,$C60,MONTH($B$54)))=W$3,1,0)</f>
        <v>0</v>
      </c>
      <c r="DD61" s="58">
        <f>IF(DAY(INDEX('Сводный годовой график'!$BA$4:$BL$14,$C60,MONTH($B$54)))=X$3,1,0)</f>
        <v>0</v>
      </c>
      <c r="DE61" s="58">
        <f>IF(DAY(INDEX('Сводный годовой график'!$BA$4:$BL$14,$C60,MONTH($B$54)))=Y$3,1,0)</f>
        <v>0</v>
      </c>
      <c r="DF61" s="58">
        <f>IF(DAY(INDEX('Сводный годовой график'!$BA$4:$BL$14,$C60,MONTH($B$54)))=Z$3,1,0)</f>
        <v>0</v>
      </c>
      <c r="DG61" s="58">
        <f>IF(DAY(INDEX('Сводный годовой график'!$BA$4:$BL$14,$C60,MONTH($B$54)))=AA$3,1,0)</f>
        <v>0</v>
      </c>
      <c r="DH61" s="58">
        <f>IF(DAY(INDEX('Сводный годовой график'!$BA$4:$BL$14,$C60,MONTH($B$54)))=AB$3,1,0)</f>
        <v>0</v>
      </c>
      <c r="DI61" s="58">
        <f>IF(DAY(INDEX('Сводный годовой график'!$BA$4:$BL$14,$C60,MONTH($B$54)))=AC$3,1,0)</f>
        <v>0</v>
      </c>
      <c r="DJ61" s="58">
        <f>IF(DAY(INDEX('Сводный годовой график'!$BA$4:$BL$14,$C60,MONTH($B$54)))=AD$3,1,0)</f>
        <v>0</v>
      </c>
      <c r="DK61" s="58">
        <f>IF(DAY(INDEX('Сводный годовой график'!$BA$4:$BL$14,$C60,MONTH($B$54)))=AE$3,1,0)</f>
        <v>0</v>
      </c>
      <c r="DL61" s="58">
        <f>IF(DAY(INDEX('Сводный годовой график'!$BA$4:$BL$14,$C60,MONTH($B$54)))=AF$3,1,0)</f>
        <v>0</v>
      </c>
      <c r="DM61" s="58">
        <f>IF(DAY(INDEX('Сводный годовой график'!$BA$4:$BL$14,$C60,MONTH($B$54)))=AG$3,1,0)</f>
        <v>0</v>
      </c>
      <c r="DN61" s="58">
        <f>IF(DAY(INDEX('Сводный годовой график'!$BA$4:$BL$14,$C60,MONTH($B$54)))=AH$3,1,0)</f>
        <v>0</v>
      </c>
      <c r="DO61" s="58">
        <f>IF(DAY(INDEX('Сводный годовой график'!$BA$4:$BL$14,$C60,MONTH($B$54)))=AI$3,1,0)</f>
        <v>0</v>
      </c>
    </row>
    <row r="62" spans="2:119" ht="16.5" thickBot="1" x14ac:dyDescent="0.3">
      <c r="B62" s="201"/>
      <c r="C62" s="196">
        <v>5</v>
      </c>
      <c r="D62" s="81">
        <v>9</v>
      </c>
      <c r="E62" s="92" t="s">
        <v>36</v>
      </c>
      <c r="F62" s="92" t="s">
        <v>36</v>
      </c>
      <c r="G62" s="92" t="s">
        <v>36</v>
      </c>
      <c r="H62" s="92" t="s">
        <v>36</v>
      </c>
      <c r="I62" s="92" t="s">
        <v>36</v>
      </c>
      <c r="J62" s="92" t="s">
        <v>36</v>
      </c>
      <c r="K62" s="92" t="s">
        <v>36</v>
      </c>
      <c r="L62" s="92" t="s">
        <v>36</v>
      </c>
      <c r="M62" s="92" t="s">
        <v>36</v>
      </c>
      <c r="N62" s="92" t="s">
        <v>36</v>
      </c>
      <c r="O62" s="92" t="s">
        <v>36</v>
      </c>
      <c r="P62" s="92" t="s">
        <v>36</v>
      </c>
      <c r="Q62" s="92" t="s">
        <v>36</v>
      </c>
      <c r="R62" s="92" t="s">
        <v>36</v>
      </c>
      <c r="S62" s="92" t="s">
        <v>36</v>
      </c>
      <c r="T62" s="92" t="s">
        <v>36</v>
      </c>
      <c r="U62" s="92" t="s">
        <v>36</v>
      </c>
      <c r="V62" s="92" t="s">
        <v>36</v>
      </c>
      <c r="W62" s="92" t="s">
        <v>36</v>
      </c>
      <c r="X62" s="92" t="s">
        <v>36</v>
      </c>
      <c r="Y62" s="92" t="s">
        <v>36</v>
      </c>
      <c r="Z62" s="92" t="s">
        <v>36</v>
      </c>
      <c r="AA62" s="92" t="s">
        <v>36</v>
      </c>
      <c r="AB62" s="92" t="s">
        <v>36</v>
      </c>
      <c r="AC62" s="92" t="s">
        <v>36</v>
      </c>
      <c r="AD62" s="92" t="s">
        <v>36</v>
      </c>
      <c r="AE62" s="92" t="s">
        <v>36</v>
      </c>
      <c r="AF62" s="92" t="s">
        <v>36</v>
      </c>
      <c r="AG62" s="92" t="s">
        <v>36</v>
      </c>
      <c r="AH62" s="92" t="s">
        <v>36</v>
      </c>
      <c r="AI62" s="110"/>
      <c r="AJ62" s="206"/>
      <c r="AK62" s="177">
        <f>$AJ$54-SUM(AY62:CC63)</f>
        <v>151</v>
      </c>
      <c r="AL62" s="177">
        <f t="shared" ref="AL62" si="106">SUM(E62:AI63)</f>
        <v>0</v>
      </c>
      <c r="AM62" s="177">
        <f>SUM(P62)</f>
        <v>0</v>
      </c>
      <c r="AN62" s="198">
        <f t="shared" ref="AN62" si="107">-AM62-AK62+AL62</f>
        <v>-151</v>
      </c>
      <c r="AO62" s="198">
        <v>0</v>
      </c>
      <c r="AP62" s="198">
        <f t="shared" ref="AP62" si="108">AN62+AP52</f>
        <v>-957</v>
      </c>
      <c r="AQ62" s="177">
        <v>0</v>
      </c>
      <c r="AR62" s="179">
        <v>1</v>
      </c>
      <c r="CK62" s="59"/>
      <c r="CL62" s="59"/>
      <c r="CM62" s="59"/>
      <c r="CN62" s="59"/>
      <c r="CO62" s="59"/>
      <c r="CP62" s="59"/>
      <c r="CQ62" s="59"/>
      <c r="CR62" s="59"/>
      <c r="CS62" s="59"/>
      <c r="CT62" s="59"/>
      <c r="CU62" s="59"/>
      <c r="CV62" s="59"/>
      <c r="CW62" s="59"/>
      <c r="CX62" s="59"/>
      <c r="CY62" s="59"/>
      <c r="CZ62" s="59"/>
      <c r="DA62" s="59"/>
      <c r="DB62" s="59"/>
      <c r="DC62" s="59"/>
      <c r="DD62" s="59"/>
      <c r="DE62" s="59"/>
      <c r="DF62" s="59"/>
      <c r="DG62" s="59"/>
      <c r="DH62" s="59"/>
      <c r="DI62" s="59"/>
      <c r="DJ62" s="59"/>
      <c r="DK62" s="59"/>
      <c r="DL62" s="59"/>
      <c r="DM62" s="59"/>
      <c r="DN62" s="59"/>
      <c r="DO62" s="59"/>
    </row>
    <row r="63" spans="2:119" ht="16.5" thickBot="1" x14ac:dyDescent="0.3">
      <c r="B63" s="202"/>
      <c r="C63" s="197"/>
      <c r="D63" s="82">
        <v>10</v>
      </c>
      <c r="E63" s="29" t="str">
        <f t="shared" ref="E63:AH63" si="109">IF(INDEX($CK$4:$DO$123,ROW()-3,E$3)=0,"","СП")</f>
        <v/>
      </c>
      <c r="F63" s="29" t="str">
        <f t="shared" si="109"/>
        <v/>
      </c>
      <c r="G63" s="29" t="str">
        <f t="shared" si="109"/>
        <v/>
      </c>
      <c r="H63" s="29" t="str">
        <f t="shared" si="109"/>
        <v/>
      </c>
      <c r="I63" s="29" t="str">
        <f t="shared" si="109"/>
        <v/>
      </c>
      <c r="J63" s="29" t="str">
        <f t="shared" si="109"/>
        <v/>
      </c>
      <c r="K63" s="29" t="str">
        <f t="shared" si="109"/>
        <v/>
      </c>
      <c r="L63" s="29" t="str">
        <f t="shared" si="109"/>
        <v/>
      </c>
      <c r="M63" s="29" t="str">
        <f t="shared" si="109"/>
        <v/>
      </c>
      <c r="N63" s="29" t="str">
        <f t="shared" si="109"/>
        <v>СП</v>
      </c>
      <c r="O63" s="29" t="str">
        <f t="shared" si="109"/>
        <v/>
      </c>
      <c r="P63" s="29" t="str">
        <f t="shared" si="109"/>
        <v/>
      </c>
      <c r="Q63" s="29" t="str">
        <f t="shared" si="109"/>
        <v/>
      </c>
      <c r="R63" s="29" t="str">
        <f t="shared" si="109"/>
        <v/>
      </c>
      <c r="S63" s="29" t="str">
        <f t="shared" si="109"/>
        <v/>
      </c>
      <c r="T63" s="29" t="str">
        <f t="shared" si="109"/>
        <v/>
      </c>
      <c r="U63" s="29" t="str">
        <f t="shared" si="109"/>
        <v/>
      </c>
      <c r="V63" s="29" t="str">
        <f t="shared" si="109"/>
        <v/>
      </c>
      <c r="W63" s="29" t="str">
        <f t="shared" si="109"/>
        <v/>
      </c>
      <c r="X63" s="29" t="str">
        <f t="shared" si="109"/>
        <v/>
      </c>
      <c r="Y63" s="29" t="str">
        <f t="shared" si="109"/>
        <v/>
      </c>
      <c r="Z63" s="29" t="str">
        <f t="shared" si="109"/>
        <v/>
      </c>
      <c r="AA63" s="29" t="str">
        <f t="shared" si="109"/>
        <v/>
      </c>
      <c r="AB63" s="29" t="str">
        <f t="shared" si="109"/>
        <v/>
      </c>
      <c r="AC63" s="29" t="str">
        <f t="shared" si="109"/>
        <v/>
      </c>
      <c r="AD63" s="29" t="str">
        <f t="shared" si="109"/>
        <v/>
      </c>
      <c r="AE63" s="29" t="str">
        <f t="shared" si="109"/>
        <v/>
      </c>
      <c r="AF63" s="29" t="str">
        <f t="shared" si="109"/>
        <v/>
      </c>
      <c r="AG63" s="29" t="str">
        <f t="shared" si="109"/>
        <v/>
      </c>
      <c r="AH63" s="29" t="str">
        <f t="shared" si="109"/>
        <v/>
      </c>
      <c r="AI63" s="111"/>
      <c r="AJ63" s="207"/>
      <c r="AK63" s="178"/>
      <c r="AL63" s="178"/>
      <c r="AM63" s="178"/>
      <c r="AN63" s="199"/>
      <c r="AO63" s="199"/>
      <c r="AP63" s="199"/>
      <c r="AQ63" s="178"/>
      <c r="AR63" s="180"/>
      <c r="CK63" s="58">
        <f>IF(DAY(INDEX('Сводный годовой график'!$BA$4:$BL$14,$C62,MONTH($B$54)))=E$3,1,0)</f>
        <v>0</v>
      </c>
      <c r="CL63" s="58">
        <f>IF(DAY(INDEX('Сводный годовой график'!$BA$4:$BL$14,$C62,MONTH($B$54)))=F$3,1,0)</f>
        <v>0</v>
      </c>
      <c r="CM63" s="58">
        <f>IF(DAY(INDEX('Сводный годовой график'!$BA$4:$BL$14,$C62,MONTH($B$54)))=G$3,1,0)</f>
        <v>0</v>
      </c>
      <c r="CN63" s="58">
        <f>IF(DAY(INDEX('Сводный годовой график'!$BA$4:$BL$14,$C62,MONTH($B$54)))=H$3,1,0)</f>
        <v>0</v>
      </c>
      <c r="CO63" s="58">
        <f>IF(DAY(INDEX('Сводный годовой график'!$BA$4:$BL$14,$C62,MONTH($B$54)))=I$3,1,0)</f>
        <v>0</v>
      </c>
      <c r="CP63" s="58">
        <f>IF(DAY(INDEX('Сводный годовой график'!$BA$4:$BL$14,$C62,MONTH($B$54)))=J$3,1,0)</f>
        <v>0</v>
      </c>
      <c r="CQ63" s="58">
        <f>IF(DAY(INDEX('Сводный годовой график'!$BA$4:$BL$14,$C62,MONTH($B$54)))=K$3,1,0)</f>
        <v>0</v>
      </c>
      <c r="CR63" s="58">
        <f>IF(DAY(INDEX('Сводный годовой график'!$BA$4:$BL$14,$C62,MONTH($B$54)))=L$3,1,0)</f>
        <v>0</v>
      </c>
      <c r="CS63" s="58">
        <f>IF(DAY(INDEX('Сводный годовой график'!$BA$4:$BL$14,$C62,MONTH($B$54)))=M$3,1,0)</f>
        <v>0</v>
      </c>
      <c r="CT63" s="58">
        <f>IF(DAY(INDEX('Сводный годовой график'!$BA$4:$BL$14,$C62,MONTH($B$54)))=N$3,1,0)</f>
        <v>1</v>
      </c>
      <c r="CU63" s="58">
        <f>IF(DAY(INDEX('Сводный годовой график'!$BA$4:$BL$14,$C62,MONTH($B$54)))=O$3,1,0)</f>
        <v>0</v>
      </c>
      <c r="CV63" s="58">
        <f>IF(DAY(INDEX('Сводный годовой график'!$BA$4:$BL$14,$C62,MONTH($B$54)))=P$3,1,0)</f>
        <v>0</v>
      </c>
      <c r="CW63" s="58">
        <f>IF(DAY(INDEX('Сводный годовой график'!$BA$4:$BL$14,$C62,MONTH($B$54)))=Q$3,1,0)</f>
        <v>0</v>
      </c>
      <c r="CX63" s="58">
        <f>IF(DAY(INDEX('Сводный годовой график'!$BA$4:$BL$14,$C62,MONTH($B$54)))=R$3,1,0)</f>
        <v>0</v>
      </c>
      <c r="CY63" s="58">
        <f>IF(DAY(INDEX('Сводный годовой график'!$BA$4:$BL$14,$C62,MONTH($B$54)))=S$3,1,0)</f>
        <v>0</v>
      </c>
      <c r="CZ63" s="58">
        <f>IF(DAY(INDEX('Сводный годовой график'!$BA$4:$BL$14,$C62,MONTH($B$54)))=T$3,1,0)</f>
        <v>0</v>
      </c>
      <c r="DA63" s="58">
        <f>IF(DAY(INDEX('Сводный годовой график'!$BA$4:$BL$14,$C62,MONTH($B$54)))=U$3,1,0)</f>
        <v>0</v>
      </c>
      <c r="DB63" s="58">
        <f>IF(DAY(INDEX('Сводный годовой график'!$BA$4:$BL$14,$C62,MONTH($B$54)))=V$3,1,0)</f>
        <v>0</v>
      </c>
      <c r="DC63" s="58">
        <f>IF(DAY(INDEX('Сводный годовой график'!$BA$4:$BL$14,$C62,MONTH($B$54)))=W$3,1,0)</f>
        <v>0</v>
      </c>
      <c r="DD63" s="58">
        <f>IF(DAY(INDEX('Сводный годовой график'!$BA$4:$BL$14,$C62,MONTH($B$54)))=X$3,1,0)</f>
        <v>0</v>
      </c>
      <c r="DE63" s="58">
        <f>IF(DAY(INDEX('Сводный годовой график'!$BA$4:$BL$14,$C62,MONTH($B$54)))=Y$3,1,0)</f>
        <v>0</v>
      </c>
      <c r="DF63" s="58">
        <f>IF(DAY(INDEX('Сводный годовой график'!$BA$4:$BL$14,$C62,MONTH($B$54)))=Z$3,1,0)</f>
        <v>0</v>
      </c>
      <c r="DG63" s="58">
        <f>IF(DAY(INDEX('Сводный годовой график'!$BA$4:$BL$14,$C62,MONTH($B$54)))=AA$3,1,0)</f>
        <v>0</v>
      </c>
      <c r="DH63" s="58">
        <f>IF(DAY(INDEX('Сводный годовой график'!$BA$4:$BL$14,$C62,MONTH($B$54)))=AB$3,1,0)</f>
        <v>0</v>
      </c>
      <c r="DI63" s="58">
        <f>IF(DAY(INDEX('Сводный годовой график'!$BA$4:$BL$14,$C62,MONTH($B$54)))=AC$3,1,0)</f>
        <v>0</v>
      </c>
      <c r="DJ63" s="58">
        <f>IF(DAY(INDEX('Сводный годовой график'!$BA$4:$BL$14,$C62,MONTH($B$54)))=AD$3,1,0)</f>
        <v>0</v>
      </c>
      <c r="DK63" s="58">
        <f>IF(DAY(INDEX('Сводный годовой график'!$BA$4:$BL$14,$C62,MONTH($B$54)))=AE$3,1,0)</f>
        <v>0</v>
      </c>
      <c r="DL63" s="58">
        <f>IF(DAY(INDEX('Сводный годовой график'!$BA$4:$BL$14,$C62,MONTH($B$54)))=AF$3,1,0)</f>
        <v>0</v>
      </c>
      <c r="DM63" s="58">
        <f>IF(DAY(INDEX('Сводный годовой график'!$BA$4:$BL$14,$C62,MONTH($B$54)))=AG$3,1,0)</f>
        <v>0</v>
      </c>
      <c r="DN63" s="58">
        <f>IF(DAY(INDEX('Сводный годовой график'!$BA$4:$BL$14,$C62,MONTH($B$54)))=AH$3,1,0)</f>
        <v>0</v>
      </c>
      <c r="DO63" s="58">
        <f>IF(DAY(INDEX('Сводный годовой график'!$BA$4:$BL$14,$C62,MONTH($B$54)))=AI$3,1,0)</f>
        <v>0</v>
      </c>
    </row>
    <row r="64" spans="2:119" ht="17.25" customHeight="1" thickTop="1" thickBot="1" x14ac:dyDescent="0.3">
      <c r="B64" s="201">
        <f>DATE($AV$1,7,1)</f>
        <v>45839</v>
      </c>
      <c r="C64" s="212">
        <v>1</v>
      </c>
      <c r="D64" s="99">
        <v>1</v>
      </c>
      <c r="E64" s="27" t="e">
        <f ca="1">IF(AND(INDEX('Сводный годовой график'!$C$1:$AR$4,MATCH($C$64,'Сводный годовой график'!$B$1:$B$4),MATCH(DATE($AV$1,MONTH($B$64),E$3),'Сводный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график'!$B$1:$B$4),MATCH(DATE($AV$1,MONTH($B$64),E$3),'Сводный годовой график'!$C$11:$AR$11)))</f>
        <v>#N/A</v>
      </c>
      <c r="F64" s="27" t="e">
        <f ca="1">IF(AND(INDEX('Сводный годовой график'!$C$1:$AR$4,MATCH($C$64,'Сводный годовой график'!$B$1:$B$4),MATCH(DATE($AV$1,MONTH($B$64),F$3),'Сводный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график'!$B$1:$B$4),MATCH(DATE($AV$1,MONTH($B$64),F$3),'Сводный годовой график'!$C$11:$AR$11)))</f>
        <v>#N/A</v>
      </c>
      <c r="G64" s="27" t="e">
        <f ca="1">IF(AND(INDEX('Сводный годовой график'!$C$1:$AR$4,MATCH($C$64,'Сводный годовой график'!$B$1:$B$4),MATCH(DATE($AV$1,MONTH($B$64),G$3),'Сводный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график'!$B$1:$B$4),MATCH(DATE($AV$1,MONTH($B$64),G$3),'Сводный годовой график'!$C$11:$AR$11)))</f>
        <v>#N/A</v>
      </c>
      <c r="H64" s="27" t="e">
        <f ca="1">IF(AND(INDEX('Сводный годовой график'!$C$1:$AR$4,MATCH($C$64,'Сводный годовой график'!$B$1:$B$4),MATCH(DATE($AV$1,MONTH($B$64),H$3),'Сводный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график'!$B$1:$B$4),MATCH(DATE($AV$1,MONTH($B$64),H$3),'Сводный годовой график'!$C$11:$AR$11)))</f>
        <v>#N/A</v>
      </c>
      <c r="I64" s="27" t="e">
        <f ca="1">IF(AND(INDEX('Сводный годовой график'!$C$1:$AR$4,MATCH($C$64,'Сводный годовой график'!$B$1:$B$4),MATCH(DATE($AV$1,MONTH($B$64),I$3),'Сводный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график'!$B$1:$B$4),MATCH(DATE($AV$1,MONTH($B$64),I$3),'Сводный годовой график'!$C$11:$AR$11)))</f>
        <v>#N/A</v>
      </c>
      <c r="J64" s="27" t="e">
        <f ca="1">IF(AND(INDEX('Сводный годовой график'!$C$1:$AR$4,MATCH($C$64,'Сводный годовой график'!$B$1:$B$4),MATCH(DATE($AV$1,MONTH($B$64),J$3),'Сводный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график'!$B$1:$B$4),MATCH(DATE($AV$1,MONTH($B$64),J$3),'Сводный годовой график'!$C$11:$AR$11)))</f>
        <v>#N/A</v>
      </c>
      <c r="K64" s="27" t="e">
        <f ca="1">IF(AND(INDEX('Сводный годовой график'!$C$1:$AR$4,MATCH($C$64,'Сводный годовой график'!$B$1:$B$4),MATCH(DATE($AV$1,MONTH($B$64),K$3),'Сводный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график'!$B$1:$B$4),MATCH(DATE($AV$1,MONTH($B$64),K$3),'Сводный годовой график'!$C$11:$AR$11)))</f>
        <v>#N/A</v>
      </c>
      <c r="L64" s="27" t="e">
        <f ca="1">IF(AND(INDEX('Сводный годовой график'!$C$1:$AR$4,MATCH($C$64,'Сводный годовой график'!$B$1:$B$4),MATCH(DATE($AV$1,MONTH($B$64),L$3),'Сводный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график'!$B$1:$B$4),MATCH(DATE($AV$1,MONTH($B$64),L$3),'Сводный годовой график'!$C$11:$AR$11)))</f>
        <v>#N/A</v>
      </c>
      <c r="M64" s="27" t="e">
        <f ca="1">IF(AND(INDEX('Сводный годовой график'!$C$1:$AR$4,MATCH($C$64,'Сводный годовой график'!$B$1:$B$4),MATCH(DATE($AV$1,MONTH($B$64),M$3),'Сводный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график'!$B$1:$B$4),MATCH(DATE($AV$1,MONTH($B$64),M$3),'Сводный годовой график'!$C$11:$AR$11)))</f>
        <v>#N/A</v>
      </c>
      <c r="N64" s="27" t="e">
        <f ca="1">IF(AND(INDEX('Сводный годовой график'!$C$1:$AR$4,MATCH($C$64,'Сводный годовой график'!$B$1:$B$4),MATCH(DATE($AV$1,MONTH($B$64),N$3),'Сводный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график'!$B$1:$B$4),MATCH(DATE($AV$1,MONTH($B$64),N$3),'Сводный годовой график'!$C$11:$AR$11)))</f>
        <v>#N/A</v>
      </c>
      <c r="O64" s="27" t="e">
        <f ca="1">IF(AND(INDEX('Сводный годовой график'!$C$1:$AR$4,MATCH($C$64,'Сводный годовой график'!$B$1:$B$4),MATCH(DATE($AV$1,MONTH($B$64),O$3),'Сводный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график'!$B$1:$B$4),MATCH(DATE($AV$1,MONTH($B$64),O$3),'Сводный годовой график'!$C$11:$AR$11)))</f>
        <v>#N/A</v>
      </c>
      <c r="P64" s="27" t="e">
        <f ca="1">IF(AND(INDEX('Сводный годовой график'!$C$1:$AR$4,MATCH($C$64,'Сводный годовой график'!$B$1:$B$4),MATCH(DATE($AV$1,MONTH($B$64),P$3),'Сводный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график'!$B$1:$B$4),MATCH(DATE($AV$1,MONTH($B$64),P$3),'Сводный годовой график'!$C$11:$AR$11)))</f>
        <v>#N/A</v>
      </c>
      <c r="Q64" s="27" t="e">
        <f ca="1">IF(AND(INDEX('Сводный годовой график'!$C$1:$AR$4,MATCH($C$64,'Сводный годовой график'!$B$1:$B$4),MATCH(DATE($AV$1,MONTH($B$64),Q$3),'Сводный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график'!$B$1:$B$4),MATCH(DATE($AV$1,MONTH($B$64),Q$3),'Сводный годовой график'!$C$11:$AR$11)))</f>
        <v>#N/A</v>
      </c>
      <c r="R64" s="27" t="e">
        <f ca="1">IF(AND(INDEX('Сводный годовой график'!$C$1:$AR$4,MATCH($C$64,'Сводный годовой график'!$B$1:$B$4),MATCH(DATE($AV$1,MONTH($B$64),R$3),'Сводный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график'!$B$1:$B$4),MATCH(DATE($AV$1,MONTH($B$64),R$3),'Сводный годовой график'!$C$11:$AR$11)))</f>
        <v>#N/A</v>
      </c>
      <c r="S64" s="27" t="e">
        <f ca="1">IF(AND(INDEX('Сводный годовой график'!$C$1:$AR$4,MATCH($C$64,'Сводный годовой график'!$B$1:$B$4),MATCH(DATE($AV$1,MONTH($B$64),S$3),'Сводный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график'!$B$1:$B$4),MATCH(DATE($AV$1,MONTH($B$64),S$3),'Сводный годовой график'!$C$11:$AR$11)))</f>
        <v>#N/A</v>
      </c>
      <c r="T64" s="27" t="e">
        <f ca="1">IF(AND(INDEX('Сводный годовой график'!$C$1:$AR$4,MATCH($C$64,'Сводный годовой график'!$B$1:$B$4),MATCH(DATE($AV$1,MONTH($B$64),T$3),'Сводный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график'!$B$1:$B$4),MATCH(DATE($AV$1,MONTH($B$64),T$3),'Сводный годовой график'!$C$11:$AR$11)))</f>
        <v>#N/A</v>
      </c>
      <c r="U64" s="27" t="e">
        <f ca="1">IF(AND(INDEX('Сводный годовой график'!$C$1:$AR$4,MATCH($C$64,'Сводный годовой график'!$B$1:$B$4),MATCH(DATE($AV$1,MONTH($B$64),U$3),'Сводный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график'!$B$1:$B$4),MATCH(DATE($AV$1,MONTH($B$64),U$3),'Сводный годовой график'!$C$11:$AR$11)))</f>
        <v>#N/A</v>
      </c>
      <c r="V64" s="27" t="e">
        <f ca="1">IF(AND(INDEX('Сводный годовой график'!$C$1:$AR$4,MATCH($C$64,'Сводный годовой график'!$B$1:$B$4),MATCH(DATE($AV$1,MONTH($B$64),V$3),'Сводный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график'!$B$1:$B$4),MATCH(DATE($AV$1,MONTH($B$64),V$3),'Сводный годовой график'!$C$11:$AR$11)))</f>
        <v>#N/A</v>
      </c>
      <c r="W64" s="27" t="e">
        <f ca="1">IF(AND(INDEX('Сводный годовой график'!$C$1:$AR$4,MATCH($C$64,'Сводный годовой график'!$B$1:$B$4),MATCH(DATE($AV$1,MONTH($B$64),W$3),'Сводный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график'!$B$1:$B$4),MATCH(DATE($AV$1,MONTH($B$64),W$3),'Сводный годовой график'!$C$11:$AR$11)))</f>
        <v>#N/A</v>
      </c>
      <c r="X64" s="27" t="e">
        <f ca="1">IF(AND(INDEX('Сводный годовой график'!$C$1:$AR$4,MATCH($C$64,'Сводный годовой график'!$B$1:$B$4),MATCH(DATE($AV$1,MONTH($B$64),X$3),'Сводный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график'!$B$1:$B$4),MATCH(DATE($AV$1,MONTH($B$64),X$3),'Сводный годовой график'!$C$11:$AR$11)))</f>
        <v>#N/A</v>
      </c>
      <c r="Y64" s="27" t="e">
        <f ca="1">IF(AND(INDEX('Сводный годовой график'!$C$1:$AR$4,MATCH($C$64,'Сводный годовой график'!$B$1:$B$4),MATCH(DATE($AV$1,MONTH($B$64),Y$3),'Сводный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график'!$B$1:$B$4),MATCH(DATE($AV$1,MONTH($B$64),Y$3),'Сводный годовой график'!$C$11:$AR$11)))</f>
        <v>#N/A</v>
      </c>
      <c r="Z64" s="27" t="e">
        <f ca="1">IF(AND(INDEX('Сводный годовой график'!$C$1:$AR$4,MATCH($C$64,'Сводный годовой график'!$B$1:$B$4),MATCH(DATE($AV$1,MONTH($B$64),Z$3),'Сводный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график'!$B$1:$B$4),MATCH(DATE($AV$1,MONTH($B$64),Z$3),'Сводный годовой график'!$C$11:$AR$11)))</f>
        <v>#N/A</v>
      </c>
      <c r="AA64" s="27" t="e">
        <f ca="1">IF(AND(INDEX('Сводный годовой график'!$C$1:$AR$4,MATCH($C$64,'Сводный годовой график'!$B$1:$B$4),MATCH(DATE($AV$1,MONTH($B$64),AA$3),'Сводный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график'!$B$1:$B$4),MATCH(DATE($AV$1,MONTH($B$64),AA$3),'Сводный годовой график'!$C$11:$AR$11)))</f>
        <v>#N/A</v>
      </c>
      <c r="AB64" s="27" t="e">
        <f ca="1">IF(AND(INDEX('Сводный годовой график'!$C$1:$AR$4,MATCH($C$64,'Сводный годовой график'!$B$1:$B$4),MATCH(DATE($AV$1,MONTH($B$64),AB$3),'Сводный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график'!$B$1:$B$4),MATCH(DATE($AV$1,MONTH($B$64),AB$3),'Сводный годовой график'!$C$11:$AR$11)))</f>
        <v>#N/A</v>
      </c>
      <c r="AC64" s="27" t="e">
        <f ca="1">IF(AND(INDEX('Сводный годовой график'!$C$1:$AR$4,MATCH($C$64,'Сводный годовой график'!$B$1:$B$4),MATCH(DATE($AV$1,MONTH($B$64),AC$3),'Сводный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график'!$B$1:$B$4),MATCH(DATE($AV$1,MONTH($B$64),AC$3),'Сводный годовой график'!$C$11:$AR$11)))</f>
        <v>#N/A</v>
      </c>
      <c r="AD64" s="27" t="e">
        <f ca="1">IF(AND(INDEX('Сводный годовой график'!$C$1:$AR$4,MATCH($C$64,'Сводный годовой график'!$B$1:$B$4),MATCH(DATE($AV$1,MONTH($B$64),AD$3),'Сводный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график'!$B$1:$B$4),MATCH(DATE($AV$1,MONTH($B$64),AD$3),'Сводный годовой график'!$C$11:$AR$11)))</f>
        <v>#N/A</v>
      </c>
      <c r="AE64" s="27" t="e">
        <f ca="1">IF(AND(INDEX('Сводный годовой график'!$C$1:$AR$4,MATCH($C$64,'Сводный годовой график'!$B$1:$B$4),MATCH(DATE($AV$1,MONTH($B$64),AE$3),'Сводный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график'!$B$1:$B$4),MATCH(DATE($AV$1,MONTH($B$64),AE$3),'Сводный годовой график'!$C$11:$AR$11)))</f>
        <v>#N/A</v>
      </c>
      <c r="AF64" s="27" t="e">
        <f ca="1">IF(AND(INDEX('Сводный годовой график'!$C$1:$AR$4,MATCH($C$64,'Сводный годовой график'!$B$1:$B$4),MATCH(DATE($AV$1,MONTH($B$64),AF$3),'Сводный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график'!$B$1:$B$4),MATCH(DATE($AV$1,MONTH($B$64),AF$3),'Сводный годовой график'!$C$11:$AR$11)))</f>
        <v>#N/A</v>
      </c>
      <c r="AG64" s="27" t="e">
        <f ca="1">IF(AND(INDEX('Сводный годовой график'!$C$1:$AR$4,MATCH($C$64,'Сводный годовой график'!$B$1:$B$4),MATCH(DATE($AV$1,MONTH($B$64),AG$3),'Сводный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график'!$B$1:$B$4),MATCH(DATE($AV$1,MONTH($B$64),AG$3),'Сводный годовой график'!$C$11:$AR$11)))</f>
        <v>#N/A</v>
      </c>
      <c r="AH64" s="27" t="e">
        <f ca="1">IF(AND(INDEX('Сводный годовой график'!$C$1:$AR$4,MATCH($C$64,'Сводный годовой график'!$B$1:$B$4),MATCH(DATE($AV$1,MONTH($B$64),AH$3),'Сводный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график'!$B$1:$B$4),MATCH(DATE($AV$1,MONTH($B$64),AH$3),'Сводный годовой график'!$C$11:$AR$11)))</f>
        <v>#N/A</v>
      </c>
      <c r="AI64" s="27" t="e">
        <f ca="1">IF(AND(INDEX('Сводный годовой график'!$C$1:$AR$4,MATCH($C$64,'Сводный годовой график'!$B$1:$B$4),MATCH(DATE($AV$1,MONTH($B$64),AI$3),'Сводный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график'!$B$1:$B$4),MATCH(DATE($AV$1,MONTH($B$64),AI$3),'Сводный годовой график'!$C$11:$AR$11)))</f>
        <v>#N/A</v>
      </c>
      <c r="AJ64" s="205">
        <f>INDEX(Подключения!$D$3:$H$14,MONTH(B64),5)</f>
        <v>184</v>
      </c>
      <c r="AK64" s="216">
        <f>$AJ$64-SUM(AY64:CC65)</f>
        <v>184</v>
      </c>
      <c r="AL64" s="216" t="e">
        <f t="shared" ref="AL64" ca="1" si="110">SUM(E64:AI65)</f>
        <v>#N/A</v>
      </c>
      <c r="AM64" s="216">
        <v>0</v>
      </c>
      <c r="AN64" s="218" t="e">
        <f t="shared" ref="AN64" ca="1" si="111">-AM64-AK64+AL64</f>
        <v>#N/A</v>
      </c>
      <c r="AO64" s="218">
        <v>0</v>
      </c>
      <c r="AP64" s="218" t="e">
        <f ca="1">AN64+AP54-AO64</f>
        <v>#N/A</v>
      </c>
      <c r="AQ64" s="216">
        <v>0</v>
      </c>
      <c r="AR64" s="217">
        <v>1</v>
      </c>
      <c r="AS64" s="21"/>
      <c r="AT64" s="21"/>
      <c r="CK64" s="59"/>
      <c r="CL64" s="59"/>
      <c r="CM64" s="59"/>
      <c r="CN64" s="59"/>
      <c r="CO64" s="59"/>
      <c r="CP64" s="59"/>
      <c r="CQ64" s="59"/>
      <c r="CR64" s="59"/>
      <c r="CS64" s="59"/>
      <c r="CT64" s="59"/>
      <c r="CU64" s="59"/>
      <c r="CV64" s="59"/>
      <c r="CW64" s="59"/>
      <c r="CX64" s="59"/>
      <c r="CY64" s="59"/>
      <c r="CZ64" s="59"/>
      <c r="DA64" s="59"/>
      <c r="DB64" s="59"/>
      <c r="DC64" s="59"/>
      <c r="DD64" s="59"/>
      <c r="DE64" s="59"/>
      <c r="DF64" s="59"/>
      <c r="DG64" s="59"/>
      <c r="DH64" s="59"/>
      <c r="DI64" s="59"/>
      <c r="DJ64" s="59"/>
      <c r="DK64" s="59"/>
      <c r="DL64" s="59"/>
      <c r="DM64" s="59"/>
      <c r="DN64" s="59"/>
      <c r="DO64" s="59"/>
    </row>
    <row r="65" spans="2:119" ht="16.5" thickBot="1" x14ac:dyDescent="0.3">
      <c r="B65" s="201"/>
      <c r="C65" s="197"/>
      <c r="D65" s="82">
        <v>2</v>
      </c>
      <c r="E65" s="92" t="str">
        <f t="shared" ref="E65:AI65" si="112">IF(INDEX($CK$4:$DO$123,ROW()-3,E$3)=0,"","СП")</f>
        <v/>
      </c>
      <c r="F65" s="92" t="str">
        <f t="shared" si="112"/>
        <v/>
      </c>
      <c r="G65" s="92" t="str">
        <f t="shared" si="112"/>
        <v/>
      </c>
      <c r="H65" s="92" t="str">
        <f t="shared" si="112"/>
        <v/>
      </c>
      <c r="I65" s="92" t="str">
        <f t="shared" si="112"/>
        <v/>
      </c>
      <c r="J65" s="92" t="str">
        <f t="shared" si="112"/>
        <v/>
      </c>
      <c r="K65" s="92" t="str">
        <f t="shared" si="112"/>
        <v>СП</v>
      </c>
      <c r="L65" s="92" t="str">
        <f t="shared" si="112"/>
        <v/>
      </c>
      <c r="M65" s="92" t="str">
        <f t="shared" si="112"/>
        <v/>
      </c>
      <c r="N65" s="92" t="str">
        <f t="shared" si="112"/>
        <v/>
      </c>
      <c r="O65" s="92" t="str">
        <f t="shared" si="112"/>
        <v/>
      </c>
      <c r="P65" s="92" t="str">
        <f t="shared" si="112"/>
        <v/>
      </c>
      <c r="Q65" s="92" t="str">
        <f t="shared" si="112"/>
        <v/>
      </c>
      <c r="R65" s="92" t="str">
        <f t="shared" si="112"/>
        <v/>
      </c>
      <c r="S65" s="92" t="str">
        <f t="shared" si="112"/>
        <v/>
      </c>
      <c r="T65" s="92" t="str">
        <f t="shared" si="112"/>
        <v/>
      </c>
      <c r="U65" s="92" t="str">
        <f t="shared" si="112"/>
        <v/>
      </c>
      <c r="V65" s="92" t="str">
        <f t="shared" si="112"/>
        <v/>
      </c>
      <c r="W65" s="92" t="str">
        <f t="shared" si="112"/>
        <v/>
      </c>
      <c r="X65" s="92" t="str">
        <f t="shared" si="112"/>
        <v/>
      </c>
      <c r="Y65" s="92" t="str">
        <f t="shared" si="112"/>
        <v/>
      </c>
      <c r="Z65" s="92" t="str">
        <f t="shared" si="112"/>
        <v/>
      </c>
      <c r="AA65" s="92" t="str">
        <f t="shared" si="112"/>
        <v/>
      </c>
      <c r="AB65" s="92" t="str">
        <f t="shared" si="112"/>
        <v/>
      </c>
      <c r="AC65" s="92" t="str">
        <f t="shared" si="112"/>
        <v/>
      </c>
      <c r="AD65" s="92" t="str">
        <f t="shared" si="112"/>
        <v/>
      </c>
      <c r="AE65" s="92" t="str">
        <f t="shared" si="112"/>
        <v/>
      </c>
      <c r="AF65" s="92" t="str">
        <f t="shared" si="112"/>
        <v/>
      </c>
      <c r="AG65" s="92" t="str">
        <f t="shared" si="112"/>
        <v/>
      </c>
      <c r="AH65" s="92" t="str">
        <f t="shared" si="112"/>
        <v/>
      </c>
      <c r="AI65" s="92" t="str">
        <f t="shared" si="112"/>
        <v/>
      </c>
      <c r="AJ65" s="206"/>
      <c r="AK65" s="209"/>
      <c r="AL65" s="209"/>
      <c r="AM65" s="209"/>
      <c r="AN65" s="211"/>
      <c r="AO65" s="211"/>
      <c r="AP65" s="211"/>
      <c r="AQ65" s="209"/>
      <c r="AR65" s="210"/>
      <c r="CK65" s="58">
        <f>IF(DAY(INDEX('Сводный годовой график'!$BA$4:$BL$14,$C64,MONTH($B$64)))=E$3,1,0)</f>
        <v>0</v>
      </c>
      <c r="CL65" s="58">
        <f>IF(DAY(INDEX('Сводный годовой график'!$BA$4:$BL$14,$C64,MONTH($B$64)))=F$3,1,0)</f>
        <v>0</v>
      </c>
      <c r="CM65" s="58">
        <f>IF(DAY(INDEX('Сводный годовой график'!$BA$4:$BL$14,$C64,MONTH($B$64)))=G$3,1,0)</f>
        <v>0</v>
      </c>
      <c r="CN65" s="58">
        <f>IF(DAY(INDEX('Сводный годовой график'!$BA$4:$BL$14,$C64,MONTH($B$64)))=H$3,1,0)</f>
        <v>0</v>
      </c>
      <c r="CO65" s="58">
        <f>IF(DAY(INDEX('Сводный годовой график'!$BA$4:$BL$14,$C64,MONTH($B$64)))=I$3,1,0)</f>
        <v>0</v>
      </c>
      <c r="CP65" s="58">
        <f>IF(DAY(INDEX('Сводный годовой график'!$BA$4:$BL$14,$C64,MONTH($B$64)))=J$3,1,0)</f>
        <v>0</v>
      </c>
      <c r="CQ65" s="58">
        <f>IF(DAY(INDEX('Сводный годовой график'!$BA$4:$BL$14,$C64,MONTH($B$64)))=K$3,1,0)</f>
        <v>1</v>
      </c>
      <c r="CR65" s="58">
        <f>IF(DAY(INDEX('Сводный годовой график'!$BA$4:$BL$14,$C64,MONTH($B$64)))=L$3,1,0)</f>
        <v>0</v>
      </c>
      <c r="CS65" s="58">
        <f>IF(DAY(INDEX('Сводный годовой график'!$BA$4:$BL$14,$C64,MONTH($B$64)))=M$3,1,0)</f>
        <v>0</v>
      </c>
      <c r="CT65" s="58">
        <f>IF(DAY(INDEX('Сводный годовой график'!$BA$4:$BL$14,$C64,MONTH($B$64)))=N$3,1,0)</f>
        <v>0</v>
      </c>
      <c r="CU65" s="58">
        <f>IF(DAY(INDEX('Сводный годовой график'!$BA$4:$BL$14,$C64,MONTH($B$64)))=O$3,1,0)</f>
        <v>0</v>
      </c>
      <c r="CV65" s="58">
        <f>IF(DAY(INDEX('Сводный годовой график'!$BA$4:$BL$14,$C64,MONTH($B$64)))=P$3,1,0)</f>
        <v>0</v>
      </c>
      <c r="CW65" s="58">
        <f>IF(DAY(INDEX('Сводный годовой график'!$BA$4:$BL$14,$C64,MONTH($B$64)))=Q$3,1,0)</f>
        <v>0</v>
      </c>
      <c r="CX65" s="58">
        <f>IF(DAY(INDEX('Сводный годовой график'!$BA$4:$BL$14,$C64,MONTH($B$64)))=R$3,1,0)</f>
        <v>0</v>
      </c>
      <c r="CY65" s="58">
        <f>IF(DAY(INDEX('Сводный годовой график'!$BA$4:$BL$14,$C64,MONTH($B$64)))=S$3,1,0)</f>
        <v>0</v>
      </c>
      <c r="CZ65" s="58">
        <f>IF(DAY(INDEX('Сводный годовой график'!$BA$4:$BL$14,$C64,MONTH($B$64)))=T$3,1,0)</f>
        <v>0</v>
      </c>
      <c r="DA65" s="58">
        <f>IF(DAY(INDEX('Сводный годовой график'!$BA$4:$BL$14,$C64,MONTH($B$64)))=U$3,1,0)</f>
        <v>0</v>
      </c>
      <c r="DB65" s="58">
        <f>IF(DAY(INDEX('Сводный годовой график'!$BA$4:$BL$14,$C64,MONTH($B$64)))=V$3,1,0)</f>
        <v>0</v>
      </c>
      <c r="DC65" s="58">
        <f>IF(DAY(INDEX('Сводный годовой график'!$BA$4:$BL$14,$C64,MONTH($B$64)))=W$3,1,0)</f>
        <v>0</v>
      </c>
      <c r="DD65" s="58">
        <f>IF(DAY(INDEX('Сводный годовой график'!$BA$4:$BL$14,$C64,MONTH($B$64)))=X$3,1,0)</f>
        <v>0</v>
      </c>
      <c r="DE65" s="58">
        <f>IF(DAY(INDEX('Сводный годовой график'!$BA$4:$BL$14,$C64,MONTH($B$64)))=Y$3,1,0)</f>
        <v>0</v>
      </c>
      <c r="DF65" s="58">
        <f>IF(DAY(INDEX('Сводный годовой график'!$BA$4:$BL$14,$C64,MONTH($B$64)))=Z$3,1,0)</f>
        <v>0</v>
      </c>
      <c r="DG65" s="58">
        <f>IF(DAY(INDEX('Сводный годовой график'!$BA$4:$BL$14,$C64,MONTH($B$64)))=AA$3,1,0)</f>
        <v>0</v>
      </c>
      <c r="DH65" s="58">
        <f>IF(DAY(INDEX('Сводный годовой график'!$BA$4:$BL$14,$C64,MONTH($B$64)))=AB$3,1,0)</f>
        <v>0</v>
      </c>
      <c r="DI65" s="58">
        <f>IF(DAY(INDEX('Сводный годовой график'!$BA$4:$BL$14,$C64,MONTH($B$64)))=AC$3,1,0)</f>
        <v>0</v>
      </c>
      <c r="DJ65" s="58">
        <f>IF(DAY(INDEX('Сводный годовой график'!$BA$4:$BL$14,$C64,MONTH($B$64)))=AD$3,1,0)</f>
        <v>0</v>
      </c>
      <c r="DK65" s="58">
        <f>IF(DAY(INDEX('Сводный годовой график'!$BA$4:$BL$14,$C64,MONTH($B$64)))=AE$3,1,0)</f>
        <v>0</v>
      </c>
      <c r="DL65" s="58">
        <f>IF(DAY(INDEX('Сводный годовой график'!$BA$4:$BL$14,$C64,MONTH($B$64)))=AF$3,1,0)</f>
        <v>0</v>
      </c>
      <c r="DM65" s="58">
        <f>IF(DAY(INDEX('Сводный годовой график'!$BA$4:$BL$14,$C64,MONTH($B$64)))=AG$3,1,0)</f>
        <v>0</v>
      </c>
      <c r="DN65" s="58">
        <f>IF(DAY(INDEX('Сводный годовой график'!$BA$4:$BL$14,$C64,MONTH($B$64)))=AH$3,1,0)</f>
        <v>0</v>
      </c>
      <c r="DO65" s="58">
        <f>IF(DAY(INDEX('Сводный годовой график'!$BA$4:$BL$14,$C64,MONTH($B$64)))=AI$3,1,0)</f>
        <v>0</v>
      </c>
    </row>
    <row r="66" spans="2:119" ht="16.5" thickBot="1" x14ac:dyDescent="0.3">
      <c r="B66" s="201"/>
      <c r="C66" s="196">
        <v>2</v>
      </c>
      <c r="D66" s="81">
        <v>3</v>
      </c>
      <c r="E66" s="92" t="e">
        <f ca="1">IF(AND(INDEX('Сводный годовой график'!$C$1:$AR$4,MATCH($C$66,'Сводный годовой график'!$B$1:$B$4),MATCH(DATE($AV$1,MONTH($B$64),E$3),'Сводный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график'!$B$1:$B$4),MATCH(DATE($AV$1,MONTH($B$64),E$3),'Сводный годовой график'!$C$11:$AR$11)))</f>
        <v>#N/A</v>
      </c>
      <c r="F66" s="92" t="e">
        <f ca="1">IF(AND(INDEX('Сводный годовой график'!$C$1:$AR$4,MATCH($C$66,'Сводный годовой график'!$B$1:$B$4),MATCH(DATE($AV$1,MONTH($B$64),F$3),'Сводный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график'!$B$1:$B$4),MATCH(DATE($AV$1,MONTH($B$64),F$3),'Сводный годовой график'!$C$11:$AR$11)))</f>
        <v>#N/A</v>
      </c>
      <c r="G66" s="92" t="e">
        <f ca="1">IF(AND(INDEX('Сводный годовой график'!$C$1:$AR$4,MATCH($C$66,'Сводный годовой график'!$B$1:$B$4),MATCH(DATE($AV$1,MONTH($B$64),G$3),'Сводный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график'!$B$1:$B$4),MATCH(DATE($AV$1,MONTH($B$64),G$3),'Сводный годовой график'!$C$11:$AR$11)))</f>
        <v>#N/A</v>
      </c>
      <c r="H66" s="92" t="e">
        <f ca="1">IF(AND(INDEX('Сводный годовой график'!$C$1:$AR$4,MATCH($C$66,'Сводный годовой график'!$B$1:$B$4),MATCH(DATE($AV$1,MONTH($B$64),H$3),'Сводный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график'!$B$1:$B$4),MATCH(DATE($AV$1,MONTH($B$64),H$3),'Сводный годовой график'!$C$11:$AR$11)))</f>
        <v>#N/A</v>
      </c>
      <c r="I66" s="92" t="e">
        <f ca="1">IF(AND(INDEX('Сводный годовой график'!$C$1:$AR$4,MATCH($C$66,'Сводный годовой график'!$B$1:$B$4),MATCH(DATE($AV$1,MONTH($B$64),I$3),'Сводный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график'!$B$1:$B$4),MATCH(DATE($AV$1,MONTH($B$64),I$3),'Сводный годовой график'!$C$11:$AR$11)))</f>
        <v>#N/A</v>
      </c>
      <c r="J66" s="92" t="e">
        <f ca="1">IF(AND(INDEX('Сводный годовой график'!$C$1:$AR$4,MATCH($C$66,'Сводный годовой график'!$B$1:$B$4),MATCH(DATE($AV$1,MONTH($B$64),J$3),'Сводный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график'!$B$1:$B$4),MATCH(DATE($AV$1,MONTH($B$64),J$3),'Сводный годовой график'!$C$11:$AR$11)))</f>
        <v>#N/A</v>
      </c>
      <c r="K66" s="92" t="e">
        <f ca="1">IF(AND(INDEX('Сводный годовой график'!$C$1:$AR$4,MATCH($C$66,'Сводный годовой график'!$B$1:$B$4),MATCH(DATE($AV$1,MONTH($B$64),K$3),'Сводный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график'!$B$1:$B$4),MATCH(DATE($AV$1,MONTH($B$64),K$3),'Сводный годовой график'!$C$11:$AR$11)))</f>
        <v>#N/A</v>
      </c>
      <c r="L66" s="92" t="e">
        <f ca="1">IF(AND(INDEX('Сводный годовой график'!$C$1:$AR$4,MATCH($C$66,'Сводный годовой график'!$B$1:$B$4),MATCH(DATE($AV$1,MONTH($B$64),L$3),'Сводный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график'!$B$1:$B$4),MATCH(DATE($AV$1,MONTH($B$64),L$3),'Сводный годовой график'!$C$11:$AR$11)))</f>
        <v>#N/A</v>
      </c>
      <c r="M66" s="92" t="e">
        <f ca="1">IF(AND(INDEX('Сводный годовой график'!$C$1:$AR$4,MATCH($C$66,'Сводный годовой график'!$B$1:$B$4),MATCH(DATE($AV$1,MONTH($B$64),M$3),'Сводный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график'!$B$1:$B$4),MATCH(DATE($AV$1,MONTH($B$64),M$3),'Сводный годовой график'!$C$11:$AR$11)))</f>
        <v>#N/A</v>
      </c>
      <c r="N66" s="92" t="e">
        <f ca="1">IF(AND(INDEX('Сводный годовой график'!$C$1:$AR$4,MATCH($C$66,'Сводный годовой график'!$B$1:$B$4),MATCH(DATE($AV$1,MONTH($B$64),N$3),'Сводный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график'!$B$1:$B$4),MATCH(DATE($AV$1,MONTH($B$64),N$3),'Сводный годовой график'!$C$11:$AR$11)))</f>
        <v>#N/A</v>
      </c>
      <c r="O66" s="92" t="e">
        <f ca="1">IF(AND(INDEX('Сводный годовой график'!$C$1:$AR$4,MATCH($C$66,'Сводный годовой график'!$B$1:$B$4),MATCH(DATE($AV$1,MONTH($B$64),O$3),'Сводный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график'!$B$1:$B$4),MATCH(DATE($AV$1,MONTH($B$64),O$3),'Сводный годовой график'!$C$11:$AR$11)))</f>
        <v>#N/A</v>
      </c>
      <c r="P66" s="92" t="e">
        <f ca="1">IF(AND(INDEX('Сводный годовой график'!$C$1:$AR$4,MATCH($C$66,'Сводный годовой график'!$B$1:$B$4),MATCH(DATE($AV$1,MONTH($B$64),P$3),'Сводный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график'!$B$1:$B$4),MATCH(DATE($AV$1,MONTH($B$64),P$3),'Сводный годовой график'!$C$11:$AR$11)))</f>
        <v>#N/A</v>
      </c>
      <c r="Q66" s="92" t="e">
        <f ca="1">IF(AND(INDEX('Сводный годовой график'!$C$1:$AR$4,MATCH($C$66,'Сводный годовой график'!$B$1:$B$4),MATCH(DATE($AV$1,MONTH($B$64),Q$3),'Сводный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график'!$B$1:$B$4),MATCH(DATE($AV$1,MONTH($B$64),Q$3),'Сводный годовой график'!$C$11:$AR$11)))</f>
        <v>#N/A</v>
      </c>
      <c r="R66" s="92" t="e">
        <f ca="1">IF(AND(INDEX('Сводный годовой график'!$C$1:$AR$4,MATCH($C$66,'Сводный годовой график'!$B$1:$B$4),MATCH(DATE($AV$1,MONTH($B$64),R$3),'Сводный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график'!$B$1:$B$4),MATCH(DATE($AV$1,MONTH($B$64),R$3),'Сводный годовой график'!$C$11:$AR$11)))</f>
        <v>#N/A</v>
      </c>
      <c r="S66" s="92" t="e">
        <f ca="1">IF(AND(INDEX('Сводный годовой график'!$C$1:$AR$4,MATCH($C$66,'Сводный годовой график'!$B$1:$B$4),MATCH(DATE($AV$1,MONTH($B$64),S$3),'Сводный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график'!$B$1:$B$4),MATCH(DATE($AV$1,MONTH($B$64),S$3),'Сводный годовой график'!$C$11:$AR$11)))</f>
        <v>#N/A</v>
      </c>
      <c r="T66" s="92" t="e">
        <f ca="1">IF(AND(INDEX('Сводный годовой график'!$C$1:$AR$4,MATCH($C$66,'Сводный годовой график'!$B$1:$B$4),MATCH(DATE($AV$1,MONTH($B$64),T$3),'Сводный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график'!$B$1:$B$4),MATCH(DATE($AV$1,MONTH($B$64),T$3),'Сводный годовой график'!$C$11:$AR$11)))</f>
        <v>#N/A</v>
      </c>
      <c r="U66" s="92" t="e">
        <f ca="1">IF(AND(INDEX('Сводный годовой график'!$C$1:$AR$4,MATCH($C$66,'Сводный годовой график'!$B$1:$B$4),MATCH(DATE($AV$1,MONTH($B$64),U$3),'Сводный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график'!$B$1:$B$4),MATCH(DATE($AV$1,MONTH($B$64),U$3),'Сводный годовой график'!$C$11:$AR$11)))</f>
        <v>#N/A</v>
      </c>
      <c r="V66" s="92" t="e">
        <f ca="1">IF(AND(INDEX('Сводный годовой график'!$C$1:$AR$4,MATCH($C$66,'Сводный годовой график'!$B$1:$B$4),MATCH(DATE($AV$1,MONTH($B$64),V$3),'Сводный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график'!$B$1:$B$4),MATCH(DATE($AV$1,MONTH($B$64),V$3),'Сводный годовой график'!$C$11:$AR$11)))</f>
        <v>#N/A</v>
      </c>
      <c r="W66" s="92" t="e">
        <f ca="1">IF(AND(INDEX('Сводный годовой график'!$C$1:$AR$4,MATCH($C$66,'Сводный годовой график'!$B$1:$B$4),MATCH(DATE($AV$1,MONTH($B$64),W$3),'Сводный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график'!$B$1:$B$4),MATCH(DATE($AV$1,MONTH($B$64),W$3),'Сводный годовой график'!$C$11:$AR$11)))</f>
        <v>#N/A</v>
      </c>
      <c r="X66" s="92" t="e">
        <f ca="1">IF(AND(INDEX('Сводный годовой график'!$C$1:$AR$4,MATCH($C$66,'Сводный годовой график'!$B$1:$B$4),MATCH(DATE($AV$1,MONTH($B$64),X$3),'Сводный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график'!$B$1:$B$4),MATCH(DATE($AV$1,MONTH($B$64),X$3),'Сводный годовой график'!$C$11:$AR$11)))</f>
        <v>#N/A</v>
      </c>
      <c r="Y66" s="92" t="e">
        <f ca="1">IF(AND(INDEX('Сводный годовой график'!$C$1:$AR$4,MATCH($C$66,'Сводный годовой график'!$B$1:$B$4),MATCH(DATE($AV$1,MONTH($B$64),Y$3),'Сводный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график'!$B$1:$B$4),MATCH(DATE($AV$1,MONTH($B$64),Y$3),'Сводный годовой график'!$C$11:$AR$11)))</f>
        <v>#N/A</v>
      </c>
      <c r="Z66" s="92" t="e">
        <f ca="1">IF(AND(INDEX('Сводный годовой график'!$C$1:$AR$4,MATCH($C$66,'Сводный годовой график'!$B$1:$B$4),MATCH(DATE($AV$1,MONTH($B$64),Z$3),'Сводный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график'!$B$1:$B$4),MATCH(DATE($AV$1,MONTH($B$64),Z$3),'Сводный годовой график'!$C$11:$AR$11)))</f>
        <v>#N/A</v>
      </c>
      <c r="AA66" s="92" t="e">
        <f ca="1">IF(AND(INDEX('Сводный годовой график'!$C$1:$AR$4,MATCH($C$66,'Сводный годовой график'!$B$1:$B$4),MATCH(DATE($AV$1,MONTH($B$64),AA$3),'Сводный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график'!$B$1:$B$4),MATCH(DATE($AV$1,MONTH($B$64),AA$3),'Сводный годовой график'!$C$11:$AR$11)))</f>
        <v>#N/A</v>
      </c>
      <c r="AB66" s="92" t="e">
        <f ca="1">IF(AND(INDEX('Сводный годовой график'!$C$1:$AR$4,MATCH($C$66,'Сводный годовой график'!$B$1:$B$4),MATCH(DATE($AV$1,MONTH($B$64),AB$3),'Сводный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график'!$B$1:$B$4),MATCH(DATE($AV$1,MONTH($B$64),AB$3),'Сводный годовой график'!$C$11:$AR$11)))</f>
        <v>#N/A</v>
      </c>
      <c r="AC66" s="92" t="e">
        <f ca="1">IF(AND(INDEX('Сводный годовой график'!$C$1:$AR$4,MATCH($C$66,'Сводный годовой график'!$B$1:$B$4),MATCH(DATE($AV$1,MONTH($B$64),AC$3),'Сводный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график'!$B$1:$B$4),MATCH(DATE($AV$1,MONTH($B$64),AC$3),'Сводный годовой график'!$C$11:$AR$11)))</f>
        <v>#N/A</v>
      </c>
      <c r="AD66" s="92" t="e">
        <f ca="1">IF(AND(INDEX('Сводный годовой график'!$C$1:$AR$4,MATCH($C$66,'Сводный годовой график'!$B$1:$B$4),MATCH(DATE($AV$1,MONTH($B$64),AD$3),'Сводный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график'!$B$1:$B$4),MATCH(DATE($AV$1,MONTH($B$64),AD$3),'Сводный годовой график'!$C$11:$AR$11)))</f>
        <v>#N/A</v>
      </c>
      <c r="AE66" s="92" t="e">
        <f ca="1">IF(AND(INDEX('Сводный годовой график'!$C$1:$AR$4,MATCH($C$66,'Сводный годовой график'!$B$1:$B$4),MATCH(DATE($AV$1,MONTH($B$64),AE$3),'Сводный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график'!$B$1:$B$4),MATCH(DATE($AV$1,MONTH($B$64),AE$3),'Сводный годовой график'!$C$11:$AR$11)))</f>
        <v>#N/A</v>
      </c>
      <c r="AF66" s="92" t="e">
        <f ca="1">IF(AND(INDEX('Сводный годовой график'!$C$1:$AR$4,MATCH($C$66,'Сводный годовой график'!$B$1:$B$4),MATCH(DATE($AV$1,MONTH($B$64),AF$3),'Сводный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график'!$B$1:$B$4),MATCH(DATE($AV$1,MONTH($B$64),AF$3),'Сводный годовой график'!$C$11:$AR$11)))</f>
        <v>#N/A</v>
      </c>
      <c r="AG66" s="92" t="e">
        <f ca="1">IF(AND(INDEX('Сводный годовой график'!$C$1:$AR$4,MATCH($C$66,'Сводный годовой график'!$B$1:$B$4),MATCH(DATE($AV$1,MONTH($B$64),AG$3),'Сводный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график'!$B$1:$B$4),MATCH(DATE($AV$1,MONTH($B$64),AG$3),'Сводный годовой график'!$C$11:$AR$11)))</f>
        <v>#N/A</v>
      </c>
      <c r="AH66" s="92" t="e">
        <f ca="1">IF(AND(INDEX('Сводный годовой график'!$C$1:$AR$4,MATCH($C$66,'Сводный годовой график'!$B$1:$B$4),MATCH(DATE($AV$1,MONTH($B$64),AH$3),'Сводный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график'!$B$1:$B$4),MATCH(DATE($AV$1,MONTH($B$64),AH$3),'Сводный годовой график'!$C$11:$AR$11)))</f>
        <v>#N/A</v>
      </c>
      <c r="AI66" s="92" t="e">
        <f ca="1">IF(AND(INDEX('Сводный годовой график'!$C$1:$AR$4,MATCH($C$66,'Сводный годовой график'!$B$1:$B$4),MATCH(DATE($AV$1,MONTH($B$64),AI$3),'Сводный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график'!$B$1:$B$4),MATCH(DATE($AV$1,MONTH($B$64),AI$3),'Сводный годовой график'!$C$11:$AR$11)))</f>
        <v>#N/A</v>
      </c>
      <c r="AJ66" s="206"/>
      <c r="AK66" s="209">
        <f>$AJ$64-SUM(AY66:CC67)</f>
        <v>184</v>
      </c>
      <c r="AL66" s="209" t="e">
        <f t="shared" ref="AL66" ca="1" si="113">SUM(E66:AI67)</f>
        <v>#N/A</v>
      </c>
      <c r="AM66" s="209">
        <v>0</v>
      </c>
      <c r="AN66" s="211" t="e">
        <f t="shared" ref="AN66" ca="1" si="114">-AM66-AK66+AL66</f>
        <v>#N/A</v>
      </c>
      <c r="AO66" s="211">
        <v>0</v>
      </c>
      <c r="AP66" s="211" t="e">
        <f t="shared" ref="AP66" ca="1" si="115">AN66+AP56</f>
        <v>#N/A</v>
      </c>
      <c r="AQ66" s="209">
        <v>15</v>
      </c>
      <c r="AR66" s="210">
        <v>1</v>
      </c>
      <c r="CK66" s="59"/>
      <c r="CL66" s="59"/>
      <c r="CM66" s="59"/>
      <c r="CN66" s="59"/>
      <c r="CO66" s="59"/>
      <c r="CP66" s="59"/>
      <c r="CQ66" s="59"/>
      <c r="CR66" s="59"/>
      <c r="CS66" s="59"/>
      <c r="CT66" s="59"/>
      <c r="CU66" s="59"/>
      <c r="CV66" s="59"/>
      <c r="CW66" s="59"/>
      <c r="CX66" s="59"/>
      <c r="CY66" s="59"/>
      <c r="CZ66" s="59"/>
      <c r="DA66" s="59"/>
      <c r="DB66" s="59"/>
      <c r="DC66" s="59"/>
      <c r="DD66" s="59"/>
      <c r="DE66" s="59"/>
      <c r="DF66" s="59"/>
      <c r="DG66" s="59"/>
      <c r="DH66" s="59"/>
      <c r="DI66" s="59"/>
      <c r="DJ66" s="59"/>
      <c r="DK66" s="59"/>
      <c r="DL66" s="59"/>
      <c r="DM66" s="59"/>
      <c r="DN66" s="59"/>
      <c r="DO66" s="59"/>
    </row>
    <row r="67" spans="2:119" ht="16.5" thickBot="1" x14ac:dyDescent="0.3">
      <c r="B67" s="201"/>
      <c r="C67" s="197"/>
      <c r="D67" s="82">
        <v>4</v>
      </c>
      <c r="E67" s="92" t="str">
        <f t="shared" ref="E67:AI67" si="116">IF(INDEX($CK$4:$DO$123,ROW()-3,E$3)=0,"","СП")</f>
        <v/>
      </c>
      <c r="F67" s="92" t="str">
        <f t="shared" si="116"/>
        <v/>
      </c>
      <c r="G67" s="92" t="str">
        <f t="shared" si="116"/>
        <v/>
      </c>
      <c r="H67" s="92" t="str">
        <f t="shared" si="116"/>
        <v/>
      </c>
      <c r="I67" s="92" t="str">
        <f t="shared" si="116"/>
        <v/>
      </c>
      <c r="J67" s="92" t="str">
        <f t="shared" si="116"/>
        <v/>
      </c>
      <c r="K67" s="92" t="str">
        <f t="shared" si="116"/>
        <v/>
      </c>
      <c r="L67" s="92" t="str">
        <f t="shared" si="116"/>
        <v>СП</v>
      </c>
      <c r="M67" s="92" t="str">
        <f t="shared" si="116"/>
        <v/>
      </c>
      <c r="N67" s="92" t="str">
        <f t="shared" si="116"/>
        <v/>
      </c>
      <c r="O67" s="92" t="str">
        <f t="shared" si="116"/>
        <v/>
      </c>
      <c r="P67" s="92" t="str">
        <f t="shared" si="116"/>
        <v/>
      </c>
      <c r="Q67" s="92" t="str">
        <f t="shared" si="116"/>
        <v/>
      </c>
      <c r="R67" s="92" t="str">
        <f t="shared" si="116"/>
        <v/>
      </c>
      <c r="S67" s="92" t="str">
        <f t="shared" si="116"/>
        <v/>
      </c>
      <c r="T67" s="92" t="str">
        <f t="shared" si="116"/>
        <v/>
      </c>
      <c r="U67" s="92" t="str">
        <f t="shared" si="116"/>
        <v/>
      </c>
      <c r="V67" s="92" t="str">
        <f t="shared" si="116"/>
        <v/>
      </c>
      <c r="W67" s="92" t="str">
        <f t="shared" si="116"/>
        <v/>
      </c>
      <c r="X67" s="92" t="str">
        <f t="shared" si="116"/>
        <v/>
      </c>
      <c r="Y67" s="92" t="str">
        <f t="shared" si="116"/>
        <v/>
      </c>
      <c r="Z67" s="92" t="str">
        <f t="shared" si="116"/>
        <v/>
      </c>
      <c r="AA67" s="92" t="str">
        <f t="shared" si="116"/>
        <v/>
      </c>
      <c r="AB67" s="92" t="str">
        <f t="shared" si="116"/>
        <v/>
      </c>
      <c r="AC67" s="92" t="str">
        <f t="shared" si="116"/>
        <v/>
      </c>
      <c r="AD67" s="92" t="str">
        <f t="shared" si="116"/>
        <v/>
      </c>
      <c r="AE67" s="92" t="str">
        <f t="shared" si="116"/>
        <v/>
      </c>
      <c r="AF67" s="92" t="str">
        <f t="shared" si="116"/>
        <v/>
      </c>
      <c r="AG67" s="92" t="str">
        <f t="shared" si="116"/>
        <v/>
      </c>
      <c r="AH67" s="92" t="str">
        <f t="shared" si="116"/>
        <v/>
      </c>
      <c r="AI67" s="92" t="str">
        <f t="shared" si="116"/>
        <v/>
      </c>
      <c r="AJ67" s="206"/>
      <c r="AK67" s="209"/>
      <c r="AL67" s="209"/>
      <c r="AM67" s="209"/>
      <c r="AN67" s="211"/>
      <c r="AO67" s="211"/>
      <c r="AP67" s="211"/>
      <c r="AQ67" s="209"/>
      <c r="AR67" s="210"/>
      <c r="CK67" s="58">
        <f>IF(DAY(INDEX('Сводный годовой график'!$BA$4:$BL$14,$C66,MONTH($B$64)))=E$3,1,0)</f>
        <v>0</v>
      </c>
      <c r="CL67" s="58">
        <f>IF(DAY(INDEX('Сводный годовой график'!$BA$4:$BL$14,$C66,MONTH($B$64)))=F$3,1,0)</f>
        <v>0</v>
      </c>
      <c r="CM67" s="58">
        <f>IF(DAY(INDEX('Сводный годовой график'!$BA$4:$BL$14,$C66,MONTH($B$64)))=G$3,1,0)</f>
        <v>0</v>
      </c>
      <c r="CN67" s="58">
        <f>IF(DAY(INDEX('Сводный годовой график'!$BA$4:$BL$14,$C66,MONTH($B$64)))=H$3,1,0)</f>
        <v>0</v>
      </c>
      <c r="CO67" s="58">
        <f>IF(DAY(INDEX('Сводный годовой график'!$BA$4:$BL$14,$C66,MONTH($B$64)))=I$3,1,0)</f>
        <v>0</v>
      </c>
      <c r="CP67" s="58">
        <f>IF(DAY(INDEX('Сводный годовой график'!$BA$4:$BL$14,$C66,MONTH($B$64)))=J$3,1,0)</f>
        <v>0</v>
      </c>
      <c r="CQ67" s="58">
        <f>IF(DAY(INDEX('Сводный годовой график'!$BA$4:$BL$14,$C66,MONTH($B$64)))=K$3,1,0)</f>
        <v>0</v>
      </c>
      <c r="CR67" s="58">
        <f>IF(DAY(INDEX('Сводный годовой график'!$BA$4:$BL$14,$C66,MONTH($B$64)))=L$3,1,0)</f>
        <v>1</v>
      </c>
      <c r="CS67" s="58">
        <f>IF(DAY(INDEX('Сводный годовой график'!$BA$4:$BL$14,$C66,MONTH($B$64)))=M$3,1,0)</f>
        <v>0</v>
      </c>
      <c r="CT67" s="58">
        <f>IF(DAY(INDEX('Сводный годовой график'!$BA$4:$BL$14,$C66,MONTH($B$64)))=N$3,1,0)</f>
        <v>0</v>
      </c>
      <c r="CU67" s="58">
        <f>IF(DAY(INDEX('Сводный годовой график'!$BA$4:$BL$14,$C66,MONTH($B$64)))=O$3,1,0)</f>
        <v>0</v>
      </c>
      <c r="CV67" s="58">
        <f>IF(DAY(INDEX('Сводный годовой график'!$BA$4:$BL$14,$C66,MONTH($B$64)))=P$3,1,0)</f>
        <v>0</v>
      </c>
      <c r="CW67" s="58">
        <f>IF(DAY(INDEX('Сводный годовой график'!$BA$4:$BL$14,$C66,MONTH($B$64)))=Q$3,1,0)</f>
        <v>0</v>
      </c>
      <c r="CX67" s="58">
        <f>IF(DAY(INDEX('Сводный годовой график'!$BA$4:$BL$14,$C66,MONTH($B$64)))=R$3,1,0)</f>
        <v>0</v>
      </c>
      <c r="CY67" s="58">
        <f>IF(DAY(INDEX('Сводный годовой график'!$BA$4:$BL$14,$C66,MONTH($B$64)))=S$3,1,0)</f>
        <v>0</v>
      </c>
      <c r="CZ67" s="58">
        <f>IF(DAY(INDEX('Сводный годовой график'!$BA$4:$BL$14,$C66,MONTH($B$64)))=T$3,1,0)</f>
        <v>0</v>
      </c>
      <c r="DA67" s="58">
        <f>IF(DAY(INDEX('Сводный годовой график'!$BA$4:$BL$14,$C66,MONTH($B$64)))=U$3,1,0)</f>
        <v>0</v>
      </c>
      <c r="DB67" s="58">
        <f>IF(DAY(INDEX('Сводный годовой график'!$BA$4:$BL$14,$C66,MONTH($B$64)))=V$3,1,0)</f>
        <v>0</v>
      </c>
      <c r="DC67" s="58">
        <f>IF(DAY(INDEX('Сводный годовой график'!$BA$4:$BL$14,$C66,MONTH($B$64)))=W$3,1,0)</f>
        <v>0</v>
      </c>
      <c r="DD67" s="58">
        <f>IF(DAY(INDEX('Сводный годовой график'!$BA$4:$BL$14,$C66,MONTH($B$64)))=X$3,1,0)</f>
        <v>0</v>
      </c>
      <c r="DE67" s="58">
        <f>IF(DAY(INDEX('Сводный годовой график'!$BA$4:$BL$14,$C66,MONTH($B$64)))=Y$3,1,0)</f>
        <v>0</v>
      </c>
      <c r="DF67" s="58">
        <f>IF(DAY(INDEX('Сводный годовой график'!$BA$4:$BL$14,$C66,MONTH($B$64)))=Z$3,1,0)</f>
        <v>0</v>
      </c>
      <c r="DG67" s="58">
        <f>IF(DAY(INDEX('Сводный годовой график'!$BA$4:$BL$14,$C66,MONTH($B$64)))=AA$3,1,0)</f>
        <v>0</v>
      </c>
      <c r="DH67" s="58">
        <f>IF(DAY(INDEX('Сводный годовой график'!$BA$4:$BL$14,$C66,MONTH($B$64)))=AB$3,1,0)</f>
        <v>0</v>
      </c>
      <c r="DI67" s="58">
        <f>IF(DAY(INDEX('Сводный годовой график'!$BA$4:$BL$14,$C66,MONTH($B$64)))=AC$3,1,0)</f>
        <v>0</v>
      </c>
      <c r="DJ67" s="58">
        <f>IF(DAY(INDEX('Сводный годовой график'!$BA$4:$BL$14,$C66,MONTH($B$64)))=AD$3,1,0)</f>
        <v>0</v>
      </c>
      <c r="DK67" s="58">
        <f>IF(DAY(INDEX('Сводный годовой график'!$BA$4:$BL$14,$C66,MONTH($B$64)))=AE$3,1,0)</f>
        <v>0</v>
      </c>
      <c r="DL67" s="58">
        <f>IF(DAY(INDEX('Сводный годовой график'!$BA$4:$BL$14,$C66,MONTH($B$64)))=AF$3,1,0)</f>
        <v>0</v>
      </c>
      <c r="DM67" s="58">
        <f>IF(DAY(INDEX('Сводный годовой график'!$BA$4:$BL$14,$C66,MONTH($B$64)))=AG$3,1,0)</f>
        <v>0</v>
      </c>
      <c r="DN67" s="58">
        <f>IF(DAY(INDEX('Сводный годовой график'!$BA$4:$BL$14,$C66,MONTH($B$64)))=AH$3,1,0)</f>
        <v>0</v>
      </c>
      <c r="DO67" s="58">
        <f>IF(DAY(INDEX('Сводный годовой график'!$BA$4:$BL$14,$C66,MONTH($B$64)))=AI$3,1,0)</f>
        <v>0</v>
      </c>
    </row>
    <row r="68" spans="2:119" ht="16.5" thickBot="1" x14ac:dyDescent="0.3">
      <c r="B68" s="201"/>
      <c r="C68" s="196">
        <v>3</v>
      </c>
      <c r="D68" s="81">
        <v>5</v>
      </c>
      <c r="E68" s="92" t="e">
        <f ca="1">IF(AND(INDEX('Сводный годовой график'!$C$1:$AR$4,MATCH($C$68,'Сводный годовой график'!$B$1:$B$4),MATCH(DATE($AV$1,MONTH($B$64),E$3),'Сводный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график'!$B$1:$B$4),MATCH(DATE($AV$1,MONTH($B$64),E$3),'Сводный годовой график'!$C$11:$AR$11)))</f>
        <v>#N/A</v>
      </c>
      <c r="F68" s="92" t="e">
        <f ca="1">IF(AND(INDEX('Сводный годовой график'!$C$1:$AR$4,MATCH($C$68,'Сводный годовой график'!$B$1:$B$4),MATCH(DATE($AV$1,MONTH($B$64),F$3),'Сводный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график'!$B$1:$B$4),MATCH(DATE($AV$1,MONTH($B$64),F$3),'Сводный годовой график'!$C$11:$AR$11)))</f>
        <v>#N/A</v>
      </c>
      <c r="G68" s="92" t="e">
        <f ca="1">IF(AND(INDEX('Сводный годовой график'!$C$1:$AR$4,MATCH($C$68,'Сводный годовой график'!$B$1:$B$4),MATCH(DATE($AV$1,MONTH($B$64),G$3),'Сводный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график'!$B$1:$B$4),MATCH(DATE($AV$1,MONTH($B$64),G$3),'Сводный годовой график'!$C$11:$AR$11)))</f>
        <v>#N/A</v>
      </c>
      <c r="H68" s="92" t="e">
        <f ca="1">IF(AND(INDEX('Сводный годовой график'!$C$1:$AR$4,MATCH($C$68,'Сводный годовой график'!$B$1:$B$4),MATCH(DATE($AV$1,MONTH($B$64),H$3),'Сводный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график'!$B$1:$B$4),MATCH(DATE($AV$1,MONTH($B$64),H$3),'Сводный годовой график'!$C$11:$AR$11)))</f>
        <v>#N/A</v>
      </c>
      <c r="I68" s="92" t="e">
        <f ca="1">IF(AND(INDEX('Сводный годовой график'!$C$1:$AR$4,MATCH($C$68,'Сводный годовой график'!$B$1:$B$4),MATCH(DATE($AV$1,MONTH($B$64),I$3),'Сводный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график'!$B$1:$B$4),MATCH(DATE($AV$1,MONTH($B$64),I$3),'Сводный годовой график'!$C$11:$AR$11)))</f>
        <v>#N/A</v>
      </c>
      <c r="J68" s="92" t="e">
        <f ca="1">IF(AND(INDEX('Сводный годовой график'!$C$1:$AR$4,MATCH($C$68,'Сводный годовой график'!$B$1:$B$4),MATCH(DATE($AV$1,MONTH($B$64),J$3),'Сводный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график'!$B$1:$B$4),MATCH(DATE($AV$1,MONTH($B$64),J$3),'Сводный годовой график'!$C$11:$AR$11)))</f>
        <v>#N/A</v>
      </c>
      <c r="K68" s="92" t="e">
        <f ca="1">IF(AND(INDEX('Сводный годовой график'!$C$1:$AR$4,MATCH($C$68,'Сводный годовой график'!$B$1:$B$4),MATCH(DATE($AV$1,MONTH($B$64),K$3),'Сводный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график'!$B$1:$B$4),MATCH(DATE($AV$1,MONTH($B$64),K$3),'Сводный годовой график'!$C$11:$AR$11)))</f>
        <v>#N/A</v>
      </c>
      <c r="L68" s="92" t="e">
        <f ca="1">IF(AND(INDEX('Сводный годовой график'!$C$1:$AR$4,MATCH($C$68,'Сводный годовой график'!$B$1:$B$4),MATCH(DATE($AV$1,MONTH($B$64),L$3),'Сводный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график'!$B$1:$B$4),MATCH(DATE($AV$1,MONTH($B$64),L$3),'Сводный годовой график'!$C$11:$AR$11)))</f>
        <v>#N/A</v>
      </c>
      <c r="M68" s="92" t="e">
        <f ca="1">IF(AND(INDEX('Сводный годовой график'!$C$1:$AR$4,MATCH($C$68,'Сводный годовой график'!$B$1:$B$4),MATCH(DATE($AV$1,MONTH($B$64),M$3),'Сводный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график'!$B$1:$B$4),MATCH(DATE($AV$1,MONTH($B$64),M$3),'Сводный годовой график'!$C$11:$AR$11)))</f>
        <v>#N/A</v>
      </c>
      <c r="N68" s="92" t="e">
        <f ca="1">IF(AND(INDEX('Сводный годовой график'!$C$1:$AR$4,MATCH($C$68,'Сводный годовой график'!$B$1:$B$4),MATCH(DATE($AV$1,MONTH($B$64),N$3),'Сводный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график'!$B$1:$B$4),MATCH(DATE($AV$1,MONTH($B$64),N$3),'Сводный годовой график'!$C$11:$AR$11)))</f>
        <v>#N/A</v>
      </c>
      <c r="O68" s="92" t="e">
        <f ca="1">IF(AND(INDEX('Сводный годовой график'!$C$1:$AR$4,MATCH($C$68,'Сводный годовой график'!$B$1:$B$4),MATCH(DATE($AV$1,MONTH($B$64),O$3),'Сводный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график'!$B$1:$B$4),MATCH(DATE($AV$1,MONTH($B$64),O$3),'Сводный годовой график'!$C$11:$AR$11)))</f>
        <v>#N/A</v>
      </c>
      <c r="P68" s="92" t="e">
        <f ca="1">IF(AND(INDEX('Сводный годовой график'!$C$1:$AR$4,MATCH($C$68,'Сводный годовой график'!$B$1:$B$4),MATCH(DATE($AV$1,MONTH($B$64),P$3),'Сводный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график'!$B$1:$B$4),MATCH(DATE($AV$1,MONTH($B$64),P$3),'Сводный годовой график'!$C$11:$AR$11)))</f>
        <v>#N/A</v>
      </c>
      <c r="Q68" s="92" t="e">
        <f ca="1">IF(AND(INDEX('Сводный годовой график'!$C$1:$AR$4,MATCH($C$68,'Сводный годовой график'!$B$1:$B$4),MATCH(DATE($AV$1,MONTH($B$64),Q$3),'Сводный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график'!$B$1:$B$4),MATCH(DATE($AV$1,MONTH($B$64),Q$3),'Сводный годовой график'!$C$11:$AR$11)))</f>
        <v>#N/A</v>
      </c>
      <c r="R68" s="92" t="e">
        <f ca="1">IF(AND(INDEX('Сводный годовой график'!$C$1:$AR$4,MATCH($C$68,'Сводный годовой график'!$B$1:$B$4),MATCH(DATE($AV$1,MONTH($B$64),R$3),'Сводный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график'!$B$1:$B$4),MATCH(DATE($AV$1,MONTH($B$64),R$3),'Сводный годовой график'!$C$11:$AR$11)))</f>
        <v>#N/A</v>
      </c>
      <c r="S68" s="92" t="e">
        <f ca="1">IF(AND(INDEX('Сводный годовой график'!$C$1:$AR$4,MATCH($C$68,'Сводный годовой график'!$B$1:$B$4),MATCH(DATE($AV$1,MONTH($B$64),S$3),'Сводный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график'!$B$1:$B$4),MATCH(DATE($AV$1,MONTH($B$64),S$3),'Сводный годовой график'!$C$11:$AR$11)))</f>
        <v>#N/A</v>
      </c>
      <c r="T68" s="92" t="e">
        <f ca="1">IF(AND(INDEX('Сводный годовой график'!$C$1:$AR$4,MATCH($C$68,'Сводный годовой график'!$B$1:$B$4),MATCH(DATE($AV$1,MONTH($B$64),T$3),'Сводный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график'!$B$1:$B$4),MATCH(DATE($AV$1,MONTH($B$64),T$3),'Сводный годовой график'!$C$11:$AR$11)))</f>
        <v>#N/A</v>
      </c>
      <c r="U68" s="92" t="e">
        <f ca="1">IF(AND(INDEX('Сводный годовой график'!$C$1:$AR$4,MATCH($C$68,'Сводный годовой график'!$B$1:$B$4),MATCH(DATE($AV$1,MONTH($B$64),U$3),'Сводный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график'!$B$1:$B$4),MATCH(DATE($AV$1,MONTH($B$64),U$3),'Сводный годовой график'!$C$11:$AR$11)))</f>
        <v>#N/A</v>
      </c>
      <c r="V68" s="92" t="e">
        <f ca="1">IF(AND(INDEX('Сводный годовой график'!$C$1:$AR$4,MATCH($C$68,'Сводный годовой график'!$B$1:$B$4),MATCH(DATE($AV$1,MONTH($B$64),V$3),'Сводный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график'!$B$1:$B$4),MATCH(DATE($AV$1,MONTH($B$64),V$3),'Сводный годовой график'!$C$11:$AR$11)))</f>
        <v>#N/A</v>
      </c>
      <c r="W68" s="92" t="e">
        <f ca="1">IF(AND(INDEX('Сводный годовой график'!$C$1:$AR$4,MATCH($C$68,'Сводный годовой график'!$B$1:$B$4),MATCH(DATE($AV$1,MONTH($B$64),W$3),'Сводный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график'!$B$1:$B$4),MATCH(DATE($AV$1,MONTH($B$64),W$3),'Сводный годовой график'!$C$11:$AR$11)))</f>
        <v>#N/A</v>
      </c>
      <c r="X68" s="92" t="e">
        <f ca="1">IF(AND(INDEX('Сводный годовой график'!$C$1:$AR$4,MATCH($C$68,'Сводный годовой график'!$B$1:$B$4),MATCH(DATE($AV$1,MONTH($B$64),X$3),'Сводный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график'!$B$1:$B$4),MATCH(DATE($AV$1,MONTH($B$64),X$3),'Сводный годовой график'!$C$11:$AR$11)))</f>
        <v>#N/A</v>
      </c>
      <c r="Y68" s="92" t="e">
        <f ca="1">IF(AND(INDEX('Сводный годовой график'!$C$1:$AR$4,MATCH($C$68,'Сводный годовой график'!$B$1:$B$4),MATCH(DATE($AV$1,MONTH($B$64),Y$3),'Сводный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график'!$B$1:$B$4),MATCH(DATE($AV$1,MONTH($B$64),Y$3),'Сводный годовой график'!$C$11:$AR$11)))</f>
        <v>#N/A</v>
      </c>
      <c r="Z68" s="92" t="e">
        <f ca="1">IF(AND(INDEX('Сводный годовой график'!$C$1:$AR$4,MATCH($C$68,'Сводный годовой график'!$B$1:$B$4),MATCH(DATE($AV$1,MONTH($B$64),Z$3),'Сводный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график'!$B$1:$B$4),MATCH(DATE($AV$1,MONTH($B$64),Z$3),'Сводный годовой график'!$C$11:$AR$11)))</f>
        <v>#N/A</v>
      </c>
      <c r="AA68" s="92" t="e">
        <f ca="1">IF(AND(INDEX('Сводный годовой график'!$C$1:$AR$4,MATCH($C$68,'Сводный годовой график'!$B$1:$B$4),MATCH(DATE($AV$1,MONTH($B$64),AA$3),'Сводный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график'!$B$1:$B$4),MATCH(DATE($AV$1,MONTH($B$64),AA$3),'Сводный годовой график'!$C$11:$AR$11)))</f>
        <v>#N/A</v>
      </c>
      <c r="AB68" s="92" t="e">
        <f ca="1">IF(AND(INDEX('Сводный годовой график'!$C$1:$AR$4,MATCH($C$68,'Сводный годовой график'!$B$1:$B$4),MATCH(DATE($AV$1,MONTH($B$64),AB$3),'Сводный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график'!$B$1:$B$4),MATCH(DATE($AV$1,MONTH($B$64),AB$3),'Сводный годовой график'!$C$11:$AR$11)))</f>
        <v>#N/A</v>
      </c>
      <c r="AC68" s="92" t="e">
        <f ca="1">IF(AND(INDEX('Сводный годовой график'!$C$1:$AR$4,MATCH($C$68,'Сводный годовой график'!$B$1:$B$4),MATCH(DATE($AV$1,MONTH($B$64),AC$3),'Сводный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график'!$B$1:$B$4),MATCH(DATE($AV$1,MONTH($B$64),AC$3),'Сводный годовой график'!$C$11:$AR$11)))</f>
        <v>#N/A</v>
      </c>
      <c r="AD68" s="92" t="e">
        <f ca="1">IF(AND(INDEX('Сводный годовой график'!$C$1:$AR$4,MATCH($C$68,'Сводный годовой график'!$B$1:$B$4),MATCH(DATE($AV$1,MONTH($B$64),AD$3),'Сводный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график'!$B$1:$B$4),MATCH(DATE($AV$1,MONTH($B$64),AD$3),'Сводный годовой график'!$C$11:$AR$11)))</f>
        <v>#N/A</v>
      </c>
      <c r="AE68" s="92" t="e">
        <f ca="1">IF(AND(INDEX('Сводный годовой график'!$C$1:$AR$4,MATCH($C$68,'Сводный годовой график'!$B$1:$B$4),MATCH(DATE($AV$1,MONTH($B$64),AE$3),'Сводный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график'!$B$1:$B$4),MATCH(DATE($AV$1,MONTH($B$64),AE$3),'Сводный годовой график'!$C$11:$AR$11)))</f>
        <v>#N/A</v>
      </c>
      <c r="AF68" s="92" t="e">
        <f ca="1">IF(AND(INDEX('Сводный годовой график'!$C$1:$AR$4,MATCH($C$68,'Сводный годовой график'!$B$1:$B$4),MATCH(DATE($AV$1,MONTH($B$64),AF$3),'Сводный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график'!$B$1:$B$4),MATCH(DATE($AV$1,MONTH($B$64),AF$3),'Сводный годовой график'!$C$11:$AR$11)))</f>
        <v>#N/A</v>
      </c>
      <c r="AG68" s="92" t="e">
        <f ca="1">IF(AND(INDEX('Сводный годовой график'!$C$1:$AR$4,MATCH($C$68,'Сводный годовой график'!$B$1:$B$4),MATCH(DATE($AV$1,MONTH($B$64),AG$3),'Сводный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график'!$B$1:$B$4),MATCH(DATE($AV$1,MONTH($B$64),AG$3),'Сводный годовой график'!$C$11:$AR$11)))</f>
        <v>#N/A</v>
      </c>
      <c r="AH68" s="92" t="e">
        <f ca="1">IF(AND(INDEX('Сводный годовой график'!$C$1:$AR$4,MATCH($C$68,'Сводный годовой график'!$B$1:$B$4),MATCH(DATE($AV$1,MONTH($B$64),AH$3),'Сводный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график'!$B$1:$B$4),MATCH(DATE($AV$1,MONTH($B$64),AH$3),'Сводный годовой график'!$C$11:$AR$11)))</f>
        <v>#N/A</v>
      </c>
      <c r="AI68" s="92" t="e">
        <f ca="1">IF(AND(INDEX('Сводный годовой график'!$C$1:$AR$4,MATCH($C$68,'Сводный годовой график'!$B$1:$B$4),MATCH(DATE($AV$1,MONTH($B$64),AI$3),'Сводный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график'!$B$1:$B$4),MATCH(DATE($AV$1,MONTH($B$64),AI$3),'Сводный годовой график'!$C$11:$AR$11)))</f>
        <v>#N/A</v>
      </c>
      <c r="AJ68" s="206"/>
      <c r="AK68" s="209">
        <f>$AJ$64-SUM(AY68:CC69)</f>
        <v>184</v>
      </c>
      <c r="AL68" s="209" t="e">
        <f t="shared" ref="AL68" ca="1" si="117">SUM(E68:AI69)</f>
        <v>#N/A</v>
      </c>
      <c r="AM68" s="209">
        <v>0</v>
      </c>
      <c r="AN68" s="211" t="e">
        <f t="shared" ref="AN68" ca="1" si="118">-AM68-AK68+AL68</f>
        <v>#N/A</v>
      </c>
      <c r="AO68" s="211">
        <v>0</v>
      </c>
      <c r="AP68" s="211" t="e">
        <f ca="1">AN68+AP58-AO68</f>
        <v>#N/A</v>
      </c>
      <c r="AQ68" s="209">
        <v>0</v>
      </c>
      <c r="AR68" s="210">
        <v>1</v>
      </c>
      <c r="CK68" s="59"/>
      <c r="CL68" s="59"/>
      <c r="CM68" s="59"/>
      <c r="CN68" s="59"/>
      <c r="CO68" s="59"/>
      <c r="CP68" s="59"/>
      <c r="CQ68" s="59"/>
      <c r="CR68" s="59"/>
      <c r="CS68" s="59"/>
      <c r="CT68" s="59"/>
      <c r="CU68" s="59"/>
      <c r="CV68" s="59"/>
      <c r="CW68" s="59"/>
      <c r="CX68" s="59"/>
      <c r="CY68" s="59"/>
      <c r="CZ68" s="59"/>
      <c r="DA68" s="59"/>
      <c r="DB68" s="59"/>
      <c r="DC68" s="59"/>
      <c r="DD68" s="59"/>
      <c r="DE68" s="59"/>
      <c r="DF68" s="59"/>
      <c r="DG68" s="59"/>
      <c r="DH68" s="59"/>
      <c r="DI68" s="59"/>
      <c r="DJ68" s="59"/>
      <c r="DK68" s="59"/>
      <c r="DL68" s="59"/>
      <c r="DM68" s="59"/>
      <c r="DN68" s="59"/>
      <c r="DO68" s="59"/>
    </row>
    <row r="69" spans="2:119" ht="16.5" thickBot="1" x14ac:dyDescent="0.3">
      <c r="B69" s="201"/>
      <c r="C69" s="197"/>
      <c r="D69" s="82">
        <v>6</v>
      </c>
      <c r="E69" s="92" t="str">
        <f t="shared" ref="E69:AI69" si="119">IF(INDEX($CK$4:$DO$123,ROW()-3,E$3)=0,"","СП")</f>
        <v/>
      </c>
      <c r="F69" s="92" t="str">
        <f t="shared" si="119"/>
        <v/>
      </c>
      <c r="G69" s="92" t="str">
        <f t="shared" si="119"/>
        <v/>
      </c>
      <c r="H69" s="92" t="str">
        <f t="shared" si="119"/>
        <v/>
      </c>
      <c r="I69" s="92" t="str">
        <f t="shared" si="119"/>
        <v/>
      </c>
      <c r="J69" s="92" t="str">
        <f t="shared" si="119"/>
        <v/>
      </c>
      <c r="K69" s="92" t="str">
        <f t="shared" si="119"/>
        <v/>
      </c>
      <c r="L69" s="92" t="str">
        <f t="shared" si="119"/>
        <v/>
      </c>
      <c r="M69" s="92" t="str">
        <f t="shared" si="119"/>
        <v>СП</v>
      </c>
      <c r="N69" s="92" t="str">
        <f t="shared" si="119"/>
        <v/>
      </c>
      <c r="O69" s="92" t="str">
        <f t="shared" si="119"/>
        <v/>
      </c>
      <c r="P69" s="92" t="str">
        <f t="shared" si="119"/>
        <v/>
      </c>
      <c r="Q69" s="92" t="str">
        <f t="shared" si="119"/>
        <v/>
      </c>
      <c r="R69" s="92" t="str">
        <f t="shared" si="119"/>
        <v/>
      </c>
      <c r="S69" s="92" t="str">
        <f t="shared" si="119"/>
        <v/>
      </c>
      <c r="T69" s="92" t="str">
        <f t="shared" si="119"/>
        <v/>
      </c>
      <c r="U69" s="92" t="str">
        <f t="shared" si="119"/>
        <v/>
      </c>
      <c r="V69" s="92" t="str">
        <f t="shared" si="119"/>
        <v/>
      </c>
      <c r="W69" s="92" t="str">
        <f t="shared" si="119"/>
        <v/>
      </c>
      <c r="X69" s="92" t="str">
        <f t="shared" si="119"/>
        <v/>
      </c>
      <c r="Y69" s="92" t="str">
        <f t="shared" si="119"/>
        <v/>
      </c>
      <c r="Z69" s="92" t="str">
        <f t="shared" si="119"/>
        <v/>
      </c>
      <c r="AA69" s="92" t="str">
        <f t="shared" si="119"/>
        <v/>
      </c>
      <c r="AB69" s="92" t="str">
        <f t="shared" si="119"/>
        <v/>
      </c>
      <c r="AC69" s="92" t="str">
        <f t="shared" si="119"/>
        <v/>
      </c>
      <c r="AD69" s="92" t="str">
        <f t="shared" si="119"/>
        <v/>
      </c>
      <c r="AE69" s="92" t="str">
        <f t="shared" si="119"/>
        <v/>
      </c>
      <c r="AF69" s="92" t="str">
        <f t="shared" si="119"/>
        <v/>
      </c>
      <c r="AG69" s="92" t="str">
        <f t="shared" si="119"/>
        <v/>
      </c>
      <c r="AH69" s="92" t="str">
        <f t="shared" si="119"/>
        <v/>
      </c>
      <c r="AI69" s="92" t="str">
        <f t="shared" si="119"/>
        <v/>
      </c>
      <c r="AJ69" s="206"/>
      <c r="AK69" s="209"/>
      <c r="AL69" s="209"/>
      <c r="AM69" s="209"/>
      <c r="AN69" s="211"/>
      <c r="AO69" s="211"/>
      <c r="AP69" s="211"/>
      <c r="AQ69" s="209"/>
      <c r="AR69" s="210"/>
      <c r="CK69" s="58">
        <f>IF(DAY(INDEX('Сводный годовой график'!$BA$4:$BL$14,$C68,MONTH($B$64)))=E$3,1,0)</f>
        <v>0</v>
      </c>
      <c r="CL69" s="58">
        <f>IF(DAY(INDEX('Сводный годовой график'!$BA$4:$BL$14,$C68,MONTH($B$64)))=F$3,1,0)</f>
        <v>0</v>
      </c>
      <c r="CM69" s="58">
        <f>IF(DAY(INDEX('Сводный годовой график'!$BA$4:$BL$14,$C68,MONTH($B$64)))=G$3,1,0)</f>
        <v>0</v>
      </c>
      <c r="CN69" s="58">
        <f>IF(DAY(INDEX('Сводный годовой график'!$BA$4:$BL$14,$C68,MONTH($B$64)))=H$3,1,0)</f>
        <v>0</v>
      </c>
      <c r="CO69" s="58">
        <f>IF(DAY(INDEX('Сводный годовой график'!$BA$4:$BL$14,$C68,MONTH($B$64)))=I$3,1,0)</f>
        <v>0</v>
      </c>
      <c r="CP69" s="58">
        <f>IF(DAY(INDEX('Сводный годовой график'!$BA$4:$BL$14,$C68,MONTH($B$64)))=J$3,1,0)</f>
        <v>0</v>
      </c>
      <c r="CQ69" s="58">
        <f>IF(DAY(INDEX('Сводный годовой график'!$BA$4:$BL$14,$C68,MONTH($B$64)))=K$3,1,0)</f>
        <v>0</v>
      </c>
      <c r="CR69" s="58">
        <f>IF(DAY(INDEX('Сводный годовой график'!$BA$4:$BL$14,$C68,MONTH($B$64)))=L$3,1,0)</f>
        <v>0</v>
      </c>
      <c r="CS69" s="58">
        <f>IF(DAY(INDEX('Сводный годовой график'!$BA$4:$BL$14,$C68,MONTH($B$64)))=M$3,1,0)</f>
        <v>1</v>
      </c>
      <c r="CT69" s="58">
        <f>IF(DAY(INDEX('Сводный годовой график'!$BA$4:$BL$14,$C68,MONTH($B$64)))=N$3,1,0)</f>
        <v>0</v>
      </c>
      <c r="CU69" s="58">
        <f>IF(DAY(INDEX('Сводный годовой график'!$BA$4:$BL$14,$C68,MONTH($B$64)))=O$3,1,0)</f>
        <v>0</v>
      </c>
      <c r="CV69" s="58">
        <f>IF(DAY(INDEX('Сводный годовой график'!$BA$4:$BL$14,$C68,MONTH($B$64)))=P$3,1,0)</f>
        <v>0</v>
      </c>
      <c r="CW69" s="58">
        <f>IF(DAY(INDEX('Сводный годовой график'!$BA$4:$BL$14,$C68,MONTH($B$64)))=Q$3,1,0)</f>
        <v>0</v>
      </c>
      <c r="CX69" s="58">
        <f>IF(DAY(INDEX('Сводный годовой график'!$BA$4:$BL$14,$C68,MONTH($B$64)))=R$3,1,0)</f>
        <v>0</v>
      </c>
      <c r="CY69" s="58">
        <f>IF(DAY(INDEX('Сводный годовой график'!$BA$4:$BL$14,$C68,MONTH($B$64)))=S$3,1,0)</f>
        <v>0</v>
      </c>
      <c r="CZ69" s="58">
        <f>IF(DAY(INDEX('Сводный годовой график'!$BA$4:$BL$14,$C68,MONTH($B$64)))=T$3,1,0)</f>
        <v>0</v>
      </c>
      <c r="DA69" s="58">
        <f>IF(DAY(INDEX('Сводный годовой график'!$BA$4:$BL$14,$C68,MONTH($B$64)))=U$3,1,0)</f>
        <v>0</v>
      </c>
      <c r="DB69" s="58">
        <f>IF(DAY(INDEX('Сводный годовой график'!$BA$4:$BL$14,$C68,MONTH($B$64)))=V$3,1,0)</f>
        <v>0</v>
      </c>
      <c r="DC69" s="58">
        <f>IF(DAY(INDEX('Сводный годовой график'!$BA$4:$BL$14,$C68,MONTH($B$64)))=W$3,1,0)</f>
        <v>0</v>
      </c>
      <c r="DD69" s="58">
        <f>IF(DAY(INDEX('Сводный годовой график'!$BA$4:$BL$14,$C68,MONTH($B$64)))=X$3,1,0)</f>
        <v>0</v>
      </c>
      <c r="DE69" s="58">
        <f>IF(DAY(INDEX('Сводный годовой график'!$BA$4:$BL$14,$C68,MONTH($B$64)))=Y$3,1,0)</f>
        <v>0</v>
      </c>
      <c r="DF69" s="58">
        <f>IF(DAY(INDEX('Сводный годовой график'!$BA$4:$BL$14,$C68,MONTH($B$64)))=Z$3,1,0)</f>
        <v>0</v>
      </c>
      <c r="DG69" s="58">
        <f>IF(DAY(INDEX('Сводный годовой график'!$BA$4:$BL$14,$C68,MONTH($B$64)))=AA$3,1,0)</f>
        <v>0</v>
      </c>
      <c r="DH69" s="58">
        <f>IF(DAY(INDEX('Сводный годовой график'!$BA$4:$BL$14,$C68,MONTH($B$64)))=AB$3,1,0)</f>
        <v>0</v>
      </c>
      <c r="DI69" s="58">
        <f>IF(DAY(INDEX('Сводный годовой график'!$BA$4:$BL$14,$C68,MONTH($B$64)))=AC$3,1,0)</f>
        <v>0</v>
      </c>
      <c r="DJ69" s="58">
        <f>IF(DAY(INDEX('Сводный годовой график'!$BA$4:$BL$14,$C68,MONTH($B$64)))=AD$3,1,0)</f>
        <v>0</v>
      </c>
      <c r="DK69" s="58">
        <f>IF(DAY(INDEX('Сводный годовой график'!$BA$4:$BL$14,$C68,MONTH($B$64)))=AE$3,1,0)</f>
        <v>0</v>
      </c>
      <c r="DL69" s="58">
        <f>IF(DAY(INDEX('Сводный годовой график'!$BA$4:$BL$14,$C68,MONTH($B$64)))=AF$3,1,0)</f>
        <v>0</v>
      </c>
      <c r="DM69" s="58">
        <f>IF(DAY(INDEX('Сводный годовой график'!$BA$4:$BL$14,$C68,MONTH($B$64)))=AG$3,1,0)</f>
        <v>0</v>
      </c>
      <c r="DN69" s="58">
        <f>IF(DAY(INDEX('Сводный годовой график'!$BA$4:$BL$14,$C68,MONTH($B$64)))=AH$3,1,0)</f>
        <v>0</v>
      </c>
      <c r="DO69" s="58">
        <f>IF(DAY(INDEX('Сводный годовой график'!$BA$4:$BL$14,$C68,MONTH($B$64)))=AI$3,1,0)</f>
        <v>0</v>
      </c>
    </row>
    <row r="70" spans="2:119" ht="16.5" thickBot="1" x14ac:dyDescent="0.3">
      <c r="B70" s="201"/>
      <c r="C70" s="196">
        <v>4</v>
      </c>
      <c r="D70" s="81">
        <v>7</v>
      </c>
      <c r="E70" s="92" t="e">
        <f ca="1">IF(AND(INDEX('Сводный годовой график'!$C$1:$AR$4,MATCH($C$70,'Сводный годовой график'!$B$1:$B$4),MATCH(DATE($AV$1,MONTH($B$64),E$3),'Сводный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график'!$B$1:$B$4),MATCH(DATE($AV$1,MONTH($B$64),E$3),'Сводный годовой график'!$C$11:$AR$11)))</f>
        <v>#N/A</v>
      </c>
      <c r="F70" s="92" t="e">
        <f ca="1">IF(AND(INDEX('Сводный годовой график'!$C$1:$AR$4,MATCH($C$70,'Сводный годовой график'!$B$1:$B$4),MATCH(DATE($AV$1,MONTH($B$64),F$3),'Сводный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график'!$B$1:$B$4),MATCH(DATE($AV$1,MONTH($B$64),F$3),'Сводный годовой график'!$C$11:$AR$11)))</f>
        <v>#N/A</v>
      </c>
      <c r="G70" s="92" t="e">
        <f ca="1">IF(AND(INDEX('Сводный годовой график'!$C$1:$AR$4,MATCH($C$70,'Сводный годовой график'!$B$1:$B$4),MATCH(DATE($AV$1,MONTH($B$64),G$3),'Сводный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график'!$B$1:$B$4),MATCH(DATE($AV$1,MONTH($B$64),G$3),'Сводный годовой график'!$C$11:$AR$11)))</f>
        <v>#N/A</v>
      </c>
      <c r="H70" s="92" t="e">
        <f ca="1">IF(AND(INDEX('Сводный годовой график'!$C$1:$AR$4,MATCH($C$70,'Сводный годовой график'!$B$1:$B$4),MATCH(DATE($AV$1,MONTH($B$64),H$3),'Сводный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график'!$B$1:$B$4),MATCH(DATE($AV$1,MONTH($B$64),H$3),'Сводный годовой график'!$C$11:$AR$11)))</f>
        <v>#N/A</v>
      </c>
      <c r="I70" s="92" t="e">
        <f ca="1">IF(AND(INDEX('Сводный годовой график'!$C$1:$AR$4,MATCH($C$70,'Сводный годовой график'!$B$1:$B$4),MATCH(DATE($AV$1,MONTH($B$64),I$3),'Сводный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график'!$B$1:$B$4),MATCH(DATE($AV$1,MONTH($B$64),I$3),'Сводный годовой график'!$C$11:$AR$11)))</f>
        <v>#N/A</v>
      </c>
      <c r="J70" s="92" t="e">
        <f ca="1">IF(AND(INDEX('Сводный годовой график'!$C$1:$AR$4,MATCH($C$70,'Сводный годовой график'!$B$1:$B$4),MATCH(DATE($AV$1,MONTH($B$64),J$3),'Сводный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график'!$B$1:$B$4),MATCH(DATE($AV$1,MONTH($B$64),J$3),'Сводный годовой график'!$C$11:$AR$11)))</f>
        <v>#N/A</v>
      </c>
      <c r="K70" s="92" t="e">
        <f ca="1">IF(AND(INDEX('Сводный годовой график'!$C$1:$AR$4,MATCH($C$70,'Сводный годовой график'!$B$1:$B$4),MATCH(DATE($AV$1,MONTH($B$64),K$3),'Сводный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график'!$B$1:$B$4),MATCH(DATE($AV$1,MONTH($B$64),K$3),'Сводный годовой график'!$C$11:$AR$11)))</f>
        <v>#N/A</v>
      </c>
      <c r="L70" s="92" t="e">
        <f ca="1">IF(AND(INDEX('Сводный годовой график'!$C$1:$AR$4,MATCH($C$70,'Сводный годовой график'!$B$1:$B$4),MATCH(DATE($AV$1,MONTH($B$64),L$3),'Сводный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график'!$B$1:$B$4),MATCH(DATE($AV$1,MONTH($B$64),L$3),'Сводный годовой график'!$C$11:$AR$11)))</f>
        <v>#N/A</v>
      </c>
      <c r="M70" s="92" t="e">
        <f ca="1">IF(AND(INDEX('Сводный годовой график'!$C$1:$AR$4,MATCH($C$70,'Сводный годовой график'!$B$1:$B$4),MATCH(DATE($AV$1,MONTH($B$64),M$3),'Сводный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график'!$B$1:$B$4),MATCH(DATE($AV$1,MONTH($B$64),M$3),'Сводный годовой график'!$C$11:$AR$11)))</f>
        <v>#N/A</v>
      </c>
      <c r="N70" s="92" t="e">
        <f ca="1">IF(AND(INDEX('Сводный годовой график'!$C$1:$AR$4,MATCH($C$70,'Сводный годовой график'!$B$1:$B$4),MATCH(DATE($AV$1,MONTH($B$64),N$3),'Сводный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график'!$B$1:$B$4),MATCH(DATE($AV$1,MONTH($B$64),N$3),'Сводный годовой график'!$C$11:$AR$11)))</f>
        <v>#N/A</v>
      </c>
      <c r="O70" s="92" t="e">
        <f ca="1">IF(AND(INDEX('Сводный годовой график'!$C$1:$AR$4,MATCH($C$70,'Сводный годовой график'!$B$1:$B$4),MATCH(DATE($AV$1,MONTH($B$64),O$3),'Сводный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график'!$B$1:$B$4),MATCH(DATE($AV$1,MONTH($B$64),O$3),'Сводный годовой график'!$C$11:$AR$11)))</f>
        <v>#N/A</v>
      </c>
      <c r="P70" s="92" t="e">
        <f ca="1">IF(AND(INDEX('Сводный годовой график'!$C$1:$AR$4,MATCH($C$70,'Сводный годовой график'!$B$1:$B$4),MATCH(DATE($AV$1,MONTH($B$64),P$3),'Сводный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график'!$B$1:$B$4),MATCH(DATE($AV$1,MONTH($B$64),P$3),'Сводный годовой график'!$C$11:$AR$11)))</f>
        <v>#N/A</v>
      </c>
      <c r="Q70" s="92" t="e">
        <f ca="1">IF(AND(INDEX('Сводный годовой график'!$C$1:$AR$4,MATCH($C$70,'Сводный годовой график'!$B$1:$B$4),MATCH(DATE($AV$1,MONTH($B$64),Q$3),'Сводный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график'!$B$1:$B$4),MATCH(DATE($AV$1,MONTH($B$64),Q$3),'Сводный годовой график'!$C$11:$AR$11)))</f>
        <v>#N/A</v>
      </c>
      <c r="R70" s="92" t="e">
        <f ca="1">IF(AND(INDEX('Сводный годовой график'!$C$1:$AR$4,MATCH($C$70,'Сводный годовой график'!$B$1:$B$4),MATCH(DATE($AV$1,MONTH($B$64),R$3),'Сводный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график'!$B$1:$B$4),MATCH(DATE($AV$1,MONTH($B$64),R$3),'Сводный годовой график'!$C$11:$AR$11)))</f>
        <v>#N/A</v>
      </c>
      <c r="S70" s="92" t="e">
        <f ca="1">IF(AND(INDEX('Сводный годовой график'!$C$1:$AR$4,MATCH($C$70,'Сводный годовой график'!$B$1:$B$4),MATCH(DATE($AV$1,MONTH($B$64),S$3),'Сводный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график'!$B$1:$B$4),MATCH(DATE($AV$1,MONTH($B$64),S$3),'Сводный годовой график'!$C$11:$AR$11)))</f>
        <v>#N/A</v>
      </c>
      <c r="T70" s="92" t="e">
        <f ca="1">IF(AND(INDEX('Сводный годовой график'!$C$1:$AR$4,MATCH($C$70,'Сводный годовой график'!$B$1:$B$4),MATCH(DATE($AV$1,MONTH($B$64),T$3),'Сводный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график'!$B$1:$B$4),MATCH(DATE($AV$1,MONTH($B$64),T$3),'Сводный годовой график'!$C$11:$AR$11)))</f>
        <v>#N/A</v>
      </c>
      <c r="U70" s="92" t="e">
        <f ca="1">IF(AND(INDEX('Сводный годовой график'!$C$1:$AR$4,MATCH($C$70,'Сводный годовой график'!$B$1:$B$4),MATCH(DATE($AV$1,MONTH($B$64),U$3),'Сводный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график'!$B$1:$B$4),MATCH(DATE($AV$1,MONTH($B$64),U$3),'Сводный годовой график'!$C$11:$AR$11)))</f>
        <v>#N/A</v>
      </c>
      <c r="V70" s="92" t="e">
        <f ca="1">IF(AND(INDEX('Сводный годовой график'!$C$1:$AR$4,MATCH($C$70,'Сводный годовой график'!$B$1:$B$4),MATCH(DATE($AV$1,MONTH($B$64),V$3),'Сводный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график'!$B$1:$B$4),MATCH(DATE($AV$1,MONTH($B$64),V$3),'Сводный годовой график'!$C$11:$AR$11)))</f>
        <v>#N/A</v>
      </c>
      <c r="W70" s="92" t="e">
        <f ca="1">IF(AND(INDEX('Сводный годовой график'!$C$1:$AR$4,MATCH($C$70,'Сводный годовой график'!$B$1:$B$4),MATCH(DATE($AV$1,MONTH($B$64),W$3),'Сводный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график'!$B$1:$B$4),MATCH(DATE($AV$1,MONTH($B$64),W$3),'Сводный годовой график'!$C$11:$AR$11)))</f>
        <v>#N/A</v>
      </c>
      <c r="X70" s="92" t="e">
        <f ca="1">IF(AND(INDEX('Сводный годовой график'!$C$1:$AR$4,MATCH($C$70,'Сводный годовой график'!$B$1:$B$4),MATCH(DATE($AV$1,MONTH($B$64),X$3),'Сводный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график'!$B$1:$B$4),MATCH(DATE($AV$1,MONTH($B$64),X$3),'Сводный годовой график'!$C$11:$AR$11)))</f>
        <v>#N/A</v>
      </c>
      <c r="Y70" s="92" t="e">
        <f ca="1">IF(AND(INDEX('Сводный годовой график'!$C$1:$AR$4,MATCH($C$70,'Сводный годовой график'!$B$1:$B$4),MATCH(DATE($AV$1,MONTH($B$64),Y$3),'Сводный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график'!$B$1:$B$4),MATCH(DATE($AV$1,MONTH($B$64),Y$3),'Сводный годовой график'!$C$11:$AR$11)))</f>
        <v>#N/A</v>
      </c>
      <c r="Z70" s="92" t="e">
        <f ca="1">IF(AND(INDEX('Сводный годовой график'!$C$1:$AR$4,MATCH($C$70,'Сводный годовой график'!$B$1:$B$4),MATCH(DATE($AV$1,MONTH($B$64),Z$3),'Сводный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график'!$B$1:$B$4),MATCH(DATE($AV$1,MONTH($B$64),Z$3),'Сводный годовой график'!$C$11:$AR$11)))</f>
        <v>#N/A</v>
      </c>
      <c r="AA70" s="92" t="e">
        <f ca="1">IF(AND(INDEX('Сводный годовой график'!$C$1:$AR$4,MATCH($C$70,'Сводный годовой график'!$B$1:$B$4),MATCH(DATE($AV$1,MONTH($B$64),AA$3),'Сводный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график'!$B$1:$B$4),MATCH(DATE($AV$1,MONTH($B$64),AA$3),'Сводный годовой график'!$C$11:$AR$11)))</f>
        <v>#N/A</v>
      </c>
      <c r="AB70" s="92" t="e">
        <f ca="1">IF(AND(INDEX('Сводный годовой график'!$C$1:$AR$4,MATCH($C$70,'Сводный годовой график'!$B$1:$B$4),MATCH(DATE($AV$1,MONTH($B$64),AB$3),'Сводный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график'!$B$1:$B$4),MATCH(DATE($AV$1,MONTH($B$64),AB$3),'Сводный годовой график'!$C$11:$AR$11)))</f>
        <v>#N/A</v>
      </c>
      <c r="AC70" s="92" t="e">
        <f ca="1">IF(AND(INDEX('Сводный годовой график'!$C$1:$AR$4,MATCH($C$70,'Сводный годовой график'!$B$1:$B$4),MATCH(DATE($AV$1,MONTH($B$64),AC$3),'Сводный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график'!$B$1:$B$4),MATCH(DATE($AV$1,MONTH($B$64),AC$3),'Сводный годовой график'!$C$11:$AR$11)))</f>
        <v>#N/A</v>
      </c>
      <c r="AD70" s="92" t="e">
        <f ca="1">IF(AND(INDEX('Сводный годовой график'!$C$1:$AR$4,MATCH($C$70,'Сводный годовой график'!$B$1:$B$4),MATCH(DATE($AV$1,MONTH($B$64),AD$3),'Сводный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график'!$B$1:$B$4),MATCH(DATE($AV$1,MONTH($B$64),AD$3),'Сводный годовой график'!$C$11:$AR$11)))</f>
        <v>#N/A</v>
      </c>
      <c r="AE70" s="92" t="e">
        <f ca="1">IF(AND(INDEX('Сводный годовой график'!$C$1:$AR$4,MATCH($C$70,'Сводный годовой график'!$B$1:$B$4),MATCH(DATE($AV$1,MONTH($B$64),AE$3),'Сводный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график'!$B$1:$B$4),MATCH(DATE($AV$1,MONTH($B$64),AE$3),'Сводный годовой график'!$C$11:$AR$11)))</f>
        <v>#N/A</v>
      </c>
      <c r="AF70" s="92" t="e">
        <f ca="1">IF(AND(INDEX('Сводный годовой график'!$C$1:$AR$4,MATCH($C$70,'Сводный годовой график'!$B$1:$B$4),MATCH(DATE($AV$1,MONTH($B$64),AF$3),'Сводный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график'!$B$1:$B$4),MATCH(DATE($AV$1,MONTH($B$64),AF$3),'Сводный годовой график'!$C$11:$AR$11)))</f>
        <v>#N/A</v>
      </c>
      <c r="AG70" s="92" t="e">
        <f ca="1">IF(AND(INDEX('Сводный годовой график'!$C$1:$AR$4,MATCH($C$70,'Сводный годовой график'!$B$1:$B$4),MATCH(DATE($AV$1,MONTH($B$64),AG$3),'Сводный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график'!$B$1:$B$4),MATCH(DATE($AV$1,MONTH($B$64),AG$3),'Сводный годовой график'!$C$11:$AR$11)))</f>
        <v>#N/A</v>
      </c>
      <c r="AH70" s="92" t="e">
        <f ca="1">IF(AND(INDEX('Сводный годовой график'!$C$1:$AR$4,MATCH($C$70,'Сводный годовой график'!$B$1:$B$4),MATCH(DATE($AV$1,MONTH($B$64),AH$3),'Сводный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график'!$B$1:$B$4),MATCH(DATE($AV$1,MONTH($B$64),AH$3),'Сводный годовой график'!$C$11:$AR$11)))</f>
        <v>#N/A</v>
      </c>
      <c r="AI70" s="92" t="e">
        <f ca="1">IF(AND(INDEX('Сводный годовой график'!$C$1:$AR$4,MATCH($C$70,'Сводный годовой график'!$B$1:$B$4),MATCH(DATE($AV$1,MONTH($B$64),AI$3),'Сводный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график'!$B$1:$B$4),MATCH(DATE($AV$1,MONTH($B$64),AI$3),'Сводный годовой график'!$C$11:$AR$11)))</f>
        <v>#N/A</v>
      </c>
      <c r="AJ70" s="206"/>
      <c r="AK70" s="209">
        <f>$AJ$64-SUM(AY70:CC71)</f>
        <v>184</v>
      </c>
      <c r="AL70" s="209" t="e">
        <f t="shared" ref="AL70" ca="1" si="120">SUM(E70:AI71)</f>
        <v>#N/A</v>
      </c>
      <c r="AM70" s="209">
        <v>0</v>
      </c>
      <c r="AN70" s="211" t="e">
        <f t="shared" ref="AN70" ca="1" si="121">-AM70-AK70+AL70</f>
        <v>#N/A</v>
      </c>
      <c r="AO70" s="211">
        <v>0</v>
      </c>
      <c r="AP70" s="211" t="e">
        <f t="shared" ref="AP70" ca="1" si="122">AN70+AP60</f>
        <v>#N/A</v>
      </c>
      <c r="AQ70" s="209">
        <v>1</v>
      </c>
      <c r="AR70" s="210">
        <v>1</v>
      </c>
      <c r="CK70" s="59"/>
      <c r="CL70" s="59"/>
      <c r="CM70" s="59"/>
      <c r="CN70" s="59"/>
      <c r="CO70" s="59"/>
      <c r="CP70" s="59"/>
      <c r="CQ70" s="59"/>
      <c r="CR70" s="59"/>
      <c r="CS70" s="59"/>
      <c r="CT70" s="59"/>
      <c r="CU70" s="59"/>
      <c r="CV70" s="59"/>
      <c r="CW70" s="59"/>
      <c r="CX70" s="59"/>
      <c r="CY70" s="59"/>
      <c r="CZ70" s="59"/>
      <c r="DA70" s="59"/>
      <c r="DB70" s="59"/>
      <c r="DC70" s="59"/>
      <c r="DD70" s="59"/>
      <c r="DE70" s="59"/>
      <c r="DF70" s="59"/>
      <c r="DG70" s="59"/>
      <c r="DH70" s="59"/>
      <c r="DI70" s="59"/>
      <c r="DJ70" s="59"/>
      <c r="DK70" s="59"/>
      <c r="DL70" s="59"/>
      <c r="DM70" s="59"/>
      <c r="DN70" s="59"/>
      <c r="DO70" s="59"/>
    </row>
    <row r="71" spans="2:119" ht="16.5" thickBot="1" x14ac:dyDescent="0.3">
      <c r="B71" s="201"/>
      <c r="C71" s="197"/>
      <c r="D71" s="82">
        <v>8</v>
      </c>
      <c r="E71" s="92" t="str">
        <f t="shared" ref="E71:AI71" si="123">IF(INDEX($CK$4:$DO$123,ROW()-3,E$3)=0,"","СП")</f>
        <v/>
      </c>
      <c r="F71" s="92" t="str">
        <f t="shared" si="123"/>
        <v/>
      </c>
      <c r="G71" s="92" t="str">
        <f t="shared" si="123"/>
        <v/>
      </c>
      <c r="H71" s="92" t="str">
        <f t="shared" si="123"/>
        <v/>
      </c>
      <c r="I71" s="92" t="str">
        <f t="shared" si="123"/>
        <v/>
      </c>
      <c r="J71" s="92" t="str">
        <f t="shared" si="123"/>
        <v/>
      </c>
      <c r="K71" s="92" t="str">
        <f t="shared" si="123"/>
        <v/>
      </c>
      <c r="L71" s="92" t="str">
        <f t="shared" si="123"/>
        <v/>
      </c>
      <c r="M71" s="92" t="str">
        <f t="shared" si="123"/>
        <v/>
      </c>
      <c r="N71" s="92" t="str">
        <f t="shared" si="123"/>
        <v>СП</v>
      </c>
      <c r="O71" s="92" t="str">
        <f t="shared" si="123"/>
        <v/>
      </c>
      <c r="P71" s="92" t="str">
        <f t="shared" si="123"/>
        <v/>
      </c>
      <c r="Q71" s="92" t="str">
        <f t="shared" si="123"/>
        <v/>
      </c>
      <c r="R71" s="92" t="str">
        <f t="shared" si="123"/>
        <v/>
      </c>
      <c r="S71" s="92" t="str">
        <f t="shared" si="123"/>
        <v/>
      </c>
      <c r="T71" s="92" t="str">
        <f t="shared" si="123"/>
        <v/>
      </c>
      <c r="U71" s="92" t="str">
        <f t="shared" si="123"/>
        <v/>
      </c>
      <c r="V71" s="92" t="str">
        <f t="shared" si="123"/>
        <v/>
      </c>
      <c r="W71" s="92" t="str">
        <f t="shared" si="123"/>
        <v/>
      </c>
      <c r="X71" s="92" t="str">
        <f t="shared" si="123"/>
        <v/>
      </c>
      <c r="Y71" s="92" t="str">
        <f t="shared" si="123"/>
        <v/>
      </c>
      <c r="Z71" s="92" t="str">
        <f t="shared" si="123"/>
        <v/>
      </c>
      <c r="AA71" s="92" t="str">
        <f t="shared" si="123"/>
        <v/>
      </c>
      <c r="AB71" s="92" t="str">
        <f t="shared" si="123"/>
        <v/>
      </c>
      <c r="AC71" s="92" t="str">
        <f t="shared" si="123"/>
        <v/>
      </c>
      <c r="AD71" s="92" t="str">
        <f t="shared" si="123"/>
        <v/>
      </c>
      <c r="AE71" s="92" t="str">
        <f t="shared" si="123"/>
        <v/>
      </c>
      <c r="AF71" s="92" t="str">
        <f t="shared" si="123"/>
        <v/>
      </c>
      <c r="AG71" s="92" t="str">
        <f t="shared" si="123"/>
        <v/>
      </c>
      <c r="AH71" s="92" t="str">
        <f t="shared" si="123"/>
        <v/>
      </c>
      <c r="AI71" s="92" t="str">
        <f t="shared" si="123"/>
        <v/>
      </c>
      <c r="AJ71" s="206"/>
      <c r="AK71" s="209"/>
      <c r="AL71" s="209"/>
      <c r="AM71" s="209"/>
      <c r="AN71" s="211"/>
      <c r="AO71" s="211"/>
      <c r="AP71" s="211"/>
      <c r="AQ71" s="209"/>
      <c r="AR71" s="210"/>
      <c r="CK71" s="58">
        <f>IF(DAY(INDEX('Сводный годовой график'!$BA$4:$BL$14,$C70,MONTH($B$64)))=E$3,1,0)</f>
        <v>0</v>
      </c>
      <c r="CL71" s="58">
        <f>IF(DAY(INDEX('Сводный годовой график'!$BA$4:$BL$14,$C70,MONTH($B$64)))=F$3,1,0)</f>
        <v>0</v>
      </c>
      <c r="CM71" s="58">
        <f>IF(DAY(INDEX('Сводный годовой график'!$BA$4:$BL$14,$C70,MONTH($B$64)))=G$3,1,0)</f>
        <v>0</v>
      </c>
      <c r="CN71" s="58">
        <f>IF(DAY(INDEX('Сводный годовой график'!$BA$4:$BL$14,$C70,MONTH($B$64)))=H$3,1,0)</f>
        <v>0</v>
      </c>
      <c r="CO71" s="58">
        <f>IF(DAY(INDEX('Сводный годовой график'!$BA$4:$BL$14,$C70,MONTH($B$64)))=I$3,1,0)</f>
        <v>0</v>
      </c>
      <c r="CP71" s="58">
        <f>IF(DAY(INDEX('Сводный годовой график'!$BA$4:$BL$14,$C70,MONTH($B$64)))=J$3,1,0)</f>
        <v>0</v>
      </c>
      <c r="CQ71" s="58">
        <f>IF(DAY(INDEX('Сводный годовой график'!$BA$4:$BL$14,$C70,MONTH($B$64)))=K$3,1,0)</f>
        <v>0</v>
      </c>
      <c r="CR71" s="58">
        <f>IF(DAY(INDEX('Сводный годовой график'!$BA$4:$BL$14,$C70,MONTH($B$64)))=L$3,1,0)</f>
        <v>0</v>
      </c>
      <c r="CS71" s="58">
        <f>IF(DAY(INDEX('Сводный годовой график'!$BA$4:$BL$14,$C70,MONTH($B$64)))=M$3,1,0)</f>
        <v>0</v>
      </c>
      <c r="CT71" s="58">
        <f>IF(DAY(INDEX('Сводный годовой график'!$BA$4:$BL$14,$C70,MONTH($B$64)))=N$3,1,0)</f>
        <v>1</v>
      </c>
      <c r="CU71" s="58">
        <f>IF(DAY(INDEX('Сводный годовой график'!$BA$4:$BL$14,$C70,MONTH($B$64)))=O$3,1,0)</f>
        <v>0</v>
      </c>
      <c r="CV71" s="58">
        <f>IF(DAY(INDEX('Сводный годовой график'!$BA$4:$BL$14,$C70,MONTH($B$64)))=P$3,1,0)</f>
        <v>0</v>
      </c>
      <c r="CW71" s="58">
        <f>IF(DAY(INDEX('Сводный годовой график'!$BA$4:$BL$14,$C70,MONTH($B$64)))=Q$3,1,0)</f>
        <v>0</v>
      </c>
      <c r="CX71" s="58">
        <f>IF(DAY(INDEX('Сводный годовой график'!$BA$4:$BL$14,$C70,MONTH($B$64)))=R$3,1,0)</f>
        <v>0</v>
      </c>
      <c r="CY71" s="58">
        <f>IF(DAY(INDEX('Сводный годовой график'!$BA$4:$BL$14,$C70,MONTH($B$64)))=S$3,1,0)</f>
        <v>0</v>
      </c>
      <c r="CZ71" s="58">
        <f>IF(DAY(INDEX('Сводный годовой график'!$BA$4:$BL$14,$C70,MONTH($B$64)))=T$3,1,0)</f>
        <v>0</v>
      </c>
      <c r="DA71" s="58">
        <f>IF(DAY(INDEX('Сводный годовой график'!$BA$4:$BL$14,$C70,MONTH($B$64)))=U$3,1,0)</f>
        <v>0</v>
      </c>
      <c r="DB71" s="58">
        <f>IF(DAY(INDEX('Сводный годовой график'!$BA$4:$BL$14,$C70,MONTH($B$64)))=V$3,1,0)</f>
        <v>0</v>
      </c>
      <c r="DC71" s="58">
        <f>IF(DAY(INDEX('Сводный годовой график'!$BA$4:$BL$14,$C70,MONTH($B$64)))=W$3,1,0)</f>
        <v>0</v>
      </c>
      <c r="DD71" s="58">
        <f>IF(DAY(INDEX('Сводный годовой график'!$BA$4:$BL$14,$C70,MONTH($B$64)))=X$3,1,0)</f>
        <v>0</v>
      </c>
      <c r="DE71" s="58">
        <f>IF(DAY(INDEX('Сводный годовой график'!$BA$4:$BL$14,$C70,MONTH($B$64)))=Y$3,1,0)</f>
        <v>0</v>
      </c>
      <c r="DF71" s="58">
        <f>IF(DAY(INDEX('Сводный годовой график'!$BA$4:$BL$14,$C70,MONTH($B$64)))=Z$3,1,0)</f>
        <v>0</v>
      </c>
      <c r="DG71" s="58">
        <f>IF(DAY(INDEX('Сводный годовой график'!$BA$4:$BL$14,$C70,MONTH($B$64)))=AA$3,1,0)</f>
        <v>0</v>
      </c>
      <c r="DH71" s="58">
        <f>IF(DAY(INDEX('Сводный годовой график'!$BA$4:$BL$14,$C70,MONTH($B$64)))=AB$3,1,0)</f>
        <v>0</v>
      </c>
      <c r="DI71" s="58">
        <f>IF(DAY(INDEX('Сводный годовой график'!$BA$4:$BL$14,$C70,MONTH($B$64)))=AC$3,1,0)</f>
        <v>0</v>
      </c>
      <c r="DJ71" s="58">
        <f>IF(DAY(INDEX('Сводный годовой график'!$BA$4:$BL$14,$C70,MONTH($B$64)))=AD$3,1,0)</f>
        <v>0</v>
      </c>
      <c r="DK71" s="58">
        <f>IF(DAY(INDEX('Сводный годовой график'!$BA$4:$BL$14,$C70,MONTH($B$64)))=AE$3,1,0)</f>
        <v>0</v>
      </c>
      <c r="DL71" s="58">
        <f>IF(DAY(INDEX('Сводный годовой график'!$BA$4:$BL$14,$C70,MONTH($B$64)))=AF$3,1,0)</f>
        <v>0</v>
      </c>
      <c r="DM71" s="58">
        <f>IF(DAY(INDEX('Сводный годовой график'!$BA$4:$BL$14,$C70,MONTH($B$64)))=AG$3,1,0)</f>
        <v>0</v>
      </c>
      <c r="DN71" s="58">
        <f>IF(DAY(INDEX('Сводный годовой график'!$BA$4:$BL$14,$C70,MONTH($B$64)))=AH$3,1,0)</f>
        <v>0</v>
      </c>
      <c r="DO71" s="58">
        <f>IF(DAY(INDEX('Сводный годовой график'!$BA$4:$BL$14,$C70,MONTH($B$64)))=AI$3,1,0)</f>
        <v>0</v>
      </c>
    </row>
    <row r="72" spans="2:119" ht="16.5" thickBot="1" x14ac:dyDescent="0.3">
      <c r="B72" s="201"/>
      <c r="C72" s="196">
        <v>5</v>
      </c>
      <c r="D72" s="81">
        <v>9</v>
      </c>
      <c r="E72" s="92" t="s">
        <v>36</v>
      </c>
      <c r="F72" s="92" t="s">
        <v>36</v>
      </c>
      <c r="G72" s="92" t="s">
        <v>36</v>
      </c>
      <c r="H72" s="92" t="s">
        <v>36</v>
      </c>
      <c r="I72" s="92" t="s">
        <v>36</v>
      </c>
      <c r="J72" s="92" t="s">
        <v>36</v>
      </c>
      <c r="K72" s="92" t="s">
        <v>36</v>
      </c>
      <c r="L72" s="92" t="s">
        <v>36</v>
      </c>
      <c r="M72" s="92" t="s">
        <v>36</v>
      </c>
      <c r="N72" s="92" t="s">
        <v>36</v>
      </c>
      <c r="O72" s="92" t="s">
        <v>36</v>
      </c>
      <c r="P72" s="92" t="s">
        <v>36</v>
      </c>
      <c r="Q72" s="92" t="s">
        <v>36</v>
      </c>
      <c r="R72" s="92" t="s">
        <v>36</v>
      </c>
      <c r="S72" s="92" t="s">
        <v>36</v>
      </c>
      <c r="T72" s="92" t="s">
        <v>36</v>
      </c>
      <c r="U72" s="92" t="s">
        <v>36</v>
      </c>
      <c r="V72" s="92" t="s">
        <v>36</v>
      </c>
      <c r="W72" s="92" t="s">
        <v>36</v>
      </c>
      <c r="X72" s="92" t="s">
        <v>36</v>
      </c>
      <c r="Y72" s="92" t="s">
        <v>36</v>
      </c>
      <c r="Z72" s="92" t="s">
        <v>36</v>
      </c>
      <c r="AA72" s="92" t="s">
        <v>36</v>
      </c>
      <c r="AB72" s="92" t="s">
        <v>36</v>
      </c>
      <c r="AC72" s="92" t="s">
        <v>36</v>
      </c>
      <c r="AD72" s="92" t="s">
        <v>36</v>
      </c>
      <c r="AE72" s="92" t="s">
        <v>36</v>
      </c>
      <c r="AF72" s="92" t="s">
        <v>36</v>
      </c>
      <c r="AG72" s="92" t="s">
        <v>36</v>
      </c>
      <c r="AH72" s="92" t="s">
        <v>36</v>
      </c>
      <c r="AI72" s="92" t="s">
        <v>36</v>
      </c>
      <c r="AJ72" s="206"/>
      <c r="AK72" s="209">
        <f>$AJ$64-SUM(AY72:CC73)</f>
        <v>184</v>
      </c>
      <c r="AL72" s="209">
        <f t="shared" ref="AL72" si="124">SUM(E72:AI73)</f>
        <v>0</v>
      </c>
      <c r="AM72" s="209">
        <v>0</v>
      </c>
      <c r="AN72" s="211">
        <f t="shared" ref="AN72" si="125">-AM72-AK72+AL72</f>
        <v>-184</v>
      </c>
      <c r="AO72" s="211">
        <v>0</v>
      </c>
      <c r="AP72" s="211">
        <f t="shared" ref="AP72" si="126">AN72+AP62</f>
        <v>-1141</v>
      </c>
      <c r="AQ72" s="209">
        <v>9</v>
      </c>
      <c r="AR72" s="210">
        <v>0</v>
      </c>
      <c r="CK72" s="59"/>
      <c r="CL72" s="59"/>
      <c r="CM72" s="59"/>
      <c r="CN72" s="59"/>
      <c r="CO72" s="59"/>
      <c r="CP72" s="59"/>
      <c r="CQ72" s="59"/>
      <c r="CR72" s="59"/>
      <c r="CS72" s="59"/>
      <c r="CT72" s="59"/>
      <c r="CU72" s="59"/>
      <c r="CV72" s="59"/>
      <c r="CW72" s="59"/>
      <c r="CX72" s="59"/>
      <c r="CY72" s="59"/>
      <c r="CZ72" s="59"/>
      <c r="DA72" s="59"/>
      <c r="DB72" s="59"/>
      <c r="DC72" s="59"/>
      <c r="DD72" s="59"/>
      <c r="DE72" s="59"/>
      <c r="DF72" s="59"/>
      <c r="DG72" s="59"/>
      <c r="DH72" s="59"/>
      <c r="DI72" s="59"/>
      <c r="DJ72" s="59"/>
      <c r="DK72" s="59"/>
      <c r="DL72" s="59"/>
      <c r="DM72" s="59"/>
      <c r="DN72" s="59"/>
      <c r="DO72" s="59"/>
    </row>
    <row r="73" spans="2:119" ht="16.5" thickBot="1" x14ac:dyDescent="0.3">
      <c r="B73" s="201"/>
      <c r="C73" s="212"/>
      <c r="D73" s="99">
        <v>10</v>
      </c>
      <c r="E73" s="30" t="str">
        <f t="shared" ref="E73:AI73" si="127">IF(INDEX($CK$4:$DO$123,ROW()-3,E$3)=0,"","СП")</f>
        <v/>
      </c>
      <c r="F73" s="30" t="str">
        <f t="shared" si="127"/>
        <v/>
      </c>
      <c r="G73" s="30" t="str">
        <f t="shared" si="127"/>
        <v/>
      </c>
      <c r="H73" s="30" t="str">
        <f t="shared" si="127"/>
        <v/>
      </c>
      <c r="I73" s="30" t="str">
        <f t="shared" si="127"/>
        <v/>
      </c>
      <c r="J73" s="30" t="str">
        <f t="shared" si="127"/>
        <v/>
      </c>
      <c r="K73" s="30" t="str">
        <f t="shared" si="127"/>
        <v/>
      </c>
      <c r="L73" s="30" t="str">
        <f t="shared" si="127"/>
        <v/>
      </c>
      <c r="M73" s="30" t="str">
        <f t="shared" si="127"/>
        <v/>
      </c>
      <c r="N73" s="30" t="str">
        <f t="shared" si="127"/>
        <v/>
      </c>
      <c r="O73" s="30" t="str">
        <f t="shared" si="127"/>
        <v>СП</v>
      </c>
      <c r="P73" s="30" t="str">
        <f t="shared" si="127"/>
        <v/>
      </c>
      <c r="Q73" s="30" t="str">
        <f t="shared" si="127"/>
        <v/>
      </c>
      <c r="R73" s="30" t="str">
        <f t="shared" si="127"/>
        <v/>
      </c>
      <c r="S73" s="30" t="str">
        <f t="shared" si="127"/>
        <v/>
      </c>
      <c r="T73" s="30" t="str">
        <f t="shared" si="127"/>
        <v/>
      </c>
      <c r="U73" s="30" t="str">
        <f t="shared" si="127"/>
        <v/>
      </c>
      <c r="V73" s="30" t="str">
        <f t="shared" si="127"/>
        <v/>
      </c>
      <c r="W73" s="30" t="str">
        <f t="shared" si="127"/>
        <v/>
      </c>
      <c r="X73" s="30" t="str">
        <f t="shared" si="127"/>
        <v/>
      </c>
      <c r="Y73" s="30" t="str">
        <f t="shared" si="127"/>
        <v/>
      </c>
      <c r="Z73" s="30" t="str">
        <f t="shared" si="127"/>
        <v/>
      </c>
      <c r="AA73" s="30" t="str">
        <f t="shared" si="127"/>
        <v/>
      </c>
      <c r="AB73" s="30" t="str">
        <f t="shared" si="127"/>
        <v/>
      </c>
      <c r="AC73" s="30" t="str">
        <f t="shared" si="127"/>
        <v/>
      </c>
      <c r="AD73" s="30" t="str">
        <f t="shared" si="127"/>
        <v/>
      </c>
      <c r="AE73" s="30" t="str">
        <f t="shared" si="127"/>
        <v/>
      </c>
      <c r="AF73" s="30" t="str">
        <f t="shared" si="127"/>
        <v/>
      </c>
      <c r="AG73" s="30" t="str">
        <f t="shared" si="127"/>
        <v/>
      </c>
      <c r="AH73" s="30" t="str">
        <f t="shared" si="127"/>
        <v/>
      </c>
      <c r="AI73" s="30" t="str">
        <f t="shared" si="127"/>
        <v/>
      </c>
      <c r="AJ73" s="207"/>
      <c r="AK73" s="209"/>
      <c r="AL73" s="213"/>
      <c r="AM73" s="213"/>
      <c r="AN73" s="214"/>
      <c r="AO73" s="214"/>
      <c r="AP73" s="214"/>
      <c r="AQ73" s="213"/>
      <c r="AR73" s="215"/>
      <c r="CK73" s="58">
        <f>IF(DAY(INDEX('Сводный годовой график'!$BA$4:$BL$14,$C72,MONTH($B$64)))=E$3,1,0)</f>
        <v>0</v>
      </c>
      <c r="CL73" s="58">
        <f>IF(DAY(INDEX('Сводный годовой график'!$BA$4:$BL$14,$C72,MONTH($B$64)))=F$3,1,0)</f>
        <v>0</v>
      </c>
      <c r="CM73" s="58">
        <f>IF(DAY(INDEX('Сводный годовой график'!$BA$4:$BL$14,$C72,MONTH($B$64)))=G$3,1,0)</f>
        <v>0</v>
      </c>
      <c r="CN73" s="58">
        <f>IF(DAY(INDEX('Сводный годовой график'!$BA$4:$BL$14,$C72,MONTH($B$64)))=H$3,1,0)</f>
        <v>0</v>
      </c>
      <c r="CO73" s="58">
        <f>IF(DAY(INDEX('Сводный годовой график'!$BA$4:$BL$14,$C72,MONTH($B$64)))=I$3,1,0)</f>
        <v>0</v>
      </c>
      <c r="CP73" s="58">
        <f>IF(DAY(INDEX('Сводный годовой график'!$BA$4:$BL$14,$C72,MONTH($B$64)))=J$3,1,0)</f>
        <v>0</v>
      </c>
      <c r="CQ73" s="58">
        <f>IF(DAY(INDEX('Сводный годовой график'!$BA$4:$BL$14,$C72,MONTH($B$64)))=K$3,1,0)</f>
        <v>0</v>
      </c>
      <c r="CR73" s="58">
        <f>IF(DAY(INDEX('Сводный годовой график'!$BA$4:$BL$14,$C72,MONTH($B$64)))=L$3,1,0)</f>
        <v>0</v>
      </c>
      <c r="CS73" s="58">
        <f>IF(DAY(INDEX('Сводный годовой график'!$BA$4:$BL$14,$C72,MONTH($B$64)))=M$3,1,0)</f>
        <v>0</v>
      </c>
      <c r="CT73" s="58">
        <f>IF(DAY(INDEX('Сводный годовой график'!$BA$4:$BL$14,$C72,MONTH($B$64)))=N$3,1,0)</f>
        <v>0</v>
      </c>
      <c r="CU73" s="58">
        <f>IF(DAY(INDEX('Сводный годовой график'!$BA$4:$BL$14,$C72,MONTH($B$64)))=O$3,1,0)</f>
        <v>1</v>
      </c>
      <c r="CV73" s="58">
        <f>IF(DAY(INDEX('Сводный годовой график'!$BA$4:$BL$14,$C72,MONTH($B$64)))=P$3,1,0)</f>
        <v>0</v>
      </c>
      <c r="CW73" s="58">
        <f>IF(DAY(INDEX('Сводный годовой график'!$BA$4:$BL$14,$C72,MONTH($B$64)))=Q$3,1,0)</f>
        <v>0</v>
      </c>
      <c r="CX73" s="58">
        <f>IF(DAY(INDEX('Сводный годовой график'!$BA$4:$BL$14,$C72,MONTH($B$64)))=R$3,1,0)</f>
        <v>0</v>
      </c>
      <c r="CY73" s="58">
        <f>IF(DAY(INDEX('Сводный годовой график'!$BA$4:$BL$14,$C72,MONTH($B$64)))=S$3,1,0)</f>
        <v>0</v>
      </c>
      <c r="CZ73" s="58">
        <f>IF(DAY(INDEX('Сводный годовой график'!$BA$4:$BL$14,$C72,MONTH($B$64)))=T$3,1,0)</f>
        <v>0</v>
      </c>
      <c r="DA73" s="58">
        <f>IF(DAY(INDEX('Сводный годовой график'!$BA$4:$BL$14,$C72,MONTH($B$64)))=U$3,1,0)</f>
        <v>0</v>
      </c>
      <c r="DB73" s="58">
        <f>IF(DAY(INDEX('Сводный годовой график'!$BA$4:$BL$14,$C72,MONTH($B$64)))=V$3,1,0)</f>
        <v>0</v>
      </c>
      <c r="DC73" s="58">
        <f>IF(DAY(INDEX('Сводный годовой график'!$BA$4:$BL$14,$C72,MONTH($B$64)))=W$3,1,0)</f>
        <v>0</v>
      </c>
      <c r="DD73" s="58">
        <f>IF(DAY(INDEX('Сводный годовой график'!$BA$4:$BL$14,$C72,MONTH($B$64)))=X$3,1,0)</f>
        <v>0</v>
      </c>
      <c r="DE73" s="58">
        <f>IF(DAY(INDEX('Сводный годовой график'!$BA$4:$BL$14,$C72,MONTH($B$64)))=Y$3,1,0)</f>
        <v>0</v>
      </c>
      <c r="DF73" s="58">
        <f>IF(DAY(INDEX('Сводный годовой график'!$BA$4:$BL$14,$C72,MONTH($B$64)))=Z$3,1,0)</f>
        <v>0</v>
      </c>
      <c r="DG73" s="58">
        <f>IF(DAY(INDEX('Сводный годовой график'!$BA$4:$BL$14,$C72,MONTH($B$64)))=AA$3,1,0)</f>
        <v>0</v>
      </c>
      <c r="DH73" s="58">
        <f>IF(DAY(INDEX('Сводный годовой график'!$BA$4:$BL$14,$C72,MONTH($B$64)))=AB$3,1,0)</f>
        <v>0</v>
      </c>
      <c r="DI73" s="58">
        <f>IF(DAY(INDEX('Сводный годовой график'!$BA$4:$BL$14,$C72,MONTH($B$64)))=AC$3,1,0)</f>
        <v>0</v>
      </c>
      <c r="DJ73" s="58">
        <f>IF(DAY(INDEX('Сводный годовой график'!$BA$4:$BL$14,$C72,MONTH($B$64)))=AD$3,1,0)</f>
        <v>0</v>
      </c>
      <c r="DK73" s="58">
        <f>IF(DAY(INDEX('Сводный годовой график'!$BA$4:$BL$14,$C72,MONTH($B$64)))=AE$3,1,0)</f>
        <v>0</v>
      </c>
      <c r="DL73" s="58">
        <f>IF(DAY(INDEX('Сводный годовой график'!$BA$4:$BL$14,$C72,MONTH($B$64)))=AF$3,1,0)</f>
        <v>0</v>
      </c>
      <c r="DM73" s="58">
        <f>IF(DAY(INDEX('Сводный годовой график'!$BA$4:$BL$14,$C72,MONTH($B$64)))=AG$3,1,0)</f>
        <v>0</v>
      </c>
      <c r="DN73" s="58">
        <f>IF(DAY(INDEX('Сводный годовой график'!$BA$4:$BL$14,$C72,MONTH($B$64)))=AH$3,1,0)</f>
        <v>0</v>
      </c>
      <c r="DO73" s="58">
        <f>IF(DAY(INDEX('Сводный годовой график'!$BA$4:$BL$14,$C72,MONTH($B$64)))=AI$3,1,0)</f>
        <v>0</v>
      </c>
    </row>
    <row r="74" spans="2:119" ht="17.25" customHeight="1" thickTop="1" thickBot="1" x14ac:dyDescent="0.3">
      <c r="B74" s="200">
        <f>DATE($AV$1,8,1)</f>
        <v>45870</v>
      </c>
      <c r="C74" s="196">
        <v>1</v>
      </c>
      <c r="D74" s="81">
        <v>1</v>
      </c>
      <c r="E74" s="28" t="e">
        <f ca="1">IF(AND(INDEX('Сводный годовой график'!$C$1:$AR$4,MATCH($C$74,'Сводный годовой график'!$B$1:$B$4),MATCH(DATE($AV$1,MONTH($B$74),E$3),'Сводный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график'!$B$1:$B$4),MATCH(DATE($AV$1,MONTH($B$74),E$3),'Сводный годовой график'!$C$12:$AR$12)))</f>
        <v>#N/A</v>
      </c>
      <c r="F74" s="28" t="e">
        <f ca="1">IF(AND(INDEX('Сводный годовой график'!$C$1:$AR$4,MATCH($C$74,'Сводный годовой график'!$B$1:$B$4),MATCH(DATE($AV$1,MONTH($B$74),F$3),'Сводный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график'!$B$1:$B$4),MATCH(DATE($AV$1,MONTH($B$74),F$3),'Сводный годовой график'!$C$12:$AR$12)))</f>
        <v>#N/A</v>
      </c>
      <c r="G74" s="28" t="e">
        <f ca="1">IF(AND(INDEX('Сводный годовой график'!$C$1:$AR$4,MATCH($C$74,'Сводный годовой график'!$B$1:$B$4),MATCH(DATE($AV$1,MONTH($B$74),G$3),'Сводный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график'!$B$1:$B$4),MATCH(DATE($AV$1,MONTH($B$74),G$3),'Сводный годовой график'!$C$12:$AR$12)))</f>
        <v>#N/A</v>
      </c>
      <c r="H74" s="28" t="e">
        <f ca="1">IF(AND(INDEX('Сводный годовой график'!$C$1:$AR$4,MATCH($C$74,'Сводный годовой график'!$B$1:$B$4),MATCH(DATE($AV$1,MONTH($B$74),H$3),'Сводный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график'!$B$1:$B$4),MATCH(DATE($AV$1,MONTH($B$74),H$3),'Сводный годовой график'!$C$12:$AR$12)))</f>
        <v>#N/A</v>
      </c>
      <c r="I74" s="28" t="e">
        <f ca="1">IF(AND(INDEX('Сводный годовой график'!$C$1:$AR$4,MATCH($C$74,'Сводный годовой график'!$B$1:$B$4),MATCH(DATE($AV$1,MONTH($B$74),I$3),'Сводный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график'!$B$1:$B$4),MATCH(DATE($AV$1,MONTH($B$74),I$3),'Сводный годовой график'!$C$12:$AR$12)))</f>
        <v>#N/A</v>
      </c>
      <c r="J74" s="28" t="e">
        <f ca="1">IF(AND(INDEX('Сводный годовой график'!$C$1:$AR$4,MATCH($C$74,'Сводный годовой график'!$B$1:$B$4),MATCH(DATE($AV$1,MONTH($B$74),J$3),'Сводный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график'!$B$1:$B$4),MATCH(DATE($AV$1,MONTH($B$74),J$3),'Сводный годовой график'!$C$12:$AR$12)))</f>
        <v>#N/A</v>
      </c>
      <c r="K74" s="28" t="e">
        <f ca="1">IF(AND(INDEX('Сводный годовой график'!$C$1:$AR$4,MATCH($C$74,'Сводный годовой график'!$B$1:$B$4),MATCH(DATE($AV$1,MONTH($B$74),K$3),'Сводный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график'!$B$1:$B$4),MATCH(DATE($AV$1,MONTH($B$74),K$3),'Сводный годовой график'!$C$12:$AR$12)))</f>
        <v>#N/A</v>
      </c>
      <c r="L74" s="28" t="e">
        <f ca="1">IF(AND(INDEX('Сводный годовой график'!$C$1:$AR$4,MATCH($C$74,'Сводный годовой график'!$B$1:$B$4),MATCH(DATE($AV$1,MONTH($B$74),L$3),'Сводный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график'!$B$1:$B$4),MATCH(DATE($AV$1,MONTH($B$74),L$3),'Сводный годовой график'!$C$12:$AR$12)))</f>
        <v>#N/A</v>
      </c>
      <c r="M74" s="28" t="e">
        <f ca="1">IF(AND(INDEX('Сводный годовой график'!$C$1:$AR$4,MATCH($C$74,'Сводный годовой график'!$B$1:$B$4),MATCH(DATE($AV$1,MONTH($B$74),M$3),'Сводный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график'!$B$1:$B$4),MATCH(DATE($AV$1,MONTH($B$74),M$3),'Сводный годовой график'!$C$12:$AR$12)))</f>
        <v>#N/A</v>
      </c>
      <c r="N74" s="28" t="e">
        <f ca="1">IF(AND(INDEX('Сводный годовой график'!$C$1:$AR$4,MATCH($C$74,'Сводный годовой график'!$B$1:$B$4),MATCH(DATE($AV$1,MONTH($B$74),N$3),'Сводный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график'!$B$1:$B$4),MATCH(DATE($AV$1,MONTH($B$74),N$3),'Сводный годовой график'!$C$12:$AR$12)))</f>
        <v>#N/A</v>
      </c>
      <c r="O74" s="28" t="e">
        <f ca="1">IF(AND(INDEX('Сводный годовой график'!$C$1:$AR$4,MATCH($C$74,'Сводный годовой график'!$B$1:$B$4),MATCH(DATE($AV$1,MONTH($B$74),O$3),'Сводный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график'!$B$1:$B$4),MATCH(DATE($AV$1,MONTH($B$74),O$3),'Сводный годовой график'!$C$12:$AR$12)))</f>
        <v>#N/A</v>
      </c>
      <c r="P74" s="28" t="e">
        <f ca="1">IF(AND(INDEX('Сводный годовой график'!$C$1:$AR$4,MATCH($C$74,'Сводный годовой график'!$B$1:$B$4),MATCH(DATE($AV$1,MONTH($B$74),P$3),'Сводный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график'!$B$1:$B$4),MATCH(DATE($AV$1,MONTH($B$74),P$3),'Сводный годовой график'!$C$12:$AR$12)))</f>
        <v>#N/A</v>
      </c>
      <c r="Q74" s="28" t="e">
        <f ca="1">IF(AND(INDEX('Сводный годовой график'!$C$1:$AR$4,MATCH($C$74,'Сводный годовой график'!$B$1:$B$4),MATCH(DATE($AV$1,MONTH($B$74),Q$3),'Сводный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график'!$B$1:$B$4),MATCH(DATE($AV$1,MONTH($B$74),Q$3),'Сводный годовой график'!$C$12:$AR$12)))</f>
        <v>#N/A</v>
      </c>
      <c r="R74" s="28" t="e">
        <f ca="1">IF(AND(INDEX('Сводный годовой график'!$C$1:$AR$4,MATCH($C$74,'Сводный годовой график'!$B$1:$B$4),MATCH(DATE($AV$1,MONTH($B$74),R$3),'Сводный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график'!$B$1:$B$4),MATCH(DATE($AV$1,MONTH($B$74),R$3),'Сводный годовой график'!$C$12:$AR$12)))</f>
        <v>#N/A</v>
      </c>
      <c r="S74" s="28" t="e">
        <f ca="1">IF(AND(INDEX('Сводный годовой график'!$C$1:$AR$4,MATCH($C$74,'Сводный годовой график'!$B$1:$B$4),MATCH(DATE($AV$1,MONTH($B$74),S$3),'Сводный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график'!$B$1:$B$4),MATCH(DATE($AV$1,MONTH($B$74),S$3),'Сводный годовой график'!$C$12:$AR$12)))</f>
        <v>#N/A</v>
      </c>
      <c r="T74" s="28" t="e">
        <f ca="1">IF(AND(INDEX('Сводный годовой график'!$C$1:$AR$4,MATCH($C$74,'Сводный годовой график'!$B$1:$B$4),MATCH(DATE($AV$1,MONTH($B$74),T$3),'Сводный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график'!$B$1:$B$4),MATCH(DATE($AV$1,MONTH($B$74),T$3),'Сводный годовой график'!$C$12:$AR$12)))</f>
        <v>#N/A</v>
      </c>
      <c r="U74" s="28" t="e">
        <f ca="1">IF(AND(INDEX('Сводный годовой график'!$C$1:$AR$4,MATCH($C$74,'Сводный годовой график'!$B$1:$B$4),MATCH(DATE($AV$1,MONTH($B$74),U$3),'Сводный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график'!$B$1:$B$4),MATCH(DATE($AV$1,MONTH($B$74),U$3),'Сводный годовой график'!$C$12:$AR$12)))</f>
        <v>#N/A</v>
      </c>
      <c r="V74" s="28" t="e">
        <f ca="1">IF(AND(INDEX('Сводный годовой график'!$C$1:$AR$4,MATCH($C$74,'Сводный годовой график'!$B$1:$B$4),MATCH(DATE($AV$1,MONTH($B$74),V$3),'Сводный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график'!$B$1:$B$4),MATCH(DATE($AV$1,MONTH($B$74),V$3),'Сводный годовой график'!$C$12:$AR$12)))</f>
        <v>#N/A</v>
      </c>
      <c r="W74" s="28" t="e">
        <f ca="1">IF(AND(INDEX('Сводный годовой график'!$C$1:$AR$4,MATCH($C$74,'Сводный годовой график'!$B$1:$B$4),MATCH(DATE($AV$1,MONTH($B$74),W$3),'Сводный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график'!$B$1:$B$4),MATCH(DATE($AV$1,MONTH($B$74),W$3),'Сводный годовой график'!$C$12:$AR$12)))</f>
        <v>#N/A</v>
      </c>
      <c r="X74" s="28" t="e">
        <f ca="1">IF(AND(INDEX('Сводный годовой график'!$C$1:$AR$4,MATCH($C$74,'Сводный годовой график'!$B$1:$B$4),MATCH(DATE($AV$1,MONTH($B$74),X$3),'Сводный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график'!$B$1:$B$4),MATCH(DATE($AV$1,MONTH($B$74),X$3),'Сводный годовой график'!$C$12:$AR$12)))</f>
        <v>#N/A</v>
      </c>
      <c r="Y74" s="28" t="e">
        <f ca="1">IF(AND(INDEX('Сводный годовой график'!$C$1:$AR$4,MATCH($C$74,'Сводный годовой график'!$B$1:$B$4),MATCH(DATE($AV$1,MONTH($B$74),Y$3),'Сводный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график'!$B$1:$B$4),MATCH(DATE($AV$1,MONTH($B$74),Y$3),'Сводный годовой график'!$C$12:$AR$12)))</f>
        <v>#N/A</v>
      </c>
      <c r="Z74" s="28" t="e">
        <f ca="1">IF(AND(INDEX('Сводный годовой график'!$C$1:$AR$4,MATCH($C$74,'Сводный годовой график'!$B$1:$B$4),MATCH(DATE($AV$1,MONTH($B$74),Z$3),'Сводный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график'!$B$1:$B$4),MATCH(DATE($AV$1,MONTH($B$74),Z$3),'Сводный годовой график'!$C$12:$AR$12)))</f>
        <v>#N/A</v>
      </c>
      <c r="AA74" s="28" t="e">
        <f ca="1">IF(AND(INDEX('Сводный годовой график'!$C$1:$AR$4,MATCH($C$74,'Сводный годовой график'!$B$1:$B$4),MATCH(DATE($AV$1,MONTH($B$74),AA$3),'Сводный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график'!$B$1:$B$4),MATCH(DATE($AV$1,MONTH($B$74),AA$3),'Сводный годовой график'!$C$12:$AR$12)))</f>
        <v>#N/A</v>
      </c>
      <c r="AB74" s="28" t="e">
        <f ca="1">IF(AND(INDEX('Сводный годовой график'!$C$1:$AR$4,MATCH($C$74,'Сводный годовой график'!$B$1:$B$4),MATCH(DATE($AV$1,MONTH($B$74),AB$3),'Сводный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график'!$B$1:$B$4),MATCH(DATE($AV$1,MONTH($B$74),AB$3),'Сводный годовой график'!$C$12:$AR$12)))</f>
        <v>#N/A</v>
      </c>
      <c r="AC74" s="28" t="e">
        <f ca="1">IF(AND(INDEX('Сводный годовой график'!$C$1:$AR$4,MATCH($C$74,'Сводный годовой график'!$B$1:$B$4),MATCH(DATE($AV$1,MONTH($B$74),AC$3),'Сводный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график'!$B$1:$B$4),MATCH(DATE($AV$1,MONTH($B$74),AC$3),'Сводный годовой график'!$C$12:$AR$12)))</f>
        <v>#N/A</v>
      </c>
      <c r="AD74" s="28" t="e">
        <f ca="1">IF(AND(INDEX('Сводный годовой график'!$C$1:$AR$4,MATCH($C$74,'Сводный годовой график'!$B$1:$B$4),MATCH(DATE($AV$1,MONTH($B$74),AD$3),'Сводный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график'!$B$1:$B$4),MATCH(DATE($AV$1,MONTH($B$74),AD$3),'Сводный годовой график'!$C$12:$AR$12)))</f>
        <v>#N/A</v>
      </c>
      <c r="AE74" s="28" t="e">
        <f ca="1">IF(AND(INDEX('Сводный годовой график'!$C$1:$AR$4,MATCH($C$74,'Сводный годовой график'!$B$1:$B$4),MATCH(DATE($AV$1,MONTH($B$74),AE$3),'Сводный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график'!$B$1:$B$4),MATCH(DATE($AV$1,MONTH($B$74),AE$3),'Сводный годовой график'!$C$12:$AR$12)))</f>
        <v>#N/A</v>
      </c>
      <c r="AF74" s="28" t="e">
        <f ca="1">IF(AND(INDEX('Сводный годовой график'!$C$1:$AR$4,MATCH($C$74,'Сводный годовой график'!$B$1:$B$4),MATCH(DATE($AV$1,MONTH($B$74),AF$3),'Сводный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график'!$B$1:$B$4),MATCH(DATE($AV$1,MONTH($B$74),AF$3),'Сводный годовой график'!$C$12:$AR$12)))</f>
        <v>#N/A</v>
      </c>
      <c r="AG74" s="28" t="e">
        <f ca="1">IF(AND(INDEX('Сводный годовой график'!$C$1:$AR$4,MATCH($C$74,'Сводный годовой график'!$B$1:$B$4),MATCH(DATE($AV$1,MONTH($B$74),AG$3),'Сводный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график'!$B$1:$B$4),MATCH(DATE($AV$1,MONTH($B$74),AG$3),'Сводный годовой график'!$C$12:$AR$12)))</f>
        <v>#N/A</v>
      </c>
      <c r="AH74" s="28" t="e">
        <f ca="1">IF(AND(INDEX('Сводный годовой график'!$C$1:$AR$4,MATCH($C$74,'Сводный годовой график'!$B$1:$B$4),MATCH(DATE($AV$1,MONTH($B$74),AH$3),'Сводный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график'!$B$1:$B$4),MATCH(DATE($AV$1,MONTH($B$74),AH$3),'Сводный годовой график'!$C$12:$AR$12)))</f>
        <v>#N/A</v>
      </c>
      <c r="AI74" s="95" t="e">
        <f ca="1">IF(AND(INDEX('Сводный годовой график'!$C$1:$AR$4,MATCH($C$74,'Сводный годовой график'!$B$1:$B$4),MATCH(DATE($AV$1,MONTH($B$74),AI$3),'Сводный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график'!$B$1:$B$4),MATCH(DATE($AV$1,MONTH($B$74),AI$3),'Сводный годовой график'!$C$12:$AR$12)))</f>
        <v>#N/A</v>
      </c>
      <c r="AJ74" s="205">
        <f>INDEX(Подключения!$D$3:$H$14,MONTH(B74),5)</f>
        <v>168</v>
      </c>
      <c r="AK74" s="203">
        <f>$AJ$74-SUM(AY74:CC75)</f>
        <v>168</v>
      </c>
      <c r="AL74" s="203" t="e">
        <f t="shared" ref="AL74" ca="1" si="128">SUM(E74:AI75)</f>
        <v>#N/A</v>
      </c>
      <c r="AM74" s="203">
        <v>0</v>
      </c>
      <c r="AN74" s="208" t="e">
        <f t="shared" ref="AN74" ca="1" si="129">-AM74-AK74+AL74</f>
        <v>#N/A</v>
      </c>
      <c r="AO74" s="208">
        <v>30</v>
      </c>
      <c r="AP74" s="208" t="e">
        <f ca="1">AN74+AP64-AO74</f>
        <v>#N/A</v>
      </c>
      <c r="AQ74" s="203">
        <v>20</v>
      </c>
      <c r="AR74" s="204">
        <v>1</v>
      </c>
      <c r="CK74" s="59"/>
      <c r="CL74" s="59"/>
      <c r="CM74" s="59"/>
      <c r="CN74" s="59"/>
      <c r="CO74" s="59"/>
      <c r="CP74" s="59"/>
      <c r="CQ74" s="59"/>
      <c r="CR74" s="59"/>
      <c r="CS74" s="59"/>
      <c r="CT74" s="59"/>
      <c r="CU74" s="59"/>
      <c r="CV74" s="59"/>
      <c r="CW74" s="59"/>
      <c r="CX74" s="59"/>
      <c r="CY74" s="59"/>
      <c r="CZ74" s="59"/>
      <c r="DA74" s="59"/>
      <c r="DB74" s="59"/>
      <c r="DC74" s="59"/>
      <c r="DD74" s="59"/>
      <c r="DE74" s="59"/>
      <c r="DF74" s="59"/>
      <c r="DG74" s="59"/>
      <c r="DH74" s="59"/>
      <c r="DI74" s="59"/>
      <c r="DJ74" s="59"/>
      <c r="DK74" s="59"/>
      <c r="DL74" s="59"/>
      <c r="DM74" s="59"/>
      <c r="DN74" s="59"/>
      <c r="DO74" s="59"/>
    </row>
    <row r="75" spans="2:119" ht="16.5" thickBot="1" x14ac:dyDescent="0.3">
      <c r="B75" s="201"/>
      <c r="C75" s="197"/>
      <c r="D75" s="82">
        <v>2</v>
      </c>
      <c r="E75" s="92" t="str">
        <f t="shared" ref="E75:AI75" si="130">IF(INDEX($CK$4:$DO$123,ROW()-3,E$3)=0,"","СП")</f>
        <v/>
      </c>
      <c r="F75" s="92" t="str">
        <f t="shared" si="130"/>
        <v/>
      </c>
      <c r="G75" s="92" t="str">
        <f t="shared" si="130"/>
        <v/>
      </c>
      <c r="H75" s="92" t="str">
        <f t="shared" si="130"/>
        <v/>
      </c>
      <c r="I75" s="92" t="str">
        <f t="shared" si="130"/>
        <v/>
      </c>
      <c r="J75" s="92" t="str">
        <f t="shared" si="130"/>
        <v/>
      </c>
      <c r="K75" s="92" t="str">
        <f t="shared" si="130"/>
        <v/>
      </c>
      <c r="L75" s="92" t="str">
        <f t="shared" si="130"/>
        <v>СП</v>
      </c>
      <c r="M75" s="92" t="str">
        <f t="shared" si="130"/>
        <v/>
      </c>
      <c r="N75" s="92" t="str">
        <f t="shared" si="130"/>
        <v/>
      </c>
      <c r="O75" s="92" t="str">
        <f t="shared" si="130"/>
        <v/>
      </c>
      <c r="P75" s="92" t="str">
        <f t="shared" si="130"/>
        <v/>
      </c>
      <c r="Q75" s="92" t="str">
        <f t="shared" si="130"/>
        <v/>
      </c>
      <c r="R75" s="92" t="str">
        <f t="shared" si="130"/>
        <v/>
      </c>
      <c r="S75" s="92" t="str">
        <f t="shared" si="130"/>
        <v/>
      </c>
      <c r="T75" s="92" t="str">
        <f t="shared" si="130"/>
        <v/>
      </c>
      <c r="U75" s="92" t="str">
        <f t="shared" si="130"/>
        <v/>
      </c>
      <c r="V75" s="92" t="str">
        <f t="shared" si="130"/>
        <v/>
      </c>
      <c r="W75" s="92" t="str">
        <f t="shared" si="130"/>
        <v/>
      </c>
      <c r="X75" s="92" t="str">
        <f t="shared" si="130"/>
        <v/>
      </c>
      <c r="Y75" s="92" t="str">
        <f t="shared" si="130"/>
        <v/>
      </c>
      <c r="Z75" s="92" t="str">
        <f t="shared" si="130"/>
        <v/>
      </c>
      <c r="AA75" s="92" t="str">
        <f t="shared" si="130"/>
        <v/>
      </c>
      <c r="AB75" s="92" t="str">
        <f t="shared" si="130"/>
        <v/>
      </c>
      <c r="AC75" s="92" t="str">
        <f t="shared" si="130"/>
        <v/>
      </c>
      <c r="AD75" s="92" t="str">
        <f t="shared" si="130"/>
        <v/>
      </c>
      <c r="AE75" s="92" t="str">
        <f t="shared" si="130"/>
        <v/>
      </c>
      <c r="AF75" s="92" t="str">
        <f t="shared" si="130"/>
        <v/>
      </c>
      <c r="AG75" s="92" t="str">
        <f t="shared" si="130"/>
        <v/>
      </c>
      <c r="AH75" s="92" t="str">
        <f t="shared" si="130"/>
        <v/>
      </c>
      <c r="AI75" s="97" t="str">
        <f t="shared" si="130"/>
        <v/>
      </c>
      <c r="AJ75" s="206"/>
      <c r="AK75" s="177"/>
      <c r="AL75" s="177"/>
      <c r="AM75" s="177"/>
      <c r="AN75" s="198"/>
      <c r="AO75" s="198"/>
      <c r="AP75" s="198"/>
      <c r="AQ75" s="177"/>
      <c r="AR75" s="179"/>
      <c r="CK75" s="58">
        <f>IF(DAY(INDEX('Сводный годовой график'!$BA$4:$BL$14,$C74,MONTH($B$74)))=E$3,1,0)</f>
        <v>0</v>
      </c>
      <c r="CL75" s="58">
        <f>IF(DAY(INDEX('Сводный годовой график'!$BA$4:$BL$14,$C74,MONTH($B$74)))=F$3,1,0)</f>
        <v>0</v>
      </c>
      <c r="CM75" s="58">
        <f>IF(DAY(INDEX('Сводный годовой график'!$BA$4:$BL$14,$C74,MONTH($B$74)))=G$3,1,0)</f>
        <v>0</v>
      </c>
      <c r="CN75" s="58">
        <f>IF(DAY(INDEX('Сводный годовой график'!$BA$4:$BL$14,$C74,MONTH($B$74)))=H$3,1,0)</f>
        <v>0</v>
      </c>
      <c r="CO75" s="58">
        <f>IF(DAY(INDEX('Сводный годовой график'!$BA$4:$BL$14,$C74,MONTH($B$74)))=I$3,1,0)</f>
        <v>0</v>
      </c>
      <c r="CP75" s="58">
        <f>IF(DAY(INDEX('Сводный годовой график'!$BA$4:$BL$14,$C74,MONTH($B$74)))=J$3,1,0)</f>
        <v>0</v>
      </c>
      <c r="CQ75" s="58">
        <f>IF(DAY(INDEX('Сводный годовой график'!$BA$4:$BL$14,$C74,MONTH($B$74)))=K$3,1,0)</f>
        <v>0</v>
      </c>
      <c r="CR75" s="58">
        <f>IF(DAY(INDEX('Сводный годовой график'!$BA$4:$BL$14,$C74,MONTH($B$74)))=L$3,1,0)</f>
        <v>1</v>
      </c>
      <c r="CS75" s="58">
        <f>IF(DAY(INDEX('Сводный годовой график'!$BA$4:$BL$14,$C74,MONTH($B$74)))=M$3,1,0)</f>
        <v>0</v>
      </c>
      <c r="CT75" s="58">
        <f>IF(DAY(INDEX('Сводный годовой график'!$BA$4:$BL$14,$C74,MONTH($B$74)))=N$3,1,0)</f>
        <v>0</v>
      </c>
      <c r="CU75" s="58">
        <f>IF(DAY(INDEX('Сводный годовой график'!$BA$4:$BL$14,$C74,MONTH($B$74)))=O$3,1,0)</f>
        <v>0</v>
      </c>
      <c r="CV75" s="58">
        <f>IF(DAY(INDEX('Сводный годовой график'!$BA$4:$BL$14,$C74,MONTH($B$74)))=P$3,1,0)</f>
        <v>0</v>
      </c>
      <c r="CW75" s="58">
        <f>IF(DAY(INDEX('Сводный годовой график'!$BA$4:$BL$14,$C74,MONTH($B$74)))=Q$3,1,0)</f>
        <v>0</v>
      </c>
      <c r="CX75" s="58">
        <f>IF(DAY(INDEX('Сводный годовой график'!$BA$4:$BL$14,$C74,MONTH($B$74)))=R$3,1,0)</f>
        <v>0</v>
      </c>
      <c r="CY75" s="58">
        <f>IF(DAY(INDEX('Сводный годовой график'!$BA$4:$BL$14,$C74,MONTH($B$74)))=S$3,1,0)</f>
        <v>0</v>
      </c>
      <c r="CZ75" s="58">
        <f>IF(DAY(INDEX('Сводный годовой график'!$BA$4:$BL$14,$C74,MONTH($B$74)))=T$3,1,0)</f>
        <v>0</v>
      </c>
      <c r="DA75" s="58">
        <f>IF(DAY(INDEX('Сводный годовой график'!$BA$4:$BL$14,$C74,MONTH($B$74)))=U$3,1,0)</f>
        <v>0</v>
      </c>
      <c r="DB75" s="58">
        <f>IF(DAY(INDEX('Сводный годовой график'!$BA$4:$BL$14,$C74,MONTH($B$74)))=V$3,1,0)</f>
        <v>0</v>
      </c>
      <c r="DC75" s="58">
        <f>IF(DAY(INDEX('Сводный годовой график'!$BA$4:$BL$14,$C74,MONTH($B$74)))=W$3,1,0)</f>
        <v>0</v>
      </c>
      <c r="DD75" s="58">
        <f>IF(DAY(INDEX('Сводный годовой график'!$BA$4:$BL$14,$C74,MONTH($B$74)))=X$3,1,0)</f>
        <v>0</v>
      </c>
      <c r="DE75" s="58">
        <f>IF(DAY(INDEX('Сводный годовой график'!$BA$4:$BL$14,$C74,MONTH($B$74)))=Y$3,1,0)</f>
        <v>0</v>
      </c>
      <c r="DF75" s="58">
        <f>IF(DAY(INDEX('Сводный годовой график'!$BA$4:$BL$14,$C74,MONTH($B$74)))=Z$3,1,0)</f>
        <v>0</v>
      </c>
      <c r="DG75" s="58">
        <f>IF(DAY(INDEX('Сводный годовой график'!$BA$4:$BL$14,$C74,MONTH($B$74)))=AA$3,1,0)</f>
        <v>0</v>
      </c>
      <c r="DH75" s="58">
        <f>IF(DAY(INDEX('Сводный годовой график'!$BA$4:$BL$14,$C74,MONTH($B$74)))=AB$3,1,0)</f>
        <v>0</v>
      </c>
      <c r="DI75" s="58">
        <f>IF(DAY(INDEX('Сводный годовой график'!$BA$4:$BL$14,$C74,MONTH($B$74)))=AC$3,1,0)</f>
        <v>0</v>
      </c>
      <c r="DJ75" s="58">
        <f>IF(DAY(INDEX('Сводный годовой график'!$BA$4:$BL$14,$C74,MONTH($B$74)))=AD$3,1,0)</f>
        <v>0</v>
      </c>
      <c r="DK75" s="58">
        <f>IF(DAY(INDEX('Сводный годовой график'!$BA$4:$BL$14,$C74,MONTH($B$74)))=AE$3,1,0)</f>
        <v>0</v>
      </c>
      <c r="DL75" s="58">
        <f>IF(DAY(INDEX('Сводный годовой график'!$BA$4:$BL$14,$C74,MONTH($B$74)))=AF$3,1,0)</f>
        <v>0</v>
      </c>
      <c r="DM75" s="58">
        <f>IF(DAY(INDEX('Сводный годовой график'!$BA$4:$BL$14,$C74,MONTH($B$74)))=AG$3,1,0)</f>
        <v>0</v>
      </c>
      <c r="DN75" s="58">
        <f>IF(DAY(INDEX('Сводный годовой график'!$BA$4:$BL$14,$C74,MONTH($B$74)))=AH$3,1,0)</f>
        <v>0</v>
      </c>
      <c r="DO75" s="58">
        <f>IF(DAY(INDEX('Сводный годовой график'!$BA$4:$BL$14,$C74,MONTH($B$74)))=AI$3,1,0)</f>
        <v>0</v>
      </c>
    </row>
    <row r="76" spans="2:119" ht="16.5" thickBot="1" x14ac:dyDescent="0.3">
      <c r="B76" s="201"/>
      <c r="C76" s="196">
        <v>2</v>
      </c>
      <c r="D76" s="81">
        <v>3</v>
      </c>
      <c r="E76" s="92" t="e">
        <f ca="1">IF(AND(INDEX('Сводный годовой график'!$C$1:$AR$4,MATCH($C$76,'Сводный годовой график'!$B$1:$B$4),MATCH(DATE($AV$1,MONTH($B$74),E$3),'Сводный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график'!$B$1:$B$4),MATCH(DATE($AV$1,MONTH($B$74),E$3),'Сводный годовой график'!$C$12:$AR$12)))</f>
        <v>#N/A</v>
      </c>
      <c r="F76" s="92" t="e">
        <f ca="1">IF(AND(INDEX('Сводный годовой график'!$C$1:$AR$4,MATCH($C$76,'Сводный годовой график'!$B$1:$B$4),MATCH(DATE($AV$1,MONTH($B$74),F$3),'Сводный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график'!$B$1:$B$4),MATCH(DATE($AV$1,MONTH($B$74),F$3),'Сводный годовой график'!$C$12:$AR$12)))</f>
        <v>#N/A</v>
      </c>
      <c r="G76" s="92" t="e">
        <f ca="1">IF(AND(INDEX('Сводный годовой график'!$C$1:$AR$4,MATCH($C$76,'Сводный годовой график'!$B$1:$B$4),MATCH(DATE($AV$1,MONTH($B$74),G$3),'Сводный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график'!$B$1:$B$4),MATCH(DATE($AV$1,MONTH($B$74),G$3),'Сводный годовой график'!$C$12:$AR$12)))</f>
        <v>#N/A</v>
      </c>
      <c r="H76" s="92" t="e">
        <f ca="1">IF(AND(INDEX('Сводный годовой график'!$C$1:$AR$4,MATCH($C$76,'Сводный годовой график'!$B$1:$B$4),MATCH(DATE($AV$1,MONTH($B$74),H$3),'Сводный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график'!$B$1:$B$4),MATCH(DATE($AV$1,MONTH($B$74),H$3),'Сводный годовой график'!$C$12:$AR$12)))</f>
        <v>#N/A</v>
      </c>
      <c r="I76" s="92" t="e">
        <f ca="1">IF(AND(INDEX('Сводный годовой график'!$C$1:$AR$4,MATCH($C$76,'Сводный годовой график'!$B$1:$B$4),MATCH(DATE($AV$1,MONTH($B$74),I$3),'Сводный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график'!$B$1:$B$4),MATCH(DATE($AV$1,MONTH($B$74),I$3),'Сводный годовой график'!$C$12:$AR$12)))</f>
        <v>#N/A</v>
      </c>
      <c r="J76" s="92" t="e">
        <f ca="1">IF(AND(INDEX('Сводный годовой график'!$C$1:$AR$4,MATCH($C$76,'Сводный годовой график'!$B$1:$B$4),MATCH(DATE($AV$1,MONTH($B$74),J$3),'Сводный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график'!$B$1:$B$4),MATCH(DATE($AV$1,MONTH($B$74),J$3),'Сводный годовой график'!$C$12:$AR$12)))</f>
        <v>#N/A</v>
      </c>
      <c r="K76" s="92" t="e">
        <f ca="1">IF(AND(INDEX('Сводный годовой график'!$C$1:$AR$4,MATCH($C$76,'Сводный годовой график'!$B$1:$B$4),MATCH(DATE($AV$1,MONTH($B$74),K$3),'Сводный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график'!$B$1:$B$4),MATCH(DATE($AV$1,MONTH($B$74),K$3),'Сводный годовой график'!$C$12:$AR$12)))</f>
        <v>#N/A</v>
      </c>
      <c r="L76" s="92" t="e">
        <f ca="1">IF(AND(INDEX('Сводный годовой график'!$C$1:$AR$4,MATCH($C$76,'Сводный годовой график'!$B$1:$B$4),MATCH(DATE($AV$1,MONTH($B$74),L$3),'Сводный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график'!$B$1:$B$4),MATCH(DATE($AV$1,MONTH($B$74),L$3),'Сводный годовой график'!$C$12:$AR$12)))</f>
        <v>#N/A</v>
      </c>
      <c r="M76" s="92" t="e">
        <f ca="1">IF(AND(INDEX('Сводный годовой график'!$C$1:$AR$4,MATCH($C$76,'Сводный годовой график'!$B$1:$B$4),MATCH(DATE($AV$1,MONTH($B$74),M$3),'Сводный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график'!$B$1:$B$4),MATCH(DATE($AV$1,MONTH($B$74),M$3),'Сводный годовой график'!$C$12:$AR$12)))</f>
        <v>#N/A</v>
      </c>
      <c r="N76" s="92" t="e">
        <f ca="1">IF(AND(INDEX('Сводный годовой график'!$C$1:$AR$4,MATCH($C$76,'Сводный годовой график'!$B$1:$B$4),MATCH(DATE($AV$1,MONTH($B$74),N$3),'Сводный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график'!$B$1:$B$4),MATCH(DATE($AV$1,MONTH($B$74),N$3),'Сводный годовой график'!$C$12:$AR$12)))</f>
        <v>#N/A</v>
      </c>
      <c r="O76" s="92" t="e">
        <f ca="1">IF(AND(INDEX('Сводный годовой график'!$C$1:$AR$4,MATCH($C$76,'Сводный годовой график'!$B$1:$B$4),MATCH(DATE($AV$1,MONTH($B$74),O$3),'Сводный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график'!$B$1:$B$4),MATCH(DATE($AV$1,MONTH($B$74),O$3),'Сводный годовой график'!$C$12:$AR$12)))</f>
        <v>#N/A</v>
      </c>
      <c r="P76" s="92" t="e">
        <f ca="1">IF(AND(INDEX('Сводный годовой график'!$C$1:$AR$4,MATCH($C$76,'Сводный годовой график'!$B$1:$B$4),MATCH(DATE($AV$1,MONTH($B$74),P$3),'Сводный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график'!$B$1:$B$4),MATCH(DATE($AV$1,MONTH($B$74),P$3),'Сводный годовой график'!$C$12:$AR$12)))</f>
        <v>#N/A</v>
      </c>
      <c r="Q76" s="92" t="e">
        <f ca="1">IF(AND(INDEX('Сводный годовой график'!$C$1:$AR$4,MATCH($C$76,'Сводный годовой график'!$B$1:$B$4),MATCH(DATE($AV$1,MONTH($B$74),Q$3),'Сводный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график'!$B$1:$B$4),MATCH(DATE($AV$1,MONTH($B$74),Q$3),'Сводный годовой график'!$C$12:$AR$12)))</f>
        <v>#N/A</v>
      </c>
      <c r="R76" s="92" t="e">
        <f ca="1">IF(AND(INDEX('Сводный годовой график'!$C$1:$AR$4,MATCH($C$76,'Сводный годовой график'!$B$1:$B$4),MATCH(DATE($AV$1,MONTH($B$74),R$3),'Сводный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график'!$B$1:$B$4),MATCH(DATE($AV$1,MONTH($B$74),R$3),'Сводный годовой график'!$C$12:$AR$12)))</f>
        <v>#N/A</v>
      </c>
      <c r="S76" s="92" t="e">
        <f ca="1">IF(AND(INDEX('Сводный годовой график'!$C$1:$AR$4,MATCH($C$76,'Сводный годовой график'!$B$1:$B$4),MATCH(DATE($AV$1,MONTH($B$74),S$3),'Сводный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график'!$B$1:$B$4),MATCH(DATE($AV$1,MONTH($B$74),S$3),'Сводный годовой график'!$C$12:$AR$12)))</f>
        <v>#N/A</v>
      </c>
      <c r="T76" s="92" t="e">
        <f ca="1">IF(AND(INDEX('Сводный годовой график'!$C$1:$AR$4,MATCH($C$76,'Сводный годовой график'!$B$1:$B$4),MATCH(DATE($AV$1,MONTH($B$74),T$3),'Сводный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график'!$B$1:$B$4),MATCH(DATE($AV$1,MONTH($B$74),T$3),'Сводный годовой график'!$C$12:$AR$12)))</f>
        <v>#N/A</v>
      </c>
      <c r="U76" s="92" t="e">
        <f ca="1">IF(AND(INDEX('Сводный годовой график'!$C$1:$AR$4,MATCH($C$76,'Сводный годовой график'!$B$1:$B$4),MATCH(DATE($AV$1,MONTH($B$74),U$3),'Сводный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график'!$B$1:$B$4),MATCH(DATE($AV$1,MONTH($B$74),U$3),'Сводный годовой график'!$C$12:$AR$12)))</f>
        <v>#N/A</v>
      </c>
      <c r="V76" s="92" t="e">
        <f ca="1">IF(AND(INDEX('Сводный годовой график'!$C$1:$AR$4,MATCH($C$76,'Сводный годовой график'!$B$1:$B$4),MATCH(DATE($AV$1,MONTH($B$74),V$3),'Сводный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график'!$B$1:$B$4),MATCH(DATE($AV$1,MONTH($B$74),V$3),'Сводный годовой график'!$C$12:$AR$12)))</f>
        <v>#N/A</v>
      </c>
      <c r="W76" s="92" t="e">
        <f ca="1">IF(AND(INDEX('Сводный годовой график'!$C$1:$AR$4,MATCH($C$76,'Сводный годовой график'!$B$1:$B$4),MATCH(DATE($AV$1,MONTH($B$74),W$3),'Сводный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график'!$B$1:$B$4),MATCH(DATE($AV$1,MONTH($B$74),W$3),'Сводный годовой график'!$C$12:$AR$12)))</f>
        <v>#N/A</v>
      </c>
      <c r="X76" s="92" t="e">
        <f ca="1">IF(AND(INDEX('Сводный годовой график'!$C$1:$AR$4,MATCH($C$76,'Сводный годовой график'!$B$1:$B$4),MATCH(DATE($AV$1,MONTH($B$74),X$3),'Сводный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график'!$B$1:$B$4),MATCH(DATE($AV$1,MONTH($B$74),X$3),'Сводный годовой график'!$C$12:$AR$12)))</f>
        <v>#N/A</v>
      </c>
      <c r="Y76" s="92" t="e">
        <f ca="1">IF(AND(INDEX('Сводный годовой график'!$C$1:$AR$4,MATCH($C$76,'Сводный годовой график'!$B$1:$B$4),MATCH(DATE($AV$1,MONTH($B$74),Y$3),'Сводный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график'!$B$1:$B$4),MATCH(DATE($AV$1,MONTH($B$74),Y$3),'Сводный годовой график'!$C$12:$AR$12)))</f>
        <v>#N/A</v>
      </c>
      <c r="Z76" s="92" t="e">
        <f ca="1">IF(AND(INDEX('Сводный годовой график'!$C$1:$AR$4,MATCH($C$76,'Сводный годовой график'!$B$1:$B$4),MATCH(DATE($AV$1,MONTH($B$74),Z$3),'Сводный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график'!$B$1:$B$4),MATCH(DATE($AV$1,MONTH($B$74),Z$3),'Сводный годовой график'!$C$12:$AR$12)))</f>
        <v>#N/A</v>
      </c>
      <c r="AA76" s="92" t="e">
        <f ca="1">IF(AND(INDEX('Сводный годовой график'!$C$1:$AR$4,MATCH($C$76,'Сводный годовой график'!$B$1:$B$4),MATCH(DATE($AV$1,MONTH($B$74),AA$3),'Сводный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график'!$B$1:$B$4),MATCH(DATE($AV$1,MONTH($B$74),AA$3),'Сводный годовой график'!$C$12:$AR$12)))</f>
        <v>#N/A</v>
      </c>
      <c r="AB76" s="92" t="e">
        <f ca="1">IF(AND(INDEX('Сводный годовой график'!$C$1:$AR$4,MATCH($C$76,'Сводный годовой график'!$B$1:$B$4),MATCH(DATE($AV$1,MONTH($B$74),AB$3),'Сводный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график'!$B$1:$B$4),MATCH(DATE($AV$1,MONTH($B$74),AB$3),'Сводный годовой график'!$C$12:$AR$12)))</f>
        <v>#N/A</v>
      </c>
      <c r="AC76" s="92" t="e">
        <f ca="1">IF(AND(INDEX('Сводный годовой график'!$C$1:$AR$4,MATCH($C$76,'Сводный годовой график'!$B$1:$B$4),MATCH(DATE($AV$1,MONTH($B$74),AC$3),'Сводный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график'!$B$1:$B$4),MATCH(DATE($AV$1,MONTH($B$74),AC$3),'Сводный годовой график'!$C$12:$AR$12)))</f>
        <v>#N/A</v>
      </c>
      <c r="AD76" s="92" t="e">
        <f ca="1">IF(AND(INDEX('Сводный годовой график'!$C$1:$AR$4,MATCH($C$76,'Сводный годовой график'!$B$1:$B$4),MATCH(DATE($AV$1,MONTH($B$74),AD$3),'Сводный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график'!$B$1:$B$4),MATCH(DATE($AV$1,MONTH($B$74),AD$3),'Сводный годовой график'!$C$12:$AR$12)))</f>
        <v>#N/A</v>
      </c>
      <c r="AE76" s="92" t="e">
        <f ca="1">IF(AND(INDEX('Сводный годовой график'!$C$1:$AR$4,MATCH($C$76,'Сводный годовой график'!$B$1:$B$4),MATCH(DATE($AV$1,MONTH($B$74),AE$3),'Сводный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график'!$B$1:$B$4),MATCH(DATE($AV$1,MONTH($B$74),AE$3),'Сводный годовой график'!$C$12:$AR$12)))</f>
        <v>#N/A</v>
      </c>
      <c r="AF76" s="92" t="e">
        <f ca="1">IF(AND(INDEX('Сводный годовой график'!$C$1:$AR$4,MATCH($C$76,'Сводный годовой график'!$B$1:$B$4),MATCH(DATE($AV$1,MONTH($B$74),AF$3),'Сводный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график'!$B$1:$B$4),MATCH(DATE($AV$1,MONTH($B$74),AF$3),'Сводный годовой график'!$C$12:$AR$12)))</f>
        <v>#N/A</v>
      </c>
      <c r="AG76" s="92" t="e">
        <f ca="1">IF(AND(INDEX('Сводный годовой график'!$C$1:$AR$4,MATCH($C$76,'Сводный годовой график'!$B$1:$B$4),MATCH(DATE($AV$1,MONTH($B$74),AG$3),'Сводный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график'!$B$1:$B$4),MATCH(DATE($AV$1,MONTH($B$74),AG$3),'Сводный годовой график'!$C$12:$AR$12)))</f>
        <v>#N/A</v>
      </c>
      <c r="AH76" s="92" t="e">
        <f ca="1">IF(AND(INDEX('Сводный годовой график'!$C$1:$AR$4,MATCH($C$76,'Сводный годовой график'!$B$1:$B$4),MATCH(DATE($AV$1,MONTH($B$74),AH$3),'Сводный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график'!$B$1:$B$4),MATCH(DATE($AV$1,MONTH($B$74),AH$3),'Сводный годовой график'!$C$12:$AR$12)))</f>
        <v>#N/A</v>
      </c>
      <c r="AI76" s="97" t="e">
        <f ca="1">IF(AND(INDEX('Сводный годовой график'!$C$1:$AR$4,MATCH($C$76,'Сводный годовой график'!$B$1:$B$4),MATCH(DATE($AV$1,MONTH($B$74),AI$3),'Сводный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график'!$B$1:$B$4),MATCH(DATE($AV$1,MONTH($B$74),AI$3),'Сводный годовой график'!$C$12:$AR$12)))</f>
        <v>#N/A</v>
      </c>
      <c r="AJ76" s="206"/>
      <c r="AK76" s="177">
        <f>$AJ$74-SUM(AY76:CC77)</f>
        <v>168</v>
      </c>
      <c r="AL76" s="177" t="e">
        <f t="shared" ref="AL76" ca="1" si="131">SUM(E76:AI77)</f>
        <v>#N/A</v>
      </c>
      <c r="AM76" s="177">
        <v>0</v>
      </c>
      <c r="AN76" s="198" t="e">
        <f t="shared" ref="AN76" ca="1" si="132">-AM76-AK76+AL76</f>
        <v>#N/A</v>
      </c>
      <c r="AO76" s="198">
        <v>18</v>
      </c>
      <c r="AP76" s="198" t="e">
        <f ca="1">AN76+AP66-AO76</f>
        <v>#N/A</v>
      </c>
      <c r="AQ76" s="177">
        <v>8</v>
      </c>
      <c r="AR76" s="179">
        <v>1</v>
      </c>
      <c r="CK76" s="59"/>
      <c r="CL76" s="59"/>
      <c r="CM76" s="59"/>
      <c r="CN76" s="59"/>
      <c r="CO76" s="59"/>
      <c r="CP76" s="59"/>
      <c r="CQ76" s="59"/>
      <c r="CR76" s="59"/>
      <c r="CS76" s="59"/>
      <c r="CT76" s="59"/>
      <c r="CU76" s="59"/>
      <c r="CV76" s="59"/>
      <c r="CW76" s="59"/>
      <c r="CX76" s="59"/>
      <c r="CY76" s="59"/>
      <c r="CZ76" s="59"/>
      <c r="DA76" s="59"/>
      <c r="DB76" s="59"/>
      <c r="DC76" s="59"/>
      <c r="DD76" s="59"/>
      <c r="DE76" s="59"/>
      <c r="DF76" s="59"/>
      <c r="DG76" s="59"/>
      <c r="DH76" s="59"/>
      <c r="DI76" s="59"/>
      <c r="DJ76" s="59"/>
      <c r="DK76" s="59"/>
      <c r="DL76" s="59"/>
      <c r="DM76" s="59"/>
      <c r="DN76" s="59"/>
      <c r="DO76" s="59"/>
    </row>
    <row r="77" spans="2:119" ht="16.5" thickBot="1" x14ac:dyDescent="0.3">
      <c r="B77" s="201"/>
      <c r="C77" s="197"/>
      <c r="D77" s="82">
        <v>4</v>
      </c>
      <c r="E77" s="92" t="str">
        <f t="shared" ref="E77:AI77" si="133">IF(INDEX($CK$4:$DO$123,ROW()-3,E$3)=0,"","СП")</f>
        <v/>
      </c>
      <c r="F77" s="92" t="str">
        <f t="shared" si="133"/>
        <v/>
      </c>
      <c r="G77" s="92" t="str">
        <f t="shared" si="133"/>
        <v/>
      </c>
      <c r="H77" s="92" t="str">
        <f t="shared" si="133"/>
        <v/>
      </c>
      <c r="I77" s="92" t="str">
        <f t="shared" si="133"/>
        <v/>
      </c>
      <c r="J77" s="92" t="str">
        <f t="shared" si="133"/>
        <v/>
      </c>
      <c r="K77" s="92" t="str">
        <f t="shared" si="133"/>
        <v/>
      </c>
      <c r="L77" s="92" t="str">
        <f t="shared" si="133"/>
        <v/>
      </c>
      <c r="M77" s="92" t="str">
        <f t="shared" si="133"/>
        <v>СП</v>
      </c>
      <c r="N77" s="92" t="str">
        <f t="shared" si="133"/>
        <v/>
      </c>
      <c r="O77" s="92" t="str">
        <f t="shared" si="133"/>
        <v/>
      </c>
      <c r="P77" s="92" t="str">
        <f t="shared" si="133"/>
        <v/>
      </c>
      <c r="Q77" s="92" t="str">
        <f t="shared" si="133"/>
        <v/>
      </c>
      <c r="R77" s="92" t="str">
        <f t="shared" si="133"/>
        <v/>
      </c>
      <c r="S77" s="92" t="str">
        <f t="shared" si="133"/>
        <v/>
      </c>
      <c r="T77" s="92" t="str">
        <f t="shared" si="133"/>
        <v/>
      </c>
      <c r="U77" s="92" t="str">
        <f t="shared" si="133"/>
        <v/>
      </c>
      <c r="V77" s="92" t="str">
        <f t="shared" si="133"/>
        <v/>
      </c>
      <c r="W77" s="92" t="str">
        <f t="shared" si="133"/>
        <v/>
      </c>
      <c r="X77" s="92" t="str">
        <f t="shared" si="133"/>
        <v/>
      </c>
      <c r="Y77" s="92" t="str">
        <f t="shared" si="133"/>
        <v/>
      </c>
      <c r="Z77" s="92" t="str">
        <f t="shared" si="133"/>
        <v/>
      </c>
      <c r="AA77" s="92" t="str">
        <f t="shared" si="133"/>
        <v/>
      </c>
      <c r="AB77" s="92" t="str">
        <f t="shared" si="133"/>
        <v/>
      </c>
      <c r="AC77" s="92" t="str">
        <f t="shared" si="133"/>
        <v/>
      </c>
      <c r="AD77" s="92" t="str">
        <f t="shared" si="133"/>
        <v/>
      </c>
      <c r="AE77" s="92" t="str">
        <f t="shared" si="133"/>
        <v/>
      </c>
      <c r="AF77" s="92" t="str">
        <f t="shared" si="133"/>
        <v/>
      </c>
      <c r="AG77" s="92" t="str">
        <f t="shared" si="133"/>
        <v/>
      </c>
      <c r="AH77" s="92" t="str">
        <f t="shared" si="133"/>
        <v/>
      </c>
      <c r="AI77" s="97" t="str">
        <f t="shared" si="133"/>
        <v/>
      </c>
      <c r="AJ77" s="206"/>
      <c r="AK77" s="177"/>
      <c r="AL77" s="177"/>
      <c r="AM77" s="177"/>
      <c r="AN77" s="198"/>
      <c r="AO77" s="198"/>
      <c r="AP77" s="198"/>
      <c r="AQ77" s="177"/>
      <c r="AR77" s="179"/>
      <c r="CK77" s="58">
        <f>IF(DAY(INDEX('Сводный годовой график'!$BA$4:$BL$14,$C76,MONTH($B$74)))=E$3,1,0)</f>
        <v>0</v>
      </c>
      <c r="CL77" s="58">
        <f>IF(DAY(INDEX('Сводный годовой график'!$BA$4:$BL$14,$C76,MONTH($B$74)))=F$3,1,0)</f>
        <v>0</v>
      </c>
      <c r="CM77" s="58">
        <f>IF(DAY(INDEX('Сводный годовой график'!$BA$4:$BL$14,$C76,MONTH($B$74)))=G$3,1,0)</f>
        <v>0</v>
      </c>
      <c r="CN77" s="58">
        <f>IF(DAY(INDEX('Сводный годовой график'!$BA$4:$BL$14,$C76,MONTH($B$74)))=H$3,1,0)</f>
        <v>0</v>
      </c>
      <c r="CO77" s="58">
        <f>IF(DAY(INDEX('Сводный годовой график'!$BA$4:$BL$14,$C76,MONTH($B$74)))=I$3,1,0)</f>
        <v>0</v>
      </c>
      <c r="CP77" s="58">
        <f>IF(DAY(INDEX('Сводный годовой график'!$BA$4:$BL$14,$C76,MONTH($B$74)))=J$3,1,0)</f>
        <v>0</v>
      </c>
      <c r="CQ77" s="58">
        <f>IF(DAY(INDEX('Сводный годовой график'!$BA$4:$BL$14,$C76,MONTH($B$74)))=K$3,1,0)</f>
        <v>0</v>
      </c>
      <c r="CR77" s="58">
        <f>IF(DAY(INDEX('Сводный годовой график'!$BA$4:$BL$14,$C76,MONTH($B$74)))=L$3,1,0)</f>
        <v>0</v>
      </c>
      <c r="CS77" s="58">
        <f>IF(DAY(INDEX('Сводный годовой график'!$BA$4:$BL$14,$C76,MONTH($B$74)))=M$3,1,0)</f>
        <v>1</v>
      </c>
      <c r="CT77" s="58">
        <f>IF(DAY(INDEX('Сводный годовой график'!$BA$4:$BL$14,$C76,MONTH($B$74)))=N$3,1,0)</f>
        <v>0</v>
      </c>
      <c r="CU77" s="58">
        <f>IF(DAY(INDEX('Сводный годовой график'!$BA$4:$BL$14,$C76,MONTH($B$74)))=O$3,1,0)</f>
        <v>0</v>
      </c>
      <c r="CV77" s="58">
        <f>IF(DAY(INDEX('Сводный годовой график'!$BA$4:$BL$14,$C76,MONTH($B$74)))=P$3,1,0)</f>
        <v>0</v>
      </c>
      <c r="CW77" s="58">
        <f>IF(DAY(INDEX('Сводный годовой график'!$BA$4:$BL$14,$C76,MONTH($B$74)))=Q$3,1,0)</f>
        <v>0</v>
      </c>
      <c r="CX77" s="58">
        <f>IF(DAY(INDEX('Сводный годовой график'!$BA$4:$BL$14,$C76,MONTH($B$74)))=R$3,1,0)</f>
        <v>0</v>
      </c>
      <c r="CY77" s="58">
        <f>IF(DAY(INDEX('Сводный годовой график'!$BA$4:$BL$14,$C76,MONTH($B$74)))=S$3,1,0)</f>
        <v>0</v>
      </c>
      <c r="CZ77" s="58">
        <f>IF(DAY(INDEX('Сводный годовой график'!$BA$4:$BL$14,$C76,MONTH($B$74)))=T$3,1,0)</f>
        <v>0</v>
      </c>
      <c r="DA77" s="58">
        <f>IF(DAY(INDEX('Сводный годовой график'!$BA$4:$BL$14,$C76,MONTH($B$74)))=U$3,1,0)</f>
        <v>0</v>
      </c>
      <c r="DB77" s="58">
        <f>IF(DAY(INDEX('Сводный годовой график'!$BA$4:$BL$14,$C76,MONTH($B$74)))=V$3,1,0)</f>
        <v>0</v>
      </c>
      <c r="DC77" s="58">
        <f>IF(DAY(INDEX('Сводный годовой график'!$BA$4:$BL$14,$C76,MONTH($B$74)))=W$3,1,0)</f>
        <v>0</v>
      </c>
      <c r="DD77" s="58">
        <f>IF(DAY(INDEX('Сводный годовой график'!$BA$4:$BL$14,$C76,MONTH($B$74)))=X$3,1,0)</f>
        <v>0</v>
      </c>
      <c r="DE77" s="58">
        <f>IF(DAY(INDEX('Сводный годовой график'!$BA$4:$BL$14,$C76,MONTH($B$74)))=Y$3,1,0)</f>
        <v>0</v>
      </c>
      <c r="DF77" s="58">
        <f>IF(DAY(INDEX('Сводный годовой график'!$BA$4:$BL$14,$C76,MONTH($B$74)))=Z$3,1,0)</f>
        <v>0</v>
      </c>
      <c r="DG77" s="58">
        <f>IF(DAY(INDEX('Сводный годовой график'!$BA$4:$BL$14,$C76,MONTH($B$74)))=AA$3,1,0)</f>
        <v>0</v>
      </c>
      <c r="DH77" s="58">
        <f>IF(DAY(INDEX('Сводный годовой график'!$BA$4:$BL$14,$C76,MONTH($B$74)))=AB$3,1,0)</f>
        <v>0</v>
      </c>
      <c r="DI77" s="58">
        <f>IF(DAY(INDEX('Сводный годовой график'!$BA$4:$BL$14,$C76,MONTH($B$74)))=AC$3,1,0)</f>
        <v>0</v>
      </c>
      <c r="DJ77" s="58">
        <f>IF(DAY(INDEX('Сводный годовой график'!$BA$4:$BL$14,$C76,MONTH($B$74)))=AD$3,1,0)</f>
        <v>0</v>
      </c>
      <c r="DK77" s="58">
        <f>IF(DAY(INDEX('Сводный годовой график'!$BA$4:$BL$14,$C76,MONTH($B$74)))=AE$3,1,0)</f>
        <v>0</v>
      </c>
      <c r="DL77" s="58">
        <f>IF(DAY(INDEX('Сводный годовой график'!$BA$4:$BL$14,$C76,MONTH($B$74)))=AF$3,1,0)</f>
        <v>0</v>
      </c>
      <c r="DM77" s="58">
        <f>IF(DAY(INDEX('Сводный годовой график'!$BA$4:$BL$14,$C76,MONTH($B$74)))=AG$3,1,0)</f>
        <v>0</v>
      </c>
      <c r="DN77" s="58">
        <f>IF(DAY(INDEX('Сводный годовой график'!$BA$4:$BL$14,$C76,MONTH($B$74)))=AH$3,1,0)</f>
        <v>0</v>
      </c>
      <c r="DO77" s="58">
        <f>IF(DAY(INDEX('Сводный годовой график'!$BA$4:$BL$14,$C76,MONTH($B$74)))=AI$3,1,0)</f>
        <v>0</v>
      </c>
    </row>
    <row r="78" spans="2:119" ht="16.5" thickBot="1" x14ac:dyDescent="0.3">
      <c r="B78" s="201"/>
      <c r="C78" s="196">
        <v>3</v>
      </c>
      <c r="D78" s="81">
        <v>5</v>
      </c>
      <c r="E78" s="92" t="e">
        <f ca="1">IF(AND(INDEX('Сводный годовой график'!$C$1:$AR$4,MATCH($C$78,'Сводный годовой график'!$B$1:$B$4),MATCH(DATE($AV$1,MONTH($B$74),E$3),'Сводный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график'!$B$1:$B$4),MATCH(DATE($AV$1,MONTH($B$74),E$3),'Сводный годовой график'!$C$12:$AR$12)))</f>
        <v>#N/A</v>
      </c>
      <c r="F78" s="92" t="e">
        <f ca="1">IF(AND(INDEX('Сводный годовой график'!$C$1:$AR$4,MATCH($C$78,'Сводный годовой график'!$B$1:$B$4),MATCH(DATE($AV$1,MONTH($B$74),F$3),'Сводный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график'!$B$1:$B$4),MATCH(DATE($AV$1,MONTH($B$74),F$3),'Сводный годовой график'!$C$12:$AR$12)))</f>
        <v>#N/A</v>
      </c>
      <c r="G78" s="92" t="e">
        <f ca="1">IF(AND(INDEX('Сводный годовой график'!$C$1:$AR$4,MATCH($C$78,'Сводный годовой график'!$B$1:$B$4),MATCH(DATE($AV$1,MONTH($B$74),G$3),'Сводный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график'!$B$1:$B$4),MATCH(DATE($AV$1,MONTH($B$74),G$3),'Сводный годовой график'!$C$12:$AR$12)))</f>
        <v>#N/A</v>
      </c>
      <c r="H78" s="92" t="e">
        <f ca="1">IF(AND(INDEX('Сводный годовой график'!$C$1:$AR$4,MATCH($C$78,'Сводный годовой график'!$B$1:$B$4),MATCH(DATE($AV$1,MONTH($B$74),H$3),'Сводный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график'!$B$1:$B$4),MATCH(DATE($AV$1,MONTH($B$74),H$3),'Сводный годовой график'!$C$12:$AR$12)))</f>
        <v>#N/A</v>
      </c>
      <c r="I78" s="92" t="e">
        <f ca="1">IF(AND(INDEX('Сводный годовой график'!$C$1:$AR$4,MATCH($C$78,'Сводный годовой график'!$B$1:$B$4),MATCH(DATE($AV$1,MONTH($B$74),I$3),'Сводный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график'!$B$1:$B$4),MATCH(DATE($AV$1,MONTH($B$74),I$3),'Сводный годовой график'!$C$12:$AR$12)))</f>
        <v>#N/A</v>
      </c>
      <c r="J78" s="92" t="e">
        <f ca="1">IF(AND(INDEX('Сводный годовой график'!$C$1:$AR$4,MATCH($C$78,'Сводный годовой график'!$B$1:$B$4),MATCH(DATE($AV$1,MONTH($B$74),J$3),'Сводный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график'!$B$1:$B$4),MATCH(DATE($AV$1,MONTH($B$74),J$3),'Сводный годовой график'!$C$12:$AR$12)))</f>
        <v>#N/A</v>
      </c>
      <c r="K78" s="92" t="e">
        <f ca="1">IF(AND(INDEX('Сводный годовой график'!$C$1:$AR$4,MATCH($C$78,'Сводный годовой график'!$B$1:$B$4),MATCH(DATE($AV$1,MONTH($B$74),K$3),'Сводный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график'!$B$1:$B$4),MATCH(DATE($AV$1,MONTH($B$74),K$3),'Сводный годовой график'!$C$12:$AR$12)))</f>
        <v>#N/A</v>
      </c>
      <c r="L78" s="92" t="e">
        <f ca="1">IF(AND(INDEX('Сводный годовой график'!$C$1:$AR$4,MATCH($C$78,'Сводный годовой график'!$B$1:$B$4),MATCH(DATE($AV$1,MONTH($B$74),L$3),'Сводный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график'!$B$1:$B$4),MATCH(DATE($AV$1,MONTH($B$74),L$3),'Сводный годовой график'!$C$12:$AR$12)))</f>
        <v>#N/A</v>
      </c>
      <c r="M78" s="92" t="e">
        <f ca="1">IF(AND(INDEX('Сводный годовой график'!$C$1:$AR$4,MATCH($C$78,'Сводный годовой график'!$B$1:$B$4),MATCH(DATE($AV$1,MONTH($B$74),M$3),'Сводный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график'!$B$1:$B$4),MATCH(DATE($AV$1,MONTH($B$74),M$3),'Сводный годовой график'!$C$12:$AR$12)))</f>
        <v>#N/A</v>
      </c>
      <c r="N78" s="92" t="e">
        <f ca="1">IF(AND(INDEX('Сводный годовой график'!$C$1:$AR$4,MATCH($C$78,'Сводный годовой график'!$B$1:$B$4),MATCH(DATE($AV$1,MONTH($B$74),N$3),'Сводный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график'!$B$1:$B$4),MATCH(DATE($AV$1,MONTH($B$74),N$3),'Сводный годовой график'!$C$12:$AR$12)))</f>
        <v>#N/A</v>
      </c>
      <c r="O78" s="92" t="e">
        <f ca="1">IF(AND(INDEX('Сводный годовой график'!$C$1:$AR$4,MATCH($C$78,'Сводный годовой график'!$B$1:$B$4),MATCH(DATE($AV$1,MONTH($B$74),O$3),'Сводный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график'!$B$1:$B$4),MATCH(DATE($AV$1,MONTH($B$74),O$3),'Сводный годовой график'!$C$12:$AR$12)))</f>
        <v>#N/A</v>
      </c>
      <c r="P78" s="92" t="e">
        <f ca="1">IF(AND(INDEX('Сводный годовой график'!$C$1:$AR$4,MATCH($C$78,'Сводный годовой график'!$B$1:$B$4),MATCH(DATE($AV$1,MONTH($B$74),P$3),'Сводный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график'!$B$1:$B$4),MATCH(DATE($AV$1,MONTH($B$74),P$3),'Сводный годовой график'!$C$12:$AR$12)))</f>
        <v>#N/A</v>
      </c>
      <c r="Q78" s="92" t="e">
        <f ca="1">IF(AND(INDEX('Сводный годовой график'!$C$1:$AR$4,MATCH($C$78,'Сводный годовой график'!$B$1:$B$4),MATCH(DATE($AV$1,MONTH($B$74),Q$3),'Сводный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график'!$B$1:$B$4),MATCH(DATE($AV$1,MONTH($B$74),Q$3),'Сводный годовой график'!$C$12:$AR$12)))</f>
        <v>#N/A</v>
      </c>
      <c r="R78" s="92" t="e">
        <f ca="1">IF(AND(INDEX('Сводный годовой график'!$C$1:$AR$4,MATCH($C$78,'Сводный годовой график'!$B$1:$B$4),MATCH(DATE($AV$1,MONTH($B$74),R$3),'Сводный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график'!$B$1:$B$4),MATCH(DATE($AV$1,MONTH($B$74),R$3),'Сводный годовой график'!$C$12:$AR$12)))</f>
        <v>#N/A</v>
      </c>
      <c r="S78" s="92" t="e">
        <f ca="1">IF(AND(INDEX('Сводный годовой график'!$C$1:$AR$4,MATCH($C$78,'Сводный годовой график'!$B$1:$B$4),MATCH(DATE($AV$1,MONTH($B$74),S$3),'Сводный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график'!$B$1:$B$4),MATCH(DATE($AV$1,MONTH($B$74),S$3),'Сводный годовой график'!$C$12:$AR$12)))</f>
        <v>#N/A</v>
      </c>
      <c r="T78" s="92" t="e">
        <f ca="1">IF(AND(INDEX('Сводный годовой график'!$C$1:$AR$4,MATCH($C$78,'Сводный годовой график'!$B$1:$B$4),MATCH(DATE($AV$1,MONTH($B$74),T$3),'Сводный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график'!$B$1:$B$4),MATCH(DATE($AV$1,MONTH($B$74),T$3),'Сводный годовой график'!$C$12:$AR$12)))</f>
        <v>#N/A</v>
      </c>
      <c r="U78" s="92" t="e">
        <f ca="1">IF(AND(INDEX('Сводный годовой график'!$C$1:$AR$4,MATCH($C$78,'Сводный годовой график'!$B$1:$B$4),MATCH(DATE($AV$1,MONTH($B$74),U$3),'Сводный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график'!$B$1:$B$4),MATCH(DATE($AV$1,MONTH($B$74),U$3),'Сводный годовой график'!$C$12:$AR$12)))</f>
        <v>#N/A</v>
      </c>
      <c r="V78" s="92" t="e">
        <f ca="1">IF(AND(INDEX('Сводный годовой график'!$C$1:$AR$4,MATCH($C$78,'Сводный годовой график'!$B$1:$B$4),MATCH(DATE($AV$1,MONTH($B$74),V$3),'Сводный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график'!$B$1:$B$4),MATCH(DATE($AV$1,MONTH($B$74),V$3),'Сводный годовой график'!$C$12:$AR$12)))</f>
        <v>#N/A</v>
      </c>
      <c r="W78" s="92" t="e">
        <f ca="1">IF(AND(INDEX('Сводный годовой график'!$C$1:$AR$4,MATCH($C$78,'Сводный годовой график'!$B$1:$B$4),MATCH(DATE($AV$1,MONTH($B$74),W$3),'Сводный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график'!$B$1:$B$4),MATCH(DATE($AV$1,MONTH($B$74),W$3),'Сводный годовой график'!$C$12:$AR$12)))</f>
        <v>#N/A</v>
      </c>
      <c r="X78" s="92" t="e">
        <f ca="1">IF(AND(INDEX('Сводный годовой график'!$C$1:$AR$4,MATCH($C$78,'Сводный годовой график'!$B$1:$B$4),MATCH(DATE($AV$1,MONTH($B$74),X$3),'Сводный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график'!$B$1:$B$4),MATCH(DATE($AV$1,MONTH($B$74),X$3),'Сводный годовой график'!$C$12:$AR$12)))</f>
        <v>#N/A</v>
      </c>
      <c r="Y78" s="92" t="e">
        <f ca="1">IF(AND(INDEX('Сводный годовой график'!$C$1:$AR$4,MATCH($C$78,'Сводный годовой график'!$B$1:$B$4),MATCH(DATE($AV$1,MONTH($B$74),Y$3),'Сводный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график'!$B$1:$B$4),MATCH(DATE($AV$1,MONTH($B$74),Y$3),'Сводный годовой график'!$C$12:$AR$12)))</f>
        <v>#N/A</v>
      </c>
      <c r="Z78" s="92" t="e">
        <f ca="1">IF(AND(INDEX('Сводный годовой график'!$C$1:$AR$4,MATCH($C$78,'Сводный годовой график'!$B$1:$B$4),MATCH(DATE($AV$1,MONTH($B$74),Z$3),'Сводный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график'!$B$1:$B$4),MATCH(DATE($AV$1,MONTH($B$74),Z$3),'Сводный годовой график'!$C$12:$AR$12)))</f>
        <v>#N/A</v>
      </c>
      <c r="AA78" s="92" t="e">
        <f ca="1">IF(AND(INDEX('Сводный годовой график'!$C$1:$AR$4,MATCH($C$78,'Сводный годовой график'!$B$1:$B$4),MATCH(DATE($AV$1,MONTH($B$74),AA$3),'Сводный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график'!$B$1:$B$4),MATCH(DATE($AV$1,MONTH($B$74),AA$3),'Сводный годовой график'!$C$12:$AR$12)))</f>
        <v>#N/A</v>
      </c>
      <c r="AB78" s="92" t="e">
        <f ca="1">IF(AND(INDEX('Сводный годовой график'!$C$1:$AR$4,MATCH($C$78,'Сводный годовой график'!$B$1:$B$4),MATCH(DATE($AV$1,MONTH($B$74),AB$3),'Сводный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график'!$B$1:$B$4),MATCH(DATE($AV$1,MONTH($B$74),AB$3),'Сводный годовой график'!$C$12:$AR$12)))</f>
        <v>#N/A</v>
      </c>
      <c r="AC78" s="92" t="e">
        <f ca="1">IF(AND(INDEX('Сводный годовой график'!$C$1:$AR$4,MATCH($C$78,'Сводный годовой график'!$B$1:$B$4),MATCH(DATE($AV$1,MONTH($B$74),AC$3),'Сводный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график'!$B$1:$B$4),MATCH(DATE($AV$1,MONTH($B$74),AC$3),'Сводный годовой график'!$C$12:$AR$12)))</f>
        <v>#N/A</v>
      </c>
      <c r="AD78" s="92" t="e">
        <f ca="1">IF(AND(INDEX('Сводный годовой график'!$C$1:$AR$4,MATCH($C$78,'Сводный годовой график'!$B$1:$B$4),MATCH(DATE($AV$1,MONTH($B$74),AD$3),'Сводный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график'!$B$1:$B$4),MATCH(DATE($AV$1,MONTH($B$74),AD$3),'Сводный годовой график'!$C$12:$AR$12)))</f>
        <v>#N/A</v>
      </c>
      <c r="AE78" s="92" t="e">
        <f ca="1">IF(AND(INDEX('Сводный годовой график'!$C$1:$AR$4,MATCH($C$78,'Сводный годовой график'!$B$1:$B$4),MATCH(DATE($AV$1,MONTH($B$74),AE$3),'Сводный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график'!$B$1:$B$4),MATCH(DATE($AV$1,MONTH($B$74),AE$3),'Сводный годовой график'!$C$12:$AR$12)))</f>
        <v>#N/A</v>
      </c>
      <c r="AF78" s="92" t="e">
        <f ca="1">IF(AND(INDEX('Сводный годовой график'!$C$1:$AR$4,MATCH($C$78,'Сводный годовой график'!$B$1:$B$4),MATCH(DATE($AV$1,MONTH($B$74),AF$3),'Сводный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график'!$B$1:$B$4),MATCH(DATE($AV$1,MONTH($B$74),AF$3),'Сводный годовой график'!$C$12:$AR$12)))</f>
        <v>#N/A</v>
      </c>
      <c r="AG78" s="92" t="e">
        <f ca="1">IF(AND(INDEX('Сводный годовой график'!$C$1:$AR$4,MATCH($C$78,'Сводный годовой график'!$B$1:$B$4),MATCH(DATE($AV$1,MONTH($B$74),AG$3),'Сводный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график'!$B$1:$B$4),MATCH(DATE($AV$1,MONTH($B$74),AG$3),'Сводный годовой график'!$C$12:$AR$12)))</f>
        <v>#N/A</v>
      </c>
      <c r="AH78" s="92" t="e">
        <f ca="1">IF(AND(INDEX('Сводный годовой график'!$C$1:$AR$4,MATCH($C$78,'Сводный годовой график'!$B$1:$B$4),MATCH(DATE($AV$1,MONTH($B$74),AH$3),'Сводный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график'!$B$1:$B$4),MATCH(DATE($AV$1,MONTH($B$74),AH$3),'Сводный годовой график'!$C$12:$AR$12)))</f>
        <v>#N/A</v>
      </c>
      <c r="AI78" s="97" t="e">
        <f ca="1">IF(AND(INDEX('Сводный годовой график'!$C$1:$AR$4,MATCH($C$78,'Сводный годовой график'!$B$1:$B$4),MATCH(DATE($AV$1,MONTH($B$74),AI$3),'Сводный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график'!$B$1:$B$4),MATCH(DATE($AV$1,MONTH($B$74),AI$3),'Сводный годовой график'!$C$12:$AR$12)))</f>
        <v>#N/A</v>
      </c>
      <c r="AJ78" s="206"/>
      <c r="AK78" s="177">
        <f>$AJ$74-SUM(AY78:CC79)</f>
        <v>168</v>
      </c>
      <c r="AL78" s="177" t="e">
        <f t="shared" ref="AL78" ca="1" si="134">SUM(E78:AI79)</f>
        <v>#N/A</v>
      </c>
      <c r="AM78" s="177">
        <v>0</v>
      </c>
      <c r="AN78" s="198" t="e">
        <f t="shared" ref="AN78" ca="1" si="135">-AM78-AK78+AL78</f>
        <v>#N/A</v>
      </c>
      <c r="AO78" s="198">
        <v>18</v>
      </c>
      <c r="AP78" s="198" t="e">
        <f ca="1">AN78+AP68-AO78</f>
        <v>#N/A</v>
      </c>
      <c r="AQ78" s="177">
        <v>0</v>
      </c>
      <c r="AR78" s="179">
        <v>1</v>
      </c>
      <c r="CK78" s="59"/>
      <c r="CL78" s="59"/>
      <c r="CM78" s="59"/>
      <c r="CN78" s="59"/>
      <c r="CO78" s="59"/>
      <c r="CP78" s="59"/>
      <c r="CQ78" s="59"/>
      <c r="CR78" s="59"/>
      <c r="CS78" s="59"/>
      <c r="CT78" s="59"/>
      <c r="CU78" s="59"/>
      <c r="CV78" s="59"/>
      <c r="CW78" s="59"/>
      <c r="CX78" s="59"/>
      <c r="CY78" s="59"/>
      <c r="CZ78" s="59"/>
      <c r="DA78" s="59"/>
      <c r="DB78" s="59"/>
      <c r="DC78" s="59"/>
      <c r="DD78" s="59"/>
      <c r="DE78" s="59"/>
      <c r="DF78" s="59"/>
      <c r="DG78" s="59"/>
      <c r="DH78" s="59"/>
      <c r="DI78" s="59"/>
      <c r="DJ78" s="59"/>
      <c r="DK78" s="59"/>
      <c r="DL78" s="59"/>
      <c r="DM78" s="59"/>
      <c r="DN78" s="59"/>
      <c r="DO78" s="59"/>
    </row>
    <row r="79" spans="2:119" ht="16.5" thickBot="1" x14ac:dyDescent="0.3">
      <c r="B79" s="201"/>
      <c r="C79" s="197"/>
      <c r="D79" s="82">
        <v>6</v>
      </c>
      <c r="E79" s="92" t="str">
        <f t="shared" ref="E79:AI79" si="136">IF(INDEX($CK$4:$DO$123,ROW()-3,E$3)=0,"","СП")</f>
        <v/>
      </c>
      <c r="F79" s="92" t="str">
        <f t="shared" si="136"/>
        <v/>
      </c>
      <c r="G79" s="92" t="str">
        <f t="shared" si="136"/>
        <v/>
      </c>
      <c r="H79" s="92" t="str">
        <f t="shared" si="136"/>
        <v/>
      </c>
      <c r="I79" s="92" t="str">
        <f t="shared" si="136"/>
        <v/>
      </c>
      <c r="J79" s="92" t="str">
        <f t="shared" si="136"/>
        <v/>
      </c>
      <c r="K79" s="92" t="str">
        <f t="shared" si="136"/>
        <v/>
      </c>
      <c r="L79" s="92" t="str">
        <f t="shared" si="136"/>
        <v/>
      </c>
      <c r="M79" s="92" t="str">
        <f t="shared" si="136"/>
        <v/>
      </c>
      <c r="N79" s="92" t="str">
        <f t="shared" si="136"/>
        <v>СП</v>
      </c>
      <c r="O79" s="92" t="str">
        <f t="shared" si="136"/>
        <v/>
      </c>
      <c r="P79" s="92" t="str">
        <f t="shared" si="136"/>
        <v/>
      </c>
      <c r="Q79" s="92" t="str">
        <f t="shared" si="136"/>
        <v/>
      </c>
      <c r="R79" s="92" t="str">
        <f t="shared" si="136"/>
        <v/>
      </c>
      <c r="S79" s="92" t="str">
        <f t="shared" si="136"/>
        <v/>
      </c>
      <c r="T79" s="92" t="str">
        <f t="shared" si="136"/>
        <v/>
      </c>
      <c r="U79" s="92" t="str">
        <f t="shared" si="136"/>
        <v/>
      </c>
      <c r="V79" s="92" t="str">
        <f t="shared" si="136"/>
        <v/>
      </c>
      <c r="W79" s="92" t="str">
        <f t="shared" si="136"/>
        <v/>
      </c>
      <c r="X79" s="92" t="str">
        <f t="shared" si="136"/>
        <v/>
      </c>
      <c r="Y79" s="92" t="str">
        <f t="shared" si="136"/>
        <v/>
      </c>
      <c r="Z79" s="92" t="str">
        <f t="shared" si="136"/>
        <v/>
      </c>
      <c r="AA79" s="92" t="str">
        <f t="shared" si="136"/>
        <v/>
      </c>
      <c r="AB79" s="92" t="str">
        <f t="shared" si="136"/>
        <v/>
      </c>
      <c r="AC79" s="92" t="str">
        <f t="shared" si="136"/>
        <v/>
      </c>
      <c r="AD79" s="92" t="str">
        <f t="shared" si="136"/>
        <v/>
      </c>
      <c r="AE79" s="92" t="str">
        <f t="shared" si="136"/>
        <v/>
      </c>
      <c r="AF79" s="92" t="str">
        <f t="shared" si="136"/>
        <v/>
      </c>
      <c r="AG79" s="92" t="str">
        <f t="shared" si="136"/>
        <v/>
      </c>
      <c r="AH79" s="92" t="str">
        <f t="shared" si="136"/>
        <v/>
      </c>
      <c r="AI79" s="97" t="str">
        <f t="shared" si="136"/>
        <v/>
      </c>
      <c r="AJ79" s="206"/>
      <c r="AK79" s="177"/>
      <c r="AL79" s="177"/>
      <c r="AM79" s="177"/>
      <c r="AN79" s="198"/>
      <c r="AO79" s="198"/>
      <c r="AP79" s="198"/>
      <c r="AQ79" s="177"/>
      <c r="AR79" s="179"/>
      <c r="CK79" s="58">
        <f>IF(DAY(INDEX('Сводный годовой график'!$BA$4:$BL$14,$C78,MONTH($B$74)))=E$3,1,0)</f>
        <v>0</v>
      </c>
      <c r="CL79" s="58">
        <f>IF(DAY(INDEX('Сводный годовой график'!$BA$4:$BL$14,$C78,MONTH($B$74)))=F$3,1,0)</f>
        <v>0</v>
      </c>
      <c r="CM79" s="58">
        <f>IF(DAY(INDEX('Сводный годовой график'!$BA$4:$BL$14,$C78,MONTH($B$74)))=G$3,1,0)</f>
        <v>0</v>
      </c>
      <c r="CN79" s="58">
        <f>IF(DAY(INDEX('Сводный годовой график'!$BA$4:$BL$14,$C78,MONTH($B$74)))=H$3,1,0)</f>
        <v>0</v>
      </c>
      <c r="CO79" s="58">
        <f>IF(DAY(INDEX('Сводный годовой график'!$BA$4:$BL$14,$C78,MONTH($B$74)))=I$3,1,0)</f>
        <v>0</v>
      </c>
      <c r="CP79" s="58">
        <f>IF(DAY(INDEX('Сводный годовой график'!$BA$4:$BL$14,$C78,MONTH($B$74)))=J$3,1,0)</f>
        <v>0</v>
      </c>
      <c r="CQ79" s="58">
        <f>IF(DAY(INDEX('Сводный годовой график'!$BA$4:$BL$14,$C78,MONTH($B$74)))=K$3,1,0)</f>
        <v>0</v>
      </c>
      <c r="CR79" s="58">
        <f>IF(DAY(INDEX('Сводный годовой график'!$BA$4:$BL$14,$C78,MONTH($B$74)))=L$3,1,0)</f>
        <v>0</v>
      </c>
      <c r="CS79" s="58">
        <f>IF(DAY(INDEX('Сводный годовой график'!$BA$4:$BL$14,$C78,MONTH($B$74)))=M$3,1,0)</f>
        <v>0</v>
      </c>
      <c r="CT79" s="58">
        <f>IF(DAY(INDEX('Сводный годовой график'!$BA$4:$BL$14,$C78,MONTH($B$74)))=N$3,1,0)</f>
        <v>1</v>
      </c>
      <c r="CU79" s="58">
        <f>IF(DAY(INDEX('Сводный годовой график'!$BA$4:$BL$14,$C78,MONTH($B$74)))=O$3,1,0)</f>
        <v>0</v>
      </c>
      <c r="CV79" s="58">
        <f>IF(DAY(INDEX('Сводный годовой график'!$BA$4:$BL$14,$C78,MONTH($B$74)))=P$3,1,0)</f>
        <v>0</v>
      </c>
      <c r="CW79" s="58">
        <f>IF(DAY(INDEX('Сводный годовой график'!$BA$4:$BL$14,$C78,MONTH($B$74)))=Q$3,1,0)</f>
        <v>0</v>
      </c>
      <c r="CX79" s="58">
        <f>IF(DAY(INDEX('Сводный годовой график'!$BA$4:$BL$14,$C78,MONTH($B$74)))=R$3,1,0)</f>
        <v>0</v>
      </c>
      <c r="CY79" s="58">
        <f>IF(DAY(INDEX('Сводный годовой график'!$BA$4:$BL$14,$C78,MONTH($B$74)))=S$3,1,0)</f>
        <v>0</v>
      </c>
      <c r="CZ79" s="58">
        <f>IF(DAY(INDEX('Сводный годовой график'!$BA$4:$BL$14,$C78,MONTH($B$74)))=T$3,1,0)</f>
        <v>0</v>
      </c>
      <c r="DA79" s="58">
        <f>IF(DAY(INDEX('Сводный годовой график'!$BA$4:$BL$14,$C78,MONTH($B$74)))=U$3,1,0)</f>
        <v>0</v>
      </c>
      <c r="DB79" s="58">
        <f>IF(DAY(INDEX('Сводный годовой график'!$BA$4:$BL$14,$C78,MONTH($B$74)))=V$3,1,0)</f>
        <v>0</v>
      </c>
      <c r="DC79" s="58">
        <f>IF(DAY(INDEX('Сводный годовой график'!$BA$4:$BL$14,$C78,MONTH($B$74)))=W$3,1,0)</f>
        <v>0</v>
      </c>
      <c r="DD79" s="58">
        <f>IF(DAY(INDEX('Сводный годовой график'!$BA$4:$BL$14,$C78,MONTH($B$74)))=X$3,1,0)</f>
        <v>0</v>
      </c>
      <c r="DE79" s="58">
        <f>IF(DAY(INDEX('Сводный годовой график'!$BA$4:$BL$14,$C78,MONTH($B$74)))=Y$3,1,0)</f>
        <v>0</v>
      </c>
      <c r="DF79" s="58">
        <f>IF(DAY(INDEX('Сводный годовой график'!$BA$4:$BL$14,$C78,MONTH($B$74)))=Z$3,1,0)</f>
        <v>0</v>
      </c>
      <c r="DG79" s="58">
        <f>IF(DAY(INDEX('Сводный годовой график'!$BA$4:$BL$14,$C78,MONTH($B$74)))=AA$3,1,0)</f>
        <v>0</v>
      </c>
      <c r="DH79" s="58">
        <f>IF(DAY(INDEX('Сводный годовой график'!$BA$4:$BL$14,$C78,MONTH($B$74)))=AB$3,1,0)</f>
        <v>0</v>
      </c>
      <c r="DI79" s="58">
        <f>IF(DAY(INDEX('Сводный годовой график'!$BA$4:$BL$14,$C78,MONTH($B$74)))=AC$3,1,0)</f>
        <v>0</v>
      </c>
      <c r="DJ79" s="58">
        <f>IF(DAY(INDEX('Сводный годовой график'!$BA$4:$BL$14,$C78,MONTH($B$74)))=AD$3,1,0)</f>
        <v>0</v>
      </c>
      <c r="DK79" s="58">
        <f>IF(DAY(INDEX('Сводный годовой график'!$BA$4:$BL$14,$C78,MONTH($B$74)))=AE$3,1,0)</f>
        <v>0</v>
      </c>
      <c r="DL79" s="58">
        <f>IF(DAY(INDEX('Сводный годовой график'!$BA$4:$BL$14,$C78,MONTH($B$74)))=AF$3,1,0)</f>
        <v>0</v>
      </c>
      <c r="DM79" s="58">
        <f>IF(DAY(INDEX('Сводный годовой график'!$BA$4:$BL$14,$C78,MONTH($B$74)))=AG$3,1,0)</f>
        <v>0</v>
      </c>
      <c r="DN79" s="58">
        <f>IF(DAY(INDEX('Сводный годовой график'!$BA$4:$BL$14,$C78,MONTH($B$74)))=AH$3,1,0)</f>
        <v>0</v>
      </c>
      <c r="DO79" s="58">
        <f>IF(DAY(INDEX('Сводный годовой график'!$BA$4:$BL$14,$C78,MONTH($B$74)))=AI$3,1,0)</f>
        <v>0</v>
      </c>
    </row>
    <row r="80" spans="2:119" ht="16.5" thickBot="1" x14ac:dyDescent="0.3">
      <c r="B80" s="201"/>
      <c r="C80" s="196">
        <v>4</v>
      </c>
      <c r="D80" s="81">
        <v>7</v>
      </c>
      <c r="E80" s="92" t="e">
        <f ca="1">IF(AND(INDEX('Сводный годовой график'!$C$1:$AR$4,MATCH($C$80,'Сводный годовой график'!$B$1:$B$4),MATCH(DATE($AV$1,MONTH($B$74),E$3),'Сводный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график'!$B$1:$B$4),MATCH(DATE($AV$1,MONTH($B$74),E$3),'Сводный годовой график'!$C$12:$AR$12)))</f>
        <v>#N/A</v>
      </c>
      <c r="F80" s="92" t="e">
        <f ca="1">IF(AND(INDEX('Сводный годовой график'!$C$1:$AR$4,MATCH($C$80,'Сводный годовой график'!$B$1:$B$4),MATCH(DATE($AV$1,MONTH($B$74),F$3),'Сводный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график'!$B$1:$B$4),MATCH(DATE($AV$1,MONTH($B$74),F$3),'Сводный годовой график'!$C$12:$AR$12)))</f>
        <v>#N/A</v>
      </c>
      <c r="G80" s="92" t="e">
        <f ca="1">IF(AND(INDEX('Сводный годовой график'!$C$1:$AR$4,MATCH($C$80,'Сводный годовой график'!$B$1:$B$4),MATCH(DATE($AV$1,MONTH($B$74),G$3),'Сводный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график'!$B$1:$B$4),MATCH(DATE($AV$1,MONTH($B$74),G$3),'Сводный годовой график'!$C$12:$AR$12)))</f>
        <v>#N/A</v>
      </c>
      <c r="H80" s="92" t="e">
        <f ca="1">IF(AND(INDEX('Сводный годовой график'!$C$1:$AR$4,MATCH($C$80,'Сводный годовой график'!$B$1:$B$4),MATCH(DATE($AV$1,MONTH($B$74),H$3),'Сводный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график'!$B$1:$B$4),MATCH(DATE($AV$1,MONTH($B$74),H$3),'Сводный годовой график'!$C$12:$AR$12)))</f>
        <v>#N/A</v>
      </c>
      <c r="I80" s="92" t="e">
        <f ca="1">IF(AND(INDEX('Сводный годовой график'!$C$1:$AR$4,MATCH($C$80,'Сводный годовой график'!$B$1:$B$4),MATCH(DATE($AV$1,MONTH($B$74),I$3),'Сводный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график'!$B$1:$B$4),MATCH(DATE($AV$1,MONTH($B$74),I$3),'Сводный годовой график'!$C$12:$AR$12)))</f>
        <v>#N/A</v>
      </c>
      <c r="J80" s="92" t="e">
        <f ca="1">IF(AND(INDEX('Сводный годовой график'!$C$1:$AR$4,MATCH($C$80,'Сводный годовой график'!$B$1:$B$4),MATCH(DATE($AV$1,MONTH($B$74),J$3),'Сводный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график'!$B$1:$B$4),MATCH(DATE($AV$1,MONTH($B$74),J$3),'Сводный годовой график'!$C$12:$AR$12)))</f>
        <v>#N/A</v>
      </c>
      <c r="K80" s="92" t="e">
        <f ca="1">IF(AND(INDEX('Сводный годовой график'!$C$1:$AR$4,MATCH($C$80,'Сводный годовой график'!$B$1:$B$4),MATCH(DATE($AV$1,MONTH($B$74),K$3),'Сводный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график'!$B$1:$B$4),MATCH(DATE($AV$1,MONTH($B$74),K$3),'Сводный годовой график'!$C$12:$AR$12)))</f>
        <v>#N/A</v>
      </c>
      <c r="L80" s="92" t="e">
        <f ca="1">IF(AND(INDEX('Сводный годовой график'!$C$1:$AR$4,MATCH($C$80,'Сводный годовой график'!$B$1:$B$4),MATCH(DATE($AV$1,MONTH($B$74),L$3),'Сводный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график'!$B$1:$B$4),MATCH(DATE($AV$1,MONTH($B$74),L$3),'Сводный годовой график'!$C$12:$AR$12)))</f>
        <v>#N/A</v>
      </c>
      <c r="M80" s="92" t="e">
        <f ca="1">IF(AND(INDEX('Сводный годовой график'!$C$1:$AR$4,MATCH($C$80,'Сводный годовой график'!$B$1:$B$4),MATCH(DATE($AV$1,MONTH($B$74),M$3),'Сводный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график'!$B$1:$B$4),MATCH(DATE($AV$1,MONTH($B$74),M$3),'Сводный годовой график'!$C$12:$AR$12)))</f>
        <v>#N/A</v>
      </c>
      <c r="N80" s="92" t="e">
        <f ca="1">IF(AND(INDEX('Сводный годовой график'!$C$1:$AR$4,MATCH($C$80,'Сводный годовой график'!$B$1:$B$4),MATCH(DATE($AV$1,MONTH($B$74),N$3),'Сводный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график'!$B$1:$B$4),MATCH(DATE($AV$1,MONTH($B$74),N$3),'Сводный годовой график'!$C$12:$AR$12)))</f>
        <v>#N/A</v>
      </c>
      <c r="O80" s="92" t="e">
        <f ca="1">IF(AND(INDEX('Сводный годовой график'!$C$1:$AR$4,MATCH($C$80,'Сводный годовой график'!$B$1:$B$4),MATCH(DATE($AV$1,MONTH($B$74),O$3),'Сводный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график'!$B$1:$B$4),MATCH(DATE($AV$1,MONTH($B$74),O$3),'Сводный годовой график'!$C$12:$AR$12)))</f>
        <v>#N/A</v>
      </c>
      <c r="P80" s="92" t="e">
        <f ca="1">IF(AND(INDEX('Сводный годовой график'!$C$1:$AR$4,MATCH($C$80,'Сводный годовой график'!$B$1:$B$4),MATCH(DATE($AV$1,MONTH($B$74),P$3),'Сводный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график'!$B$1:$B$4),MATCH(DATE($AV$1,MONTH($B$74),P$3),'Сводный годовой график'!$C$12:$AR$12)))</f>
        <v>#N/A</v>
      </c>
      <c r="Q80" s="92" t="e">
        <f ca="1">IF(AND(INDEX('Сводный годовой график'!$C$1:$AR$4,MATCH($C$80,'Сводный годовой график'!$B$1:$B$4),MATCH(DATE($AV$1,MONTH($B$74),Q$3),'Сводный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график'!$B$1:$B$4),MATCH(DATE($AV$1,MONTH($B$74),Q$3),'Сводный годовой график'!$C$12:$AR$12)))</f>
        <v>#N/A</v>
      </c>
      <c r="R80" s="92" t="e">
        <f ca="1">IF(AND(INDEX('Сводный годовой график'!$C$1:$AR$4,MATCH($C$80,'Сводный годовой график'!$B$1:$B$4),MATCH(DATE($AV$1,MONTH($B$74),R$3),'Сводный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график'!$B$1:$B$4),MATCH(DATE($AV$1,MONTH($B$74),R$3),'Сводный годовой график'!$C$12:$AR$12)))</f>
        <v>#N/A</v>
      </c>
      <c r="S80" s="92" t="e">
        <f ca="1">IF(AND(INDEX('Сводный годовой график'!$C$1:$AR$4,MATCH($C$80,'Сводный годовой график'!$B$1:$B$4),MATCH(DATE($AV$1,MONTH($B$74),S$3),'Сводный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график'!$B$1:$B$4),MATCH(DATE($AV$1,MONTH($B$74),S$3),'Сводный годовой график'!$C$12:$AR$12)))</f>
        <v>#N/A</v>
      </c>
      <c r="T80" s="92" t="e">
        <f ca="1">IF(AND(INDEX('Сводный годовой график'!$C$1:$AR$4,MATCH($C$80,'Сводный годовой график'!$B$1:$B$4),MATCH(DATE($AV$1,MONTH($B$74),T$3),'Сводный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график'!$B$1:$B$4),MATCH(DATE($AV$1,MONTH($B$74),T$3),'Сводный годовой график'!$C$12:$AR$12)))</f>
        <v>#N/A</v>
      </c>
      <c r="U80" s="92" t="e">
        <f ca="1">IF(AND(INDEX('Сводный годовой график'!$C$1:$AR$4,MATCH($C$80,'Сводный годовой график'!$B$1:$B$4),MATCH(DATE($AV$1,MONTH($B$74),U$3),'Сводный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график'!$B$1:$B$4),MATCH(DATE($AV$1,MONTH($B$74),U$3),'Сводный годовой график'!$C$12:$AR$12)))</f>
        <v>#N/A</v>
      </c>
      <c r="V80" s="92" t="e">
        <f ca="1">IF(AND(INDEX('Сводный годовой график'!$C$1:$AR$4,MATCH($C$80,'Сводный годовой график'!$B$1:$B$4),MATCH(DATE($AV$1,MONTH($B$74),V$3),'Сводный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график'!$B$1:$B$4),MATCH(DATE($AV$1,MONTH($B$74),V$3),'Сводный годовой график'!$C$12:$AR$12)))</f>
        <v>#N/A</v>
      </c>
      <c r="W80" s="92" t="e">
        <f ca="1">IF(AND(INDEX('Сводный годовой график'!$C$1:$AR$4,MATCH($C$80,'Сводный годовой график'!$B$1:$B$4),MATCH(DATE($AV$1,MONTH($B$74),W$3),'Сводный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график'!$B$1:$B$4),MATCH(DATE($AV$1,MONTH($B$74),W$3),'Сводный годовой график'!$C$12:$AR$12)))</f>
        <v>#N/A</v>
      </c>
      <c r="X80" s="92" t="e">
        <f ca="1">IF(AND(INDEX('Сводный годовой график'!$C$1:$AR$4,MATCH($C$80,'Сводный годовой график'!$B$1:$B$4),MATCH(DATE($AV$1,MONTH($B$74),X$3),'Сводный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график'!$B$1:$B$4),MATCH(DATE($AV$1,MONTH($B$74),X$3),'Сводный годовой график'!$C$12:$AR$12)))</f>
        <v>#N/A</v>
      </c>
      <c r="Y80" s="92" t="e">
        <f ca="1">IF(AND(INDEX('Сводный годовой график'!$C$1:$AR$4,MATCH($C$80,'Сводный годовой график'!$B$1:$B$4),MATCH(DATE($AV$1,MONTH($B$74),Y$3),'Сводный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график'!$B$1:$B$4),MATCH(DATE($AV$1,MONTH($B$74),Y$3),'Сводный годовой график'!$C$12:$AR$12)))</f>
        <v>#N/A</v>
      </c>
      <c r="Z80" s="92" t="e">
        <f ca="1">IF(AND(INDEX('Сводный годовой график'!$C$1:$AR$4,MATCH($C$80,'Сводный годовой график'!$B$1:$B$4),MATCH(DATE($AV$1,MONTH($B$74),Z$3),'Сводный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график'!$B$1:$B$4),MATCH(DATE($AV$1,MONTH($B$74),Z$3),'Сводный годовой график'!$C$12:$AR$12)))</f>
        <v>#N/A</v>
      </c>
      <c r="AA80" s="92" t="e">
        <f ca="1">IF(AND(INDEX('Сводный годовой график'!$C$1:$AR$4,MATCH($C$80,'Сводный годовой график'!$B$1:$B$4),MATCH(DATE($AV$1,MONTH($B$74),AA$3),'Сводный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график'!$B$1:$B$4),MATCH(DATE($AV$1,MONTH($B$74),AA$3),'Сводный годовой график'!$C$12:$AR$12)))</f>
        <v>#N/A</v>
      </c>
      <c r="AB80" s="92" t="e">
        <f ca="1">IF(AND(INDEX('Сводный годовой график'!$C$1:$AR$4,MATCH($C$80,'Сводный годовой график'!$B$1:$B$4),MATCH(DATE($AV$1,MONTH($B$74),AB$3),'Сводный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график'!$B$1:$B$4),MATCH(DATE($AV$1,MONTH($B$74),AB$3),'Сводный годовой график'!$C$12:$AR$12)))</f>
        <v>#N/A</v>
      </c>
      <c r="AC80" s="92" t="e">
        <f ca="1">IF(AND(INDEX('Сводный годовой график'!$C$1:$AR$4,MATCH($C$80,'Сводный годовой график'!$B$1:$B$4),MATCH(DATE($AV$1,MONTH($B$74),AC$3),'Сводный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график'!$B$1:$B$4),MATCH(DATE($AV$1,MONTH($B$74),AC$3),'Сводный годовой график'!$C$12:$AR$12)))</f>
        <v>#N/A</v>
      </c>
      <c r="AD80" s="92" t="e">
        <f ca="1">IF(AND(INDEX('Сводный годовой график'!$C$1:$AR$4,MATCH($C$80,'Сводный годовой график'!$B$1:$B$4),MATCH(DATE($AV$1,MONTH($B$74),AD$3),'Сводный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график'!$B$1:$B$4),MATCH(DATE($AV$1,MONTH($B$74),AD$3),'Сводный годовой график'!$C$12:$AR$12)))</f>
        <v>#N/A</v>
      </c>
      <c r="AE80" s="92" t="e">
        <f ca="1">IF(AND(INDEX('Сводный годовой график'!$C$1:$AR$4,MATCH($C$80,'Сводный годовой график'!$B$1:$B$4),MATCH(DATE($AV$1,MONTH($B$74),AE$3),'Сводный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график'!$B$1:$B$4),MATCH(DATE($AV$1,MONTH($B$74),AE$3),'Сводный годовой график'!$C$12:$AR$12)))</f>
        <v>#N/A</v>
      </c>
      <c r="AF80" s="92" t="e">
        <f ca="1">IF(AND(INDEX('Сводный годовой график'!$C$1:$AR$4,MATCH($C$80,'Сводный годовой график'!$B$1:$B$4),MATCH(DATE($AV$1,MONTH($B$74),AF$3),'Сводный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график'!$B$1:$B$4),MATCH(DATE($AV$1,MONTH($B$74),AF$3),'Сводный годовой график'!$C$12:$AR$12)))</f>
        <v>#N/A</v>
      </c>
      <c r="AG80" s="92" t="e">
        <f ca="1">IF(AND(INDEX('Сводный годовой график'!$C$1:$AR$4,MATCH($C$80,'Сводный годовой график'!$B$1:$B$4),MATCH(DATE($AV$1,MONTH($B$74),AG$3),'Сводный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график'!$B$1:$B$4),MATCH(DATE($AV$1,MONTH($B$74),AG$3),'Сводный годовой график'!$C$12:$AR$12)))</f>
        <v>#N/A</v>
      </c>
      <c r="AH80" s="92" t="e">
        <f ca="1">IF(AND(INDEX('Сводный годовой график'!$C$1:$AR$4,MATCH($C$80,'Сводный годовой график'!$B$1:$B$4),MATCH(DATE($AV$1,MONTH($B$74),AH$3),'Сводный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график'!$B$1:$B$4),MATCH(DATE($AV$1,MONTH($B$74),AH$3),'Сводный годовой график'!$C$12:$AR$12)))</f>
        <v>#N/A</v>
      </c>
      <c r="AI80" s="97" t="e">
        <f ca="1">IF(AND(INDEX('Сводный годовой график'!$C$1:$AR$4,MATCH($C$80,'Сводный годовой график'!$B$1:$B$4),MATCH(DATE($AV$1,MONTH($B$74),AI$3),'Сводный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график'!$B$1:$B$4),MATCH(DATE($AV$1,MONTH($B$74),AI$3),'Сводный годовой график'!$C$12:$AR$12)))</f>
        <v>#N/A</v>
      </c>
      <c r="AJ80" s="206"/>
      <c r="AK80" s="177">
        <f>$AJ$74-SUM(AY80:CC81)</f>
        <v>168</v>
      </c>
      <c r="AL80" s="177" t="e">
        <f t="shared" ref="AL80" ca="1" si="137">SUM(E80:AI81)</f>
        <v>#N/A</v>
      </c>
      <c r="AM80" s="177">
        <v>0</v>
      </c>
      <c r="AN80" s="198" t="e">
        <f t="shared" ref="AN80" ca="1" si="138">-AM80-AK80+AL80</f>
        <v>#N/A</v>
      </c>
      <c r="AO80" s="198">
        <v>0</v>
      </c>
      <c r="AP80" s="198" t="e">
        <f t="shared" ref="AP80" ca="1" si="139">AN80+AP70</f>
        <v>#N/A</v>
      </c>
      <c r="AQ80" s="177">
        <v>0</v>
      </c>
      <c r="AR80" s="179">
        <v>1</v>
      </c>
      <c r="CK80" s="59"/>
      <c r="CL80" s="59"/>
      <c r="CM80" s="59"/>
      <c r="CN80" s="59"/>
      <c r="CO80" s="59"/>
      <c r="CP80" s="59"/>
      <c r="CQ80" s="59"/>
      <c r="CR80" s="59"/>
      <c r="CS80" s="59"/>
      <c r="CT80" s="59"/>
      <c r="CU80" s="59"/>
      <c r="CV80" s="59"/>
      <c r="CW80" s="59"/>
      <c r="CX80" s="59"/>
      <c r="CY80" s="59"/>
      <c r="CZ80" s="59"/>
      <c r="DA80" s="59"/>
      <c r="DB80" s="59"/>
      <c r="DC80" s="59"/>
      <c r="DD80" s="59"/>
      <c r="DE80" s="59"/>
      <c r="DF80" s="59"/>
      <c r="DG80" s="59"/>
      <c r="DH80" s="59"/>
      <c r="DI80" s="59"/>
      <c r="DJ80" s="59"/>
      <c r="DK80" s="59"/>
      <c r="DL80" s="59"/>
      <c r="DM80" s="59"/>
      <c r="DN80" s="59"/>
      <c r="DO80" s="59"/>
    </row>
    <row r="81" spans="2:119" ht="16.5" thickBot="1" x14ac:dyDescent="0.3">
      <c r="B81" s="201"/>
      <c r="C81" s="197"/>
      <c r="D81" s="82">
        <v>8</v>
      </c>
      <c r="E81" s="92" t="str">
        <f t="shared" ref="E81:AI81" si="140">IF(INDEX($CK$4:$DO$123,ROW()-3,E$3)=0,"","СП")</f>
        <v/>
      </c>
      <c r="F81" s="92" t="str">
        <f t="shared" si="140"/>
        <v/>
      </c>
      <c r="G81" s="92" t="str">
        <f t="shared" si="140"/>
        <v/>
      </c>
      <c r="H81" s="92" t="str">
        <f t="shared" si="140"/>
        <v/>
      </c>
      <c r="I81" s="92" t="str">
        <f t="shared" si="140"/>
        <v/>
      </c>
      <c r="J81" s="92" t="str">
        <f t="shared" si="140"/>
        <v/>
      </c>
      <c r="K81" s="92" t="str">
        <f t="shared" si="140"/>
        <v/>
      </c>
      <c r="L81" s="92" t="str">
        <f t="shared" si="140"/>
        <v/>
      </c>
      <c r="M81" s="92" t="str">
        <f t="shared" si="140"/>
        <v/>
      </c>
      <c r="N81" s="92" t="str">
        <f t="shared" si="140"/>
        <v/>
      </c>
      <c r="O81" s="92" t="str">
        <f t="shared" si="140"/>
        <v>СП</v>
      </c>
      <c r="P81" s="92" t="str">
        <f t="shared" si="140"/>
        <v/>
      </c>
      <c r="Q81" s="92" t="str">
        <f t="shared" si="140"/>
        <v/>
      </c>
      <c r="R81" s="92" t="str">
        <f t="shared" si="140"/>
        <v/>
      </c>
      <c r="S81" s="92" t="str">
        <f t="shared" si="140"/>
        <v/>
      </c>
      <c r="T81" s="92" t="str">
        <f t="shared" si="140"/>
        <v/>
      </c>
      <c r="U81" s="92" t="str">
        <f t="shared" si="140"/>
        <v/>
      </c>
      <c r="V81" s="92" t="str">
        <f t="shared" si="140"/>
        <v/>
      </c>
      <c r="W81" s="92" t="str">
        <f t="shared" si="140"/>
        <v/>
      </c>
      <c r="X81" s="92" t="str">
        <f t="shared" si="140"/>
        <v/>
      </c>
      <c r="Y81" s="92" t="str">
        <f t="shared" si="140"/>
        <v/>
      </c>
      <c r="Z81" s="92" t="str">
        <f t="shared" si="140"/>
        <v/>
      </c>
      <c r="AA81" s="92" t="str">
        <f t="shared" si="140"/>
        <v/>
      </c>
      <c r="AB81" s="92" t="str">
        <f t="shared" si="140"/>
        <v/>
      </c>
      <c r="AC81" s="92" t="str">
        <f t="shared" si="140"/>
        <v/>
      </c>
      <c r="AD81" s="92" t="str">
        <f t="shared" si="140"/>
        <v/>
      </c>
      <c r="AE81" s="92" t="str">
        <f t="shared" si="140"/>
        <v/>
      </c>
      <c r="AF81" s="92" t="str">
        <f t="shared" si="140"/>
        <v/>
      </c>
      <c r="AG81" s="92" t="str">
        <f t="shared" si="140"/>
        <v/>
      </c>
      <c r="AH81" s="92" t="str">
        <f t="shared" si="140"/>
        <v/>
      </c>
      <c r="AI81" s="97" t="str">
        <f t="shared" si="140"/>
        <v/>
      </c>
      <c r="AJ81" s="206"/>
      <c r="AK81" s="177"/>
      <c r="AL81" s="177"/>
      <c r="AM81" s="177"/>
      <c r="AN81" s="198"/>
      <c r="AO81" s="198"/>
      <c r="AP81" s="198"/>
      <c r="AQ81" s="177"/>
      <c r="AR81" s="179"/>
      <c r="CK81" s="58">
        <f>IF(DAY(INDEX('Сводный годовой график'!$BA$4:$BL$14,$C80,MONTH($B$74)))=E$3,1,0)</f>
        <v>0</v>
      </c>
      <c r="CL81" s="58">
        <f>IF(DAY(INDEX('Сводный годовой график'!$BA$4:$BL$14,$C80,MONTH($B$74)))=F$3,1,0)</f>
        <v>0</v>
      </c>
      <c r="CM81" s="58">
        <f>IF(DAY(INDEX('Сводный годовой график'!$BA$4:$BL$14,$C80,MONTH($B$74)))=G$3,1,0)</f>
        <v>0</v>
      </c>
      <c r="CN81" s="58">
        <f>IF(DAY(INDEX('Сводный годовой график'!$BA$4:$BL$14,$C80,MONTH($B$74)))=H$3,1,0)</f>
        <v>0</v>
      </c>
      <c r="CO81" s="58">
        <f>IF(DAY(INDEX('Сводный годовой график'!$BA$4:$BL$14,$C80,MONTH($B$74)))=I$3,1,0)</f>
        <v>0</v>
      </c>
      <c r="CP81" s="58">
        <f>IF(DAY(INDEX('Сводный годовой график'!$BA$4:$BL$14,$C80,MONTH($B$74)))=J$3,1,0)</f>
        <v>0</v>
      </c>
      <c r="CQ81" s="58">
        <f>IF(DAY(INDEX('Сводный годовой график'!$BA$4:$BL$14,$C80,MONTH($B$74)))=K$3,1,0)</f>
        <v>0</v>
      </c>
      <c r="CR81" s="58">
        <f>IF(DAY(INDEX('Сводный годовой график'!$BA$4:$BL$14,$C80,MONTH($B$74)))=L$3,1,0)</f>
        <v>0</v>
      </c>
      <c r="CS81" s="58">
        <f>IF(DAY(INDEX('Сводный годовой график'!$BA$4:$BL$14,$C80,MONTH($B$74)))=M$3,1,0)</f>
        <v>0</v>
      </c>
      <c r="CT81" s="58">
        <f>IF(DAY(INDEX('Сводный годовой график'!$BA$4:$BL$14,$C80,MONTH($B$74)))=N$3,1,0)</f>
        <v>0</v>
      </c>
      <c r="CU81" s="58">
        <f>IF(DAY(INDEX('Сводный годовой график'!$BA$4:$BL$14,$C80,MONTH($B$74)))=O$3,1,0)</f>
        <v>1</v>
      </c>
      <c r="CV81" s="58">
        <f>IF(DAY(INDEX('Сводный годовой график'!$BA$4:$BL$14,$C80,MONTH($B$74)))=P$3,1,0)</f>
        <v>0</v>
      </c>
      <c r="CW81" s="58">
        <f>IF(DAY(INDEX('Сводный годовой график'!$BA$4:$BL$14,$C80,MONTH($B$74)))=Q$3,1,0)</f>
        <v>0</v>
      </c>
      <c r="CX81" s="58">
        <f>IF(DAY(INDEX('Сводный годовой график'!$BA$4:$BL$14,$C80,MONTH($B$74)))=R$3,1,0)</f>
        <v>0</v>
      </c>
      <c r="CY81" s="58">
        <f>IF(DAY(INDEX('Сводный годовой график'!$BA$4:$BL$14,$C80,MONTH($B$74)))=S$3,1,0)</f>
        <v>0</v>
      </c>
      <c r="CZ81" s="58">
        <f>IF(DAY(INDEX('Сводный годовой график'!$BA$4:$BL$14,$C80,MONTH($B$74)))=T$3,1,0)</f>
        <v>0</v>
      </c>
      <c r="DA81" s="58">
        <f>IF(DAY(INDEX('Сводный годовой график'!$BA$4:$BL$14,$C80,MONTH($B$74)))=U$3,1,0)</f>
        <v>0</v>
      </c>
      <c r="DB81" s="58">
        <f>IF(DAY(INDEX('Сводный годовой график'!$BA$4:$BL$14,$C80,MONTH($B$74)))=V$3,1,0)</f>
        <v>0</v>
      </c>
      <c r="DC81" s="58">
        <f>IF(DAY(INDEX('Сводный годовой график'!$BA$4:$BL$14,$C80,MONTH($B$74)))=W$3,1,0)</f>
        <v>0</v>
      </c>
      <c r="DD81" s="58">
        <f>IF(DAY(INDEX('Сводный годовой график'!$BA$4:$BL$14,$C80,MONTH($B$74)))=X$3,1,0)</f>
        <v>0</v>
      </c>
      <c r="DE81" s="58">
        <f>IF(DAY(INDEX('Сводный годовой график'!$BA$4:$BL$14,$C80,MONTH($B$74)))=Y$3,1,0)</f>
        <v>0</v>
      </c>
      <c r="DF81" s="58">
        <f>IF(DAY(INDEX('Сводный годовой график'!$BA$4:$BL$14,$C80,MONTH($B$74)))=Z$3,1,0)</f>
        <v>0</v>
      </c>
      <c r="DG81" s="58">
        <f>IF(DAY(INDEX('Сводный годовой график'!$BA$4:$BL$14,$C80,MONTH($B$74)))=AA$3,1,0)</f>
        <v>0</v>
      </c>
      <c r="DH81" s="58">
        <f>IF(DAY(INDEX('Сводный годовой график'!$BA$4:$BL$14,$C80,MONTH($B$74)))=AB$3,1,0)</f>
        <v>0</v>
      </c>
      <c r="DI81" s="58">
        <f>IF(DAY(INDEX('Сводный годовой график'!$BA$4:$BL$14,$C80,MONTH($B$74)))=AC$3,1,0)</f>
        <v>0</v>
      </c>
      <c r="DJ81" s="58">
        <f>IF(DAY(INDEX('Сводный годовой график'!$BA$4:$BL$14,$C80,MONTH($B$74)))=AD$3,1,0)</f>
        <v>0</v>
      </c>
      <c r="DK81" s="58">
        <f>IF(DAY(INDEX('Сводный годовой график'!$BA$4:$BL$14,$C80,MONTH($B$74)))=AE$3,1,0)</f>
        <v>0</v>
      </c>
      <c r="DL81" s="58">
        <f>IF(DAY(INDEX('Сводный годовой график'!$BA$4:$BL$14,$C80,MONTH($B$74)))=AF$3,1,0)</f>
        <v>0</v>
      </c>
      <c r="DM81" s="58">
        <f>IF(DAY(INDEX('Сводный годовой график'!$BA$4:$BL$14,$C80,MONTH($B$74)))=AG$3,1,0)</f>
        <v>0</v>
      </c>
      <c r="DN81" s="58">
        <f>IF(DAY(INDEX('Сводный годовой график'!$BA$4:$BL$14,$C80,MONTH($B$74)))=AH$3,1,0)</f>
        <v>0</v>
      </c>
      <c r="DO81" s="58">
        <f>IF(DAY(INDEX('Сводный годовой график'!$BA$4:$BL$14,$C80,MONTH($B$74)))=AI$3,1,0)</f>
        <v>0</v>
      </c>
    </row>
    <row r="82" spans="2:119" ht="16.5" thickBot="1" x14ac:dyDescent="0.3">
      <c r="B82" s="201"/>
      <c r="C82" s="196">
        <v>5</v>
      </c>
      <c r="D82" s="81">
        <v>9</v>
      </c>
      <c r="E82" s="92" t="s">
        <v>36</v>
      </c>
      <c r="F82" s="92" t="s">
        <v>36</v>
      </c>
      <c r="G82" s="92" t="s">
        <v>36</v>
      </c>
      <c r="H82" s="92" t="s">
        <v>36</v>
      </c>
      <c r="I82" s="92" t="s">
        <v>36</v>
      </c>
      <c r="J82" s="92" t="s">
        <v>36</v>
      </c>
      <c r="K82" s="92" t="s">
        <v>36</v>
      </c>
      <c r="L82" s="92" t="s">
        <v>36</v>
      </c>
      <c r="M82" s="92" t="s">
        <v>36</v>
      </c>
      <c r="N82" s="92" t="s">
        <v>36</v>
      </c>
      <c r="O82" s="92" t="s">
        <v>36</v>
      </c>
      <c r="P82" s="92" t="s">
        <v>36</v>
      </c>
      <c r="Q82" s="92" t="s">
        <v>36</v>
      </c>
      <c r="R82" s="92" t="s">
        <v>36</v>
      </c>
      <c r="S82" s="92" t="s">
        <v>36</v>
      </c>
      <c r="T82" s="92" t="s">
        <v>36</v>
      </c>
      <c r="U82" s="92" t="s">
        <v>36</v>
      </c>
      <c r="V82" s="92" t="s">
        <v>36</v>
      </c>
      <c r="W82" s="92" t="s">
        <v>36</v>
      </c>
      <c r="X82" s="92" t="s">
        <v>36</v>
      </c>
      <c r="Y82" s="92" t="s">
        <v>36</v>
      </c>
      <c r="Z82" s="92" t="s">
        <v>36</v>
      </c>
      <c r="AA82" s="92" t="s">
        <v>36</v>
      </c>
      <c r="AB82" s="92" t="s">
        <v>36</v>
      </c>
      <c r="AC82" s="92" t="s">
        <v>36</v>
      </c>
      <c r="AD82" s="92" t="s">
        <v>36</v>
      </c>
      <c r="AE82" s="92" t="s">
        <v>36</v>
      </c>
      <c r="AF82" s="92" t="s">
        <v>36</v>
      </c>
      <c r="AG82" s="92" t="s">
        <v>36</v>
      </c>
      <c r="AH82" s="92" t="s">
        <v>36</v>
      </c>
      <c r="AI82" s="97" t="s">
        <v>36</v>
      </c>
      <c r="AJ82" s="206"/>
      <c r="AK82" s="177">
        <f>$AJ$74-SUM(AY82:CC83)</f>
        <v>168</v>
      </c>
      <c r="AL82" s="177">
        <f t="shared" ref="AL82" si="141">SUM(E82:AI83)</f>
        <v>0</v>
      </c>
      <c r="AM82" s="177">
        <v>0</v>
      </c>
      <c r="AN82" s="198">
        <f t="shared" ref="AN82" si="142">-AM82-AK82+AL82</f>
        <v>-168</v>
      </c>
      <c r="AO82" s="198">
        <v>48</v>
      </c>
      <c r="AP82" s="198">
        <f>AN82+AP72-AO82</f>
        <v>-1357</v>
      </c>
      <c r="AQ82" s="177">
        <v>0</v>
      </c>
      <c r="AR82" s="179">
        <v>1</v>
      </c>
      <c r="CK82" s="59"/>
      <c r="CL82" s="59"/>
      <c r="CM82" s="59"/>
      <c r="CN82" s="59"/>
      <c r="CO82" s="59"/>
      <c r="CP82" s="59"/>
      <c r="CQ82" s="59"/>
      <c r="CR82" s="59"/>
      <c r="CS82" s="59"/>
      <c r="CT82" s="59"/>
      <c r="CU82" s="59"/>
      <c r="CV82" s="59"/>
      <c r="CW82" s="59"/>
      <c r="CX82" s="59"/>
      <c r="CY82" s="59"/>
      <c r="CZ82" s="59"/>
      <c r="DA82" s="59"/>
      <c r="DB82" s="59"/>
      <c r="DC82" s="59"/>
      <c r="DD82" s="59"/>
      <c r="DE82" s="59"/>
      <c r="DF82" s="59"/>
      <c r="DG82" s="59"/>
      <c r="DH82" s="59"/>
      <c r="DI82" s="59"/>
      <c r="DJ82" s="59"/>
      <c r="DK82" s="59"/>
      <c r="DL82" s="59"/>
      <c r="DM82" s="59"/>
      <c r="DN82" s="59"/>
      <c r="DO82" s="59"/>
    </row>
    <row r="83" spans="2:119" ht="16.5" thickBot="1" x14ac:dyDescent="0.3">
      <c r="B83" s="202"/>
      <c r="C83" s="197"/>
      <c r="D83" s="82">
        <v>10</v>
      </c>
      <c r="E83" s="29" t="str">
        <f t="shared" ref="E83:AI83" si="143">IF(INDEX($CK$4:$DO$123,ROW()-3,E$3)=0,"","СП")</f>
        <v/>
      </c>
      <c r="F83" s="29" t="str">
        <f t="shared" si="143"/>
        <v/>
      </c>
      <c r="G83" s="29" t="str">
        <f t="shared" si="143"/>
        <v/>
      </c>
      <c r="H83" s="29" t="str">
        <f t="shared" si="143"/>
        <v/>
      </c>
      <c r="I83" s="29" t="str">
        <f t="shared" si="143"/>
        <v/>
      </c>
      <c r="J83" s="29" t="str">
        <f t="shared" si="143"/>
        <v/>
      </c>
      <c r="K83" s="29" t="str">
        <f t="shared" si="143"/>
        <v/>
      </c>
      <c r="L83" s="29" t="str">
        <f t="shared" si="143"/>
        <v/>
      </c>
      <c r="M83" s="29" t="str">
        <f t="shared" si="143"/>
        <v/>
      </c>
      <c r="N83" s="29" t="str">
        <f t="shared" si="143"/>
        <v/>
      </c>
      <c r="O83" s="29" t="str">
        <f t="shared" si="143"/>
        <v/>
      </c>
      <c r="P83" s="29" t="str">
        <f t="shared" si="143"/>
        <v>СП</v>
      </c>
      <c r="Q83" s="29" t="str">
        <f t="shared" si="143"/>
        <v/>
      </c>
      <c r="R83" s="29" t="str">
        <f t="shared" si="143"/>
        <v/>
      </c>
      <c r="S83" s="29" t="str">
        <f t="shared" si="143"/>
        <v/>
      </c>
      <c r="T83" s="29" t="str">
        <f t="shared" si="143"/>
        <v/>
      </c>
      <c r="U83" s="29" t="str">
        <f t="shared" si="143"/>
        <v/>
      </c>
      <c r="V83" s="29" t="str">
        <f t="shared" si="143"/>
        <v/>
      </c>
      <c r="W83" s="29" t="str">
        <f t="shared" si="143"/>
        <v/>
      </c>
      <c r="X83" s="29" t="str">
        <f t="shared" si="143"/>
        <v/>
      </c>
      <c r="Y83" s="29" t="str">
        <f t="shared" si="143"/>
        <v/>
      </c>
      <c r="Z83" s="29" t="str">
        <f t="shared" si="143"/>
        <v/>
      </c>
      <c r="AA83" s="29" t="str">
        <f t="shared" si="143"/>
        <v/>
      </c>
      <c r="AB83" s="29" t="str">
        <f t="shared" si="143"/>
        <v/>
      </c>
      <c r="AC83" s="29" t="str">
        <f t="shared" si="143"/>
        <v/>
      </c>
      <c r="AD83" s="29" t="str">
        <f t="shared" si="143"/>
        <v/>
      </c>
      <c r="AE83" s="29" t="str">
        <f t="shared" si="143"/>
        <v/>
      </c>
      <c r="AF83" s="29" t="str">
        <f t="shared" si="143"/>
        <v/>
      </c>
      <c r="AG83" s="29" t="str">
        <f t="shared" si="143"/>
        <v/>
      </c>
      <c r="AH83" s="29" t="str">
        <f t="shared" si="143"/>
        <v/>
      </c>
      <c r="AI83" s="85" t="str">
        <f t="shared" si="143"/>
        <v/>
      </c>
      <c r="AJ83" s="207"/>
      <c r="AK83" s="178"/>
      <c r="AL83" s="178"/>
      <c r="AM83" s="178"/>
      <c r="AN83" s="199"/>
      <c r="AO83" s="199"/>
      <c r="AP83" s="199"/>
      <c r="AQ83" s="178"/>
      <c r="AR83" s="180"/>
      <c r="CK83" s="58">
        <f>IF(DAY(INDEX('Сводный годовой график'!$BA$4:$BL$14,$C82,MONTH($B$74)))=E$3,1,0)</f>
        <v>0</v>
      </c>
      <c r="CL83" s="58">
        <f>IF(DAY(INDEX('Сводный годовой график'!$BA$4:$BL$14,$C82,MONTH($B$74)))=F$3,1,0)</f>
        <v>0</v>
      </c>
      <c r="CM83" s="58">
        <f>IF(DAY(INDEX('Сводный годовой график'!$BA$4:$BL$14,$C82,MONTH($B$74)))=G$3,1,0)</f>
        <v>0</v>
      </c>
      <c r="CN83" s="58">
        <f>IF(DAY(INDEX('Сводный годовой график'!$BA$4:$BL$14,$C82,MONTH($B$74)))=H$3,1,0)</f>
        <v>0</v>
      </c>
      <c r="CO83" s="58">
        <f>IF(DAY(INDEX('Сводный годовой график'!$BA$4:$BL$14,$C82,MONTH($B$74)))=I$3,1,0)</f>
        <v>0</v>
      </c>
      <c r="CP83" s="58">
        <f>IF(DAY(INDEX('Сводный годовой график'!$BA$4:$BL$14,$C82,MONTH($B$74)))=J$3,1,0)</f>
        <v>0</v>
      </c>
      <c r="CQ83" s="58">
        <f>IF(DAY(INDEX('Сводный годовой график'!$BA$4:$BL$14,$C82,MONTH($B$74)))=K$3,1,0)</f>
        <v>0</v>
      </c>
      <c r="CR83" s="58">
        <f>IF(DAY(INDEX('Сводный годовой график'!$BA$4:$BL$14,$C82,MONTH($B$74)))=L$3,1,0)</f>
        <v>0</v>
      </c>
      <c r="CS83" s="58">
        <f>IF(DAY(INDEX('Сводный годовой график'!$BA$4:$BL$14,$C82,MONTH($B$74)))=M$3,1,0)</f>
        <v>0</v>
      </c>
      <c r="CT83" s="58">
        <f>IF(DAY(INDEX('Сводный годовой график'!$BA$4:$BL$14,$C82,MONTH($B$74)))=N$3,1,0)</f>
        <v>0</v>
      </c>
      <c r="CU83" s="58">
        <f>IF(DAY(INDEX('Сводный годовой график'!$BA$4:$BL$14,$C82,MONTH($B$74)))=O$3,1,0)</f>
        <v>0</v>
      </c>
      <c r="CV83" s="58">
        <f>IF(DAY(INDEX('Сводный годовой график'!$BA$4:$BL$14,$C82,MONTH($B$74)))=P$3,1,0)</f>
        <v>1</v>
      </c>
      <c r="CW83" s="58">
        <f>IF(DAY(INDEX('Сводный годовой график'!$BA$4:$BL$14,$C82,MONTH($B$74)))=Q$3,1,0)</f>
        <v>0</v>
      </c>
      <c r="CX83" s="58">
        <f>IF(DAY(INDEX('Сводный годовой график'!$BA$4:$BL$14,$C82,MONTH($B$74)))=R$3,1,0)</f>
        <v>0</v>
      </c>
      <c r="CY83" s="58">
        <f>IF(DAY(INDEX('Сводный годовой график'!$BA$4:$BL$14,$C82,MONTH($B$74)))=S$3,1,0)</f>
        <v>0</v>
      </c>
      <c r="CZ83" s="58">
        <f>IF(DAY(INDEX('Сводный годовой график'!$BA$4:$BL$14,$C82,MONTH($B$74)))=T$3,1,0)</f>
        <v>0</v>
      </c>
      <c r="DA83" s="58">
        <f>IF(DAY(INDEX('Сводный годовой график'!$BA$4:$BL$14,$C82,MONTH($B$74)))=U$3,1,0)</f>
        <v>0</v>
      </c>
      <c r="DB83" s="58">
        <f>IF(DAY(INDEX('Сводный годовой график'!$BA$4:$BL$14,$C82,MONTH($B$74)))=V$3,1,0)</f>
        <v>0</v>
      </c>
      <c r="DC83" s="58">
        <f>IF(DAY(INDEX('Сводный годовой график'!$BA$4:$BL$14,$C82,MONTH($B$74)))=W$3,1,0)</f>
        <v>0</v>
      </c>
      <c r="DD83" s="58">
        <f>IF(DAY(INDEX('Сводный годовой график'!$BA$4:$BL$14,$C82,MONTH($B$74)))=X$3,1,0)</f>
        <v>0</v>
      </c>
      <c r="DE83" s="58">
        <f>IF(DAY(INDEX('Сводный годовой график'!$BA$4:$BL$14,$C82,MONTH($B$74)))=Y$3,1,0)</f>
        <v>0</v>
      </c>
      <c r="DF83" s="58">
        <f>IF(DAY(INDEX('Сводный годовой график'!$BA$4:$BL$14,$C82,MONTH($B$74)))=Z$3,1,0)</f>
        <v>0</v>
      </c>
      <c r="DG83" s="58">
        <f>IF(DAY(INDEX('Сводный годовой график'!$BA$4:$BL$14,$C82,MONTH($B$74)))=AA$3,1,0)</f>
        <v>0</v>
      </c>
      <c r="DH83" s="58">
        <f>IF(DAY(INDEX('Сводный годовой график'!$BA$4:$BL$14,$C82,MONTH($B$74)))=AB$3,1,0)</f>
        <v>0</v>
      </c>
      <c r="DI83" s="58">
        <f>IF(DAY(INDEX('Сводный годовой график'!$BA$4:$BL$14,$C82,MONTH($B$74)))=AC$3,1,0)</f>
        <v>0</v>
      </c>
      <c r="DJ83" s="58">
        <f>IF(DAY(INDEX('Сводный годовой график'!$BA$4:$BL$14,$C82,MONTH($B$74)))=AD$3,1,0)</f>
        <v>0</v>
      </c>
      <c r="DK83" s="58">
        <f>IF(DAY(INDEX('Сводный годовой график'!$BA$4:$BL$14,$C82,MONTH($B$74)))=AE$3,1,0)</f>
        <v>0</v>
      </c>
      <c r="DL83" s="58">
        <f>IF(DAY(INDEX('Сводный годовой график'!$BA$4:$BL$14,$C82,MONTH($B$74)))=AF$3,1,0)</f>
        <v>0</v>
      </c>
      <c r="DM83" s="58">
        <f>IF(DAY(INDEX('Сводный годовой график'!$BA$4:$BL$14,$C82,MONTH($B$74)))=AG$3,1,0)</f>
        <v>0</v>
      </c>
      <c r="DN83" s="58">
        <f>IF(DAY(INDEX('Сводный годовой график'!$BA$4:$BL$14,$C82,MONTH($B$74)))=AH$3,1,0)</f>
        <v>0</v>
      </c>
      <c r="DO83" s="58">
        <f>IF(DAY(INDEX('Сводный годовой график'!$BA$4:$BL$14,$C82,MONTH($B$74)))=AI$3,1,0)</f>
        <v>0</v>
      </c>
    </row>
    <row r="84" spans="2:119" ht="17.25" customHeight="1" thickTop="1" thickBot="1" x14ac:dyDescent="0.3">
      <c r="B84" s="201">
        <f>DATE($AV$1,9,1)</f>
        <v>45901</v>
      </c>
      <c r="C84" s="212">
        <v>1</v>
      </c>
      <c r="D84" s="99">
        <v>1</v>
      </c>
      <c r="E84" s="27" t="e">
        <f ca="1">IF(AND(INDEX('Сводный годовой график'!$C$1:$AR$4,MATCH($C$84,'Сводный годовой график'!$B$1:$B$4),MATCH(DATE($AV$1,MONTH($B$84),E$3),'Сводный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график'!$B$1:$B$4),MATCH(DATE($AV$1,MONTH($B$84),E$3),'Сводный годовой график'!$C$13:$AR$13)))</f>
        <v>#N/A</v>
      </c>
      <c r="F84" s="27" t="e">
        <f ca="1">IF(AND(INDEX('Сводный годовой график'!$C$1:$AR$4,MATCH($C$84,'Сводный годовой график'!$B$1:$B$4),MATCH(DATE($AV$1,MONTH($B$84),F$3),'Сводный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график'!$B$1:$B$4),MATCH(DATE($AV$1,MONTH($B$84),F$3),'Сводный годовой график'!$C$13:$AR$13)))</f>
        <v>#N/A</v>
      </c>
      <c r="G84" s="27" t="e">
        <f ca="1">IF(AND(INDEX('Сводный годовой график'!$C$1:$AR$4,MATCH($C$84,'Сводный годовой график'!$B$1:$B$4),MATCH(DATE($AV$1,MONTH($B$84),G$3),'Сводный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график'!$B$1:$B$4),MATCH(DATE($AV$1,MONTH($B$84),G$3),'Сводный годовой график'!$C$13:$AR$13)))</f>
        <v>#N/A</v>
      </c>
      <c r="H84" s="27" t="e">
        <f ca="1">IF(AND(INDEX('Сводный годовой график'!$C$1:$AR$4,MATCH($C$84,'Сводный годовой график'!$B$1:$B$4),MATCH(DATE($AV$1,MONTH($B$84),H$3),'Сводный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график'!$B$1:$B$4),MATCH(DATE($AV$1,MONTH($B$84),H$3),'Сводный годовой график'!$C$13:$AR$13)))</f>
        <v>#N/A</v>
      </c>
      <c r="I84" s="27" t="e">
        <f ca="1">IF(AND(INDEX('Сводный годовой график'!$C$1:$AR$4,MATCH($C$84,'Сводный годовой график'!$B$1:$B$4),MATCH(DATE($AV$1,MONTH($B$84),I$3),'Сводный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график'!$B$1:$B$4),MATCH(DATE($AV$1,MONTH($B$84),I$3),'Сводный годовой график'!$C$13:$AR$13)))</f>
        <v>#N/A</v>
      </c>
      <c r="J84" s="27" t="e">
        <f ca="1">IF(AND(INDEX('Сводный годовой график'!$C$1:$AR$4,MATCH($C$84,'Сводный годовой график'!$B$1:$B$4),MATCH(DATE($AV$1,MONTH($B$84),J$3),'Сводный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график'!$B$1:$B$4),MATCH(DATE($AV$1,MONTH($B$84),J$3),'Сводный годовой график'!$C$13:$AR$13)))</f>
        <v>#N/A</v>
      </c>
      <c r="K84" s="27" t="e">
        <f ca="1">IF(AND(INDEX('Сводный годовой график'!$C$1:$AR$4,MATCH($C$84,'Сводный годовой график'!$B$1:$B$4),MATCH(DATE($AV$1,MONTH($B$84),K$3),'Сводный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график'!$B$1:$B$4),MATCH(DATE($AV$1,MONTH($B$84),K$3),'Сводный годовой график'!$C$13:$AR$13)))</f>
        <v>#N/A</v>
      </c>
      <c r="L84" s="27" t="e">
        <f ca="1">IF(AND(INDEX('Сводный годовой график'!$C$1:$AR$4,MATCH($C$84,'Сводный годовой график'!$B$1:$B$4),MATCH(DATE($AV$1,MONTH($B$84),L$3),'Сводный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график'!$B$1:$B$4),MATCH(DATE($AV$1,MONTH($B$84),L$3),'Сводный годовой график'!$C$13:$AR$13)))</f>
        <v>#N/A</v>
      </c>
      <c r="M84" s="27" t="e">
        <f ca="1">IF(AND(INDEX('Сводный годовой график'!$C$1:$AR$4,MATCH($C$84,'Сводный годовой график'!$B$1:$B$4),MATCH(DATE($AV$1,MONTH($B$84),M$3),'Сводный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график'!$B$1:$B$4),MATCH(DATE($AV$1,MONTH($B$84),M$3),'Сводный годовой график'!$C$13:$AR$13)))</f>
        <v>#N/A</v>
      </c>
      <c r="N84" s="27" t="e">
        <f ca="1">IF(AND(INDEX('Сводный годовой график'!$C$1:$AR$4,MATCH($C$84,'Сводный годовой график'!$B$1:$B$4),MATCH(DATE($AV$1,MONTH($B$84),N$3),'Сводный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график'!$B$1:$B$4),MATCH(DATE($AV$1,MONTH($B$84),N$3),'Сводный годовой график'!$C$13:$AR$13)))</f>
        <v>#N/A</v>
      </c>
      <c r="O84" s="27" t="e">
        <f ca="1">IF(AND(INDEX('Сводный годовой график'!$C$1:$AR$4,MATCH($C$84,'Сводный годовой график'!$B$1:$B$4),MATCH(DATE($AV$1,MONTH($B$84),O$3),'Сводный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график'!$B$1:$B$4),MATCH(DATE($AV$1,MONTH($B$84),O$3),'Сводный годовой график'!$C$13:$AR$13)))</f>
        <v>#N/A</v>
      </c>
      <c r="P84" s="27" t="e">
        <f ca="1">IF(AND(INDEX('Сводный годовой график'!$C$1:$AR$4,MATCH($C$84,'Сводный годовой график'!$B$1:$B$4),MATCH(DATE($AV$1,MONTH($B$84),P$3),'Сводный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график'!$B$1:$B$4),MATCH(DATE($AV$1,MONTH($B$84),P$3),'Сводный годовой график'!$C$13:$AR$13)))</f>
        <v>#N/A</v>
      </c>
      <c r="Q84" s="27" t="e">
        <f ca="1">IF(AND(INDEX('Сводный годовой график'!$C$1:$AR$4,MATCH($C$84,'Сводный годовой график'!$B$1:$B$4),MATCH(DATE($AV$1,MONTH($B$84),Q$3),'Сводный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график'!$B$1:$B$4),MATCH(DATE($AV$1,MONTH($B$84),Q$3),'Сводный годовой график'!$C$13:$AR$13)))</f>
        <v>#N/A</v>
      </c>
      <c r="R84" s="27" t="e">
        <f ca="1">IF(AND(INDEX('Сводный годовой график'!$C$1:$AR$4,MATCH($C$84,'Сводный годовой график'!$B$1:$B$4),MATCH(DATE($AV$1,MONTH($B$84),R$3),'Сводный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график'!$B$1:$B$4),MATCH(DATE($AV$1,MONTH($B$84),R$3),'Сводный годовой график'!$C$13:$AR$13)))</f>
        <v>#N/A</v>
      </c>
      <c r="S84" s="27" t="e">
        <f ca="1">IF(AND(INDEX('Сводный годовой график'!$C$1:$AR$4,MATCH($C$84,'Сводный годовой график'!$B$1:$B$4),MATCH(DATE($AV$1,MONTH($B$84),S$3),'Сводный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график'!$B$1:$B$4),MATCH(DATE($AV$1,MONTH($B$84),S$3),'Сводный годовой график'!$C$13:$AR$13)))</f>
        <v>#N/A</v>
      </c>
      <c r="T84" s="27" t="e">
        <f ca="1">IF(AND(INDEX('Сводный годовой график'!$C$1:$AR$4,MATCH($C$84,'Сводный годовой график'!$B$1:$B$4),MATCH(DATE($AV$1,MONTH($B$84),T$3),'Сводный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график'!$B$1:$B$4),MATCH(DATE($AV$1,MONTH($B$84),T$3),'Сводный годовой график'!$C$13:$AR$13)))</f>
        <v>#N/A</v>
      </c>
      <c r="U84" s="27" t="e">
        <f ca="1">IF(AND(INDEX('Сводный годовой график'!$C$1:$AR$4,MATCH($C$84,'Сводный годовой график'!$B$1:$B$4),MATCH(DATE($AV$1,MONTH($B$84),U$3),'Сводный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график'!$B$1:$B$4),MATCH(DATE($AV$1,MONTH($B$84),U$3),'Сводный годовой график'!$C$13:$AR$13)))</f>
        <v>#N/A</v>
      </c>
      <c r="V84" s="27" t="e">
        <f ca="1">IF(AND(INDEX('Сводный годовой график'!$C$1:$AR$4,MATCH($C$84,'Сводный годовой график'!$B$1:$B$4),MATCH(DATE($AV$1,MONTH($B$84),V$3),'Сводный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график'!$B$1:$B$4),MATCH(DATE($AV$1,MONTH($B$84),V$3),'Сводный годовой график'!$C$13:$AR$13)))</f>
        <v>#N/A</v>
      </c>
      <c r="W84" s="27" t="e">
        <f ca="1">IF(AND(INDEX('Сводный годовой график'!$C$1:$AR$4,MATCH($C$84,'Сводный годовой график'!$B$1:$B$4),MATCH(DATE($AV$1,MONTH($B$84),W$3),'Сводный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график'!$B$1:$B$4),MATCH(DATE($AV$1,MONTH($B$84),W$3),'Сводный годовой график'!$C$13:$AR$13)))</f>
        <v>#N/A</v>
      </c>
      <c r="X84" s="27" t="e">
        <f ca="1">IF(AND(INDEX('Сводный годовой график'!$C$1:$AR$4,MATCH($C$84,'Сводный годовой график'!$B$1:$B$4),MATCH(DATE($AV$1,MONTH($B$84),X$3),'Сводный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график'!$B$1:$B$4),MATCH(DATE($AV$1,MONTH($B$84),X$3),'Сводный годовой график'!$C$13:$AR$13)))</f>
        <v>#N/A</v>
      </c>
      <c r="Y84" s="27" t="e">
        <f ca="1">IF(AND(INDEX('Сводный годовой график'!$C$1:$AR$4,MATCH($C$84,'Сводный годовой график'!$B$1:$B$4),MATCH(DATE($AV$1,MONTH($B$84),Y$3),'Сводный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график'!$B$1:$B$4),MATCH(DATE($AV$1,MONTH($B$84),Y$3),'Сводный годовой график'!$C$13:$AR$13)))</f>
        <v>#N/A</v>
      </c>
      <c r="Z84" s="27" t="e">
        <f ca="1">IF(AND(INDEX('Сводный годовой график'!$C$1:$AR$4,MATCH($C$84,'Сводный годовой график'!$B$1:$B$4),MATCH(DATE($AV$1,MONTH($B$84),Z$3),'Сводный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график'!$B$1:$B$4),MATCH(DATE($AV$1,MONTH($B$84),Z$3),'Сводный годовой график'!$C$13:$AR$13)))</f>
        <v>#N/A</v>
      </c>
      <c r="AA84" s="27" t="e">
        <f ca="1">IF(AND(INDEX('Сводный годовой график'!$C$1:$AR$4,MATCH($C$84,'Сводный годовой график'!$B$1:$B$4),MATCH(DATE($AV$1,MONTH($B$84),AA$3),'Сводный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график'!$B$1:$B$4),MATCH(DATE($AV$1,MONTH($B$84),AA$3),'Сводный годовой график'!$C$13:$AR$13)))</f>
        <v>#N/A</v>
      </c>
      <c r="AB84" s="27" t="e">
        <f ca="1">IF(AND(INDEX('Сводный годовой график'!$C$1:$AR$4,MATCH($C$84,'Сводный годовой график'!$B$1:$B$4),MATCH(DATE($AV$1,MONTH($B$84),AB$3),'Сводный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график'!$B$1:$B$4),MATCH(DATE($AV$1,MONTH($B$84),AB$3),'Сводный годовой график'!$C$13:$AR$13)))</f>
        <v>#N/A</v>
      </c>
      <c r="AC84" s="27" t="e">
        <f ca="1">IF(AND(INDEX('Сводный годовой график'!$C$1:$AR$4,MATCH($C$84,'Сводный годовой график'!$B$1:$B$4),MATCH(DATE($AV$1,MONTH($B$84),AC$3),'Сводный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график'!$B$1:$B$4),MATCH(DATE($AV$1,MONTH($B$84),AC$3),'Сводный годовой график'!$C$13:$AR$13)))</f>
        <v>#N/A</v>
      </c>
      <c r="AD84" s="27" t="e">
        <f ca="1">IF(AND(INDEX('Сводный годовой график'!$C$1:$AR$4,MATCH($C$84,'Сводный годовой график'!$B$1:$B$4),MATCH(DATE($AV$1,MONTH($B$84),AD$3),'Сводный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график'!$B$1:$B$4),MATCH(DATE($AV$1,MONTH($B$84),AD$3),'Сводный годовой график'!$C$13:$AR$13)))</f>
        <v>#N/A</v>
      </c>
      <c r="AE84" s="27" t="e">
        <f ca="1">IF(AND(INDEX('Сводный годовой график'!$C$1:$AR$4,MATCH($C$84,'Сводный годовой график'!$B$1:$B$4),MATCH(DATE($AV$1,MONTH($B$84),AE$3),'Сводный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график'!$B$1:$B$4),MATCH(DATE($AV$1,MONTH($B$84),AE$3),'Сводный годовой график'!$C$13:$AR$13)))</f>
        <v>#N/A</v>
      </c>
      <c r="AF84" s="27" t="e">
        <f ca="1">IF(AND(INDEX('Сводный годовой график'!$C$1:$AR$4,MATCH($C$84,'Сводный годовой график'!$B$1:$B$4),MATCH(DATE($AV$1,MONTH($B$84),AF$3),'Сводный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график'!$B$1:$B$4),MATCH(DATE($AV$1,MONTH($B$84),AF$3),'Сводный годовой график'!$C$13:$AR$13)))</f>
        <v>#N/A</v>
      </c>
      <c r="AG84" s="27" t="e">
        <f ca="1">IF(AND(INDEX('Сводный годовой график'!$C$1:$AR$4,MATCH($C$84,'Сводный годовой график'!$B$1:$B$4),MATCH(DATE($AV$1,MONTH($B$84),AG$3),'Сводный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график'!$B$1:$B$4),MATCH(DATE($AV$1,MONTH($B$84),AG$3),'Сводный годовой график'!$C$13:$AR$13)))</f>
        <v>#N/A</v>
      </c>
      <c r="AH84" s="27" t="e">
        <f ca="1">IF(AND(INDEX('Сводный годовой график'!$C$1:$AR$4,MATCH($C$84,'Сводный годовой график'!$B$1:$B$4),MATCH(DATE($AV$1,MONTH($B$84),AH$3),'Сводный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график'!$B$1:$B$4),MATCH(DATE($AV$1,MONTH($B$84),AH$3),'Сводный годовой график'!$C$13:$AR$13)))</f>
        <v>#N/A</v>
      </c>
      <c r="AI84" s="118"/>
      <c r="AJ84" s="205">
        <f>INDEX(Подключения!$D$3:$H$14,MONTH(B84),5)</f>
        <v>176</v>
      </c>
      <c r="AK84" s="216">
        <f>$AJ$84-SUM(AY84:CC85)</f>
        <v>176</v>
      </c>
      <c r="AL84" s="216" t="e">
        <f t="shared" ref="AL84" ca="1" si="144">SUM(E84:AI85)</f>
        <v>#N/A</v>
      </c>
      <c r="AM84" s="216">
        <v>0</v>
      </c>
      <c r="AN84" s="218" t="e">
        <f t="shared" ref="AN84" ca="1" si="145">-AM84-AK84+AL84</f>
        <v>#N/A</v>
      </c>
      <c r="AO84" s="218">
        <v>0</v>
      </c>
      <c r="AP84" s="218" t="e">
        <f ca="1">AN84+AP74-AO84</f>
        <v>#N/A</v>
      </c>
      <c r="AQ84" s="216">
        <v>10</v>
      </c>
      <c r="AR84" s="217">
        <v>1</v>
      </c>
      <c r="CK84" s="59"/>
      <c r="CL84" s="59"/>
      <c r="CM84" s="59"/>
      <c r="CN84" s="59"/>
      <c r="CO84" s="59"/>
      <c r="CP84" s="59"/>
      <c r="CQ84" s="59"/>
      <c r="CR84" s="59"/>
      <c r="CS84" s="59"/>
      <c r="CT84" s="59"/>
      <c r="CU84" s="59"/>
      <c r="CV84" s="59"/>
      <c r="CW84" s="59"/>
      <c r="CX84" s="59"/>
      <c r="CY84" s="59"/>
      <c r="CZ84" s="59"/>
      <c r="DA84" s="59"/>
      <c r="DB84" s="59"/>
      <c r="DC84" s="59"/>
      <c r="DD84" s="59"/>
      <c r="DE84" s="59"/>
      <c r="DF84" s="59"/>
      <c r="DG84" s="59"/>
      <c r="DH84" s="59"/>
      <c r="DI84" s="59"/>
      <c r="DJ84" s="59"/>
      <c r="DK84" s="59"/>
      <c r="DL84" s="59"/>
      <c r="DM84" s="59"/>
      <c r="DN84" s="59"/>
      <c r="DO84" s="59"/>
    </row>
    <row r="85" spans="2:119" ht="16.5" thickBot="1" x14ac:dyDescent="0.3">
      <c r="B85" s="201"/>
      <c r="C85" s="197"/>
      <c r="D85" s="82">
        <v>2</v>
      </c>
      <c r="E85" s="92" t="str">
        <f t="shared" ref="E85:AH85" si="146">IF(INDEX($CK$4:$DO$123,ROW()-3,E$3)=0,"","СП")</f>
        <v/>
      </c>
      <c r="F85" s="92" t="str">
        <f t="shared" si="146"/>
        <v/>
      </c>
      <c r="G85" s="92" t="str">
        <f t="shared" si="146"/>
        <v/>
      </c>
      <c r="H85" s="92" t="str">
        <f t="shared" si="146"/>
        <v/>
      </c>
      <c r="I85" s="92" t="str">
        <f t="shared" si="146"/>
        <v/>
      </c>
      <c r="J85" s="92" t="str">
        <f t="shared" si="146"/>
        <v/>
      </c>
      <c r="K85" s="92" t="str">
        <f t="shared" si="146"/>
        <v/>
      </c>
      <c r="L85" s="92" t="str">
        <f t="shared" si="146"/>
        <v/>
      </c>
      <c r="M85" s="92" t="str">
        <f t="shared" si="146"/>
        <v>СП</v>
      </c>
      <c r="N85" s="92" t="str">
        <f t="shared" si="146"/>
        <v/>
      </c>
      <c r="O85" s="92" t="str">
        <f t="shared" si="146"/>
        <v/>
      </c>
      <c r="P85" s="92" t="str">
        <f t="shared" si="146"/>
        <v/>
      </c>
      <c r="Q85" s="92" t="str">
        <f t="shared" si="146"/>
        <v/>
      </c>
      <c r="R85" s="92" t="str">
        <f t="shared" si="146"/>
        <v/>
      </c>
      <c r="S85" s="92" t="str">
        <f t="shared" si="146"/>
        <v/>
      </c>
      <c r="T85" s="92" t="str">
        <f t="shared" si="146"/>
        <v/>
      </c>
      <c r="U85" s="92" t="str">
        <f t="shared" si="146"/>
        <v/>
      </c>
      <c r="V85" s="92" t="str">
        <f t="shared" si="146"/>
        <v/>
      </c>
      <c r="W85" s="92" t="str">
        <f t="shared" si="146"/>
        <v/>
      </c>
      <c r="X85" s="92" t="str">
        <f t="shared" si="146"/>
        <v/>
      </c>
      <c r="Y85" s="92" t="str">
        <f t="shared" si="146"/>
        <v/>
      </c>
      <c r="Z85" s="92" t="str">
        <f t="shared" si="146"/>
        <v/>
      </c>
      <c r="AA85" s="92" t="str">
        <f t="shared" si="146"/>
        <v/>
      </c>
      <c r="AB85" s="92" t="str">
        <f t="shared" si="146"/>
        <v/>
      </c>
      <c r="AC85" s="92" t="str">
        <f t="shared" si="146"/>
        <v/>
      </c>
      <c r="AD85" s="92" t="str">
        <f t="shared" si="146"/>
        <v/>
      </c>
      <c r="AE85" s="92" t="str">
        <f t="shared" si="146"/>
        <v/>
      </c>
      <c r="AF85" s="92" t="str">
        <f t="shared" si="146"/>
        <v/>
      </c>
      <c r="AG85" s="92" t="str">
        <f t="shared" si="146"/>
        <v/>
      </c>
      <c r="AH85" s="92" t="str">
        <f t="shared" si="146"/>
        <v/>
      </c>
      <c r="AI85" s="119"/>
      <c r="AJ85" s="206"/>
      <c r="AK85" s="209"/>
      <c r="AL85" s="209"/>
      <c r="AM85" s="209"/>
      <c r="AN85" s="211"/>
      <c r="AO85" s="211"/>
      <c r="AP85" s="211"/>
      <c r="AQ85" s="209"/>
      <c r="AR85" s="210"/>
      <c r="CK85" s="58">
        <f>IF(DAY(INDEX('Сводный годовой график'!$BA$4:$BL$14,$C84,MONTH($B$84)))=E$3,1,0)</f>
        <v>0</v>
      </c>
      <c r="CL85" s="58">
        <f>IF(DAY(INDEX('Сводный годовой график'!$BA$4:$BL$14,$C84,MONTH($B$84)))=F$3,1,0)</f>
        <v>0</v>
      </c>
      <c r="CM85" s="58">
        <f>IF(DAY(INDEX('Сводный годовой график'!$BA$4:$BL$14,$C84,MONTH($B$84)))=G$3,1,0)</f>
        <v>0</v>
      </c>
      <c r="CN85" s="58">
        <f>IF(DAY(INDEX('Сводный годовой график'!$BA$4:$BL$14,$C84,MONTH($B$84)))=H$3,1,0)</f>
        <v>0</v>
      </c>
      <c r="CO85" s="58">
        <f>IF(DAY(INDEX('Сводный годовой график'!$BA$4:$BL$14,$C84,MONTH($B$84)))=I$3,1,0)</f>
        <v>0</v>
      </c>
      <c r="CP85" s="58">
        <f>IF(DAY(INDEX('Сводный годовой график'!$BA$4:$BL$14,$C84,MONTH($B$84)))=J$3,1,0)</f>
        <v>0</v>
      </c>
      <c r="CQ85" s="58">
        <f>IF(DAY(INDEX('Сводный годовой график'!$BA$4:$BL$14,$C84,MONTH($B$84)))=K$3,1,0)</f>
        <v>0</v>
      </c>
      <c r="CR85" s="58">
        <f>IF(DAY(INDEX('Сводный годовой график'!$BA$4:$BL$14,$C84,MONTH($B$84)))=L$3,1,0)</f>
        <v>0</v>
      </c>
      <c r="CS85" s="58">
        <f>IF(DAY(INDEX('Сводный годовой график'!$BA$4:$BL$14,$C84,MONTH($B$84)))=M$3,1,0)</f>
        <v>1</v>
      </c>
      <c r="CT85" s="58">
        <f>IF(DAY(INDEX('Сводный годовой график'!$BA$4:$BL$14,$C84,MONTH($B$84)))=N$3,1,0)</f>
        <v>0</v>
      </c>
      <c r="CU85" s="58">
        <f>IF(DAY(INDEX('Сводный годовой график'!$BA$4:$BL$14,$C84,MONTH($B$84)))=O$3,1,0)</f>
        <v>0</v>
      </c>
      <c r="CV85" s="58">
        <f>IF(DAY(INDEX('Сводный годовой график'!$BA$4:$BL$14,$C84,MONTH($B$84)))=P$3,1,0)</f>
        <v>0</v>
      </c>
      <c r="CW85" s="58">
        <f>IF(DAY(INDEX('Сводный годовой график'!$BA$4:$BL$14,$C84,MONTH($B$84)))=Q$3,1,0)</f>
        <v>0</v>
      </c>
      <c r="CX85" s="58">
        <f>IF(DAY(INDEX('Сводный годовой график'!$BA$4:$BL$14,$C84,MONTH($B$84)))=R$3,1,0)</f>
        <v>0</v>
      </c>
      <c r="CY85" s="58">
        <f>IF(DAY(INDEX('Сводный годовой график'!$BA$4:$BL$14,$C84,MONTH($B$84)))=S$3,1,0)</f>
        <v>0</v>
      </c>
      <c r="CZ85" s="58">
        <f>IF(DAY(INDEX('Сводный годовой график'!$BA$4:$BL$14,$C84,MONTH($B$84)))=T$3,1,0)</f>
        <v>0</v>
      </c>
      <c r="DA85" s="58">
        <f>IF(DAY(INDEX('Сводный годовой график'!$BA$4:$BL$14,$C84,MONTH($B$84)))=U$3,1,0)</f>
        <v>0</v>
      </c>
      <c r="DB85" s="58">
        <f>IF(DAY(INDEX('Сводный годовой график'!$BA$4:$BL$14,$C84,MONTH($B$84)))=V$3,1,0)</f>
        <v>0</v>
      </c>
      <c r="DC85" s="58">
        <f>IF(DAY(INDEX('Сводный годовой график'!$BA$4:$BL$14,$C84,MONTH($B$84)))=W$3,1,0)</f>
        <v>0</v>
      </c>
      <c r="DD85" s="58">
        <f>IF(DAY(INDEX('Сводный годовой график'!$BA$4:$BL$14,$C84,MONTH($B$84)))=X$3,1,0)</f>
        <v>0</v>
      </c>
      <c r="DE85" s="58">
        <f>IF(DAY(INDEX('Сводный годовой график'!$BA$4:$BL$14,$C84,MONTH($B$84)))=Y$3,1,0)</f>
        <v>0</v>
      </c>
      <c r="DF85" s="58">
        <f>IF(DAY(INDEX('Сводный годовой график'!$BA$4:$BL$14,$C84,MONTH($B$84)))=Z$3,1,0)</f>
        <v>0</v>
      </c>
      <c r="DG85" s="58">
        <f>IF(DAY(INDEX('Сводный годовой график'!$BA$4:$BL$14,$C84,MONTH($B$84)))=AA$3,1,0)</f>
        <v>0</v>
      </c>
      <c r="DH85" s="58">
        <f>IF(DAY(INDEX('Сводный годовой график'!$BA$4:$BL$14,$C84,MONTH($B$84)))=AB$3,1,0)</f>
        <v>0</v>
      </c>
      <c r="DI85" s="58">
        <f>IF(DAY(INDEX('Сводный годовой график'!$BA$4:$BL$14,$C84,MONTH($B$84)))=AC$3,1,0)</f>
        <v>0</v>
      </c>
      <c r="DJ85" s="58">
        <f>IF(DAY(INDEX('Сводный годовой график'!$BA$4:$BL$14,$C84,MONTH($B$84)))=AD$3,1,0)</f>
        <v>0</v>
      </c>
      <c r="DK85" s="58">
        <f>IF(DAY(INDEX('Сводный годовой график'!$BA$4:$BL$14,$C84,MONTH($B$84)))=AE$3,1,0)</f>
        <v>0</v>
      </c>
      <c r="DL85" s="58">
        <f>IF(DAY(INDEX('Сводный годовой график'!$BA$4:$BL$14,$C84,MONTH($B$84)))=AF$3,1,0)</f>
        <v>0</v>
      </c>
      <c r="DM85" s="58">
        <f>IF(DAY(INDEX('Сводный годовой график'!$BA$4:$BL$14,$C84,MONTH($B$84)))=AG$3,1,0)</f>
        <v>0</v>
      </c>
      <c r="DN85" s="58">
        <f>IF(DAY(INDEX('Сводный годовой график'!$BA$4:$BL$14,$C84,MONTH($B$84)))=AH$3,1,0)</f>
        <v>0</v>
      </c>
      <c r="DO85" s="58">
        <f>IF(DAY(INDEX('Сводный годовой график'!$BA$4:$BL$14,$C84,MONTH($B$84)))=AI$3,1,0)</f>
        <v>0</v>
      </c>
    </row>
    <row r="86" spans="2:119" ht="17.25" thickTop="1" thickBot="1" x14ac:dyDescent="0.3">
      <c r="B86" s="201"/>
      <c r="C86" s="196">
        <v>2</v>
      </c>
      <c r="D86" s="81">
        <v>3</v>
      </c>
      <c r="E86" s="92" t="e">
        <f ca="1">IF(AND(INDEX('Сводный годовой график'!$C$1:$AR$4,MATCH($C$86,'Сводный годовой график'!$B$1:$B$4),MATCH(DATE($AV$1,MONTH($B$84),E$3),'Сводный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график'!$B$1:$B$4),MATCH(DATE($AV$1,MONTH($B$84),E$3),'Сводный годовой график'!$C$13:$AR$13)))</f>
        <v>#N/A</v>
      </c>
      <c r="F86" s="92" t="e">
        <f ca="1">IF(AND(INDEX('Сводный годовой график'!$C$1:$AR$4,MATCH($C$86,'Сводный годовой график'!$B$1:$B$4),MATCH(DATE($AV$1,MONTH($B$84),F$3),'Сводный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график'!$B$1:$B$4),MATCH(DATE($AV$1,MONTH($B$84),F$3),'Сводный годовой график'!$C$13:$AR$13)))</f>
        <v>#N/A</v>
      </c>
      <c r="G86" s="92" t="e">
        <f ca="1">IF(AND(INDEX('Сводный годовой график'!$C$1:$AR$4,MATCH($C$86,'Сводный годовой график'!$B$1:$B$4),MATCH(DATE($AV$1,MONTH($B$84),G$3),'Сводный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график'!$B$1:$B$4),MATCH(DATE($AV$1,MONTH($B$84),G$3),'Сводный годовой график'!$C$13:$AR$13)))</f>
        <v>#N/A</v>
      </c>
      <c r="H86" s="92" t="e">
        <f ca="1">IF(AND(INDEX('Сводный годовой график'!$C$1:$AR$4,MATCH($C$86,'Сводный годовой график'!$B$1:$B$4),MATCH(DATE($AV$1,MONTH($B$84),H$3),'Сводный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график'!$B$1:$B$4),MATCH(DATE($AV$1,MONTH($B$84),H$3),'Сводный годовой график'!$C$13:$AR$13)))</f>
        <v>#N/A</v>
      </c>
      <c r="I86" s="92" t="e">
        <f ca="1">IF(AND(INDEX('Сводный годовой график'!$C$1:$AR$4,MATCH($C$86,'Сводный годовой график'!$B$1:$B$4),MATCH(DATE($AV$1,MONTH($B$84),I$3),'Сводный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график'!$B$1:$B$4),MATCH(DATE($AV$1,MONTH($B$84),I$3),'Сводный годовой график'!$C$13:$AR$13)))</f>
        <v>#N/A</v>
      </c>
      <c r="J86" s="92" t="e">
        <f ca="1">IF(AND(INDEX('Сводный годовой график'!$C$1:$AR$4,MATCH($C$86,'Сводный годовой график'!$B$1:$B$4),MATCH(DATE($AV$1,MONTH($B$84),J$3),'Сводный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график'!$B$1:$B$4),MATCH(DATE($AV$1,MONTH($B$84),J$3),'Сводный годовой график'!$C$13:$AR$13)))</f>
        <v>#N/A</v>
      </c>
      <c r="K86" s="92" t="e">
        <f ca="1">IF(AND(INDEX('Сводный годовой график'!$C$1:$AR$4,MATCH($C$86,'Сводный годовой график'!$B$1:$B$4),MATCH(DATE($AV$1,MONTH($B$84),K$3),'Сводный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график'!$B$1:$B$4),MATCH(DATE($AV$1,MONTH($B$84),K$3),'Сводный годовой график'!$C$13:$AR$13)))</f>
        <v>#N/A</v>
      </c>
      <c r="L86" s="92" t="e">
        <f ca="1">IF(AND(INDEX('Сводный годовой график'!$C$1:$AR$4,MATCH($C$86,'Сводный годовой график'!$B$1:$B$4),MATCH(DATE($AV$1,MONTH($B$84),L$3),'Сводный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график'!$B$1:$B$4),MATCH(DATE($AV$1,MONTH($B$84),L$3),'Сводный годовой график'!$C$13:$AR$13)))</f>
        <v>#N/A</v>
      </c>
      <c r="M86" s="92" t="e">
        <f ca="1">IF(AND(INDEX('Сводный годовой график'!$C$1:$AR$4,MATCH($C$86,'Сводный годовой график'!$B$1:$B$4),MATCH(DATE($AV$1,MONTH($B$84),M$3),'Сводный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график'!$B$1:$B$4),MATCH(DATE($AV$1,MONTH($B$84),M$3),'Сводный годовой график'!$C$13:$AR$13)))</f>
        <v>#N/A</v>
      </c>
      <c r="N86" s="92" t="e">
        <f ca="1">IF(AND(INDEX('Сводный годовой график'!$C$1:$AR$4,MATCH($C$86,'Сводный годовой график'!$B$1:$B$4),MATCH(DATE($AV$1,MONTH($B$84),N$3),'Сводный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график'!$B$1:$B$4),MATCH(DATE($AV$1,MONTH($B$84),N$3),'Сводный годовой график'!$C$13:$AR$13)))</f>
        <v>#N/A</v>
      </c>
      <c r="O86" s="92" t="e">
        <f ca="1">IF(AND(INDEX('Сводный годовой график'!$C$1:$AR$4,MATCH($C$86,'Сводный годовой график'!$B$1:$B$4),MATCH(DATE($AV$1,MONTH($B$84),O$3),'Сводный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график'!$B$1:$B$4),MATCH(DATE($AV$1,MONTH($B$84),O$3),'Сводный годовой график'!$C$13:$AR$13)))</f>
        <v>#N/A</v>
      </c>
      <c r="P86" s="92" t="e">
        <f ca="1">IF(AND(INDEX('Сводный годовой график'!$C$1:$AR$4,MATCH($C$86,'Сводный годовой график'!$B$1:$B$4),MATCH(DATE($AV$1,MONTH($B$84),P$3),'Сводный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график'!$B$1:$B$4),MATCH(DATE($AV$1,MONTH($B$84),P$3),'Сводный годовой график'!$C$13:$AR$13)))</f>
        <v>#N/A</v>
      </c>
      <c r="Q86" s="92" t="e">
        <f ca="1">IF(AND(INDEX('Сводный годовой график'!$C$1:$AR$4,MATCH($C$86,'Сводный годовой график'!$B$1:$B$4),MATCH(DATE($AV$1,MONTH($B$84),Q$3),'Сводный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график'!$B$1:$B$4),MATCH(DATE($AV$1,MONTH($B$84),Q$3),'Сводный годовой график'!$C$13:$AR$13)))</f>
        <v>#N/A</v>
      </c>
      <c r="R86" s="92" t="e">
        <f ca="1">IF(AND(INDEX('Сводный годовой график'!$C$1:$AR$4,MATCH($C$86,'Сводный годовой график'!$B$1:$B$4),MATCH(DATE($AV$1,MONTH($B$84),R$3),'Сводный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график'!$B$1:$B$4),MATCH(DATE($AV$1,MONTH($B$84),R$3),'Сводный годовой график'!$C$13:$AR$13)))</f>
        <v>#N/A</v>
      </c>
      <c r="S86" s="92" t="e">
        <f ca="1">IF(AND(INDEX('Сводный годовой график'!$C$1:$AR$4,MATCH($C$86,'Сводный годовой график'!$B$1:$B$4),MATCH(DATE($AV$1,MONTH($B$84),S$3),'Сводный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график'!$B$1:$B$4),MATCH(DATE($AV$1,MONTH($B$84),S$3),'Сводный годовой график'!$C$13:$AR$13)))</f>
        <v>#N/A</v>
      </c>
      <c r="T86" s="92" t="e">
        <f ca="1">IF(AND(INDEX('Сводный годовой график'!$C$1:$AR$4,MATCH($C$86,'Сводный годовой график'!$B$1:$B$4),MATCH(DATE($AV$1,MONTH($B$84),T$3),'Сводный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график'!$B$1:$B$4),MATCH(DATE($AV$1,MONTH($B$84),T$3),'Сводный годовой график'!$C$13:$AR$13)))</f>
        <v>#N/A</v>
      </c>
      <c r="U86" s="92" t="e">
        <f ca="1">IF(AND(INDEX('Сводный годовой график'!$C$1:$AR$4,MATCH($C$86,'Сводный годовой график'!$B$1:$B$4),MATCH(DATE($AV$1,MONTH($B$84),U$3),'Сводный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график'!$B$1:$B$4),MATCH(DATE($AV$1,MONTH($B$84),U$3),'Сводный годовой график'!$C$13:$AR$13)))</f>
        <v>#N/A</v>
      </c>
      <c r="V86" s="92" t="e">
        <f ca="1">IF(AND(INDEX('Сводный годовой график'!$C$1:$AR$4,MATCH($C$86,'Сводный годовой график'!$B$1:$B$4),MATCH(DATE($AV$1,MONTH($B$84),V$3),'Сводный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график'!$B$1:$B$4),MATCH(DATE($AV$1,MONTH($B$84),V$3),'Сводный годовой график'!$C$13:$AR$13)))</f>
        <v>#N/A</v>
      </c>
      <c r="W86" s="92" t="e">
        <f ca="1">IF(AND(INDEX('Сводный годовой график'!$C$1:$AR$4,MATCH($C$86,'Сводный годовой график'!$B$1:$B$4),MATCH(DATE($AV$1,MONTH($B$84),W$3),'Сводный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график'!$B$1:$B$4),MATCH(DATE($AV$1,MONTH($B$84),W$3),'Сводный годовой график'!$C$13:$AR$13)))</f>
        <v>#N/A</v>
      </c>
      <c r="X86" s="92" t="e">
        <f ca="1">IF(AND(INDEX('Сводный годовой график'!$C$1:$AR$4,MATCH($C$86,'Сводный годовой график'!$B$1:$B$4),MATCH(DATE($AV$1,MONTH($B$84),X$3),'Сводный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график'!$B$1:$B$4),MATCH(DATE($AV$1,MONTH($B$84),X$3),'Сводный годовой график'!$C$13:$AR$13)))</f>
        <v>#N/A</v>
      </c>
      <c r="Y86" s="92" t="e">
        <f ca="1">IF(AND(INDEX('Сводный годовой график'!$C$1:$AR$4,MATCH($C$86,'Сводный годовой график'!$B$1:$B$4),MATCH(DATE($AV$1,MONTH($B$84),Y$3),'Сводный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график'!$B$1:$B$4),MATCH(DATE($AV$1,MONTH($B$84),Y$3),'Сводный годовой график'!$C$13:$AR$13)))</f>
        <v>#N/A</v>
      </c>
      <c r="Z86" s="92" t="e">
        <f ca="1">IF(AND(INDEX('Сводный годовой график'!$C$1:$AR$4,MATCH($C$86,'Сводный годовой график'!$B$1:$B$4),MATCH(DATE($AV$1,MONTH($B$84),Z$3),'Сводный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график'!$B$1:$B$4),MATCH(DATE($AV$1,MONTH($B$84),Z$3),'Сводный годовой график'!$C$13:$AR$13)))</f>
        <v>#N/A</v>
      </c>
      <c r="AA86" s="92" t="e">
        <f ca="1">IF(AND(INDEX('Сводный годовой график'!$C$1:$AR$4,MATCH($C$86,'Сводный годовой график'!$B$1:$B$4),MATCH(DATE($AV$1,MONTH($B$84),AA$3),'Сводный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график'!$B$1:$B$4),MATCH(DATE($AV$1,MONTH($B$84),AA$3),'Сводный годовой график'!$C$13:$AR$13)))</f>
        <v>#N/A</v>
      </c>
      <c r="AB86" s="92" t="e">
        <f ca="1">IF(AND(INDEX('Сводный годовой график'!$C$1:$AR$4,MATCH($C$86,'Сводный годовой график'!$B$1:$B$4),MATCH(DATE($AV$1,MONTH($B$84),AB$3),'Сводный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график'!$B$1:$B$4),MATCH(DATE($AV$1,MONTH($B$84),AB$3),'Сводный годовой график'!$C$13:$AR$13)))</f>
        <v>#N/A</v>
      </c>
      <c r="AC86" s="92" t="e">
        <f ca="1">IF(AND(INDEX('Сводный годовой график'!$C$1:$AR$4,MATCH($C$86,'Сводный годовой график'!$B$1:$B$4),MATCH(DATE($AV$1,MONTH($B$84),AC$3),'Сводный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график'!$B$1:$B$4),MATCH(DATE($AV$1,MONTH($B$84),AC$3),'Сводный годовой график'!$C$13:$AR$13)))</f>
        <v>#N/A</v>
      </c>
      <c r="AD86" s="92" t="e">
        <f ca="1">IF(AND(INDEX('Сводный годовой график'!$C$1:$AR$4,MATCH($C$86,'Сводный годовой график'!$B$1:$B$4),MATCH(DATE($AV$1,MONTH($B$84),AD$3),'Сводный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график'!$B$1:$B$4),MATCH(DATE($AV$1,MONTH($B$84),AD$3),'Сводный годовой график'!$C$13:$AR$13)))</f>
        <v>#N/A</v>
      </c>
      <c r="AE86" s="92" t="e">
        <f ca="1">IF(AND(INDEX('Сводный годовой график'!$C$1:$AR$4,MATCH($C$86,'Сводный годовой график'!$B$1:$B$4),MATCH(DATE($AV$1,MONTH($B$84),AE$3),'Сводный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график'!$B$1:$B$4),MATCH(DATE($AV$1,MONTH($B$84),AE$3),'Сводный годовой график'!$C$13:$AR$13)))</f>
        <v>#N/A</v>
      </c>
      <c r="AF86" s="92" t="e">
        <f ca="1">IF(AND(INDEX('Сводный годовой график'!$C$1:$AR$4,MATCH($C$86,'Сводный годовой график'!$B$1:$B$4),MATCH(DATE($AV$1,MONTH($B$84),AF$3),'Сводный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график'!$B$1:$B$4),MATCH(DATE($AV$1,MONTH($B$84),AF$3),'Сводный годовой график'!$C$13:$AR$13)))</f>
        <v>#N/A</v>
      </c>
      <c r="AG86" s="92" t="e">
        <f ca="1">IF(AND(INDEX('Сводный годовой график'!$C$1:$AR$4,MATCH($C$86,'Сводный годовой график'!$B$1:$B$4),MATCH(DATE($AV$1,MONTH($B$84),AG$3),'Сводный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график'!$B$1:$B$4),MATCH(DATE($AV$1,MONTH($B$84),AG$3),'Сводный годовой график'!$C$13:$AR$13)))</f>
        <v>#N/A</v>
      </c>
      <c r="AH86" s="92" t="e">
        <f ca="1">IF(AND(INDEX('Сводный годовой график'!$C$1:$AR$4,MATCH($C$86,'Сводный годовой график'!$B$1:$B$4),MATCH(DATE($AV$1,MONTH($B$84),AH$3),'Сводный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график'!$B$1:$B$4),MATCH(DATE($AV$1,MONTH($B$84),AH$3),'Сводный годовой график'!$C$13:$AR$13)))</f>
        <v>#N/A</v>
      </c>
      <c r="AI86" s="119"/>
      <c r="AJ86" s="206"/>
      <c r="AK86" s="216">
        <f>$AJ$84-SUM(AY86:CC87)</f>
        <v>176</v>
      </c>
      <c r="AL86" s="209" t="e">
        <f t="shared" ref="AL86" ca="1" si="147">SUM(E86:AI87)</f>
        <v>#N/A</v>
      </c>
      <c r="AM86" s="209">
        <v>0</v>
      </c>
      <c r="AN86" s="211" t="e">
        <f t="shared" ref="AN86" ca="1" si="148">-AM86-AK86+AL86</f>
        <v>#N/A</v>
      </c>
      <c r="AO86" s="211">
        <v>0</v>
      </c>
      <c r="AP86" s="211" t="e">
        <f ca="1">AN86+AP76-AO86</f>
        <v>#N/A</v>
      </c>
      <c r="AQ86" s="209">
        <v>0</v>
      </c>
      <c r="AR86" s="210">
        <v>1</v>
      </c>
      <c r="CK86" s="59"/>
      <c r="CL86" s="59"/>
      <c r="CM86" s="59"/>
      <c r="CN86" s="59"/>
      <c r="CO86" s="59"/>
      <c r="CP86" s="59"/>
      <c r="CQ86" s="59"/>
      <c r="CR86" s="59"/>
      <c r="CS86" s="59"/>
      <c r="CT86" s="59"/>
      <c r="CU86" s="59"/>
      <c r="CV86" s="59"/>
      <c r="CW86" s="59"/>
      <c r="CX86" s="59"/>
      <c r="CY86" s="59"/>
      <c r="CZ86" s="59"/>
      <c r="DA86" s="59"/>
      <c r="DB86" s="59"/>
      <c r="DC86" s="59"/>
      <c r="DD86" s="59"/>
      <c r="DE86" s="59"/>
      <c r="DF86" s="59"/>
      <c r="DG86" s="59"/>
      <c r="DH86" s="59"/>
      <c r="DI86" s="59"/>
      <c r="DJ86" s="59"/>
      <c r="DK86" s="59"/>
      <c r="DL86" s="59"/>
      <c r="DM86" s="59"/>
      <c r="DN86" s="59"/>
      <c r="DO86" s="59"/>
    </row>
    <row r="87" spans="2:119" ht="16.5" thickBot="1" x14ac:dyDescent="0.3">
      <c r="B87" s="201"/>
      <c r="C87" s="197"/>
      <c r="D87" s="82">
        <v>4</v>
      </c>
      <c r="E87" s="92" t="str">
        <f t="shared" ref="E87:AH87" si="149">IF(INDEX($CK$4:$DO$123,ROW()-3,E$3)=0,"","СП")</f>
        <v/>
      </c>
      <c r="F87" s="92" t="str">
        <f t="shared" si="149"/>
        <v/>
      </c>
      <c r="G87" s="92" t="str">
        <f t="shared" si="149"/>
        <v/>
      </c>
      <c r="H87" s="92" t="str">
        <f t="shared" si="149"/>
        <v/>
      </c>
      <c r="I87" s="92" t="str">
        <f t="shared" si="149"/>
        <v/>
      </c>
      <c r="J87" s="92" t="str">
        <f t="shared" si="149"/>
        <v/>
      </c>
      <c r="K87" s="92" t="str">
        <f t="shared" si="149"/>
        <v/>
      </c>
      <c r="L87" s="92" t="str">
        <f t="shared" si="149"/>
        <v/>
      </c>
      <c r="M87" s="92" t="str">
        <f t="shared" si="149"/>
        <v/>
      </c>
      <c r="N87" s="92" t="str">
        <f t="shared" si="149"/>
        <v>СП</v>
      </c>
      <c r="O87" s="92" t="str">
        <f t="shared" si="149"/>
        <v/>
      </c>
      <c r="P87" s="92" t="str">
        <f t="shared" si="149"/>
        <v/>
      </c>
      <c r="Q87" s="92" t="str">
        <f t="shared" si="149"/>
        <v/>
      </c>
      <c r="R87" s="92" t="str">
        <f t="shared" si="149"/>
        <v/>
      </c>
      <c r="S87" s="92" t="str">
        <f t="shared" si="149"/>
        <v/>
      </c>
      <c r="T87" s="92" t="str">
        <f t="shared" si="149"/>
        <v/>
      </c>
      <c r="U87" s="92" t="str">
        <f t="shared" si="149"/>
        <v/>
      </c>
      <c r="V87" s="92" t="str">
        <f t="shared" si="149"/>
        <v/>
      </c>
      <c r="W87" s="92" t="str">
        <f t="shared" si="149"/>
        <v/>
      </c>
      <c r="X87" s="92" t="str">
        <f t="shared" si="149"/>
        <v/>
      </c>
      <c r="Y87" s="92" t="str">
        <f t="shared" si="149"/>
        <v/>
      </c>
      <c r="Z87" s="92" t="str">
        <f t="shared" si="149"/>
        <v/>
      </c>
      <c r="AA87" s="92" t="str">
        <f t="shared" si="149"/>
        <v/>
      </c>
      <c r="AB87" s="92" t="str">
        <f t="shared" si="149"/>
        <v/>
      </c>
      <c r="AC87" s="92" t="str">
        <f t="shared" si="149"/>
        <v/>
      </c>
      <c r="AD87" s="92" t="str">
        <f t="shared" si="149"/>
        <v/>
      </c>
      <c r="AE87" s="92" t="str">
        <f t="shared" si="149"/>
        <v/>
      </c>
      <c r="AF87" s="92" t="str">
        <f t="shared" si="149"/>
        <v/>
      </c>
      <c r="AG87" s="92" t="str">
        <f t="shared" si="149"/>
        <v/>
      </c>
      <c r="AH87" s="92" t="str">
        <f t="shared" si="149"/>
        <v/>
      </c>
      <c r="AI87" s="119"/>
      <c r="AJ87" s="206"/>
      <c r="AK87" s="209"/>
      <c r="AL87" s="209"/>
      <c r="AM87" s="209"/>
      <c r="AN87" s="211"/>
      <c r="AO87" s="211"/>
      <c r="AP87" s="211"/>
      <c r="AQ87" s="209"/>
      <c r="AR87" s="210"/>
      <c r="CK87" s="58">
        <f>IF(DAY(INDEX('Сводный годовой график'!$BA$4:$BL$14,$C86,MONTH($B$84)))=E$3,1,0)</f>
        <v>0</v>
      </c>
      <c r="CL87" s="58">
        <f>IF(DAY(INDEX('Сводный годовой график'!$BA$4:$BL$14,$C86,MONTH($B$84)))=F$3,1,0)</f>
        <v>0</v>
      </c>
      <c r="CM87" s="58">
        <f>IF(DAY(INDEX('Сводный годовой график'!$BA$4:$BL$14,$C86,MONTH($B$84)))=G$3,1,0)</f>
        <v>0</v>
      </c>
      <c r="CN87" s="58">
        <f>IF(DAY(INDEX('Сводный годовой график'!$BA$4:$BL$14,$C86,MONTH($B$84)))=H$3,1,0)</f>
        <v>0</v>
      </c>
      <c r="CO87" s="58">
        <f>IF(DAY(INDEX('Сводный годовой график'!$BA$4:$BL$14,$C86,MONTH($B$84)))=I$3,1,0)</f>
        <v>0</v>
      </c>
      <c r="CP87" s="58">
        <f>IF(DAY(INDEX('Сводный годовой график'!$BA$4:$BL$14,$C86,MONTH($B$84)))=J$3,1,0)</f>
        <v>0</v>
      </c>
      <c r="CQ87" s="58">
        <f>IF(DAY(INDEX('Сводный годовой график'!$BA$4:$BL$14,$C86,MONTH($B$84)))=K$3,1,0)</f>
        <v>0</v>
      </c>
      <c r="CR87" s="58">
        <f>IF(DAY(INDEX('Сводный годовой график'!$BA$4:$BL$14,$C86,MONTH($B$84)))=L$3,1,0)</f>
        <v>0</v>
      </c>
      <c r="CS87" s="58">
        <f>IF(DAY(INDEX('Сводный годовой график'!$BA$4:$BL$14,$C86,MONTH($B$84)))=M$3,1,0)</f>
        <v>0</v>
      </c>
      <c r="CT87" s="58">
        <f>IF(DAY(INDEX('Сводный годовой график'!$BA$4:$BL$14,$C86,MONTH($B$84)))=N$3,1,0)</f>
        <v>1</v>
      </c>
      <c r="CU87" s="58">
        <f>IF(DAY(INDEX('Сводный годовой график'!$BA$4:$BL$14,$C86,MONTH($B$84)))=O$3,1,0)</f>
        <v>0</v>
      </c>
      <c r="CV87" s="58">
        <f>IF(DAY(INDEX('Сводный годовой график'!$BA$4:$BL$14,$C86,MONTH($B$84)))=P$3,1,0)</f>
        <v>0</v>
      </c>
      <c r="CW87" s="58">
        <f>IF(DAY(INDEX('Сводный годовой график'!$BA$4:$BL$14,$C86,MONTH($B$84)))=Q$3,1,0)</f>
        <v>0</v>
      </c>
      <c r="CX87" s="58">
        <f>IF(DAY(INDEX('Сводный годовой график'!$BA$4:$BL$14,$C86,MONTH($B$84)))=R$3,1,0)</f>
        <v>0</v>
      </c>
      <c r="CY87" s="58">
        <f>IF(DAY(INDEX('Сводный годовой график'!$BA$4:$BL$14,$C86,MONTH($B$84)))=S$3,1,0)</f>
        <v>0</v>
      </c>
      <c r="CZ87" s="58">
        <f>IF(DAY(INDEX('Сводный годовой график'!$BA$4:$BL$14,$C86,MONTH($B$84)))=T$3,1,0)</f>
        <v>0</v>
      </c>
      <c r="DA87" s="58">
        <f>IF(DAY(INDEX('Сводный годовой график'!$BA$4:$BL$14,$C86,MONTH($B$84)))=U$3,1,0)</f>
        <v>0</v>
      </c>
      <c r="DB87" s="58">
        <f>IF(DAY(INDEX('Сводный годовой график'!$BA$4:$BL$14,$C86,MONTH($B$84)))=V$3,1,0)</f>
        <v>0</v>
      </c>
      <c r="DC87" s="58">
        <f>IF(DAY(INDEX('Сводный годовой график'!$BA$4:$BL$14,$C86,MONTH($B$84)))=W$3,1,0)</f>
        <v>0</v>
      </c>
      <c r="DD87" s="58">
        <f>IF(DAY(INDEX('Сводный годовой график'!$BA$4:$BL$14,$C86,MONTH($B$84)))=X$3,1,0)</f>
        <v>0</v>
      </c>
      <c r="DE87" s="58">
        <f>IF(DAY(INDEX('Сводный годовой график'!$BA$4:$BL$14,$C86,MONTH($B$84)))=Y$3,1,0)</f>
        <v>0</v>
      </c>
      <c r="DF87" s="58">
        <f>IF(DAY(INDEX('Сводный годовой график'!$BA$4:$BL$14,$C86,MONTH($B$84)))=Z$3,1,0)</f>
        <v>0</v>
      </c>
      <c r="DG87" s="58">
        <f>IF(DAY(INDEX('Сводный годовой график'!$BA$4:$BL$14,$C86,MONTH($B$84)))=AA$3,1,0)</f>
        <v>0</v>
      </c>
      <c r="DH87" s="58">
        <f>IF(DAY(INDEX('Сводный годовой график'!$BA$4:$BL$14,$C86,MONTH($B$84)))=AB$3,1,0)</f>
        <v>0</v>
      </c>
      <c r="DI87" s="58">
        <f>IF(DAY(INDEX('Сводный годовой график'!$BA$4:$BL$14,$C86,MONTH($B$84)))=AC$3,1,0)</f>
        <v>0</v>
      </c>
      <c r="DJ87" s="58">
        <f>IF(DAY(INDEX('Сводный годовой график'!$BA$4:$BL$14,$C86,MONTH($B$84)))=AD$3,1,0)</f>
        <v>0</v>
      </c>
      <c r="DK87" s="58">
        <f>IF(DAY(INDEX('Сводный годовой график'!$BA$4:$BL$14,$C86,MONTH($B$84)))=AE$3,1,0)</f>
        <v>0</v>
      </c>
      <c r="DL87" s="58">
        <f>IF(DAY(INDEX('Сводный годовой график'!$BA$4:$BL$14,$C86,MONTH($B$84)))=AF$3,1,0)</f>
        <v>0</v>
      </c>
      <c r="DM87" s="58">
        <f>IF(DAY(INDEX('Сводный годовой график'!$BA$4:$BL$14,$C86,MONTH($B$84)))=AG$3,1,0)</f>
        <v>0</v>
      </c>
      <c r="DN87" s="58">
        <f>IF(DAY(INDEX('Сводный годовой график'!$BA$4:$BL$14,$C86,MONTH($B$84)))=AH$3,1,0)</f>
        <v>0</v>
      </c>
      <c r="DO87" s="58">
        <f>IF(DAY(INDEX('Сводный годовой график'!$BA$4:$BL$14,$C86,MONTH($B$84)))=AI$3,1,0)</f>
        <v>0</v>
      </c>
    </row>
    <row r="88" spans="2:119" ht="17.25" thickTop="1" thickBot="1" x14ac:dyDescent="0.3">
      <c r="B88" s="201"/>
      <c r="C88" s="196">
        <v>3</v>
      </c>
      <c r="D88" s="81">
        <v>5</v>
      </c>
      <c r="E88" s="92" t="e">
        <f ca="1">IF(AND(INDEX('Сводный годовой график'!$C$1:$AR$4,MATCH($C$88,'Сводный годовой график'!$B$1:$B$4),MATCH(DATE($AV$1,MONTH($B$84),E$3),'Сводный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график'!$B$1:$B$4),MATCH(DATE($AV$1,MONTH($B$84),E$3),'Сводный годовой график'!$C$13:$AR$13)))</f>
        <v>#N/A</v>
      </c>
      <c r="F88" s="92" t="e">
        <f ca="1">IF(AND(INDEX('Сводный годовой график'!$C$1:$AR$4,MATCH($C$88,'Сводный годовой график'!$B$1:$B$4),MATCH(DATE($AV$1,MONTH($B$84),F$3),'Сводный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график'!$B$1:$B$4),MATCH(DATE($AV$1,MONTH($B$84),F$3),'Сводный годовой график'!$C$13:$AR$13)))</f>
        <v>#N/A</v>
      </c>
      <c r="G88" s="92" t="e">
        <f ca="1">IF(AND(INDEX('Сводный годовой график'!$C$1:$AR$4,MATCH($C$88,'Сводный годовой график'!$B$1:$B$4),MATCH(DATE($AV$1,MONTH($B$84),G$3),'Сводный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график'!$B$1:$B$4),MATCH(DATE($AV$1,MONTH($B$84),G$3),'Сводный годовой график'!$C$13:$AR$13)))</f>
        <v>#N/A</v>
      </c>
      <c r="H88" s="92" t="e">
        <f ca="1">IF(AND(INDEX('Сводный годовой график'!$C$1:$AR$4,MATCH($C$88,'Сводный годовой график'!$B$1:$B$4),MATCH(DATE($AV$1,MONTH($B$84),H$3),'Сводный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график'!$B$1:$B$4),MATCH(DATE($AV$1,MONTH($B$84),H$3),'Сводный годовой график'!$C$13:$AR$13)))</f>
        <v>#N/A</v>
      </c>
      <c r="I88" s="92" t="e">
        <f ca="1">IF(AND(INDEX('Сводный годовой график'!$C$1:$AR$4,MATCH($C$88,'Сводный годовой график'!$B$1:$B$4),MATCH(DATE($AV$1,MONTH($B$84),I$3),'Сводный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график'!$B$1:$B$4),MATCH(DATE($AV$1,MONTH($B$84),I$3),'Сводный годовой график'!$C$13:$AR$13)))</f>
        <v>#N/A</v>
      </c>
      <c r="J88" s="92" t="e">
        <f ca="1">IF(AND(INDEX('Сводный годовой график'!$C$1:$AR$4,MATCH($C$88,'Сводный годовой график'!$B$1:$B$4),MATCH(DATE($AV$1,MONTH($B$84),J$3),'Сводный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график'!$B$1:$B$4),MATCH(DATE($AV$1,MONTH($B$84),J$3),'Сводный годовой график'!$C$13:$AR$13)))</f>
        <v>#N/A</v>
      </c>
      <c r="K88" s="92" t="e">
        <f ca="1">IF(AND(INDEX('Сводный годовой график'!$C$1:$AR$4,MATCH($C$88,'Сводный годовой график'!$B$1:$B$4),MATCH(DATE($AV$1,MONTH($B$84),K$3),'Сводный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график'!$B$1:$B$4),MATCH(DATE($AV$1,MONTH($B$84),K$3),'Сводный годовой график'!$C$13:$AR$13)))</f>
        <v>#N/A</v>
      </c>
      <c r="L88" s="92" t="e">
        <f ca="1">IF(AND(INDEX('Сводный годовой график'!$C$1:$AR$4,MATCH($C$88,'Сводный годовой график'!$B$1:$B$4),MATCH(DATE($AV$1,MONTH($B$84),L$3),'Сводный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график'!$B$1:$B$4),MATCH(DATE($AV$1,MONTH($B$84),L$3),'Сводный годовой график'!$C$13:$AR$13)))</f>
        <v>#N/A</v>
      </c>
      <c r="M88" s="92" t="e">
        <f ca="1">IF(AND(INDEX('Сводный годовой график'!$C$1:$AR$4,MATCH($C$88,'Сводный годовой график'!$B$1:$B$4),MATCH(DATE($AV$1,MONTH($B$84),M$3),'Сводный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график'!$B$1:$B$4),MATCH(DATE($AV$1,MONTH($B$84),M$3),'Сводный годовой график'!$C$13:$AR$13)))</f>
        <v>#N/A</v>
      </c>
      <c r="N88" s="92" t="e">
        <f ca="1">IF(AND(INDEX('Сводный годовой график'!$C$1:$AR$4,MATCH($C$88,'Сводный годовой график'!$B$1:$B$4),MATCH(DATE($AV$1,MONTH($B$84),N$3),'Сводный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график'!$B$1:$B$4),MATCH(DATE($AV$1,MONTH($B$84),N$3),'Сводный годовой график'!$C$13:$AR$13)))</f>
        <v>#N/A</v>
      </c>
      <c r="O88" s="92" t="e">
        <f ca="1">IF(AND(INDEX('Сводный годовой график'!$C$1:$AR$4,MATCH($C$88,'Сводный годовой график'!$B$1:$B$4),MATCH(DATE($AV$1,MONTH($B$84),O$3),'Сводный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график'!$B$1:$B$4),MATCH(DATE($AV$1,MONTH($B$84),O$3),'Сводный годовой график'!$C$13:$AR$13)))</f>
        <v>#N/A</v>
      </c>
      <c r="P88" s="92" t="e">
        <f ca="1">IF(AND(INDEX('Сводный годовой график'!$C$1:$AR$4,MATCH($C$88,'Сводный годовой график'!$B$1:$B$4),MATCH(DATE($AV$1,MONTH($B$84),P$3),'Сводный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график'!$B$1:$B$4),MATCH(DATE($AV$1,MONTH($B$84),P$3),'Сводный годовой график'!$C$13:$AR$13)))</f>
        <v>#N/A</v>
      </c>
      <c r="Q88" s="92" t="e">
        <f ca="1">IF(AND(INDEX('Сводный годовой график'!$C$1:$AR$4,MATCH($C$88,'Сводный годовой график'!$B$1:$B$4),MATCH(DATE($AV$1,MONTH($B$84),Q$3),'Сводный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график'!$B$1:$B$4),MATCH(DATE($AV$1,MONTH($B$84),Q$3),'Сводный годовой график'!$C$13:$AR$13)))</f>
        <v>#N/A</v>
      </c>
      <c r="R88" s="92" t="e">
        <f ca="1">IF(AND(INDEX('Сводный годовой график'!$C$1:$AR$4,MATCH($C$88,'Сводный годовой график'!$B$1:$B$4),MATCH(DATE($AV$1,MONTH($B$84),R$3),'Сводный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график'!$B$1:$B$4),MATCH(DATE($AV$1,MONTH($B$84),R$3),'Сводный годовой график'!$C$13:$AR$13)))</f>
        <v>#N/A</v>
      </c>
      <c r="S88" s="92" t="e">
        <f ca="1">IF(AND(INDEX('Сводный годовой график'!$C$1:$AR$4,MATCH($C$88,'Сводный годовой график'!$B$1:$B$4),MATCH(DATE($AV$1,MONTH($B$84),S$3),'Сводный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график'!$B$1:$B$4),MATCH(DATE($AV$1,MONTH($B$84),S$3),'Сводный годовой график'!$C$13:$AR$13)))</f>
        <v>#N/A</v>
      </c>
      <c r="T88" s="92" t="e">
        <f ca="1">IF(AND(INDEX('Сводный годовой график'!$C$1:$AR$4,MATCH($C$88,'Сводный годовой график'!$B$1:$B$4),MATCH(DATE($AV$1,MONTH($B$84),T$3),'Сводный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график'!$B$1:$B$4),MATCH(DATE($AV$1,MONTH($B$84),T$3),'Сводный годовой график'!$C$13:$AR$13)))</f>
        <v>#N/A</v>
      </c>
      <c r="U88" s="92" t="e">
        <f ca="1">IF(AND(INDEX('Сводный годовой график'!$C$1:$AR$4,MATCH($C$88,'Сводный годовой график'!$B$1:$B$4),MATCH(DATE($AV$1,MONTH($B$84),U$3),'Сводный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график'!$B$1:$B$4),MATCH(DATE($AV$1,MONTH($B$84),U$3),'Сводный годовой график'!$C$13:$AR$13)))</f>
        <v>#N/A</v>
      </c>
      <c r="V88" s="92" t="e">
        <f ca="1">IF(AND(INDEX('Сводный годовой график'!$C$1:$AR$4,MATCH($C$88,'Сводный годовой график'!$B$1:$B$4),MATCH(DATE($AV$1,MONTH($B$84),V$3),'Сводный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график'!$B$1:$B$4),MATCH(DATE($AV$1,MONTH($B$84),V$3),'Сводный годовой график'!$C$13:$AR$13)))</f>
        <v>#N/A</v>
      </c>
      <c r="W88" s="92" t="e">
        <f ca="1">IF(AND(INDEX('Сводный годовой график'!$C$1:$AR$4,MATCH($C$88,'Сводный годовой график'!$B$1:$B$4),MATCH(DATE($AV$1,MONTH($B$84),W$3),'Сводный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график'!$B$1:$B$4),MATCH(DATE($AV$1,MONTH($B$84),W$3),'Сводный годовой график'!$C$13:$AR$13)))</f>
        <v>#N/A</v>
      </c>
      <c r="X88" s="92" t="e">
        <f ca="1">IF(AND(INDEX('Сводный годовой график'!$C$1:$AR$4,MATCH($C$88,'Сводный годовой график'!$B$1:$B$4),MATCH(DATE($AV$1,MONTH($B$84),X$3),'Сводный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график'!$B$1:$B$4),MATCH(DATE($AV$1,MONTH($B$84),X$3),'Сводный годовой график'!$C$13:$AR$13)))</f>
        <v>#N/A</v>
      </c>
      <c r="Y88" s="92" t="e">
        <f ca="1">IF(AND(INDEX('Сводный годовой график'!$C$1:$AR$4,MATCH($C$88,'Сводный годовой график'!$B$1:$B$4),MATCH(DATE($AV$1,MONTH($B$84),Y$3),'Сводный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график'!$B$1:$B$4),MATCH(DATE($AV$1,MONTH($B$84),Y$3),'Сводный годовой график'!$C$13:$AR$13)))</f>
        <v>#N/A</v>
      </c>
      <c r="Z88" s="92" t="e">
        <f ca="1">IF(AND(INDEX('Сводный годовой график'!$C$1:$AR$4,MATCH($C$88,'Сводный годовой график'!$B$1:$B$4),MATCH(DATE($AV$1,MONTH($B$84),Z$3),'Сводный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график'!$B$1:$B$4),MATCH(DATE($AV$1,MONTH($B$84),Z$3),'Сводный годовой график'!$C$13:$AR$13)))</f>
        <v>#N/A</v>
      </c>
      <c r="AA88" s="92" t="e">
        <f ca="1">IF(AND(INDEX('Сводный годовой график'!$C$1:$AR$4,MATCH($C$88,'Сводный годовой график'!$B$1:$B$4),MATCH(DATE($AV$1,MONTH($B$84),AA$3),'Сводный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график'!$B$1:$B$4),MATCH(DATE($AV$1,MONTH($B$84),AA$3),'Сводный годовой график'!$C$13:$AR$13)))</f>
        <v>#N/A</v>
      </c>
      <c r="AB88" s="92" t="e">
        <f ca="1">IF(AND(INDEX('Сводный годовой график'!$C$1:$AR$4,MATCH($C$88,'Сводный годовой график'!$B$1:$B$4),MATCH(DATE($AV$1,MONTH($B$84),AB$3),'Сводный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график'!$B$1:$B$4),MATCH(DATE($AV$1,MONTH($B$84),AB$3),'Сводный годовой график'!$C$13:$AR$13)))</f>
        <v>#N/A</v>
      </c>
      <c r="AC88" s="92" t="e">
        <f ca="1">IF(AND(INDEX('Сводный годовой график'!$C$1:$AR$4,MATCH($C$88,'Сводный годовой график'!$B$1:$B$4),MATCH(DATE($AV$1,MONTH($B$84),AC$3),'Сводный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график'!$B$1:$B$4),MATCH(DATE($AV$1,MONTH($B$84),AC$3),'Сводный годовой график'!$C$13:$AR$13)))</f>
        <v>#N/A</v>
      </c>
      <c r="AD88" s="92" t="e">
        <f ca="1">IF(AND(INDEX('Сводный годовой график'!$C$1:$AR$4,MATCH($C$88,'Сводный годовой график'!$B$1:$B$4),MATCH(DATE($AV$1,MONTH($B$84),AD$3),'Сводный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график'!$B$1:$B$4),MATCH(DATE($AV$1,MONTH($B$84),AD$3),'Сводный годовой график'!$C$13:$AR$13)))</f>
        <v>#N/A</v>
      </c>
      <c r="AE88" s="92" t="e">
        <f ca="1">IF(AND(INDEX('Сводный годовой график'!$C$1:$AR$4,MATCH($C$88,'Сводный годовой график'!$B$1:$B$4),MATCH(DATE($AV$1,MONTH($B$84),AE$3),'Сводный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график'!$B$1:$B$4),MATCH(DATE($AV$1,MONTH($B$84),AE$3),'Сводный годовой график'!$C$13:$AR$13)))</f>
        <v>#N/A</v>
      </c>
      <c r="AF88" s="92" t="e">
        <f ca="1">IF(AND(INDEX('Сводный годовой график'!$C$1:$AR$4,MATCH($C$88,'Сводный годовой график'!$B$1:$B$4),MATCH(DATE($AV$1,MONTH($B$84),AF$3),'Сводный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график'!$B$1:$B$4),MATCH(DATE($AV$1,MONTH($B$84),AF$3),'Сводный годовой график'!$C$13:$AR$13)))</f>
        <v>#N/A</v>
      </c>
      <c r="AG88" s="92" t="e">
        <f ca="1">IF(AND(INDEX('Сводный годовой график'!$C$1:$AR$4,MATCH($C$88,'Сводный годовой график'!$B$1:$B$4),MATCH(DATE($AV$1,MONTH($B$84),AG$3),'Сводный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график'!$B$1:$B$4),MATCH(DATE($AV$1,MONTH($B$84),AG$3),'Сводный годовой график'!$C$13:$AR$13)))</f>
        <v>#N/A</v>
      </c>
      <c r="AH88" s="92" t="e">
        <f ca="1">IF(AND(INDEX('Сводный годовой график'!$C$1:$AR$4,MATCH($C$88,'Сводный годовой график'!$B$1:$B$4),MATCH(DATE($AV$1,MONTH($B$84),AH$3),'Сводный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график'!$B$1:$B$4),MATCH(DATE($AV$1,MONTH($B$84),AH$3),'Сводный годовой график'!$C$13:$AR$13)))</f>
        <v>#N/A</v>
      </c>
      <c r="AI88" s="119"/>
      <c r="AJ88" s="206"/>
      <c r="AK88" s="216">
        <f>$AJ$84-SUM(AY88:CC89)</f>
        <v>176</v>
      </c>
      <c r="AL88" s="209" t="e">
        <f t="shared" ref="AL88" ca="1" si="150">SUM(E88:AI89)</f>
        <v>#N/A</v>
      </c>
      <c r="AM88" s="209">
        <v>0</v>
      </c>
      <c r="AN88" s="211" t="e">
        <f t="shared" ref="AN88" ca="1" si="151">-AM88-AK88+AL88</f>
        <v>#N/A</v>
      </c>
      <c r="AO88" s="211">
        <v>0</v>
      </c>
      <c r="AP88" s="211" t="e">
        <f ca="1">AN88+AP78-AO88</f>
        <v>#N/A</v>
      </c>
      <c r="AQ88" s="209">
        <v>16</v>
      </c>
      <c r="AR88" s="210">
        <v>1</v>
      </c>
      <c r="CK88" s="59"/>
      <c r="CL88" s="59"/>
      <c r="CM88" s="59"/>
      <c r="CN88" s="59"/>
      <c r="CO88" s="59"/>
      <c r="CP88" s="59"/>
      <c r="CQ88" s="59"/>
      <c r="CR88" s="59"/>
      <c r="CS88" s="59"/>
      <c r="CT88" s="59"/>
      <c r="CU88" s="59"/>
      <c r="CV88" s="59"/>
      <c r="CW88" s="59"/>
      <c r="CX88" s="59"/>
      <c r="CY88" s="59"/>
      <c r="CZ88" s="59"/>
      <c r="DA88" s="59"/>
      <c r="DB88" s="59"/>
      <c r="DC88" s="59"/>
      <c r="DD88" s="59"/>
      <c r="DE88" s="59"/>
      <c r="DF88" s="59"/>
      <c r="DG88" s="59"/>
      <c r="DH88" s="59"/>
      <c r="DI88" s="59"/>
      <c r="DJ88" s="59"/>
      <c r="DK88" s="59"/>
      <c r="DL88" s="59"/>
      <c r="DM88" s="59"/>
      <c r="DN88" s="59"/>
      <c r="DO88" s="59"/>
    </row>
    <row r="89" spans="2:119" ht="16.5" thickBot="1" x14ac:dyDescent="0.3">
      <c r="B89" s="201"/>
      <c r="C89" s="197"/>
      <c r="D89" s="82">
        <v>6</v>
      </c>
      <c r="E89" s="92" t="str">
        <f t="shared" ref="E89:AH89" si="152">IF(INDEX($CK$4:$DO$123,ROW()-3,E$3)=0,"","СП")</f>
        <v/>
      </c>
      <c r="F89" s="92" t="str">
        <f t="shared" si="152"/>
        <v/>
      </c>
      <c r="G89" s="92" t="str">
        <f t="shared" si="152"/>
        <v/>
      </c>
      <c r="H89" s="92" t="str">
        <f t="shared" si="152"/>
        <v/>
      </c>
      <c r="I89" s="92" t="str">
        <f t="shared" si="152"/>
        <v/>
      </c>
      <c r="J89" s="92" t="str">
        <f t="shared" si="152"/>
        <v/>
      </c>
      <c r="K89" s="92" t="str">
        <f t="shared" si="152"/>
        <v/>
      </c>
      <c r="L89" s="92" t="str">
        <f t="shared" si="152"/>
        <v/>
      </c>
      <c r="M89" s="92" t="str">
        <f t="shared" si="152"/>
        <v/>
      </c>
      <c r="N89" s="92" t="str">
        <f t="shared" si="152"/>
        <v/>
      </c>
      <c r="O89" s="92" t="str">
        <f t="shared" si="152"/>
        <v>СП</v>
      </c>
      <c r="P89" s="92" t="str">
        <f t="shared" si="152"/>
        <v/>
      </c>
      <c r="Q89" s="92" t="str">
        <f t="shared" si="152"/>
        <v/>
      </c>
      <c r="R89" s="92" t="str">
        <f t="shared" si="152"/>
        <v/>
      </c>
      <c r="S89" s="92" t="str">
        <f t="shared" si="152"/>
        <v/>
      </c>
      <c r="T89" s="92" t="str">
        <f t="shared" si="152"/>
        <v/>
      </c>
      <c r="U89" s="92" t="str">
        <f t="shared" si="152"/>
        <v/>
      </c>
      <c r="V89" s="92" t="str">
        <f t="shared" si="152"/>
        <v/>
      </c>
      <c r="W89" s="92" t="str">
        <f t="shared" si="152"/>
        <v/>
      </c>
      <c r="X89" s="92" t="str">
        <f t="shared" si="152"/>
        <v/>
      </c>
      <c r="Y89" s="92" t="str">
        <f t="shared" si="152"/>
        <v/>
      </c>
      <c r="Z89" s="92" t="str">
        <f t="shared" si="152"/>
        <v/>
      </c>
      <c r="AA89" s="92" t="str">
        <f t="shared" si="152"/>
        <v/>
      </c>
      <c r="AB89" s="92" t="str">
        <f t="shared" si="152"/>
        <v/>
      </c>
      <c r="AC89" s="92" t="str">
        <f t="shared" si="152"/>
        <v/>
      </c>
      <c r="AD89" s="92" t="str">
        <f t="shared" si="152"/>
        <v/>
      </c>
      <c r="AE89" s="92" t="str">
        <f t="shared" si="152"/>
        <v/>
      </c>
      <c r="AF89" s="92" t="str">
        <f t="shared" si="152"/>
        <v/>
      </c>
      <c r="AG89" s="92" t="str">
        <f t="shared" si="152"/>
        <v/>
      </c>
      <c r="AH89" s="92" t="str">
        <f t="shared" si="152"/>
        <v/>
      </c>
      <c r="AI89" s="119"/>
      <c r="AJ89" s="206"/>
      <c r="AK89" s="209"/>
      <c r="AL89" s="209"/>
      <c r="AM89" s="209"/>
      <c r="AN89" s="211"/>
      <c r="AO89" s="211"/>
      <c r="AP89" s="211"/>
      <c r="AQ89" s="209"/>
      <c r="AR89" s="210"/>
      <c r="CK89" s="58">
        <f>IF(DAY(INDEX('Сводный годовой график'!$BA$4:$BL$14,$C88,MONTH($B$84)))=E$3,1,0)</f>
        <v>0</v>
      </c>
      <c r="CL89" s="58">
        <f>IF(DAY(INDEX('Сводный годовой график'!$BA$4:$BL$14,$C88,MONTH($B$84)))=F$3,1,0)</f>
        <v>0</v>
      </c>
      <c r="CM89" s="58">
        <f>IF(DAY(INDEX('Сводный годовой график'!$BA$4:$BL$14,$C88,MONTH($B$84)))=G$3,1,0)</f>
        <v>0</v>
      </c>
      <c r="CN89" s="58">
        <f>IF(DAY(INDEX('Сводный годовой график'!$BA$4:$BL$14,$C88,MONTH($B$84)))=H$3,1,0)</f>
        <v>0</v>
      </c>
      <c r="CO89" s="58">
        <f>IF(DAY(INDEX('Сводный годовой график'!$BA$4:$BL$14,$C88,MONTH($B$84)))=I$3,1,0)</f>
        <v>0</v>
      </c>
      <c r="CP89" s="58">
        <f>IF(DAY(INDEX('Сводный годовой график'!$BA$4:$BL$14,$C88,MONTH($B$84)))=J$3,1,0)</f>
        <v>0</v>
      </c>
      <c r="CQ89" s="58">
        <f>IF(DAY(INDEX('Сводный годовой график'!$BA$4:$BL$14,$C88,MONTH($B$84)))=K$3,1,0)</f>
        <v>0</v>
      </c>
      <c r="CR89" s="58">
        <f>IF(DAY(INDEX('Сводный годовой график'!$BA$4:$BL$14,$C88,MONTH($B$84)))=L$3,1,0)</f>
        <v>0</v>
      </c>
      <c r="CS89" s="58">
        <f>IF(DAY(INDEX('Сводный годовой график'!$BA$4:$BL$14,$C88,MONTH($B$84)))=M$3,1,0)</f>
        <v>0</v>
      </c>
      <c r="CT89" s="58">
        <f>IF(DAY(INDEX('Сводный годовой график'!$BA$4:$BL$14,$C88,MONTH($B$84)))=N$3,1,0)</f>
        <v>0</v>
      </c>
      <c r="CU89" s="58">
        <f>IF(DAY(INDEX('Сводный годовой график'!$BA$4:$BL$14,$C88,MONTH($B$84)))=O$3,1,0)</f>
        <v>1</v>
      </c>
      <c r="CV89" s="58">
        <f>IF(DAY(INDEX('Сводный годовой график'!$BA$4:$BL$14,$C88,MONTH($B$84)))=P$3,1,0)</f>
        <v>0</v>
      </c>
      <c r="CW89" s="58">
        <f>IF(DAY(INDEX('Сводный годовой график'!$BA$4:$BL$14,$C88,MONTH($B$84)))=Q$3,1,0)</f>
        <v>0</v>
      </c>
      <c r="CX89" s="58">
        <f>IF(DAY(INDEX('Сводный годовой график'!$BA$4:$BL$14,$C88,MONTH($B$84)))=R$3,1,0)</f>
        <v>0</v>
      </c>
      <c r="CY89" s="58">
        <f>IF(DAY(INDEX('Сводный годовой график'!$BA$4:$BL$14,$C88,MONTH($B$84)))=S$3,1,0)</f>
        <v>0</v>
      </c>
      <c r="CZ89" s="58">
        <f>IF(DAY(INDEX('Сводный годовой график'!$BA$4:$BL$14,$C88,MONTH($B$84)))=T$3,1,0)</f>
        <v>0</v>
      </c>
      <c r="DA89" s="58">
        <f>IF(DAY(INDEX('Сводный годовой график'!$BA$4:$BL$14,$C88,MONTH($B$84)))=U$3,1,0)</f>
        <v>0</v>
      </c>
      <c r="DB89" s="58">
        <f>IF(DAY(INDEX('Сводный годовой график'!$BA$4:$BL$14,$C88,MONTH($B$84)))=V$3,1,0)</f>
        <v>0</v>
      </c>
      <c r="DC89" s="58">
        <f>IF(DAY(INDEX('Сводный годовой график'!$BA$4:$BL$14,$C88,MONTH($B$84)))=W$3,1,0)</f>
        <v>0</v>
      </c>
      <c r="DD89" s="58">
        <f>IF(DAY(INDEX('Сводный годовой график'!$BA$4:$BL$14,$C88,MONTH($B$84)))=X$3,1,0)</f>
        <v>0</v>
      </c>
      <c r="DE89" s="58">
        <f>IF(DAY(INDEX('Сводный годовой график'!$BA$4:$BL$14,$C88,MONTH($B$84)))=Y$3,1,0)</f>
        <v>0</v>
      </c>
      <c r="DF89" s="58">
        <f>IF(DAY(INDEX('Сводный годовой график'!$BA$4:$BL$14,$C88,MONTH($B$84)))=Z$3,1,0)</f>
        <v>0</v>
      </c>
      <c r="DG89" s="58">
        <f>IF(DAY(INDEX('Сводный годовой график'!$BA$4:$BL$14,$C88,MONTH($B$84)))=AA$3,1,0)</f>
        <v>0</v>
      </c>
      <c r="DH89" s="58">
        <f>IF(DAY(INDEX('Сводный годовой график'!$BA$4:$BL$14,$C88,MONTH($B$84)))=AB$3,1,0)</f>
        <v>0</v>
      </c>
      <c r="DI89" s="58">
        <f>IF(DAY(INDEX('Сводный годовой график'!$BA$4:$BL$14,$C88,MONTH($B$84)))=AC$3,1,0)</f>
        <v>0</v>
      </c>
      <c r="DJ89" s="58">
        <f>IF(DAY(INDEX('Сводный годовой график'!$BA$4:$BL$14,$C88,MONTH($B$84)))=AD$3,1,0)</f>
        <v>0</v>
      </c>
      <c r="DK89" s="58">
        <f>IF(DAY(INDEX('Сводный годовой график'!$BA$4:$BL$14,$C88,MONTH($B$84)))=AE$3,1,0)</f>
        <v>0</v>
      </c>
      <c r="DL89" s="58">
        <f>IF(DAY(INDEX('Сводный годовой график'!$BA$4:$BL$14,$C88,MONTH($B$84)))=AF$3,1,0)</f>
        <v>0</v>
      </c>
      <c r="DM89" s="58">
        <f>IF(DAY(INDEX('Сводный годовой график'!$BA$4:$BL$14,$C88,MONTH($B$84)))=AG$3,1,0)</f>
        <v>0</v>
      </c>
      <c r="DN89" s="58">
        <f>IF(DAY(INDEX('Сводный годовой график'!$BA$4:$BL$14,$C88,MONTH($B$84)))=AH$3,1,0)</f>
        <v>0</v>
      </c>
      <c r="DO89" s="58">
        <f>IF(DAY(INDEX('Сводный годовой график'!$BA$4:$BL$14,$C88,MONTH($B$84)))=AI$3,1,0)</f>
        <v>0</v>
      </c>
    </row>
    <row r="90" spans="2:119" ht="16.5" thickBot="1" x14ac:dyDescent="0.3">
      <c r="B90" s="201"/>
      <c r="C90" s="196">
        <v>4</v>
      </c>
      <c r="D90" s="81">
        <v>7</v>
      </c>
      <c r="E90" s="92" t="e">
        <f ca="1">IF(AND(INDEX('Сводный годовой график'!$C$1:$AR$4,MATCH($C$90,'Сводный годовой график'!$B$1:$B$4),MATCH(DATE($AV$1,MONTH($B$84),E$3),'Сводный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график'!$B$1:$B$4),MATCH(DATE($AV$1,MONTH($B$84),E$3),'Сводный годовой график'!$C$13:$AR$13)))</f>
        <v>#N/A</v>
      </c>
      <c r="F90" s="92" t="e">
        <f ca="1">IF(AND(INDEX('Сводный годовой график'!$C$1:$AR$4,MATCH($C$90,'Сводный годовой график'!$B$1:$B$4),MATCH(DATE($AV$1,MONTH($B$84),F$3),'Сводный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график'!$B$1:$B$4),MATCH(DATE($AV$1,MONTH($B$84),F$3),'Сводный годовой график'!$C$13:$AR$13)))</f>
        <v>#N/A</v>
      </c>
      <c r="G90" s="92" t="e">
        <f ca="1">IF(AND(INDEX('Сводный годовой график'!$C$1:$AR$4,MATCH($C$90,'Сводный годовой график'!$B$1:$B$4),MATCH(DATE($AV$1,MONTH($B$84),G$3),'Сводный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график'!$B$1:$B$4),MATCH(DATE($AV$1,MONTH($B$84),G$3),'Сводный годовой график'!$C$13:$AR$13)))</f>
        <v>#N/A</v>
      </c>
      <c r="H90" s="92" t="e">
        <f ca="1">IF(AND(INDEX('Сводный годовой график'!$C$1:$AR$4,MATCH($C$90,'Сводный годовой график'!$B$1:$B$4),MATCH(DATE($AV$1,MONTH($B$84),H$3),'Сводный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график'!$B$1:$B$4),MATCH(DATE($AV$1,MONTH($B$84),H$3),'Сводный годовой график'!$C$13:$AR$13)))</f>
        <v>#N/A</v>
      </c>
      <c r="I90" s="92" t="e">
        <f ca="1">IF(AND(INDEX('Сводный годовой график'!$C$1:$AR$4,MATCH($C$90,'Сводный годовой график'!$B$1:$B$4),MATCH(DATE($AV$1,MONTH($B$84),I$3),'Сводный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график'!$B$1:$B$4),MATCH(DATE($AV$1,MONTH($B$84),I$3),'Сводный годовой график'!$C$13:$AR$13)))</f>
        <v>#N/A</v>
      </c>
      <c r="J90" s="92" t="e">
        <f ca="1">IF(AND(INDEX('Сводный годовой график'!$C$1:$AR$4,MATCH($C$90,'Сводный годовой график'!$B$1:$B$4),MATCH(DATE($AV$1,MONTH($B$84),J$3),'Сводный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график'!$B$1:$B$4),MATCH(DATE($AV$1,MONTH($B$84),J$3),'Сводный годовой график'!$C$13:$AR$13)))</f>
        <v>#N/A</v>
      </c>
      <c r="K90" s="92" t="e">
        <f ca="1">IF(AND(INDEX('Сводный годовой график'!$C$1:$AR$4,MATCH($C$90,'Сводный годовой график'!$B$1:$B$4),MATCH(DATE($AV$1,MONTH($B$84),K$3),'Сводный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график'!$B$1:$B$4),MATCH(DATE($AV$1,MONTH($B$84),K$3),'Сводный годовой график'!$C$13:$AR$13)))</f>
        <v>#N/A</v>
      </c>
      <c r="L90" s="92" t="e">
        <f ca="1">IF(AND(INDEX('Сводный годовой график'!$C$1:$AR$4,MATCH($C$90,'Сводный годовой график'!$B$1:$B$4),MATCH(DATE($AV$1,MONTH($B$84),L$3),'Сводный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график'!$B$1:$B$4),MATCH(DATE($AV$1,MONTH($B$84),L$3),'Сводный годовой график'!$C$13:$AR$13)))</f>
        <v>#N/A</v>
      </c>
      <c r="M90" s="92" t="e">
        <f ca="1">IF(AND(INDEX('Сводный годовой график'!$C$1:$AR$4,MATCH($C$90,'Сводный годовой график'!$B$1:$B$4),MATCH(DATE($AV$1,MONTH($B$84),M$3),'Сводный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график'!$B$1:$B$4),MATCH(DATE($AV$1,MONTH($B$84),M$3),'Сводный годовой график'!$C$13:$AR$13)))</f>
        <v>#N/A</v>
      </c>
      <c r="N90" s="92" t="e">
        <f ca="1">IF(AND(INDEX('Сводный годовой график'!$C$1:$AR$4,MATCH($C$90,'Сводный годовой график'!$B$1:$B$4),MATCH(DATE($AV$1,MONTH($B$84),N$3),'Сводный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график'!$B$1:$B$4),MATCH(DATE($AV$1,MONTH($B$84),N$3),'Сводный годовой график'!$C$13:$AR$13)))</f>
        <v>#N/A</v>
      </c>
      <c r="O90" s="92" t="e">
        <f ca="1">IF(AND(INDEX('Сводный годовой график'!$C$1:$AR$4,MATCH($C$90,'Сводный годовой график'!$B$1:$B$4),MATCH(DATE($AV$1,MONTH($B$84),O$3),'Сводный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график'!$B$1:$B$4),MATCH(DATE($AV$1,MONTH($B$84),O$3),'Сводный годовой график'!$C$13:$AR$13)))</f>
        <v>#N/A</v>
      </c>
      <c r="P90" s="92" t="e">
        <f ca="1">IF(AND(INDEX('Сводный годовой график'!$C$1:$AR$4,MATCH($C$90,'Сводный годовой график'!$B$1:$B$4),MATCH(DATE($AV$1,MONTH($B$84),P$3),'Сводный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график'!$B$1:$B$4),MATCH(DATE($AV$1,MONTH($B$84),P$3),'Сводный годовой график'!$C$13:$AR$13)))</f>
        <v>#N/A</v>
      </c>
      <c r="Q90" s="92" t="e">
        <f ca="1">IF(AND(INDEX('Сводный годовой график'!$C$1:$AR$4,MATCH($C$90,'Сводный годовой график'!$B$1:$B$4),MATCH(DATE($AV$1,MONTH($B$84),Q$3),'Сводный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график'!$B$1:$B$4),MATCH(DATE($AV$1,MONTH($B$84),Q$3),'Сводный годовой график'!$C$13:$AR$13)))</f>
        <v>#N/A</v>
      </c>
      <c r="R90" s="92" t="e">
        <f ca="1">IF(AND(INDEX('Сводный годовой график'!$C$1:$AR$4,MATCH($C$90,'Сводный годовой график'!$B$1:$B$4),MATCH(DATE($AV$1,MONTH($B$84),R$3),'Сводный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график'!$B$1:$B$4),MATCH(DATE($AV$1,MONTH($B$84),R$3),'Сводный годовой график'!$C$13:$AR$13)))</f>
        <v>#N/A</v>
      </c>
      <c r="S90" s="92" t="e">
        <f ca="1">IF(AND(INDEX('Сводный годовой график'!$C$1:$AR$4,MATCH($C$90,'Сводный годовой график'!$B$1:$B$4),MATCH(DATE($AV$1,MONTH($B$84),S$3),'Сводный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график'!$B$1:$B$4),MATCH(DATE($AV$1,MONTH($B$84),S$3),'Сводный годовой график'!$C$13:$AR$13)))</f>
        <v>#N/A</v>
      </c>
      <c r="T90" s="92" t="e">
        <f ca="1">IF(AND(INDEX('Сводный годовой график'!$C$1:$AR$4,MATCH($C$90,'Сводный годовой график'!$B$1:$B$4),MATCH(DATE($AV$1,MONTH($B$84),T$3),'Сводный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график'!$B$1:$B$4),MATCH(DATE($AV$1,MONTH($B$84),T$3),'Сводный годовой график'!$C$13:$AR$13)))</f>
        <v>#N/A</v>
      </c>
      <c r="U90" s="92" t="e">
        <f ca="1">IF(AND(INDEX('Сводный годовой график'!$C$1:$AR$4,MATCH($C$90,'Сводный годовой график'!$B$1:$B$4),MATCH(DATE($AV$1,MONTH($B$84),U$3),'Сводный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график'!$B$1:$B$4),MATCH(DATE($AV$1,MONTH($B$84),U$3),'Сводный годовой график'!$C$13:$AR$13)))</f>
        <v>#N/A</v>
      </c>
      <c r="V90" s="92" t="e">
        <f ca="1">IF(AND(INDEX('Сводный годовой график'!$C$1:$AR$4,MATCH($C$90,'Сводный годовой график'!$B$1:$B$4),MATCH(DATE($AV$1,MONTH($B$84),V$3),'Сводный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график'!$B$1:$B$4),MATCH(DATE($AV$1,MONTH($B$84),V$3),'Сводный годовой график'!$C$13:$AR$13)))</f>
        <v>#N/A</v>
      </c>
      <c r="W90" s="92" t="e">
        <f ca="1">IF(AND(INDEX('Сводный годовой график'!$C$1:$AR$4,MATCH($C$90,'Сводный годовой график'!$B$1:$B$4),MATCH(DATE($AV$1,MONTH($B$84),W$3),'Сводный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график'!$B$1:$B$4),MATCH(DATE($AV$1,MONTH($B$84),W$3),'Сводный годовой график'!$C$13:$AR$13)))</f>
        <v>#N/A</v>
      </c>
      <c r="X90" s="92" t="e">
        <f ca="1">IF(AND(INDEX('Сводный годовой график'!$C$1:$AR$4,MATCH($C$90,'Сводный годовой график'!$B$1:$B$4),MATCH(DATE($AV$1,MONTH($B$84),X$3),'Сводный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график'!$B$1:$B$4),MATCH(DATE($AV$1,MONTH($B$84),X$3),'Сводный годовой график'!$C$13:$AR$13)))</f>
        <v>#N/A</v>
      </c>
      <c r="Y90" s="92" t="e">
        <f ca="1">IF(AND(INDEX('Сводный годовой график'!$C$1:$AR$4,MATCH($C$90,'Сводный годовой график'!$B$1:$B$4),MATCH(DATE($AV$1,MONTH($B$84),Y$3),'Сводный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график'!$B$1:$B$4),MATCH(DATE($AV$1,MONTH($B$84),Y$3),'Сводный годовой график'!$C$13:$AR$13)))</f>
        <v>#N/A</v>
      </c>
      <c r="Z90" s="92" t="e">
        <f ca="1">IF(AND(INDEX('Сводный годовой график'!$C$1:$AR$4,MATCH($C$90,'Сводный годовой график'!$B$1:$B$4),MATCH(DATE($AV$1,MONTH($B$84),Z$3),'Сводный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график'!$B$1:$B$4),MATCH(DATE($AV$1,MONTH($B$84),Z$3),'Сводный годовой график'!$C$13:$AR$13)))</f>
        <v>#N/A</v>
      </c>
      <c r="AA90" s="92" t="e">
        <f ca="1">IF(AND(INDEX('Сводный годовой график'!$C$1:$AR$4,MATCH($C$90,'Сводный годовой график'!$B$1:$B$4),MATCH(DATE($AV$1,MONTH($B$84),AA$3),'Сводный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график'!$B$1:$B$4),MATCH(DATE($AV$1,MONTH($B$84),AA$3),'Сводный годовой график'!$C$13:$AR$13)))</f>
        <v>#N/A</v>
      </c>
      <c r="AB90" s="92" t="e">
        <f ca="1">IF(AND(INDEX('Сводный годовой график'!$C$1:$AR$4,MATCH($C$90,'Сводный годовой график'!$B$1:$B$4),MATCH(DATE($AV$1,MONTH($B$84),AB$3),'Сводный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график'!$B$1:$B$4),MATCH(DATE($AV$1,MONTH($B$84),AB$3),'Сводный годовой график'!$C$13:$AR$13)))</f>
        <v>#N/A</v>
      </c>
      <c r="AC90" s="92" t="e">
        <f ca="1">IF(AND(INDEX('Сводный годовой график'!$C$1:$AR$4,MATCH($C$90,'Сводный годовой график'!$B$1:$B$4),MATCH(DATE($AV$1,MONTH($B$84),AC$3),'Сводный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график'!$B$1:$B$4),MATCH(DATE($AV$1,MONTH($B$84),AC$3),'Сводный годовой график'!$C$13:$AR$13)))</f>
        <v>#N/A</v>
      </c>
      <c r="AD90" s="92" t="e">
        <f ca="1">IF(AND(INDEX('Сводный годовой график'!$C$1:$AR$4,MATCH($C$90,'Сводный годовой график'!$B$1:$B$4),MATCH(DATE($AV$1,MONTH($B$84),AD$3),'Сводный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график'!$B$1:$B$4),MATCH(DATE($AV$1,MONTH($B$84),AD$3),'Сводный годовой график'!$C$13:$AR$13)))</f>
        <v>#N/A</v>
      </c>
      <c r="AE90" s="92" t="e">
        <f ca="1">IF(AND(INDEX('Сводный годовой график'!$C$1:$AR$4,MATCH($C$90,'Сводный годовой график'!$B$1:$B$4),MATCH(DATE($AV$1,MONTH($B$84),AE$3),'Сводный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график'!$B$1:$B$4),MATCH(DATE($AV$1,MONTH($B$84),AE$3),'Сводный годовой график'!$C$13:$AR$13)))</f>
        <v>#N/A</v>
      </c>
      <c r="AF90" s="92" t="e">
        <f ca="1">IF(AND(INDEX('Сводный годовой график'!$C$1:$AR$4,MATCH($C$90,'Сводный годовой график'!$B$1:$B$4),MATCH(DATE($AV$1,MONTH($B$84),AF$3),'Сводный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график'!$B$1:$B$4),MATCH(DATE($AV$1,MONTH($B$84),AF$3),'Сводный годовой график'!$C$13:$AR$13)))</f>
        <v>#N/A</v>
      </c>
      <c r="AG90" s="92" t="e">
        <f ca="1">IF(AND(INDEX('Сводный годовой график'!$C$1:$AR$4,MATCH($C$90,'Сводный годовой график'!$B$1:$B$4),MATCH(DATE($AV$1,MONTH($B$84),AG$3),'Сводный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график'!$B$1:$B$4),MATCH(DATE($AV$1,MONTH($B$84),AG$3),'Сводный годовой график'!$C$13:$AR$13)))</f>
        <v>#N/A</v>
      </c>
      <c r="AH90" s="92" t="e">
        <f ca="1">IF(AND(INDEX('Сводный годовой график'!$C$1:$AR$4,MATCH($C$90,'Сводный годовой график'!$B$1:$B$4),MATCH(DATE($AV$1,MONTH($B$84),AH$3),'Сводный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график'!$B$1:$B$4),MATCH(DATE($AV$1,MONTH($B$84),AH$3),'Сводный годовой график'!$C$13:$AR$13)))</f>
        <v>#N/A</v>
      </c>
      <c r="AI90" s="119"/>
      <c r="AJ90" s="206"/>
      <c r="AK90" s="209">
        <f>$AJ$84-SUM(AY90:CC91)</f>
        <v>176</v>
      </c>
      <c r="AL90" s="209" t="e">
        <f t="shared" ref="AL90" ca="1" si="153">SUM(E90:AI91)</f>
        <v>#N/A</v>
      </c>
      <c r="AM90" s="209">
        <v>0</v>
      </c>
      <c r="AN90" s="211" t="e">
        <f t="shared" ref="AN90" ca="1" si="154">-AM90-AK90+AL90</f>
        <v>#N/A</v>
      </c>
      <c r="AO90" s="211">
        <v>0</v>
      </c>
      <c r="AP90" s="211" t="e">
        <f t="shared" ref="AP90" ca="1" si="155">AN90+AP80</f>
        <v>#N/A</v>
      </c>
      <c r="AQ90" s="209">
        <v>0</v>
      </c>
      <c r="AR90" s="210">
        <v>1</v>
      </c>
      <c r="CK90" s="59"/>
      <c r="CL90" s="59"/>
      <c r="CM90" s="59"/>
      <c r="CN90" s="59"/>
      <c r="CO90" s="59"/>
      <c r="CP90" s="59"/>
      <c r="CQ90" s="59"/>
      <c r="CR90" s="59"/>
      <c r="CS90" s="59"/>
      <c r="CT90" s="59"/>
      <c r="CU90" s="59"/>
      <c r="CV90" s="59"/>
      <c r="CW90" s="59"/>
      <c r="CX90" s="59"/>
      <c r="CY90" s="59"/>
      <c r="CZ90" s="59"/>
      <c r="DA90" s="59"/>
      <c r="DB90" s="59"/>
      <c r="DC90" s="59"/>
      <c r="DD90" s="59"/>
      <c r="DE90" s="59"/>
      <c r="DF90" s="59"/>
      <c r="DG90" s="59"/>
      <c r="DH90" s="59"/>
      <c r="DI90" s="59"/>
      <c r="DJ90" s="59"/>
      <c r="DK90" s="59"/>
      <c r="DL90" s="59"/>
      <c r="DM90" s="59"/>
      <c r="DN90" s="59"/>
      <c r="DO90" s="59"/>
    </row>
    <row r="91" spans="2:119" ht="16.5" thickBot="1" x14ac:dyDescent="0.3">
      <c r="B91" s="201"/>
      <c r="C91" s="197"/>
      <c r="D91" s="82">
        <v>8</v>
      </c>
      <c r="E91" s="92" t="str">
        <f t="shared" ref="E91:AH91" si="156">IF(INDEX($CK$4:$DO$123,ROW()-3,E$3)=0,"","СП")</f>
        <v/>
      </c>
      <c r="F91" s="92" t="str">
        <f t="shared" si="156"/>
        <v/>
      </c>
      <c r="G91" s="92" t="str">
        <f t="shared" si="156"/>
        <v/>
      </c>
      <c r="H91" s="92" t="str">
        <f t="shared" si="156"/>
        <v/>
      </c>
      <c r="I91" s="92" t="str">
        <f t="shared" si="156"/>
        <v/>
      </c>
      <c r="J91" s="92" t="str">
        <f t="shared" si="156"/>
        <v/>
      </c>
      <c r="K91" s="92" t="str">
        <f t="shared" si="156"/>
        <v/>
      </c>
      <c r="L91" s="92" t="str">
        <f t="shared" si="156"/>
        <v/>
      </c>
      <c r="M91" s="92" t="str">
        <f t="shared" si="156"/>
        <v/>
      </c>
      <c r="N91" s="92" t="str">
        <f t="shared" si="156"/>
        <v/>
      </c>
      <c r="O91" s="92" t="str">
        <f t="shared" si="156"/>
        <v/>
      </c>
      <c r="P91" s="92" t="str">
        <f t="shared" si="156"/>
        <v>СП</v>
      </c>
      <c r="Q91" s="92" t="str">
        <f t="shared" si="156"/>
        <v/>
      </c>
      <c r="R91" s="92" t="str">
        <f t="shared" si="156"/>
        <v/>
      </c>
      <c r="S91" s="92" t="str">
        <f t="shared" si="156"/>
        <v/>
      </c>
      <c r="T91" s="92" t="str">
        <f t="shared" si="156"/>
        <v/>
      </c>
      <c r="U91" s="92" t="str">
        <f t="shared" si="156"/>
        <v/>
      </c>
      <c r="V91" s="92" t="str">
        <f t="shared" si="156"/>
        <v/>
      </c>
      <c r="W91" s="92" t="str">
        <f t="shared" si="156"/>
        <v/>
      </c>
      <c r="X91" s="92" t="str">
        <f t="shared" si="156"/>
        <v/>
      </c>
      <c r="Y91" s="92" t="str">
        <f t="shared" si="156"/>
        <v/>
      </c>
      <c r="Z91" s="92" t="str">
        <f t="shared" si="156"/>
        <v/>
      </c>
      <c r="AA91" s="92" t="str">
        <f t="shared" si="156"/>
        <v/>
      </c>
      <c r="AB91" s="92" t="str">
        <f t="shared" si="156"/>
        <v/>
      </c>
      <c r="AC91" s="92" t="str">
        <f t="shared" si="156"/>
        <v/>
      </c>
      <c r="AD91" s="92" t="str">
        <f t="shared" si="156"/>
        <v/>
      </c>
      <c r="AE91" s="92" t="str">
        <f t="shared" si="156"/>
        <v/>
      </c>
      <c r="AF91" s="92" t="str">
        <f t="shared" si="156"/>
        <v/>
      </c>
      <c r="AG91" s="92" t="str">
        <f t="shared" si="156"/>
        <v/>
      </c>
      <c r="AH91" s="92" t="str">
        <f t="shared" si="156"/>
        <v/>
      </c>
      <c r="AI91" s="119"/>
      <c r="AJ91" s="206"/>
      <c r="AK91" s="209"/>
      <c r="AL91" s="209"/>
      <c r="AM91" s="209"/>
      <c r="AN91" s="211"/>
      <c r="AO91" s="211"/>
      <c r="AP91" s="211"/>
      <c r="AQ91" s="209"/>
      <c r="AR91" s="210"/>
      <c r="CK91" s="58">
        <f>IF(DAY(INDEX('Сводный годовой график'!$BA$4:$BL$14,$C90,MONTH($B$84)))=E$3,1,0)</f>
        <v>0</v>
      </c>
      <c r="CL91" s="58">
        <f>IF(DAY(INDEX('Сводный годовой график'!$BA$4:$BL$14,$C90,MONTH($B$84)))=F$3,1,0)</f>
        <v>0</v>
      </c>
      <c r="CM91" s="58">
        <f>IF(DAY(INDEX('Сводный годовой график'!$BA$4:$BL$14,$C90,MONTH($B$84)))=G$3,1,0)</f>
        <v>0</v>
      </c>
      <c r="CN91" s="58">
        <f>IF(DAY(INDEX('Сводный годовой график'!$BA$4:$BL$14,$C90,MONTH($B$84)))=H$3,1,0)</f>
        <v>0</v>
      </c>
      <c r="CO91" s="58">
        <f>IF(DAY(INDEX('Сводный годовой график'!$BA$4:$BL$14,$C90,MONTH($B$84)))=I$3,1,0)</f>
        <v>0</v>
      </c>
      <c r="CP91" s="58">
        <f>IF(DAY(INDEX('Сводный годовой график'!$BA$4:$BL$14,$C90,MONTH($B$84)))=J$3,1,0)</f>
        <v>0</v>
      </c>
      <c r="CQ91" s="58">
        <f>IF(DAY(INDEX('Сводный годовой график'!$BA$4:$BL$14,$C90,MONTH($B$84)))=K$3,1,0)</f>
        <v>0</v>
      </c>
      <c r="CR91" s="58">
        <f>IF(DAY(INDEX('Сводный годовой график'!$BA$4:$BL$14,$C90,MONTH($B$84)))=L$3,1,0)</f>
        <v>0</v>
      </c>
      <c r="CS91" s="58">
        <f>IF(DAY(INDEX('Сводный годовой график'!$BA$4:$BL$14,$C90,MONTH($B$84)))=M$3,1,0)</f>
        <v>0</v>
      </c>
      <c r="CT91" s="58">
        <f>IF(DAY(INDEX('Сводный годовой график'!$BA$4:$BL$14,$C90,MONTH($B$84)))=N$3,1,0)</f>
        <v>0</v>
      </c>
      <c r="CU91" s="58">
        <f>IF(DAY(INDEX('Сводный годовой график'!$BA$4:$BL$14,$C90,MONTH($B$84)))=O$3,1,0)</f>
        <v>0</v>
      </c>
      <c r="CV91" s="58">
        <f>IF(DAY(INDEX('Сводный годовой график'!$BA$4:$BL$14,$C90,MONTH($B$84)))=P$3,1,0)</f>
        <v>1</v>
      </c>
      <c r="CW91" s="58">
        <f>IF(DAY(INDEX('Сводный годовой график'!$BA$4:$BL$14,$C90,MONTH($B$84)))=Q$3,1,0)</f>
        <v>0</v>
      </c>
      <c r="CX91" s="58">
        <f>IF(DAY(INDEX('Сводный годовой график'!$BA$4:$BL$14,$C90,MONTH($B$84)))=R$3,1,0)</f>
        <v>0</v>
      </c>
      <c r="CY91" s="58">
        <f>IF(DAY(INDEX('Сводный годовой график'!$BA$4:$BL$14,$C90,MONTH($B$84)))=S$3,1,0)</f>
        <v>0</v>
      </c>
      <c r="CZ91" s="58">
        <f>IF(DAY(INDEX('Сводный годовой график'!$BA$4:$BL$14,$C90,MONTH($B$84)))=T$3,1,0)</f>
        <v>0</v>
      </c>
      <c r="DA91" s="58">
        <f>IF(DAY(INDEX('Сводный годовой график'!$BA$4:$BL$14,$C90,MONTH($B$84)))=U$3,1,0)</f>
        <v>0</v>
      </c>
      <c r="DB91" s="58">
        <f>IF(DAY(INDEX('Сводный годовой график'!$BA$4:$BL$14,$C90,MONTH($B$84)))=V$3,1,0)</f>
        <v>0</v>
      </c>
      <c r="DC91" s="58">
        <f>IF(DAY(INDEX('Сводный годовой график'!$BA$4:$BL$14,$C90,MONTH($B$84)))=W$3,1,0)</f>
        <v>0</v>
      </c>
      <c r="DD91" s="58">
        <f>IF(DAY(INDEX('Сводный годовой график'!$BA$4:$BL$14,$C90,MONTH($B$84)))=X$3,1,0)</f>
        <v>0</v>
      </c>
      <c r="DE91" s="58">
        <f>IF(DAY(INDEX('Сводный годовой график'!$BA$4:$BL$14,$C90,MONTH($B$84)))=Y$3,1,0)</f>
        <v>0</v>
      </c>
      <c r="DF91" s="58">
        <f>IF(DAY(INDEX('Сводный годовой график'!$BA$4:$BL$14,$C90,MONTH($B$84)))=Z$3,1,0)</f>
        <v>0</v>
      </c>
      <c r="DG91" s="58">
        <f>IF(DAY(INDEX('Сводный годовой график'!$BA$4:$BL$14,$C90,MONTH($B$84)))=AA$3,1,0)</f>
        <v>0</v>
      </c>
      <c r="DH91" s="58">
        <f>IF(DAY(INDEX('Сводный годовой график'!$BA$4:$BL$14,$C90,MONTH($B$84)))=AB$3,1,0)</f>
        <v>0</v>
      </c>
      <c r="DI91" s="58">
        <f>IF(DAY(INDEX('Сводный годовой график'!$BA$4:$BL$14,$C90,MONTH($B$84)))=AC$3,1,0)</f>
        <v>0</v>
      </c>
      <c r="DJ91" s="58">
        <f>IF(DAY(INDEX('Сводный годовой график'!$BA$4:$BL$14,$C90,MONTH($B$84)))=AD$3,1,0)</f>
        <v>0</v>
      </c>
      <c r="DK91" s="58">
        <f>IF(DAY(INDEX('Сводный годовой график'!$BA$4:$BL$14,$C90,MONTH($B$84)))=AE$3,1,0)</f>
        <v>0</v>
      </c>
      <c r="DL91" s="58">
        <f>IF(DAY(INDEX('Сводный годовой график'!$BA$4:$BL$14,$C90,MONTH($B$84)))=AF$3,1,0)</f>
        <v>0</v>
      </c>
      <c r="DM91" s="58">
        <f>IF(DAY(INDEX('Сводный годовой график'!$BA$4:$BL$14,$C90,MONTH($B$84)))=AG$3,1,0)</f>
        <v>0</v>
      </c>
      <c r="DN91" s="58">
        <f>IF(DAY(INDEX('Сводный годовой график'!$BA$4:$BL$14,$C90,MONTH($B$84)))=AH$3,1,0)</f>
        <v>0</v>
      </c>
      <c r="DO91" s="58">
        <f>IF(DAY(INDEX('Сводный годовой график'!$BA$4:$BL$14,$C90,MONTH($B$84)))=AI$3,1,0)</f>
        <v>0</v>
      </c>
    </row>
    <row r="92" spans="2:119" ht="16.5" thickBot="1" x14ac:dyDescent="0.3">
      <c r="B92" s="201"/>
      <c r="C92" s="196">
        <v>5</v>
      </c>
      <c r="D92" s="81">
        <v>9</v>
      </c>
      <c r="E92" s="92" t="s">
        <v>36</v>
      </c>
      <c r="F92" s="92" t="s">
        <v>36</v>
      </c>
      <c r="G92" s="92" t="s">
        <v>36</v>
      </c>
      <c r="H92" s="92" t="s">
        <v>36</v>
      </c>
      <c r="I92" s="92" t="s">
        <v>36</v>
      </c>
      <c r="J92" s="92" t="s">
        <v>36</v>
      </c>
      <c r="K92" s="92" t="s">
        <v>36</v>
      </c>
      <c r="L92" s="92" t="s">
        <v>36</v>
      </c>
      <c r="M92" s="92" t="s">
        <v>36</v>
      </c>
      <c r="N92" s="92" t="s">
        <v>36</v>
      </c>
      <c r="O92" s="92" t="s">
        <v>36</v>
      </c>
      <c r="P92" s="92" t="s">
        <v>36</v>
      </c>
      <c r="Q92" s="92" t="s">
        <v>36</v>
      </c>
      <c r="R92" s="92" t="s">
        <v>36</v>
      </c>
      <c r="S92" s="92" t="s">
        <v>36</v>
      </c>
      <c r="T92" s="92" t="s">
        <v>36</v>
      </c>
      <c r="U92" s="92" t="s">
        <v>36</v>
      </c>
      <c r="V92" s="92" t="s">
        <v>36</v>
      </c>
      <c r="W92" s="92" t="s">
        <v>36</v>
      </c>
      <c r="X92" s="92" t="s">
        <v>36</v>
      </c>
      <c r="Y92" s="92" t="s">
        <v>36</v>
      </c>
      <c r="Z92" s="92" t="s">
        <v>36</v>
      </c>
      <c r="AA92" s="92" t="s">
        <v>36</v>
      </c>
      <c r="AB92" s="92" t="s">
        <v>36</v>
      </c>
      <c r="AC92" s="92" t="s">
        <v>36</v>
      </c>
      <c r="AD92" s="92" t="s">
        <v>36</v>
      </c>
      <c r="AE92" s="92" t="s">
        <v>36</v>
      </c>
      <c r="AF92" s="92" t="s">
        <v>36</v>
      </c>
      <c r="AG92" s="92" t="s">
        <v>36</v>
      </c>
      <c r="AH92" s="92" t="s">
        <v>36</v>
      </c>
      <c r="AI92" s="119"/>
      <c r="AJ92" s="206"/>
      <c r="AK92" s="209">
        <f>$AJ$84-SUM(AY92:CC93)</f>
        <v>176</v>
      </c>
      <c r="AL92" s="209">
        <f t="shared" ref="AL92" si="157">SUM(E92:AI93)</f>
        <v>0</v>
      </c>
      <c r="AM92" s="209">
        <v>0</v>
      </c>
      <c r="AN92" s="211">
        <f t="shared" ref="AN92" si="158">-AM92-AK92+AL92</f>
        <v>-176</v>
      </c>
      <c r="AO92" s="211">
        <v>0</v>
      </c>
      <c r="AP92" s="211">
        <f>AN92+AP82-AO92</f>
        <v>-1533</v>
      </c>
      <c r="AQ92" s="209">
        <v>0</v>
      </c>
      <c r="AR92" s="210">
        <v>1</v>
      </c>
      <c r="CK92" s="59"/>
      <c r="CL92" s="59"/>
      <c r="CM92" s="59"/>
      <c r="CN92" s="59"/>
      <c r="CO92" s="59"/>
      <c r="CP92" s="59"/>
      <c r="CQ92" s="59"/>
      <c r="CR92" s="59"/>
      <c r="CS92" s="59"/>
      <c r="CT92" s="59"/>
      <c r="CU92" s="59"/>
      <c r="CV92" s="59"/>
      <c r="CW92" s="59"/>
      <c r="CX92" s="59"/>
      <c r="CY92" s="59"/>
      <c r="CZ92" s="59"/>
      <c r="DA92" s="59"/>
      <c r="DB92" s="59"/>
      <c r="DC92" s="59"/>
      <c r="DD92" s="59"/>
      <c r="DE92" s="59"/>
      <c r="DF92" s="59"/>
      <c r="DG92" s="59"/>
      <c r="DH92" s="59"/>
      <c r="DI92" s="59"/>
      <c r="DJ92" s="59"/>
      <c r="DK92" s="59"/>
      <c r="DL92" s="59"/>
      <c r="DM92" s="59"/>
      <c r="DN92" s="59"/>
      <c r="DO92" s="59"/>
    </row>
    <row r="93" spans="2:119" ht="16.5" thickBot="1" x14ac:dyDescent="0.3">
      <c r="B93" s="201"/>
      <c r="C93" s="212"/>
      <c r="D93" s="99">
        <v>10</v>
      </c>
      <c r="E93" s="30" t="str">
        <f t="shared" ref="E93:AH93" si="159">IF(INDEX($CK$4:$DO$123,ROW()-3,E$3)=0,"","СП")</f>
        <v/>
      </c>
      <c r="F93" s="30" t="str">
        <f t="shared" si="159"/>
        <v/>
      </c>
      <c r="G93" s="30" t="str">
        <f t="shared" si="159"/>
        <v/>
      </c>
      <c r="H93" s="30" t="str">
        <f t="shared" si="159"/>
        <v/>
      </c>
      <c r="I93" s="30" t="str">
        <f t="shared" si="159"/>
        <v/>
      </c>
      <c r="J93" s="30" t="str">
        <f t="shared" si="159"/>
        <v/>
      </c>
      <c r="K93" s="30" t="str">
        <f t="shared" si="159"/>
        <v/>
      </c>
      <c r="L93" s="30" t="str">
        <f t="shared" si="159"/>
        <v/>
      </c>
      <c r="M93" s="30" t="str">
        <f t="shared" si="159"/>
        <v/>
      </c>
      <c r="N93" s="30" t="str">
        <f t="shared" si="159"/>
        <v/>
      </c>
      <c r="O93" s="30" t="str">
        <f t="shared" si="159"/>
        <v/>
      </c>
      <c r="P93" s="30" t="str">
        <f t="shared" si="159"/>
        <v/>
      </c>
      <c r="Q93" s="30" t="str">
        <f t="shared" si="159"/>
        <v>СП</v>
      </c>
      <c r="R93" s="30" t="str">
        <f t="shared" si="159"/>
        <v/>
      </c>
      <c r="S93" s="30" t="str">
        <f t="shared" si="159"/>
        <v/>
      </c>
      <c r="T93" s="30" t="str">
        <f t="shared" si="159"/>
        <v/>
      </c>
      <c r="U93" s="30" t="str">
        <f t="shared" si="159"/>
        <v/>
      </c>
      <c r="V93" s="30" t="str">
        <f t="shared" si="159"/>
        <v/>
      </c>
      <c r="W93" s="30" t="str">
        <f t="shared" si="159"/>
        <v/>
      </c>
      <c r="X93" s="30" t="str">
        <f t="shared" si="159"/>
        <v/>
      </c>
      <c r="Y93" s="30" t="str">
        <f t="shared" si="159"/>
        <v/>
      </c>
      <c r="Z93" s="30" t="str">
        <f t="shared" si="159"/>
        <v/>
      </c>
      <c r="AA93" s="30" t="str">
        <f t="shared" si="159"/>
        <v/>
      </c>
      <c r="AB93" s="30" t="str">
        <f t="shared" si="159"/>
        <v/>
      </c>
      <c r="AC93" s="30" t="str">
        <f t="shared" si="159"/>
        <v/>
      </c>
      <c r="AD93" s="30" t="str">
        <f t="shared" si="159"/>
        <v/>
      </c>
      <c r="AE93" s="30" t="str">
        <f t="shared" si="159"/>
        <v/>
      </c>
      <c r="AF93" s="30" t="str">
        <f t="shared" si="159"/>
        <v/>
      </c>
      <c r="AG93" s="30" t="str">
        <f t="shared" si="159"/>
        <v/>
      </c>
      <c r="AH93" s="30" t="str">
        <f t="shared" si="159"/>
        <v/>
      </c>
      <c r="AI93" s="120"/>
      <c r="AJ93" s="207"/>
      <c r="AK93" s="213"/>
      <c r="AL93" s="213"/>
      <c r="AM93" s="213"/>
      <c r="AN93" s="214"/>
      <c r="AO93" s="214"/>
      <c r="AP93" s="214"/>
      <c r="AQ93" s="213"/>
      <c r="AR93" s="215"/>
      <c r="CK93" s="58">
        <f>IF(DAY(INDEX('Сводный годовой график'!$BA$4:$BL$14,$C92,MONTH($B$84)))=E$3,1,0)</f>
        <v>0</v>
      </c>
      <c r="CL93" s="58">
        <f>IF(DAY(INDEX('Сводный годовой график'!$BA$4:$BL$14,$C92,MONTH($B$84)))=F$3,1,0)</f>
        <v>0</v>
      </c>
      <c r="CM93" s="58">
        <f>IF(DAY(INDEX('Сводный годовой график'!$BA$4:$BL$14,$C92,MONTH($B$84)))=G$3,1,0)</f>
        <v>0</v>
      </c>
      <c r="CN93" s="58">
        <f>IF(DAY(INDEX('Сводный годовой график'!$BA$4:$BL$14,$C92,MONTH($B$84)))=H$3,1,0)</f>
        <v>0</v>
      </c>
      <c r="CO93" s="58">
        <f>IF(DAY(INDEX('Сводный годовой график'!$BA$4:$BL$14,$C92,MONTH($B$84)))=I$3,1,0)</f>
        <v>0</v>
      </c>
      <c r="CP93" s="58">
        <f>IF(DAY(INDEX('Сводный годовой график'!$BA$4:$BL$14,$C92,MONTH($B$84)))=J$3,1,0)</f>
        <v>0</v>
      </c>
      <c r="CQ93" s="58">
        <f>IF(DAY(INDEX('Сводный годовой график'!$BA$4:$BL$14,$C92,MONTH($B$84)))=K$3,1,0)</f>
        <v>0</v>
      </c>
      <c r="CR93" s="58">
        <f>IF(DAY(INDEX('Сводный годовой график'!$BA$4:$BL$14,$C92,MONTH($B$84)))=L$3,1,0)</f>
        <v>0</v>
      </c>
      <c r="CS93" s="58">
        <f>IF(DAY(INDEX('Сводный годовой график'!$BA$4:$BL$14,$C92,MONTH($B$84)))=M$3,1,0)</f>
        <v>0</v>
      </c>
      <c r="CT93" s="58">
        <f>IF(DAY(INDEX('Сводный годовой график'!$BA$4:$BL$14,$C92,MONTH($B$84)))=N$3,1,0)</f>
        <v>0</v>
      </c>
      <c r="CU93" s="58">
        <f>IF(DAY(INDEX('Сводный годовой график'!$BA$4:$BL$14,$C92,MONTH($B$84)))=O$3,1,0)</f>
        <v>0</v>
      </c>
      <c r="CV93" s="58">
        <f>IF(DAY(INDEX('Сводный годовой график'!$BA$4:$BL$14,$C92,MONTH($B$84)))=P$3,1,0)</f>
        <v>0</v>
      </c>
      <c r="CW93" s="58">
        <f>IF(DAY(INDEX('Сводный годовой график'!$BA$4:$BL$14,$C92,MONTH($B$84)))=Q$3,1,0)</f>
        <v>1</v>
      </c>
      <c r="CX93" s="58">
        <f>IF(DAY(INDEX('Сводный годовой график'!$BA$4:$BL$14,$C92,MONTH($B$84)))=R$3,1,0)</f>
        <v>0</v>
      </c>
      <c r="CY93" s="58">
        <f>IF(DAY(INDEX('Сводный годовой график'!$BA$4:$BL$14,$C92,MONTH($B$84)))=S$3,1,0)</f>
        <v>0</v>
      </c>
      <c r="CZ93" s="58">
        <f>IF(DAY(INDEX('Сводный годовой график'!$BA$4:$BL$14,$C92,MONTH($B$84)))=T$3,1,0)</f>
        <v>0</v>
      </c>
      <c r="DA93" s="58">
        <f>IF(DAY(INDEX('Сводный годовой график'!$BA$4:$BL$14,$C92,MONTH($B$84)))=U$3,1,0)</f>
        <v>0</v>
      </c>
      <c r="DB93" s="58">
        <f>IF(DAY(INDEX('Сводный годовой график'!$BA$4:$BL$14,$C92,MONTH($B$84)))=V$3,1,0)</f>
        <v>0</v>
      </c>
      <c r="DC93" s="58">
        <f>IF(DAY(INDEX('Сводный годовой график'!$BA$4:$BL$14,$C92,MONTH($B$84)))=W$3,1,0)</f>
        <v>0</v>
      </c>
      <c r="DD93" s="58">
        <f>IF(DAY(INDEX('Сводный годовой график'!$BA$4:$BL$14,$C92,MONTH($B$84)))=X$3,1,0)</f>
        <v>0</v>
      </c>
      <c r="DE93" s="58">
        <f>IF(DAY(INDEX('Сводный годовой график'!$BA$4:$BL$14,$C92,MONTH($B$84)))=Y$3,1,0)</f>
        <v>0</v>
      </c>
      <c r="DF93" s="58">
        <f>IF(DAY(INDEX('Сводный годовой график'!$BA$4:$BL$14,$C92,MONTH($B$84)))=Z$3,1,0)</f>
        <v>0</v>
      </c>
      <c r="DG93" s="58">
        <f>IF(DAY(INDEX('Сводный годовой график'!$BA$4:$BL$14,$C92,MONTH($B$84)))=AA$3,1,0)</f>
        <v>0</v>
      </c>
      <c r="DH93" s="58">
        <f>IF(DAY(INDEX('Сводный годовой график'!$BA$4:$BL$14,$C92,MONTH($B$84)))=AB$3,1,0)</f>
        <v>0</v>
      </c>
      <c r="DI93" s="58">
        <f>IF(DAY(INDEX('Сводный годовой график'!$BA$4:$BL$14,$C92,MONTH($B$84)))=AC$3,1,0)</f>
        <v>0</v>
      </c>
      <c r="DJ93" s="58">
        <f>IF(DAY(INDEX('Сводный годовой график'!$BA$4:$BL$14,$C92,MONTH($B$84)))=AD$3,1,0)</f>
        <v>0</v>
      </c>
      <c r="DK93" s="58">
        <f>IF(DAY(INDEX('Сводный годовой график'!$BA$4:$BL$14,$C92,MONTH($B$84)))=AE$3,1,0)</f>
        <v>0</v>
      </c>
      <c r="DL93" s="58">
        <f>IF(DAY(INDEX('Сводный годовой график'!$BA$4:$BL$14,$C92,MONTH($B$84)))=AF$3,1,0)</f>
        <v>0</v>
      </c>
      <c r="DM93" s="58">
        <f>IF(DAY(INDEX('Сводный годовой график'!$BA$4:$BL$14,$C92,MONTH($B$84)))=AG$3,1,0)</f>
        <v>0</v>
      </c>
      <c r="DN93" s="58">
        <f>IF(DAY(INDEX('Сводный годовой график'!$BA$4:$BL$14,$C92,MONTH($B$84)))=AH$3,1,0)</f>
        <v>0</v>
      </c>
      <c r="DO93" s="58">
        <f>IF(DAY(INDEX('Сводный годовой график'!$BA$4:$BL$14,$C92,MONTH($B$84)))=AI$3,1,0)</f>
        <v>0</v>
      </c>
    </row>
    <row r="94" spans="2:119" ht="17.25" customHeight="1" thickTop="1" thickBot="1" x14ac:dyDescent="0.3">
      <c r="B94" s="200">
        <f>DATE($AV$1,10,1)</f>
        <v>45931</v>
      </c>
      <c r="C94" s="196">
        <v>1</v>
      </c>
      <c r="D94" s="81">
        <v>1</v>
      </c>
      <c r="E94" s="28" t="e">
        <f ca="1">IF(AND(INDEX('Сводный годовой график'!$C$1:$AR$4,MATCH($C$94,'Сводный годовой график'!$B$1:$B$4),MATCH(DATE($AV$1,MONTH($B$94),E$3),'Сводный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график'!$B$1:$B$4),MATCH(DATE($AV$1,MONTH($B$94),E$3),'Сводный годовой график'!$C$14:$AR$14)))</f>
        <v>#N/A</v>
      </c>
      <c r="F94" s="28" t="e">
        <f ca="1">IF(AND(INDEX('Сводный годовой график'!$C$1:$AR$4,MATCH($C$94,'Сводный годовой график'!$B$1:$B$4),MATCH(DATE($AV$1,MONTH($B$94),F$3),'Сводный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график'!$B$1:$B$4),MATCH(DATE($AV$1,MONTH($B$94),F$3),'Сводный годовой график'!$C$14:$AR$14)))</f>
        <v>#N/A</v>
      </c>
      <c r="G94" s="28" t="e">
        <f ca="1">IF(AND(INDEX('Сводный годовой график'!$C$1:$AR$4,MATCH($C$94,'Сводный годовой график'!$B$1:$B$4),MATCH(DATE($AV$1,MONTH($B$94),G$3),'Сводный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график'!$B$1:$B$4),MATCH(DATE($AV$1,MONTH($B$94),G$3),'Сводный годовой график'!$C$14:$AR$14)))</f>
        <v>#N/A</v>
      </c>
      <c r="H94" s="28" t="e">
        <f ca="1">IF(AND(INDEX('Сводный годовой график'!$C$1:$AR$4,MATCH($C$94,'Сводный годовой график'!$B$1:$B$4),MATCH(DATE($AV$1,MONTH($B$94),H$3),'Сводный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график'!$B$1:$B$4),MATCH(DATE($AV$1,MONTH($B$94),H$3),'Сводный годовой график'!$C$14:$AR$14)))</f>
        <v>#N/A</v>
      </c>
      <c r="I94" s="28" t="e">
        <f ca="1">IF(AND(INDEX('Сводный годовой график'!$C$1:$AR$4,MATCH($C$94,'Сводный годовой график'!$B$1:$B$4),MATCH(DATE($AV$1,MONTH($B$94),I$3),'Сводный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график'!$B$1:$B$4),MATCH(DATE($AV$1,MONTH($B$94),I$3),'Сводный годовой график'!$C$14:$AR$14)))</f>
        <v>#N/A</v>
      </c>
      <c r="J94" s="28" t="e">
        <f ca="1">IF(AND(INDEX('Сводный годовой график'!$C$1:$AR$4,MATCH($C$94,'Сводный годовой график'!$B$1:$B$4),MATCH(DATE($AV$1,MONTH($B$94),J$3),'Сводный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график'!$B$1:$B$4),MATCH(DATE($AV$1,MONTH($B$94),J$3),'Сводный годовой график'!$C$14:$AR$14)))</f>
        <v>#N/A</v>
      </c>
      <c r="K94" s="28" t="e">
        <f ca="1">IF(AND(INDEX('Сводный годовой график'!$C$1:$AR$4,MATCH($C$94,'Сводный годовой график'!$B$1:$B$4),MATCH(DATE($AV$1,MONTH($B$94),K$3),'Сводный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график'!$B$1:$B$4),MATCH(DATE($AV$1,MONTH($B$94),K$3),'Сводный годовой график'!$C$14:$AR$14)))</f>
        <v>#N/A</v>
      </c>
      <c r="L94" s="28" t="e">
        <f ca="1">IF(AND(INDEX('Сводный годовой график'!$C$1:$AR$4,MATCH($C$94,'Сводный годовой график'!$B$1:$B$4),MATCH(DATE($AV$1,MONTH($B$94),L$3),'Сводный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график'!$B$1:$B$4),MATCH(DATE($AV$1,MONTH($B$94),L$3),'Сводный годовой график'!$C$14:$AR$14)))</f>
        <v>#N/A</v>
      </c>
      <c r="M94" s="28" t="e">
        <f ca="1">IF(AND(INDEX('Сводный годовой график'!$C$1:$AR$4,MATCH($C$94,'Сводный годовой график'!$B$1:$B$4),MATCH(DATE($AV$1,MONTH($B$94),M$3),'Сводный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график'!$B$1:$B$4),MATCH(DATE($AV$1,MONTH($B$94),M$3),'Сводный годовой график'!$C$14:$AR$14)))</f>
        <v>#N/A</v>
      </c>
      <c r="N94" s="28" t="e">
        <f ca="1">IF(AND(INDEX('Сводный годовой график'!$C$1:$AR$4,MATCH($C$94,'Сводный годовой график'!$B$1:$B$4),MATCH(DATE($AV$1,MONTH($B$94),N$3),'Сводный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график'!$B$1:$B$4),MATCH(DATE($AV$1,MONTH($B$94),N$3),'Сводный годовой график'!$C$14:$AR$14)))</f>
        <v>#N/A</v>
      </c>
      <c r="O94" s="28" t="e">
        <f ca="1">IF(AND(INDEX('Сводный годовой график'!$C$1:$AR$4,MATCH($C$94,'Сводный годовой график'!$B$1:$B$4),MATCH(DATE($AV$1,MONTH($B$94),O$3),'Сводный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график'!$B$1:$B$4),MATCH(DATE($AV$1,MONTH($B$94),O$3),'Сводный годовой график'!$C$14:$AR$14)))</f>
        <v>#N/A</v>
      </c>
      <c r="P94" s="28" t="e">
        <f ca="1">IF(AND(INDEX('Сводный годовой график'!$C$1:$AR$4,MATCH($C$94,'Сводный годовой график'!$B$1:$B$4),MATCH(DATE($AV$1,MONTH($B$94),P$3),'Сводный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график'!$B$1:$B$4),MATCH(DATE($AV$1,MONTH($B$94),P$3),'Сводный годовой график'!$C$14:$AR$14)))</f>
        <v>#N/A</v>
      </c>
      <c r="Q94" s="28" t="e">
        <f ca="1">IF(AND(INDEX('Сводный годовой график'!$C$1:$AR$4,MATCH($C$94,'Сводный годовой график'!$B$1:$B$4),MATCH(DATE($AV$1,MONTH($B$94),Q$3),'Сводный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график'!$B$1:$B$4),MATCH(DATE($AV$1,MONTH($B$94),Q$3),'Сводный годовой график'!$C$14:$AR$14)))</f>
        <v>#N/A</v>
      </c>
      <c r="R94" s="28" t="e">
        <f ca="1">IF(AND(INDEX('Сводный годовой график'!$C$1:$AR$4,MATCH($C$94,'Сводный годовой график'!$B$1:$B$4),MATCH(DATE($AV$1,MONTH($B$94),R$3),'Сводный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график'!$B$1:$B$4),MATCH(DATE($AV$1,MONTH($B$94),R$3),'Сводный годовой график'!$C$14:$AR$14)))</f>
        <v>#N/A</v>
      </c>
      <c r="S94" s="28" t="e">
        <f ca="1">IF(AND(INDEX('Сводный годовой график'!$C$1:$AR$4,MATCH($C$94,'Сводный годовой график'!$B$1:$B$4),MATCH(DATE($AV$1,MONTH($B$94),S$3),'Сводный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график'!$B$1:$B$4),MATCH(DATE($AV$1,MONTH($B$94),S$3),'Сводный годовой график'!$C$14:$AR$14)))</f>
        <v>#N/A</v>
      </c>
      <c r="T94" s="28" t="e">
        <f ca="1">IF(AND(INDEX('Сводный годовой график'!$C$1:$AR$4,MATCH($C$94,'Сводный годовой график'!$B$1:$B$4),MATCH(DATE($AV$1,MONTH($B$94),T$3),'Сводный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график'!$B$1:$B$4),MATCH(DATE($AV$1,MONTH($B$94),T$3),'Сводный годовой график'!$C$14:$AR$14)))</f>
        <v>#N/A</v>
      </c>
      <c r="U94" s="28" t="e">
        <f ca="1">IF(AND(INDEX('Сводный годовой график'!$C$1:$AR$4,MATCH($C$94,'Сводный годовой график'!$B$1:$B$4),MATCH(DATE($AV$1,MONTH($B$94),U$3),'Сводный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график'!$B$1:$B$4),MATCH(DATE($AV$1,MONTH($B$94),U$3),'Сводный годовой график'!$C$14:$AR$14)))</f>
        <v>#N/A</v>
      </c>
      <c r="V94" s="28" t="e">
        <f ca="1">IF(AND(INDEX('Сводный годовой график'!$C$1:$AR$4,MATCH($C$94,'Сводный годовой график'!$B$1:$B$4),MATCH(DATE($AV$1,MONTH($B$94),V$3),'Сводный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график'!$B$1:$B$4),MATCH(DATE($AV$1,MONTH($B$94),V$3),'Сводный годовой график'!$C$14:$AR$14)))</f>
        <v>#N/A</v>
      </c>
      <c r="W94" s="28" t="e">
        <f ca="1">IF(AND(INDEX('Сводный годовой график'!$C$1:$AR$4,MATCH($C$94,'Сводный годовой график'!$B$1:$B$4),MATCH(DATE($AV$1,MONTH($B$94),W$3),'Сводный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график'!$B$1:$B$4),MATCH(DATE($AV$1,MONTH($B$94),W$3),'Сводный годовой график'!$C$14:$AR$14)))</f>
        <v>#N/A</v>
      </c>
      <c r="X94" s="28" t="e">
        <f ca="1">IF(AND(INDEX('Сводный годовой график'!$C$1:$AR$4,MATCH($C$94,'Сводный годовой график'!$B$1:$B$4),MATCH(DATE($AV$1,MONTH($B$94),X$3),'Сводный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график'!$B$1:$B$4),MATCH(DATE($AV$1,MONTH($B$94),X$3),'Сводный годовой график'!$C$14:$AR$14)))</f>
        <v>#N/A</v>
      </c>
      <c r="Y94" s="28" t="e">
        <f ca="1">IF(AND(INDEX('Сводный годовой график'!$C$1:$AR$4,MATCH($C$94,'Сводный годовой график'!$B$1:$B$4),MATCH(DATE($AV$1,MONTH($B$94),Y$3),'Сводный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график'!$B$1:$B$4),MATCH(DATE($AV$1,MONTH($B$94),Y$3),'Сводный годовой график'!$C$14:$AR$14)))</f>
        <v>#N/A</v>
      </c>
      <c r="Z94" s="28" t="e">
        <f ca="1">IF(AND(INDEX('Сводный годовой график'!$C$1:$AR$4,MATCH($C$94,'Сводный годовой график'!$B$1:$B$4),MATCH(DATE($AV$1,MONTH($B$94),Z$3),'Сводный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график'!$B$1:$B$4),MATCH(DATE($AV$1,MONTH($B$94),Z$3),'Сводный годовой график'!$C$14:$AR$14)))</f>
        <v>#N/A</v>
      </c>
      <c r="AA94" s="28" t="e">
        <f ca="1">IF(AND(INDEX('Сводный годовой график'!$C$1:$AR$4,MATCH($C$94,'Сводный годовой график'!$B$1:$B$4),MATCH(DATE($AV$1,MONTH($B$94),AA$3),'Сводный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график'!$B$1:$B$4),MATCH(DATE($AV$1,MONTH($B$94),AA$3),'Сводный годовой график'!$C$14:$AR$14)))</f>
        <v>#N/A</v>
      </c>
      <c r="AB94" s="28" t="e">
        <f ca="1">IF(AND(INDEX('Сводный годовой график'!$C$1:$AR$4,MATCH($C$94,'Сводный годовой график'!$B$1:$B$4),MATCH(DATE($AV$1,MONTH($B$94),AB$3),'Сводный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график'!$B$1:$B$4),MATCH(DATE($AV$1,MONTH($B$94),AB$3),'Сводный годовой график'!$C$14:$AR$14)))</f>
        <v>#N/A</v>
      </c>
      <c r="AC94" s="28" t="e">
        <f ca="1">IF(AND(INDEX('Сводный годовой график'!$C$1:$AR$4,MATCH($C$94,'Сводный годовой график'!$B$1:$B$4),MATCH(DATE($AV$1,MONTH($B$94),AC$3),'Сводный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график'!$B$1:$B$4),MATCH(DATE($AV$1,MONTH($B$94),AC$3),'Сводный годовой график'!$C$14:$AR$14)))</f>
        <v>#N/A</v>
      </c>
      <c r="AD94" s="28" t="e">
        <f ca="1">IF(AND(INDEX('Сводный годовой график'!$C$1:$AR$4,MATCH($C$94,'Сводный годовой график'!$B$1:$B$4),MATCH(DATE($AV$1,MONTH($B$94),AD$3),'Сводный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график'!$B$1:$B$4),MATCH(DATE($AV$1,MONTH($B$94),AD$3),'Сводный годовой график'!$C$14:$AR$14)))</f>
        <v>#N/A</v>
      </c>
      <c r="AE94" s="28" t="e">
        <f ca="1">IF(AND(INDEX('Сводный годовой график'!$C$1:$AR$4,MATCH($C$94,'Сводный годовой график'!$B$1:$B$4),MATCH(DATE($AV$1,MONTH($B$94),AE$3),'Сводный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график'!$B$1:$B$4),MATCH(DATE($AV$1,MONTH($B$94),AE$3),'Сводный годовой график'!$C$14:$AR$14)))</f>
        <v>#N/A</v>
      </c>
      <c r="AF94" s="28" t="e">
        <f ca="1">IF(AND(INDEX('Сводный годовой график'!$C$1:$AR$4,MATCH($C$94,'Сводный годовой график'!$B$1:$B$4),MATCH(DATE($AV$1,MONTH($B$94),AF$3),'Сводный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график'!$B$1:$B$4),MATCH(DATE($AV$1,MONTH($B$94),AF$3),'Сводный годовой график'!$C$14:$AR$14)))</f>
        <v>#N/A</v>
      </c>
      <c r="AG94" s="28" t="e">
        <f ca="1">IF(AND(INDEX('Сводный годовой график'!$C$1:$AR$4,MATCH($C$94,'Сводный годовой график'!$B$1:$B$4),MATCH(DATE($AV$1,MONTH($B$94),AG$3),'Сводный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график'!$B$1:$B$4),MATCH(DATE($AV$1,MONTH($B$94),AG$3),'Сводный годовой график'!$C$14:$AR$14)))</f>
        <v>#N/A</v>
      </c>
      <c r="AH94" s="28" t="e">
        <f ca="1">IF(AND(INDEX('Сводный годовой график'!$C$1:$AR$4,MATCH($C$94,'Сводный годовой график'!$B$1:$B$4),MATCH(DATE($AV$1,MONTH($B$94),AH$3),'Сводный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график'!$B$1:$B$4),MATCH(DATE($AV$1,MONTH($B$94),AH$3),'Сводный годовой график'!$C$14:$AR$14)))</f>
        <v>#N/A</v>
      </c>
      <c r="AI94" s="95" t="e">
        <f ca="1">IF(AND(INDEX('Сводный годовой график'!$C$1:$AR$4,MATCH($C$94,'Сводный годовой график'!$B$1:$B$4),MATCH(DATE($AV$1,MONTH($B$94),AI$3),'Сводный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график'!$B$1:$B$4),MATCH(DATE($AV$1,MONTH($B$94),AI$3),'Сводный годовой график'!$C$14:$AR$14)))</f>
        <v>#N/A</v>
      </c>
      <c r="AJ94" s="205">
        <f>INDEX(Подключения!$D$3:$H$14,MONTH(B94),5)</f>
        <v>184</v>
      </c>
      <c r="AK94" s="177">
        <f>$AJ$94-SUM(AY94:CC95)</f>
        <v>184</v>
      </c>
      <c r="AL94" s="203" t="e">
        <f ca="1">SUM(E94:AI95)</f>
        <v>#N/A</v>
      </c>
      <c r="AM94" s="203">
        <v>0</v>
      </c>
      <c r="AN94" s="208" t="e">
        <f t="shared" ref="AN94" ca="1" si="160">-AM94-AK94+AL94</f>
        <v>#N/A</v>
      </c>
      <c r="AO94" s="208">
        <v>0</v>
      </c>
      <c r="AP94" s="208" t="e">
        <f t="shared" ref="AP94" ca="1" si="161">AN94+AP84</f>
        <v>#N/A</v>
      </c>
      <c r="AQ94" s="203">
        <v>0</v>
      </c>
      <c r="AR94" s="204">
        <v>1</v>
      </c>
      <c r="CK94" s="59"/>
      <c r="CL94" s="59"/>
      <c r="CM94" s="59"/>
      <c r="CN94" s="59"/>
      <c r="CO94" s="59"/>
      <c r="CP94" s="59"/>
      <c r="CQ94" s="59"/>
      <c r="CR94" s="59"/>
      <c r="CS94" s="59"/>
      <c r="CT94" s="59"/>
      <c r="CU94" s="59"/>
      <c r="CV94" s="59"/>
      <c r="CW94" s="59"/>
      <c r="CX94" s="59"/>
      <c r="CY94" s="59"/>
      <c r="CZ94" s="59"/>
      <c r="DA94" s="59"/>
      <c r="DB94" s="59"/>
      <c r="DC94" s="59"/>
      <c r="DD94" s="59"/>
      <c r="DE94" s="59"/>
      <c r="DF94" s="59"/>
      <c r="DG94" s="59"/>
      <c r="DH94" s="59"/>
      <c r="DI94" s="59"/>
      <c r="DJ94" s="59"/>
      <c r="DK94" s="59"/>
      <c r="DL94" s="59"/>
      <c r="DM94" s="59"/>
      <c r="DN94" s="59"/>
      <c r="DO94" s="59"/>
    </row>
    <row r="95" spans="2:119" ht="16.5" thickBot="1" x14ac:dyDescent="0.3">
      <c r="B95" s="201"/>
      <c r="C95" s="197"/>
      <c r="D95" s="82">
        <v>2</v>
      </c>
      <c r="E95" s="92" t="str">
        <f t="shared" ref="E95:AI95" si="162">IF(INDEX($CK$4:$DO$123,ROW()-3,E$3)=0,"","СП")</f>
        <v/>
      </c>
      <c r="F95" s="92" t="str">
        <f t="shared" si="162"/>
        <v/>
      </c>
      <c r="G95" s="92" t="str">
        <f t="shared" si="162"/>
        <v/>
      </c>
      <c r="H95" s="92" t="str">
        <f t="shared" si="162"/>
        <v/>
      </c>
      <c r="I95" s="92" t="str">
        <f t="shared" si="162"/>
        <v/>
      </c>
      <c r="J95" s="92" t="str">
        <f t="shared" si="162"/>
        <v/>
      </c>
      <c r="K95" s="92" t="str">
        <f t="shared" si="162"/>
        <v/>
      </c>
      <c r="L95" s="92" t="str">
        <f t="shared" si="162"/>
        <v/>
      </c>
      <c r="M95" s="92" t="str">
        <f t="shared" si="162"/>
        <v/>
      </c>
      <c r="N95" s="92" t="str">
        <f t="shared" si="162"/>
        <v>СП</v>
      </c>
      <c r="O95" s="92" t="str">
        <f t="shared" si="162"/>
        <v/>
      </c>
      <c r="P95" s="92" t="str">
        <f t="shared" si="162"/>
        <v/>
      </c>
      <c r="Q95" s="92" t="str">
        <f t="shared" si="162"/>
        <v/>
      </c>
      <c r="R95" s="92" t="str">
        <f t="shared" si="162"/>
        <v/>
      </c>
      <c r="S95" s="92" t="str">
        <f t="shared" si="162"/>
        <v/>
      </c>
      <c r="T95" s="92" t="str">
        <f t="shared" si="162"/>
        <v/>
      </c>
      <c r="U95" s="92" t="str">
        <f t="shared" si="162"/>
        <v/>
      </c>
      <c r="V95" s="92" t="str">
        <f t="shared" si="162"/>
        <v/>
      </c>
      <c r="W95" s="92" t="str">
        <f t="shared" si="162"/>
        <v/>
      </c>
      <c r="X95" s="92" t="str">
        <f t="shared" si="162"/>
        <v/>
      </c>
      <c r="Y95" s="92" t="str">
        <f t="shared" si="162"/>
        <v/>
      </c>
      <c r="Z95" s="92" t="str">
        <f t="shared" si="162"/>
        <v/>
      </c>
      <c r="AA95" s="92" t="str">
        <f t="shared" si="162"/>
        <v/>
      </c>
      <c r="AB95" s="92" t="str">
        <f t="shared" si="162"/>
        <v/>
      </c>
      <c r="AC95" s="92" t="str">
        <f t="shared" si="162"/>
        <v/>
      </c>
      <c r="AD95" s="92" t="str">
        <f t="shared" si="162"/>
        <v/>
      </c>
      <c r="AE95" s="92" t="str">
        <f t="shared" si="162"/>
        <v/>
      </c>
      <c r="AF95" s="92" t="str">
        <f t="shared" si="162"/>
        <v/>
      </c>
      <c r="AG95" s="92" t="str">
        <f t="shared" si="162"/>
        <v/>
      </c>
      <c r="AH95" s="92" t="str">
        <f t="shared" si="162"/>
        <v/>
      </c>
      <c r="AI95" s="97" t="str">
        <f t="shared" si="162"/>
        <v/>
      </c>
      <c r="AJ95" s="206"/>
      <c r="AK95" s="177"/>
      <c r="AL95" s="177"/>
      <c r="AM95" s="177"/>
      <c r="AN95" s="198"/>
      <c r="AO95" s="198"/>
      <c r="AP95" s="198"/>
      <c r="AQ95" s="177"/>
      <c r="AR95" s="179"/>
      <c r="CK95" s="58">
        <f>IF(DAY(INDEX('Сводный годовой график'!$BA$4:$BL$14,$C94,MONTH($B$94)))=E$3,1,0)</f>
        <v>0</v>
      </c>
      <c r="CL95" s="58">
        <f>IF(DAY(INDEX('Сводный годовой график'!$BA$4:$BL$14,$C94,MONTH($B$94)))=F$3,1,0)</f>
        <v>0</v>
      </c>
      <c r="CM95" s="58">
        <f>IF(DAY(INDEX('Сводный годовой график'!$BA$4:$BL$14,$C94,MONTH($B$94)))=G$3,1,0)</f>
        <v>0</v>
      </c>
      <c r="CN95" s="58">
        <f>IF(DAY(INDEX('Сводный годовой график'!$BA$4:$BL$14,$C94,MONTH($B$94)))=H$3,1,0)</f>
        <v>0</v>
      </c>
      <c r="CO95" s="58">
        <f>IF(DAY(INDEX('Сводный годовой график'!$BA$4:$BL$14,$C94,MONTH($B$94)))=I$3,1,0)</f>
        <v>0</v>
      </c>
      <c r="CP95" s="58">
        <f>IF(DAY(INDEX('Сводный годовой график'!$BA$4:$BL$14,$C94,MONTH($B$94)))=J$3,1,0)</f>
        <v>0</v>
      </c>
      <c r="CQ95" s="58">
        <f>IF(DAY(INDEX('Сводный годовой график'!$BA$4:$BL$14,$C94,MONTH($B$94)))=K$3,1,0)</f>
        <v>0</v>
      </c>
      <c r="CR95" s="58">
        <f>IF(DAY(INDEX('Сводный годовой график'!$BA$4:$BL$14,$C94,MONTH($B$94)))=L$3,1,0)</f>
        <v>0</v>
      </c>
      <c r="CS95" s="58">
        <f>IF(DAY(INDEX('Сводный годовой график'!$BA$4:$BL$14,$C94,MONTH($B$94)))=M$3,1,0)</f>
        <v>0</v>
      </c>
      <c r="CT95" s="58">
        <f>IF(DAY(INDEX('Сводный годовой график'!$BA$4:$BL$14,$C94,MONTH($B$94)))=N$3,1,0)</f>
        <v>1</v>
      </c>
      <c r="CU95" s="58">
        <f>IF(DAY(INDEX('Сводный годовой график'!$BA$4:$BL$14,$C94,MONTH($B$94)))=O$3,1,0)</f>
        <v>0</v>
      </c>
      <c r="CV95" s="58">
        <f>IF(DAY(INDEX('Сводный годовой график'!$BA$4:$BL$14,$C94,MONTH($B$94)))=P$3,1,0)</f>
        <v>0</v>
      </c>
      <c r="CW95" s="58">
        <f>IF(DAY(INDEX('Сводный годовой график'!$BA$4:$BL$14,$C94,MONTH($B$94)))=Q$3,1,0)</f>
        <v>0</v>
      </c>
      <c r="CX95" s="58">
        <f>IF(DAY(INDEX('Сводный годовой график'!$BA$4:$BL$14,$C94,MONTH($B$94)))=R$3,1,0)</f>
        <v>0</v>
      </c>
      <c r="CY95" s="58">
        <f>IF(DAY(INDEX('Сводный годовой график'!$BA$4:$BL$14,$C94,MONTH($B$94)))=S$3,1,0)</f>
        <v>0</v>
      </c>
      <c r="CZ95" s="58">
        <f>IF(DAY(INDEX('Сводный годовой график'!$BA$4:$BL$14,$C94,MONTH($B$94)))=T$3,1,0)</f>
        <v>0</v>
      </c>
      <c r="DA95" s="58">
        <f>IF(DAY(INDEX('Сводный годовой график'!$BA$4:$BL$14,$C94,MONTH($B$94)))=U$3,1,0)</f>
        <v>0</v>
      </c>
      <c r="DB95" s="58">
        <f>IF(DAY(INDEX('Сводный годовой график'!$BA$4:$BL$14,$C94,MONTH($B$94)))=V$3,1,0)</f>
        <v>0</v>
      </c>
      <c r="DC95" s="58">
        <f>IF(DAY(INDEX('Сводный годовой график'!$BA$4:$BL$14,$C94,MONTH($B$94)))=W$3,1,0)</f>
        <v>0</v>
      </c>
      <c r="DD95" s="58">
        <f>IF(DAY(INDEX('Сводный годовой график'!$BA$4:$BL$14,$C94,MONTH($B$94)))=X$3,1,0)</f>
        <v>0</v>
      </c>
      <c r="DE95" s="58">
        <f>IF(DAY(INDEX('Сводный годовой график'!$BA$4:$BL$14,$C94,MONTH($B$94)))=Y$3,1,0)</f>
        <v>0</v>
      </c>
      <c r="DF95" s="58">
        <f>IF(DAY(INDEX('Сводный годовой график'!$BA$4:$BL$14,$C94,MONTH($B$94)))=Z$3,1,0)</f>
        <v>0</v>
      </c>
      <c r="DG95" s="58">
        <f>IF(DAY(INDEX('Сводный годовой график'!$BA$4:$BL$14,$C94,MONTH($B$94)))=AA$3,1,0)</f>
        <v>0</v>
      </c>
      <c r="DH95" s="58">
        <f>IF(DAY(INDEX('Сводный годовой график'!$BA$4:$BL$14,$C94,MONTH($B$94)))=AB$3,1,0)</f>
        <v>0</v>
      </c>
      <c r="DI95" s="58">
        <f>IF(DAY(INDEX('Сводный годовой график'!$BA$4:$BL$14,$C94,MONTH($B$94)))=AC$3,1,0)</f>
        <v>0</v>
      </c>
      <c r="DJ95" s="58">
        <f>IF(DAY(INDEX('Сводный годовой график'!$BA$4:$BL$14,$C94,MONTH($B$94)))=AD$3,1,0)</f>
        <v>0</v>
      </c>
      <c r="DK95" s="58">
        <f>IF(DAY(INDEX('Сводный годовой график'!$BA$4:$BL$14,$C94,MONTH($B$94)))=AE$3,1,0)</f>
        <v>0</v>
      </c>
      <c r="DL95" s="58">
        <f>IF(DAY(INDEX('Сводный годовой график'!$BA$4:$BL$14,$C94,MONTH($B$94)))=AF$3,1,0)</f>
        <v>0</v>
      </c>
      <c r="DM95" s="58">
        <f>IF(DAY(INDEX('Сводный годовой график'!$BA$4:$BL$14,$C94,MONTH($B$94)))=AG$3,1,0)</f>
        <v>0</v>
      </c>
      <c r="DN95" s="58">
        <f>IF(DAY(INDEX('Сводный годовой график'!$BA$4:$BL$14,$C94,MONTH($B$94)))=AH$3,1,0)</f>
        <v>0</v>
      </c>
      <c r="DO95" s="58">
        <f>IF(DAY(INDEX('Сводный годовой график'!$BA$4:$BL$14,$C94,MONTH($B$94)))=AI$3,1,0)</f>
        <v>0</v>
      </c>
    </row>
    <row r="96" spans="2:119" ht="16.5" thickBot="1" x14ac:dyDescent="0.3">
      <c r="B96" s="201"/>
      <c r="C96" s="196">
        <v>2</v>
      </c>
      <c r="D96" s="81">
        <v>3</v>
      </c>
      <c r="E96" s="92" t="e">
        <f ca="1">IF(AND(INDEX('Сводный годовой график'!$C$1:$AR$4,MATCH($C$96,'Сводный годовой график'!$B$1:$B$4),MATCH(DATE($AV$1,MONTH($B$94),E$3),'Сводный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график'!$B$1:$B$4),MATCH(DATE($AV$1,MONTH($B$94),E$3),'Сводный годовой график'!$C$14:$AR$14)))</f>
        <v>#N/A</v>
      </c>
      <c r="F96" s="92" t="e">
        <f ca="1">IF(AND(INDEX('Сводный годовой график'!$C$1:$AR$4,MATCH($C$96,'Сводный годовой график'!$B$1:$B$4),MATCH(DATE($AV$1,MONTH($B$94),F$3),'Сводный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график'!$B$1:$B$4),MATCH(DATE($AV$1,MONTH($B$94),F$3),'Сводный годовой график'!$C$14:$AR$14)))</f>
        <v>#N/A</v>
      </c>
      <c r="G96" s="92" t="e">
        <f ca="1">IF(AND(INDEX('Сводный годовой график'!$C$1:$AR$4,MATCH($C$96,'Сводный годовой график'!$B$1:$B$4),MATCH(DATE($AV$1,MONTH($B$94),G$3),'Сводный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график'!$B$1:$B$4),MATCH(DATE($AV$1,MONTH($B$94),G$3),'Сводный годовой график'!$C$14:$AR$14)))</f>
        <v>#N/A</v>
      </c>
      <c r="H96" s="92" t="e">
        <f ca="1">IF(AND(INDEX('Сводный годовой график'!$C$1:$AR$4,MATCH($C$96,'Сводный годовой график'!$B$1:$B$4),MATCH(DATE($AV$1,MONTH($B$94),H$3),'Сводный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график'!$B$1:$B$4),MATCH(DATE($AV$1,MONTH($B$94),H$3),'Сводный годовой график'!$C$14:$AR$14)))</f>
        <v>#N/A</v>
      </c>
      <c r="I96" s="92" t="e">
        <f ca="1">IF(AND(INDEX('Сводный годовой график'!$C$1:$AR$4,MATCH($C$96,'Сводный годовой график'!$B$1:$B$4),MATCH(DATE($AV$1,MONTH($B$94),I$3),'Сводный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график'!$B$1:$B$4),MATCH(DATE($AV$1,MONTH($B$94),I$3),'Сводный годовой график'!$C$14:$AR$14)))</f>
        <v>#N/A</v>
      </c>
      <c r="J96" s="92" t="e">
        <f ca="1">IF(AND(INDEX('Сводный годовой график'!$C$1:$AR$4,MATCH($C$96,'Сводный годовой график'!$B$1:$B$4),MATCH(DATE($AV$1,MONTH($B$94),J$3),'Сводный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график'!$B$1:$B$4),MATCH(DATE($AV$1,MONTH($B$94),J$3),'Сводный годовой график'!$C$14:$AR$14)))</f>
        <v>#N/A</v>
      </c>
      <c r="K96" s="92" t="e">
        <f ca="1">IF(AND(INDEX('Сводный годовой график'!$C$1:$AR$4,MATCH($C$96,'Сводный годовой график'!$B$1:$B$4),MATCH(DATE($AV$1,MONTH($B$94),K$3),'Сводный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график'!$B$1:$B$4),MATCH(DATE($AV$1,MONTH($B$94),K$3),'Сводный годовой график'!$C$14:$AR$14)))</f>
        <v>#N/A</v>
      </c>
      <c r="L96" s="92" t="e">
        <f ca="1">IF(AND(INDEX('Сводный годовой график'!$C$1:$AR$4,MATCH($C$96,'Сводный годовой график'!$B$1:$B$4),MATCH(DATE($AV$1,MONTH($B$94),L$3),'Сводный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график'!$B$1:$B$4),MATCH(DATE($AV$1,MONTH($B$94),L$3),'Сводный годовой график'!$C$14:$AR$14)))</f>
        <v>#N/A</v>
      </c>
      <c r="M96" s="92" t="e">
        <f ca="1">IF(AND(INDEX('Сводный годовой график'!$C$1:$AR$4,MATCH($C$96,'Сводный годовой график'!$B$1:$B$4),MATCH(DATE($AV$1,MONTH($B$94),M$3),'Сводный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график'!$B$1:$B$4),MATCH(DATE($AV$1,MONTH($B$94),M$3),'Сводный годовой график'!$C$14:$AR$14)))</f>
        <v>#N/A</v>
      </c>
      <c r="N96" s="92" t="e">
        <f ca="1">IF(AND(INDEX('Сводный годовой график'!$C$1:$AR$4,MATCH($C$96,'Сводный годовой график'!$B$1:$B$4),MATCH(DATE($AV$1,MONTH($B$94),N$3),'Сводный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график'!$B$1:$B$4),MATCH(DATE($AV$1,MONTH($B$94),N$3),'Сводный годовой график'!$C$14:$AR$14)))</f>
        <v>#N/A</v>
      </c>
      <c r="O96" s="92" t="e">
        <f ca="1">IF(AND(INDEX('Сводный годовой график'!$C$1:$AR$4,MATCH($C$96,'Сводный годовой график'!$B$1:$B$4),MATCH(DATE($AV$1,MONTH($B$94),O$3),'Сводный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график'!$B$1:$B$4),MATCH(DATE($AV$1,MONTH($B$94),O$3),'Сводный годовой график'!$C$14:$AR$14)))</f>
        <v>#N/A</v>
      </c>
      <c r="P96" s="92" t="e">
        <f ca="1">IF(AND(INDEX('Сводный годовой график'!$C$1:$AR$4,MATCH($C$96,'Сводный годовой график'!$B$1:$B$4),MATCH(DATE($AV$1,MONTH($B$94),P$3),'Сводный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график'!$B$1:$B$4),MATCH(DATE($AV$1,MONTH($B$94),P$3),'Сводный годовой график'!$C$14:$AR$14)))</f>
        <v>#N/A</v>
      </c>
      <c r="Q96" s="92" t="e">
        <f ca="1">IF(AND(INDEX('Сводный годовой график'!$C$1:$AR$4,MATCH($C$96,'Сводный годовой график'!$B$1:$B$4),MATCH(DATE($AV$1,MONTH($B$94),Q$3),'Сводный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график'!$B$1:$B$4),MATCH(DATE($AV$1,MONTH($B$94),Q$3),'Сводный годовой график'!$C$14:$AR$14)))</f>
        <v>#N/A</v>
      </c>
      <c r="R96" s="92" t="e">
        <f ca="1">IF(AND(INDEX('Сводный годовой график'!$C$1:$AR$4,MATCH($C$96,'Сводный годовой график'!$B$1:$B$4),MATCH(DATE($AV$1,MONTH($B$94),R$3),'Сводный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график'!$B$1:$B$4),MATCH(DATE($AV$1,MONTH($B$94),R$3),'Сводный годовой график'!$C$14:$AR$14)))</f>
        <v>#N/A</v>
      </c>
      <c r="S96" s="92" t="e">
        <f ca="1">IF(AND(INDEX('Сводный годовой график'!$C$1:$AR$4,MATCH($C$96,'Сводный годовой график'!$B$1:$B$4),MATCH(DATE($AV$1,MONTH($B$94),S$3),'Сводный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график'!$B$1:$B$4),MATCH(DATE($AV$1,MONTH($B$94),S$3),'Сводный годовой график'!$C$14:$AR$14)))</f>
        <v>#N/A</v>
      </c>
      <c r="T96" s="92" t="e">
        <f ca="1">IF(AND(INDEX('Сводный годовой график'!$C$1:$AR$4,MATCH($C$96,'Сводный годовой график'!$B$1:$B$4),MATCH(DATE($AV$1,MONTH($B$94),T$3),'Сводный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график'!$B$1:$B$4),MATCH(DATE($AV$1,MONTH($B$94),T$3),'Сводный годовой график'!$C$14:$AR$14)))</f>
        <v>#N/A</v>
      </c>
      <c r="U96" s="92" t="e">
        <f ca="1">IF(AND(INDEX('Сводный годовой график'!$C$1:$AR$4,MATCH($C$96,'Сводный годовой график'!$B$1:$B$4),MATCH(DATE($AV$1,MONTH($B$94),U$3),'Сводный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график'!$B$1:$B$4),MATCH(DATE($AV$1,MONTH($B$94),U$3),'Сводный годовой график'!$C$14:$AR$14)))</f>
        <v>#N/A</v>
      </c>
      <c r="V96" s="92" t="e">
        <f ca="1">IF(AND(INDEX('Сводный годовой график'!$C$1:$AR$4,MATCH($C$96,'Сводный годовой график'!$B$1:$B$4),MATCH(DATE($AV$1,MONTH($B$94),V$3),'Сводный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график'!$B$1:$B$4),MATCH(DATE($AV$1,MONTH($B$94),V$3),'Сводный годовой график'!$C$14:$AR$14)))</f>
        <v>#N/A</v>
      </c>
      <c r="W96" s="92" t="e">
        <f ca="1">IF(AND(INDEX('Сводный годовой график'!$C$1:$AR$4,MATCH($C$96,'Сводный годовой график'!$B$1:$B$4),MATCH(DATE($AV$1,MONTH($B$94),W$3),'Сводный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график'!$B$1:$B$4),MATCH(DATE($AV$1,MONTH($B$94),W$3),'Сводный годовой график'!$C$14:$AR$14)))</f>
        <v>#N/A</v>
      </c>
      <c r="X96" s="92" t="e">
        <f ca="1">IF(AND(INDEX('Сводный годовой график'!$C$1:$AR$4,MATCH($C$96,'Сводный годовой график'!$B$1:$B$4),MATCH(DATE($AV$1,MONTH($B$94),X$3),'Сводный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график'!$B$1:$B$4),MATCH(DATE($AV$1,MONTH($B$94),X$3),'Сводный годовой график'!$C$14:$AR$14)))</f>
        <v>#N/A</v>
      </c>
      <c r="Y96" s="92" t="e">
        <f ca="1">IF(AND(INDEX('Сводный годовой график'!$C$1:$AR$4,MATCH($C$96,'Сводный годовой график'!$B$1:$B$4),MATCH(DATE($AV$1,MONTH($B$94),Y$3),'Сводный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график'!$B$1:$B$4),MATCH(DATE($AV$1,MONTH($B$94),Y$3),'Сводный годовой график'!$C$14:$AR$14)))</f>
        <v>#N/A</v>
      </c>
      <c r="Z96" s="92" t="e">
        <f ca="1">IF(AND(INDEX('Сводный годовой график'!$C$1:$AR$4,MATCH($C$96,'Сводный годовой график'!$B$1:$B$4),MATCH(DATE($AV$1,MONTH($B$94),Z$3),'Сводный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график'!$B$1:$B$4),MATCH(DATE($AV$1,MONTH($B$94),Z$3),'Сводный годовой график'!$C$14:$AR$14)))</f>
        <v>#N/A</v>
      </c>
      <c r="AA96" s="92" t="e">
        <f ca="1">IF(AND(INDEX('Сводный годовой график'!$C$1:$AR$4,MATCH($C$96,'Сводный годовой график'!$B$1:$B$4),MATCH(DATE($AV$1,MONTH($B$94),AA$3),'Сводный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график'!$B$1:$B$4),MATCH(DATE($AV$1,MONTH($B$94),AA$3),'Сводный годовой график'!$C$14:$AR$14)))</f>
        <v>#N/A</v>
      </c>
      <c r="AB96" s="92" t="e">
        <f ca="1">IF(AND(INDEX('Сводный годовой график'!$C$1:$AR$4,MATCH($C$96,'Сводный годовой график'!$B$1:$B$4),MATCH(DATE($AV$1,MONTH($B$94),AB$3),'Сводный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график'!$B$1:$B$4),MATCH(DATE($AV$1,MONTH($B$94),AB$3),'Сводный годовой график'!$C$14:$AR$14)))</f>
        <v>#N/A</v>
      </c>
      <c r="AC96" s="92" t="e">
        <f ca="1">IF(AND(INDEX('Сводный годовой график'!$C$1:$AR$4,MATCH($C$96,'Сводный годовой график'!$B$1:$B$4),MATCH(DATE($AV$1,MONTH($B$94),AC$3),'Сводный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график'!$B$1:$B$4),MATCH(DATE($AV$1,MONTH($B$94),AC$3),'Сводный годовой график'!$C$14:$AR$14)))</f>
        <v>#N/A</v>
      </c>
      <c r="AD96" s="92" t="e">
        <f ca="1">IF(AND(INDEX('Сводный годовой график'!$C$1:$AR$4,MATCH($C$96,'Сводный годовой график'!$B$1:$B$4),MATCH(DATE($AV$1,MONTH($B$94),AD$3),'Сводный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график'!$B$1:$B$4),MATCH(DATE($AV$1,MONTH($B$94),AD$3),'Сводный годовой график'!$C$14:$AR$14)))</f>
        <v>#N/A</v>
      </c>
      <c r="AE96" s="92" t="e">
        <f ca="1">IF(AND(INDEX('Сводный годовой график'!$C$1:$AR$4,MATCH($C$96,'Сводный годовой график'!$B$1:$B$4),MATCH(DATE($AV$1,MONTH($B$94),AE$3),'Сводный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график'!$B$1:$B$4),MATCH(DATE($AV$1,MONTH($B$94),AE$3),'Сводный годовой график'!$C$14:$AR$14)))</f>
        <v>#N/A</v>
      </c>
      <c r="AF96" s="92" t="e">
        <f ca="1">IF(AND(INDEX('Сводный годовой график'!$C$1:$AR$4,MATCH($C$96,'Сводный годовой график'!$B$1:$B$4),MATCH(DATE($AV$1,MONTH($B$94),AF$3),'Сводный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график'!$B$1:$B$4),MATCH(DATE($AV$1,MONTH($B$94),AF$3),'Сводный годовой график'!$C$14:$AR$14)))</f>
        <v>#N/A</v>
      </c>
      <c r="AG96" s="92" t="e">
        <f ca="1">IF(AND(INDEX('Сводный годовой график'!$C$1:$AR$4,MATCH($C$96,'Сводный годовой график'!$B$1:$B$4),MATCH(DATE($AV$1,MONTH($B$94),AG$3),'Сводный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график'!$B$1:$B$4),MATCH(DATE($AV$1,MONTH($B$94),AG$3),'Сводный годовой график'!$C$14:$AR$14)))</f>
        <v>#N/A</v>
      </c>
      <c r="AH96" s="92" t="e">
        <f ca="1">IF(AND(INDEX('Сводный годовой график'!$C$1:$AR$4,MATCH($C$96,'Сводный годовой график'!$B$1:$B$4),MATCH(DATE($AV$1,MONTH($B$94),AH$3),'Сводный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график'!$B$1:$B$4),MATCH(DATE($AV$1,MONTH($B$94),AH$3),'Сводный годовой график'!$C$14:$AR$14)))</f>
        <v>#N/A</v>
      </c>
      <c r="AI96" s="97" t="e">
        <f ca="1">IF(AND(INDEX('Сводный годовой график'!$C$1:$AR$4,MATCH($C$96,'Сводный годовой график'!$B$1:$B$4),MATCH(DATE($AV$1,MONTH($B$94),AI$3),'Сводный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график'!$B$1:$B$4),MATCH(DATE($AV$1,MONTH($B$94),AI$3),'Сводный годовой график'!$C$14:$AR$14)))</f>
        <v>#N/A</v>
      </c>
      <c r="AJ96" s="206"/>
      <c r="AK96" s="177">
        <f>$AJ$94-SUM(AY96:CC97)</f>
        <v>184</v>
      </c>
      <c r="AL96" s="177" t="e">
        <f t="shared" ref="AL96" ca="1" si="163">SUM(E96:AI97)</f>
        <v>#N/A</v>
      </c>
      <c r="AM96" s="177">
        <v>0</v>
      </c>
      <c r="AN96" s="198" t="e">
        <f t="shared" ref="AN96" ca="1" si="164">-AM96-AK96+AL96</f>
        <v>#N/A</v>
      </c>
      <c r="AO96" s="198">
        <v>0</v>
      </c>
      <c r="AP96" s="198" t="e">
        <f t="shared" ref="AP96" ca="1" si="165">AN96+AP86</f>
        <v>#N/A</v>
      </c>
      <c r="AQ96" s="177">
        <v>0</v>
      </c>
      <c r="AR96" s="179">
        <v>1</v>
      </c>
      <c r="CK96" s="59"/>
      <c r="CL96" s="59"/>
      <c r="CM96" s="59"/>
      <c r="CN96" s="59"/>
      <c r="CO96" s="59"/>
      <c r="CP96" s="59"/>
      <c r="CQ96" s="59"/>
      <c r="CR96" s="59"/>
      <c r="CS96" s="59"/>
      <c r="CT96" s="59"/>
      <c r="CU96" s="59"/>
      <c r="CV96" s="59"/>
      <c r="CW96" s="59"/>
      <c r="CX96" s="59"/>
      <c r="CY96" s="59"/>
      <c r="CZ96" s="59"/>
      <c r="DA96" s="59"/>
      <c r="DB96" s="59"/>
      <c r="DC96" s="59"/>
      <c r="DD96" s="59"/>
      <c r="DE96" s="59"/>
      <c r="DF96" s="59"/>
      <c r="DG96" s="59"/>
      <c r="DH96" s="59"/>
      <c r="DI96" s="59"/>
      <c r="DJ96" s="59"/>
      <c r="DK96" s="59"/>
      <c r="DL96" s="59"/>
      <c r="DM96" s="59"/>
      <c r="DN96" s="59"/>
      <c r="DO96" s="59"/>
    </row>
    <row r="97" spans="2:119" ht="16.5" thickBot="1" x14ac:dyDescent="0.3">
      <c r="B97" s="201"/>
      <c r="C97" s="197"/>
      <c r="D97" s="82">
        <v>4</v>
      </c>
      <c r="E97" s="92" t="str">
        <f t="shared" ref="E97:AI97" si="166">IF(INDEX($CK$4:$DO$123,ROW()-3,E$3)=0,"","СП")</f>
        <v/>
      </c>
      <c r="F97" s="92" t="str">
        <f t="shared" si="166"/>
        <v/>
      </c>
      <c r="G97" s="92" t="str">
        <f t="shared" si="166"/>
        <v/>
      </c>
      <c r="H97" s="92" t="str">
        <f t="shared" si="166"/>
        <v/>
      </c>
      <c r="I97" s="92" t="str">
        <f t="shared" si="166"/>
        <v/>
      </c>
      <c r="J97" s="92" t="str">
        <f t="shared" si="166"/>
        <v/>
      </c>
      <c r="K97" s="92" t="str">
        <f t="shared" si="166"/>
        <v/>
      </c>
      <c r="L97" s="92" t="str">
        <f t="shared" si="166"/>
        <v/>
      </c>
      <c r="M97" s="92" t="str">
        <f t="shared" si="166"/>
        <v/>
      </c>
      <c r="N97" s="92" t="str">
        <f t="shared" si="166"/>
        <v/>
      </c>
      <c r="O97" s="92" t="str">
        <f t="shared" si="166"/>
        <v>СП</v>
      </c>
      <c r="P97" s="92" t="str">
        <f t="shared" si="166"/>
        <v/>
      </c>
      <c r="Q97" s="92" t="str">
        <f t="shared" si="166"/>
        <v/>
      </c>
      <c r="R97" s="92" t="str">
        <f t="shared" si="166"/>
        <v/>
      </c>
      <c r="S97" s="92" t="str">
        <f t="shared" si="166"/>
        <v/>
      </c>
      <c r="T97" s="92" t="str">
        <f t="shared" si="166"/>
        <v/>
      </c>
      <c r="U97" s="92" t="str">
        <f t="shared" si="166"/>
        <v/>
      </c>
      <c r="V97" s="92" t="str">
        <f t="shared" si="166"/>
        <v/>
      </c>
      <c r="W97" s="92" t="str">
        <f t="shared" si="166"/>
        <v/>
      </c>
      <c r="X97" s="92" t="str">
        <f t="shared" si="166"/>
        <v/>
      </c>
      <c r="Y97" s="92" t="str">
        <f t="shared" si="166"/>
        <v/>
      </c>
      <c r="Z97" s="92" t="str">
        <f t="shared" si="166"/>
        <v/>
      </c>
      <c r="AA97" s="92" t="str">
        <f t="shared" si="166"/>
        <v/>
      </c>
      <c r="AB97" s="92" t="str">
        <f t="shared" si="166"/>
        <v/>
      </c>
      <c r="AC97" s="92" t="str">
        <f t="shared" si="166"/>
        <v/>
      </c>
      <c r="AD97" s="92" t="str">
        <f t="shared" si="166"/>
        <v/>
      </c>
      <c r="AE97" s="92" t="str">
        <f t="shared" si="166"/>
        <v/>
      </c>
      <c r="AF97" s="92" t="str">
        <f t="shared" si="166"/>
        <v/>
      </c>
      <c r="AG97" s="92" t="str">
        <f t="shared" si="166"/>
        <v/>
      </c>
      <c r="AH97" s="92" t="str">
        <f t="shared" si="166"/>
        <v/>
      </c>
      <c r="AI97" s="97" t="str">
        <f t="shared" si="166"/>
        <v/>
      </c>
      <c r="AJ97" s="206"/>
      <c r="AK97" s="177"/>
      <c r="AL97" s="177"/>
      <c r="AM97" s="177"/>
      <c r="AN97" s="198"/>
      <c r="AO97" s="198"/>
      <c r="AP97" s="198"/>
      <c r="AQ97" s="177"/>
      <c r="AR97" s="179"/>
      <c r="CK97" s="58">
        <f>IF(DAY(INDEX('Сводный годовой график'!$BA$4:$BL$14,$C96,MONTH($B$94)))=E$3,1,0)</f>
        <v>0</v>
      </c>
      <c r="CL97" s="58">
        <f>IF(DAY(INDEX('Сводный годовой график'!$BA$4:$BL$14,$C96,MONTH($B$94)))=F$3,1,0)</f>
        <v>0</v>
      </c>
      <c r="CM97" s="58">
        <f>IF(DAY(INDEX('Сводный годовой график'!$BA$4:$BL$14,$C96,MONTH($B$94)))=G$3,1,0)</f>
        <v>0</v>
      </c>
      <c r="CN97" s="58">
        <f>IF(DAY(INDEX('Сводный годовой график'!$BA$4:$BL$14,$C96,MONTH($B$94)))=H$3,1,0)</f>
        <v>0</v>
      </c>
      <c r="CO97" s="58">
        <f>IF(DAY(INDEX('Сводный годовой график'!$BA$4:$BL$14,$C96,MONTH($B$94)))=I$3,1,0)</f>
        <v>0</v>
      </c>
      <c r="CP97" s="58">
        <f>IF(DAY(INDEX('Сводный годовой график'!$BA$4:$BL$14,$C96,MONTH($B$94)))=J$3,1,0)</f>
        <v>0</v>
      </c>
      <c r="CQ97" s="58">
        <f>IF(DAY(INDEX('Сводный годовой график'!$BA$4:$BL$14,$C96,MONTH($B$94)))=K$3,1,0)</f>
        <v>0</v>
      </c>
      <c r="CR97" s="58">
        <f>IF(DAY(INDEX('Сводный годовой график'!$BA$4:$BL$14,$C96,MONTH($B$94)))=L$3,1,0)</f>
        <v>0</v>
      </c>
      <c r="CS97" s="58">
        <f>IF(DAY(INDEX('Сводный годовой график'!$BA$4:$BL$14,$C96,MONTH($B$94)))=M$3,1,0)</f>
        <v>0</v>
      </c>
      <c r="CT97" s="58">
        <f>IF(DAY(INDEX('Сводный годовой график'!$BA$4:$BL$14,$C96,MONTH($B$94)))=N$3,1,0)</f>
        <v>0</v>
      </c>
      <c r="CU97" s="58">
        <f>IF(DAY(INDEX('Сводный годовой график'!$BA$4:$BL$14,$C96,MONTH($B$94)))=O$3,1,0)</f>
        <v>1</v>
      </c>
      <c r="CV97" s="58">
        <f>IF(DAY(INDEX('Сводный годовой график'!$BA$4:$BL$14,$C96,MONTH($B$94)))=P$3,1,0)</f>
        <v>0</v>
      </c>
      <c r="CW97" s="58">
        <f>IF(DAY(INDEX('Сводный годовой график'!$BA$4:$BL$14,$C96,MONTH($B$94)))=Q$3,1,0)</f>
        <v>0</v>
      </c>
      <c r="CX97" s="58">
        <f>IF(DAY(INDEX('Сводный годовой график'!$BA$4:$BL$14,$C96,MONTH($B$94)))=R$3,1,0)</f>
        <v>0</v>
      </c>
      <c r="CY97" s="58">
        <f>IF(DAY(INDEX('Сводный годовой график'!$BA$4:$BL$14,$C96,MONTH($B$94)))=S$3,1,0)</f>
        <v>0</v>
      </c>
      <c r="CZ97" s="58">
        <f>IF(DAY(INDEX('Сводный годовой график'!$BA$4:$BL$14,$C96,MONTH($B$94)))=T$3,1,0)</f>
        <v>0</v>
      </c>
      <c r="DA97" s="58">
        <f>IF(DAY(INDEX('Сводный годовой график'!$BA$4:$BL$14,$C96,MONTH($B$94)))=U$3,1,0)</f>
        <v>0</v>
      </c>
      <c r="DB97" s="58">
        <f>IF(DAY(INDEX('Сводный годовой график'!$BA$4:$BL$14,$C96,MONTH($B$94)))=V$3,1,0)</f>
        <v>0</v>
      </c>
      <c r="DC97" s="58">
        <f>IF(DAY(INDEX('Сводный годовой график'!$BA$4:$BL$14,$C96,MONTH($B$94)))=W$3,1,0)</f>
        <v>0</v>
      </c>
      <c r="DD97" s="58">
        <f>IF(DAY(INDEX('Сводный годовой график'!$BA$4:$BL$14,$C96,MONTH($B$94)))=X$3,1,0)</f>
        <v>0</v>
      </c>
      <c r="DE97" s="58">
        <f>IF(DAY(INDEX('Сводный годовой график'!$BA$4:$BL$14,$C96,MONTH($B$94)))=Y$3,1,0)</f>
        <v>0</v>
      </c>
      <c r="DF97" s="58">
        <f>IF(DAY(INDEX('Сводный годовой график'!$BA$4:$BL$14,$C96,MONTH($B$94)))=Z$3,1,0)</f>
        <v>0</v>
      </c>
      <c r="DG97" s="58">
        <f>IF(DAY(INDEX('Сводный годовой график'!$BA$4:$BL$14,$C96,MONTH($B$94)))=AA$3,1,0)</f>
        <v>0</v>
      </c>
      <c r="DH97" s="58">
        <f>IF(DAY(INDEX('Сводный годовой график'!$BA$4:$BL$14,$C96,MONTH($B$94)))=AB$3,1,0)</f>
        <v>0</v>
      </c>
      <c r="DI97" s="58">
        <f>IF(DAY(INDEX('Сводный годовой график'!$BA$4:$BL$14,$C96,MONTH($B$94)))=AC$3,1,0)</f>
        <v>0</v>
      </c>
      <c r="DJ97" s="58">
        <f>IF(DAY(INDEX('Сводный годовой график'!$BA$4:$BL$14,$C96,MONTH($B$94)))=AD$3,1,0)</f>
        <v>0</v>
      </c>
      <c r="DK97" s="58">
        <f>IF(DAY(INDEX('Сводный годовой график'!$BA$4:$BL$14,$C96,MONTH($B$94)))=AE$3,1,0)</f>
        <v>0</v>
      </c>
      <c r="DL97" s="58">
        <f>IF(DAY(INDEX('Сводный годовой график'!$BA$4:$BL$14,$C96,MONTH($B$94)))=AF$3,1,0)</f>
        <v>0</v>
      </c>
      <c r="DM97" s="58">
        <f>IF(DAY(INDEX('Сводный годовой график'!$BA$4:$BL$14,$C96,MONTH($B$94)))=AG$3,1,0)</f>
        <v>0</v>
      </c>
      <c r="DN97" s="58">
        <f>IF(DAY(INDEX('Сводный годовой график'!$BA$4:$BL$14,$C96,MONTH($B$94)))=AH$3,1,0)</f>
        <v>0</v>
      </c>
      <c r="DO97" s="58">
        <f>IF(DAY(INDEX('Сводный годовой график'!$BA$4:$BL$14,$C96,MONTH($B$94)))=AI$3,1,0)</f>
        <v>0</v>
      </c>
    </row>
    <row r="98" spans="2:119" ht="16.5" thickBot="1" x14ac:dyDescent="0.3">
      <c r="B98" s="201"/>
      <c r="C98" s="196">
        <v>3</v>
      </c>
      <c r="D98" s="81">
        <v>5</v>
      </c>
      <c r="E98" s="92" t="e">
        <f ca="1">IF(AND(INDEX('Сводный годовой график'!$C$1:$AR$4,MATCH($C$98,'Сводный годовой график'!$B$1:$B$4),MATCH(DATE($AV$1,MONTH($B$94),E$3),'Сводный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график'!$B$1:$B$4),MATCH(DATE($AV$1,MONTH($B$94),E$3),'Сводный годовой график'!$C$14:$AR$14)))</f>
        <v>#N/A</v>
      </c>
      <c r="F98" s="92" t="e">
        <f ca="1">IF(AND(INDEX('Сводный годовой график'!$C$1:$AR$4,MATCH($C$98,'Сводный годовой график'!$B$1:$B$4),MATCH(DATE($AV$1,MONTH($B$94),F$3),'Сводный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график'!$B$1:$B$4),MATCH(DATE($AV$1,MONTH($B$94),F$3),'Сводный годовой график'!$C$14:$AR$14)))</f>
        <v>#N/A</v>
      </c>
      <c r="G98" s="92" t="e">
        <f ca="1">IF(AND(INDEX('Сводный годовой график'!$C$1:$AR$4,MATCH($C$98,'Сводный годовой график'!$B$1:$B$4),MATCH(DATE($AV$1,MONTH($B$94),G$3),'Сводный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график'!$B$1:$B$4),MATCH(DATE($AV$1,MONTH($B$94),G$3),'Сводный годовой график'!$C$14:$AR$14)))</f>
        <v>#N/A</v>
      </c>
      <c r="H98" s="92" t="e">
        <f ca="1">IF(AND(INDEX('Сводный годовой график'!$C$1:$AR$4,MATCH($C$98,'Сводный годовой график'!$B$1:$B$4),MATCH(DATE($AV$1,MONTH($B$94),H$3),'Сводный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график'!$B$1:$B$4),MATCH(DATE($AV$1,MONTH($B$94),H$3),'Сводный годовой график'!$C$14:$AR$14)))</f>
        <v>#N/A</v>
      </c>
      <c r="I98" s="92" t="e">
        <f ca="1">IF(AND(INDEX('Сводный годовой график'!$C$1:$AR$4,MATCH($C$98,'Сводный годовой график'!$B$1:$B$4),MATCH(DATE($AV$1,MONTH($B$94),I$3),'Сводный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график'!$B$1:$B$4),MATCH(DATE($AV$1,MONTH($B$94),I$3),'Сводный годовой график'!$C$14:$AR$14)))</f>
        <v>#N/A</v>
      </c>
      <c r="J98" s="92" t="e">
        <f ca="1">IF(AND(INDEX('Сводный годовой график'!$C$1:$AR$4,MATCH($C$98,'Сводный годовой график'!$B$1:$B$4),MATCH(DATE($AV$1,MONTH($B$94),J$3),'Сводный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график'!$B$1:$B$4),MATCH(DATE($AV$1,MONTH($B$94),J$3),'Сводный годовой график'!$C$14:$AR$14)))</f>
        <v>#N/A</v>
      </c>
      <c r="K98" s="92" t="e">
        <f ca="1">IF(AND(INDEX('Сводный годовой график'!$C$1:$AR$4,MATCH($C$98,'Сводный годовой график'!$B$1:$B$4),MATCH(DATE($AV$1,MONTH($B$94),K$3),'Сводный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график'!$B$1:$B$4),MATCH(DATE($AV$1,MONTH($B$94),K$3),'Сводный годовой график'!$C$14:$AR$14)))</f>
        <v>#N/A</v>
      </c>
      <c r="L98" s="92" t="e">
        <f ca="1">IF(AND(INDEX('Сводный годовой график'!$C$1:$AR$4,MATCH($C$98,'Сводный годовой график'!$B$1:$B$4),MATCH(DATE($AV$1,MONTH($B$94),L$3),'Сводный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график'!$B$1:$B$4),MATCH(DATE($AV$1,MONTH($B$94),L$3),'Сводный годовой график'!$C$14:$AR$14)))</f>
        <v>#N/A</v>
      </c>
      <c r="M98" s="92" t="e">
        <f ca="1">IF(AND(INDEX('Сводный годовой график'!$C$1:$AR$4,MATCH($C$98,'Сводный годовой график'!$B$1:$B$4),MATCH(DATE($AV$1,MONTH($B$94),M$3),'Сводный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график'!$B$1:$B$4),MATCH(DATE($AV$1,MONTH($B$94),M$3),'Сводный годовой график'!$C$14:$AR$14)))</f>
        <v>#N/A</v>
      </c>
      <c r="N98" s="92" t="e">
        <f ca="1">IF(AND(INDEX('Сводный годовой график'!$C$1:$AR$4,MATCH($C$98,'Сводный годовой график'!$B$1:$B$4),MATCH(DATE($AV$1,MONTH($B$94),N$3),'Сводный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график'!$B$1:$B$4),MATCH(DATE($AV$1,MONTH($B$94),N$3),'Сводный годовой график'!$C$14:$AR$14)))</f>
        <v>#N/A</v>
      </c>
      <c r="O98" s="92" t="e">
        <f ca="1">IF(AND(INDEX('Сводный годовой график'!$C$1:$AR$4,MATCH($C$98,'Сводный годовой график'!$B$1:$B$4),MATCH(DATE($AV$1,MONTH($B$94),O$3),'Сводный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график'!$B$1:$B$4),MATCH(DATE($AV$1,MONTH($B$94),O$3),'Сводный годовой график'!$C$14:$AR$14)))</f>
        <v>#N/A</v>
      </c>
      <c r="P98" s="92" t="e">
        <f ca="1">IF(AND(INDEX('Сводный годовой график'!$C$1:$AR$4,MATCH($C$98,'Сводный годовой график'!$B$1:$B$4),MATCH(DATE($AV$1,MONTH($B$94),P$3),'Сводный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график'!$B$1:$B$4),MATCH(DATE($AV$1,MONTH($B$94),P$3),'Сводный годовой график'!$C$14:$AR$14)))</f>
        <v>#N/A</v>
      </c>
      <c r="Q98" s="92" t="e">
        <f ca="1">IF(AND(INDEX('Сводный годовой график'!$C$1:$AR$4,MATCH($C$98,'Сводный годовой график'!$B$1:$B$4),MATCH(DATE($AV$1,MONTH($B$94),Q$3),'Сводный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график'!$B$1:$B$4),MATCH(DATE($AV$1,MONTH($B$94),Q$3),'Сводный годовой график'!$C$14:$AR$14)))</f>
        <v>#N/A</v>
      </c>
      <c r="R98" s="92" t="e">
        <f ca="1">IF(AND(INDEX('Сводный годовой график'!$C$1:$AR$4,MATCH($C$98,'Сводный годовой график'!$B$1:$B$4),MATCH(DATE($AV$1,MONTH($B$94),R$3),'Сводный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график'!$B$1:$B$4),MATCH(DATE($AV$1,MONTH($B$94),R$3),'Сводный годовой график'!$C$14:$AR$14)))</f>
        <v>#N/A</v>
      </c>
      <c r="S98" s="92" t="e">
        <f ca="1">IF(AND(INDEX('Сводный годовой график'!$C$1:$AR$4,MATCH($C$98,'Сводный годовой график'!$B$1:$B$4),MATCH(DATE($AV$1,MONTH($B$94),S$3),'Сводный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график'!$B$1:$B$4),MATCH(DATE($AV$1,MONTH($B$94),S$3),'Сводный годовой график'!$C$14:$AR$14)))</f>
        <v>#N/A</v>
      </c>
      <c r="T98" s="92" t="e">
        <f ca="1">IF(AND(INDEX('Сводный годовой график'!$C$1:$AR$4,MATCH($C$98,'Сводный годовой график'!$B$1:$B$4),MATCH(DATE($AV$1,MONTH($B$94),T$3),'Сводный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график'!$B$1:$B$4),MATCH(DATE($AV$1,MONTH($B$94),T$3),'Сводный годовой график'!$C$14:$AR$14)))</f>
        <v>#N/A</v>
      </c>
      <c r="U98" s="92" t="e">
        <f ca="1">IF(AND(INDEX('Сводный годовой график'!$C$1:$AR$4,MATCH($C$98,'Сводный годовой график'!$B$1:$B$4),MATCH(DATE($AV$1,MONTH($B$94),U$3),'Сводный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график'!$B$1:$B$4),MATCH(DATE($AV$1,MONTH($B$94),U$3),'Сводный годовой график'!$C$14:$AR$14)))</f>
        <v>#N/A</v>
      </c>
      <c r="V98" s="92" t="e">
        <f ca="1">IF(AND(INDEX('Сводный годовой график'!$C$1:$AR$4,MATCH($C$98,'Сводный годовой график'!$B$1:$B$4),MATCH(DATE($AV$1,MONTH($B$94),V$3),'Сводный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график'!$B$1:$B$4),MATCH(DATE($AV$1,MONTH($B$94),V$3),'Сводный годовой график'!$C$14:$AR$14)))</f>
        <v>#N/A</v>
      </c>
      <c r="W98" s="92" t="e">
        <f ca="1">IF(AND(INDEX('Сводный годовой график'!$C$1:$AR$4,MATCH($C$98,'Сводный годовой график'!$B$1:$B$4),MATCH(DATE($AV$1,MONTH($B$94),W$3),'Сводный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график'!$B$1:$B$4),MATCH(DATE($AV$1,MONTH($B$94),W$3),'Сводный годовой график'!$C$14:$AR$14)))</f>
        <v>#N/A</v>
      </c>
      <c r="X98" s="92" t="e">
        <f ca="1">IF(AND(INDEX('Сводный годовой график'!$C$1:$AR$4,MATCH($C$98,'Сводный годовой график'!$B$1:$B$4),MATCH(DATE($AV$1,MONTH($B$94),X$3),'Сводный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график'!$B$1:$B$4),MATCH(DATE($AV$1,MONTH($B$94),X$3),'Сводный годовой график'!$C$14:$AR$14)))</f>
        <v>#N/A</v>
      </c>
      <c r="Y98" s="92" t="e">
        <f ca="1">IF(AND(INDEX('Сводный годовой график'!$C$1:$AR$4,MATCH($C$98,'Сводный годовой график'!$B$1:$B$4),MATCH(DATE($AV$1,MONTH($B$94),Y$3),'Сводный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график'!$B$1:$B$4),MATCH(DATE($AV$1,MONTH($B$94),Y$3),'Сводный годовой график'!$C$14:$AR$14)))</f>
        <v>#N/A</v>
      </c>
      <c r="Z98" s="92" t="e">
        <f ca="1">IF(AND(INDEX('Сводный годовой график'!$C$1:$AR$4,MATCH($C$98,'Сводный годовой график'!$B$1:$B$4),MATCH(DATE($AV$1,MONTH($B$94),Z$3),'Сводный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график'!$B$1:$B$4),MATCH(DATE($AV$1,MONTH($B$94),Z$3),'Сводный годовой график'!$C$14:$AR$14)))</f>
        <v>#N/A</v>
      </c>
      <c r="AA98" s="92" t="e">
        <f ca="1">IF(AND(INDEX('Сводный годовой график'!$C$1:$AR$4,MATCH($C$98,'Сводный годовой график'!$B$1:$B$4),MATCH(DATE($AV$1,MONTH($B$94),AA$3),'Сводный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график'!$B$1:$B$4),MATCH(DATE($AV$1,MONTH($B$94),AA$3),'Сводный годовой график'!$C$14:$AR$14)))</f>
        <v>#N/A</v>
      </c>
      <c r="AB98" s="92" t="e">
        <f ca="1">IF(AND(INDEX('Сводный годовой график'!$C$1:$AR$4,MATCH($C$98,'Сводный годовой график'!$B$1:$B$4),MATCH(DATE($AV$1,MONTH($B$94),AB$3),'Сводный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график'!$B$1:$B$4),MATCH(DATE($AV$1,MONTH($B$94),AB$3),'Сводный годовой график'!$C$14:$AR$14)))</f>
        <v>#N/A</v>
      </c>
      <c r="AC98" s="92" t="e">
        <f ca="1">IF(AND(INDEX('Сводный годовой график'!$C$1:$AR$4,MATCH($C$98,'Сводный годовой график'!$B$1:$B$4),MATCH(DATE($AV$1,MONTH($B$94),AC$3),'Сводный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график'!$B$1:$B$4),MATCH(DATE($AV$1,MONTH($B$94),AC$3),'Сводный годовой график'!$C$14:$AR$14)))</f>
        <v>#N/A</v>
      </c>
      <c r="AD98" s="92" t="e">
        <f ca="1">IF(AND(INDEX('Сводный годовой график'!$C$1:$AR$4,MATCH($C$98,'Сводный годовой график'!$B$1:$B$4),MATCH(DATE($AV$1,MONTH($B$94),AD$3),'Сводный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график'!$B$1:$B$4),MATCH(DATE($AV$1,MONTH($B$94),AD$3),'Сводный годовой график'!$C$14:$AR$14)))</f>
        <v>#N/A</v>
      </c>
      <c r="AE98" s="92" t="e">
        <f ca="1">IF(AND(INDEX('Сводный годовой график'!$C$1:$AR$4,MATCH($C$98,'Сводный годовой график'!$B$1:$B$4),MATCH(DATE($AV$1,MONTH($B$94),AE$3),'Сводный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график'!$B$1:$B$4),MATCH(DATE($AV$1,MONTH($B$94),AE$3),'Сводный годовой график'!$C$14:$AR$14)))</f>
        <v>#N/A</v>
      </c>
      <c r="AF98" s="92" t="e">
        <f ca="1">IF(AND(INDEX('Сводный годовой график'!$C$1:$AR$4,MATCH($C$98,'Сводный годовой график'!$B$1:$B$4),MATCH(DATE($AV$1,MONTH($B$94),AF$3),'Сводный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график'!$B$1:$B$4),MATCH(DATE($AV$1,MONTH($B$94),AF$3),'Сводный годовой график'!$C$14:$AR$14)))</f>
        <v>#N/A</v>
      </c>
      <c r="AG98" s="92" t="e">
        <f ca="1">IF(AND(INDEX('Сводный годовой график'!$C$1:$AR$4,MATCH($C$98,'Сводный годовой график'!$B$1:$B$4),MATCH(DATE($AV$1,MONTH($B$94),AG$3),'Сводный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график'!$B$1:$B$4),MATCH(DATE($AV$1,MONTH($B$94),AG$3),'Сводный годовой график'!$C$14:$AR$14)))</f>
        <v>#N/A</v>
      </c>
      <c r="AH98" s="92" t="e">
        <f ca="1">IF(AND(INDEX('Сводный годовой график'!$C$1:$AR$4,MATCH($C$98,'Сводный годовой график'!$B$1:$B$4),MATCH(DATE($AV$1,MONTH($B$94),AH$3),'Сводный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график'!$B$1:$B$4),MATCH(DATE($AV$1,MONTH($B$94),AH$3),'Сводный годовой график'!$C$14:$AR$14)))</f>
        <v>#N/A</v>
      </c>
      <c r="AI98" s="97" t="e">
        <f ca="1">IF(AND(INDEX('Сводный годовой график'!$C$1:$AR$4,MATCH($C$98,'Сводный годовой график'!$B$1:$B$4),MATCH(DATE($AV$1,MONTH($B$94),AI$3),'Сводный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график'!$B$1:$B$4),MATCH(DATE($AV$1,MONTH($B$94),AI$3),'Сводный годовой график'!$C$14:$AR$14)))</f>
        <v>#N/A</v>
      </c>
      <c r="AJ98" s="206"/>
      <c r="AK98" s="177">
        <f>$AJ$94-SUM(AY98:CC99)</f>
        <v>184</v>
      </c>
      <c r="AL98" s="177" t="e">
        <f t="shared" ref="AL98" ca="1" si="167">SUM(E98:AI99)</f>
        <v>#N/A</v>
      </c>
      <c r="AM98" s="177">
        <v>0</v>
      </c>
      <c r="AN98" s="198" t="e">
        <f t="shared" ref="AN98" ca="1" si="168">-AM98-AK98+AL98</f>
        <v>#N/A</v>
      </c>
      <c r="AO98" s="198">
        <v>0</v>
      </c>
      <c r="AP98" s="198" t="e">
        <f t="shared" ref="AP98" ca="1" si="169">AN98+AP88</f>
        <v>#N/A</v>
      </c>
      <c r="AQ98" s="177">
        <v>14</v>
      </c>
      <c r="AR98" s="179">
        <v>0</v>
      </c>
      <c r="CK98" s="59"/>
      <c r="CL98" s="59"/>
      <c r="CM98" s="59"/>
      <c r="CN98" s="59"/>
      <c r="CO98" s="59"/>
      <c r="CP98" s="59"/>
      <c r="CQ98" s="59"/>
      <c r="CR98" s="59"/>
      <c r="CS98" s="59"/>
      <c r="CT98" s="59"/>
      <c r="CU98" s="59"/>
      <c r="CV98" s="59"/>
      <c r="CW98" s="59"/>
      <c r="CX98" s="59"/>
      <c r="CY98" s="59"/>
      <c r="CZ98" s="59"/>
      <c r="DA98" s="59"/>
      <c r="DB98" s="59"/>
      <c r="DC98" s="59"/>
      <c r="DD98" s="59"/>
      <c r="DE98" s="59"/>
      <c r="DF98" s="59"/>
      <c r="DG98" s="59"/>
      <c r="DH98" s="59"/>
      <c r="DI98" s="59"/>
      <c r="DJ98" s="59"/>
      <c r="DK98" s="59"/>
      <c r="DL98" s="59"/>
      <c r="DM98" s="59"/>
      <c r="DN98" s="59"/>
      <c r="DO98" s="59"/>
    </row>
    <row r="99" spans="2:119" ht="16.5" thickBot="1" x14ac:dyDescent="0.3">
      <c r="B99" s="201"/>
      <c r="C99" s="197"/>
      <c r="D99" s="82">
        <v>6</v>
      </c>
      <c r="E99" s="92" t="str">
        <f t="shared" ref="E99:AI99" si="170">IF(INDEX($CK$4:$DO$123,ROW()-3,E$3)=0,"","СП")</f>
        <v/>
      </c>
      <c r="F99" s="92" t="str">
        <f t="shared" si="170"/>
        <v/>
      </c>
      <c r="G99" s="92" t="str">
        <f t="shared" si="170"/>
        <v/>
      </c>
      <c r="H99" s="92" t="str">
        <f t="shared" si="170"/>
        <v/>
      </c>
      <c r="I99" s="92" t="str">
        <f t="shared" si="170"/>
        <v/>
      </c>
      <c r="J99" s="92" t="str">
        <f t="shared" si="170"/>
        <v/>
      </c>
      <c r="K99" s="92" t="str">
        <f t="shared" si="170"/>
        <v/>
      </c>
      <c r="L99" s="92" t="str">
        <f t="shared" si="170"/>
        <v/>
      </c>
      <c r="M99" s="92" t="str">
        <f t="shared" si="170"/>
        <v/>
      </c>
      <c r="N99" s="92" t="str">
        <f t="shared" si="170"/>
        <v/>
      </c>
      <c r="O99" s="92" t="str">
        <f t="shared" si="170"/>
        <v/>
      </c>
      <c r="P99" s="92" t="str">
        <f t="shared" si="170"/>
        <v>СП</v>
      </c>
      <c r="Q99" s="92" t="str">
        <f t="shared" si="170"/>
        <v/>
      </c>
      <c r="R99" s="92" t="str">
        <f t="shared" si="170"/>
        <v/>
      </c>
      <c r="S99" s="92" t="str">
        <f t="shared" si="170"/>
        <v/>
      </c>
      <c r="T99" s="92" t="str">
        <f t="shared" si="170"/>
        <v/>
      </c>
      <c r="U99" s="92" t="str">
        <f t="shared" si="170"/>
        <v/>
      </c>
      <c r="V99" s="92" t="str">
        <f t="shared" si="170"/>
        <v/>
      </c>
      <c r="W99" s="92" t="str">
        <f t="shared" si="170"/>
        <v/>
      </c>
      <c r="X99" s="92" t="str">
        <f t="shared" si="170"/>
        <v/>
      </c>
      <c r="Y99" s="92" t="str">
        <f t="shared" si="170"/>
        <v/>
      </c>
      <c r="Z99" s="92" t="str">
        <f t="shared" si="170"/>
        <v/>
      </c>
      <c r="AA99" s="92" t="str">
        <f t="shared" si="170"/>
        <v/>
      </c>
      <c r="AB99" s="92" t="str">
        <f t="shared" si="170"/>
        <v/>
      </c>
      <c r="AC99" s="92" t="str">
        <f t="shared" si="170"/>
        <v/>
      </c>
      <c r="AD99" s="92" t="str">
        <f t="shared" si="170"/>
        <v/>
      </c>
      <c r="AE99" s="92" t="str">
        <f t="shared" si="170"/>
        <v/>
      </c>
      <c r="AF99" s="92" t="str">
        <f t="shared" si="170"/>
        <v/>
      </c>
      <c r="AG99" s="92" t="str">
        <f t="shared" si="170"/>
        <v/>
      </c>
      <c r="AH99" s="92" t="str">
        <f t="shared" si="170"/>
        <v/>
      </c>
      <c r="AI99" s="97" t="str">
        <f t="shared" si="170"/>
        <v/>
      </c>
      <c r="AJ99" s="206"/>
      <c r="AK99" s="177"/>
      <c r="AL99" s="177"/>
      <c r="AM99" s="177"/>
      <c r="AN99" s="198"/>
      <c r="AO99" s="198"/>
      <c r="AP99" s="198"/>
      <c r="AQ99" s="177"/>
      <c r="AR99" s="179"/>
      <c r="CK99" s="58">
        <f>IF(DAY(INDEX('Сводный годовой график'!$BA$4:$BL$14,$C98,MONTH($B$94)))=E$3,1,0)</f>
        <v>0</v>
      </c>
      <c r="CL99" s="58">
        <f>IF(DAY(INDEX('Сводный годовой график'!$BA$4:$BL$14,$C98,MONTH($B$94)))=F$3,1,0)</f>
        <v>0</v>
      </c>
      <c r="CM99" s="58">
        <f>IF(DAY(INDEX('Сводный годовой график'!$BA$4:$BL$14,$C98,MONTH($B$94)))=G$3,1,0)</f>
        <v>0</v>
      </c>
      <c r="CN99" s="58">
        <f>IF(DAY(INDEX('Сводный годовой график'!$BA$4:$BL$14,$C98,MONTH($B$94)))=H$3,1,0)</f>
        <v>0</v>
      </c>
      <c r="CO99" s="58">
        <f>IF(DAY(INDEX('Сводный годовой график'!$BA$4:$BL$14,$C98,MONTH($B$94)))=I$3,1,0)</f>
        <v>0</v>
      </c>
      <c r="CP99" s="58">
        <f>IF(DAY(INDEX('Сводный годовой график'!$BA$4:$BL$14,$C98,MONTH($B$94)))=J$3,1,0)</f>
        <v>0</v>
      </c>
      <c r="CQ99" s="58">
        <f>IF(DAY(INDEX('Сводный годовой график'!$BA$4:$BL$14,$C98,MONTH($B$94)))=K$3,1,0)</f>
        <v>0</v>
      </c>
      <c r="CR99" s="58">
        <f>IF(DAY(INDEX('Сводный годовой график'!$BA$4:$BL$14,$C98,MONTH($B$94)))=L$3,1,0)</f>
        <v>0</v>
      </c>
      <c r="CS99" s="58">
        <f>IF(DAY(INDEX('Сводный годовой график'!$BA$4:$BL$14,$C98,MONTH($B$94)))=M$3,1,0)</f>
        <v>0</v>
      </c>
      <c r="CT99" s="58">
        <f>IF(DAY(INDEX('Сводный годовой график'!$BA$4:$BL$14,$C98,MONTH($B$94)))=N$3,1,0)</f>
        <v>0</v>
      </c>
      <c r="CU99" s="58">
        <f>IF(DAY(INDEX('Сводный годовой график'!$BA$4:$BL$14,$C98,MONTH($B$94)))=O$3,1,0)</f>
        <v>0</v>
      </c>
      <c r="CV99" s="58">
        <f>IF(DAY(INDEX('Сводный годовой график'!$BA$4:$BL$14,$C98,MONTH($B$94)))=P$3,1,0)</f>
        <v>1</v>
      </c>
      <c r="CW99" s="58">
        <f>IF(DAY(INDEX('Сводный годовой график'!$BA$4:$BL$14,$C98,MONTH($B$94)))=Q$3,1,0)</f>
        <v>0</v>
      </c>
      <c r="CX99" s="58">
        <f>IF(DAY(INDEX('Сводный годовой график'!$BA$4:$BL$14,$C98,MONTH($B$94)))=R$3,1,0)</f>
        <v>0</v>
      </c>
      <c r="CY99" s="58">
        <f>IF(DAY(INDEX('Сводный годовой график'!$BA$4:$BL$14,$C98,MONTH($B$94)))=S$3,1,0)</f>
        <v>0</v>
      </c>
      <c r="CZ99" s="58">
        <f>IF(DAY(INDEX('Сводный годовой график'!$BA$4:$BL$14,$C98,MONTH($B$94)))=T$3,1,0)</f>
        <v>0</v>
      </c>
      <c r="DA99" s="58">
        <f>IF(DAY(INDEX('Сводный годовой график'!$BA$4:$BL$14,$C98,MONTH($B$94)))=U$3,1,0)</f>
        <v>0</v>
      </c>
      <c r="DB99" s="58">
        <f>IF(DAY(INDEX('Сводный годовой график'!$BA$4:$BL$14,$C98,MONTH($B$94)))=V$3,1,0)</f>
        <v>0</v>
      </c>
      <c r="DC99" s="58">
        <f>IF(DAY(INDEX('Сводный годовой график'!$BA$4:$BL$14,$C98,MONTH($B$94)))=W$3,1,0)</f>
        <v>0</v>
      </c>
      <c r="DD99" s="58">
        <f>IF(DAY(INDEX('Сводный годовой график'!$BA$4:$BL$14,$C98,MONTH($B$94)))=X$3,1,0)</f>
        <v>0</v>
      </c>
      <c r="DE99" s="58">
        <f>IF(DAY(INDEX('Сводный годовой график'!$BA$4:$BL$14,$C98,MONTH($B$94)))=Y$3,1,0)</f>
        <v>0</v>
      </c>
      <c r="DF99" s="58">
        <f>IF(DAY(INDEX('Сводный годовой график'!$BA$4:$BL$14,$C98,MONTH($B$94)))=Z$3,1,0)</f>
        <v>0</v>
      </c>
      <c r="DG99" s="58">
        <f>IF(DAY(INDEX('Сводный годовой график'!$BA$4:$BL$14,$C98,MONTH($B$94)))=AA$3,1,0)</f>
        <v>0</v>
      </c>
      <c r="DH99" s="58">
        <f>IF(DAY(INDEX('Сводный годовой график'!$BA$4:$BL$14,$C98,MONTH($B$94)))=AB$3,1,0)</f>
        <v>0</v>
      </c>
      <c r="DI99" s="58">
        <f>IF(DAY(INDEX('Сводный годовой график'!$BA$4:$BL$14,$C98,MONTH($B$94)))=AC$3,1,0)</f>
        <v>0</v>
      </c>
      <c r="DJ99" s="58">
        <f>IF(DAY(INDEX('Сводный годовой график'!$BA$4:$BL$14,$C98,MONTH($B$94)))=AD$3,1,0)</f>
        <v>0</v>
      </c>
      <c r="DK99" s="58">
        <f>IF(DAY(INDEX('Сводный годовой график'!$BA$4:$BL$14,$C98,MONTH($B$94)))=AE$3,1,0)</f>
        <v>0</v>
      </c>
      <c r="DL99" s="58">
        <f>IF(DAY(INDEX('Сводный годовой график'!$BA$4:$BL$14,$C98,MONTH($B$94)))=AF$3,1,0)</f>
        <v>0</v>
      </c>
      <c r="DM99" s="58">
        <f>IF(DAY(INDEX('Сводный годовой график'!$BA$4:$BL$14,$C98,MONTH($B$94)))=AG$3,1,0)</f>
        <v>0</v>
      </c>
      <c r="DN99" s="58">
        <f>IF(DAY(INDEX('Сводный годовой график'!$BA$4:$BL$14,$C98,MONTH($B$94)))=AH$3,1,0)</f>
        <v>0</v>
      </c>
      <c r="DO99" s="58">
        <f>IF(DAY(INDEX('Сводный годовой график'!$BA$4:$BL$14,$C98,MONTH($B$94)))=AI$3,1,0)</f>
        <v>0</v>
      </c>
    </row>
    <row r="100" spans="2:119" ht="16.5" thickBot="1" x14ac:dyDescent="0.3">
      <c r="B100" s="201"/>
      <c r="C100" s="196">
        <v>4</v>
      </c>
      <c r="D100" s="81">
        <v>7</v>
      </c>
      <c r="E100" s="92" t="e">
        <f ca="1">IF(AND(INDEX('Сводный годовой график'!$C$1:$AR$4,MATCH($C$100,'Сводный годовой график'!$B$1:$B$4),MATCH(DATE($AV$1,MONTH($B$94),E$3),'Сводный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график'!$B$1:$B$4),MATCH(DATE($AV$1,MONTH($B$94),E$3),'Сводный годовой график'!$C$14:$AR$14)))</f>
        <v>#N/A</v>
      </c>
      <c r="F100" s="92" t="e">
        <f ca="1">IF(AND(INDEX('Сводный годовой график'!$C$1:$AR$4,MATCH($C$100,'Сводный годовой график'!$B$1:$B$4),MATCH(DATE($AV$1,MONTH($B$94),F$3),'Сводный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график'!$B$1:$B$4),MATCH(DATE($AV$1,MONTH($B$94),F$3),'Сводный годовой график'!$C$14:$AR$14)))</f>
        <v>#N/A</v>
      </c>
      <c r="G100" s="92" t="e">
        <f ca="1">IF(AND(INDEX('Сводный годовой график'!$C$1:$AR$4,MATCH($C$100,'Сводный годовой график'!$B$1:$B$4),MATCH(DATE($AV$1,MONTH($B$94),G$3),'Сводный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график'!$B$1:$B$4),MATCH(DATE($AV$1,MONTH($B$94),G$3),'Сводный годовой график'!$C$14:$AR$14)))</f>
        <v>#N/A</v>
      </c>
      <c r="H100" s="92" t="e">
        <f ca="1">IF(AND(INDEX('Сводный годовой график'!$C$1:$AR$4,MATCH($C$100,'Сводный годовой график'!$B$1:$B$4),MATCH(DATE($AV$1,MONTH($B$94),H$3),'Сводный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график'!$B$1:$B$4),MATCH(DATE($AV$1,MONTH($B$94),H$3),'Сводный годовой график'!$C$14:$AR$14)))</f>
        <v>#N/A</v>
      </c>
      <c r="I100" s="92" t="e">
        <f ca="1">IF(AND(INDEX('Сводный годовой график'!$C$1:$AR$4,MATCH($C$100,'Сводный годовой график'!$B$1:$B$4),MATCH(DATE($AV$1,MONTH($B$94),I$3),'Сводный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график'!$B$1:$B$4),MATCH(DATE($AV$1,MONTH($B$94),I$3),'Сводный годовой график'!$C$14:$AR$14)))</f>
        <v>#N/A</v>
      </c>
      <c r="J100" s="92" t="e">
        <f ca="1">IF(AND(INDEX('Сводный годовой график'!$C$1:$AR$4,MATCH($C$100,'Сводный годовой график'!$B$1:$B$4),MATCH(DATE($AV$1,MONTH($B$94),J$3),'Сводный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график'!$B$1:$B$4),MATCH(DATE($AV$1,MONTH($B$94),J$3),'Сводный годовой график'!$C$14:$AR$14)))</f>
        <v>#N/A</v>
      </c>
      <c r="K100" s="92" t="e">
        <f ca="1">IF(AND(INDEX('Сводный годовой график'!$C$1:$AR$4,MATCH($C$100,'Сводный годовой график'!$B$1:$B$4),MATCH(DATE($AV$1,MONTH($B$94),K$3),'Сводный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график'!$B$1:$B$4),MATCH(DATE($AV$1,MONTH($B$94),K$3),'Сводный годовой график'!$C$14:$AR$14)))</f>
        <v>#N/A</v>
      </c>
      <c r="L100" s="92" t="e">
        <f ca="1">IF(AND(INDEX('Сводный годовой график'!$C$1:$AR$4,MATCH($C$100,'Сводный годовой график'!$B$1:$B$4),MATCH(DATE($AV$1,MONTH($B$94),L$3),'Сводный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график'!$B$1:$B$4),MATCH(DATE($AV$1,MONTH($B$94),L$3),'Сводный годовой график'!$C$14:$AR$14)))</f>
        <v>#N/A</v>
      </c>
      <c r="M100" s="92" t="e">
        <f ca="1">IF(AND(INDEX('Сводный годовой график'!$C$1:$AR$4,MATCH($C$100,'Сводный годовой график'!$B$1:$B$4),MATCH(DATE($AV$1,MONTH($B$94),M$3),'Сводный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график'!$B$1:$B$4),MATCH(DATE($AV$1,MONTH($B$94),M$3),'Сводный годовой график'!$C$14:$AR$14)))</f>
        <v>#N/A</v>
      </c>
      <c r="N100" s="92" t="e">
        <f ca="1">IF(AND(INDEX('Сводный годовой график'!$C$1:$AR$4,MATCH($C$100,'Сводный годовой график'!$B$1:$B$4),MATCH(DATE($AV$1,MONTH($B$94),N$3),'Сводный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график'!$B$1:$B$4),MATCH(DATE($AV$1,MONTH($B$94),N$3),'Сводный годовой график'!$C$14:$AR$14)))</f>
        <v>#N/A</v>
      </c>
      <c r="O100" s="92" t="e">
        <f ca="1">IF(AND(INDEX('Сводный годовой график'!$C$1:$AR$4,MATCH($C$100,'Сводный годовой график'!$B$1:$B$4),MATCH(DATE($AV$1,MONTH($B$94),O$3),'Сводный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график'!$B$1:$B$4),MATCH(DATE($AV$1,MONTH($B$94),O$3),'Сводный годовой график'!$C$14:$AR$14)))</f>
        <v>#N/A</v>
      </c>
      <c r="P100" s="92" t="e">
        <f ca="1">IF(AND(INDEX('Сводный годовой график'!$C$1:$AR$4,MATCH($C$100,'Сводный годовой график'!$B$1:$B$4),MATCH(DATE($AV$1,MONTH($B$94),P$3),'Сводный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график'!$B$1:$B$4),MATCH(DATE($AV$1,MONTH($B$94),P$3),'Сводный годовой график'!$C$14:$AR$14)))</f>
        <v>#N/A</v>
      </c>
      <c r="Q100" s="92" t="e">
        <f ca="1">IF(AND(INDEX('Сводный годовой график'!$C$1:$AR$4,MATCH($C$100,'Сводный годовой график'!$B$1:$B$4),MATCH(DATE($AV$1,MONTH($B$94),Q$3),'Сводный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график'!$B$1:$B$4),MATCH(DATE($AV$1,MONTH($B$94),Q$3),'Сводный годовой график'!$C$14:$AR$14)))</f>
        <v>#N/A</v>
      </c>
      <c r="R100" s="92" t="e">
        <f ca="1">IF(AND(INDEX('Сводный годовой график'!$C$1:$AR$4,MATCH($C$100,'Сводный годовой график'!$B$1:$B$4),MATCH(DATE($AV$1,MONTH($B$94),R$3),'Сводный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график'!$B$1:$B$4),MATCH(DATE($AV$1,MONTH($B$94),R$3),'Сводный годовой график'!$C$14:$AR$14)))</f>
        <v>#N/A</v>
      </c>
      <c r="S100" s="92" t="e">
        <f ca="1">IF(AND(INDEX('Сводный годовой график'!$C$1:$AR$4,MATCH($C$100,'Сводный годовой график'!$B$1:$B$4),MATCH(DATE($AV$1,MONTH($B$94),S$3),'Сводный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график'!$B$1:$B$4),MATCH(DATE($AV$1,MONTH($B$94),S$3),'Сводный годовой график'!$C$14:$AR$14)))</f>
        <v>#N/A</v>
      </c>
      <c r="T100" s="92" t="e">
        <f ca="1">IF(AND(INDEX('Сводный годовой график'!$C$1:$AR$4,MATCH($C$100,'Сводный годовой график'!$B$1:$B$4),MATCH(DATE($AV$1,MONTH($B$94),T$3),'Сводный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график'!$B$1:$B$4),MATCH(DATE($AV$1,MONTH($B$94),T$3),'Сводный годовой график'!$C$14:$AR$14)))</f>
        <v>#N/A</v>
      </c>
      <c r="U100" s="92" t="e">
        <f ca="1">IF(AND(INDEX('Сводный годовой график'!$C$1:$AR$4,MATCH($C$100,'Сводный годовой график'!$B$1:$B$4),MATCH(DATE($AV$1,MONTH($B$94),U$3),'Сводный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график'!$B$1:$B$4),MATCH(DATE($AV$1,MONTH($B$94),U$3),'Сводный годовой график'!$C$14:$AR$14)))</f>
        <v>#N/A</v>
      </c>
      <c r="V100" s="92" t="e">
        <f ca="1">IF(AND(INDEX('Сводный годовой график'!$C$1:$AR$4,MATCH($C$100,'Сводный годовой график'!$B$1:$B$4),MATCH(DATE($AV$1,MONTH($B$94),V$3),'Сводный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график'!$B$1:$B$4),MATCH(DATE($AV$1,MONTH($B$94),V$3),'Сводный годовой график'!$C$14:$AR$14)))</f>
        <v>#N/A</v>
      </c>
      <c r="W100" s="92" t="e">
        <f ca="1">IF(AND(INDEX('Сводный годовой график'!$C$1:$AR$4,MATCH($C$100,'Сводный годовой график'!$B$1:$B$4),MATCH(DATE($AV$1,MONTH($B$94),W$3),'Сводный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график'!$B$1:$B$4),MATCH(DATE($AV$1,MONTH($B$94),W$3),'Сводный годовой график'!$C$14:$AR$14)))</f>
        <v>#N/A</v>
      </c>
      <c r="X100" s="92" t="e">
        <f ca="1">IF(AND(INDEX('Сводный годовой график'!$C$1:$AR$4,MATCH($C$100,'Сводный годовой график'!$B$1:$B$4),MATCH(DATE($AV$1,MONTH($B$94),X$3),'Сводный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график'!$B$1:$B$4),MATCH(DATE($AV$1,MONTH($B$94),X$3),'Сводный годовой график'!$C$14:$AR$14)))</f>
        <v>#N/A</v>
      </c>
      <c r="Y100" s="92" t="e">
        <f ca="1">IF(AND(INDEX('Сводный годовой график'!$C$1:$AR$4,MATCH($C$100,'Сводный годовой график'!$B$1:$B$4),MATCH(DATE($AV$1,MONTH($B$94),Y$3),'Сводный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график'!$B$1:$B$4),MATCH(DATE($AV$1,MONTH($B$94),Y$3),'Сводный годовой график'!$C$14:$AR$14)))</f>
        <v>#N/A</v>
      </c>
      <c r="Z100" s="92" t="e">
        <f ca="1">IF(AND(INDEX('Сводный годовой график'!$C$1:$AR$4,MATCH($C$100,'Сводный годовой график'!$B$1:$B$4),MATCH(DATE($AV$1,MONTH($B$94),Z$3),'Сводный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график'!$B$1:$B$4),MATCH(DATE($AV$1,MONTH($B$94),Z$3),'Сводный годовой график'!$C$14:$AR$14)))</f>
        <v>#N/A</v>
      </c>
      <c r="AA100" s="92" t="e">
        <f ca="1">IF(AND(INDEX('Сводный годовой график'!$C$1:$AR$4,MATCH($C$100,'Сводный годовой график'!$B$1:$B$4),MATCH(DATE($AV$1,MONTH($B$94),AA$3),'Сводный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график'!$B$1:$B$4),MATCH(DATE($AV$1,MONTH($B$94),AA$3),'Сводный годовой график'!$C$14:$AR$14)))</f>
        <v>#N/A</v>
      </c>
      <c r="AB100" s="92" t="e">
        <f ca="1">IF(AND(INDEX('Сводный годовой график'!$C$1:$AR$4,MATCH($C$100,'Сводный годовой график'!$B$1:$B$4),MATCH(DATE($AV$1,MONTH($B$94),AB$3),'Сводный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график'!$B$1:$B$4),MATCH(DATE($AV$1,MONTH($B$94),AB$3),'Сводный годовой график'!$C$14:$AR$14)))</f>
        <v>#N/A</v>
      </c>
      <c r="AC100" s="92" t="e">
        <f ca="1">IF(AND(INDEX('Сводный годовой график'!$C$1:$AR$4,MATCH($C$100,'Сводный годовой график'!$B$1:$B$4),MATCH(DATE($AV$1,MONTH($B$94),AC$3),'Сводный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график'!$B$1:$B$4),MATCH(DATE($AV$1,MONTH($B$94),AC$3),'Сводный годовой график'!$C$14:$AR$14)))</f>
        <v>#N/A</v>
      </c>
      <c r="AD100" s="92" t="e">
        <f ca="1">IF(AND(INDEX('Сводный годовой график'!$C$1:$AR$4,MATCH($C$100,'Сводный годовой график'!$B$1:$B$4),MATCH(DATE($AV$1,MONTH($B$94),AD$3),'Сводный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график'!$B$1:$B$4),MATCH(DATE($AV$1,MONTH($B$94),AD$3),'Сводный годовой график'!$C$14:$AR$14)))</f>
        <v>#N/A</v>
      </c>
      <c r="AE100" s="92" t="e">
        <f ca="1">IF(AND(INDEX('Сводный годовой график'!$C$1:$AR$4,MATCH($C$100,'Сводный годовой график'!$B$1:$B$4),MATCH(DATE($AV$1,MONTH($B$94),AE$3),'Сводный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график'!$B$1:$B$4),MATCH(DATE($AV$1,MONTH($B$94),AE$3),'Сводный годовой график'!$C$14:$AR$14)))</f>
        <v>#N/A</v>
      </c>
      <c r="AF100" s="92" t="e">
        <f ca="1">IF(AND(INDEX('Сводный годовой график'!$C$1:$AR$4,MATCH($C$100,'Сводный годовой график'!$B$1:$B$4),MATCH(DATE($AV$1,MONTH($B$94),AF$3),'Сводный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график'!$B$1:$B$4),MATCH(DATE($AV$1,MONTH($B$94),AF$3),'Сводный годовой график'!$C$14:$AR$14)))</f>
        <v>#N/A</v>
      </c>
      <c r="AG100" s="92" t="e">
        <f ca="1">IF(AND(INDEX('Сводный годовой график'!$C$1:$AR$4,MATCH($C$100,'Сводный годовой график'!$B$1:$B$4),MATCH(DATE($AV$1,MONTH($B$94),AG$3),'Сводный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график'!$B$1:$B$4),MATCH(DATE($AV$1,MONTH($B$94),AG$3),'Сводный годовой график'!$C$14:$AR$14)))</f>
        <v>#N/A</v>
      </c>
      <c r="AH100" s="92" t="e">
        <f ca="1">IF(AND(INDEX('Сводный годовой график'!$C$1:$AR$4,MATCH($C$100,'Сводный годовой график'!$B$1:$B$4),MATCH(DATE($AV$1,MONTH($B$94),AH$3),'Сводный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график'!$B$1:$B$4),MATCH(DATE($AV$1,MONTH($B$94),AH$3),'Сводный годовой график'!$C$14:$AR$14)))</f>
        <v>#N/A</v>
      </c>
      <c r="AI100" s="97" t="e">
        <f ca="1">IF(AND(INDEX('Сводный годовой график'!$C$1:$AR$4,MATCH($C$100,'Сводный годовой график'!$B$1:$B$4),MATCH(DATE($AV$1,MONTH($B$94),AI$3),'Сводный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график'!$B$1:$B$4),MATCH(DATE($AV$1,MONTH($B$94),AI$3),'Сводный годовой график'!$C$14:$AR$14)))</f>
        <v>#N/A</v>
      </c>
      <c r="AJ100" s="206"/>
      <c r="AK100" s="177">
        <f>$AJ$94-SUM(AY100:CC101)</f>
        <v>184</v>
      </c>
      <c r="AL100" s="177" t="e">
        <f t="shared" ref="AL100" ca="1" si="171">SUM(E100:AI101)</f>
        <v>#N/A</v>
      </c>
      <c r="AM100" s="177">
        <v>0</v>
      </c>
      <c r="AN100" s="198" t="e">
        <f t="shared" ref="AN100" ca="1" si="172">-AM100-AK100+AL100</f>
        <v>#N/A</v>
      </c>
      <c r="AO100" s="198">
        <v>0</v>
      </c>
      <c r="AP100" s="198" t="e">
        <f t="shared" ref="AP100" ca="1" si="173">AN100+AP90</f>
        <v>#N/A</v>
      </c>
      <c r="AQ100" s="177">
        <v>0</v>
      </c>
      <c r="AR100" s="179">
        <v>1</v>
      </c>
      <c r="CK100" s="59"/>
      <c r="CL100" s="59"/>
      <c r="CM100" s="59"/>
      <c r="CN100" s="59"/>
      <c r="CO100" s="59"/>
      <c r="CP100" s="59"/>
      <c r="CQ100" s="59"/>
      <c r="CR100" s="59"/>
      <c r="CS100" s="59"/>
      <c r="CT100" s="59"/>
      <c r="CU100" s="59"/>
      <c r="CV100" s="59"/>
      <c r="CW100" s="59"/>
      <c r="CX100" s="59"/>
      <c r="CY100" s="59"/>
      <c r="CZ100" s="59"/>
      <c r="DA100" s="59"/>
      <c r="DB100" s="59"/>
      <c r="DC100" s="59"/>
      <c r="DD100" s="59"/>
      <c r="DE100" s="59"/>
      <c r="DF100" s="59"/>
      <c r="DG100" s="59"/>
      <c r="DH100" s="59"/>
      <c r="DI100" s="59"/>
      <c r="DJ100" s="59"/>
      <c r="DK100" s="59"/>
      <c r="DL100" s="59"/>
      <c r="DM100" s="59"/>
      <c r="DN100" s="59"/>
      <c r="DO100" s="59"/>
    </row>
    <row r="101" spans="2:119" ht="16.5" thickBot="1" x14ac:dyDescent="0.3">
      <c r="B101" s="201"/>
      <c r="C101" s="197"/>
      <c r="D101" s="82">
        <v>8</v>
      </c>
      <c r="E101" s="92" t="str">
        <f t="shared" ref="E101:AI101" si="174">IF(INDEX($CK$4:$DO$123,ROW()-3,E$3)=0,"","СП")</f>
        <v/>
      </c>
      <c r="F101" s="92" t="str">
        <f t="shared" si="174"/>
        <v/>
      </c>
      <c r="G101" s="92" t="str">
        <f t="shared" si="174"/>
        <v/>
      </c>
      <c r="H101" s="92" t="str">
        <f t="shared" si="174"/>
        <v/>
      </c>
      <c r="I101" s="92" t="str">
        <f t="shared" si="174"/>
        <v/>
      </c>
      <c r="J101" s="92" t="str">
        <f t="shared" si="174"/>
        <v/>
      </c>
      <c r="K101" s="92" t="str">
        <f t="shared" si="174"/>
        <v/>
      </c>
      <c r="L101" s="92" t="str">
        <f t="shared" si="174"/>
        <v/>
      </c>
      <c r="M101" s="92" t="str">
        <f t="shared" si="174"/>
        <v/>
      </c>
      <c r="N101" s="92" t="str">
        <f t="shared" si="174"/>
        <v/>
      </c>
      <c r="O101" s="92" t="str">
        <f t="shared" si="174"/>
        <v/>
      </c>
      <c r="P101" s="92" t="str">
        <f t="shared" si="174"/>
        <v/>
      </c>
      <c r="Q101" s="92" t="str">
        <f t="shared" si="174"/>
        <v>СП</v>
      </c>
      <c r="R101" s="92" t="str">
        <f t="shared" si="174"/>
        <v/>
      </c>
      <c r="S101" s="92" t="str">
        <f t="shared" si="174"/>
        <v/>
      </c>
      <c r="T101" s="92" t="str">
        <f t="shared" si="174"/>
        <v/>
      </c>
      <c r="U101" s="92" t="str">
        <f t="shared" si="174"/>
        <v/>
      </c>
      <c r="V101" s="92" t="str">
        <f t="shared" si="174"/>
        <v/>
      </c>
      <c r="W101" s="92" t="str">
        <f t="shared" si="174"/>
        <v/>
      </c>
      <c r="X101" s="92" t="str">
        <f t="shared" si="174"/>
        <v/>
      </c>
      <c r="Y101" s="92" t="str">
        <f t="shared" si="174"/>
        <v/>
      </c>
      <c r="Z101" s="92" t="str">
        <f t="shared" si="174"/>
        <v/>
      </c>
      <c r="AA101" s="92" t="str">
        <f t="shared" si="174"/>
        <v/>
      </c>
      <c r="AB101" s="92" t="str">
        <f t="shared" si="174"/>
        <v/>
      </c>
      <c r="AC101" s="92" t="str">
        <f t="shared" si="174"/>
        <v/>
      </c>
      <c r="AD101" s="92" t="str">
        <f t="shared" si="174"/>
        <v/>
      </c>
      <c r="AE101" s="92" t="str">
        <f t="shared" si="174"/>
        <v/>
      </c>
      <c r="AF101" s="92" t="str">
        <f t="shared" si="174"/>
        <v/>
      </c>
      <c r="AG101" s="92" t="str">
        <f t="shared" si="174"/>
        <v/>
      </c>
      <c r="AH101" s="92" t="str">
        <f t="shared" si="174"/>
        <v/>
      </c>
      <c r="AI101" s="97" t="str">
        <f t="shared" si="174"/>
        <v/>
      </c>
      <c r="AJ101" s="206"/>
      <c r="AK101" s="177"/>
      <c r="AL101" s="177"/>
      <c r="AM101" s="177"/>
      <c r="AN101" s="198"/>
      <c r="AO101" s="198"/>
      <c r="AP101" s="198"/>
      <c r="AQ101" s="177"/>
      <c r="AR101" s="179"/>
      <c r="CK101" s="58">
        <f>IF(DAY(INDEX('Сводный годовой график'!$BA$4:$BL$14,$C100,MONTH($B$94)))=E$3,1,0)</f>
        <v>0</v>
      </c>
      <c r="CL101" s="58">
        <f>IF(DAY(INDEX('Сводный годовой график'!$BA$4:$BL$14,$C100,MONTH($B$94)))=F$3,1,0)</f>
        <v>0</v>
      </c>
      <c r="CM101" s="58">
        <f>IF(DAY(INDEX('Сводный годовой график'!$BA$4:$BL$14,$C100,MONTH($B$94)))=G$3,1,0)</f>
        <v>0</v>
      </c>
      <c r="CN101" s="58">
        <f>IF(DAY(INDEX('Сводный годовой график'!$BA$4:$BL$14,$C100,MONTH($B$94)))=H$3,1,0)</f>
        <v>0</v>
      </c>
      <c r="CO101" s="58">
        <f>IF(DAY(INDEX('Сводный годовой график'!$BA$4:$BL$14,$C100,MONTH($B$94)))=I$3,1,0)</f>
        <v>0</v>
      </c>
      <c r="CP101" s="58">
        <f>IF(DAY(INDEX('Сводный годовой график'!$BA$4:$BL$14,$C100,MONTH($B$94)))=J$3,1,0)</f>
        <v>0</v>
      </c>
      <c r="CQ101" s="58">
        <f>IF(DAY(INDEX('Сводный годовой график'!$BA$4:$BL$14,$C100,MONTH($B$94)))=K$3,1,0)</f>
        <v>0</v>
      </c>
      <c r="CR101" s="58">
        <f>IF(DAY(INDEX('Сводный годовой график'!$BA$4:$BL$14,$C100,MONTH($B$94)))=L$3,1,0)</f>
        <v>0</v>
      </c>
      <c r="CS101" s="58">
        <f>IF(DAY(INDEX('Сводный годовой график'!$BA$4:$BL$14,$C100,MONTH($B$94)))=M$3,1,0)</f>
        <v>0</v>
      </c>
      <c r="CT101" s="58">
        <f>IF(DAY(INDEX('Сводный годовой график'!$BA$4:$BL$14,$C100,MONTH($B$94)))=N$3,1,0)</f>
        <v>0</v>
      </c>
      <c r="CU101" s="58">
        <f>IF(DAY(INDEX('Сводный годовой график'!$BA$4:$BL$14,$C100,MONTH($B$94)))=O$3,1,0)</f>
        <v>0</v>
      </c>
      <c r="CV101" s="58">
        <f>IF(DAY(INDEX('Сводный годовой график'!$BA$4:$BL$14,$C100,MONTH($B$94)))=P$3,1,0)</f>
        <v>0</v>
      </c>
      <c r="CW101" s="58">
        <f>IF(DAY(INDEX('Сводный годовой график'!$BA$4:$BL$14,$C100,MONTH($B$94)))=Q$3,1,0)</f>
        <v>1</v>
      </c>
      <c r="CX101" s="58">
        <f>IF(DAY(INDEX('Сводный годовой график'!$BA$4:$BL$14,$C100,MONTH($B$94)))=R$3,1,0)</f>
        <v>0</v>
      </c>
      <c r="CY101" s="58">
        <f>IF(DAY(INDEX('Сводный годовой график'!$BA$4:$BL$14,$C100,MONTH($B$94)))=S$3,1,0)</f>
        <v>0</v>
      </c>
      <c r="CZ101" s="58">
        <f>IF(DAY(INDEX('Сводный годовой график'!$BA$4:$BL$14,$C100,MONTH($B$94)))=T$3,1,0)</f>
        <v>0</v>
      </c>
      <c r="DA101" s="58">
        <f>IF(DAY(INDEX('Сводный годовой график'!$BA$4:$BL$14,$C100,MONTH($B$94)))=U$3,1,0)</f>
        <v>0</v>
      </c>
      <c r="DB101" s="58">
        <f>IF(DAY(INDEX('Сводный годовой график'!$BA$4:$BL$14,$C100,MONTH($B$94)))=V$3,1,0)</f>
        <v>0</v>
      </c>
      <c r="DC101" s="58">
        <f>IF(DAY(INDEX('Сводный годовой график'!$BA$4:$BL$14,$C100,MONTH($B$94)))=W$3,1,0)</f>
        <v>0</v>
      </c>
      <c r="DD101" s="58">
        <f>IF(DAY(INDEX('Сводный годовой график'!$BA$4:$BL$14,$C100,MONTH($B$94)))=X$3,1,0)</f>
        <v>0</v>
      </c>
      <c r="DE101" s="58">
        <f>IF(DAY(INDEX('Сводный годовой график'!$BA$4:$BL$14,$C100,MONTH($B$94)))=Y$3,1,0)</f>
        <v>0</v>
      </c>
      <c r="DF101" s="58">
        <f>IF(DAY(INDEX('Сводный годовой график'!$BA$4:$BL$14,$C100,MONTH($B$94)))=Z$3,1,0)</f>
        <v>0</v>
      </c>
      <c r="DG101" s="58">
        <f>IF(DAY(INDEX('Сводный годовой график'!$BA$4:$BL$14,$C100,MONTH($B$94)))=AA$3,1,0)</f>
        <v>0</v>
      </c>
      <c r="DH101" s="58">
        <f>IF(DAY(INDEX('Сводный годовой график'!$BA$4:$BL$14,$C100,MONTH($B$94)))=AB$3,1,0)</f>
        <v>0</v>
      </c>
      <c r="DI101" s="58">
        <f>IF(DAY(INDEX('Сводный годовой график'!$BA$4:$BL$14,$C100,MONTH($B$94)))=AC$3,1,0)</f>
        <v>0</v>
      </c>
      <c r="DJ101" s="58">
        <f>IF(DAY(INDEX('Сводный годовой график'!$BA$4:$BL$14,$C100,MONTH($B$94)))=AD$3,1,0)</f>
        <v>0</v>
      </c>
      <c r="DK101" s="58">
        <f>IF(DAY(INDEX('Сводный годовой график'!$BA$4:$BL$14,$C100,MONTH($B$94)))=AE$3,1,0)</f>
        <v>0</v>
      </c>
      <c r="DL101" s="58">
        <f>IF(DAY(INDEX('Сводный годовой график'!$BA$4:$BL$14,$C100,MONTH($B$94)))=AF$3,1,0)</f>
        <v>0</v>
      </c>
      <c r="DM101" s="58">
        <f>IF(DAY(INDEX('Сводный годовой график'!$BA$4:$BL$14,$C100,MONTH($B$94)))=AG$3,1,0)</f>
        <v>0</v>
      </c>
      <c r="DN101" s="58">
        <f>IF(DAY(INDEX('Сводный годовой график'!$BA$4:$BL$14,$C100,MONTH($B$94)))=AH$3,1,0)</f>
        <v>0</v>
      </c>
      <c r="DO101" s="58">
        <f>IF(DAY(INDEX('Сводный годовой график'!$BA$4:$BL$14,$C100,MONTH($B$94)))=AI$3,1,0)</f>
        <v>0</v>
      </c>
    </row>
    <row r="102" spans="2:119" ht="16.5" thickBot="1" x14ac:dyDescent="0.3">
      <c r="B102" s="201"/>
      <c r="C102" s="196">
        <v>5</v>
      </c>
      <c r="D102" s="81">
        <v>9</v>
      </c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7"/>
      <c r="AJ102" s="206"/>
      <c r="AK102" s="177">
        <f>$AJ$94-SUM(AY102:CC103)</f>
        <v>184</v>
      </c>
      <c r="AL102" s="177">
        <f t="shared" ref="AL102" si="175">SUM(E102:AI103)</f>
        <v>0</v>
      </c>
      <c r="AM102" s="177">
        <v>0</v>
      </c>
      <c r="AN102" s="198">
        <f t="shared" ref="AN102" si="176">-AM102-AK102+AL102</f>
        <v>-184</v>
      </c>
      <c r="AO102" s="198">
        <v>0</v>
      </c>
      <c r="AP102" s="198">
        <f t="shared" ref="AP102" si="177">AN102+AP92</f>
        <v>-1717</v>
      </c>
      <c r="AQ102" s="177">
        <v>0</v>
      </c>
      <c r="AR102" s="179">
        <v>1</v>
      </c>
      <c r="CK102" s="59"/>
      <c r="CL102" s="59"/>
      <c r="CM102" s="59"/>
      <c r="CN102" s="59"/>
      <c r="CO102" s="59"/>
      <c r="CP102" s="59"/>
      <c r="CQ102" s="59"/>
      <c r="CR102" s="59"/>
      <c r="CS102" s="59"/>
      <c r="CT102" s="59"/>
      <c r="CU102" s="59"/>
      <c r="CV102" s="59"/>
      <c r="CW102" s="59"/>
      <c r="CX102" s="59"/>
      <c r="CY102" s="59"/>
      <c r="CZ102" s="59"/>
      <c r="DA102" s="59"/>
      <c r="DB102" s="59"/>
      <c r="DC102" s="59"/>
      <c r="DD102" s="59"/>
      <c r="DE102" s="59"/>
      <c r="DF102" s="59"/>
      <c r="DG102" s="59"/>
      <c r="DH102" s="59"/>
      <c r="DI102" s="59"/>
      <c r="DJ102" s="59"/>
      <c r="DK102" s="59"/>
      <c r="DL102" s="59"/>
      <c r="DM102" s="59"/>
      <c r="DN102" s="59"/>
      <c r="DO102" s="59"/>
    </row>
    <row r="103" spans="2:119" ht="16.5" thickBot="1" x14ac:dyDescent="0.3">
      <c r="B103" s="202"/>
      <c r="C103" s="197"/>
      <c r="D103" s="82">
        <v>10</v>
      </c>
      <c r="E103" s="29" t="str">
        <f t="shared" ref="E103:AI103" si="178">IF(INDEX($CK$4:$DO$123,ROW()-3,E$3)=0,"","СП")</f>
        <v/>
      </c>
      <c r="F103" s="29" t="str">
        <f t="shared" si="178"/>
        <v/>
      </c>
      <c r="G103" s="29" t="str">
        <f t="shared" si="178"/>
        <v/>
      </c>
      <c r="H103" s="29" t="str">
        <f t="shared" si="178"/>
        <v/>
      </c>
      <c r="I103" s="29" t="str">
        <f t="shared" si="178"/>
        <v/>
      </c>
      <c r="J103" s="29" t="str">
        <f t="shared" si="178"/>
        <v/>
      </c>
      <c r="K103" s="29" t="str">
        <f t="shared" si="178"/>
        <v/>
      </c>
      <c r="L103" s="29" t="str">
        <f t="shared" si="178"/>
        <v/>
      </c>
      <c r="M103" s="29" t="str">
        <f t="shared" si="178"/>
        <v/>
      </c>
      <c r="N103" s="29" t="str">
        <f t="shared" si="178"/>
        <v/>
      </c>
      <c r="O103" s="29" t="str">
        <f t="shared" si="178"/>
        <v/>
      </c>
      <c r="P103" s="29" t="str">
        <f t="shared" si="178"/>
        <v/>
      </c>
      <c r="Q103" s="29" t="str">
        <f t="shared" si="178"/>
        <v/>
      </c>
      <c r="R103" s="29" t="str">
        <f t="shared" si="178"/>
        <v>СП</v>
      </c>
      <c r="S103" s="29" t="str">
        <f t="shared" si="178"/>
        <v/>
      </c>
      <c r="T103" s="29" t="str">
        <f t="shared" si="178"/>
        <v/>
      </c>
      <c r="U103" s="29" t="str">
        <f t="shared" si="178"/>
        <v/>
      </c>
      <c r="V103" s="29" t="str">
        <f t="shared" si="178"/>
        <v/>
      </c>
      <c r="W103" s="29" t="str">
        <f t="shared" si="178"/>
        <v/>
      </c>
      <c r="X103" s="29" t="str">
        <f t="shared" si="178"/>
        <v/>
      </c>
      <c r="Y103" s="29" t="str">
        <f t="shared" si="178"/>
        <v/>
      </c>
      <c r="Z103" s="29" t="str">
        <f t="shared" si="178"/>
        <v/>
      </c>
      <c r="AA103" s="29" t="str">
        <f t="shared" si="178"/>
        <v/>
      </c>
      <c r="AB103" s="29" t="str">
        <f t="shared" si="178"/>
        <v/>
      </c>
      <c r="AC103" s="29" t="str">
        <f t="shared" si="178"/>
        <v/>
      </c>
      <c r="AD103" s="29" t="str">
        <f t="shared" si="178"/>
        <v/>
      </c>
      <c r="AE103" s="29" t="str">
        <f t="shared" si="178"/>
        <v/>
      </c>
      <c r="AF103" s="29" t="str">
        <f t="shared" si="178"/>
        <v/>
      </c>
      <c r="AG103" s="29" t="str">
        <f t="shared" si="178"/>
        <v/>
      </c>
      <c r="AH103" s="29" t="str">
        <f t="shared" si="178"/>
        <v/>
      </c>
      <c r="AI103" s="85" t="str">
        <f t="shared" si="178"/>
        <v/>
      </c>
      <c r="AJ103" s="207"/>
      <c r="AK103" s="178"/>
      <c r="AL103" s="178"/>
      <c r="AM103" s="178"/>
      <c r="AN103" s="199"/>
      <c r="AO103" s="199"/>
      <c r="AP103" s="199"/>
      <c r="AQ103" s="178"/>
      <c r="AR103" s="180"/>
      <c r="CK103" s="58">
        <f>IF(DAY(INDEX('Сводный годовой график'!$BA$4:$BL$14,$C102,MONTH($B$94)))=E$3,1,0)</f>
        <v>0</v>
      </c>
      <c r="CL103" s="58">
        <f>IF(DAY(INDEX('Сводный годовой график'!$BA$4:$BL$14,$C102,MONTH($B$94)))=F$3,1,0)</f>
        <v>0</v>
      </c>
      <c r="CM103" s="58">
        <f>IF(DAY(INDEX('Сводный годовой график'!$BA$4:$BL$14,$C102,MONTH($B$94)))=G$3,1,0)</f>
        <v>0</v>
      </c>
      <c r="CN103" s="58">
        <f>IF(DAY(INDEX('Сводный годовой график'!$BA$4:$BL$14,$C102,MONTH($B$94)))=H$3,1,0)</f>
        <v>0</v>
      </c>
      <c r="CO103" s="58">
        <f>IF(DAY(INDEX('Сводный годовой график'!$BA$4:$BL$14,$C102,MONTH($B$94)))=I$3,1,0)</f>
        <v>0</v>
      </c>
      <c r="CP103" s="58">
        <f>IF(DAY(INDEX('Сводный годовой график'!$BA$4:$BL$14,$C102,MONTH($B$94)))=J$3,1,0)</f>
        <v>0</v>
      </c>
      <c r="CQ103" s="58">
        <f>IF(DAY(INDEX('Сводный годовой график'!$BA$4:$BL$14,$C102,MONTH($B$94)))=K$3,1,0)</f>
        <v>0</v>
      </c>
      <c r="CR103" s="58">
        <f>IF(DAY(INDEX('Сводный годовой график'!$BA$4:$BL$14,$C102,MONTH($B$94)))=L$3,1,0)</f>
        <v>0</v>
      </c>
      <c r="CS103" s="58">
        <f>IF(DAY(INDEX('Сводный годовой график'!$BA$4:$BL$14,$C102,MONTH($B$94)))=M$3,1,0)</f>
        <v>0</v>
      </c>
      <c r="CT103" s="58">
        <f>IF(DAY(INDEX('Сводный годовой график'!$BA$4:$BL$14,$C102,MONTH($B$94)))=N$3,1,0)</f>
        <v>0</v>
      </c>
      <c r="CU103" s="58">
        <f>IF(DAY(INDEX('Сводный годовой график'!$BA$4:$BL$14,$C102,MONTH($B$94)))=O$3,1,0)</f>
        <v>0</v>
      </c>
      <c r="CV103" s="58">
        <f>IF(DAY(INDEX('Сводный годовой график'!$BA$4:$BL$14,$C102,MONTH($B$94)))=P$3,1,0)</f>
        <v>0</v>
      </c>
      <c r="CW103" s="58">
        <f>IF(DAY(INDEX('Сводный годовой график'!$BA$4:$BL$14,$C102,MONTH($B$94)))=Q$3,1,0)</f>
        <v>0</v>
      </c>
      <c r="CX103" s="58">
        <f>IF(DAY(INDEX('Сводный годовой график'!$BA$4:$BL$14,$C102,MONTH($B$94)))=R$3,1,0)</f>
        <v>1</v>
      </c>
      <c r="CY103" s="58">
        <f>IF(DAY(INDEX('Сводный годовой график'!$BA$4:$BL$14,$C102,MONTH($B$94)))=S$3,1,0)</f>
        <v>0</v>
      </c>
      <c r="CZ103" s="58">
        <f>IF(DAY(INDEX('Сводный годовой график'!$BA$4:$BL$14,$C102,MONTH($B$94)))=T$3,1,0)</f>
        <v>0</v>
      </c>
      <c r="DA103" s="58">
        <f>IF(DAY(INDEX('Сводный годовой график'!$BA$4:$BL$14,$C102,MONTH($B$94)))=U$3,1,0)</f>
        <v>0</v>
      </c>
      <c r="DB103" s="58">
        <f>IF(DAY(INDEX('Сводный годовой график'!$BA$4:$BL$14,$C102,MONTH($B$94)))=V$3,1,0)</f>
        <v>0</v>
      </c>
      <c r="DC103" s="58">
        <f>IF(DAY(INDEX('Сводный годовой график'!$BA$4:$BL$14,$C102,MONTH($B$94)))=W$3,1,0)</f>
        <v>0</v>
      </c>
      <c r="DD103" s="58">
        <f>IF(DAY(INDEX('Сводный годовой график'!$BA$4:$BL$14,$C102,MONTH($B$94)))=X$3,1,0)</f>
        <v>0</v>
      </c>
      <c r="DE103" s="58">
        <f>IF(DAY(INDEX('Сводный годовой график'!$BA$4:$BL$14,$C102,MONTH($B$94)))=Y$3,1,0)</f>
        <v>0</v>
      </c>
      <c r="DF103" s="58">
        <f>IF(DAY(INDEX('Сводный годовой график'!$BA$4:$BL$14,$C102,MONTH($B$94)))=Z$3,1,0)</f>
        <v>0</v>
      </c>
      <c r="DG103" s="58">
        <f>IF(DAY(INDEX('Сводный годовой график'!$BA$4:$BL$14,$C102,MONTH($B$94)))=AA$3,1,0)</f>
        <v>0</v>
      </c>
      <c r="DH103" s="58">
        <f>IF(DAY(INDEX('Сводный годовой график'!$BA$4:$BL$14,$C102,MONTH($B$94)))=AB$3,1,0)</f>
        <v>0</v>
      </c>
      <c r="DI103" s="58">
        <f>IF(DAY(INDEX('Сводный годовой график'!$BA$4:$BL$14,$C102,MONTH($B$94)))=AC$3,1,0)</f>
        <v>0</v>
      </c>
      <c r="DJ103" s="58">
        <f>IF(DAY(INDEX('Сводный годовой график'!$BA$4:$BL$14,$C102,MONTH($B$94)))=AD$3,1,0)</f>
        <v>0</v>
      </c>
      <c r="DK103" s="58">
        <f>IF(DAY(INDEX('Сводный годовой график'!$BA$4:$BL$14,$C102,MONTH($B$94)))=AE$3,1,0)</f>
        <v>0</v>
      </c>
      <c r="DL103" s="58">
        <f>IF(DAY(INDEX('Сводный годовой график'!$BA$4:$BL$14,$C102,MONTH($B$94)))=AF$3,1,0)</f>
        <v>0</v>
      </c>
      <c r="DM103" s="58">
        <f>IF(DAY(INDEX('Сводный годовой график'!$BA$4:$BL$14,$C102,MONTH($B$94)))=AG$3,1,0)</f>
        <v>0</v>
      </c>
      <c r="DN103" s="58">
        <f>IF(DAY(INDEX('Сводный годовой график'!$BA$4:$BL$14,$C102,MONTH($B$94)))=AH$3,1,0)</f>
        <v>0</v>
      </c>
      <c r="DO103" s="58">
        <f>IF(DAY(INDEX('Сводный годовой график'!$BA$4:$BL$14,$C102,MONTH($B$94)))=AI$3,1,0)</f>
        <v>0</v>
      </c>
    </row>
    <row r="104" spans="2:119" ht="17.25" customHeight="1" thickTop="1" thickBot="1" x14ac:dyDescent="0.3">
      <c r="B104" s="201">
        <f>DATE($AV$1,11,1)</f>
        <v>45962</v>
      </c>
      <c r="C104" s="212">
        <v>1</v>
      </c>
      <c r="D104" s="99">
        <v>1</v>
      </c>
      <c r="E104" s="27" t="e">
        <f ca="1">IF(AND(INDEX('Сводный годовой график'!$C$1:$AR$4,MATCH($C$104,'Сводный годовой график'!$B$1:$B$4),MATCH(DATE($AV$1,MONTH($B$104),E$3),'Сводный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график'!$B$1:$B$4),MATCH(DATE($AV$1,MONTH($B$104),E$3),'Сводный годовой график'!$C$15:$AR$15)))</f>
        <v>#N/A</v>
      </c>
      <c r="F104" s="27" t="e">
        <f ca="1">IF(AND(INDEX('Сводный годовой график'!$C$1:$AR$4,MATCH($C$104,'Сводный годовой график'!$B$1:$B$4),MATCH(DATE($AV$1,MONTH($B$104),F$3),'Сводный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график'!$B$1:$B$4),MATCH(DATE($AV$1,MONTH($B$104),F$3),'Сводный годовой график'!$C$15:$AR$15)))</f>
        <v>#N/A</v>
      </c>
      <c r="G104" s="27" t="e">
        <f ca="1">IF(AND(INDEX('Сводный годовой график'!$C$1:$AR$4,MATCH($C$104,'Сводный годовой график'!$B$1:$B$4),MATCH(DATE($AV$1,MONTH($B$104),G$3),'Сводный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график'!$B$1:$B$4),MATCH(DATE($AV$1,MONTH($B$104),G$3),'Сводный годовой график'!$C$15:$AR$15)))</f>
        <v>#N/A</v>
      </c>
      <c r="H104" s="27" t="e">
        <f ca="1">IF(AND(INDEX('Сводный годовой график'!$C$1:$AR$4,MATCH($C$104,'Сводный годовой график'!$B$1:$B$4),MATCH(DATE($AV$1,MONTH($B$104),H$3),'Сводный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график'!$B$1:$B$4),MATCH(DATE($AV$1,MONTH($B$104),H$3),'Сводный годовой график'!$C$15:$AR$15)))</f>
        <v>#N/A</v>
      </c>
      <c r="I104" s="27" t="e">
        <f ca="1">IF(AND(INDEX('Сводный годовой график'!$C$1:$AR$4,MATCH($C$104,'Сводный годовой график'!$B$1:$B$4),MATCH(DATE($AV$1,MONTH($B$104),I$3),'Сводный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график'!$B$1:$B$4),MATCH(DATE($AV$1,MONTH($B$104),I$3),'Сводный годовой график'!$C$15:$AR$15)))</f>
        <v>#N/A</v>
      </c>
      <c r="J104" s="27" t="e">
        <f ca="1">IF(AND(INDEX('Сводный годовой график'!$C$1:$AR$4,MATCH($C$104,'Сводный годовой график'!$B$1:$B$4),MATCH(DATE($AV$1,MONTH($B$104),J$3),'Сводный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график'!$B$1:$B$4),MATCH(DATE($AV$1,MONTH($B$104),J$3),'Сводный годовой график'!$C$15:$AR$15)))</f>
        <v>#N/A</v>
      </c>
      <c r="K104" s="27" t="e">
        <f ca="1">IF(AND(INDEX('Сводный годовой график'!$C$1:$AR$4,MATCH($C$104,'Сводный годовой график'!$B$1:$B$4),MATCH(DATE($AV$1,MONTH($B$104),K$3),'Сводный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график'!$B$1:$B$4),MATCH(DATE($AV$1,MONTH($B$104),K$3),'Сводный годовой график'!$C$15:$AR$15)))</f>
        <v>#N/A</v>
      </c>
      <c r="L104" s="27" t="e">
        <f ca="1">IF(AND(INDEX('Сводный годовой график'!$C$1:$AR$4,MATCH($C$104,'Сводный годовой график'!$B$1:$B$4),MATCH(DATE($AV$1,MONTH($B$104),L$3),'Сводный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график'!$B$1:$B$4),MATCH(DATE($AV$1,MONTH($B$104),L$3),'Сводный годовой график'!$C$15:$AR$15)))</f>
        <v>#N/A</v>
      </c>
      <c r="M104" s="27" t="e">
        <f ca="1">IF(AND(INDEX('Сводный годовой график'!$C$1:$AR$4,MATCH($C$104,'Сводный годовой график'!$B$1:$B$4),MATCH(DATE($AV$1,MONTH($B$104),M$3),'Сводный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график'!$B$1:$B$4),MATCH(DATE($AV$1,MONTH($B$104),M$3),'Сводный годовой график'!$C$15:$AR$15)))</f>
        <v>#N/A</v>
      </c>
      <c r="N104" s="27" t="e">
        <f ca="1">IF(AND(INDEX('Сводный годовой график'!$C$1:$AR$4,MATCH($C$104,'Сводный годовой график'!$B$1:$B$4),MATCH(DATE($AV$1,MONTH($B$104),N$3),'Сводный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график'!$B$1:$B$4),MATCH(DATE($AV$1,MONTH($B$104),N$3),'Сводный годовой график'!$C$15:$AR$15)))</f>
        <v>#N/A</v>
      </c>
      <c r="O104" s="27" t="e">
        <f ca="1">IF(AND(INDEX('Сводный годовой график'!$C$1:$AR$4,MATCH($C$104,'Сводный годовой график'!$B$1:$B$4),MATCH(DATE($AV$1,MONTH($B$104),O$3),'Сводный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график'!$B$1:$B$4),MATCH(DATE($AV$1,MONTH($B$104),O$3),'Сводный годовой график'!$C$15:$AR$15)))</f>
        <v>#N/A</v>
      </c>
      <c r="P104" s="27" t="e">
        <f ca="1">IF(AND(INDEX('Сводный годовой график'!$C$1:$AR$4,MATCH($C$104,'Сводный годовой график'!$B$1:$B$4),MATCH(DATE($AV$1,MONTH($B$104),P$3),'Сводный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график'!$B$1:$B$4),MATCH(DATE($AV$1,MONTH($B$104),P$3),'Сводный годовой график'!$C$15:$AR$15)))</f>
        <v>#N/A</v>
      </c>
      <c r="Q104" s="27" t="e">
        <f ca="1">IF(AND(INDEX('Сводный годовой график'!$C$1:$AR$4,MATCH($C$104,'Сводный годовой график'!$B$1:$B$4),MATCH(DATE($AV$1,MONTH($B$104),Q$3),'Сводный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график'!$B$1:$B$4),MATCH(DATE($AV$1,MONTH($B$104),Q$3),'Сводный годовой график'!$C$15:$AR$15)))</f>
        <v>#N/A</v>
      </c>
      <c r="R104" s="27" t="e">
        <f ca="1">IF(AND(INDEX('Сводный годовой график'!$C$1:$AR$4,MATCH($C$104,'Сводный годовой график'!$B$1:$B$4),MATCH(DATE($AV$1,MONTH($B$104),R$3),'Сводный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график'!$B$1:$B$4),MATCH(DATE($AV$1,MONTH($B$104),R$3),'Сводный годовой график'!$C$15:$AR$15)))</f>
        <v>#N/A</v>
      </c>
      <c r="S104" s="27" t="e">
        <f ca="1">IF(AND(INDEX('Сводный годовой график'!$C$1:$AR$4,MATCH($C$104,'Сводный годовой график'!$B$1:$B$4),MATCH(DATE($AV$1,MONTH($B$104),S$3),'Сводный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график'!$B$1:$B$4),MATCH(DATE($AV$1,MONTH($B$104),S$3),'Сводный годовой график'!$C$15:$AR$15)))</f>
        <v>#N/A</v>
      </c>
      <c r="T104" s="27" t="e">
        <f ca="1">IF(AND(INDEX('Сводный годовой график'!$C$1:$AR$4,MATCH($C$104,'Сводный годовой график'!$B$1:$B$4),MATCH(DATE($AV$1,MONTH($B$104),T$3),'Сводный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график'!$B$1:$B$4),MATCH(DATE($AV$1,MONTH($B$104),T$3),'Сводный годовой график'!$C$15:$AR$15)))</f>
        <v>#N/A</v>
      </c>
      <c r="U104" s="27" t="e">
        <f ca="1">IF(AND(INDEX('Сводный годовой график'!$C$1:$AR$4,MATCH($C$104,'Сводный годовой график'!$B$1:$B$4),MATCH(DATE($AV$1,MONTH($B$104),U$3),'Сводный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график'!$B$1:$B$4),MATCH(DATE($AV$1,MONTH($B$104),U$3),'Сводный годовой график'!$C$15:$AR$15)))</f>
        <v>#N/A</v>
      </c>
      <c r="V104" s="27" t="e">
        <f ca="1">IF(AND(INDEX('Сводный годовой график'!$C$1:$AR$4,MATCH($C$104,'Сводный годовой график'!$B$1:$B$4),MATCH(DATE($AV$1,MONTH($B$104),V$3),'Сводный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график'!$B$1:$B$4),MATCH(DATE($AV$1,MONTH($B$104),V$3),'Сводный годовой график'!$C$15:$AR$15)))</f>
        <v>#N/A</v>
      </c>
      <c r="W104" s="27" t="e">
        <f ca="1">IF(AND(INDEX('Сводный годовой график'!$C$1:$AR$4,MATCH($C$104,'Сводный годовой график'!$B$1:$B$4),MATCH(DATE($AV$1,MONTH($B$104),W$3),'Сводный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график'!$B$1:$B$4),MATCH(DATE($AV$1,MONTH($B$104),W$3),'Сводный годовой график'!$C$15:$AR$15)))</f>
        <v>#N/A</v>
      </c>
      <c r="X104" s="27" t="e">
        <f ca="1">IF(AND(INDEX('Сводный годовой график'!$C$1:$AR$4,MATCH($C$104,'Сводный годовой график'!$B$1:$B$4),MATCH(DATE($AV$1,MONTH($B$104),X$3),'Сводный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график'!$B$1:$B$4),MATCH(DATE($AV$1,MONTH($B$104),X$3),'Сводный годовой график'!$C$15:$AR$15)))</f>
        <v>#N/A</v>
      </c>
      <c r="Y104" s="27" t="e">
        <f ca="1">IF(AND(INDEX('Сводный годовой график'!$C$1:$AR$4,MATCH($C$104,'Сводный годовой график'!$B$1:$B$4),MATCH(DATE($AV$1,MONTH($B$104),Y$3),'Сводный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график'!$B$1:$B$4),MATCH(DATE($AV$1,MONTH($B$104),Y$3),'Сводный годовой график'!$C$15:$AR$15)))</f>
        <v>#N/A</v>
      </c>
      <c r="Z104" s="27" t="e">
        <f ca="1">IF(AND(INDEX('Сводный годовой график'!$C$1:$AR$4,MATCH($C$104,'Сводный годовой график'!$B$1:$B$4),MATCH(DATE($AV$1,MONTH($B$104),Z$3),'Сводный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график'!$B$1:$B$4),MATCH(DATE($AV$1,MONTH($B$104),Z$3),'Сводный годовой график'!$C$15:$AR$15)))</f>
        <v>#N/A</v>
      </c>
      <c r="AA104" s="27" t="e">
        <f ca="1">IF(AND(INDEX('Сводный годовой график'!$C$1:$AR$4,MATCH($C$104,'Сводный годовой график'!$B$1:$B$4),MATCH(DATE($AV$1,MONTH($B$104),AA$3),'Сводный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график'!$B$1:$B$4),MATCH(DATE($AV$1,MONTH($B$104),AA$3),'Сводный годовой график'!$C$15:$AR$15)))</f>
        <v>#N/A</v>
      </c>
      <c r="AB104" s="27" t="e">
        <f ca="1">IF(AND(INDEX('Сводный годовой график'!$C$1:$AR$4,MATCH($C$104,'Сводный годовой график'!$B$1:$B$4),MATCH(DATE($AV$1,MONTH($B$104),AB$3),'Сводный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график'!$B$1:$B$4),MATCH(DATE($AV$1,MONTH($B$104),AB$3),'Сводный годовой график'!$C$15:$AR$15)))</f>
        <v>#N/A</v>
      </c>
      <c r="AC104" s="27" t="e">
        <f ca="1">IF(AND(INDEX('Сводный годовой график'!$C$1:$AR$4,MATCH($C$104,'Сводный годовой график'!$B$1:$B$4),MATCH(DATE($AV$1,MONTH($B$104),AC$3),'Сводный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график'!$B$1:$B$4),MATCH(DATE($AV$1,MONTH($B$104),AC$3),'Сводный годовой график'!$C$15:$AR$15)))</f>
        <v>#N/A</v>
      </c>
      <c r="AD104" s="27" t="e">
        <f ca="1">IF(AND(INDEX('Сводный годовой график'!$C$1:$AR$4,MATCH($C$104,'Сводный годовой график'!$B$1:$B$4),MATCH(DATE($AV$1,MONTH($B$104),AD$3),'Сводный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график'!$B$1:$B$4),MATCH(DATE($AV$1,MONTH($B$104),AD$3),'Сводный годовой график'!$C$15:$AR$15)))</f>
        <v>#N/A</v>
      </c>
      <c r="AE104" s="27" t="e">
        <f ca="1">IF(AND(INDEX('Сводный годовой график'!$C$1:$AR$4,MATCH($C$104,'Сводный годовой график'!$B$1:$B$4),MATCH(DATE($AV$1,MONTH($B$104),AE$3),'Сводный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график'!$B$1:$B$4),MATCH(DATE($AV$1,MONTH($B$104),AE$3),'Сводный годовой график'!$C$15:$AR$15)))</f>
        <v>#N/A</v>
      </c>
      <c r="AF104" s="27" t="e">
        <f ca="1">IF(AND(INDEX('Сводный годовой график'!$C$1:$AR$4,MATCH($C$104,'Сводный годовой график'!$B$1:$B$4),MATCH(DATE($AV$1,MONTH($B$104),AF$3),'Сводный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график'!$B$1:$B$4),MATCH(DATE($AV$1,MONTH($B$104),AF$3),'Сводный годовой график'!$C$15:$AR$15)))</f>
        <v>#N/A</v>
      </c>
      <c r="AG104" s="27" t="e">
        <f ca="1">IF(AND(INDEX('Сводный годовой график'!$C$1:$AR$4,MATCH($C$104,'Сводный годовой график'!$B$1:$B$4),MATCH(DATE($AV$1,MONTH($B$104),AG$3),'Сводный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график'!$B$1:$B$4),MATCH(DATE($AV$1,MONTH($B$104),AG$3),'Сводный годовой график'!$C$15:$AR$15)))</f>
        <v>#N/A</v>
      </c>
      <c r="AH104" s="27" t="e">
        <f ca="1">IF(AND(INDEX('Сводный годовой график'!$C$1:$AR$4,MATCH($C$104,'Сводный годовой график'!$B$1:$B$4),MATCH(DATE($AV$1,MONTH($B$104),AH$3),'Сводный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график'!$B$1:$B$4),MATCH(DATE($AV$1,MONTH($B$104),AH$3),'Сводный годовой график'!$C$15:$AR$15)))</f>
        <v>#N/A</v>
      </c>
      <c r="AI104" s="118"/>
      <c r="AJ104" s="205">
        <f>INDEX(Подключения!$D$3:$H$14,MONTH(B104),5)</f>
        <v>151</v>
      </c>
      <c r="AK104" s="216">
        <f>$AJ$104-SUM(AY104:CC105)</f>
        <v>151</v>
      </c>
      <c r="AL104" s="216" t="e">
        <f t="shared" ref="AL104" ca="1" si="179">SUM(E104:AI105)</f>
        <v>#N/A</v>
      </c>
      <c r="AM104" s="216" t="e">
        <f ca="1">SUM(H104)</f>
        <v>#N/A</v>
      </c>
      <c r="AN104" s="218" t="e">
        <f t="shared" ref="AN104" ca="1" si="180">-AM104-AK104+AL104</f>
        <v>#N/A</v>
      </c>
      <c r="AO104" s="218">
        <v>0</v>
      </c>
      <c r="AP104" s="218" t="e">
        <f t="shared" ref="AP104" ca="1" si="181">AN104+AP94</f>
        <v>#N/A</v>
      </c>
      <c r="AQ104" s="216">
        <v>0</v>
      </c>
      <c r="AR104" s="217">
        <v>1</v>
      </c>
      <c r="CK104" s="59"/>
      <c r="CL104" s="59"/>
      <c r="CM104" s="59"/>
      <c r="CN104" s="59"/>
      <c r="CO104" s="59"/>
      <c r="CP104" s="59"/>
      <c r="CQ104" s="59"/>
      <c r="CR104" s="59"/>
      <c r="CS104" s="59"/>
      <c r="CT104" s="59"/>
      <c r="CU104" s="59"/>
      <c r="CV104" s="59"/>
      <c r="CW104" s="59"/>
      <c r="CX104" s="59"/>
      <c r="CY104" s="59"/>
      <c r="CZ104" s="59"/>
      <c r="DA104" s="59"/>
      <c r="DB104" s="59"/>
      <c r="DC104" s="59"/>
      <c r="DD104" s="59"/>
      <c r="DE104" s="59"/>
      <c r="DF104" s="59"/>
      <c r="DG104" s="59"/>
      <c r="DH104" s="59"/>
      <c r="DI104" s="59"/>
      <c r="DJ104" s="59"/>
      <c r="DK104" s="59"/>
      <c r="DL104" s="59"/>
      <c r="DM104" s="59"/>
      <c r="DN104" s="59"/>
      <c r="DO104" s="59"/>
    </row>
    <row r="105" spans="2:119" ht="16.5" thickBot="1" x14ac:dyDescent="0.3">
      <c r="B105" s="201"/>
      <c r="C105" s="197"/>
      <c r="D105" s="82">
        <v>2</v>
      </c>
      <c r="E105" s="92" t="str">
        <f t="shared" ref="E105:AH105" si="182">IF(INDEX($CK$4:$DO$123,ROW()-3,E$3)=0,"","СП")</f>
        <v/>
      </c>
      <c r="F105" s="92" t="str">
        <f t="shared" si="182"/>
        <v/>
      </c>
      <c r="G105" s="92" t="str">
        <f t="shared" si="182"/>
        <v/>
      </c>
      <c r="H105" s="92" t="str">
        <f t="shared" si="182"/>
        <v/>
      </c>
      <c r="I105" s="92" t="str">
        <f t="shared" si="182"/>
        <v/>
      </c>
      <c r="J105" s="92" t="str">
        <f t="shared" si="182"/>
        <v/>
      </c>
      <c r="K105" s="92" t="str">
        <f t="shared" si="182"/>
        <v/>
      </c>
      <c r="L105" s="92" t="str">
        <f t="shared" si="182"/>
        <v/>
      </c>
      <c r="M105" s="92" t="str">
        <f t="shared" si="182"/>
        <v/>
      </c>
      <c r="N105" s="92" t="str">
        <f t="shared" si="182"/>
        <v/>
      </c>
      <c r="O105" s="92" t="str">
        <f t="shared" si="182"/>
        <v>СП</v>
      </c>
      <c r="P105" s="92" t="str">
        <f t="shared" si="182"/>
        <v/>
      </c>
      <c r="Q105" s="92" t="str">
        <f t="shared" si="182"/>
        <v/>
      </c>
      <c r="R105" s="92" t="str">
        <f t="shared" si="182"/>
        <v/>
      </c>
      <c r="S105" s="92" t="str">
        <f t="shared" si="182"/>
        <v/>
      </c>
      <c r="T105" s="92" t="str">
        <f t="shared" si="182"/>
        <v/>
      </c>
      <c r="U105" s="92" t="str">
        <f t="shared" si="182"/>
        <v/>
      </c>
      <c r="V105" s="92" t="str">
        <f t="shared" si="182"/>
        <v/>
      </c>
      <c r="W105" s="92" t="str">
        <f t="shared" si="182"/>
        <v/>
      </c>
      <c r="X105" s="92" t="str">
        <f t="shared" si="182"/>
        <v/>
      </c>
      <c r="Y105" s="92" t="str">
        <f t="shared" si="182"/>
        <v/>
      </c>
      <c r="Z105" s="92" t="str">
        <f t="shared" si="182"/>
        <v/>
      </c>
      <c r="AA105" s="92" t="str">
        <f t="shared" si="182"/>
        <v/>
      </c>
      <c r="AB105" s="92" t="str">
        <f t="shared" si="182"/>
        <v/>
      </c>
      <c r="AC105" s="92" t="str">
        <f t="shared" si="182"/>
        <v/>
      </c>
      <c r="AD105" s="92" t="str">
        <f t="shared" si="182"/>
        <v/>
      </c>
      <c r="AE105" s="92" t="str">
        <f t="shared" si="182"/>
        <v/>
      </c>
      <c r="AF105" s="92" t="str">
        <f t="shared" si="182"/>
        <v/>
      </c>
      <c r="AG105" s="92" t="str">
        <f t="shared" si="182"/>
        <v/>
      </c>
      <c r="AH105" s="92" t="str">
        <f t="shared" si="182"/>
        <v/>
      </c>
      <c r="AI105" s="119"/>
      <c r="AJ105" s="206"/>
      <c r="AK105" s="209"/>
      <c r="AL105" s="209"/>
      <c r="AM105" s="209"/>
      <c r="AN105" s="211"/>
      <c r="AO105" s="211"/>
      <c r="AP105" s="211"/>
      <c r="AQ105" s="209"/>
      <c r="AR105" s="210"/>
      <c r="CK105" s="58">
        <f>IF(DAY(INDEX('Сводный годовой график'!$BA$4:$BL$14,$C104,MONTH($B$104)))=E$3,1,0)</f>
        <v>0</v>
      </c>
      <c r="CL105" s="58">
        <f>IF(DAY(INDEX('Сводный годовой график'!$BA$4:$BL$14,$C104,MONTH($B$104)))=F$3,1,0)</f>
        <v>0</v>
      </c>
      <c r="CM105" s="58">
        <f>IF(DAY(INDEX('Сводный годовой график'!$BA$4:$BL$14,$C104,MONTH($B$104)))=G$3,1,0)</f>
        <v>0</v>
      </c>
      <c r="CN105" s="58">
        <f>IF(DAY(INDEX('Сводный годовой график'!$BA$4:$BL$14,$C104,MONTH($B$104)))=H$3,1,0)</f>
        <v>0</v>
      </c>
      <c r="CO105" s="58">
        <f>IF(DAY(INDEX('Сводный годовой график'!$BA$4:$BL$14,$C104,MONTH($B$104)))=I$3,1,0)</f>
        <v>0</v>
      </c>
      <c r="CP105" s="58">
        <f>IF(DAY(INDEX('Сводный годовой график'!$BA$4:$BL$14,$C104,MONTH($B$104)))=J$3,1,0)</f>
        <v>0</v>
      </c>
      <c r="CQ105" s="58">
        <f>IF(DAY(INDEX('Сводный годовой график'!$BA$4:$BL$14,$C104,MONTH($B$104)))=K$3,1,0)</f>
        <v>0</v>
      </c>
      <c r="CR105" s="58">
        <f>IF(DAY(INDEX('Сводный годовой график'!$BA$4:$BL$14,$C104,MONTH($B$104)))=L$3,1,0)</f>
        <v>0</v>
      </c>
      <c r="CS105" s="58">
        <f>IF(DAY(INDEX('Сводный годовой график'!$BA$4:$BL$14,$C104,MONTH($B$104)))=M$3,1,0)</f>
        <v>0</v>
      </c>
      <c r="CT105" s="58">
        <f>IF(DAY(INDEX('Сводный годовой график'!$BA$4:$BL$14,$C104,MONTH($B$104)))=N$3,1,0)</f>
        <v>0</v>
      </c>
      <c r="CU105" s="58">
        <f>IF(DAY(INDEX('Сводный годовой график'!$BA$4:$BL$14,$C104,MONTH($B$104)))=O$3,1,0)</f>
        <v>1</v>
      </c>
      <c r="CV105" s="58">
        <f>IF(DAY(INDEX('Сводный годовой график'!$BA$4:$BL$14,$C104,MONTH($B$104)))=P$3,1,0)</f>
        <v>0</v>
      </c>
      <c r="CW105" s="58">
        <f>IF(DAY(INDEX('Сводный годовой график'!$BA$4:$BL$14,$C104,MONTH($B$104)))=Q$3,1,0)</f>
        <v>0</v>
      </c>
      <c r="CX105" s="58">
        <f>IF(DAY(INDEX('Сводный годовой график'!$BA$4:$BL$14,$C104,MONTH($B$104)))=R$3,1,0)</f>
        <v>0</v>
      </c>
      <c r="CY105" s="58">
        <f>IF(DAY(INDEX('Сводный годовой график'!$BA$4:$BL$14,$C104,MONTH($B$104)))=S$3,1,0)</f>
        <v>0</v>
      </c>
      <c r="CZ105" s="58">
        <f>IF(DAY(INDEX('Сводный годовой график'!$BA$4:$BL$14,$C104,MONTH($B$104)))=T$3,1,0)</f>
        <v>0</v>
      </c>
      <c r="DA105" s="58">
        <f>IF(DAY(INDEX('Сводный годовой график'!$BA$4:$BL$14,$C104,MONTH($B$104)))=U$3,1,0)</f>
        <v>0</v>
      </c>
      <c r="DB105" s="58">
        <f>IF(DAY(INDEX('Сводный годовой график'!$BA$4:$BL$14,$C104,MONTH($B$104)))=V$3,1,0)</f>
        <v>0</v>
      </c>
      <c r="DC105" s="58">
        <f>IF(DAY(INDEX('Сводный годовой график'!$BA$4:$BL$14,$C104,MONTH($B$104)))=W$3,1,0)</f>
        <v>0</v>
      </c>
      <c r="DD105" s="58">
        <f>IF(DAY(INDEX('Сводный годовой график'!$BA$4:$BL$14,$C104,MONTH($B$104)))=X$3,1,0)</f>
        <v>0</v>
      </c>
      <c r="DE105" s="58">
        <f>IF(DAY(INDEX('Сводный годовой график'!$BA$4:$BL$14,$C104,MONTH($B$104)))=Y$3,1,0)</f>
        <v>0</v>
      </c>
      <c r="DF105" s="58">
        <f>IF(DAY(INDEX('Сводный годовой график'!$BA$4:$BL$14,$C104,MONTH($B$104)))=Z$3,1,0)</f>
        <v>0</v>
      </c>
      <c r="DG105" s="58">
        <f>IF(DAY(INDEX('Сводный годовой график'!$BA$4:$BL$14,$C104,MONTH($B$104)))=AA$3,1,0)</f>
        <v>0</v>
      </c>
      <c r="DH105" s="58">
        <f>IF(DAY(INDEX('Сводный годовой график'!$BA$4:$BL$14,$C104,MONTH($B$104)))=AB$3,1,0)</f>
        <v>0</v>
      </c>
      <c r="DI105" s="58">
        <f>IF(DAY(INDEX('Сводный годовой график'!$BA$4:$BL$14,$C104,MONTH($B$104)))=AC$3,1,0)</f>
        <v>0</v>
      </c>
      <c r="DJ105" s="58">
        <f>IF(DAY(INDEX('Сводный годовой график'!$BA$4:$BL$14,$C104,MONTH($B$104)))=AD$3,1,0)</f>
        <v>0</v>
      </c>
      <c r="DK105" s="58">
        <f>IF(DAY(INDEX('Сводный годовой график'!$BA$4:$BL$14,$C104,MONTH($B$104)))=AE$3,1,0)</f>
        <v>0</v>
      </c>
      <c r="DL105" s="58">
        <f>IF(DAY(INDEX('Сводный годовой график'!$BA$4:$BL$14,$C104,MONTH($B$104)))=AF$3,1,0)</f>
        <v>0</v>
      </c>
      <c r="DM105" s="58">
        <f>IF(DAY(INDEX('Сводный годовой график'!$BA$4:$BL$14,$C104,MONTH($B$104)))=AG$3,1,0)</f>
        <v>0</v>
      </c>
      <c r="DN105" s="58">
        <f>IF(DAY(INDEX('Сводный годовой график'!$BA$4:$BL$14,$C104,MONTH($B$104)))=AH$3,1,0)</f>
        <v>0</v>
      </c>
      <c r="DO105" s="58">
        <f>IF(DAY(INDEX('Сводный годовой график'!$BA$4:$BL$14,$C104,MONTH($B$104)))=AI$3,1,0)</f>
        <v>0</v>
      </c>
    </row>
    <row r="106" spans="2:119" ht="16.5" thickBot="1" x14ac:dyDescent="0.3">
      <c r="B106" s="201"/>
      <c r="C106" s="196">
        <v>2</v>
      </c>
      <c r="D106" s="81">
        <v>3</v>
      </c>
      <c r="E106" s="92" t="e">
        <f ca="1">IF(AND(INDEX('Сводный годовой график'!$C$1:$AR$4,MATCH($C$106,'Сводный годовой график'!$B$1:$B$4),MATCH(DATE($AV$1,MONTH($B$104),E$3),'Сводный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график'!$B$1:$B$4),MATCH(DATE($AV$1,MONTH($B$104),E$3),'Сводный годовой график'!$C$15:$AR$15)))</f>
        <v>#N/A</v>
      </c>
      <c r="F106" s="92" t="e">
        <f ca="1">IF(AND(INDEX('Сводный годовой график'!$C$1:$AR$4,MATCH($C$106,'Сводный годовой график'!$B$1:$B$4),MATCH(DATE($AV$1,MONTH($B$104),F$3),'Сводный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график'!$B$1:$B$4),MATCH(DATE($AV$1,MONTH($B$104),F$3),'Сводный годовой график'!$C$15:$AR$15)))</f>
        <v>#N/A</v>
      </c>
      <c r="G106" s="92" t="e">
        <f ca="1">IF(AND(INDEX('Сводный годовой график'!$C$1:$AR$4,MATCH($C$106,'Сводный годовой график'!$B$1:$B$4),MATCH(DATE($AV$1,MONTH($B$104),G$3),'Сводный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график'!$B$1:$B$4),MATCH(DATE($AV$1,MONTH($B$104),G$3),'Сводный годовой график'!$C$15:$AR$15)))</f>
        <v>#N/A</v>
      </c>
      <c r="H106" s="92" t="e">
        <f ca="1">IF(AND(INDEX('Сводный годовой график'!$C$1:$AR$4,MATCH($C$106,'Сводный годовой график'!$B$1:$B$4),MATCH(DATE($AV$1,MONTH($B$104),H$3),'Сводный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график'!$B$1:$B$4),MATCH(DATE($AV$1,MONTH($B$104),H$3),'Сводный годовой график'!$C$15:$AR$15)))</f>
        <v>#N/A</v>
      </c>
      <c r="I106" s="92" t="e">
        <f ca="1">IF(AND(INDEX('Сводный годовой график'!$C$1:$AR$4,MATCH($C$106,'Сводный годовой график'!$B$1:$B$4),MATCH(DATE($AV$1,MONTH($B$104),I$3),'Сводный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график'!$B$1:$B$4),MATCH(DATE($AV$1,MONTH($B$104),I$3),'Сводный годовой график'!$C$15:$AR$15)))</f>
        <v>#N/A</v>
      </c>
      <c r="J106" s="92" t="e">
        <f ca="1">IF(AND(INDEX('Сводный годовой график'!$C$1:$AR$4,MATCH($C$106,'Сводный годовой график'!$B$1:$B$4),MATCH(DATE($AV$1,MONTH($B$104),J$3),'Сводный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график'!$B$1:$B$4),MATCH(DATE($AV$1,MONTH($B$104),J$3),'Сводный годовой график'!$C$15:$AR$15)))</f>
        <v>#N/A</v>
      </c>
      <c r="K106" s="92" t="e">
        <f ca="1">IF(AND(INDEX('Сводный годовой график'!$C$1:$AR$4,MATCH($C$106,'Сводный годовой график'!$B$1:$B$4),MATCH(DATE($AV$1,MONTH($B$104),K$3),'Сводный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график'!$B$1:$B$4),MATCH(DATE($AV$1,MONTH($B$104),K$3),'Сводный годовой график'!$C$15:$AR$15)))</f>
        <v>#N/A</v>
      </c>
      <c r="L106" s="92" t="e">
        <f ca="1">IF(AND(INDEX('Сводный годовой график'!$C$1:$AR$4,MATCH($C$106,'Сводный годовой график'!$B$1:$B$4),MATCH(DATE($AV$1,MONTH($B$104),L$3),'Сводный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график'!$B$1:$B$4),MATCH(DATE($AV$1,MONTH($B$104),L$3),'Сводный годовой график'!$C$15:$AR$15)))</f>
        <v>#N/A</v>
      </c>
      <c r="M106" s="92" t="e">
        <f ca="1">IF(AND(INDEX('Сводный годовой график'!$C$1:$AR$4,MATCH($C$106,'Сводный годовой график'!$B$1:$B$4),MATCH(DATE($AV$1,MONTH($B$104),M$3),'Сводный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график'!$B$1:$B$4),MATCH(DATE($AV$1,MONTH($B$104),M$3),'Сводный годовой график'!$C$15:$AR$15)))</f>
        <v>#N/A</v>
      </c>
      <c r="N106" s="92" t="e">
        <f ca="1">IF(AND(INDEX('Сводный годовой график'!$C$1:$AR$4,MATCH($C$106,'Сводный годовой график'!$B$1:$B$4),MATCH(DATE($AV$1,MONTH($B$104),N$3),'Сводный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график'!$B$1:$B$4),MATCH(DATE($AV$1,MONTH($B$104),N$3),'Сводный годовой график'!$C$15:$AR$15)))</f>
        <v>#N/A</v>
      </c>
      <c r="O106" s="92" t="e">
        <f ca="1">IF(AND(INDEX('Сводный годовой график'!$C$1:$AR$4,MATCH($C$106,'Сводный годовой график'!$B$1:$B$4),MATCH(DATE($AV$1,MONTH($B$104),O$3),'Сводный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график'!$B$1:$B$4),MATCH(DATE($AV$1,MONTH($B$104),O$3),'Сводный годовой график'!$C$15:$AR$15)))</f>
        <v>#N/A</v>
      </c>
      <c r="P106" s="92" t="e">
        <f ca="1">IF(AND(INDEX('Сводный годовой график'!$C$1:$AR$4,MATCH($C$106,'Сводный годовой график'!$B$1:$B$4),MATCH(DATE($AV$1,MONTH($B$104),P$3),'Сводный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график'!$B$1:$B$4),MATCH(DATE($AV$1,MONTH($B$104),P$3),'Сводный годовой график'!$C$15:$AR$15)))</f>
        <v>#N/A</v>
      </c>
      <c r="Q106" s="92" t="e">
        <f ca="1">IF(AND(INDEX('Сводный годовой график'!$C$1:$AR$4,MATCH($C$106,'Сводный годовой график'!$B$1:$B$4),MATCH(DATE($AV$1,MONTH($B$104),Q$3),'Сводный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график'!$B$1:$B$4),MATCH(DATE($AV$1,MONTH($B$104),Q$3),'Сводный годовой график'!$C$15:$AR$15)))</f>
        <v>#N/A</v>
      </c>
      <c r="R106" s="92" t="e">
        <f ca="1">IF(AND(INDEX('Сводный годовой график'!$C$1:$AR$4,MATCH($C$106,'Сводный годовой график'!$B$1:$B$4),MATCH(DATE($AV$1,MONTH($B$104),R$3),'Сводный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график'!$B$1:$B$4),MATCH(DATE($AV$1,MONTH($B$104),R$3),'Сводный годовой график'!$C$15:$AR$15)))</f>
        <v>#N/A</v>
      </c>
      <c r="S106" s="92" t="e">
        <f ca="1">IF(AND(INDEX('Сводный годовой график'!$C$1:$AR$4,MATCH($C$106,'Сводный годовой график'!$B$1:$B$4),MATCH(DATE($AV$1,MONTH($B$104),S$3),'Сводный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график'!$B$1:$B$4),MATCH(DATE($AV$1,MONTH($B$104),S$3),'Сводный годовой график'!$C$15:$AR$15)))</f>
        <v>#N/A</v>
      </c>
      <c r="T106" s="92" t="e">
        <f ca="1">IF(AND(INDEX('Сводный годовой график'!$C$1:$AR$4,MATCH($C$106,'Сводный годовой график'!$B$1:$B$4),MATCH(DATE($AV$1,MONTH($B$104),T$3),'Сводный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график'!$B$1:$B$4),MATCH(DATE($AV$1,MONTH($B$104),T$3),'Сводный годовой график'!$C$15:$AR$15)))</f>
        <v>#N/A</v>
      </c>
      <c r="U106" s="92" t="e">
        <f ca="1">IF(AND(INDEX('Сводный годовой график'!$C$1:$AR$4,MATCH($C$106,'Сводный годовой график'!$B$1:$B$4),MATCH(DATE($AV$1,MONTH($B$104),U$3),'Сводный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график'!$B$1:$B$4),MATCH(DATE($AV$1,MONTH($B$104),U$3),'Сводный годовой график'!$C$15:$AR$15)))</f>
        <v>#N/A</v>
      </c>
      <c r="V106" s="92" t="e">
        <f ca="1">IF(AND(INDEX('Сводный годовой график'!$C$1:$AR$4,MATCH($C$106,'Сводный годовой график'!$B$1:$B$4),MATCH(DATE($AV$1,MONTH($B$104),V$3),'Сводный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график'!$B$1:$B$4),MATCH(DATE($AV$1,MONTH($B$104),V$3),'Сводный годовой график'!$C$15:$AR$15)))</f>
        <v>#N/A</v>
      </c>
      <c r="W106" s="92" t="e">
        <f ca="1">IF(AND(INDEX('Сводный годовой график'!$C$1:$AR$4,MATCH($C$106,'Сводный годовой график'!$B$1:$B$4),MATCH(DATE($AV$1,MONTH($B$104),W$3),'Сводный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график'!$B$1:$B$4),MATCH(DATE($AV$1,MONTH($B$104),W$3),'Сводный годовой график'!$C$15:$AR$15)))</f>
        <v>#N/A</v>
      </c>
      <c r="X106" s="92" t="e">
        <f ca="1">IF(AND(INDEX('Сводный годовой график'!$C$1:$AR$4,MATCH($C$106,'Сводный годовой график'!$B$1:$B$4),MATCH(DATE($AV$1,MONTH($B$104),X$3),'Сводный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график'!$B$1:$B$4),MATCH(DATE($AV$1,MONTH($B$104),X$3),'Сводный годовой график'!$C$15:$AR$15)))</f>
        <v>#N/A</v>
      </c>
      <c r="Y106" s="92" t="e">
        <f ca="1">IF(AND(INDEX('Сводный годовой график'!$C$1:$AR$4,MATCH($C$106,'Сводный годовой график'!$B$1:$B$4),MATCH(DATE($AV$1,MONTH($B$104),Y$3),'Сводный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график'!$B$1:$B$4),MATCH(DATE($AV$1,MONTH($B$104),Y$3),'Сводный годовой график'!$C$15:$AR$15)))</f>
        <v>#N/A</v>
      </c>
      <c r="Z106" s="92" t="e">
        <f ca="1">IF(AND(INDEX('Сводный годовой график'!$C$1:$AR$4,MATCH($C$106,'Сводный годовой график'!$B$1:$B$4),MATCH(DATE($AV$1,MONTH($B$104),Z$3),'Сводный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график'!$B$1:$B$4),MATCH(DATE($AV$1,MONTH($B$104),Z$3),'Сводный годовой график'!$C$15:$AR$15)))</f>
        <v>#N/A</v>
      </c>
      <c r="AA106" s="92" t="e">
        <f ca="1">IF(AND(INDEX('Сводный годовой график'!$C$1:$AR$4,MATCH($C$106,'Сводный годовой график'!$B$1:$B$4),MATCH(DATE($AV$1,MONTH($B$104),AA$3),'Сводный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график'!$B$1:$B$4),MATCH(DATE($AV$1,MONTH($B$104),AA$3),'Сводный годовой график'!$C$15:$AR$15)))</f>
        <v>#N/A</v>
      </c>
      <c r="AB106" s="92" t="e">
        <f ca="1">IF(AND(INDEX('Сводный годовой график'!$C$1:$AR$4,MATCH($C$106,'Сводный годовой график'!$B$1:$B$4),MATCH(DATE($AV$1,MONTH($B$104),AB$3),'Сводный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график'!$B$1:$B$4),MATCH(DATE($AV$1,MONTH($B$104),AB$3),'Сводный годовой график'!$C$15:$AR$15)))</f>
        <v>#N/A</v>
      </c>
      <c r="AC106" s="92" t="e">
        <f ca="1">IF(AND(INDEX('Сводный годовой график'!$C$1:$AR$4,MATCH($C$106,'Сводный годовой график'!$B$1:$B$4),MATCH(DATE($AV$1,MONTH($B$104),AC$3),'Сводный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график'!$B$1:$B$4),MATCH(DATE($AV$1,MONTH($B$104),AC$3),'Сводный годовой график'!$C$15:$AR$15)))</f>
        <v>#N/A</v>
      </c>
      <c r="AD106" s="92" t="e">
        <f ca="1">IF(AND(INDEX('Сводный годовой график'!$C$1:$AR$4,MATCH($C$106,'Сводный годовой график'!$B$1:$B$4),MATCH(DATE($AV$1,MONTH($B$104),AD$3),'Сводный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график'!$B$1:$B$4),MATCH(DATE($AV$1,MONTH($B$104),AD$3),'Сводный годовой график'!$C$15:$AR$15)))</f>
        <v>#N/A</v>
      </c>
      <c r="AE106" s="92" t="e">
        <f ca="1">IF(AND(INDEX('Сводный годовой график'!$C$1:$AR$4,MATCH($C$106,'Сводный годовой график'!$B$1:$B$4),MATCH(DATE($AV$1,MONTH($B$104),AE$3),'Сводный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график'!$B$1:$B$4),MATCH(DATE($AV$1,MONTH($B$104),AE$3),'Сводный годовой график'!$C$15:$AR$15)))</f>
        <v>#N/A</v>
      </c>
      <c r="AF106" s="92" t="e">
        <f ca="1">IF(AND(INDEX('Сводный годовой график'!$C$1:$AR$4,MATCH($C$106,'Сводный годовой график'!$B$1:$B$4),MATCH(DATE($AV$1,MONTH($B$104),AF$3),'Сводный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график'!$B$1:$B$4),MATCH(DATE($AV$1,MONTH($B$104),AF$3),'Сводный годовой график'!$C$15:$AR$15)))</f>
        <v>#N/A</v>
      </c>
      <c r="AG106" s="92" t="e">
        <f ca="1">IF(AND(INDEX('Сводный годовой график'!$C$1:$AR$4,MATCH($C$106,'Сводный годовой график'!$B$1:$B$4),MATCH(DATE($AV$1,MONTH($B$104),AG$3),'Сводный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график'!$B$1:$B$4),MATCH(DATE($AV$1,MONTH($B$104),AG$3),'Сводный годовой график'!$C$15:$AR$15)))</f>
        <v>#N/A</v>
      </c>
      <c r="AH106" s="92" t="e">
        <f ca="1">IF(AND(INDEX('Сводный годовой график'!$C$1:$AR$4,MATCH($C$106,'Сводный годовой график'!$B$1:$B$4),MATCH(DATE($AV$1,MONTH($B$104),AH$3),'Сводный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график'!$B$1:$B$4),MATCH(DATE($AV$1,MONTH($B$104),AH$3),'Сводный годовой график'!$C$15:$AR$15)))</f>
        <v>#N/A</v>
      </c>
      <c r="AI106" s="119"/>
      <c r="AJ106" s="206"/>
      <c r="AK106" s="209">
        <f>$AJ$104-SUM(AY106:CC107)</f>
        <v>151</v>
      </c>
      <c r="AL106" s="209" t="e">
        <f t="shared" ref="AL106" ca="1" si="183">SUM(E106:AI107)</f>
        <v>#N/A</v>
      </c>
      <c r="AM106" s="209" t="e">
        <f t="shared" ref="AM106" ca="1" si="184">SUM(H106)</f>
        <v>#N/A</v>
      </c>
      <c r="AN106" s="211" t="e">
        <f t="shared" ref="AN106" ca="1" si="185">-AM106-AK106+AL106</f>
        <v>#N/A</v>
      </c>
      <c r="AO106" s="211">
        <v>0</v>
      </c>
      <c r="AP106" s="211" t="e">
        <f t="shared" ref="AP106" ca="1" si="186">AN106+AP96</f>
        <v>#N/A</v>
      </c>
      <c r="AQ106" s="209">
        <v>0</v>
      </c>
      <c r="AR106" s="210">
        <v>1</v>
      </c>
      <c r="CK106" s="59"/>
      <c r="CL106" s="59"/>
      <c r="CM106" s="59"/>
      <c r="CN106" s="59"/>
      <c r="CO106" s="59"/>
      <c r="CP106" s="59"/>
      <c r="CQ106" s="59"/>
      <c r="CR106" s="59"/>
      <c r="CS106" s="59"/>
      <c r="CT106" s="59"/>
      <c r="CU106" s="59"/>
      <c r="CV106" s="59"/>
      <c r="CW106" s="59"/>
      <c r="CX106" s="59"/>
      <c r="CY106" s="59"/>
      <c r="CZ106" s="59"/>
      <c r="DA106" s="59"/>
      <c r="DB106" s="59"/>
      <c r="DC106" s="59"/>
      <c r="DD106" s="59"/>
      <c r="DE106" s="59"/>
      <c r="DF106" s="59"/>
      <c r="DG106" s="59"/>
      <c r="DH106" s="59"/>
      <c r="DI106" s="59"/>
      <c r="DJ106" s="59"/>
      <c r="DK106" s="59"/>
      <c r="DL106" s="59"/>
      <c r="DM106" s="59"/>
      <c r="DN106" s="59"/>
      <c r="DO106" s="59"/>
    </row>
    <row r="107" spans="2:119" ht="16.5" thickBot="1" x14ac:dyDescent="0.3">
      <c r="B107" s="201"/>
      <c r="C107" s="197"/>
      <c r="D107" s="82">
        <v>4</v>
      </c>
      <c r="E107" s="92" t="str">
        <f t="shared" ref="E107:AH107" si="187">IF(INDEX($CK$4:$DO$123,ROW()-3,E$3)=0,"","СП")</f>
        <v/>
      </c>
      <c r="F107" s="92" t="str">
        <f t="shared" si="187"/>
        <v/>
      </c>
      <c r="G107" s="92" t="str">
        <f t="shared" si="187"/>
        <v/>
      </c>
      <c r="H107" s="92" t="str">
        <f t="shared" si="187"/>
        <v/>
      </c>
      <c r="I107" s="92" t="str">
        <f t="shared" si="187"/>
        <v/>
      </c>
      <c r="J107" s="92" t="str">
        <f t="shared" si="187"/>
        <v/>
      </c>
      <c r="K107" s="92" t="str">
        <f t="shared" si="187"/>
        <v/>
      </c>
      <c r="L107" s="92" t="str">
        <f t="shared" si="187"/>
        <v/>
      </c>
      <c r="M107" s="92" t="str">
        <f t="shared" si="187"/>
        <v/>
      </c>
      <c r="N107" s="92" t="str">
        <f t="shared" si="187"/>
        <v/>
      </c>
      <c r="O107" s="92" t="str">
        <f t="shared" si="187"/>
        <v/>
      </c>
      <c r="P107" s="92" t="str">
        <f t="shared" si="187"/>
        <v>СП</v>
      </c>
      <c r="Q107" s="92" t="str">
        <f t="shared" si="187"/>
        <v/>
      </c>
      <c r="R107" s="92" t="str">
        <f t="shared" si="187"/>
        <v/>
      </c>
      <c r="S107" s="92" t="str">
        <f t="shared" si="187"/>
        <v/>
      </c>
      <c r="T107" s="92" t="str">
        <f t="shared" si="187"/>
        <v/>
      </c>
      <c r="U107" s="92" t="str">
        <f t="shared" si="187"/>
        <v/>
      </c>
      <c r="V107" s="92" t="str">
        <f t="shared" si="187"/>
        <v/>
      </c>
      <c r="W107" s="92" t="str">
        <f t="shared" si="187"/>
        <v/>
      </c>
      <c r="X107" s="92" t="str">
        <f t="shared" si="187"/>
        <v/>
      </c>
      <c r="Y107" s="92" t="str">
        <f t="shared" si="187"/>
        <v/>
      </c>
      <c r="Z107" s="92" t="str">
        <f t="shared" si="187"/>
        <v/>
      </c>
      <c r="AA107" s="92" t="str">
        <f t="shared" si="187"/>
        <v/>
      </c>
      <c r="AB107" s="92" t="str">
        <f t="shared" si="187"/>
        <v/>
      </c>
      <c r="AC107" s="92" t="str">
        <f t="shared" si="187"/>
        <v/>
      </c>
      <c r="AD107" s="92" t="str">
        <f t="shared" si="187"/>
        <v/>
      </c>
      <c r="AE107" s="92" t="str">
        <f t="shared" si="187"/>
        <v/>
      </c>
      <c r="AF107" s="92" t="str">
        <f t="shared" si="187"/>
        <v/>
      </c>
      <c r="AG107" s="92" t="str">
        <f t="shared" si="187"/>
        <v/>
      </c>
      <c r="AH107" s="92" t="str">
        <f t="shared" si="187"/>
        <v/>
      </c>
      <c r="AI107" s="119"/>
      <c r="AJ107" s="206"/>
      <c r="AK107" s="209"/>
      <c r="AL107" s="209"/>
      <c r="AM107" s="209"/>
      <c r="AN107" s="211"/>
      <c r="AO107" s="211"/>
      <c r="AP107" s="211"/>
      <c r="AQ107" s="209"/>
      <c r="AR107" s="210"/>
      <c r="CK107" s="58">
        <f>IF(DAY(INDEX('Сводный годовой график'!$BA$4:$BL$14,$C106,MONTH($B$104)))=E$3,1,0)</f>
        <v>0</v>
      </c>
      <c r="CL107" s="58">
        <f>IF(DAY(INDEX('Сводный годовой график'!$BA$4:$BL$14,$C106,MONTH($B$104)))=F$3,1,0)</f>
        <v>0</v>
      </c>
      <c r="CM107" s="58">
        <f>IF(DAY(INDEX('Сводный годовой график'!$BA$4:$BL$14,$C106,MONTH($B$104)))=G$3,1,0)</f>
        <v>0</v>
      </c>
      <c r="CN107" s="58">
        <f>IF(DAY(INDEX('Сводный годовой график'!$BA$4:$BL$14,$C106,MONTH($B$104)))=H$3,1,0)</f>
        <v>0</v>
      </c>
      <c r="CO107" s="58">
        <f>IF(DAY(INDEX('Сводный годовой график'!$BA$4:$BL$14,$C106,MONTH($B$104)))=I$3,1,0)</f>
        <v>0</v>
      </c>
      <c r="CP107" s="58">
        <f>IF(DAY(INDEX('Сводный годовой график'!$BA$4:$BL$14,$C106,MONTH($B$104)))=J$3,1,0)</f>
        <v>0</v>
      </c>
      <c r="CQ107" s="58">
        <f>IF(DAY(INDEX('Сводный годовой график'!$BA$4:$BL$14,$C106,MONTH($B$104)))=K$3,1,0)</f>
        <v>0</v>
      </c>
      <c r="CR107" s="58">
        <f>IF(DAY(INDEX('Сводный годовой график'!$BA$4:$BL$14,$C106,MONTH($B$104)))=L$3,1,0)</f>
        <v>0</v>
      </c>
      <c r="CS107" s="58">
        <f>IF(DAY(INDEX('Сводный годовой график'!$BA$4:$BL$14,$C106,MONTH($B$104)))=M$3,1,0)</f>
        <v>0</v>
      </c>
      <c r="CT107" s="58">
        <f>IF(DAY(INDEX('Сводный годовой график'!$BA$4:$BL$14,$C106,MONTH($B$104)))=N$3,1,0)</f>
        <v>0</v>
      </c>
      <c r="CU107" s="58">
        <f>IF(DAY(INDEX('Сводный годовой график'!$BA$4:$BL$14,$C106,MONTH($B$104)))=O$3,1,0)</f>
        <v>0</v>
      </c>
      <c r="CV107" s="58">
        <f>IF(DAY(INDEX('Сводный годовой график'!$BA$4:$BL$14,$C106,MONTH($B$104)))=P$3,1,0)</f>
        <v>1</v>
      </c>
      <c r="CW107" s="58">
        <f>IF(DAY(INDEX('Сводный годовой график'!$BA$4:$BL$14,$C106,MONTH($B$104)))=Q$3,1,0)</f>
        <v>0</v>
      </c>
      <c r="CX107" s="58">
        <f>IF(DAY(INDEX('Сводный годовой график'!$BA$4:$BL$14,$C106,MONTH($B$104)))=R$3,1,0)</f>
        <v>0</v>
      </c>
      <c r="CY107" s="58">
        <f>IF(DAY(INDEX('Сводный годовой график'!$BA$4:$BL$14,$C106,MONTH($B$104)))=S$3,1,0)</f>
        <v>0</v>
      </c>
      <c r="CZ107" s="58">
        <f>IF(DAY(INDEX('Сводный годовой график'!$BA$4:$BL$14,$C106,MONTH($B$104)))=T$3,1,0)</f>
        <v>0</v>
      </c>
      <c r="DA107" s="58">
        <f>IF(DAY(INDEX('Сводный годовой график'!$BA$4:$BL$14,$C106,MONTH($B$104)))=U$3,1,0)</f>
        <v>0</v>
      </c>
      <c r="DB107" s="58">
        <f>IF(DAY(INDEX('Сводный годовой график'!$BA$4:$BL$14,$C106,MONTH($B$104)))=V$3,1,0)</f>
        <v>0</v>
      </c>
      <c r="DC107" s="58">
        <f>IF(DAY(INDEX('Сводный годовой график'!$BA$4:$BL$14,$C106,MONTH($B$104)))=W$3,1,0)</f>
        <v>0</v>
      </c>
      <c r="DD107" s="58">
        <f>IF(DAY(INDEX('Сводный годовой график'!$BA$4:$BL$14,$C106,MONTH($B$104)))=X$3,1,0)</f>
        <v>0</v>
      </c>
      <c r="DE107" s="58">
        <f>IF(DAY(INDEX('Сводный годовой график'!$BA$4:$BL$14,$C106,MONTH($B$104)))=Y$3,1,0)</f>
        <v>0</v>
      </c>
      <c r="DF107" s="58">
        <f>IF(DAY(INDEX('Сводный годовой график'!$BA$4:$BL$14,$C106,MONTH($B$104)))=Z$3,1,0)</f>
        <v>0</v>
      </c>
      <c r="DG107" s="58">
        <f>IF(DAY(INDEX('Сводный годовой график'!$BA$4:$BL$14,$C106,MONTH($B$104)))=AA$3,1,0)</f>
        <v>0</v>
      </c>
      <c r="DH107" s="58">
        <f>IF(DAY(INDEX('Сводный годовой график'!$BA$4:$BL$14,$C106,MONTH($B$104)))=AB$3,1,0)</f>
        <v>0</v>
      </c>
      <c r="DI107" s="58">
        <f>IF(DAY(INDEX('Сводный годовой график'!$BA$4:$BL$14,$C106,MONTH($B$104)))=AC$3,1,0)</f>
        <v>0</v>
      </c>
      <c r="DJ107" s="58">
        <f>IF(DAY(INDEX('Сводный годовой график'!$BA$4:$BL$14,$C106,MONTH($B$104)))=AD$3,1,0)</f>
        <v>0</v>
      </c>
      <c r="DK107" s="58">
        <f>IF(DAY(INDEX('Сводный годовой график'!$BA$4:$BL$14,$C106,MONTH($B$104)))=AE$3,1,0)</f>
        <v>0</v>
      </c>
      <c r="DL107" s="58">
        <f>IF(DAY(INDEX('Сводный годовой график'!$BA$4:$BL$14,$C106,MONTH($B$104)))=AF$3,1,0)</f>
        <v>0</v>
      </c>
      <c r="DM107" s="58">
        <f>IF(DAY(INDEX('Сводный годовой график'!$BA$4:$BL$14,$C106,MONTH($B$104)))=AG$3,1,0)</f>
        <v>0</v>
      </c>
      <c r="DN107" s="58">
        <f>IF(DAY(INDEX('Сводный годовой график'!$BA$4:$BL$14,$C106,MONTH($B$104)))=AH$3,1,0)</f>
        <v>0</v>
      </c>
      <c r="DO107" s="58">
        <f>IF(DAY(INDEX('Сводный годовой график'!$BA$4:$BL$14,$C106,MONTH($B$104)))=AI$3,1,0)</f>
        <v>0</v>
      </c>
    </row>
    <row r="108" spans="2:119" ht="16.5" thickBot="1" x14ac:dyDescent="0.3">
      <c r="B108" s="201"/>
      <c r="C108" s="196">
        <v>3</v>
      </c>
      <c r="D108" s="81">
        <v>5</v>
      </c>
      <c r="E108" s="92" t="e">
        <f ca="1">IF(AND(INDEX('Сводный годовой график'!$C$1:$AR$4,MATCH($C$108,'Сводный годовой график'!$B$1:$B$4),MATCH(DATE($AV$1,MONTH($B$104),E$3),'Сводный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график'!$B$1:$B$4),MATCH(DATE($AV$1,MONTH($B$104),E$3),'Сводный годовой график'!$C$15:$AR$15)))</f>
        <v>#N/A</v>
      </c>
      <c r="F108" s="92" t="e">
        <f ca="1">IF(AND(INDEX('Сводный годовой график'!$C$1:$AR$4,MATCH($C$108,'Сводный годовой график'!$B$1:$B$4),MATCH(DATE($AV$1,MONTH($B$104),F$3),'Сводный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график'!$B$1:$B$4),MATCH(DATE($AV$1,MONTH($B$104),F$3),'Сводный годовой график'!$C$15:$AR$15)))</f>
        <v>#N/A</v>
      </c>
      <c r="G108" s="92" t="e">
        <f ca="1">IF(AND(INDEX('Сводный годовой график'!$C$1:$AR$4,MATCH($C$108,'Сводный годовой график'!$B$1:$B$4),MATCH(DATE($AV$1,MONTH($B$104),G$3),'Сводный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график'!$B$1:$B$4),MATCH(DATE($AV$1,MONTH($B$104),G$3),'Сводный годовой график'!$C$15:$AR$15)))</f>
        <v>#N/A</v>
      </c>
      <c r="H108" s="92" t="e">
        <f ca="1">IF(AND(INDEX('Сводный годовой график'!$C$1:$AR$4,MATCH($C$108,'Сводный годовой график'!$B$1:$B$4),MATCH(DATE($AV$1,MONTH($B$104),H$3),'Сводный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график'!$B$1:$B$4),MATCH(DATE($AV$1,MONTH($B$104),H$3),'Сводный годовой график'!$C$15:$AR$15)))</f>
        <v>#N/A</v>
      </c>
      <c r="I108" s="92" t="e">
        <f ca="1">IF(AND(INDEX('Сводный годовой график'!$C$1:$AR$4,MATCH($C$108,'Сводный годовой график'!$B$1:$B$4),MATCH(DATE($AV$1,MONTH($B$104),I$3),'Сводный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график'!$B$1:$B$4),MATCH(DATE($AV$1,MONTH($B$104),I$3),'Сводный годовой график'!$C$15:$AR$15)))</f>
        <v>#N/A</v>
      </c>
      <c r="J108" s="92" t="e">
        <f ca="1">IF(AND(INDEX('Сводный годовой график'!$C$1:$AR$4,MATCH($C$108,'Сводный годовой график'!$B$1:$B$4),MATCH(DATE($AV$1,MONTH($B$104),J$3),'Сводный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график'!$B$1:$B$4),MATCH(DATE($AV$1,MONTH($B$104),J$3),'Сводный годовой график'!$C$15:$AR$15)))</f>
        <v>#N/A</v>
      </c>
      <c r="K108" s="92" t="e">
        <f ca="1">IF(AND(INDEX('Сводный годовой график'!$C$1:$AR$4,MATCH($C$108,'Сводный годовой график'!$B$1:$B$4),MATCH(DATE($AV$1,MONTH($B$104),K$3),'Сводный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график'!$B$1:$B$4),MATCH(DATE($AV$1,MONTH($B$104),K$3),'Сводный годовой график'!$C$15:$AR$15)))</f>
        <v>#N/A</v>
      </c>
      <c r="L108" s="92" t="e">
        <f ca="1">IF(AND(INDEX('Сводный годовой график'!$C$1:$AR$4,MATCH($C$108,'Сводный годовой график'!$B$1:$B$4),MATCH(DATE($AV$1,MONTH($B$104),L$3),'Сводный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график'!$B$1:$B$4),MATCH(DATE($AV$1,MONTH($B$104),L$3),'Сводный годовой график'!$C$15:$AR$15)))</f>
        <v>#N/A</v>
      </c>
      <c r="M108" s="92" t="e">
        <f ca="1">IF(AND(INDEX('Сводный годовой график'!$C$1:$AR$4,MATCH($C$108,'Сводный годовой график'!$B$1:$B$4),MATCH(DATE($AV$1,MONTH($B$104),M$3),'Сводный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график'!$B$1:$B$4),MATCH(DATE($AV$1,MONTH($B$104),M$3),'Сводный годовой график'!$C$15:$AR$15)))</f>
        <v>#N/A</v>
      </c>
      <c r="N108" s="92" t="e">
        <f ca="1">IF(AND(INDEX('Сводный годовой график'!$C$1:$AR$4,MATCH($C$108,'Сводный годовой график'!$B$1:$B$4),MATCH(DATE($AV$1,MONTH($B$104),N$3),'Сводный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график'!$B$1:$B$4),MATCH(DATE($AV$1,MONTH($B$104),N$3),'Сводный годовой график'!$C$15:$AR$15)))</f>
        <v>#N/A</v>
      </c>
      <c r="O108" s="92" t="e">
        <f ca="1">IF(AND(INDEX('Сводный годовой график'!$C$1:$AR$4,MATCH($C$108,'Сводный годовой график'!$B$1:$B$4),MATCH(DATE($AV$1,MONTH($B$104),O$3),'Сводный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график'!$B$1:$B$4),MATCH(DATE($AV$1,MONTH($B$104),O$3),'Сводный годовой график'!$C$15:$AR$15)))</f>
        <v>#N/A</v>
      </c>
      <c r="P108" s="92" t="e">
        <f ca="1">IF(AND(INDEX('Сводный годовой график'!$C$1:$AR$4,MATCH($C$108,'Сводный годовой график'!$B$1:$B$4),MATCH(DATE($AV$1,MONTH($B$104),P$3),'Сводный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график'!$B$1:$B$4),MATCH(DATE($AV$1,MONTH($B$104),P$3),'Сводный годовой график'!$C$15:$AR$15)))</f>
        <v>#N/A</v>
      </c>
      <c r="Q108" s="92" t="e">
        <f ca="1">IF(AND(INDEX('Сводный годовой график'!$C$1:$AR$4,MATCH($C$108,'Сводный годовой график'!$B$1:$B$4),MATCH(DATE($AV$1,MONTH($B$104),Q$3),'Сводный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график'!$B$1:$B$4),MATCH(DATE($AV$1,MONTH($B$104),Q$3),'Сводный годовой график'!$C$15:$AR$15)))</f>
        <v>#N/A</v>
      </c>
      <c r="R108" s="92" t="e">
        <f ca="1">IF(AND(INDEX('Сводный годовой график'!$C$1:$AR$4,MATCH($C$108,'Сводный годовой график'!$B$1:$B$4),MATCH(DATE($AV$1,MONTH($B$104),R$3),'Сводный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график'!$B$1:$B$4),MATCH(DATE($AV$1,MONTH($B$104),R$3),'Сводный годовой график'!$C$15:$AR$15)))</f>
        <v>#N/A</v>
      </c>
      <c r="S108" s="92" t="e">
        <f ca="1">IF(AND(INDEX('Сводный годовой график'!$C$1:$AR$4,MATCH($C$108,'Сводный годовой график'!$B$1:$B$4),MATCH(DATE($AV$1,MONTH($B$104),S$3),'Сводный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график'!$B$1:$B$4),MATCH(DATE($AV$1,MONTH($B$104),S$3),'Сводный годовой график'!$C$15:$AR$15)))</f>
        <v>#N/A</v>
      </c>
      <c r="T108" s="92" t="e">
        <f ca="1">IF(AND(INDEX('Сводный годовой график'!$C$1:$AR$4,MATCH($C$108,'Сводный годовой график'!$B$1:$B$4),MATCH(DATE($AV$1,MONTH($B$104),T$3),'Сводный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график'!$B$1:$B$4),MATCH(DATE($AV$1,MONTH($B$104),T$3),'Сводный годовой график'!$C$15:$AR$15)))</f>
        <v>#N/A</v>
      </c>
      <c r="U108" s="92" t="e">
        <f ca="1">IF(AND(INDEX('Сводный годовой график'!$C$1:$AR$4,MATCH($C$108,'Сводный годовой график'!$B$1:$B$4),MATCH(DATE($AV$1,MONTH($B$104),U$3),'Сводный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график'!$B$1:$B$4),MATCH(DATE($AV$1,MONTH($B$104),U$3),'Сводный годовой график'!$C$15:$AR$15)))</f>
        <v>#N/A</v>
      </c>
      <c r="V108" s="92" t="e">
        <f ca="1">IF(AND(INDEX('Сводный годовой график'!$C$1:$AR$4,MATCH($C$108,'Сводный годовой график'!$B$1:$B$4),MATCH(DATE($AV$1,MONTH($B$104),V$3),'Сводный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график'!$B$1:$B$4),MATCH(DATE($AV$1,MONTH($B$104),V$3),'Сводный годовой график'!$C$15:$AR$15)))</f>
        <v>#N/A</v>
      </c>
      <c r="W108" s="92" t="e">
        <f ca="1">IF(AND(INDEX('Сводный годовой график'!$C$1:$AR$4,MATCH($C$108,'Сводный годовой график'!$B$1:$B$4),MATCH(DATE($AV$1,MONTH($B$104),W$3),'Сводный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график'!$B$1:$B$4),MATCH(DATE($AV$1,MONTH($B$104),W$3),'Сводный годовой график'!$C$15:$AR$15)))</f>
        <v>#N/A</v>
      </c>
      <c r="X108" s="92" t="e">
        <f ca="1">IF(AND(INDEX('Сводный годовой график'!$C$1:$AR$4,MATCH($C$108,'Сводный годовой график'!$B$1:$B$4),MATCH(DATE($AV$1,MONTH($B$104),X$3),'Сводный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график'!$B$1:$B$4),MATCH(DATE($AV$1,MONTH($B$104),X$3),'Сводный годовой график'!$C$15:$AR$15)))</f>
        <v>#N/A</v>
      </c>
      <c r="Y108" s="92" t="e">
        <f ca="1">IF(AND(INDEX('Сводный годовой график'!$C$1:$AR$4,MATCH($C$108,'Сводный годовой график'!$B$1:$B$4),MATCH(DATE($AV$1,MONTH($B$104),Y$3),'Сводный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график'!$B$1:$B$4),MATCH(DATE($AV$1,MONTH($B$104),Y$3),'Сводный годовой график'!$C$15:$AR$15)))</f>
        <v>#N/A</v>
      </c>
      <c r="Z108" s="92" t="e">
        <f ca="1">IF(AND(INDEX('Сводный годовой график'!$C$1:$AR$4,MATCH($C$108,'Сводный годовой график'!$B$1:$B$4),MATCH(DATE($AV$1,MONTH($B$104),Z$3),'Сводный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график'!$B$1:$B$4),MATCH(DATE($AV$1,MONTH($B$104),Z$3),'Сводный годовой график'!$C$15:$AR$15)))</f>
        <v>#N/A</v>
      </c>
      <c r="AA108" s="92" t="e">
        <f ca="1">IF(AND(INDEX('Сводный годовой график'!$C$1:$AR$4,MATCH($C$108,'Сводный годовой график'!$B$1:$B$4),MATCH(DATE($AV$1,MONTH($B$104),AA$3),'Сводный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график'!$B$1:$B$4),MATCH(DATE($AV$1,MONTH($B$104),AA$3),'Сводный годовой график'!$C$15:$AR$15)))</f>
        <v>#N/A</v>
      </c>
      <c r="AB108" s="92" t="e">
        <f ca="1">IF(AND(INDEX('Сводный годовой график'!$C$1:$AR$4,MATCH($C$108,'Сводный годовой график'!$B$1:$B$4),MATCH(DATE($AV$1,MONTH($B$104),AB$3),'Сводный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график'!$B$1:$B$4),MATCH(DATE($AV$1,MONTH($B$104),AB$3),'Сводный годовой график'!$C$15:$AR$15)))</f>
        <v>#N/A</v>
      </c>
      <c r="AC108" s="92" t="e">
        <f ca="1">IF(AND(INDEX('Сводный годовой график'!$C$1:$AR$4,MATCH($C$108,'Сводный годовой график'!$B$1:$B$4),MATCH(DATE($AV$1,MONTH($B$104),AC$3),'Сводный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график'!$B$1:$B$4),MATCH(DATE($AV$1,MONTH($B$104),AC$3),'Сводный годовой график'!$C$15:$AR$15)))</f>
        <v>#N/A</v>
      </c>
      <c r="AD108" s="92" t="e">
        <f ca="1">IF(AND(INDEX('Сводный годовой график'!$C$1:$AR$4,MATCH($C$108,'Сводный годовой график'!$B$1:$B$4),MATCH(DATE($AV$1,MONTH($B$104),AD$3),'Сводный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график'!$B$1:$B$4),MATCH(DATE($AV$1,MONTH($B$104),AD$3),'Сводный годовой график'!$C$15:$AR$15)))</f>
        <v>#N/A</v>
      </c>
      <c r="AE108" s="92" t="e">
        <f ca="1">IF(AND(INDEX('Сводный годовой график'!$C$1:$AR$4,MATCH($C$108,'Сводный годовой график'!$B$1:$B$4),MATCH(DATE($AV$1,MONTH($B$104),AE$3),'Сводный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график'!$B$1:$B$4),MATCH(DATE($AV$1,MONTH($B$104),AE$3),'Сводный годовой график'!$C$15:$AR$15)))</f>
        <v>#N/A</v>
      </c>
      <c r="AF108" s="92" t="e">
        <f ca="1">IF(AND(INDEX('Сводный годовой график'!$C$1:$AR$4,MATCH($C$108,'Сводный годовой график'!$B$1:$B$4),MATCH(DATE($AV$1,MONTH($B$104),AF$3),'Сводный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график'!$B$1:$B$4),MATCH(DATE($AV$1,MONTH($B$104),AF$3),'Сводный годовой график'!$C$15:$AR$15)))</f>
        <v>#N/A</v>
      </c>
      <c r="AG108" s="92" t="e">
        <f ca="1">IF(AND(INDEX('Сводный годовой график'!$C$1:$AR$4,MATCH($C$108,'Сводный годовой график'!$B$1:$B$4),MATCH(DATE($AV$1,MONTH($B$104),AG$3),'Сводный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график'!$B$1:$B$4),MATCH(DATE($AV$1,MONTH($B$104),AG$3),'Сводный годовой график'!$C$15:$AR$15)))</f>
        <v>#N/A</v>
      </c>
      <c r="AH108" s="92" t="e">
        <f ca="1">IF(AND(INDEX('Сводный годовой график'!$C$1:$AR$4,MATCH($C$108,'Сводный годовой график'!$B$1:$B$4),MATCH(DATE($AV$1,MONTH($B$104),AH$3),'Сводный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график'!$B$1:$B$4),MATCH(DATE($AV$1,MONTH($B$104),AH$3),'Сводный годовой график'!$C$15:$AR$15)))</f>
        <v>#N/A</v>
      </c>
      <c r="AI108" s="119"/>
      <c r="AJ108" s="206"/>
      <c r="AK108" s="209">
        <f>$AJ$104-SUM(AY108:CC109)</f>
        <v>151</v>
      </c>
      <c r="AL108" s="209" t="e">
        <f t="shared" ref="AL108" ca="1" si="188">SUM(E108:AI109)</f>
        <v>#N/A</v>
      </c>
      <c r="AM108" s="209" t="e">
        <f t="shared" ref="AM108" ca="1" si="189">SUM(H108)</f>
        <v>#N/A</v>
      </c>
      <c r="AN108" s="211" t="e">
        <f t="shared" ref="AN108" ca="1" si="190">-AM108-AK108+AL108</f>
        <v>#N/A</v>
      </c>
      <c r="AO108" s="211">
        <v>0</v>
      </c>
      <c r="AP108" s="211" t="e">
        <f t="shared" ref="AP108" ca="1" si="191">AN108+AP98</f>
        <v>#N/A</v>
      </c>
      <c r="AQ108" s="209">
        <v>0</v>
      </c>
      <c r="AR108" s="210">
        <v>1</v>
      </c>
      <c r="CK108" s="59"/>
      <c r="CL108" s="59"/>
      <c r="CM108" s="59"/>
      <c r="CN108" s="59"/>
      <c r="CO108" s="59"/>
      <c r="CP108" s="59"/>
      <c r="CQ108" s="59"/>
      <c r="CR108" s="59"/>
      <c r="CS108" s="59"/>
      <c r="CT108" s="59"/>
      <c r="CU108" s="59"/>
      <c r="CV108" s="59"/>
      <c r="CW108" s="59"/>
      <c r="CX108" s="59"/>
      <c r="CY108" s="59"/>
      <c r="CZ108" s="59"/>
      <c r="DA108" s="59"/>
      <c r="DB108" s="59"/>
      <c r="DC108" s="59"/>
      <c r="DD108" s="59"/>
      <c r="DE108" s="59"/>
      <c r="DF108" s="59"/>
      <c r="DG108" s="59"/>
      <c r="DH108" s="59"/>
      <c r="DI108" s="59"/>
      <c r="DJ108" s="59"/>
      <c r="DK108" s="59"/>
      <c r="DL108" s="59"/>
      <c r="DM108" s="59"/>
      <c r="DN108" s="59"/>
      <c r="DO108" s="59"/>
    </row>
    <row r="109" spans="2:119" ht="16.5" thickBot="1" x14ac:dyDescent="0.3">
      <c r="B109" s="201"/>
      <c r="C109" s="197"/>
      <c r="D109" s="82">
        <v>6</v>
      </c>
      <c r="E109" s="92" t="str">
        <f t="shared" ref="E109:AH109" si="192">IF(INDEX($CK$4:$DO$123,ROW()-3,E$3)=0,"","СП")</f>
        <v/>
      </c>
      <c r="F109" s="92" t="str">
        <f t="shared" si="192"/>
        <v/>
      </c>
      <c r="G109" s="92" t="str">
        <f t="shared" si="192"/>
        <v/>
      </c>
      <c r="H109" s="92" t="str">
        <f t="shared" si="192"/>
        <v/>
      </c>
      <c r="I109" s="92" t="str">
        <f t="shared" si="192"/>
        <v/>
      </c>
      <c r="J109" s="92" t="str">
        <f t="shared" si="192"/>
        <v/>
      </c>
      <c r="K109" s="92" t="str">
        <f t="shared" si="192"/>
        <v/>
      </c>
      <c r="L109" s="92" t="str">
        <f t="shared" si="192"/>
        <v/>
      </c>
      <c r="M109" s="92" t="str">
        <f t="shared" si="192"/>
        <v/>
      </c>
      <c r="N109" s="92" t="str">
        <f t="shared" si="192"/>
        <v/>
      </c>
      <c r="O109" s="92" t="str">
        <f t="shared" si="192"/>
        <v/>
      </c>
      <c r="P109" s="92" t="str">
        <f t="shared" si="192"/>
        <v/>
      </c>
      <c r="Q109" s="92" t="str">
        <f t="shared" si="192"/>
        <v>СП</v>
      </c>
      <c r="R109" s="92" t="str">
        <f t="shared" si="192"/>
        <v/>
      </c>
      <c r="S109" s="92" t="str">
        <f t="shared" si="192"/>
        <v/>
      </c>
      <c r="T109" s="92" t="str">
        <f t="shared" si="192"/>
        <v/>
      </c>
      <c r="U109" s="92" t="str">
        <f t="shared" si="192"/>
        <v/>
      </c>
      <c r="V109" s="92" t="str">
        <f t="shared" si="192"/>
        <v/>
      </c>
      <c r="W109" s="92" t="str">
        <f t="shared" si="192"/>
        <v/>
      </c>
      <c r="X109" s="92" t="str">
        <f t="shared" si="192"/>
        <v/>
      </c>
      <c r="Y109" s="92" t="str">
        <f t="shared" si="192"/>
        <v/>
      </c>
      <c r="Z109" s="92" t="str">
        <f t="shared" si="192"/>
        <v/>
      </c>
      <c r="AA109" s="92" t="str">
        <f t="shared" si="192"/>
        <v/>
      </c>
      <c r="AB109" s="92" t="str">
        <f t="shared" si="192"/>
        <v/>
      </c>
      <c r="AC109" s="92" t="str">
        <f t="shared" si="192"/>
        <v/>
      </c>
      <c r="AD109" s="92" t="str">
        <f t="shared" si="192"/>
        <v/>
      </c>
      <c r="AE109" s="92" t="str">
        <f t="shared" si="192"/>
        <v/>
      </c>
      <c r="AF109" s="92" t="str">
        <f t="shared" si="192"/>
        <v/>
      </c>
      <c r="AG109" s="92" t="str">
        <f t="shared" si="192"/>
        <v/>
      </c>
      <c r="AH109" s="92" t="str">
        <f t="shared" si="192"/>
        <v/>
      </c>
      <c r="AI109" s="119"/>
      <c r="AJ109" s="206"/>
      <c r="AK109" s="209"/>
      <c r="AL109" s="209"/>
      <c r="AM109" s="209"/>
      <c r="AN109" s="211"/>
      <c r="AO109" s="211"/>
      <c r="AP109" s="211"/>
      <c r="AQ109" s="209"/>
      <c r="AR109" s="210"/>
      <c r="CK109" s="58">
        <f>IF(DAY(INDEX('Сводный годовой график'!$BA$4:$BL$14,$C108,MONTH($B$104)))=E$3,1,0)</f>
        <v>0</v>
      </c>
      <c r="CL109" s="58">
        <f>IF(DAY(INDEX('Сводный годовой график'!$BA$4:$BL$14,$C108,MONTH($B$104)))=F$3,1,0)</f>
        <v>0</v>
      </c>
      <c r="CM109" s="58">
        <f>IF(DAY(INDEX('Сводный годовой график'!$BA$4:$BL$14,$C108,MONTH($B$104)))=G$3,1,0)</f>
        <v>0</v>
      </c>
      <c r="CN109" s="58">
        <f>IF(DAY(INDEX('Сводный годовой график'!$BA$4:$BL$14,$C108,MONTH($B$104)))=H$3,1,0)</f>
        <v>0</v>
      </c>
      <c r="CO109" s="58">
        <f>IF(DAY(INDEX('Сводный годовой график'!$BA$4:$BL$14,$C108,MONTH($B$104)))=I$3,1,0)</f>
        <v>0</v>
      </c>
      <c r="CP109" s="58">
        <f>IF(DAY(INDEX('Сводный годовой график'!$BA$4:$BL$14,$C108,MONTH($B$104)))=J$3,1,0)</f>
        <v>0</v>
      </c>
      <c r="CQ109" s="58">
        <f>IF(DAY(INDEX('Сводный годовой график'!$BA$4:$BL$14,$C108,MONTH($B$104)))=K$3,1,0)</f>
        <v>0</v>
      </c>
      <c r="CR109" s="58">
        <f>IF(DAY(INDEX('Сводный годовой график'!$BA$4:$BL$14,$C108,MONTH($B$104)))=L$3,1,0)</f>
        <v>0</v>
      </c>
      <c r="CS109" s="58">
        <f>IF(DAY(INDEX('Сводный годовой график'!$BA$4:$BL$14,$C108,MONTH($B$104)))=M$3,1,0)</f>
        <v>0</v>
      </c>
      <c r="CT109" s="58">
        <f>IF(DAY(INDEX('Сводный годовой график'!$BA$4:$BL$14,$C108,MONTH($B$104)))=N$3,1,0)</f>
        <v>0</v>
      </c>
      <c r="CU109" s="58">
        <f>IF(DAY(INDEX('Сводный годовой график'!$BA$4:$BL$14,$C108,MONTH($B$104)))=O$3,1,0)</f>
        <v>0</v>
      </c>
      <c r="CV109" s="58">
        <f>IF(DAY(INDEX('Сводный годовой график'!$BA$4:$BL$14,$C108,MONTH($B$104)))=P$3,1,0)</f>
        <v>0</v>
      </c>
      <c r="CW109" s="58">
        <f>IF(DAY(INDEX('Сводный годовой график'!$BA$4:$BL$14,$C108,MONTH($B$104)))=Q$3,1,0)</f>
        <v>1</v>
      </c>
      <c r="CX109" s="58">
        <f>IF(DAY(INDEX('Сводный годовой график'!$BA$4:$BL$14,$C108,MONTH($B$104)))=R$3,1,0)</f>
        <v>0</v>
      </c>
      <c r="CY109" s="58">
        <f>IF(DAY(INDEX('Сводный годовой график'!$BA$4:$BL$14,$C108,MONTH($B$104)))=S$3,1,0)</f>
        <v>0</v>
      </c>
      <c r="CZ109" s="58">
        <f>IF(DAY(INDEX('Сводный годовой график'!$BA$4:$BL$14,$C108,MONTH($B$104)))=T$3,1,0)</f>
        <v>0</v>
      </c>
      <c r="DA109" s="58">
        <f>IF(DAY(INDEX('Сводный годовой график'!$BA$4:$BL$14,$C108,MONTH($B$104)))=U$3,1,0)</f>
        <v>0</v>
      </c>
      <c r="DB109" s="58">
        <f>IF(DAY(INDEX('Сводный годовой график'!$BA$4:$BL$14,$C108,MONTH($B$104)))=V$3,1,0)</f>
        <v>0</v>
      </c>
      <c r="DC109" s="58">
        <f>IF(DAY(INDEX('Сводный годовой график'!$BA$4:$BL$14,$C108,MONTH($B$104)))=W$3,1,0)</f>
        <v>0</v>
      </c>
      <c r="DD109" s="58">
        <f>IF(DAY(INDEX('Сводный годовой график'!$BA$4:$BL$14,$C108,MONTH($B$104)))=X$3,1,0)</f>
        <v>0</v>
      </c>
      <c r="DE109" s="58">
        <f>IF(DAY(INDEX('Сводный годовой график'!$BA$4:$BL$14,$C108,MONTH($B$104)))=Y$3,1,0)</f>
        <v>0</v>
      </c>
      <c r="DF109" s="58">
        <f>IF(DAY(INDEX('Сводный годовой график'!$BA$4:$BL$14,$C108,MONTH($B$104)))=Z$3,1,0)</f>
        <v>0</v>
      </c>
      <c r="DG109" s="58">
        <f>IF(DAY(INDEX('Сводный годовой график'!$BA$4:$BL$14,$C108,MONTH($B$104)))=AA$3,1,0)</f>
        <v>0</v>
      </c>
      <c r="DH109" s="58">
        <f>IF(DAY(INDEX('Сводный годовой график'!$BA$4:$BL$14,$C108,MONTH($B$104)))=AB$3,1,0)</f>
        <v>0</v>
      </c>
      <c r="DI109" s="58">
        <f>IF(DAY(INDEX('Сводный годовой график'!$BA$4:$BL$14,$C108,MONTH($B$104)))=AC$3,1,0)</f>
        <v>0</v>
      </c>
      <c r="DJ109" s="58">
        <f>IF(DAY(INDEX('Сводный годовой график'!$BA$4:$BL$14,$C108,MONTH($B$104)))=AD$3,1,0)</f>
        <v>0</v>
      </c>
      <c r="DK109" s="58">
        <f>IF(DAY(INDEX('Сводный годовой график'!$BA$4:$BL$14,$C108,MONTH($B$104)))=AE$3,1,0)</f>
        <v>0</v>
      </c>
      <c r="DL109" s="58">
        <f>IF(DAY(INDEX('Сводный годовой график'!$BA$4:$BL$14,$C108,MONTH($B$104)))=AF$3,1,0)</f>
        <v>0</v>
      </c>
      <c r="DM109" s="58">
        <f>IF(DAY(INDEX('Сводный годовой график'!$BA$4:$BL$14,$C108,MONTH($B$104)))=AG$3,1,0)</f>
        <v>0</v>
      </c>
      <c r="DN109" s="58">
        <f>IF(DAY(INDEX('Сводный годовой график'!$BA$4:$BL$14,$C108,MONTH($B$104)))=AH$3,1,0)</f>
        <v>0</v>
      </c>
      <c r="DO109" s="58">
        <f>IF(DAY(INDEX('Сводный годовой график'!$BA$4:$BL$14,$C108,MONTH($B$104)))=AI$3,1,0)</f>
        <v>0</v>
      </c>
    </row>
    <row r="110" spans="2:119" ht="16.5" thickBot="1" x14ac:dyDescent="0.3">
      <c r="B110" s="201"/>
      <c r="C110" s="196">
        <v>4</v>
      </c>
      <c r="D110" s="81">
        <v>7</v>
      </c>
      <c r="E110" s="92" t="e">
        <f ca="1">IF(AND(INDEX('Сводный годовой график'!$C$1:$AR$4,MATCH($C$110,'Сводный годовой график'!$B$1:$B$4),MATCH(DATE($AV$1,MONTH($B$104),E$3),'Сводный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график'!$B$1:$B$4),MATCH(DATE($AV$1,MONTH($B$104),E$3),'Сводный годовой график'!$C$15:$AR$15)))</f>
        <v>#N/A</v>
      </c>
      <c r="F110" s="92" t="e">
        <f ca="1">IF(AND(INDEX('Сводный годовой график'!$C$1:$AR$4,MATCH($C$110,'Сводный годовой график'!$B$1:$B$4),MATCH(DATE($AV$1,MONTH($B$104),F$3),'Сводный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график'!$B$1:$B$4),MATCH(DATE($AV$1,MONTH($B$104),F$3),'Сводный годовой график'!$C$15:$AR$15)))</f>
        <v>#N/A</v>
      </c>
      <c r="G110" s="92" t="e">
        <f ca="1">IF(AND(INDEX('Сводный годовой график'!$C$1:$AR$4,MATCH($C$110,'Сводный годовой график'!$B$1:$B$4),MATCH(DATE($AV$1,MONTH($B$104),G$3),'Сводный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график'!$B$1:$B$4),MATCH(DATE($AV$1,MONTH($B$104),G$3),'Сводный годовой график'!$C$15:$AR$15)))</f>
        <v>#N/A</v>
      </c>
      <c r="H110" s="92" t="e">
        <f ca="1">IF(AND(INDEX('Сводный годовой график'!$C$1:$AR$4,MATCH($C$110,'Сводный годовой график'!$B$1:$B$4),MATCH(DATE($AV$1,MONTH($B$104),H$3),'Сводный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график'!$B$1:$B$4),MATCH(DATE($AV$1,MONTH($B$104),H$3),'Сводный годовой график'!$C$15:$AR$15)))</f>
        <v>#N/A</v>
      </c>
      <c r="I110" s="92" t="e">
        <f ca="1">IF(AND(INDEX('Сводный годовой график'!$C$1:$AR$4,MATCH($C$110,'Сводный годовой график'!$B$1:$B$4),MATCH(DATE($AV$1,MONTH($B$104),I$3),'Сводный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график'!$B$1:$B$4),MATCH(DATE($AV$1,MONTH($B$104),I$3),'Сводный годовой график'!$C$15:$AR$15)))</f>
        <v>#N/A</v>
      </c>
      <c r="J110" s="92" t="e">
        <f ca="1">IF(AND(INDEX('Сводный годовой график'!$C$1:$AR$4,MATCH($C$110,'Сводный годовой график'!$B$1:$B$4),MATCH(DATE($AV$1,MONTH($B$104),J$3),'Сводный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график'!$B$1:$B$4),MATCH(DATE($AV$1,MONTH($B$104),J$3),'Сводный годовой график'!$C$15:$AR$15)))</f>
        <v>#N/A</v>
      </c>
      <c r="K110" s="92" t="e">
        <f ca="1">IF(AND(INDEX('Сводный годовой график'!$C$1:$AR$4,MATCH($C$110,'Сводный годовой график'!$B$1:$B$4),MATCH(DATE($AV$1,MONTH($B$104),K$3),'Сводный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график'!$B$1:$B$4),MATCH(DATE($AV$1,MONTH($B$104),K$3),'Сводный годовой график'!$C$15:$AR$15)))</f>
        <v>#N/A</v>
      </c>
      <c r="L110" s="92" t="e">
        <f ca="1">IF(AND(INDEX('Сводный годовой график'!$C$1:$AR$4,MATCH($C$110,'Сводный годовой график'!$B$1:$B$4),MATCH(DATE($AV$1,MONTH($B$104),L$3),'Сводный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график'!$B$1:$B$4),MATCH(DATE($AV$1,MONTH($B$104),L$3),'Сводный годовой график'!$C$15:$AR$15)))</f>
        <v>#N/A</v>
      </c>
      <c r="M110" s="92" t="e">
        <f ca="1">IF(AND(INDEX('Сводный годовой график'!$C$1:$AR$4,MATCH($C$110,'Сводный годовой график'!$B$1:$B$4),MATCH(DATE($AV$1,MONTH($B$104),M$3),'Сводный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график'!$B$1:$B$4),MATCH(DATE($AV$1,MONTH($B$104),M$3),'Сводный годовой график'!$C$15:$AR$15)))</f>
        <v>#N/A</v>
      </c>
      <c r="N110" s="92" t="e">
        <f ca="1">IF(AND(INDEX('Сводный годовой график'!$C$1:$AR$4,MATCH($C$110,'Сводный годовой график'!$B$1:$B$4),MATCH(DATE($AV$1,MONTH($B$104),N$3),'Сводный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график'!$B$1:$B$4),MATCH(DATE($AV$1,MONTH($B$104),N$3),'Сводный годовой график'!$C$15:$AR$15)))</f>
        <v>#N/A</v>
      </c>
      <c r="O110" s="92" t="e">
        <f ca="1">IF(AND(INDEX('Сводный годовой график'!$C$1:$AR$4,MATCH($C$110,'Сводный годовой график'!$B$1:$B$4),MATCH(DATE($AV$1,MONTH($B$104),O$3),'Сводный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график'!$B$1:$B$4),MATCH(DATE($AV$1,MONTH($B$104),O$3),'Сводный годовой график'!$C$15:$AR$15)))</f>
        <v>#N/A</v>
      </c>
      <c r="P110" s="92" t="e">
        <f ca="1">IF(AND(INDEX('Сводный годовой график'!$C$1:$AR$4,MATCH($C$110,'Сводный годовой график'!$B$1:$B$4),MATCH(DATE($AV$1,MONTH($B$104),P$3),'Сводный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график'!$B$1:$B$4),MATCH(DATE($AV$1,MONTH($B$104),P$3),'Сводный годовой график'!$C$15:$AR$15)))</f>
        <v>#N/A</v>
      </c>
      <c r="Q110" s="92" t="e">
        <f ca="1">IF(AND(INDEX('Сводный годовой график'!$C$1:$AR$4,MATCH($C$110,'Сводный годовой график'!$B$1:$B$4),MATCH(DATE($AV$1,MONTH($B$104),Q$3),'Сводный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график'!$B$1:$B$4),MATCH(DATE($AV$1,MONTH($B$104),Q$3),'Сводный годовой график'!$C$15:$AR$15)))</f>
        <v>#N/A</v>
      </c>
      <c r="R110" s="92" t="e">
        <f ca="1">IF(AND(INDEX('Сводный годовой график'!$C$1:$AR$4,MATCH($C$110,'Сводный годовой график'!$B$1:$B$4),MATCH(DATE($AV$1,MONTH($B$104),R$3),'Сводный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график'!$B$1:$B$4),MATCH(DATE($AV$1,MONTH($B$104),R$3),'Сводный годовой график'!$C$15:$AR$15)))</f>
        <v>#N/A</v>
      </c>
      <c r="S110" s="92" t="e">
        <f ca="1">IF(AND(INDEX('Сводный годовой график'!$C$1:$AR$4,MATCH($C$110,'Сводный годовой график'!$B$1:$B$4),MATCH(DATE($AV$1,MONTH($B$104),S$3),'Сводный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график'!$B$1:$B$4),MATCH(DATE($AV$1,MONTH($B$104),S$3),'Сводный годовой график'!$C$15:$AR$15)))</f>
        <v>#N/A</v>
      </c>
      <c r="T110" s="92" t="e">
        <f ca="1">IF(AND(INDEX('Сводный годовой график'!$C$1:$AR$4,MATCH($C$110,'Сводный годовой график'!$B$1:$B$4),MATCH(DATE($AV$1,MONTH($B$104),T$3),'Сводный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график'!$B$1:$B$4),MATCH(DATE($AV$1,MONTH($B$104),T$3),'Сводный годовой график'!$C$15:$AR$15)))</f>
        <v>#N/A</v>
      </c>
      <c r="U110" s="92" t="e">
        <f ca="1">IF(AND(INDEX('Сводный годовой график'!$C$1:$AR$4,MATCH($C$110,'Сводный годовой график'!$B$1:$B$4),MATCH(DATE($AV$1,MONTH($B$104),U$3),'Сводный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график'!$B$1:$B$4),MATCH(DATE($AV$1,MONTH($B$104),U$3),'Сводный годовой график'!$C$15:$AR$15)))</f>
        <v>#N/A</v>
      </c>
      <c r="V110" s="92" t="e">
        <f ca="1">IF(AND(INDEX('Сводный годовой график'!$C$1:$AR$4,MATCH($C$110,'Сводный годовой график'!$B$1:$B$4),MATCH(DATE($AV$1,MONTH($B$104),V$3),'Сводный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график'!$B$1:$B$4),MATCH(DATE($AV$1,MONTH($B$104),V$3),'Сводный годовой график'!$C$15:$AR$15)))</f>
        <v>#N/A</v>
      </c>
      <c r="W110" s="92" t="e">
        <f ca="1">IF(AND(INDEX('Сводный годовой график'!$C$1:$AR$4,MATCH($C$110,'Сводный годовой график'!$B$1:$B$4),MATCH(DATE($AV$1,MONTH($B$104),W$3),'Сводный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график'!$B$1:$B$4),MATCH(DATE($AV$1,MONTH($B$104),W$3),'Сводный годовой график'!$C$15:$AR$15)))</f>
        <v>#N/A</v>
      </c>
      <c r="X110" s="92" t="e">
        <f ca="1">IF(AND(INDEX('Сводный годовой график'!$C$1:$AR$4,MATCH($C$110,'Сводный годовой график'!$B$1:$B$4),MATCH(DATE($AV$1,MONTH($B$104),X$3),'Сводный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график'!$B$1:$B$4),MATCH(DATE($AV$1,MONTH($B$104),X$3),'Сводный годовой график'!$C$15:$AR$15)))</f>
        <v>#N/A</v>
      </c>
      <c r="Y110" s="92" t="e">
        <f ca="1">IF(AND(INDEX('Сводный годовой график'!$C$1:$AR$4,MATCH($C$110,'Сводный годовой график'!$B$1:$B$4),MATCH(DATE($AV$1,MONTH($B$104),Y$3),'Сводный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график'!$B$1:$B$4),MATCH(DATE($AV$1,MONTH($B$104),Y$3),'Сводный годовой график'!$C$15:$AR$15)))</f>
        <v>#N/A</v>
      </c>
      <c r="Z110" s="92" t="e">
        <f ca="1">IF(AND(INDEX('Сводный годовой график'!$C$1:$AR$4,MATCH($C$110,'Сводный годовой график'!$B$1:$B$4),MATCH(DATE($AV$1,MONTH($B$104),Z$3),'Сводный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график'!$B$1:$B$4),MATCH(DATE($AV$1,MONTH($B$104),Z$3),'Сводный годовой график'!$C$15:$AR$15)))</f>
        <v>#N/A</v>
      </c>
      <c r="AA110" s="92" t="e">
        <f ca="1">IF(AND(INDEX('Сводный годовой график'!$C$1:$AR$4,MATCH($C$110,'Сводный годовой график'!$B$1:$B$4),MATCH(DATE($AV$1,MONTH($B$104),AA$3),'Сводный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график'!$B$1:$B$4),MATCH(DATE($AV$1,MONTH($B$104),AA$3),'Сводный годовой график'!$C$15:$AR$15)))</f>
        <v>#N/A</v>
      </c>
      <c r="AB110" s="92" t="e">
        <f ca="1">IF(AND(INDEX('Сводный годовой график'!$C$1:$AR$4,MATCH($C$110,'Сводный годовой график'!$B$1:$B$4),MATCH(DATE($AV$1,MONTH($B$104),AB$3),'Сводный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график'!$B$1:$B$4),MATCH(DATE($AV$1,MONTH($B$104),AB$3),'Сводный годовой график'!$C$15:$AR$15)))</f>
        <v>#N/A</v>
      </c>
      <c r="AC110" s="92" t="e">
        <f ca="1">IF(AND(INDEX('Сводный годовой график'!$C$1:$AR$4,MATCH($C$110,'Сводный годовой график'!$B$1:$B$4),MATCH(DATE($AV$1,MONTH($B$104),AC$3),'Сводный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график'!$B$1:$B$4),MATCH(DATE($AV$1,MONTH($B$104),AC$3),'Сводный годовой график'!$C$15:$AR$15)))</f>
        <v>#N/A</v>
      </c>
      <c r="AD110" s="92" t="e">
        <f ca="1">IF(AND(INDEX('Сводный годовой график'!$C$1:$AR$4,MATCH($C$110,'Сводный годовой график'!$B$1:$B$4),MATCH(DATE($AV$1,MONTH($B$104),AD$3),'Сводный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график'!$B$1:$B$4),MATCH(DATE($AV$1,MONTH($B$104),AD$3),'Сводный годовой график'!$C$15:$AR$15)))</f>
        <v>#N/A</v>
      </c>
      <c r="AE110" s="92" t="e">
        <f ca="1">IF(AND(INDEX('Сводный годовой график'!$C$1:$AR$4,MATCH($C$110,'Сводный годовой график'!$B$1:$B$4),MATCH(DATE($AV$1,MONTH($B$104),AE$3),'Сводный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график'!$B$1:$B$4),MATCH(DATE($AV$1,MONTH($B$104),AE$3),'Сводный годовой график'!$C$15:$AR$15)))</f>
        <v>#N/A</v>
      </c>
      <c r="AF110" s="92" t="e">
        <f ca="1">IF(AND(INDEX('Сводный годовой график'!$C$1:$AR$4,MATCH($C$110,'Сводный годовой график'!$B$1:$B$4),MATCH(DATE($AV$1,MONTH($B$104),AF$3),'Сводный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график'!$B$1:$B$4),MATCH(DATE($AV$1,MONTH($B$104),AF$3),'Сводный годовой график'!$C$15:$AR$15)))</f>
        <v>#N/A</v>
      </c>
      <c r="AG110" s="92" t="e">
        <f ca="1">IF(AND(INDEX('Сводный годовой график'!$C$1:$AR$4,MATCH($C$110,'Сводный годовой график'!$B$1:$B$4),MATCH(DATE($AV$1,MONTH($B$104),AG$3),'Сводный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график'!$B$1:$B$4),MATCH(DATE($AV$1,MONTH($B$104),AG$3),'Сводный годовой график'!$C$15:$AR$15)))</f>
        <v>#N/A</v>
      </c>
      <c r="AH110" s="92" t="e">
        <f ca="1">IF(AND(INDEX('Сводный годовой график'!$C$1:$AR$4,MATCH($C$110,'Сводный годовой график'!$B$1:$B$4),MATCH(DATE($AV$1,MONTH($B$104),AH$3),'Сводный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график'!$B$1:$B$4),MATCH(DATE($AV$1,MONTH($B$104),AH$3),'Сводный годовой график'!$C$15:$AR$15)))</f>
        <v>#N/A</v>
      </c>
      <c r="AI110" s="119"/>
      <c r="AJ110" s="206"/>
      <c r="AK110" s="209">
        <f>$AJ$104-SUM(AY110:CC111)</f>
        <v>151</v>
      </c>
      <c r="AL110" s="209" t="e">
        <f t="shared" ref="AL110" ca="1" si="193">SUM(E110:AI111)</f>
        <v>#N/A</v>
      </c>
      <c r="AM110" s="209" t="e">
        <f t="shared" ref="AM110" ca="1" si="194">SUM(H110)</f>
        <v>#N/A</v>
      </c>
      <c r="AN110" s="211" t="e">
        <f t="shared" ref="AN110" ca="1" si="195">-AM110-AK110+AL110</f>
        <v>#N/A</v>
      </c>
      <c r="AO110" s="211">
        <v>0</v>
      </c>
      <c r="AP110" s="211" t="e">
        <f t="shared" ref="AP110" ca="1" si="196">AN110+AP100</f>
        <v>#N/A</v>
      </c>
      <c r="AQ110" s="209">
        <v>0</v>
      </c>
      <c r="AR110" s="210">
        <v>1</v>
      </c>
      <c r="CK110" s="59"/>
      <c r="CL110" s="59"/>
      <c r="CM110" s="59"/>
      <c r="CN110" s="59"/>
      <c r="CO110" s="59"/>
      <c r="CP110" s="59"/>
      <c r="CQ110" s="59"/>
      <c r="CR110" s="59"/>
      <c r="CS110" s="59"/>
      <c r="CT110" s="59"/>
      <c r="CU110" s="59"/>
      <c r="CV110" s="59"/>
      <c r="CW110" s="59"/>
      <c r="CX110" s="59"/>
      <c r="CY110" s="59"/>
      <c r="CZ110" s="59"/>
      <c r="DA110" s="59"/>
      <c r="DB110" s="59"/>
      <c r="DC110" s="59"/>
      <c r="DD110" s="59"/>
      <c r="DE110" s="59"/>
      <c r="DF110" s="59"/>
      <c r="DG110" s="59"/>
      <c r="DH110" s="59"/>
      <c r="DI110" s="59"/>
      <c r="DJ110" s="59"/>
      <c r="DK110" s="59"/>
      <c r="DL110" s="59"/>
      <c r="DM110" s="59"/>
      <c r="DN110" s="59"/>
      <c r="DO110" s="59"/>
    </row>
    <row r="111" spans="2:119" ht="16.5" thickBot="1" x14ac:dyDescent="0.3">
      <c r="B111" s="201"/>
      <c r="C111" s="197"/>
      <c r="D111" s="82">
        <v>8</v>
      </c>
      <c r="E111" s="92" t="str">
        <f t="shared" ref="E111:AH111" si="197">IF(INDEX($CK$4:$DO$123,ROW()-3,E$3)=0,"","СП")</f>
        <v/>
      </c>
      <c r="F111" s="92" t="str">
        <f t="shared" si="197"/>
        <v/>
      </c>
      <c r="G111" s="92" t="str">
        <f t="shared" si="197"/>
        <v/>
      </c>
      <c r="H111" s="92" t="str">
        <f t="shared" si="197"/>
        <v/>
      </c>
      <c r="I111" s="92" t="str">
        <f t="shared" si="197"/>
        <v/>
      </c>
      <c r="J111" s="92" t="str">
        <f t="shared" si="197"/>
        <v/>
      </c>
      <c r="K111" s="92" t="str">
        <f t="shared" si="197"/>
        <v/>
      </c>
      <c r="L111" s="92" t="str">
        <f t="shared" si="197"/>
        <v/>
      </c>
      <c r="M111" s="92" t="str">
        <f t="shared" si="197"/>
        <v/>
      </c>
      <c r="N111" s="92" t="str">
        <f t="shared" si="197"/>
        <v/>
      </c>
      <c r="O111" s="92" t="str">
        <f t="shared" si="197"/>
        <v/>
      </c>
      <c r="P111" s="92" t="str">
        <f t="shared" si="197"/>
        <v/>
      </c>
      <c r="Q111" s="92" t="str">
        <f t="shared" si="197"/>
        <v/>
      </c>
      <c r="R111" s="92" t="str">
        <f t="shared" si="197"/>
        <v>СП</v>
      </c>
      <c r="S111" s="92" t="str">
        <f t="shared" si="197"/>
        <v/>
      </c>
      <c r="T111" s="92" t="str">
        <f t="shared" si="197"/>
        <v/>
      </c>
      <c r="U111" s="92" t="str">
        <f t="shared" si="197"/>
        <v/>
      </c>
      <c r="V111" s="92" t="str">
        <f t="shared" si="197"/>
        <v/>
      </c>
      <c r="W111" s="92" t="str">
        <f t="shared" si="197"/>
        <v/>
      </c>
      <c r="X111" s="92" t="str">
        <f t="shared" si="197"/>
        <v/>
      </c>
      <c r="Y111" s="92" t="str">
        <f t="shared" si="197"/>
        <v/>
      </c>
      <c r="Z111" s="92" t="str">
        <f t="shared" si="197"/>
        <v/>
      </c>
      <c r="AA111" s="92" t="str">
        <f t="shared" si="197"/>
        <v/>
      </c>
      <c r="AB111" s="92" t="str">
        <f t="shared" si="197"/>
        <v/>
      </c>
      <c r="AC111" s="92" t="str">
        <f t="shared" si="197"/>
        <v/>
      </c>
      <c r="AD111" s="92" t="str">
        <f t="shared" si="197"/>
        <v/>
      </c>
      <c r="AE111" s="92" t="str">
        <f t="shared" si="197"/>
        <v/>
      </c>
      <c r="AF111" s="92" t="str">
        <f t="shared" si="197"/>
        <v/>
      </c>
      <c r="AG111" s="92" t="str">
        <f t="shared" si="197"/>
        <v/>
      </c>
      <c r="AH111" s="92" t="str">
        <f t="shared" si="197"/>
        <v/>
      </c>
      <c r="AI111" s="119"/>
      <c r="AJ111" s="206"/>
      <c r="AK111" s="209"/>
      <c r="AL111" s="209"/>
      <c r="AM111" s="209"/>
      <c r="AN111" s="211"/>
      <c r="AO111" s="211"/>
      <c r="AP111" s="211"/>
      <c r="AQ111" s="209"/>
      <c r="AR111" s="210"/>
      <c r="CK111" s="58">
        <f>IF(DAY(INDEX('Сводный годовой график'!$BA$4:$BL$14,$C110,MONTH($B$104)))=E$3,1,0)</f>
        <v>0</v>
      </c>
      <c r="CL111" s="58">
        <f>IF(DAY(INDEX('Сводный годовой график'!$BA$4:$BL$14,$C110,MONTH($B$104)))=F$3,1,0)</f>
        <v>0</v>
      </c>
      <c r="CM111" s="58">
        <f>IF(DAY(INDEX('Сводный годовой график'!$BA$4:$BL$14,$C110,MONTH($B$104)))=G$3,1,0)</f>
        <v>0</v>
      </c>
      <c r="CN111" s="58">
        <f>IF(DAY(INDEX('Сводный годовой график'!$BA$4:$BL$14,$C110,MONTH($B$104)))=H$3,1,0)</f>
        <v>0</v>
      </c>
      <c r="CO111" s="58">
        <f>IF(DAY(INDEX('Сводный годовой график'!$BA$4:$BL$14,$C110,MONTH($B$104)))=I$3,1,0)</f>
        <v>0</v>
      </c>
      <c r="CP111" s="58">
        <f>IF(DAY(INDEX('Сводный годовой график'!$BA$4:$BL$14,$C110,MONTH($B$104)))=J$3,1,0)</f>
        <v>0</v>
      </c>
      <c r="CQ111" s="58">
        <f>IF(DAY(INDEX('Сводный годовой график'!$BA$4:$BL$14,$C110,MONTH($B$104)))=K$3,1,0)</f>
        <v>0</v>
      </c>
      <c r="CR111" s="58">
        <f>IF(DAY(INDEX('Сводный годовой график'!$BA$4:$BL$14,$C110,MONTH($B$104)))=L$3,1,0)</f>
        <v>0</v>
      </c>
      <c r="CS111" s="58">
        <f>IF(DAY(INDEX('Сводный годовой график'!$BA$4:$BL$14,$C110,MONTH($B$104)))=M$3,1,0)</f>
        <v>0</v>
      </c>
      <c r="CT111" s="58">
        <f>IF(DAY(INDEX('Сводный годовой график'!$BA$4:$BL$14,$C110,MONTH($B$104)))=N$3,1,0)</f>
        <v>0</v>
      </c>
      <c r="CU111" s="58">
        <f>IF(DAY(INDEX('Сводный годовой график'!$BA$4:$BL$14,$C110,MONTH($B$104)))=O$3,1,0)</f>
        <v>0</v>
      </c>
      <c r="CV111" s="58">
        <f>IF(DAY(INDEX('Сводный годовой график'!$BA$4:$BL$14,$C110,MONTH($B$104)))=P$3,1,0)</f>
        <v>0</v>
      </c>
      <c r="CW111" s="58">
        <f>IF(DAY(INDEX('Сводный годовой график'!$BA$4:$BL$14,$C110,MONTH($B$104)))=Q$3,1,0)</f>
        <v>0</v>
      </c>
      <c r="CX111" s="58">
        <f>IF(DAY(INDEX('Сводный годовой график'!$BA$4:$BL$14,$C110,MONTH($B$104)))=R$3,1,0)</f>
        <v>1</v>
      </c>
      <c r="CY111" s="58">
        <f>IF(DAY(INDEX('Сводный годовой график'!$BA$4:$BL$14,$C110,MONTH($B$104)))=S$3,1,0)</f>
        <v>0</v>
      </c>
      <c r="CZ111" s="58">
        <f>IF(DAY(INDEX('Сводный годовой график'!$BA$4:$BL$14,$C110,MONTH($B$104)))=T$3,1,0)</f>
        <v>0</v>
      </c>
      <c r="DA111" s="58">
        <f>IF(DAY(INDEX('Сводный годовой график'!$BA$4:$BL$14,$C110,MONTH($B$104)))=U$3,1,0)</f>
        <v>0</v>
      </c>
      <c r="DB111" s="58">
        <f>IF(DAY(INDEX('Сводный годовой график'!$BA$4:$BL$14,$C110,MONTH($B$104)))=V$3,1,0)</f>
        <v>0</v>
      </c>
      <c r="DC111" s="58">
        <f>IF(DAY(INDEX('Сводный годовой график'!$BA$4:$BL$14,$C110,MONTH($B$104)))=W$3,1,0)</f>
        <v>0</v>
      </c>
      <c r="DD111" s="58">
        <f>IF(DAY(INDEX('Сводный годовой график'!$BA$4:$BL$14,$C110,MONTH($B$104)))=X$3,1,0)</f>
        <v>0</v>
      </c>
      <c r="DE111" s="58">
        <f>IF(DAY(INDEX('Сводный годовой график'!$BA$4:$BL$14,$C110,MONTH($B$104)))=Y$3,1,0)</f>
        <v>0</v>
      </c>
      <c r="DF111" s="58">
        <f>IF(DAY(INDEX('Сводный годовой график'!$BA$4:$BL$14,$C110,MONTH($B$104)))=Z$3,1,0)</f>
        <v>0</v>
      </c>
      <c r="DG111" s="58">
        <f>IF(DAY(INDEX('Сводный годовой график'!$BA$4:$BL$14,$C110,MONTH($B$104)))=AA$3,1,0)</f>
        <v>0</v>
      </c>
      <c r="DH111" s="58">
        <f>IF(DAY(INDEX('Сводный годовой график'!$BA$4:$BL$14,$C110,MONTH($B$104)))=AB$3,1,0)</f>
        <v>0</v>
      </c>
      <c r="DI111" s="58">
        <f>IF(DAY(INDEX('Сводный годовой график'!$BA$4:$BL$14,$C110,MONTH($B$104)))=AC$3,1,0)</f>
        <v>0</v>
      </c>
      <c r="DJ111" s="58">
        <f>IF(DAY(INDEX('Сводный годовой график'!$BA$4:$BL$14,$C110,MONTH($B$104)))=AD$3,1,0)</f>
        <v>0</v>
      </c>
      <c r="DK111" s="58">
        <f>IF(DAY(INDEX('Сводный годовой график'!$BA$4:$BL$14,$C110,MONTH($B$104)))=AE$3,1,0)</f>
        <v>0</v>
      </c>
      <c r="DL111" s="58">
        <f>IF(DAY(INDEX('Сводный годовой график'!$BA$4:$BL$14,$C110,MONTH($B$104)))=AF$3,1,0)</f>
        <v>0</v>
      </c>
      <c r="DM111" s="58">
        <f>IF(DAY(INDEX('Сводный годовой график'!$BA$4:$BL$14,$C110,MONTH($B$104)))=AG$3,1,0)</f>
        <v>0</v>
      </c>
      <c r="DN111" s="58">
        <f>IF(DAY(INDEX('Сводный годовой график'!$BA$4:$BL$14,$C110,MONTH($B$104)))=AH$3,1,0)</f>
        <v>0</v>
      </c>
      <c r="DO111" s="58">
        <f>IF(DAY(INDEX('Сводный годовой график'!$BA$4:$BL$14,$C110,MONTH($B$104)))=AI$3,1,0)</f>
        <v>0</v>
      </c>
    </row>
    <row r="112" spans="2:119" ht="16.5" thickBot="1" x14ac:dyDescent="0.3">
      <c r="B112" s="201"/>
      <c r="C112" s="196">
        <v>5</v>
      </c>
      <c r="D112" s="81">
        <v>9</v>
      </c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119"/>
      <c r="AJ112" s="206"/>
      <c r="AK112" s="209">
        <f>$AJ$104-SUM(AY112:CC113)</f>
        <v>151</v>
      </c>
      <c r="AL112" s="209">
        <f t="shared" ref="AL112" si="198">SUM(E112:AI113)</f>
        <v>0</v>
      </c>
      <c r="AM112" s="209">
        <f t="shared" ref="AM112" si="199">SUM(H112)</f>
        <v>0</v>
      </c>
      <c r="AN112" s="211">
        <f t="shared" ref="AN112" si="200">-AM112-AK112+AL112</f>
        <v>-151</v>
      </c>
      <c r="AO112" s="211">
        <v>0</v>
      </c>
      <c r="AP112" s="211">
        <f t="shared" ref="AP112" si="201">AN112+AP102</f>
        <v>-1868</v>
      </c>
      <c r="AQ112" s="209">
        <v>14</v>
      </c>
      <c r="AR112" s="210">
        <v>1</v>
      </c>
      <c r="CK112" s="59"/>
      <c r="CL112" s="59"/>
      <c r="CM112" s="59"/>
      <c r="CN112" s="59"/>
      <c r="CO112" s="59"/>
      <c r="CP112" s="59"/>
      <c r="CQ112" s="59"/>
      <c r="CR112" s="59"/>
      <c r="CS112" s="59"/>
      <c r="CT112" s="59"/>
      <c r="CU112" s="59"/>
      <c r="CV112" s="59"/>
      <c r="CW112" s="59"/>
      <c r="CX112" s="59"/>
      <c r="CY112" s="59"/>
      <c r="CZ112" s="59"/>
      <c r="DA112" s="59"/>
      <c r="DB112" s="59"/>
      <c r="DC112" s="59"/>
      <c r="DD112" s="59"/>
      <c r="DE112" s="59"/>
      <c r="DF112" s="59"/>
      <c r="DG112" s="59"/>
      <c r="DH112" s="59"/>
      <c r="DI112" s="59"/>
      <c r="DJ112" s="59"/>
      <c r="DK112" s="59"/>
      <c r="DL112" s="59"/>
      <c r="DM112" s="59"/>
      <c r="DN112" s="59"/>
      <c r="DO112" s="59"/>
    </row>
    <row r="113" spans="2:119" ht="16.5" thickBot="1" x14ac:dyDescent="0.3">
      <c r="B113" s="201"/>
      <c r="C113" s="212"/>
      <c r="D113" s="99">
        <v>10</v>
      </c>
      <c r="E113" s="30" t="str">
        <f t="shared" ref="E113:AH113" si="202">IF(INDEX($CK$4:$DO$123,ROW()-3,E$3)=0,"","СП")</f>
        <v/>
      </c>
      <c r="F113" s="30" t="str">
        <f t="shared" si="202"/>
        <v/>
      </c>
      <c r="G113" s="30" t="str">
        <f t="shared" si="202"/>
        <v/>
      </c>
      <c r="H113" s="30" t="str">
        <f t="shared" si="202"/>
        <v/>
      </c>
      <c r="I113" s="30" t="str">
        <f t="shared" si="202"/>
        <v/>
      </c>
      <c r="J113" s="30" t="str">
        <f t="shared" si="202"/>
        <v/>
      </c>
      <c r="K113" s="30" t="str">
        <f t="shared" si="202"/>
        <v/>
      </c>
      <c r="L113" s="30" t="str">
        <f t="shared" si="202"/>
        <v/>
      </c>
      <c r="M113" s="30" t="str">
        <f t="shared" si="202"/>
        <v/>
      </c>
      <c r="N113" s="30" t="str">
        <f t="shared" si="202"/>
        <v/>
      </c>
      <c r="O113" s="30" t="str">
        <f t="shared" si="202"/>
        <v/>
      </c>
      <c r="P113" s="30" t="str">
        <f t="shared" si="202"/>
        <v/>
      </c>
      <c r="Q113" s="30" t="str">
        <f t="shared" si="202"/>
        <v/>
      </c>
      <c r="R113" s="30" t="str">
        <f t="shared" si="202"/>
        <v/>
      </c>
      <c r="S113" s="30" t="str">
        <f t="shared" si="202"/>
        <v>СП</v>
      </c>
      <c r="T113" s="30" t="str">
        <f t="shared" si="202"/>
        <v/>
      </c>
      <c r="U113" s="30" t="str">
        <f t="shared" si="202"/>
        <v/>
      </c>
      <c r="V113" s="30" t="str">
        <f t="shared" si="202"/>
        <v/>
      </c>
      <c r="W113" s="30" t="str">
        <f t="shared" si="202"/>
        <v/>
      </c>
      <c r="X113" s="30" t="str">
        <f t="shared" si="202"/>
        <v/>
      </c>
      <c r="Y113" s="30" t="str">
        <f t="shared" si="202"/>
        <v/>
      </c>
      <c r="Z113" s="30" t="str">
        <f t="shared" si="202"/>
        <v/>
      </c>
      <c r="AA113" s="30" t="str">
        <f t="shared" si="202"/>
        <v/>
      </c>
      <c r="AB113" s="30" t="str">
        <f t="shared" si="202"/>
        <v/>
      </c>
      <c r="AC113" s="30" t="str">
        <f t="shared" si="202"/>
        <v/>
      </c>
      <c r="AD113" s="30" t="str">
        <f t="shared" si="202"/>
        <v/>
      </c>
      <c r="AE113" s="30" t="str">
        <f t="shared" si="202"/>
        <v/>
      </c>
      <c r="AF113" s="30" t="str">
        <f t="shared" si="202"/>
        <v/>
      </c>
      <c r="AG113" s="30" t="str">
        <f t="shared" si="202"/>
        <v/>
      </c>
      <c r="AH113" s="30" t="str">
        <f t="shared" si="202"/>
        <v/>
      </c>
      <c r="AI113" s="120"/>
      <c r="AJ113" s="207"/>
      <c r="AK113" s="213"/>
      <c r="AL113" s="213"/>
      <c r="AM113" s="213"/>
      <c r="AN113" s="214"/>
      <c r="AO113" s="214"/>
      <c r="AP113" s="214"/>
      <c r="AQ113" s="213"/>
      <c r="AR113" s="215"/>
      <c r="CK113" s="58">
        <f>IF(DAY(INDEX('Сводный годовой график'!$BA$4:$BL$14,$C112,MONTH($B$104)))=E$3,1,0)</f>
        <v>0</v>
      </c>
      <c r="CL113" s="58">
        <f>IF(DAY(INDEX('Сводный годовой график'!$BA$4:$BL$14,$C112,MONTH($B$104)))=F$3,1,0)</f>
        <v>0</v>
      </c>
      <c r="CM113" s="58">
        <f>IF(DAY(INDEX('Сводный годовой график'!$BA$4:$BL$14,$C112,MONTH($B$104)))=G$3,1,0)</f>
        <v>0</v>
      </c>
      <c r="CN113" s="58">
        <f>IF(DAY(INDEX('Сводный годовой график'!$BA$4:$BL$14,$C112,MONTH($B$104)))=H$3,1,0)</f>
        <v>0</v>
      </c>
      <c r="CO113" s="58">
        <f>IF(DAY(INDEX('Сводный годовой график'!$BA$4:$BL$14,$C112,MONTH($B$104)))=I$3,1,0)</f>
        <v>0</v>
      </c>
      <c r="CP113" s="58">
        <f>IF(DAY(INDEX('Сводный годовой график'!$BA$4:$BL$14,$C112,MONTH($B$104)))=J$3,1,0)</f>
        <v>0</v>
      </c>
      <c r="CQ113" s="58">
        <f>IF(DAY(INDEX('Сводный годовой график'!$BA$4:$BL$14,$C112,MONTH($B$104)))=K$3,1,0)</f>
        <v>0</v>
      </c>
      <c r="CR113" s="58">
        <f>IF(DAY(INDEX('Сводный годовой график'!$BA$4:$BL$14,$C112,MONTH($B$104)))=L$3,1,0)</f>
        <v>0</v>
      </c>
      <c r="CS113" s="58">
        <f>IF(DAY(INDEX('Сводный годовой график'!$BA$4:$BL$14,$C112,MONTH($B$104)))=M$3,1,0)</f>
        <v>0</v>
      </c>
      <c r="CT113" s="58">
        <f>IF(DAY(INDEX('Сводный годовой график'!$BA$4:$BL$14,$C112,MONTH($B$104)))=N$3,1,0)</f>
        <v>0</v>
      </c>
      <c r="CU113" s="58">
        <f>IF(DAY(INDEX('Сводный годовой график'!$BA$4:$BL$14,$C112,MONTH($B$104)))=O$3,1,0)</f>
        <v>0</v>
      </c>
      <c r="CV113" s="58">
        <f>IF(DAY(INDEX('Сводный годовой график'!$BA$4:$BL$14,$C112,MONTH($B$104)))=P$3,1,0)</f>
        <v>0</v>
      </c>
      <c r="CW113" s="58">
        <f>IF(DAY(INDEX('Сводный годовой график'!$BA$4:$BL$14,$C112,MONTH($B$104)))=Q$3,1,0)</f>
        <v>0</v>
      </c>
      <c r="CX113" s="58">
        <f>IF(DAY(INDEX('Сводный годовой график'!$BA$4:$BL$14,$C112,MONTH($B$104)))=R$3,1,0)</f>
        <v>0</v>
      </c>
      <c r="CY113" s="58">
        <f>IF(DAY(INDEX('Сводный годовой график'!$BA$4:$BL$14,$C112,MONTH($B$104)))=S$3,1,0)</f>
        <v>1</v>
      </c>
      <c r="CZ113" s="58">
        <f>IF(DAY(INDEX('Сводный годовой график'!$BA$4:$BL$14,$C112,MONTH($B$104)))=T$3,1,0)</f>
        <v>0</v>
      </c>
      <c r="DA113" s="58">
        <f>IF(DAY(INDEX('Сводный годовой график'!$BA$4:$BL$14,$C112,MONTH($B$104)))=U$3,1,0)</f>
        <v>0</v>
      </c>
      <c r="DB113" s="58">
        <f>IF(DAY(INDEX('Сводный годовой график'!$BA$4:$BL$14,$C112,MONTH($B$104)))=V$3,1,0)</f>
        <v>0</v>
      </c>
      <c r="DC113" s="58">
        <f>IF(DAY(INDEX('Сводный годовой график'!$BA$4:$BL$14,$C112,MONTH($B$104)))=W$3,1,0)</f>
        <v>0</v>
      </c>
      <c r="DD113" s="58">
        <f>IF(DAY(INDEX('Сводный годовой график'!$BA$4:$BL$14,$C112,MONTH($B$104)))=X$3,1,0)</f>
        <v>0</v>
      </c>
      <c r="DE113" s="58">
        <f>IF(DAY(INDEX('Сводный годовой график'!$BA$4:$BL$14,$C112,MONTH($B$104)))=Y$3,1,0)</f>
        <v>0</v>
      </c>
      <c r="DF113" s="58">
        <f>IF(DAY(INDEX('Сводный годовой график'!$BA$4:$BL$14,$C112,MONTH($B$104)))=Z$3,1,0)</f>
        <v>0</v>
      </c>
      <c r="DG113" s="58">
        <f>IF(DAY(INDEX('Сводный годовой график'!$BA$4:$BL$14,$C112,MONTH($B$104)))=AA$3,1,0)</f>
        <v>0</v>
      </c>
      <c r="DH113" s="58">
        <f>IF(DAY(INDEX('Сводный годовой график'!$BA$4:$BL$14,$C112,MONTH($B$104)))=AB$3,1,0)</f>
        <v>0</v>
      </c>
      <c r="DI113" s="58">
        <f>IF(DAY(INDEX('Сводный годовой график'!$BA$4:$BL$14,$C112,MONTH($B$104)))=AC$3,1,0)</f>
        <v>0</v>
      </c>
      <c r="DJ113" s="58">
        <f>IF(DAY(INDEX('Сводный годовой график'!$BA$4:$BL$14,$C112,MONTH($B$104)))=AD$3,1,0)</f>
        <v>0</v>
      </c>
      <c r="DK113" s="58">
        <f>IF(DAY(INDEX('Сводный годовой график'!$BA$4:$BL$14,$C112,MONTH($B$104)))=AE$3,1,0)</f>
        <v>0</v>
      </c>
      <c r="DL113" s="58">
        <f>IF(DAY(INDEX('Сводный годовой график'!$BA$4:$BL$14,$C112,MONTH($B$104)))=AF$3,1,0)</f>
        <v>0</v>
      </c>
      <c r="DM113" s="58">
        <f>IF(DAY(INDEX('Сводный годовой график'!$BA$4:$BL$14,$C112,MONTH($B$104)))=AG$3,1,0)</f>
        <v>0</v>
      </c>
      <c r="DN113" s="58">
        <f>IF(DAY(INDEX('Сводный годовой график'!$BA$4:$BL$14,$C112,MONTH($B$104)))=AH$3,1,0)</f>
        <v>0</v>
      </c>
      <c r="DO113" s="58">
        <f>IF(DAY(INDEX('Сводный годовой график'!$BA$4:$BL$14,$C112,MONTH($B$104)))=AI$3,1,0)</f>
        <v>0</v>
      </c>
    </row>
    <row r="114" spans="2:119" ht="17.25" customHeight="1" thickTop="1" thickBot="1" x14ac:dyDescent="0.3">
      <c r="B114" s="200">
        <f>DATE($AV$1,12,1)</f>
        <v>45992</v>
      </c>
      <c r="C114" s="196">
        <v>1</v>
      </c>
      <c r="D114" s="81">
        <v>1</v>
      </c>
      <c r="E114" s="28" t="e">
        <f ca="1">IF(AND(INDEX('Сводный годовой график'!$C$1:$AR$4,MATCH($C$114,'Сводный годовой график'!$B$1:$B$4),MATCH(DATE($AV$1,MONTH($B$114),E$3),'Сводный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график'!$B$1:$B$4),MATCH(DATE($AV$1,MONTH($B$114),E$3),'Сводный годовой график'!$C$16:$AR$16)))</f>
        <v>#N/A</v>
      </c>
      <c r="F114" s="28" t="e">
        <f ca="1">IF(AND(INDEX('Сводный годовой график'!$C$1:$AR$4,MATCH($C$114,'Сводный годовой график'!$B$1:$B$4),MATCH(DATE($AV$1,MONTH($B$114),F$3),'Сводный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график'!$B$1:$B$4),MATCH(DATE($AV$1,MONTH($B$114),F$3),'Сводный годовой график'!$C$16:$AR$16)))</f>
        <v>#N/A</v>
      </c>
      <c r="G114" s="28" t="e">
        <f ca="1">IF(AND(INDEX('Сводный годовой график'!$C$1:$AR$4,MATCH($C$114,'Сводный годовой график'!$B$1:$B$4),MATCH(DATE($AV$1,MONTH($B$114),G$3),'Сводный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график'!$B$1:$B$4),MATCH(DATE($AV$1,MONTH($B$114),G$3),'Сводный годовой график'!$C$16:$AR$16)))</f>
        <v>#N/A</v>
      </c>
      <c r="H114" s="28" t="e">
        <f ca="1">IF(AND(INDEX('Сводный годовой график'!$C$1:$AR$4,MATCH($C$114,'Сводный годовой график'!$B$1:$B$4),MATCH(DATE($AV$1,MONTH($B$114),H$3),'Сводный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график'!$B$1:$B$4),MATCH(DATE($AV$1,MONTH($B$114),H$3),'Сводный годовой график'!$C$16:$AR$16)))</f>
        <v>#N/A</v>
      </c>
      <c r="I114" s="28" t="e">
        <f ca="1">IF(AND(INDEX('Сводный годовой график'!$C$1:$AR$4,MATCH($C$114,'Сводный годовой график'!$B$1:$B$4),MATCH(DATE($AV$1,MONTH($B$114),I$3),'Сводный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график'!$B$1:$B$4),MATCH(DATE($AV$1,MONTH($B$114),I$3),'Сводный годовой график'!$C$16:$AR$16)))</f>
        <v>#N/A</v>
      </c>
      <c r="J114" s="28" t="e">
        <f ca="1">IF(AND(INDEX('Сводный годовой график'!$C$1:$AR$4,MATCH($C$114,'Сводный годовой график'!$B$1:$B$4),MATCH(DATE($AV$1,MONTH($B$114),J$3),'Сводный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график'!$B$1:$B$4),MATCH(DATE($AV$1,MONTH($B$114),J$3),'Сводный годовой график'!$C$16:$AR$16)))</f>
        <v>#N/A</v>
      </c>
      <c r="K114" s="28" t="e">
        <f ca="1">IF(AND(INDEX('Сводный годовой график'!$C$1:$AR$4,MATCH($C$114,'Сводный годовой график'!$B$1:$B$4),MATCH(DATE($AV$1,MONTH($B$114),K$3),'Сводный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график'!$B$1:$B$4),MATCH(DATE($AV$1,MONTH($B$114),K$3),'Сводный годовой график'!$C$16:$AR$16)))</f>
        <v>#N/A</v>
      </c>
      <c r="L114" s="28" t="e">
        <f ca="1">IF(AND(INDEX('Сводный годовой график'!$C$1:$AR$4,MATCH($C$114,'Сводный годовой график'!$B$1:$B$4),MATCH(DATE($AV$1,MONTH($B$114),L$3),'Сводный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график'!$B$1:$B$4),MATCH(DATE($AV$1,MONTH($B$114),L$3),'Сводный годовой график'!$C$16:$AR$16)))</f>
        <v>#N/A</v>
      </c>
      <c r="M114" s="28" t="e">
        <f ca="1">IF(AND(INDEX('Сводный годовой график'!$C$1:$AR$4,MATCH($C$114,'Сводный годовой график'!$B$1:$B$4),MATCH(DATE($AV$1,MONTH($B$114),M$3),'Сводный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график'!$B$1:$B$4),MATCH(DATE($AV$1,MONTH($B$114),M$3),'Сводный годовой график'!$C$16:$AR$16)))</f>
        <v>#N/A</v>
      </c>
      <c r="N114" s="28" t="e">
        <f ca="1">IF(AND(INDEX('Сводный годовой график'!$C$1:$AR$4,MATCH($C$114,'Сводный годовой график'!$B$1:$B$4),MATCH(DATE($AV$1,MONTH($B$114),N$3),'Сводный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график'!$B$1:$B$4),MATCH(DATE($AV$1,MONTH($B$114),N$3),'Сводный годовой график'!$C$16:$AR$16)))</f>
        <v>#N/A</v>
      </c>
      <c r="O114" s="28" t="e">
        <f ca="1">IF(AND(INDEX('Сводный годовой график'!$C$1:$AR$4,MATCH($C$114,'Сводный годовой график'!$B$1:$B$4),MATCH(DATE($AV$1,MONTH($B$114),O$3),'Сводный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график'!$B$1:$B$4),MATCH(DATE($AV$1,MONTH($B$114),O$3),'Сводный годовой график'!$C$16:$AR$16)))</f>
        <v>#N/A</v>
      </c>
      <c r="P114" s="28" t="e">
        <f ca="1">IF(AND(INDEX('Сводный годовой график'!$C$1:$AR$4,MATCH($C$114,'Сводный годовой график'!$B$1:$B$4),MATCH(DATE($AV$1,MONTH($B$114),P$3),'Сводный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график'!$B$1:$B$4),MATCH(DATE($AV$1,MONTH($B$114),P$3),'Сводный годовой график'!$C$16:$AR$16)))</f>
        <v>#N/A</v>
      </c>
      <c r="Q114" s="28" t="e">
        <f ca="1">IF(AND(INDEX('Сводный годовой график'!$C$1:$AR$4,MATCH($C$114,'Сводный годовой график'!$B$1:$B$4),MATCH(DATE($AV$1,MONTH($B$114),Q$3),'Сводный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график'!$B$1:$B$4),MATCH(DATE($AV$1,MONTH($B$114),Q$3),'Сводный годовой график'!$C$16:$AR$16)))</f>
        <v>#N/A</v>
      </c>
      <c r="R114" s="28" t="e">
        <f ca="1">IF(AND(INDEX('Сводный годовой график'!$C$1:$AR$4,MATCH($C$114,'Сводный годовой график'!$B$1:$B$4),MATCH(DATE($AV$1,MONTH($B$114),R$3),'Сводный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график'!$B$1:$B$4),MATCH(DATE($AV$1,MONTH($B$114),R$3),'Сводный годовой график'!$C$16:$AR$16)))</f>
        <v>#N/A</v>
      </c>
      <c r="S114" s="28" t="e">
        <f ca="1">IF(AND(INDEX('Сводный годовой график'!$C$1:$AR$4,MATCH($C$114,'Сводный годовой график'!$B$1:$B$4),MATCH(DATE($AV$1,MONTH($B$114),S$3),'Сводный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график'!$B$1:$B$4),MATCH(DATE($AV$1,MONTH($B$114),S$3),'Сводный годовой график'!$C$16:$AR$16)))</f>
        <v>#N/A</v>
      </c>
      <c r="T114" s="28" t="e">
        <f ca="1">IF(AND(INDEX('Сводный годовой график'!$C$1:$AR$4,MATCH($C$114,'Сводный годовой график'!$B$1:$B$4),MATCH(DATE($AV$1,MONTH($B$114),T$3),'Сводный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график'!$B$1:$B$4),MATCH(DATE($AV$1,MONTH($B$114),T$3),'Сводный годовой график'!$C$16:$AR$16)))</f>
        <v>#N/A</v>
      </c>
      <c r="U114" s="28" t="e">
        <f ca="1">IF(AND(INDEX('Сводный годовой график'!$C$1:$AR$4,MATCH($C$114,'Сводный годовой график'!$B$1:$B$4),MATCH(DATE($AV$1,MONTH($B$114),U$3),'Сводный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график'!$B$1:$B$4),MATCH(DATE($AV$1,MONTH($B$114),U$3),'Сводный годовой график'!$C$16:$AR$16)))</f>
        <v>#N/A</v>
      </c>
      <c r="V114" s="28" t="e">
        <f ca="1">IF(AND(INDEX('Сводный годовой график'!$C$1:$AR$4,MATCH($C$114,'Сводный годовой график'!$B$1:$B$4),MATCH(DATE($AV$1,MONTH($B$114),V$3),'Сводный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график'!$B$1:$B$4),MATCH(DATE($AV$1,MONTH($B$114),V$3),'Сводный годовой график'!$C$16:$AR$16)))</f>
        <v>#N/A</v>
      </c>
      <c r="W114" s="28" t="e">
        <f ca="1">IF(AND(INDEX('Сводный годовой график'!$C$1:$AR$4,MATCH($C$114,'Сводный годовой график'!$B$1:$B$4),MATCH(DATE($AV$1,MONTH($B$114),W$3),'Сводный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график'!$B$1:$B$4),MATCH(DATE($AV$1,MONTH($B$114),W$3),'Сводный годовой график'!$C$16:$AR$16)))</f>
        <v>#N/A</v>
      </c>
      <c r="X114" s="28" t="e">
        <f ca="1">IF(AND(INDEX('Сводный годовой график'!$C$1:$AR$4,MATCH($C$114,'Сводный годовой график'!$B$1:$B$4),MATCH(DATE($AV$1,MONTH($B$114),X$3),'Сводный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график'!$B$1:$B$4),MATCH(DATE($AV$1,MONTH($B$114),X$3),'Сводный годовой график'!$C$16:$AR$16)))</f>
        <v>#N/A</v>
      </c>
      <c r="Y114" s="28" t="e">
        <f ca="1">IF(AND(INDEX('Сводный годовой график'!$C$1:$AR$4,MATCH($C$114,'Сводный годовой график'!$B$1:$B$4),MATCH(DATE($AV$1,MONTH($B$114),Y$3),'Сводный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график'!$B$1:$B$4),MATCH(DATE($AV$1,MONTH($B$114),Y$3),'Сводный годовой график'!$C$16:$AR$16)))</f>
        <v>#N/A</v>
      </c>
      <c r="Z114" s="28" t="e">
        <f ca="1">IF(AND(INDEX('Сводный годовой график'!$C$1:$AR$4,MATCH($C$114,'Сводный годовой график'!$B$1:$B$4),MATCH(DATE($AV$1,MONTH($B$114),Z$3),'Сводный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график'!$B$1:$B$4),MATCH(DATE($AV$1,MONTH($B$114),Z$3),'Сводный годовой график'!$C$16:$AR$16)))</f>
        <v>#N/A</v>
      </c>
      <c r="AA114" s="28" t="e">
        <f ca="1">IF(AND(INDEX('Сводный годовой график'!$C$1:$AR$4,MATCH($C$114,'Сводный годовой график'!$B$1:$B$4),MATCH(DATE($AV$1,MONTH($B$114),AA$3),'Сводный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график'!$B$1:$B$4),MATCH(DATE($AV$1,MONTH($B$114),AA$3),'Сводный годовой график'!$C$16:$AR$16)))</f>
        <v>#N/A</v>
      </c>
      <c r="AB114" s="28" t="e">
        <f ca="1">IF(AND(INDEX('Сводный годовой график'!$C$1:$AR$4,MATCH($C$114,'Сводный годовой график'!$B$1:$B$4),MATCH(DATE($AV$1,MONTH($B$114),AB$3),'Сводный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график'!$B$1:$B$4),MATCH(DATE($AV$1,MONTH($B$114),AB$3),'Сводный годовой график'!$C$16:$AR$16)))</f>
        <v>#N/A</v>
      </c>
      <c r="AC114" s="28" t="e">
        <f ca="1">IF(AND(INDEX('Сводный годовой график'!$C$1:$AR$4,MATCH($C$114,'Сводный годовой график'!$B$1:$B$4),MATCH(DATE($AV$1,MONTH($B$114),AC$3),'Сводный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график'!$B$1:$B$4),MATCH(DATE($AV$1,MONTH($B$114),AC$3),'Сводный годовой график'!$C$16:$AR$16)))</f>
        <v>#N/A</v>
      </c>
      <c r="AD114" s="28" t="e">
        <f ca="1">IF(AND(INDEX('Сводный годовой график'!$C$1:$AR$4,MATCH($C$114,'Сводный годовой график'!$B$1:$B$4),MATCH(DATE($AV$1,MONTH($B$114),AD$3),'Сводный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график'!$B$1:$B$4),MATCH(DATE($AV$1,MONTH($B$114),AD$3),'Сводный годовой график'!$C$16:$AR$16)))</f>
        <v>#N/A</v>
      </c>
      <c r="AE114" s="28" t="e">
        <f ca="1">IF(AND(INDEX('Сводный годовой график'!$C$1:$AR$4,MATCH($C$114,'Сводный годовой график'!$B$1:$B$4),MATCH(DATE($AV$1,MONTH($B$114),AE$3),'Сводный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график'!$B$1:$B$4),MATCH(DATE($AV$1,MONTH($B$114),AE$3),'Сводный годовой график'!$C$16:$AR$16)))</f>
        <v>#N/A</v>
      </c>
      <c r="AF114" s="28" t="e">
        <f ca="1">IF(AND(INDEX('Сводный годовой график'!$C$1:$AR$4,MATCH($C$114,'Сводный годовой график'!$B$1:$B$4),MATCH(DATE($AV$1,MONTH($B$114),AF$3),'Сводный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график'!$B$1:$B$4),MATCH(DATE($AV$1,MONTH($B$114),AF$3),'Сводный годовой график'!$C$16:$AR$16)))</f>
        <v>#N/A</v>
      </c>
      <c r="AG114" s="28" t="e">
        <f ca="1">IF(AND(INDEX('Сводный годовой график'!$C$1:$AR$4,MATCH($C$114,'Сводный годовой график'!$B$1:$B$4),MATCH(DATE($AV$1,MONTH($B$114),AG$3),'Сводный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график'!$B$1:$B$4),MATCH(DATE($AV$1,MONTH($B$114),AG$3),'Сводный годовой график'!$C$16:$AR$16)))</f>
        <v>#N/A</v>
      </c>
      <c r="AH114" s="28" t="e">
        <f ca="1">IF(AND(INDEX('Сводный годовой график'!$C$1:$AR$4,MATCH($C$114,'Сводный годовой график'!$B$1:$B$4),MATCH(DATE($AV$1,MONTH($B$114),AH$3),'Сводный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график'!$B$1:$B$4),MATCH(DATE($AV$1,MONTH($B$114),AH$3),'Сводный годовой график'!$C$16:$AR$16)))</f>
        <v>#N/A</v>
      </c>
      <c r="AI114" s="95" t="e">
        <f ca="1">IF(AND(INDEX('Сводный годовой график'!$C$1:$AR$4,MATCH($C$114,'Сводный годовой график'!$B$1:$B$4),MATCH(DATE($AV$1,MONTH($B$114),AI$3),'Сводный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график'!$B$1:$B$4),MATCH(DATE($AV$1,MONTH($B$114),AI$3),'Сводный годовой график'!$C$16:$AR$16)))</f>
        <v>#N/A</v>
      </c>
      <c r="AJ114" s="205">
        <f>INDEX(Подключения!$D$3:$H$14,MONTH(B114),5)</f>
        <v>176</v>
      </c>
      <c r="AK114" s="203">
        <f>$AJ$114-SUM(AY114:CC115)</f>
        <v>176</v>
      </c>
      <c r="AL114" s="203" t="e">
        <f t="shared" ref="AL114" ca="1" si="203">SUM(E114:AI115)</f>
        <v>#N/A</v>
      </c>
      <c r="AM114" s="203">
        <v>0</v>
      </c>
      <c r="AN114" s="208" t="e">
        <f t="shared" ref="AN114" ca="1" si="204">-AM114-AK114+AL114</f>
        <v>#N/A</v>
      </c>
      <c r="AO114" s="208">
        <v>0</v>
      </c>
      <c r="AP114" s="208" t="e">
        <f t="shared" ref="AP114" ca="1" si="205">AN114+AP104</f>
        <v>#N/A</v>
      </c>
      <c r="AQ114" s="203">
        <v>0</v>
      </c>
      <c r="AR114" s="204">
        <v>1</v>
      </c>
      <c r="CK114" s="59"/>
      <c r="CL114" s="59"/>
      <c r="CM114" s="59"/>
      <c r="CN114" s="59"/>
      <c r="CO114" s="59"/>
      <c r="CP114" s="59"/>
      <c r="CQ114" s="59"/>
      <c r="CR114" s="59"/>
      <c r="CS114" s="59"/>
      <c r="CT114" s="59"/>
      <c r="CU114" s="59"/>
      <c r="CV114" s="59"/>
      <c r="CW114" s="59"/>
      <c r="CX114" s="59"/>
      <c r="CY114" s="59"/>
      <c r="CZ114" s="59"/>
      <c r="DA114" s="59"/>
      <c r="DB114" s="59"/>
      <c r="DC114" s="59"/>
      <c r="DD114" s="59"/>
      <c r="DE114" s="59"/>
      <c r="DF114" s="59"/>
      <c r="DG114" s="59"/>
      <c r="DH114" s="59"/>
      <c r="DI114" s="59"/>
      <c r="DJ114" s="59"/>
      <c r="DK114" s="59"/>
      <c r="DL114" s="59"/>
      <c r="DM114" s="59"/>
      <c r="DN114" s="59"/>
      <c r="DO114" s="59"/>
    </row>
    <row r="115" spans="2:119" ht="16.5" thickBot="1" x14ac:dyDescent="0.3">
      <c r="B115" s="201"/>
      <c r="C115" s="197"/>
      <c r="D115" s="82">
        <v>2</v>
      </c>
      <c r="E115" s="92" t="str">
        <f t="shared" ref="E115:AI115" si="206">IF(INDEX($CK$4:$DO$123,ROW()-3,E$3)=0,"","СП")</f>
        <v/>
      </c>
      <c r="F115" s="92" t="str">
        <f t="shared" si="206"/>
        <v/>
      </c>
      <c r="G115" s="92" t="str">
        <f t="shared" si="206"/>
        <v/>
      </c>
      <c r="H115" s="92" t="str">
        <f t="shared" si="206"/>
        <v/>
      </c>
      <c r="I115" s="92" t="str">
        <f t="shared" si="206"/>
        <v/>
      </c>
      <c r="J115" s="92" t="str">
        <f t="shared" si="206"/>
        <v/>
      </c>
      <c r="K115" s="92" t="str">
        <f t="shared" si="206"/>
        <v/>
      </c>
      <c r="L115" s="92" t="str">
        <f t="shared" si="206"/>
        <v/>
      </c>
      <c r="M115" s="92" t="str">
        <f t="shared" si="206"/>
        <v/>
      </c>
      <c r="N115" s="92" t="str">
        <f t="shared" si="206"/>
        <v/>
      </c>
      <c r="O115" s="92" t="str">
        <f t="shared" si="206"/>
        <v/>
      </c>
      <c r="P115" s="92" t="str">
        <f t="shared" si="206"/>
        <v>СП</v>
      </c>
      <c r="Q115" s="92" t="str">
        <f t="shared" si="206"/>
        <v/>
      </c>
      <c r="R115" s="92" t="str">
        <f t="shared" si="206"/>
        <v/>
      </c>
      <c r="S115" s="92" t="str">
        <f t="shared" si="206"/>
        <v/>
      </c>
      <c r="T115" s="92" t="str">
        <f t="shared" si="206"/>
        <v/>
      </c>
      <c r="U115" s="92" t="str">
        <f t="shared" si="206"/>
        <v/>
      </c>
      <c r="V115" s="92" t="str">
        <f t="shared" si="206"/>
        <v/>
      </c>
      <c r="W115" s="92" t="str">
        <f t="shared" si="206"/>
        <v/>
      </c>
      <c r="X115" s="92" t="str">
        <f t="shared" si="206"/>
        <v/>
      </c>
      <c r="Y115" s="92" t="str">
        <f t="shared" si="206"/>
        <v/>
      </c>
      <c r="Z115" s="92" t="str">
        <f t="shared" si="206"/>
        <v/>
      </c>
      <c r="AA115" s="92" t="str">
        <f t="shared" si="206"/>
        <v/>
      </c>
      <c r="AB115" s="92" t="str">
        <f t="shared" si="206"/>
        <v/>
      </c>
      <c r="AC115" s="92" t="str">
        <f t="shared" si="206"/>
        <v/>
      </c>
      <c r="AD115" s="92" t="str">
        <f t="shared" si="206"/>
        <v/>
      </c>
      <c r="AE115" s="92" t="str">
        <f t="shared" si="206"/>
        <v/>
      </c>
      <c r="AF115" s="92" t="str">
        <f t="shared" si="206"/>
        <v/>
      </c>
      <c r="AG115" s="92" t="str">
        <f t="shared" si="206"/>
        <v/>
      </c>
      <c r="AH115" s="92" t="str">
        <f t="shared" si="206"/>
        <v/>
      </c>
      <c r="AI115" s="97" t="str">
        <f t="shared" si="206"/>
        <v/>
      </c>
      <c r="AJ115" s="206"/>
      <c r="AK115" s="177"/>
      <c r="AL115" s="177"/>
      <c r="AM115" s="177"/>
      <c r="AN115" s="198"/>
      <c r="AO115" s="198"/>
      <c r="AP115" s="198"/>
      <c r="AQ115" s="177"/>
      <c r="AR115" s="179"/>
      <c r="CK115" s="58">
        <f>IF(DAY(INDEX('Сводный годовой график'!$BA$4:$BL$14,$C114,MONTH($B$114)))=E$3,1,0)</f>
        <v>0</v>
      </c>
      <c r="CL115" s="58">
        <f>IF(DAY(INDEX('Сводный годовой график'!$BA$4:$BL$14,$C114,MONTH($B$114)))=F$3,1,0)</f>
        <v>0</v>
      </c>
      <c r="CM115" s="58">
        <f>IF(DAY(INDEX('Сводный годовой график'!$BA$4:$BL$14,$C114,MONTH($B$114)))=G$3,1,0)</f>
        <v>0</v>
      </c>
      <c r="CN115" s="58">
        <f>IF(DAY(INDEX('Сводный годовой график'!$BA$4:$BL$14,$C114,MONTH($B$114)))=H$3,1,0)</f>
        <v>0</v>
      </c>
      <c r="CO115" s="58">
        <f>IF(DAY(INDEX('Сводный годовой график'!$BA$4:$BL$14,$C114,MONTH($B$114)))=I$3,1,0)</f>
        <v>0</v>
      </c>
      <c r="CP115" s="58">
        <f>IF(DAY(INDEX('Сводный годовой график'!$BA$4:$BL$14,$C114,MONTH($B$114)))=J$3,1,0)</f>
        <v>0</v>
      </c>
      <c r="CQ115" s="58">
        <f>IF(DAY(INDEX('Сводный годовой график'!$BA$4:$BL$14,$C114,MONTH($B$114)))=K$3,1,0)</f>
        <v>0</v>
      </c>
      <c r="CR115" s="58">
        <f>IF(DAY(INDEX('Сводный годовой график'!$BA$4:$BL$14,$C114,MONTH($B$114)))=L$3,1,0)</f>
        <v>0</v>
      </c>
      <c r="CS115" s="58">
        <f>IF(DAY(INDEX('Сводный годовой график'!$BA$4:$BL$14,$C114,MONTH($B$114)))=M$3,1,0)</f>
        <v>0</v>
      </c>
      <c r="CT115" s="58">
        <f>IF(DAY(INDEX('Сводный годовой график'!$BA$4:$BL$14,$C114,MONTH($B$114)))=N$3,1,0)</f>
        <v>0</v>
      </c>
      <c r="CU115" s="58">
        <f>IF(DAY(INDEX('Сводный годовой график'!$BA$4:$BL$14,$C114,MONTH($B$114)))=O$3,1,0)</f>
        <v>0</v>
      </c>
      <c r="CV115" s="58">
        <f>IF(DAY(INDEX('Сводный годовой график'!$BA$4:$BL$14,$C114,MONTH($B$114)))=P$3,1,0)</f>
        <v>1</v>
      </c>
      <c r="CW115" s="58">
        <f>IF(DAY(INDEX('Сводный годовой график'!$BA$4:$BL$14,$C114,MONTH($B$114)))=Q$3,1,0)</f>
        <v>0</v>
      </c>
      <c r="CX115" s="58">
        <f>IF(DAY(INDEX('Сводный годовой график'!$BA$4:$BL$14,$C114,MONTH($B$114)))=R$3,1,0)</f>
        <v>0</v>
      </c>
      <c r="CY115" s="58">
        <f>IF(DAY(INDEX('Сводный годовой график'!$BA$4:$BL$14,$C114,MONTH($B$114)))=S$3,1,0)</f>
        <v>0</v>
      </c>
      <c r="CZ115" s="58">
        <f>IF(DAY(INDEX('Сводный годовой график'!$BA$4:$BL$14,$C114,MONTH($B$114)))=T$3,1,0)</f>
        <v>0</v>
      </c>
      <c r="DA115" s="58">
        <f>IF(DAY(INDEX('Сводный годовой график'!$BA$4:$BL$14,$C114,MONTH($B$114)))=U$3,1,0)</f>
        <v>0</v>
      </c>
      <c r="DB115" s="58">
        <f>IF(DAY(INDEX('Сводный годовой график'!$BA$4:$BL$14,$C114,MONTH($B$114)))=V$3,1,0)</f>
        <v>0</v>
      </c>
      <c r="DC115" s="58">
        <f>IF(DAY(INDEX('Сводный годовой график'!$BA$4:$BL$14,$C114,MONTH($B$114)))=W$3,1,0)</f>
        <v>0</v>
      </c>
      <c r="DD115" s="58">
        <f>IF(DAY(INDEX('Сводный годовой график'!$BA$4:$BL$14,$C114,MONTH($B$114)))=X$3,1,0)</f>
        <v>0</v>
      </c>
      <c r="DE115" s="58">
        <f>IF(DAY(INDEX('Сводный годовой график'!$BA$4:$BL$14,$C114,MONTH($B$114)))=Y$3,1,0)</f>
        <v>0</v>
      </c>
      <c r="DF115" s="58">
        <f>IF(DAY(INDEX('Сводный годовой график'!$BA$4:$BL$14,$C114,MONTH($B$114)))=Z$3,1,0)</f>
        <v>0</v>
      </c>
      <c r="DG115" s="58">
        <f>IF(DAY(INDEX('Сводный годовой график'!$BA$4:$BL$14,$C114,MONTH($B$114)))=AA$3,1,0)</f>
        <v>0</v>
      </c>
      <c r="DH115" s="58">
        <f>IF(DAY(INDEX('Сводный годовой график'!$BA$4:$BL$14,$C114,MONTH($B$114)))=AB$3,1,0)</f>
        <v>0</v>
      </c>
      <c r="DI115" s="58">
        <f>IF(DAY(INDEX('Сводный годовой график'!$BA$4:$BL$14,$C114,MONTH($B$114)))=AC$3,1,0)</f>
        <v>0</v>
      </c>
      <c r="DJ115" s="58">
        <f>IF(DAY(INDEX('Сводный годовой график'!$BA$4:$BL$14,$C114,MONTH($B$114)))=AD$3,1,0)</f>
        <v>0</v>
      </c>
      <c r="DK115" s="58">
        <f>IF(DAY(INDEX('Сводный годовой график'!$BA$4:$BL$14,$C114,MONTH($B$114)))=AE$3,1,0)</f>
        <v>0</v>
      </c>
      <c r="DL115" s="58">
        <f>IF(DAY(INDEX('Сводный годовой график'!$BA$4:$BL$14,$C114,MONTH($B$114)))=AF$3,1,0)</f>
        <v>0</v>
      </c>
      <c r="DM115" s="58">
        <f>IF(DAY(INDEX('Сводный годовой график'!$BA$4:$BL$14,$C114,MONTH($B$114)))=AG$3,1,0)</f>
        <v>0</v>
      </c>
      <c r="DN115" s="58">
        <f>IF(DAY(INDEX('Сводный годовой график'!$BA$4:$BL$14,$C114,MONTH($B$114)))=AH$3,1,0)</f>
        <v>0</v>
      </c>
      <c r="DO115" s="58">
        <f>IF(DAY(INDEX('Сводный годовой график'!$BA$4:$BL$14,$C114,MONTH($B$114)))=AI$3,1,0)</f>
        <v>0</v>
      </c>
    </row>
    <row r="116" spans="2:119" ht="16.5" thickBot="1" x14ac:dyDescent="0.3">
      <c r="B116" s="201"/>
      <c r="C116" s="196">
        <v>2</v>
      </c>
      <c r="D116" s="81">
        <v>3</v>
      </c>
      <c r="E116" s="92" t="e">
        <f ca="1">IF(AND(INDEX('Сводный годовой график'!$C$1:$AR$4,MATCH($C$116,'Сводный годовой график'!$B$1:$B$4),MATCH(DATE($AV$1,MONTH($B$114),E$3),'Сводный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график'!$B$1:$B$4),MATCH(DATE($AV$1,MONTH($B$114),E$3),'Сводный годовой график'!$C$16:$AR$16)))</f>
        <v>#N/A</v>
      </c>
      <c r="F116" s="92" t="e">
        <f ca="1">IF(AND(INDEX('Сводный годовой график'!$C$1:$AR$4,MATCH($C$116,'Сводный годовой график'!$B$1:$B$4),MATCH(DATE($AV$1,MONTH($B$114),F$3),'Сводный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график'!$B$1:$B$4),MATCH(DATE($AV$1,MONTH($B$114),F$3),'Сводный годовой график'!$C$16:$AR$16)))</f>
        <v>#N/A</v>
      </c>
      <c r="G116" s="92" t="e">
        <f ca="1">IF(AND(INDEX('Сводный годовой график'!$C$1:$AR$4,MATCH($C$116,'Сводный годовой график'!$B$1:$B$4),MATCH(DATE($AV$1,MONTH($B$114),G$3),'Сводный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график'!$B$1:$B$4),MATCH(DATE($AV$1,MONTH($B$114),G$3),'Сводный годовой график'!$C$16:$AR$16)))</f>
        <v>#N/A</v>
      </c>
      <c r="H116" s="92" t="e">
        <f ca="1">IF(AND(INDEX('Сводный годовой график'!$C$1:$AR$4,MATCH($C$116,'Сводный годовой график'!$B$1:$B$4),MATCH(DATE($AV$1,MONTH($B$114),H$3),'Сводный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график'!$B$1:$B$4),MATCH(DATE($AV$1,MONTH($B$114),H$3),'Сводный годовой график'!$C$16:$AR$16)))</f>
        <v>#N/A</v>
      </c>
      <c r="I116" s="92" t="e">
        <f ca="1">IF(AND(INDEX('Сводный годовой график'!$C$1:$AR$4,MATCH($C$116,'Сводный годовой график'!$B$1:$B$4),MATCH(DATE($AV$1,MONTH($B$114),I$3),'Сводный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график'!$B$1:$B$4),MATCH(DATE($AV$1,MONTH($B$114),I$3),'Сводный годовой график'!$C$16:$AR$16)))</f>
        <v>#N/A</v>
      </c>
      <c r="J116" s="92" t="e">
        <f ca="1">IF(AND(INDEX('Сводный годовой график'!$C$1:$AR$4,MATCH($C$116,'Сводный годовой график'!$B$1:$B$4),MATCH(DATE($AV$1,MONTH($B$114),J$3),'Сводный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график'!$B$1:$B$4),MATCH(DATE($AV$1,MONTH($B$114),J$3),'Сводный годовой график'!$C$16:$AR$16)))</f>
        <v>#N/A</v>
      </c>
      <c r="K116" s="92" t="e">
        <f ca="1">IF(AND(INDEX('Сводный годовой график'!$C$1:$AR$4,MATCH($C$116,'Сводный годовой график'!$B$1:$B$4),MATCH(DATE($AV$1,MONTH($B$114),K$3),'Сводный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график'!$B$1:$B$4),MATCH(DATE($AV$1,MONTH($B$114),K$3),'Сводный годовой график'!$C$16:$AR$16)))</f>
        <v>#N/A</v>
      </c>
      <c r="L116" s="92" t="e">
        <f ca="1">IF(AND(INDEX('Сводный годовой график'!$C$1:$AR$4,MATCH($C$116,'Сводный годовой график'!$B$1:$B$4),MATCH(DATE($AV$1,MONTH($B$114),L$3),'Сводный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график'!$B$1:$B$4),MATCH(DATE($AV$1,MONTH($B$114),L$3),'Сводный годовой график'!$C$16:$AR$16)))</f>
        <v>#N/A</v>
      </c>
      <c r="M116" s="92" t="e">
        <f ca="1">IF(AND(INDEX('Сводный годовой график'!$C$1:$AR$4,MATCH($C$116,'Сводный годовой график'!$B$1:$B$4),MATCH(DATE($AV$1,MONTH($B$114),M$3),'Сводный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график'!$B$1:$B$4),MATCH(DATE($AV$1,MONTH($B$114),M$3),'Сводный годовой график'!$C$16:$AR$16)))</f>
        <v>#N/A</v>
      </c>
      <c r="N116" s="92" t="e">
        <f ca="1">IF(AND(INDEX('Сводный годовой график'!$C$1:$AR$4,MATCH($C$116,'Сводный годовой график'!$B$1:$B$4),MATCH(DATE($AV$1,MONTH($B$114),N$3),'Сводный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график'!$B$1:$B$4),MATCH(DATE($AV$1,MONTH($B$114),N$3),'Сводный годовой график'!$C$16:$AR$16)))</f>
        <v>#N/A</v>
      </c>
      <c r="O116" s="92" t="e">
        <f ca="1">IF(AND(INDEX('Сводный годовой график'!$C$1:$AR$4,MATCH($C$116,'Сводный годовой график'!$B$1:$B$4),MATCH(DATE($AV$1,MONTH($B$114),O$3),'Сводный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график'!$B$1:$B$4),MATCH(DATE($AV$1,MONTH($B$114),O$3),'Сводный годовой график'!$C$16:$AR$16)))</f>
        <v>#N/A</v>
      </c>
      <c r="P116" s="92" t="e">
        <f ca="1">IF(AND(INDEX('Сводный годовой график'!$C$1:$AR$4,MATCH($C$116,'Сводный годовой график'!$B$1:$B$4),MATCH(DATE($AV$1,MONTH($B$114),P$3),'Сводный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график'!$B$1:$B$4),MATCH(DATE($AV$1,MONTH($B$114),P$3),'Сводный годовой график'!$C$16:$AR$16)))</f>
        <v>#N/A</v>
      </c>
      <c r="Q116" s="92" t="e">
        <f ca="1">IF(AND(INDEX('Сводный годовой график'!$C$1:$AR$4,MATCH($C$116,'Сводный годовой график'!$B$1:$B$4),MATCH(DATE($AV$1,MONTH($B$114),Q$3),'Сводный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график'!$B$1:$B$4),MATCH(DATE($AV$1,MONTH($B$114),Q$3),'Сводный годовой график'!$C$16:$AR$16)))</f>
        <v>#N/A</v>
      </c>
      <c r="R116" s="92" t="e">
        <f ca="1">IF(AND(INDEX('Сводный годовой график'!$C$1:$AR$4,MATCH($C$116,'Сводный годовой график'!$B$1:$B$4),MATCH(DATE($AV$1,MONTH($B$114),R$3),'Сводный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график'!$B$1:$B$4),MATCH(DATE($AV$1,MONTH($B$114),R$3),'Сводный годовой график'!$C$16:$AR$16)))</f>
        <v>#N/A</v>
      </c>
      <c r="S116" s="92" t="e">
        <f ca="1">IF(AND(INDEX('Сводный годовой график'!$C$1:$AR$4,MATCH($C$116,'Сводный годовой график'!$B$1:$B$4),MATCH(DATE($AV$1,MONTH($B$114),S$3),'Сводный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график'!$B$1:$B$4),MATCH(DATE($AV$1,MONTH($B$114),S$3),'Сводный годовой график'!$C$16:$AR$16)))</f>
        <v>#N/A</v>
      </c>
      <c r="T116" s="92" t="e">
        <f ca="1">IF(AND(INDEX('Сводный годовой график'!$C$1:$AR$4,MATCH($C$116,'Сводный годовой график'!$B$1:$B$4),MATCH(DATE($AV$1,MONTH($B$114),T$3),'Сводный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график'!$B$1:$B$4),MATCH(DATE($AV$1,MONTH($B$114),T$3),'Сводный годовой график'!$C$16:$AR$16)))</f>
        <v>#N/A</v>
      </c>
      <c r="U116" s="92" t="e">
        <f ca="1">IF(AND(INDEX('Сводный годовой график'!$C$1:$AR$4,MATCH($C$116,'Сводный годовой график'!$B$1:$B$4),MATCH(DATE($AV$1,MONTH($B$114),U$3),'Сводный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график'!$B$1:$B$4),MATCH(DATE($AV$1,MONTH($B$114),U$3),'Сводный годовой график'!$C$16:$AR$16)))</f>
        <v>#N/A</v>
      </c>
      <c r="V116" s="92" t="e">
        <f ca="1">IF(AND(INDEX('Сводный годовой график'!$C$1:$AR$4,MATCH($C$116,'Сводный годовой график'!$B$1:$B$4),MATCH(DATE($AV$1,MONTH($B$114),V$3),'Сводный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график'!$B$1:$B$4),MATCH(DATE($AV$1,MONTH($B$114),V$3),'Сводный годовой график'!$C$16:$AR$16)))</f>
        <v>#N/A</v>
      </c>
      <c r="W116" s="92" t="e">
        <f ca="1">IF(AND(INDEX('Сводный годовой график'!$C$1:$AR$4,MATCH($C$116,'Сводный годовой график'!$B$1:$B$4),MATCH(DATE($AV$1,MONTH($B$114),W$3),'Сводный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график'!$B$1:$B$4),MATCH(DATE($AV$1,MONTH($B$114),W$3),'Сводный годовой график'!$C$16:$AR$16)))</f>
        <v>#N/A</v>
      </c>
      <c r="X116" s="92" t="e">
        <f ca="1">IF(AND(INDEX('Сводный годовой график'!$C$1:$AR$4,MATCH($C$116,'Сводный годовой график'!$B$1:$B$4),MATCH(DATE($AV$1,MONTH($B$114),X$3),'Сводный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график'!$B$1:$B$4),MATCH(DATE($AV$1,MONTH($B$114),X$3),'Сводный годовой график'!$C$16:$AR$16)))</f>
        <v>#N/A</v>
      </c>
      <c r="Y116" s="92" t="e">
        <f ca="1">IF(AND(INDEX('Сводный годовой график'!$C$1:$AR$4,MATCH($C$116,'Сводный годовой график'!$B$1:$B$4),MATCH(DATE($AV$1,MONTH($B$114),Y$3),'Сводный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график'!$B$1:$B$4),MATCH(DATE($AV$1,MONTH($B$114),Y$3),'Сводный годовой график'!$C$16:$AR$16)))</f>
        <v>#N/A</v>
      </c>
      <c r="Z116" s="92" t="e">
        <f ca="1">IF(AND(INDEX('Сводный годовой график'!$C$1:$AR$4,MATCH($C$116,'Сводный годовой график'!$B$1:$B$4),MATCH(DATE($AV$1,MONTH($B$114),Z$3),'Сводный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график'!$B$1:$B$4),MATCH(DATE($AV$1,MONTH($B$114),Z$3),'Сводный годовой график'!$C$16:$AR$16)))</f>
        <v>#N/A</v>
      </c>
      <c r="AA116" s="92" t="e">
        <f ca="1">IF(AND(INDEX('Сводный годовой график'!$C$1:$AR$4,MATCH($C$116,'Сводный годовой график'!$B$1:$B$4),MATCH(DATE($AV$1,MONTH($B$114),AA$3),'Сводный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график'!$B$1:$B$4),MATCH(DATE($AV$1,MONTH($B$114),AA$3),'Сводный годовой график'!$C$16:$AR$16)))</f>
        <v>#N/A</v>
      </c>
      <c r="AB116" s="92" t="e">
        <f ca="1">IF(AND(INDEX('Сводный годовой график'!$C$1:$AR$4,MATCH($C$116,'Сводный годовой график'!$B$1:$B$4),MATCH(DATE($AV$1,MONTH($B$114),AB$3),'Сводный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график'!$B$1:$B$4),MATCH(DATE($AV$1,MONTH($B$114),AB$3),'Сводный годовой график'!$C$16:$AR$16)))</f>
        <v>#N/A</v>
      </c>
      <c r="AC116" s="92" t="e">
        <f ca="1">IF(AND(INDEX('Сводный годовой график'!$C$1:$AR$4,MATCH($C$116,'Сводный годовой график'!$B$1:$B$4),MATCH(DATE($AV$1,MONTH($B$114),AC$3),'Сводный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график'!$B$1:$B$4),MATCH(DATE($AV$1,MONTH($B$114),AC$3),'Сводный годовой график'!$C$16:$AR$16)))</f>
        <v>#N/A</v>
      </c>
      <c r="AD116" s="92" t="e">
        <f ca="1">IF(AND(INDEX('Сводный годовой график'!$C$1:$AR$4,MATCH($C$116,'Сводный годовой график'!$B$1:$B$4),MATCH(DATE($AV$1,MONTH($B$114),AD$3),'Сводный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график'!$B$1:$B$4),MATCH(DATE($AV$1,MONTH($B$114),AD$3),'Сводный годовой график'!$C$16:$AR$16)))</f>
        <v>#N/A</v>
      </c>
      <c r="AE116" s="92" t="e">
        <f ca="1">IF(AND(INDEX('Сводный годовой график'!$C$1:$AR$4,MATCH($C$116,'Сводный годовой график'!$B$1:$B$4),MATCH(DATE($AV$1,MONTH($B$114),AE$3),'Сводный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график'!$B$1:$B$4),MATCH(DATE($AV$1,MONTH($B$114),AE$3),'Сводный годовой график'!$C$16:$AR$16)))</f>
        <v>#N/A</v>
      </c>
      <c r="AF116" s="92" t="e">
        <f ca="1">IF(AND(INDEX('Сводный годовой график'!$C$1:$AR$4,MATCH($C$116,'Сводный годовой график'!$B$1:$B$4),MATCH(DATE($AV$1,MONTH($B$114),AF$3),'Сводный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график'!$B$1:$B$4),MATCH(DATE($AV$1,MONTH($B$114),AF$3),'Сводный годовой график'!$C$16:$AR$16)))</f>
        <v>#N/A</v>
      </c>
      <c r="AG116" s="92" t="e">
        <f ca="1">IF(AND(INDEX('Сводный годовой график'!$C$1:$AR$4,MATCH($C$116,'Сводный годовой график'!$B$1:$B$4),MATCH(DATE($AV$1,MONTH($B$114),AG$3),'Сводный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график'!$B$1:$B$4),MATCH(DATE($AV$1,MONTH($B$114),AG$3),'Сводный годовой график'!$C$16:$AR$16)))</f>
        <v>#N/A</v>
      </c>
      <c r="AH116" s="92" t="e">
        <f ca="1">IF(AND(INDEX('Сводный годовой график'!$C$1:$AR$4,MATCH($C$116,'Сводный годовой график'!$B$1:$B$4),MATCH(DATE($AV$1,MONTH($B$114),AH$3),'Сводный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график'!$B$1:$B$4),MATCH(DATE($AV$1,MONTH($B$114),AH$3),'Сводный годовой график'!$C$16:$AR$16)))</f>
        <v>#N/A</v>
      </c>
      <c r="AI116" s="97" t="e">
        <f ca="1">IF(AND(INDEX('Сводный годовой график'!$C$1:$AR$4,MATCH($C$116,'Сводный годовой график'!$B$1:$B$4),MATCH(DATE($AV$1,MONTH($B$114),AI$3),'Сводный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график'!$B$1:$B$4),MATCH(DATE($AV$1,MONTH($B$114),AI$3),'Сводный годовой график'!$C$16:$AR$16)))</f>
        <v>#N/A</v>
      </c>
      <c r="AJ116" s="206"/>
      <c r="AK116" s="177">
        <f>$AJ$114-SUM(AY116:CC117)</f>
        <v>176</v>
      </c>
      <c r="AL116" s="177" t="e">
        <f t="shared" ref="AL116" ca="1" si="207">SUM(E116:AI117)</f>
        <v>#N/A</v>
      </c>
      <c r="AM116" s="177">
        <v>0</v>
      </c>
      <c r="AN116" s="198" t="e">
        <f t="shared" ref="AN116" ca="1" si="208">-AM116-AK116+AL116</f>
        <v>#N/A</v>
      </c>
      <c r="AO116" s="198">
        <v>0</v>
      </c>
      <c r="AP116" s="198" t="e">
        <f t="shared" ref="AP116" ca="1" si="209">AN116+AP106</f>
        <v>#N/A</v>
      </c>
      <c r="AQ116" s="177">
        <v>7</v>
      </c>
      <c r="AR116" s="179">
        <v>1</v>
      </c>
      <c r="CK116" s="59"/>
      <c r="CL116" s="59"/>
      <c r="CM116" s="59"/>
      <c r="CN116" s="59"/>
      <c r="CO116" s="59"/>
      <c r="CP116" s="59"/>
      <c r="CQ116" s="59"/>
      <c r="CR116" s="59"/>
      <c r="CS116" s="59"/>
      <c r="CT116" s="59"/>
      <c r="CU116" s="59"/>
      <c r="CV116" s="59"/>
      <c r="CW116" s="59"/>
      <c r="CX116" s="59"/>
      <c r="CY116" s="59"/>
      <c r="CZ116" s="59"/>
      <c r="DA116" s="59"/>
      <c r="DB116" s="59"/>
      <c r="DC116" s="59"/>
      <c r="DD116" s="59"/>
      <c r="DE116" s="59"/>
      <c r="DF116" s="59"/>
      <c r="DG116" s="59"/>
      <c r="DH116" s="59"/>
      <c r="DI116" s="59"/>
      <c r="DJ116" s="59"/>
      <c r="DK116" s="59"/>
      <c r="DL116" s="59"/>
      <c r="DM116" s="59"/>
      <c r="DN116" s="59"/>
      <c r="DO116" s="59"/>
    </row>
    <row r="117" spans="2:119" ht="16.5" thickBot="1" x14ac:dyDescent="0.3">
      <c r="B117" s="201"/>
      <c r="C117" s="197"/>
      <c r="D117" s="82">
        <v>4</v>
      </c>
      <c r="E117" s="92" t="str">
        <f t="shared" ref="E117:AI117" si="210">IF(INDEX($CK$4:$DO$123,ROW()-3,E$3)=0,"","СП")</f>
        <v/>
      </c>
      <c r="F117" s="92" t="str">
        <f t="shared" si="210"/>
        <v/>
      </c>
      <c r="G117" s="92" t="str">
        <f t="shared" si="210"/>
        <v/>
      </c>
      <c r="H117" s="92" t="str">
        <f t="shared" si="210"/>
        <v/>
      </c>
      <c r="I117" s="92" t="str">
        <f t="shared" si="210"/>
        <v/>
      </c>
      <c r="J117" s="92" t="str">
        <f t="shared" si="210"/>
        <v/>
      </c>
      <c r="K117" s="92" t="str">
        <f t="shared" si="210"/>
        <v/>
      </c>
      <c r="L117" s="92" t="str">
        <f t="shared" si="210"/>
        <v/>
      </c>
      <c r="M117" s="92" t="str">
        <f t="shared" si="210"/>
        <v/>
      </c>
      <c r="N117" s="92" t="str">
        <f t="shared" si="210"/>
        <v/>
      </c>
      <c r="O117" s="92" t="str">
        <f t="shared" si="210"/>
        <v/>
      </c>
      <c r="P117" s="92" t="str">
        <f t="shared" si="210"/>
        <v/>
      </c>
      <c r="Q117" s="92" t="str">
        <f t="shared" si="210"/>
        <v>СП</v>
      </c>
      <c r="R117" s="92" t="str">
        <f t="shared" si="210"/>
        <v/>
      </c>
      <c r="S117" s="92" t="str">
        <f t="shared" si="210"/>
        <v/>
      </c>
      <c r="T117" s="92" t="str">
        <f t="shared" si="210"/>
        <v/>
      </c>
      <c r="U117" s="92" t="str">
        <f t="shared" si="210"/>
        <v/>
      </c>
      <c r="V117" s="92" t="str">
        <f t="shared" si="210"/>
        <v/>
      </c>
      <c r="W117" s="92" t="str">
        <f t="shared" si="210"/>
        <v/>
      </c>
      <c r="X117" s="92" t="str">
        <f t="shared" si="210"/>
        <v/>
      </c>
      <c r="Y117" s="92" t="str">
        <f t="shared" si="210"/>
        <v/>
      </c>
      <c r="Z117" s="92" t="str">
        <f t="shared" si="210"/>
        <v/>
      </c>
      <c r="AA117" s="92" t="str">
        <f t="shared" si="210"/>
        <v/>
      </c>
      <c r="AB117" s="92" t="str">
        <f t="shared" si="210"/>
        <v/>
      </c>
      <c r="AC117" s="92" t="str">
        <f t="shared" si="210"/>
        <v/>
      </c>
      <c r="AD117" s="92" t="str">
        <f t="shared" si="210"/>
        <v/>
      </c>
      <c r="AE117" s="92" t="str">
        <f t="shared" si="210"/>
        <v/>
      </c>
      <c r="AF117" s="92" t="str">
        <f t="shared" si="210"/>
        <v/>
      </c>
      <c r="AG117" s="92" t="str">
        <f t="shared" si="210"/>
        <v/>
      </c>
      <c r="AH117" s="92" t="str">
        <f t="shared" si="210"/>
        <v/>
      </c>
      <c r="AI117" s="97" t="str">
        <f t="shared" si="210"/>
        <v/>
      </c>
      <c r="AJ117" s="206"/>
      <c r="AK117" s="177"/>
      <c r="AL117" s="177"/>
      <c r="AM117" s="177"/>
      <c r="AN117" s="198"/>
      <c r="AO117" s="198"/>
      <c r="AP117" s="198"/>
      <c r="AQ117" s="177"/>
      <c r="AR117" s="179"/>
      <c r="CK117" s="58">
        <f>IF(DAY(INDEX('Сводный годовой график'!$BA$4:$BL$14,$C116,MONTH($B$114)))=E$3,1,0)</f>
        <v>0</v>
      </c>
      <c r="CL117" s="58">
        <f>IF(DAY(INDEX('Сводный годовой график'!$BA$4:$BL$14,$C116,MONTH($B$114)))=F$3,1,0)</f>
        <v>0</v>
      </c>
      <c r="CM117" s="58">
        <f>IF(DAY(INDEX('Сводный годовой график'!$BA$4:$BL$14,$C116,MONTH($B$114)))=G$3,1,0)</f>
        <v>0</v>
      </c>
      <c r="CN117" s="58">
        <f>IF(DAY(INDEX('Сводный годовой график'!$BA$4:$BL$14,$C116,MONTH($B$114)))=H$3,1,0)</f>
        <v>0</v>
      </c>
      <c r="CO117" s="58">
        <f>IF(DAY(INDEX('Сводный годовой график'!$BA$4:$BL$14,$C116,MONTH($B$114)))=I$3,1,0)</f>
        <v>0</v>
      </c>
      <c r="CP117" s="58">
        <f>IF(DAY(INDEX('Сводный годовой график'!$BA$4:$BL$14,$C116,MONTH($B$114)))=J$3,1,0)</f>
        <v>0</v>
      </c>
      <c r="CQ117" s="58">
        <f>IF(DAY(INDEX('Сводный годовой график'!$BA$4:$BL$14,$C116,MONTH($B$114)))=K$3,1,0)</f>
        <v>0</v>
      </c>
      <c r="CR117" s="58">
        <f>IF(DAY(INDEX('Сводный годовой график'!$BA$4:$BL$14,$C116,MONTH($B$114)))=L$3,1,0)</f>
        <v>0</v>
      </c>
      <c r="CS117" s="58">
        <f>IF(DAY(INDEX('Сводный годовой график'!$BA$4:$BL$14,$C116,MONTH($B$114)))=M$3,1,0)</f>
        <v>0</v>
      </c>
      <c r="CT117" s="58">
        <f>IF(DAY(INDEX('Сводный годовой график'!$BA$4:$BL$14,$C116,MONTH($B$114)))=N$3,1,0)</f>
        <v>0</v>
      </c>
      <c r="CU117" s="58">
        <f>IF(DAY(INDEX('Сводный годовой график'!$BA$4:$BL$14,$C116,MONTH($B$114)))=O$3,1,0)</f>
        <v>0</v>
      </c>
      <c r="CV117" s="58">
        <f>IF(DAY(INDEX('Сводный годовой график'!$BA$4:$BL$14,$C116,MONTH($B$114)))=P$3,1,0)</f>
        <v>0</v>
      </c>
      <c r="CW117" s="58">
        <f>IF(DAY(INDEX('Сводный годовой график'!$BA$4:$BL$14,$C116,MONTH($B$114)))=Q$3,1,0)</f>
        <v>1</v>
      </c>
      <c r="CX117" s="58">
        <f>IF(DAY(INDEX('Сводный годовой график'!$BA$4:$BL$14,$C116,MONTH($B$114)))=R$3,1,0)</f>
        <v>0</v>
      </c>
      <c r="CY117" s="58">
        <f>IF(DAY(INDEX('Сводный годовой график'!$BA$4:$BL$14,$C116,MONTH($B$114)))=S$3,1,0)</f>
        <v>0</v>
      </c>
      <c r="CZ117" s="58">
        <f>IF(DAY(INDEX('Сводный годовой график'!$BA$4:$BL$14,$C116,MONTH($B$114)))=T$3,1,0)</f>
        <v>0</v>
      </c>
      <c r="DA117" s="58">
        <f>IF(DAY(INDEX('Сводный годовой график'!$BA$4:$BL$14,$C116,MONTH($B$114)))=U$3,1,0)</f>
        <v>0</v>
      </c>
      <c r="DB117" s="58">
        <f>IF(DAY(INDEX('Сводный годовой график'!$BA$4:$BL$14,$C116,MONTH($B$114)))=V$3,1,0)</f>
        <v>0</v>
      </c>
      <c r="DC117" s="58">
        <f>IF(DAY(INDEX('Сводный годовой график'!$BA$4:$BL$14,$C116,MONTH($B$114)))=W$3,1,0)</f>
        <v>0</v>
      </c>
      <c r="DD117" s="58">
        <f>IF(DAY(INDEX('Сводный годовой график'!$BA$4:$BL$14,$C116,MONTH($B$114)))=X$3,1,0)</f>
        <v>0</v>
      </c>
      <c r="DE117" s="58">
        <f>IF(DAY(INDEX('Сводный годовой график'!$BA$4:$BL$14,$C116,MONTH($B$114)))=Y$3,1,0)</f>
        <v>0</v>
      </c>
      <c r="DF117" s="58">
        <f>IF(DAY(INDEX('Сводный годовой график'!$BA$4:$BL$14,$C116,MONTH($B$114)))=Z$3,1,0)</f>
        <v>0</v>
      </c>
      <c r="DG117" s="58">
        <f>IF(DAY(INDEX('Сводный годовой график'!$BA$4:$BL$14,$C116,MONTH($B$114)))=AA$3,1,0)</f>
        <v>0</v>
      </c>
      <c r="DH117" s="58">
        <f>IF(DAY(INDEX('Сводный годовой график'!$BA$4:$BL$14,$C116,MONTH($B$114)))=AB$3,1,0)</f>
        <v>0</v>
      </c>
      <c r="DI117" s="58">
        <f>IF(DAY(INDEX('Сводный годовой график'!$BA$4:$BL$14,$C116,MONTH($B$114)))=AC$3,1,0)</f>
        <v>0</v>
      </c>
      <c r="DJ117" s="58">
        <f>IF(DAY(INDEX('Сводный годовой график'!$BA$4:$BL$14,$C116,MONTH($B$114)))=AD$3,1,0)</f>
        <v>0</v>
      </c>
      <c r="DK117" s="58">
        <f>IF(DAY(INDEX('Сводный годовой график'!$BA$4:$BL$14,$C116,MONTH($B$114)))=AE$3,1,0)</f>
        <v>0</v>
      </c>
      <c r="DL117" s="58">
        <f>IF(DAY(INDEX('Сводный годовой график'!$BA$4:$BL$14,$C116,MONTH($B$114)))=AF$3,1,0)</f>
        <v>0</v>
      </c>
      <c r="DM117" s="58">
        <f>IF(DAY(INDEX('Сводный годовой график'!$BA$4:$BL$14,$C116,MONTH($B$114)))=AG$3,1,0)</f>
        <v>0</v>
      </c>
      <c r="DN117" s="58">
        <f>IF(DAY(INDEX('Сводный годовой график'!$BA$4:$BL$14,$C116,MONTH($B$114)))=AH$3,1,0)</f>
        <v>0</v>
      </c>
      <c r="DO117" s="58">
        <f>IF(DAY(INDEX('Сводный годовой график'!$BA$4:$BL$14,$C116,MONTH($B$114)))=AI$3,1,0)</f>
        <v>0</v>
      </c>
    </row>
    <row r="118" spans="2:119" ht="16.5" thickBot="1" x14ac:dyDescent="0.3">
      <c r="B118" s="201"/>
      <c r="C118" s="196">
        <v>3</v>
      </c>
      <c r="D118" s="81">
        <v>5</v>
      </c>
      <c r="E118" s="92" t="e">
        <f ca="1">IF(AND(INDEX('Сводный годовой график'!$C$1:$AR$4,MATCH($C$118,'Сводный годовой график'!$B$1:$B$4),MATCH(DATE($AV$1,MONTH($B$114),E$3),'Сводный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график'!$B$1:$B$4),MATCH(DATE($AV$1,MONTH($B$114),E$3),'Сводный годовой график'!$C$16:$AR$16)))</f>
        <v>#N/A</v>
      </c>
      <c r="F118" s="92" t="e">
        <f ca="1">IF(AND(INDEX('Сводный годовой график'!$C$1:$AR$4,MATCH($C$118,'Сводный годовой график'!$B$1:$B$4),MATCH(DATE($AV$1,MONTH($B$114),F$3),'Сводный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график'!$B$1:$B$4),MATCH(DATE($AV$1,MONTH($B$114),F$3),'Сводный годовой график'!$C$16:$AR$16)))</f>
        <v>#N/A</v>
      </c>
      <c r="G118" s="92" t="e">
        <f ca="1">IF(AND(INDEX('Сводный годовой график'!$C$1:$AR$4,MATCH($C$118,'Сводный годовой график'!$B$1:$B$4),MATCH(DATE($AV$1,MONTH($B$114),G$3),'Сводный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график'!$B$1:$B$4),MATCH(DATE($AV$1,MONTH($B$114),G$3),'Сводный годовой график'!$C$16:$AR$16)))</f>
        <v>#N/A</v>
      </c>
      <c r="H118" s="92" t="e">
        <f ca="1">IF(AND(INDEX('Сводный годовой график'!$C$1:$AR$4,MATCH($C$118,'Сводный годовой график'!$B$1:$B$4),MATCH(DATE($AV$1,MONTH($B$114),H$3),'Сводный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график'!$B$1:$B$4),MATCH(DATE($AV$1,MONTH($B$114),H$3),'Сводный годовой график'!$C$16:$AR$16)))</f>
        <v>#N/A</v>
      </c>
      <c r="I118" s="92" t="e">
        <f ca="1">IF(AND(INDEX('Сводный годовой график'!$C$1:$AR$4,MATCH($C$118,'Сводный годовой график'!$B$1:$B$4),MATCH(DATE($AV$1,MONTH($B$114),I$3),'Сводный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график'!$B$1:$B$4),MATCH(DATE($AV$1,MONTH($B$114),I$3),'Сводный годовой график'!$C$16:$AR$16)))</f>
        <v>#N/A</v>
      </c>
      <c r="J118" s="92" t="e">
        <f ca="1">IF(AND(INDEX('Сводный годовой график'!$C$1:$AR$4,MATCH($C$118,'Сводный годовой график'!$B$1:$B$4),MATCH(DATE($AV$1,MONTH($B$114),J$3),'Сводный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график'!$B$1:$B$4),MATCH(DATE($AV$1,MONTH($B$114),J$3),'Сводный годовой график'!$C$16:$AR$16)))</f>
        <v>#N/A</v>
      </c>
      <c r="K118" s="92" t="e">
        <f ca="1">IF(AND(INDEX('Сводный годовой график'!$C$1:$AR$4,MATCH($C$118,'Сводный годовой график'!$B$1:$B$4),MATCH(DATE($AV$1,MONTH($B$114),K$3),'Сводный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график'!$B$1:$B$4),MATCH(DATE($AV$1,MONTH($B$114),K$3),'Сводный годовой график'!$C$16:$AR$16)))</f>
        <v>#N/A</v>
      </c>
      <c r="L118" s="92" t="e">
        <f ca="1">IF(AND(INDEX('Сводный годовой график'!$C$1:$AR$4,MATCH($C$118,'Сводный годовой график'!$B$1:$B$4),MATCH(DATE($AV$1,MONTH($B$114),L$3),'Сводный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график'!$B$1:$B$4),MATCH(DATE($AV$1,MONTH($B$114),L$3),'Сводный годовой график'!$C$16:$AR$16)))</f>
        <v>#N/A</v>
      </c>
      <c r="M118" s="92" t="e">
        <f ca="1">IF(AND(INDEX('Сводный годовой график'!$C$1:$AR$4,MATCH($C$118,'Сводный годовой график'!$B$1:$B$4),MATCH(DATE($AV$1,MONTH($B$114),M$3),'Сводный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график'!$B$1:$B$4),MATCH(DATE($AV$1,MONTH($B$114),M$3),'Сводный годовой график'!$C$16:$AR$16)))</f>
        <v>#N/A</v>
      </c>
      <c r="N118" s="92" t="e">
        <f ca="1">IF(AND(INDEX('Сводный годовой график'!$C$1:$AR$4,MATCH($C$118,'Сводный годовой график'!$B$1:$B$4),MATCH(DATE($AV$1,MONTH($B$114),N$3),'Сводный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график'!$B$1:$B$4),MATCH(DATE($AV$1,MONTH($B$114),N$3),'Сводный годовой график'!$C$16:$AR$16)))</f>
        <v>#N/A</v>
      </c>
      <c r="O118" s="92" t="e">
        <f ca="1">IF(AND(INDEX('Сводный годовой график'!$C$1:$AR$4,MATCH($C$118,'Сводный годовой график'!$B$1:$B$4),MATCH(DATE($AV$1,MONTH($B$114),O$3),'Сводный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график'!$B$1:$B$4),MATCH(DATE($AV$1,MONTH($B$114),O$3),'Сводный годовой график'!$C$16:$AR$16)))</f>
        <v>#N/A</v>
      </c>
      <c r="P118" s="92" t="e">
        <f ca="1">IF(AND(INDEX('Сводный годовой график'!$C$1:$AR$4,MATCH($C$118,'Сводный годовой график'!$B$1:$B$4),MATCH(DATE($AV$1,MONTH($B$114),P$3),'Сводный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график'!$B$1:$B$4),MATCH(DATE($AV$1,MONTH($B$114),P$3),'Сводный годовой график'!$C$16:$AR$16)))</f>
        <v>#N/A</v>
      </c>
      <c r="Q118" s="92" t="e">
        <f ca="1">IF(AND(INDEX('Сводный годовой график'!$C$1:$AR$4,MATCH($C$118,'Сводный годовой график'!$B$1:$B$4),MATCH(DATE($AV$1,MONTH($B$114),Q$3),'Сводный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график'!$B$1:$B$4),MATCH(DATE($AV$1,MONTH($B$114),Q$3),'Сводный годовой график'!$C$16:$AR$16)))</f>
        <v>#N/A</v>
      </c>
      <c r="R118" s="92" t="e">
        <f ca="1">IF(AND(INDEX('Сводный годовой график'!$C$1:$AR$4,MATCH($C$118,'Сводный годовой график'!$B$1:$B$4),MATCH(DATE($AV$1,MONTH($B$114),R$3),'Сводный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график'!$B$1:$B$4),MATCH(DATE($AV$1,MONTH($B$114),R$3),'Сводный годовой график'!$C$16:$AR$16)))</f>
        <v>#N/A</v>
      </c>
      <c r="S118" s="92" t="e">
        <f ca="1">IF(AND(INDEX('Сводный годовой график'!$C$1:$AR$4,MATCH($C$118,'Сводный годовой график'!$B$1:$B$4),MATCH(DATE($AV$1,MONTH($B$114),S$3),'Сводный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график'!$B$1:$B$4),MATCH(DATE($AV$1,MONTH($B$114),S$3),'Сводный годовой график'!$C$16:$AR$16)))</f>
        <v>#N/A</v>
      </c>
      <c r="T118" s="92" t="e">
        <f ca="1">IF(AND(INDEX('Сводный годовой график'!$C$1:$AR$4,MATCH($C$118,'Сводный годовой график'!$B$1:$B$4),MATCH(DATE($AV$1,MONTH($B$114),T$3),'Сводный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график'!$B$1:$B$4),MATCH(DATE($AV$1,MONTH($B$114),T$3),'Сводный годовой график'!$C$16:$AR$16)))</f>
        <v>#N/A</v>
      </c>
      <c r="U118" s="92" t="e">
        <f ca="1">IF(AND(INDEX('Сводный годовой график'!$C$1:$AR$4,MATCH($C$118,'Сводный годовой график'!$B$1:$B$4),MATCH(DATE($AV$1,MONTH($B$114),U$3),'Сводный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график'!$B$1:$B$4),MATCH(DATE($AV$1,MONTH($B$114),U$3),'Сводный годовой график'!$C$16:$AR$16)))</f>
        <v>#N/A</v>
      </c>
      <c r="V118" s="92" t="e">
        <f ca="1">IF(AND(INDEX('Сводный годовой график'!$C$1:$AR$4,MATCH($C$118,'Сводный годовой график'!$B$1:$B$4),MATCH(DATE($AV$1,MONTH($B$114),V$3),'Сводный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график'!$B$1:$B$4),MATCH(DATE($AV$1,MONTH($B$114),V$3),'Сводный годовой график'!$C$16:$AR$16)))</f>
        <v>#N/A</v>
      </c>
      <c r="W118" s="92" t="e">
        <f ca="1">IF(AND(INDEX('Сводный годовой график'!$C$1:$AR$4,MATCH($C$118,'Сводный годовой график'!$B$1:$B$4),MATCH(DATE($AV$1,MONTH($B$114),W$3),'Сводный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график'!$B$1:$B$4),MATCH(DATE($AV$1,MONTH($B$114),W$3),'Сводный годовой график'!$C$16:$AR$16)))</f>
        <v>#N/A</v>
      </c>
      <c r="X118" s="92" t="e">
        <f ca="1">IF(AND(INDEX('Сводный годовой график'!$C$1:$AR$4,MATCH($C$118,'Сводный годовой график'!$B$1:$B$4),MATCH(DATE($AV$1,MONTH($B$114),X$3),'Сводный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график'!$B$1:$B$4),MATCH(DATE($AV$1,MONTH($B$114),X$3),'Сводный годовой график'!$C$16:$AR$16)))</f>
        <v>#N/A</v>
      </c>
      <c r="Y118" s="92" t="e">
        <f ca="1">IF(AND(INDEX('Сводный годовой график'!$C$1:$AR$4,MATCH($C$118,'Сводный годовой график'!$B$1:$B$4),MATCH(DATE($AV$1,MONTH($B$114),Y$3),'Сводный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график'!$B$1:$B$4),MATCH(DATE($AV$1,MONTH($B$114),Y$3),'Сводный годовой график'!$C$16:$AR$16)))</f>
        <v>#N/A</v>
      </c>
      <c r="Z118" s="92" t="e">
        <f ca="1">IF(AND(INDEX('Сводный годовой график'!$C$1:$AR$4,MATCH($C$118,'Сводный годовой график'!$B$1:$B$4),MATCH(DATE($AV$1,MONTH($B$114),Z$3),'Сводный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график'!$B$1:$B$4),MATCH(DATE($AV$1,MONTH($B$114),Z$3),'Сводный годовой график'!$C$16:$AR$16)))</f>
        <v>#N/A</v>
      </c>
      <c r="AA118" s="92" t="e">
        <f ca="1">IF(AND(INDEX('Сводный годовой график'!$C$1:$AR$4,MATCH($C$118,'Сводный годовой график'!$B$1:$B$4),MATCH(DATE($AV$1,MONTH($B$114),AA$3),'Сводный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график'!$B$1:$B$4),MATCH(DATE($AV$1,MONTH($B$114),AA$3),'Сводный годовой график'!$C$16:$AR$16)))</f>
        <v>#N/A</v>
      </c>
      <c r="AB118" s="92" t="e">
        <f ca="1">IF(AND(INDEX('Сводный годовой график'!$C$1:$AR$4,MATCH($C$118,'Сводный годовой график'!$B$1:$B$4),MATCH(DATE($AV$1,MONTH($B$114),AB$3),'Сводный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график'!$B$1:$B$4),MATCH(DATE($AV$1,MONTH($B$114),AB$3),'Сводный годовой график'!$C$16:$AR$16)))</f>
        <v>#N/A</v>
      </c>
      <c r="AC118" s="92" t="e">
        <f ca="1">IF(AND(INDEX('Сводный годовой график'!$C$1:$AR$4,MATCH($C$118,'Сводный годовой график'!$B$1:$B$4),MATCH(DATE($AV$1,MONTH($B$114),AC$3),'Сводный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график'!$B$1:$B$4),MATCH(DATE($AV$1,MONTH($B$114),AC$3),'Сводный годовой график'!$C$16:$AR$16)))</f>
        <v>#N/A</v>
      </c>
      <c r="AD118" s="92" t="e">
        <f ca="1">IF(AND(INDEX('Сводный годовой график'!$C$1:$AR$4,MATCH($C$118,'Сводный годовой график'!$B$1:$B$4),MATCH(DATE($AV$1,MONTH($B$114),AD$3),'Сводный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график'!$B$1:$B$4),MATCH(DATE($AV$1,MONTH($B$114),AD$3),'Сводный годовой график'!$C$16:$AR$16)))</f>
        <v>#N/A</v>
      </c>
      <c r="AE118" s="92" t="e">
        <f ca="1">IF(AND(INDEX('Сводный годовой график'!$C$1:$AR$4,MATCH($C$118,'Сводный годовой график'!$B$1:$B$4),MATCH(DATE($AV$1,MONTH($B$114),AE$3),'Сводный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график'!$B$1:$B$4),MATCH(DATE($AV$1,MONTH($B$114),AE$3),'Сводный годовой график'!$C$16:$AR$16)))</f>
        <v>#N/A</v>
      </c>
      <c r="AF118" s="92" t="e">
        <f ca="1">IF(AND(INDEX('Сводный годовой график'!$C$1:$AR$4,MATCH($C$118,'Сводный годовой график'!$B$1:$B$4),MATCH(DATE($AV$1,MONTH($B$114),AF$3),'Сводный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график'!$B$1:$B$4),MATCH(DATE($AV$1,MONTH($B$114),AF$3),'Сводный годовой график'!$C$16:$AR$16)))</f>
        <v>#N/A</v>
      </c>
      <c r="AG118" s="92" t="e">
        <f ca="1">IF(AND(INDEX('Сводный годовой график'!$C$1:$AR$4,MATCH($C$118,'Сводный годовой график'!$B$1:$B$4),MATCH(DATE($AV$1,MONTH($B$114),AG$3),'Сводный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график'!$B$1:$B$4),MATCH(DATE($AV$1,MONTH($B$114),AG$3),'Сводный годовой график'!$C$16:$AR$16)))</f>
        <v>#N/A</v>
      </c>
      <c r="AH118" s="92" t="e">
        <f ca="1">IF(AND(INDEX('Сводный годовой график'!$C$1:$AR$4,MATCH($C$118,'Сводный годовой график'!$B$1:$B$4),MATCH(DATE($AV$1,MONTH($B$114),AH$3),'Сводный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график'!$B$1:$B$4),MATCH(DATE($AV$1,MONTH($B$114),AH$3),'Сводный годовой график'!$C$16:$AR$16)))</f>
        <v>#N/A</v>
      </c>
      <c r="AI118" s="97" t="e">
        <f ca="1">IF(AND(INDEX('Сводный годовой график'!$C$1:$AR$4,MATCH($C$118,'Сводный годовой график'!$B$1:$B$4),MATCH(DATE($AV$1,MONTH($B$114),AI$3),'Сводный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график'!$B$1:$B$4),MATCH(DATE($AV$1,MONTH($B$114),AI$3),'Сводный годовой график'!$C$16:$AR$16)))</f>
        <v>#N/A</v>
      </c>
      <c r="AJ118" s="206"/>
      <c r="AK118" s="177">
        <f>$AJ$114-SUM(AY118:CC119)</f>
        <v>176</v>
      </c>
      <c r="AL118" s="177" t="e">
        <f t="shared" ref="AL118" ca="1" si="211">SUM(E118:AI119)</f>
        <v>#N/A</v>
      </c>
      <c r="AM118" s="177">
        <v>0</v>
      </c>
      <c r="AN118" s="198" t="e">
        <f t="shared" ref="AN118" ca="1" si="212">-AM118-AK118+AL118</f>
        <v>#N/A</v>
      </c>
      <c r="AO118" s="198">
        <v>0</v>
      </c>
      <c r="AP118" s="198" t="e">
        <f t="shared" ref="AP118" ca="1" si="213">AN118+AP108</f>
        <v>#N/A</v>
      </c>
      <c r="AQ118" s="177">
        <v>0</v>
      </c>
      <c r="AR118" s="179">
        <v>1</v>
      </c>
      <c r="CK118" s="59"/>
      <c r="CL118" s="59"/>
      <c r="CM118" s="59"/>
      <c r="CN118" s="59"/>
      <c r="CO118" s="59"/>
      <c r="CP118" s="59"/>
      <c r="CQ118" s="59"/>
      <c r="CR118" s="59"/>
      <c r="CS118" s="59"/>
      <c r="CT118" s="59"/>
      <c r="CU118" s="59"/>
      <c r="CV118" s="59"/>
      <c r="CW118" s="59"/>
      <c r="CX118" s="59"/>
      <c r="CY118" s="59"/>
      <c r="CZ118" s="59"/>
      <c r="DA118" s="59"/>
      <c r="DB118" s="59"/>
      <c r="DC118" s="59"/>
      <c r="DD118" s="59"/>
      <c r="DE118" s="59"/>
      <c r="DF118" s="59"/>
      <c r="DG118" s="59"/>
      <c r="DH118" s="59"/>
      <c r="DI118" s="59"/>
      <c r="DJ118" s="59"/>
      <c r="DK118" s="59"/>
      <c r="DL118" s="59"/>
      <c r="DM118" s="59"/>
      <c r="DN118" s="59"/>
      <c r="DO118" s="59"/>
    </row>
    <row r="119" spans="2:119" ht="16.5" thickBot="1" x14ac:dyDescent="0.3">
      <c r="B119" s="201"/>
      <c r="C119" s="197"/>
      <c r="D119" s="82">
        <v>6</v>
      </c>
      <c r="E119" s="92" t="str">
        <f t="shared" ref="E119:AI119" si="214">IF(INDEX($CK$4:$DO$123,ROW()-3,E$3)=0,"","СП")</f>
        <v/>
      </c>
      <c r="F119" s="92" t="str">
        <f t="shared" si="214"/>
        <v/>
      </c>
      <c r="G119" s="92" t="str">
        <f t="shared" si="214"/>
        <v/>
      </c>
      <c r="H119" s="92" t="str">
        <f t="shared" si="214"/>
        <v/>
      </c>
      <c r="I119" s="92" t="str">
        <f t="shared" si="214"/>
        <v/>
      </c>
      <c r="J119" s="92" t="str">
        <f t="shared" si="214"/>
        <v/>
      </c>
      <c r="K119" s="92" t="str">
        <f t="shared" si="214"/>
        <v/>
      </c>
      <c r="L119" s="92" t="str">
        <f t="shared" si="214"/>
        <v/>
      </c>
      <c r="M119" s="92" t="str">
        <f t="shared" si="214"/>
        <v/>
      </c>
      <c r="N119" s="92" t="str">
        <f t="shared" si="214"/>
        <v/>
      </c>
      <c r="O119" s="92" t="str">
        <f t="shared" si="214"/>
        <v/>
      </c>
      <c r="P119" s="92" t="str">
        <f t="shared" si="214"/>
        <v/>
      </c>
      <c r="Q119" s="92" t="str">
        <f t="shared" si="214"/>
        <v/>
      </c>
      <c r="R119" s="92" t="str">
        <f t="shared" si="214"/>
        <v>СП</v>
      </c>
      <c r="S119" s="92" t="str">
        <f t="shared" si="214"/>
        <v/>
      </c>
      <c r="T119" s="92" t="str">
        <f t="shared" si="214"/>
        <v/>
      </c>
      <c r="U119" s="92" t="str">
        <f t="shared" si="214"/>
        <v/>
      </c>
      <c r="V119" s="92" t="str">
        <f t="shared" si="214"/>
        <v/>
      </c>
      <c r="W119" s="92" t="str">
        <f t="shared" si="214"/>
        <v/>
      </c>
      <c r="X119" s="92" t="str">
        <f t="shared" si="214"/>
        <v/>
      </c>
      <c r="Y119" s="92" t="str">
        <f t="shared" si="214"/>
        <v/>
      </c>
      <c r="Z119" s="92" t="str">
        <f t="shared" si="214"/>
        <v/>
      </c>
      <c r="AA119" s="92" t="str">
        <f t="shared" si="214"/>
        <v/>
      </c>
      <c r="AB119" s="92" t="str">
        <f t="shared" si="214"/>
        <v/>
      </c>
      <c r="AC119" s="92" t="str">
        <f t="shared" si="214"/>
        <v/>
      </c>
      <c r="AD119" s="92" t="str">
        <f t="shared" si="214"/>
        <v/>
      </c>
      <c r="AE119" s="92" t="str">
        <f t="shared" si="214"/>
        <v/>
      </c>
      <c r="AF119" s="92" t="str">
        <f t="shared" si="214"/>
        <v/>
      </c>
      <c r="AG119" s="92" t="str">
        <f t="shared" si="214"/>
        <v/>
      </c>
      <c r="AH119" s="92" t="str">
        <f t="shared" si="214"/>
        <v/>
      </c>
      <c r="AI119" s="97" t="str">
        <f t="shared" si="214"/>
        <v/>
      </c>
      <c r="AJ119" s="206"/>
      <c r="AK119" s="177"/>
      <c r="AL119" s="177"/>
      <c r="AM119" s="177"/>
      <c r="AN119" s="198"/>
      <c r="AO119" s="198"/>
      <c r="AP119" s="198"/>
      <c r="AQ119" s="177"/>
      <c r="AR119" s="179"/>
      <c r="CK119" s="58">
        <f>IF(DAY(INDEX('Сводный годовой график'!$BA$4:$BL$14,$C118,MONTH($B$114)))=E$3,1,0)</f>
        <v>0</v>
      </c>
      <c r="CL119" s="58">
        <f>IF(DAY(INDEX('Сводный годовой график'!$BA$4:$BL$14,$C118,MONTH($B$114)))=F$3,1,0)</f>
        <v>0</v>
      </c>
      <c r="CM119" s="58">
        <f>IF(DAY(INDEX('Сводный годовой график'!$BA$4:$BL$14,$C118,MONTH($B$114)))=G$3,1,0)</f>
        <v>0</v>
      </c>
      <c r="CN119" s="58">
        <f>IF(DAY(INDEX('Сводный годовой график'!$BA$4:$BL$14,$C118,MONTH($B$114)))=H$3,1,0)</f>
        <v>0</v>
      </c>
      <c r="CO119" s="58">
        <f>IF(DAY(INDEX('Сводный годовой график'!$BA$4:$BL$14,$C118,MONTH($B$114)))=I$3,1,0)</f>
        <v>0</v>
      </c>
      <c r="CP119" s="58">
        <f>IF(DAY(INDEX('Сводный годовой график'!$BA$4:$BL$14,$C118,MONTH($B$114)))=J$3,1,0)</f>
        <v>0</v>
      </c>
      <c r="CQ119" s="58">
        <f>IF(DAY(INDEX('Сводный годовой график'!$BA$4:$BL$14,$C118,MONTH($B$114)))=K$3,1,0)</f>
        <v>0</v>
      </c>
      <c r="CR119" s="58">
        <f>IF(DAY(INDEX('Сводный годовой график'!$BA$4:$BL$14,$C118,MONTH($B$114)))=L$3,1,0)</f>
        <v>0</v>
      </c>
      <c r="CS119" s="58">
        <f>IF(DAY(INDEX('Сводный годовой график'!$BA$4:$BL$14,$C118,MONTH($B$114)))=M$3,1,0)</f>
        <v>0</v>
      </c>
      <c r="CT119" s="58">
        <f>IF(DAY(INDEX('Сводный годовой график'!$BA$4:$BL$14,$C118,MONTH($B$114)))=N$3,1,0)</f>
        <v>0</v>
      </c>
      <c r="CU119" s="58">
        <f>IF(DAY(INDEX('Сводный годовой график'!$BA$4:$BL$14,$C118,MONTH($B$114)))=O$3,1,0)</f>
        <v>0</v>
      </c>
      <c r="CV119" s="58">
        <f>IF(DAY(INDEX('Сводный годовой график'!$BA$4:$BL$14,$C118,MONTH($B$114)))=P$3,1,0)</f>
        <v>0</v>
      </c>
      <c r="CW119" s="58">
        <f>IF(DAY(INDEX('Сводный годовой график'!$BA$4:$BL$14,$C118,MONTH($B$114)))=Q$3,1,0)</f>
        <v>0</v>
      </c>
      <c r="CX119" s="58">
        <f>IF(DAY(INDEX('Сводный годовой график'!$BA$4:$BL$14,$C118,MONTH($B$114)))=R$3,1,0)</f>
        <v>1</v>
      </c>
      <c r="CY119" s="58">
        <f>IF(DAY(INDEX('Сводный годовой график'!$BA$4:$BL$14,$C118,MONTH($B$114)))=S$3,1,0)</f>
        <v>0</v>
      </c>
      <c r="CZ119" s="58">
        <f>IF(DAY(INDEX('Сводный годовой график'!$BA$4:$BL$14,$C118,MONTH($B$114)))=T$3,1,0)</f>
        <v>0</v>
      </c>
      <c r="DA119" s="58">
        <f>IF(DAY(INDEX('Сводный годовой график'!$BA$4:$BL$14,$C118,MONTH($B$114)))=U$3,1,0)</f>
        <v>0</v>
      </c>
      <c r="DB119" s="58">
        <f>IF(DAY(INDEX('Сводный годовой график'!$BA$4:$BL$14,$C118,MONTH($B$114)))=V$3,1,0)</f>
        <v>0</v>
      </c>
      <c r="DC119" s="58">
        <f>IF(DAY(INDEX('Сводный годовой график'!$BA$4:$BL$14,$C118,MONTH($B$114)))=W$3,1,0)</f>
        <v>0</v>
      </c>
      <c r="DD119" s="58">
        <f>IF(DAY(INDEX('Сводный годовой график'!$BA$4:$BL$14,$C118,MONTH($B$114)))=X$3,1,0)</f>
        <v>0</v>
      </c>
      <c r="DE119" s="58">
        <f>IF(DAY(INDEX('Сводный годовой график'!$BA$4:$BL$14,$C118,MONTH($B$114)))=Y$3,1,0)</f>
        <v>0</v>
      </c>
      <c r="DF119" s="58">
        <f>IF(DAY(INDEX('Сводный годовой график'!$BA$4:$BL$14,$C118,MONTH($B$114)))=Z$3,1,0)</f>
        <v>0</v>
      </c>
      <c r="DG119" s="58">
        <f>IF(DAY(INDEX('Сводный годовой график'!$BA$4:$BL$14,$C118,MONTH($B$114)))=AA$3,1,0)</f>
        <v>0</v>
      </c>
      <c r="DH119" s="58">
        <f>IF(DAY(INDEX('Сводный годовой график'!$BA$4:$BL$14,$C118,MONTH($B$114)))=AB$3,1,0)</f>
        <v>0</v>
      </c>
      <c r="DI119" s="58">
        <f>IF(DAY(INDEX('Сводный годовой график'!$BA$4:$BL$14,$C118,MONTH($B$114)))=AC$3,1,0)</f>
        <v>0</v>
      </c>
      <c r="DJ119" s="58">
        <f>IF(DAY(INDEX('Сводный годовой график'!$BA$4:$BL$14,$C118,MONTH($B$114)))=AD$3,1,0)</f>
        <v>0</v>
      </c>
      <c r="DK119" s="58">
        <f>IF(DAY(INDEX('Сводный годовой график'!$BA$4:$BL$14,$C118,MONTH($B$114)))=AE$3,1,0)</f>
        <v>0</v>
      </c>
      <c r="DL119" s="58">
        <f>IF(DAY(INDEX('Сводный годовой график'!$BA$4:$BL$14,$C118,MONTH($B$114)))=AF$3,1,0)</f>
        <v>0</v>
      </c>
      <c r="DM119" s="58">
        <f>IF(DAY(INDEX('Сводный годовой график'!$BA$4:$BL$14,$C118,MONTH($B$114)))=AG$3,1,0)</f>
        <v>0</v>
      </c>
      <c r="DN119" s="58">
        <f>IF(DAY(INDEX('Сводный годовой график'!$BA$4:$BL$14,$C118,MONTH($B$114)))=AH$3,1,0)</f>
        <v>0</v>
      </c>
      <c r="DO119" s="58">
        <f>IF(DAY(INDEX('Сводный годовой график'!$BA$4:$BL$14,$C118,MONTH($B$114)))=AI$3,1,0)</f>
        <v>0</v>
      </c>
    </row>
    <row r="120" spans="2:119" ht="16.5" thickBot="1" x14ac:dyDescent="0.3">
      <c r="B120" s="201"/>
      <c r="C120" s="196">
        <v>4</v>
      </c>
      <c r="D120" s="81">
        <v>7</v>
      </c>
      <c r="E120" s="92" t="e">
        <f ca="1">IF(AND(INDEX('Сводный годовой график'!$C$1:$AR$4,MATCH($C$120,'Сводный годовой график'!$B$1:$B$4),MATCH(DATE($AV$1,MONTH($B$114),E$3),'Сводный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график'!$B$1:$B$4),MATCH(DATE($AV$1,MONTH($B$114),E$3),'Сводный годовой график'!$C$16:$AR$16)))</f>
        <v>#N/A</v>
      </c>
      <c r="F120" s="92" t="e">
        <f ca="1">IF(AND(INDEX('Сводный годовой график'!$C$1:$AR$4,MATCH($C$120,'Сводный годовой график'!$B$1:$B$4),MATCH(DATE($AV$1,MONTH($B$114),F$3),'Сводный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график'!$B$1:$B$4),MATCH(DATE($AV$1,MONTH($B$114),F$3),'Сводный годовой график'!$C$16:$AR$16)))</f>
        <v>#N/A</v>
      </c>
      <c r="G120" s="92" t="e">
        <f ca="1">IF(AND(INDEX('Сводный годовой график'!$C$1:$AR$4,MATCH($C$120,'Сводный годовой график'!$B$1:$B$4),MATCH(DATE($AV$1,MONTH($B$114),G$3),'Сводный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график'!$B$1:$B$4),MATCH(DATE($AV$1,MONTH($B$114),G$3),'Сводный годовой график'!$C$16:$AR$16)))</f>
        <v>#N/A</v>
      </c>
      <c r="H120" s="92" t="e">
        <f ca="1">IF(AND(INDEX('Сводный годовой график'!$C$1:$AR$4,MATCH($C$120,'Сводный годовой график'!$B$1:$B$4),MATCH(DATE($AV$1,MONTH($B$114),H$3),'Сводный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график'!$B$1:$B$4),MATCH(DATE($AV$1,MONTH($B$114),H$3),'Сводный годовой график'!$C$16:$AR$16)))</f>
        <v>#N/A</v>
      </c>
      <c r="I120" s="92" t="e">
        <f ca="1">IF(AND(INDEX('Сводный годовой график'!$C$1:$AR$4,MATCH($C$120,'Сводный годовой график'!$B$1:$B$4),MATCH(DATE($AV$1,MONTH($B$114),I$3),'Сводный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график'!$B$1:$B$4),MATCH(DATE($AV$1,MONTH($B$114),I$3),'Сводный годовой график'!$C$16:$AR$16)))</f>
        <v>#N/A</v>
      </c>
      <c r="J120" s="92" t="e">
        <f ca="1">IF(AND(INDEX('Сводный годовой график'!$C$1:$AR$4,MATCH($C$120,'Сводный годовой график'!$B$1:$B$4),MATCH(DATE($AV$1,MONTH($B$114),J$3),'Сводный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график'!$B$1:$B$4),MATCH(DATE($AV$1,MONTH($B$114),J$3),'Сводный годовой график'!$C$16:$AR$16)))</f>
        <v>#N/A</v>
      </c>
      <c r="K120" s="92" t="e">
        <f ca="1">IF(AND(INDEX('Сводный годовой график'!$C$1:$AR$4,MATCH($C$120,'Сводный годовой график'!$B$1:$B$4),MATCH(DATE($AV$1,MONTH($B$114),K$3),'Сводный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график'!$B$1:$B$4),MATCH(DATE($AV$1,MONTH($B$114),K$3),'Сводный годовой график'!$C$16:$AR$16)))</f>
        <v>#N/A</v>
      </c>
      <c r="L120" s="92" t="e">
        <f ca="1">IF(AND(INDEX('Сводный годовой график'!$C$1:$AR$4,MATCH($C$120,'Сводный годовой график'!$B$1:$B$4),MATCH(DATE($AV$1,MONTH($B$114),L$3),'Сводный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график'!$B$1:$B$4),MATCH(DATE($AV$1,MONTH($B$114),L$3),'Сводный годовой график'!$C$16:$AR$16)))</f>
        <v>#N/A</v>
      </c>
      <c r="M120" s="92" t="e">
        <f ca="1">IF(AND(INDEX('Сводный годовой график'!$C$1:$AR$4,MATCH($C$120,'Сводный годовой график'!$B$1:$B$4),MATCH(DATE($AV$1,MONTH($B$114),M$3),'Сводный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график'!$B$1:$B$4),MATCH(DATE($AV$1,MONTH($B$114),M$3),'Сводный годовой график'!$C$16:$AR$16)))</f>
        <v>#N/A</v>
      </c>
      <c r="N120" s="92" t="e">
        <f ca="1">IF(AND(INDEX('Сводный годовой график'!$C$1:$AR$4,MATCH($C$120,'Сводный годовой график'!$B$1:$B$4),MATCH(DATE($AV$1,MONTH($B$114),N$3),'Сводный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график'!$B$1:$B$4),MATCH(DATE($AV$1,MONTH($B$114),N$3),'Сводный годовой график'!$C$16:$AR$16)))</f>
        <v>#N/A</v>
      </c>
      <c r="O120" s="92" t="e">
        <f ca="1">IF(AND(INDEX('Сводный годовой график'!$C$1:$AR$4,MATCH($C$120,'Сводный годовой график'!$B$1:$B$4),MATCH(DATE($AV$1,MONTH($B$114),O$3),'Сводный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график'!$B$1:$B$4),MATCH(DATE($AV$1,MONTH($B$114),O$3),'Сводный годовой график'!$C$16:$AR$16)))</f>
        <v>#N/A</v>
      </c>
      <c r="P120" s="92" t="e">
        <f ca="1">IF(AND(INDEX('Сводный годовой график'!$C$1:$AR$4,MATCH($C$120,'Сводный годовой график'!$B$1:$B$4),MATCH(DATE($AV$1,MONTH($B$114),P$3),'Сводный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график'!$B$1:$B$4),MATCH(DATE($AV$1,MONTH($B$114),P$3),'Сводный годовой график'!$C$16:$AR$16)))</f>
        <v>#N/A</v>
      </c>
      <c r="Q120" s="92" t="e">
        <f ca="1">IF(AND(INDEX('Сводный годовой график'!$C$1:$AR$4,MATCH($C$120,'Сводный годовой график'!$B$1:$B$4),MATCH(DATE($AV$1,MONTH($B$114),Q$3),'Сводный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график'!$B$1:$B$4),MATCH(DATE($AV$1,MONTH($B$114),Q$3),'Сводный годовой график'!$C$16:$AR$16)))</f>
        <v>#N/A</v>
      </c>
      <c r="R120" s="92" t="e">
        <f ca="1">IF(AND(INDEX('Сводный годовой график'!$C$1:$AR$4,MATCH($C$120,'Сводный годовой график'!$B$1:$B$4),MATCH(DATE($AV$1,MONTH($B$114),R$3),'Сводный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график'!$B$1:$B$4),MATCH(DATE($AV$1,MONTH($B$114),R$3),'Сводный годовой график'!$C$16:$AR$16)))</f>
        <v>#N/A</v>
      </c>
      <c r="S120" s="92" t="e">
        <f ca="1">IF(AND(INDEX('Сводный годовой график'!$C$1:$AR$4,MATCH($C$120,'Сводный годовой график'!$B$1:$B$4),MATCH(DATE($AV$1,MONTH($B$114),S$3),'Сводный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график'!$B$1:$B$4),MATCH(DATE($AV$1,MONTH($B$114),S$3),'Сводный годовой график'!$C$16:$AR$16)))</f>
        <v>#N/A</v>
      </c>
      <c r="T120" s="92" t="e">
        <f ca="1">IF(AND(INDEX('Сводный годовой график'!$C$1:$AR$4,MATCH($C$120,'Сводный годовой график'!$B$1:$B$4),MATCH(DATE($AV$1,MONTH($B$114),T$3),'Сводный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график'!$B$1:$B$4),MATCH(DATE($AV$1,MONTH($B$114),T$3),'Сводный годовой график'!$C$16:$AR$16)))</f>
        <v>#N/A</v>
      </c>
      <c r="U120" s="92" t="e">
        <f ca="1">IF(AND(INDEX('Сводный годовой график'!$C$1:$AR$4,MATCH($C$120,'Сводный годовой график'!$B$1:$B$4),MATCH(DATE($AV$1,MONTH($B$114),U$3),'Сводный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график'!$B$1:$B$4),MATCH(DATE($AV$1,MONTH($B$114),U$3),'Сводный годовой график'!$C$16:$AR$16)))</f>
        <v>#N/A</v>
      </c>
      <c r="V120" s="92" t="e">
        <f ca="1">IF(AND(INDEX('Сводный годовой график'!$C$1:$AR$4,MATCH($C$120,'Сводный годовой график'!$B$1:$B$4),MATCH(DATE($AV$1,MONTH($B$114),V$3),'Сводный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график'!$B$1:$B$4),MATCH(DATE($AV$1,MONTH($B$114),V$3),'Сводный годовой график'!$C$16:$AR$16)))</f>
        <v>#N/A</v>
      </c>
      <c r="W120" s="92" t="e">
        <f ca="1">IF(AND(INDEX('Сводный годовой график'!$C$1:$AR$4,MATCH($C$120,'Сводный годовой график'!$B$1:$B$4),MATCH(DATE($AV$1,MONTH($B$114),W$3),'Сводный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график'!$B$1:$B$4),MATCH(DATE($AV$1,MONTH($B$114),W$3),'Сводный годовой график'!$C$16:$AR$16)))</f>
        <v>#N/A</v>
      </c>
      <c r="X120" s="92" t="e">
        <f ca="1">IF(AND(INDEX('Сводный годовой график'!$C$1:$AR$4,MATCH($C$120,'Сводный годовой график'!$B$1:$B$4),MATCH(DATE($AV$1,MONTH($B$114),X$3),'Сводный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график'!$B$1:$B$4),MATCH(DATE($AV$1,MONTH($B$114),X$3),'Сводный годовой график'!$C$16:$AR$16)))</f>
        <v>#N/A</v>
      </c>
      <c r="Y120" s="92" t="e">
        <f ca="1">IF(AND(INDEX('Сводный годовой график'!$C$1:$AR$4,MATCH($C$120,'Сводный годовой график'!$B$1:$B$4),MATCH(DATE($AV$1,MONTH($B$114),Y$3),'Сводный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график'!$B$1:$B$4),MATCH(DATE($AV$1,MONTH($B$114),Y$3),'Сводный годовой график'!$C$16:$AR$16)))</f>
        <v>#N/A</v>
      </c>
      <c r="Z120" s="92" t="e">
        <f ca="1">IF(AND(INDEX('Сводный годовой график'!$C$1:$AR$4,MATCH($C$120,'Сводный годовой график'!$B$1:$B$4),MATCH(DATE($AV$1,MONTH($B$114),Z$3),'Сводный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график'!$B$1:$B$4),MATCH(DATE($AV$1,MONTH($B$114),Z$3),'Сводный годовой график'!$C$16:$AR$16)))</f>
        <v>#N/A</v>
      </c>
      <c r="AA120" s="92" t="e">
        <f ca="1">IF(AND(INDEX('Сводный годовой график'!$C$1:$AR$4,MATCH($C$120,'Сводный годовой график'!$B$1:$B$4),MATCH(DATE($AV$1,MONTH($B$114),AA$3),'Сводный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график'!$B$1:$B$4),MATCH(DATE($AV$1,MONTH($B$114),AA$3),'Сводный годовой график'!$C$16:$AR$16)))</f>
        <v>#N/A</v>
      </c>
      <c r="AB120" s="92" t="e">
        <f ca="1">IF(AND(INDEX('Сводный годовой график'!$C$1:$AR$4,MATCH($C$120,'Сводный годовой график'!$B$1:$B$4),MATCH(DATE($AV$1,MONTH($B$114),AB$3),'Сводный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график'!$B$1:$B$4),MATCH(DATE($AV$1,MONTH($B$114),AB$3),'Сводный годовой график'!$C$16:$AR$16)))</f>
        <v>#N/A</v>
      </c>
      <c r="AC120" s="92" t="e">
        <f ca="1">IF(AND(INDEX('Сводный годовой график'!$C$1:$AR$4,MATCH($C$120,'Сводный годовой график'!$B$1:$B$4),MATCH(DATE($AV$1,MONTH($B$114),AC$3),'Сводный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график'!$B$1:$B$4),MATCH(DATE($AV$1,MONTH($B$114),AC$3),'Сводный годовой график'!$C$16:$AR$16)))</f>
        <v>#N/A</v>
      </c>
      <c r="AD120" s="92" t="e">
        <f ca="1">IF(AND(INDEX('Сводный годовой график'!$C$1:$AR$4,MATCH($C$120,'Сводный годовой график'!$B$1:$B$4),MATCH(DATE($AV$1,MONTH($B$114),AD$3),'Сводный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график'!$B$1:$B$4),MATCH(DATE($AV$1,MONTH($B$114),AD$3),'Сводный годовой график'!$C$16:$AR$16)))</f>
        <v>#N/A</v>
      </c>
      <c r="AE120" s="92" t="e">
        <f ca="1">IF(AND(INDEX('Сводный годовой график'!$C$1:$AR$4,MATCH($C$120,'Сводный годовой график'!$B$1:$B$4),MATCH(DATE($AV$1,MONTH($B$114),AE$3),'Сводный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график'!$B$1:$B$4),MATCH(DATE($AV$1,MONTH($B$114),AE$3),'Сводный годовой график'!$C$16:$AR$16)))</f>
        <v>#N/A</v>
      </c>
      <c r="AF120" s="92" t="e">
        <f ca="1">IF(AND(INDEX('Сводный годовой график'!$C$1:$AR$4,MATCH($C$120,'Сводный годовой график'!$B$1:$B$4),MATCH(DATE($AV$1,MONTH($B$114),AF$3),'Сводный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график'!$B$1:$B$4),MATCH(DATE($AV$1,MONTH($B$114),AF$3),'Сводный годовой график'!$C$16:$AR$16)))</f>
        <v>#N/A</v>
      </c>
      <c r="AG120" s="92" t="e">
        <f ca="1">IF(AND(INDEX('Сводный годовой график'!$C$1:$AR$4,MATCH($C$120,'Сводный годовой график'!$B$1:$B$4),MATCH(DATE($AV$1,MONTH($B$114),AG$3),'Сводный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график'!$B$1:$B$4),MATCH(DATE($AV$1,MONTH($B$114),AG$3),'Сводный годовой график'!$C$16:$AR$16)))</f>
        <v>#N/A</v>
      </c>
      <c r="AH120" s="92" t="e">
        <f ca="1">IF(AND(INDEX('Сводный годовой график'!$C$1:$AR$4,MATCH($C$120,'Сводный годовой график'!$B$1:$B$4),MATCH(DATE($AV$1,MONTH($B$114),AH$3),'Сводный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график'!$B$1:$B$4),MATCH(DATE($AV$1,MONTH($B$114),AH$3),'Сводный годовой график'!$C$16:$AR$16)))</f>
        <v>#N/A</v>
      </c>
      <c r="AI120" s="97" t="e">
        <f ca="1">IF(AND(INDEX('Сводный годовой график'!$C$1:$AR$4,MATCH($C$120,'Сводный годовой график'!$B$1:$B$4),MATCH(DATE($AV$1,MONTH($B$114),AI$3),'Сводный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график'!$B$1:$B$4),MATCH(DATE($AV$1,MONTH($B$114),AI$3),'Сводный годовой график'!$C$16:$AR$16)))</f>
        <v>#N/A</v>
      </c>
      <c r="AJ120" s="206"/>
      <c r="AK120" s="177">
        <f>$AJ$114-SUM(AY120:CC121)</f>
        <v>176</v>
      </c>
      <c r="AL120" s="177" t="e">
        <f t="shared" ref="AL120" ca="1" si="215">SUM(E120:AI121)</f>
        <v>#N/A</v>
      </c>
      <c r="AM120" s="177">
        <v>0</v>
      </c>
      <c r="AN120" s="198" t="e">
        <f t="shared" ref="AN120" ca="1" si="216">-AM120-AK120+AL120</f>
        <v>#N/A</v>
      </c>
      <c r="AO120" s="198">
        <v>0</v>
      </c>
      <c r="AP120" s="198" t="e">
        <f t="shared" ref="AP120:AP122" ca="1" si="217">AN120+AP110</f>
        <v>#N/A</v>
      </c>
      <c r="AQ120" s="177">
        <v>0</v>
      </c>
      <c r="AR120" s="179">
        <v>1</v>
      </c>
      <c r="CK120" s="59"/>
      <c r="CL120" s="59"/>
      <c r="CM120" s="59"/>
      <c r="CN120" s="59"/>
      <c r="CO120" s="59"/>
      <c r="CP120" s="59"/>
      <c r="CQ120" s="59"/>
      <c r="CR120" s="59"/>
      <c r="CS120" s="59"/>
      <c r="CT120" s="59"/>
      <c r="CU120" s="59"/>
      <c r="CV120" s="59"/>
      <c r="CW120" s="59"/>
      <c r="CX120" s="59"/>
      <c r="CY120" s="59"/>
      <c r="CZ120" s="59"/>
      <c r="DA120" s="59"/>
      <c r="DB120" s="59"/>
      <c r="DC120" s="59"/>
      <c r="DD120" s="59"/>
      <c r="DE120" s="59"/>
      <c r="DF120" s="59"/>
      <c r="DG120" s="59"/>
      <c r="DH120" s="59"/>
      <c r="DI120" s="59"/>
      <c r="DJ120" s="59"/>
      <c r="DK120" s="59"/>
      <c r="DL120" s="59"/>
      <c r="DM120" s="59"/>
      <c r="DN120" s="59"/>
      <c r="DO120" s="59"/>
    </row>
    <row r="121" spans="2:119" ht="16.5" thickBot="1" x14ac:dyDescent="0.3">
      <c r="B121" s="201"/>
      <c r="C121" s="197"/>
      <c r="D121" s="82">
        <v>8</v>
      </c>
      <c r="E121" s="92" t="str">
        <f t="shared" ref="E121:AI121" si="218">IF(INDEX($CK$4:$DO$123,ROW()-3,E$3)=0,"","СП")</f>
        <v/>
      </c>
      <c r="F121" s="92" t="str">
        <f t="shared" si="218"/>
        <v/>
      </c>
      <c r="G121" s="92" t="str">
        <f t="shared" si="218"/>
        <v/>
      </c>
      <c r="H121" s="92" t="str">
        <f t="shared" si="218"/>
        <v/>
      </c>
      <c r="I121" s="92" t="str">
        <f t="shared" si="218"/>
        <v/>
      </c>
      <c r="J121" s="92" t="str">
        <f t="shared" si="218"/>
        <v/>
      </c>
      <c r="K121" s="92" t="str">
        <f t="shared" si="218"/>
        <v/>
      </c>
      <c r="L121" s="92" t="str">
        <f t="shared" si="218"/>
        <v/>
      </c>
      <c r="M121" s="92" t="str">
        <f t="shared" si="218"/>
        <v/>
      </c>
      <c r="N121" s="92" t="str">
        <f t="shared" si="218"/>
        <v/>
      </c>
      <c r="O121" s="92" t="str">
        <f t="shared" si="218"/>
        <v/>
      </c>
      <c r="P121" s="92" t="str">
        <f t="shared" si="218"/>
        <v/>
      </c>
      <c r="Q121" s="92" t="str">
        <f t="shared" si="218"/>
        <v/>
      </c>
      <c r="R121" s="92" t="str">
        <f t="shared" si="218"/>
        <v/>
      </c>
      <c r="S121" s="92" t="str">
        <f t="shared" si="218"/>
        <v>СП</v>
      </c>
      <c r="T121" s="92" t="str">
        <f t="shared" si="218"/>
        <v/>
      </c>
      <c r="U121" s="92" t="str">
        <f t="shared" si="218"/>
        <v/>
      </c>
      <c r="V121" s="92" t="str">
        <f t="shared" si="218"/>
        <v/>
      </c>
      <c r="W121" s="92" t="str">
        <f t="shared" si="218"/>
        <v/>
      </c>
      <c r="X121" s="92" t="str">
        <f t="shared" si="218"/>
        <v/>
      </c>
      <c r="Y121" s="92" t="str">
        <f t="shared" si="218"/>
        <v/>
      </c>
      <c r="Z121" s="92" t="str">
        <f t="shared" si="218"/>
        <v/>
      </c>
      <c r="AA121" s="92" t="str">
        <f t="shared" si="218"/>
        <v/>
      </c>
      <c r="AB121" s="92" t="str">
        <f t="shared" si="218"/>
        <v/>
      </c>
      <c r="AC121" s="92" t="str">
        <f t="shared" si="218"/>
        <v/>
      </c>
      <c r="AD121" s="92" t="str">
        <f t="shared" si="218"/>
        <v/>
      </c>
      <c r="AE121" s="92" t="str">
        <f t="shared" si="218"/>
        <v/>
      </c>
      <c r="AF121" s="92" t="str">
        <f t="shared" si="218"/>
        <v/>
      </c>
      <c r="AG121" s="92" t="str">
        <f t="shared" si="218"/>
        <v/>
      </c>
      <c r="AH121" s="92" t="str">
        <f t="shared" si="218"/>
        <v/>
      </c>
      <c r="AI121" s="97" t="str">
        <f t="shared" si="218"/>
        <v/>
      </c>
      <c r="AJ121" s="206"/>
      <c r="AK121" s="177"/>
      <c r="AL121" s="177"/>
      <c r="AM121" s="177"/>
      <c r="AN121" s="198"/>
      <c r="AO121" s="198"/>
      <c r="AP121" s="198"/>
      <c r="AQ121" s="177"/>
      <c r="AR121" s="179"/>
      <c r="CK121" s="58">
        <f>IF(DAY(INDEX('Сводный годовой график'!$BA$4:$BL$14,$C120,MONTH($B$114)))=E$3,1,0)</f>
        <v>0</v>
      </c>
      <c r="CL121" s="58">
        <f>IF(DAY(INDEX('Сводный годовой график'!$BA$4:$BL$14,$C120,MONTH($B$114)))=F$3,1,0)</f>
        <v>0</v>
      </c>
      <c r="CM121" s="58">
        <f>IF(DAY(INDEX('Сводный годовой график'!$BA$4:$BL$14,$C120,MONTH($B$114)))=G$3,1,0)</f>
        <v>0</v>
      </c>
      <c r="CN121" s="58">
        <f>IF(DAY(INDEX('Сводный годовой график'!$BA$4:$BL$14,$C120,MONTH($B$114)))=H$3,1,0)</f>
        <v>0</v>
      </c>
      <c r="CO121" s="58">
        <f>IF(DAY(INDEX('Сводный годовой график'!$BA$4:$BL$14,$C120,MONTH($B$114)))=I$3,1,0)</f>
        <v>0</v>
      </c>
      <c r="CP121" s="58">
        <f>IF(DAY(INDEX('Сводный годовой график'!$BA$4:$BL$14,$C120,MONTH($B$114)))=J$3,1,0)</f>
        <v>0</v>
      </c>
      <c r="CQ121" s="58">
        <f>IF(DAY(INDEX('Сводный годовой график'!$BA$4:$BL$14,$C120,MONTH($B$114)))=K$3,1,0)</f>
        <v>0</v>
      </c>
      <c r="CR121" s="58">
        <f>IF(DAY(INDEX('Сводный годовой график'!$BA$4:$BL$14,$C120,MONTH($B$114)))=L$3,1,0)</f>
        <v>0</v>
      </c>
      <c r="CS121" s="58">
        <f>IF(DAY(INDEX('Сводный годовой график'!$BA$4:$BL$14,$C120,MONTH($B$114)))=M$3,1,0)</f>
        <v>0</v>
      </c>
      <c r="CT121" s="58">
        <f>IF(DAY(INDEX('Сводный годовой график'!$BA$4:$BL$14,$C120,MONTH($B$114)))=N$3,1,0)</f>
        <v>0</v>
      </c>
      <c r="CU121" s="58">
        <f>IF(DAY(INDEX('Сводный годовой график'!$BA$4:$BL$14,$C120,MONTH($B$114)))=O$3,1,0)</f>
        <v>0</v>
      </c>
      <c r="CV121" s="58">
        <f>IF(DAY(INDEX('Сводный годовой график'!$BA$4:$BL$14,$C120,MONTH($B$114)))=P$3,1,0)</f>
        <v>0</v>
      </c>
      <c r="CW121" s="58">
        <f>IF(DAY(INDEX('Сводный годовой график'!$BA$4:$BL$14,$C120,MONTH($B$114)))=Q$3,1,0)</f>
        <v>0</v>
      </c>
      <c r="CX121" s="58">
        <f>IF(DAY(INDEX('Сводный годовой график'!$BA$4:$BL$14,$C120,MONTH($B$114)))=R$3,1,0)</f>
        <v>0</v>
      </c>
      <c r="CY121" s="58">
        <f>IF(DAY(INDEX('Сводный годовой график'!$BA$4:$BL$14,$C120,MONTH($B$114)))=S$3,1,0)</f>
        <v>1</v>
      </c>
      <c r="CZ121" s="58">
        <f>IF(DAY(INDEX('Сводный годовой график'!$BA$4:$BL$14,$C120,MONTH($B$114)))=T$3,1,0)</f>
        <v>0</v>
      </c>
      <c r="DA121" s="58">
        <f>IF(DAY(INDEX('Сводный годовой график'!$BA$4:$BL$14,$C120,MONTH($B$114)))=U$3,1,0)</f>
        <v>0</v>
      </c>
      <c r="DB121" s="58">
        <f>IF(DAY(INDEX('Сводный годовой график'!$BA$4:$BL$14,$C120,MONTH($B$114)))=V$3,1,0)</f>
        <v>0</v>
      </c>
      <c r="DC121" s="58">
        <f>IF(DAY(INDEX('Сводный годовой график'!$BA$4:$BL$14,$C120,MONTH($B$114)))=W$3,1,0)</f>
        <v>0</v>
      </c>
      <c r="DD121" s="58">
        <f>IF(DAY(INDEX('Сводный годовой график'!$BA$4:$BL$14,$C120,MONTH($B$114)))=X$3,1,0)</f>
        <v>0</v>
      </c>
      <c r="DE121" s="58">
        <f>IF(DAY(INDEX('Сводный годовой график'!$BA$4:$BL$14,$C120,MONTH($B$114)))=Y$3,1,0)</f>
        <v>0</v>
      </c>
      <c r="DF121" s="58">
        <f>IF(DAY(INDEX('Сводный годовой график'!$BA$4:$BL$14,$C120,MONTH($B$114)))=Z$3,1,0)</f>
        <v>0</v>
      </c>
      <c r="DG121" s="58">
        <f>IF(DAY(INDEX('Сводный годовой график'!$BA$4:$BL$14,$C120,MONTH($B$114)))=AA$3,1,0)</f>
        <v>0</v>
      </c>
      <c r="DH121" s="58">
        <f>IF(DAY(INDEX('Сводный годовой график'!$BA$4:$BL$14,$C120,MONTH($B$114)))=AB$3,1,0)</f>
        <v>0</v>
      </c>
      <c r="DI121" s="58">
        <f>IF(DAY(INDEX('Сводный годовой график'!$BA$4:$BL$14,$C120,MONTH($B$114)))=AC$3,1,0)</f>
        <v>0</v>
      </c>
      <c r="DJ121" s="58">
        <f>IF(DAY(INDEX('Сводный годовой график'!$BA$4:$BL$14,$C120,MONTH($B$114)))=AD$3,1,0)</f>
        <v>0</v>
      </c>
      <c r="DK121" s="58">
        <f>IF(DAY(INDEX('Сводный годовой график'!$BA$4:$BL$14,$C120,MONTH($B$114)))=AE$3,1,0)</f>
        <v>0</v>
      </c>
      <c r="DL121" s="58">
        <f>IF(DAY(INDEX('Сводный годовой график'!$BA$4:$BL$14,$C120,MONTH($B$114)))=AF$3,1,0)</f>
        <v>0</v>
      </c>
      <c r="DM121" s="58">
        <f>IF(DAY(INDEX('Сводный годовой график'!$BA$4:$BL$14,$C120,MONTH($B$114)))=AG$3,1,0)</f>
        <v>0</v>
      </c>
      <c r="DN121" s="58">
        <f>IF(DAY(INDEX('Сводный годовой график'!$BA$4:$BL$14,$C120,MONTH($B$114)))=AH$3,1,0)</f>
        <v>0</v>
      </c>
      <c r="DO121" s="58">
        <f>IF(DAY(INDEX('Сводный годовой график'!$BA$4:$BL$14,$C120,MONTH($B$114)))=AI$3,1,0)</f>
        <v>0</v>
      </c>
    </row>
    <row r="122" spans="2:119" ht="16.5" thickBot="1" x14ac:dyDescent="0.3">
      <c r="B122" s="201"/>
      <c r="C122" s="196">
        <v>5</v>
      </c>
      <c r="D122" s="81">
        <v>9</v>
      </c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92"/>
      <c r="Y122" s="92"/>
      <c r="Z122" s="92"/>
      <c r="AA122" s="92"/>
      <c r="AB122" s="92"/>
      <c r="AC122" s="92"/>
      <c r="AD122" s="92"/>
      <c r="AE122" s="92"/>
      <c r="AF122" s="92"/>
      <c r="AG122" s="92"/>
      <c r="AH122" s="92"/>
      <c r="AI122" s="97"/>
      <c r="AJ122" s="206"/>
      <c r="AK122" s="177">
        <f>$AJ$114-SUM(AY122:CC123)</f>
        <v>176</v>
      </c>
      <c r="AL122" s="177">
        <f t="shared" ref="AL122" si="219">SUM(E122:AI123)</f>
        <v>0</v>
      </c>
      <c r="AM122" s="177">
        <v>0</v>
      </c>
      <c r="AN122" s="198">
        <f t="shared" ref="AN122" si="220">-AM122-AK122+AL122</f>
        <v>-176</v>
      </c>
      <c r="AO122" s="198">
        <v>0</v>
      </c>
      <c r="AP122" s="198">
        <f t="shared" si="217"/>
        <v>-2044</v>
      </c>
      <c r="AQ122" s="177">
        <v>0</v>
      </c>
      <c r="AR122" s="179">
        <v>1</v>
      </c>
      <c r="CK122" s="59"/>
      <c r="CL122" s="59"/>
      <c r="CM122" s="59"/>
      <c r="CN122" s="59"/>
      <c r="CO122" s="59"/>
      <c r="CP122" s="59"/>
      <c r="CQ122" s="59"/>
      <c r="CR122" s="59"/>
      <c r="CS122" s="59"/>
      <c r="CT122" s="59"/>
      <c r="CU122" s="59"/>
      <c r="CV122" s="59"/>
      <c r="CW122" s="59"/>
      <c r="CX122" s="59"/>
      <c r="CY122" s="59"/>
      <c r="CZ122" s="59"/>
      <c r="DA122" s="59"/>
      <c r="DB122" s="59"/>
      <c r="DC122" s="59"/>
      <c r="DD122" s="59"/>
      <c r="DE122" s="59"/>
      <c r="DF122" s="59"/>
      <c r="DG122" s="59"/>
      <c r="DH122" s="59"/>
      <c r="DI122" s="59"/>
      <c r="DJ122" s="59"/>
      <c r="DK122" s="59"/>
      <c r="DL122" s="59"/>
      <c r="DM122" s="59"/>
      <c r="DN122" s="59"/>
      <c r="DO122" s="59"/>
    </row>
    <row r="123" spans="2:119" ht="16.5" thickBot="1" x14ac:dyDescent="0.3">
      <c r="B123" s="202"/>
      <c r="C123" s="197"/>
      <c r="D123" s="82">
        <v>10</v>
      </c>
      <c r="E123" s="29" t="str">
        <f t="shared" ref="E123:AI123" si="221">IF(INDEX($CK$4:$DO$123,ROW()-3,E$3)=0,"","СП")</f>
        <v/>
      </c>
      <c r="F123" s="29" t="str">
        <f t="shared" si="221"/>
        <v/>
      </c>
      <c r="G123" s="29" t="str">
        <f t="shared" si="221"/>
        <v/>
      </c>
      <c r="H123" s="29" t="str">
        <f t="shared" si="221"/>
        <v/>
      </c>
      <c r="I123" s="29" t="str">
        <f t="shared" si="221"/>
        <v/>
      </c>
      <c r="J123" s="29" t="str">
        <f t="shared" si="221"/>
        <v/>
      </c>
      <c r="K123" s="29" t="str">
        <f t="shared" si="221"/>
        <v/>
      </c>
      <c r="L123" s="29" t="str">
        <f t="shared" si="221"/>
        <v/>
      </c>
      <c r="M123" s="29" t="str">
        <f t="shared" si="221"/>
        <v/>
      </c>
      <c r="N123" s="29" t="str">
        <f t="shared" si="221"/>
        <v/>
      </c>
      <c r="O123" s="29" t="str">
        <f t="shared" si="221"/>
        <v/>
      </c>
      <c r="P123" s="29" t="str">
        <f t="shared" si="221"/>
        <v/>
      </c>
      <c r="Q123" s="29" t="str">
        <f t="shared" si="221"/>
        <v/>
      </c>
      <c r="R123" s="29" t="str">
        <f t="shared" si="221"/>
        <v/>
      </c>
      <c r="S123" s="29" t="str">
        <f t="shared" si="221"/>
        <v/>
      </c>
      <c r="T123" s="29" t="str">
        <f t="shared" si="221"/>
        <v>СП</v>
      </c>
      <c r="U123" s="29" t="str">
        <f t="shared" si="221"/>
        <v/>
      </c>
      <c r="V123" s="29" t="str">
        <f t="shared" si="221"/>
        <v/>
      </c>
      <c r="W123" s="29" t="str">
        <f t="shared" si="221"/>
        <v/>
      </c>
      <c r="X123" s="29" t="str">
        <f t="shared" si="221"/>
        <v/>
      </c>
      <c r="Y123" s="29" t="str">
        <f t="shared" si="221"/>
        <v/>
      </c>
      <c r="Z123" s="29" t="str">
        <f t="shared" si="221"/>
        <v/>
      </c>
      <c r="AA123" s="29" t="str">
        <f t="shared" si="221"/>
        <v/>
      </c>
      <c r="AB123" s="29" t="str">
        <f t="shared" si="221"/>
        <v/>
      </c>
      <c r="AC123" s="29" t="str">
        <f t="shared" si="221"/>
        <v/>
      </c>
      <c r="AD123" s="29" t="str">
        <f t="shared" si="221"/>
        <v/>
      </c>
      <c r="AE123" s="29" t="str">
        <f t="shared" si="221"/>
        <v/>
      </c>
      <c r="AF123" s="29" t="str">
        <f t="shared" si="221"/>
        <v/>
      </c>
      <c r="AG123" s="29" t="str">
        <f t="shared" si="221"/>
        <v/>
      </c>
      <c r="AH123" s="29" t="str">
        <f t="shared" si="221"/>
        <v/>
      </c>
      <c r="AI123" s="85" t="str">
        <f t="shared" si="221"/>
        <v/>
      </c>
      <c r="AJ123" s="207"/>
      <c r="AK123" s="178"/>
      <c r="AL123" s="178"/>
      <c r="AM123" s="178"/>
      <c r="AN123" s="199"/>
      <c r="AO123" s="199"/>
      <c r="AP123" s="199"/>
      <c r="AQ123" s="178"/>
      <c r="AR123" s="180"/>
      <c r="CK123" s="58">
        <f>IF(DAY(INDEX('Сводный годовой график'!$BA$4:$BL$14,$C122,MONTH($B$114)))=E$3,1,0)</f>
        <v>0</v>
      </c>
      <c r="CL123" s="58">
        <f>IF(DAY(INDEX('Сводный годовой график'!$BA$4:$BL$14,$C122,MONTH($B$114)))=F$3,1,0)</f>
        <v>0</v>
      </c>
      <c r="CM123" s="58">
        <f>IF(DAY(INDEX('Сводный годовой график'!$BA$4:$BL$14,$C122,MONTH($B$114)))=G$3,1,0)</f>
        <v>0</v>
      </c>
      <c r="CN123" s="58">
        <f>IF(DAY(INDEX('Сводный годовой график'!$BA$4:$BL$14,$C122,MONTH($B$114)))=H$3,1,0)</f>
        <v>0</v>
      </c>
      <c r="CO123" s="58">
        <f>IF(DAY(INDEX('Сводный годовой график'!$BA$4:$BL$14,$C122,MONTH($B$114)))=I$3,1,0)</f>
        <v>0</v>
      </c>
      <c r="CP123" s="58">
        <f>IF(DAY(INDEX('Сводный годовой график'!$BA$4:$BL$14,$C122,MONTH($B$114)))=J$3,1,0)</f>
        <v>0</v>
      </c>
      <c r="CQ123" s="58">
        <f>IF(DAY(INDEX('Сводный годовой график'!$BA$4:$BL$14,$C122,MONTH($B$114)))=K$3,1,0)</f>
        <v>0</v>
      </c>
      <c r="CR123" s="58">
        <f>IF(DAY(INDEX('Сводный годовой график'!$BA$4:$BL$14,$C122,MONTH($B$114)))=L$3,1,0)</f>
        <v>0</v>
      </c>
      <c r="CS123" s="58">
        <f>IF(DAY(INDEX('Сводный годовой график'!$BA$4:$BL$14,$C122,MONTH($B$114)))=M$3,1,0)</f>
        <v>0</v>
      </c>
      <c r="CT123" s="58">
        <f>IF(DAY(INDEX('Сводный годовой график'!$BA$4:$BL$14,$C122,MONTH($B$114)))=N$3,1,0)</f>
        <v>0</v>
      </c>
      <c r="CU123" s="58">
        <f>IF(DAY(INDEX('Сводный годовой график'!$BA$4:$BL$14,$C122,MONTH($B$114)))=O$3,1,0)</f>
        <v>0</v>
      </c>
      <c r="CV123" s="58">
        <f>IF(DAY(INDEX('Сводный годовой график'!$BA$4:$BL$14,$C122,MONTH($B$114)))=P$3,1,0)</f>
        <v>0</v>
      </c>
      <c r="CW123" s="58">
        <f>IF(DAY(INDEX('Сводный годовой график'!$BA$4:$BL$14,$C122,MONTH($B$114)))=Q$3,1,0)</f>
        <v>0</v>
      </c>
      <c r="CX123" s="58">
        <f>IF(DAY(INDEX('Сводный годовой график'!$BA$4:$BL$14,$C122,MONTH($B$114)))=R$3,1,0)</f>
        <v>0</v>
      </c>
      <c r="CY123" s="58">
        <f>IF(DAY(INDEX('Сводный годовой график'!$BA$4:$BL$14,$C122,MONTH($B$114)))=S$3,1,0)</f>
        <v>0</v>
      </c>
      <c r="CZ123" s="58">
        <f>IF(DAY(INDEX('Сводный годовой график'!$BA$4:$BL$14,$C122,MONTH($B$114)))=T$3,1,0)</f>
        <v>1</v>
      </c>
      <c r="DA123" s="58">
        <f>IF(DAY(INDEX('Сводный годовой график'!$BA$4:$BL$14,$C122,MONTH($B$114)))=U$3,1,0)</f>
        <v>0</v>
      </c>
      <c r="DB123" s="58">
        <f>IF(DAY(INDEX('Сводный годовой график'!$BA$4:$BL$14,$C122,MONTH($B$114)))=V$3,1,0)</f>
        <v>0</v>
      </c>
      <c r="DC123" s="58">
        <f>IF(DAY(INDEX('Сводный годовой график'!$BA$4:$BL$14,$C122,MONTH($B$114)))=W$3,1,0)</f>
        <v>0</v>
      </c>
      <c r="DD123" s="58">
        <f>IF(DAY(INDEX('Сводный годовой график'!$BA$4:$BL$14,$C122,MONTH($B$114)))=X$3,1,0)</f>
        <v>0</v>
      </c>
      <c r="DE123" s="58">
        <f>IF(DAY(INDEX('Сводный годовой график'!$BA$4:$BL$14,$C122,MONTH($B$114)))=Y$3,1,0)</f>
        <v>0</v>
      </c>
      <c r="DF123" s="58">
        <f>IF(DAY(INDEX('Сводный годовой график'!$BA$4:$BL$14,$C122,MONTH($B$114)))=Z$3,1,0)</f>
        <v>0</v>
      </c>
      <c r="DG123" s="58">
        <f>IF(DAY(INDEX('Сводный годовой график'!$BA$4:$BL$14,$C122,MONTH($B$114)))=AA$3,1,0)</f>
        <v>0</v>
      </c>
      <c r="DH123" s="58">
        <f>IF(DAY(INDEX('Сводный годовой график'!$BA$4:$BL$14,$C122,MONTH($B$114)))=AB$3,1,0)</f>
        <v>0</v>
      </c>
      <c r="DI123" s="58">
        <f>IF(DAY(INDEX('Сводный годовой график'!$BA$4:$BL$14,$C122,MONTH($B$114)))=AC$3,1,0)</f>
        <v>0</v>
      </c>
      <c r="DJ123" s="58">
        <f>IF(DAY(INDEX('Сводный годовой график'!$BA$4:$BL$14,$C122,MONTH($B$114)))=AD$3,1,0)</f>
        <v>0</v>
      </c>
      <c r="DK123" s="58">
        <f>IF(DAY(INDEX('Сводный годовой график'!$BA$4:$BL$14,$C122,MONTH($B$114)))=AE$3,1,0)</f>
        <v>0</v>
      </c>
      <c r="DL123" s="58">
        <f>IF(DAY(INDEX('Сводный годовой график'!$BA$4:$BL$14,$C122,MONTH($B$114)))=AF$3,1,0)</f>
        <v>0</v>
      </c>
      <c r="DM123" s="58">
        <f>IF(DAY(INDEX('Сводный годовой график'!$BA$4:$BL$14,$C122,MONTH($B$114)))=AG$3,1,0)</f>
        <v>0</v>
      </c>
      <c r="DN123" s="58">
        <f>IF(DAY(INDEX('Сводный годовой график'!$BA$4:$BL$14,$C122,MONTH($B$114)))=AH$3,1,0)</f>
        <v>0</v>
      </c>
      <c r="DO123" s="58">
        <f>IF(DAY(INDEX('Сводный годовой график'!$BA$4:$BL$14,$C122,MONTH($B$114)))=AI$3,1,0)</f>
        <v>0</v>
      </c>
    </row>
    <row r="124" spans="2:119" ht="24.95" customHeight="1" thickTop="1" thickBot="1" x14ac:dyDescent="0.3">
      <c r="B124" s="182" t="s">
        <v>38</v>
      </c>
      <c r="C124" s="184">
        <v>1</v>
      </c>
      <c r="D124" s="185"/>
      <c r="E124" s="185"/>
      <c r="F124" s="185"/>
      <c r="G124" s="185"/>
      <c r="H124" s="185"/>
      <c r="I124" s="185"/>
      <c r="J124" s="185"/>
      <c r="K124" s="185"/>
      <c r="L124" s="185"/>
      <c r="M124" s="185"/>
      <c r="N124" s="185"/>
      <c r="O124" s="185"/>
      <c r="P124" s="185"/>
      <c r="Q124" s="185"/>
      <c r="R124" s="185"/>
      <c r="S124" s="185"/>
      <c r="T124" s="185"/>
      <c r="U124" s="185"/>
      <c r="V124" s="185"/>
      <c r="W124" s="185"/>
      <c r="X124" s="185"/>
      <c r="Y124" s="185"/>
      <c r="Z124" s="185"/>
      <c r="AA124" s="185"/>
      <c r="AB124" s="185"/>
      <c r="AC124" s="185"/>
      <c r="AD124" s="185"/>
      <c r="AE124" s="185"/>
      <c r="AF124" s="185"/>
      <c r="AG124" s="185"/>
      <c r="AH124" s="185"/>
      <c r="AI124" s="186"/>
      <c r="AJ124" s="187">
        <f>IF(SUM($AJ$4:$AJ$123)=SUM(Подключения!H3:H14),SUM($AJ$4:$AJ$123),"!")</f>
        <v>1972</v>
      </c>
      <c r="AK124" s="36">
        <f t="shared" ref="AK124:AR124" si="222">AK4+AK14+AK24+AK34+AK44+AK54+AK64+AK74+AK84+AK94+AK104+AK114</f>
        <v>1972</v>
      </c>
      <c r="AL124" s="36" t="e">
        <f t="shared" ca="1" si="222"/>
        <v>#N/A</v>
      </c>
      <c r="AM124" s="36" t="e">
        <f t="shared" ca="1" si="222"/>
        <v>#N/A</v>
      </c>
      <c r="AN124" s="36" t="e">
        <f t="shared" ca="1" si="222"/>
        <v>#N/A</v>
      </c>
      <c r="AO124" s="36">
        <f t="shared" si="222"/>
        <v>72</v>
      </c>
      <c r="AP124" s="36" t="e">
        <f ca="1">AP114</f>
        <v>#N/A</v>
      </c>
      <c r="AQ124" s="36">
        <f t="shared" si="222"/>
        <v>30</v>
      </c>
      <c r="AR124" s="37">
        <f t="shared" si="222"/>
        <v>12</v>
      </c>
    </row>
    <row r="125" spans="2:119" ht="24.95" customHeight="1" thickBot="1" x14ac:dyDescent="0.3">
      <c r="B125" s="182"/>
      <c r="C125" s="190">
        <v>2</v>
      </c>
      <c r="D125" s="191"/>
      <c r="E125" s="191"/>
      <c r="F125" s="191"/>
      <c r="G125" s="191"/>
      <c r="H125" s="191"/>
      <c r="I125" s="191"/>
      <c r="J125" s="191"/>
      <c r="K125" s="191"/>
      <c r="L125" s="191"/>
      <c r="M125" s="191"/>
      <c r="N125" s="191"/>
      <c r="O125" s="191"/>
      <c r="P125" s="191"/>
      <c r="Q125" s="191"/>
      <c r="R125" s="191"/>
      <c r="S125" s="191"/>
      <c r="T125" s="191"/>
      <c r="U125" s="191"/>
      <c r="V125" s="191"/>
      <c r="W125" s="191"/>
      <c r="X125" s="191"/>
      <c r="Y125" s="191"/>
      <c r="Z125" s="191"/>
      <c r="AA125" s="191"/>
      <c r="AB125" s="191"/>
      <c r="AC125" s="191"/>
      <c r="AD125" s="191"/>
      <c r="AE125" s="191"/>
      <c r="AF125" s="191"/>
      <c r="AG125" s="191"/>
      <c r="AH125" s="191"/>
      <c r="AI125" s="192"/>
      <c r="AJ125" s="188"/>
      <c r="AK125" s="38">
        <f t="shared" ref="AK125:AR125" si="223">AK6+AK16+AK26+AK36+AK46+AK56+AK66+AK76+AK86+AK96+AK106+AK116</f>
        <v>1972</v>
      </c>
      <c r="AL125" s="38" t="e">
        <f t="shared" ca="1" si="223"/>
        <v>#N/A</v>
      </c>
      <c r="AM125" s="38" t="e">
        <f t="shared" ca="1" si="223"/>
        <v>#N/A</v>
      </c>
      <c r="AN125" s="38" t="e">
        <f t="shared" ca="1" si="223"/>
        <v>#N/A</v>
      </c>
      <c r="AO125" s="38">
        <f t="shared" si="223"/>
        <v>60</v>
      </c>
      <c r="AP125" s="38" t="e">
        <f ca="1">AP116</f>
        <v>#N/A</v>
      </c>
      <c r="AQ125" s="38">
        <f t="shared" si="223"/>
        <v>30</v>
      </c>
      <c r="AR125" s="39">
        <f t="shared" si="223"/>
        <v>12</v>
      </c>
    </row>
    <row r="126" spans="2:119" ht="24.95" customHeight="1" thickBot="1" x14ac:dyDescent="0.3">
      <c r="B126" s="182"/>
      <c r="C126" s="190">
        <v>3</v>
      </c>
      <c r="D126" s="191"/>
      <c r="E126" s="191"/>
      <c r="F126" s="191"/>
      <c r="G126" s="191"/>
      <c r="H126" s="191"/>
      <c r="I126" s="191"/>
      <c r="J126" s="191"/>
      <c r="K126" s="191"/>
      <c r="L126" s="191"/>
      <c r="M126" s="191"/>
      <c r="N126" s="191"/>
      <c r="O126" s="191"/>
      <c r="P126" s="191"/>
      <c r="Q126" s="191"/>
      <c r="R126" s="191"/>
      <c r="S126" s="191"/>
      <c r="T126" s="191"/>
      <c r="U126" s="191"/>
      <c r="V126" s="191"/>
      <c r="W126" s="191"/>
      <c r="X126" s="191"/>
      <c r="Y126" s="191"/>
      <c r="Z126" s="191"/>
      <c r="AA126" s="191"/>
      <c r="AB126" s="191"/>
      <c r="AC126" s="191"/>
      <c r="AD126" s="191"/>
      <c r="AE126" s="191"/>
      <c r="AF126" s="191"/>
      <c r="AG126" s="191"/>
      <c r="AH126" s="191"/>
      <c r="AI126" s="192"/>
      <c r="AJ126" s="188"/>
      <c r="AK126" s="38">
        <f t="shared" ref="AK126:AR126" si="224">AK8+AK18+AK28+AK38+AK48+AK58+AK68+AK78+AK88+AK98+AK108+AK118</f>
        <v>1972</v>
      </c>
      <c r="AL126" s="38" t="e">
        <f t="shared" ca="1" si="224"/>
        <v>#N/A</v>
      </c>
      <c r="AM126" s="38" t="e">
        <f t="shared" ca="1" si="224"/>
        <v>#N/A</v>
      </c>
      <c r="AN126" s="38" t="e">
        <f t="shared" ca="1" si="224"/>
        <v>#N/A</v>
      </c>
      <c r="AO126" s="38">
        <f t="shared" si="224"/>
        <v>42</v>
      </c>
      <c r="AP126" s="38" t="e">
        <f ca="1">AP118</f>
        <v>#N/A</v>
      </c>
      <c r="AQ126" s="38">
        <f t="shared" si="224"/>
        <v>30</v>
      </c>
      <c r="AR126" s="39">
        <f t="shared" si="224"/>
        <v>11</v>
      </c>
    </row>
    <row r="127" spans="2:119" ht="24.95" customHeight="1" thickBot="1" x14ac:dyDescent="0.3">
      <c r="B127" s="182"/>
      <c r="C127" s="190">
        <v>4</v>
      </c>
      <c r="D127" s="191"/>
      <c r="E127" s="191"/>
      <c r="F127" s="191"/>
      <c r="G127" s="191"/>
      <c r="H127" s="191"/>
      <c r="I127" s="191"/>
      <c r="J127" s="191"/>
      <c r="K127" s="191"/>
      <c r="L127" s="191"/>
      <c r="M127" s="191"/>
      <c r="N127" s="191"/>
      <c r="O127" s="191"/>
      <c r="P127" s="191"/>
      <c r="Q127" s="191"/>
      <c r="R127" s="191"/>
      <c r="S127" s="191"/>
      <c r="T127" s="191"/>
      <c r="U127" s="191"/>
      <c r="V127" s="191"/>
      <c r="W127" s="191"/>
      <c r="X127" s="191"/>
      <c r="Y127" s="191"/>
      <c r="Z127" s="191"/>
      <c r="AA127" s="191"/>
      <c r="AB127" s="191"/>
      <c r="AC127" s="191"/>
      <c r="AD127" s="191"/>
      <c r="AE127" s="191"/>
      <c r="AF127" s="191"/>
      <c r="AG127" s="191"/>
      <c r="AH127" s="191"/>
      <c r="AI127" s="192"/>
      <c r="AJ127" s="188"/>
      <c r="AK127" s="38">
        <f t="shared" ref="AK127:AR127" si="225">AK10+AK20+AK30+AK40+AK50+AK60+AK70+AK80+AK90+AK100+AK110+AK120</f>
        <v>1972</v>
      </c>
      <c r="AL127" s="38" t="e">
        <f t="shared" ca="1" si="225"/>
        <v>#N/A</v>
      </c>
      <c r="AM127" s="38" t="e">
        <f t="shared" ca="1" si="225"/>
        <v>#N/A</v>
      </c>
      <c r="AN127" s="38" t="e">
        <f t="shared" ca="1" si="225"/>
        <v>#N/A</v>
      </c>
      <c r="AO127" s="38">
        <f t="shared" si="225"/>
        <v>0</v>
      </c>
      <c r="AP127" s="38" t="e">
        <f ca="1">AP120</f>
        <v>#N/A</v>
      </c>
      <c r="AQ127" s="38">
        <f t="shared" si="225"/>
        <v>30</v>
      </c>
      <c r="AR127" s="39">
        <f t="shared" si="225"/>
        <v>11</v>
      </c>
    </row>
    <row r="128" spans="2:119" ht="24.95" customHeight="1" thickBot="1" x14ac:dyDescent="0.3">
      <c r="B128" s="183"/>
      <c r="C128" s="193">
        <v>5</v>
      </c>
      <c r="D128" s="194"/>
      <c r="E128" s="194"/>
      <c r="F128" s="194"/>
      <c r="G128" s="194"/>
      <c r="H128" s="194"/>
      <c r="I128" s="194"/>
      <c r="J128" s="194"/>
      <c r="K128" s="194"/>
      <c r="L128" s="194"/>
      <c r="M128" s="194"/>
      <c r="N128" s="194"/>
      <c r="O128" s="194"/>
      <c r="P128" s="194"/>
      <c r="Q128" s="194"/>
      <c r="R128" s="194"/>
      <c r="S128" s="194"/>
      <c r="T128" s="194"/>
      <c r="U128" s="194"/>
      <c r="V128" s="194"/>
      <c r="W128" s="194"/>
      <c r="X128" s="194"/>
      <c r="Y128" s="194"/>
      <c r="Z128" s="194"/>
      <c r="AA128" s="194"/>
      <c r="AB128" s="194"/>
      <c r="AC128" s="194"/>
      <c r="AD128" s="194"/>
      <c r="AE128" s="194"/>
      <c r="AF128" s="194"/>
      <c r="AG128" s="194"/>
      <c r="AH128" s="194"/>
      <c r="AI128" s="195"/>
      <c r="AJ128" s="189"/>
      <c r="AK128" s="40">
        <f t="shared" ref="AK128:AR128" si="226">AK12+AK22+AK32+AK42+AK52+AK62+AK72+AK82+AK92+AK102+AK112+AK122</f>
        <v>1972</v>
      </c>
      <c r="AL128" s="40">
        <f t="shared" si="226"/>
        <v>0</v>
      </c>
      <c r="AM128" s="40">
        <f t="shared" si="226"/>
        <v>0</v>
      </c>
      <c r="AN128" s="40">
        <f t="shared" si="226"/>
        <v>-1972</v>
      </c>
      <c r="AO128" s="40">
        <f t="shared" si="226"/>
        <v>72</v>
      </c>
      <c r="AP128" s="40">
        <f>AP122</f>
        <v>-2044</v>
      </c>
      <c r="AQ128" s="40">
        <f t="shared" si="226"/>
        <v>30</v>
      </c>
      <c r="AR128" s="41">
        <f t="shared" si="226"/>
        <v>11</v>
      </c>
    </row>
    <row r="129" spans="3:42" ht="15.75" thickTop="1" x14ac:dyDescent="0.25"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</row>
  </sheetData>
  <mergeCells count="584">
    <mergeCell ref="AM2:AM3"/>
    <mergeCell ref="AN2:AN3"/>
    <mergeCell ref="AO2:AO3"/>
    <mergeCell ref="AP2:AP3"/>
    <mergeCell ref="AQ2:AQ3"/>
    <mergeCell ref="AR2:AR3"/>
    <mergeCell ref="B2:B3"/>
    <mergeCell ref="C2:C3"/>
    <mergeCell ref="E2:AI2"/>
    <mergeCell ref="AJ2:AJ3"/>
    <mergeCell ref="AK2:AK3"/>
    <mergeCell ref="AL2:AL3"/>
    <mergeCell ref="AN4:AN5"/>
    <mergeCell ref="AO4:AO5"/>
    <mergeCell ref="AP4:AP5"/>
    <mergeCell ref="AQ4:AQ5"/>
    <mergeCell ref="AR4:AR5"/>
    <mergeCell ref="C6:C7"/>
    <mergeCell ref="AK6:AK7"/>
    <mergeCell ref="AL6:AL7"/>
    <mergeCell ref="AM6:AM7"/>
    <mergeCell ref="AN6:AN7"/>
    <mergeCell ref="C4:C5"/>
    <mergeCell ref="AJ4:AJ13"/>
    <mergeCell ref="AK4:AK5"/>
    <mergeCell ref="AL4:AL5"/>
    <mergeCell ref="AM4:AM5"/>
    <mergeCell ref="AO6:AO7"/>
    <mergeCell ref="AP6:AP7"/>
    <mergeCell ref="AQ6:AQ7"/>
    <mergeCell ref="AR6:AR7"/>
    <mergeCell ref="C8:C9"/>
    <mergeCell ref="AK8:AK9"/>
    <mergeCell ref="AL8:AL9"/>
    <mergeCell ref="AM8:AM9"/>
    <mergeCell ref="AN8:AN9"/>
    <mergeCell ref="AO8:AO9"/>
    <mergeCell ref="AP8:AP9"/>
    <mergeCell ref="AQ8:AQ9"/>
    <mergeCell ref="AR8:AR9"/>
    <mergeCell ref="C10:C11"/>
    <mergeCell ref="AK10:AK11"/>
    <mergeCell ref="AL10:AL11"/>
    <mergeCell ref="AM10:AM11"/>
    <mergeCell ref="AN10:AN11"/>
    <mergeCell ref="AO10:AO11"/>
    <mergeCell ref="AP10:AP11"/>
    <mergeCell ref="AQ10:AQ11"/>
    <mergeCell ref="AR10:AR11"/>
    <mergeCell ref="C12:C13"/>
    <mergeCell ref="AK12:AK13"/>
    <mergeCell ref="AL12:AL13"/>
    <mergeCell ref="AM12:AM13"/>
    <mergeCell ref="AN12:AN13"/>
    <mergeCell ref="AO12:AO13"/>
    <mergeCell ref="AP12:AP13"/>
    <mergeCell ref="AQ12:AQ13"/>
    <mergeCell ref="AR12:AR13"/>
    <mergeCell ref="B4:B13"/>
    <mergeCell ref="AQ14:AQ15"/>
    <mergeCell ref="AR14:AR15"/>
    <mergeCell ref="C16:C17"/>
    <mergeCell ref="AK16:AK17"/>
    <mergeCell ref="AL16:AL17"/>
    <mergeCell ref="AM16:AM17"/>
    <mergeCell ref="AN16:AN17"/>
    <mergeCell ref="AO16:AO17"/>
    <mergeCell ref="AP16:AP17"/>
    <mergeCell ref="AQ16:AQ17"/>
    <mergeCell ref="AR16:AR17"/>
    <mergeCell ref="B14:B23"/>
    <mergeCell ref="C14:C15"/>
    <mergeCell ref="AJ14:AJ23"/>
    <mergeCell ref="AK14:AK15"/>
    <mergeCell ref="AL14:AL15"/>
    <mergeCell ref="AM14:AM15"/>
    <mergeCell ref="AN14:AN15"/>
    <mergeCell ref="AO14:AO15"/>
    <mergeCell ref="AP14:AP15"/>
    <mergeCell ref="C18:C19"/>
    <mergeCell ref="AK18:AK19"/>
    <mergeCell ref="AL18:AL19"/>
    <mergeCell ref="AQ18:AQ19"/>
    <mergeCell ref="AR18:AR19"/>
    <mergeCell ref="AP20:AP21"/>
    <mergeCell ref="AQ20:AQ21"/>
    <mergeCell ref="AR20:AR21"/>
    <mergeCell ref="C22:C23"/>
    <mergeCell ref="AK22:AK23"/>
    <mergeCell ref="AL22:AL23"/>
    <mergeCell ref="AM22:AM23"/>
    <mergeCell ref="AN22:AN23"/>
    <mergeCell ref="AO22:AO23"/>
    <mergeCell ref="AP22:AP23"/>
    <mergeCell ref="C20:C21"/>
    <mergeCell ref="AK20:AK21"/>
    <mergeCell ref="AL20:AL21"/>
    <mergeCell ref="AM20:AM21"/>
    <mergeCell ref="AN20:AN21"/>
    <mergeCell ref="AO20:AO21"/>
    <mergeCell ref="AQ22:AQ23"/>
    <mergeCell ref="AR22:AR23"/>
    <mergeCell ref="AM18:AM19"/>
    <mergeCell ref="AN18:AN19"/>
    <mergeCell ref="AO18:AO19"/>
    <mergeCell ref="AP18:AP19"/>
    <mergeCell ref="B24:B33"/>
    <mergeCell ref="C24:C25"/>
    <mergeCell ref="AJ24:AJ33"/>
    <mergeCell ref="AK24:AK25"/>
    <mergeCell ref="AL24:AL25"/>
    <mergeCell ref="AM24:AM25"/>
    <mergeCell ref="AN24:AN25"/>
    <mergeCell ref="AO24:AO25"/>
    <mergeCell ref="AP24:AP25"/>
    <mergeCell ref="C28:C29"/>
    <mergeCell ref="AK28:AK29"/>
    <mergeCell ref="AL28:AL29"/>
    <mergeCell ref="AM28:AM29"/>
    <mergeCell ref="AN28:AN29"/>
    <mergeCell ref="AO28:AO29"/>
    <mergeCell ref="AP28:AP29"/>
    <mergeCell ref="AP32:AP33"/>
    <mergeCell ref="AQ24:AQ25"/>
    <mergeCell ref="AR24:AR25"/>
    <mergeCell ref="C26:C27"/>
    <mergeCell ref="AK26:AK27"/>
    <mergeCell ref="AL26:AL27"/>
    <mergeCell ref="AM26:AM27"/>
    <mergeCell ref="AN26:AN27"/>
    <mergeCell ref="AO26:AO27"/>
    <mergeCell ref="AP26:AP27"/>
    <mergeCell ref="AQ26:AQ27"/>
    <mergeCell ref="AR26:AR27"/>
    <mergeCell ref="AQ28:AQ29"/>
    <mergeCell ref="AR28:AR29"/>
    <mergeCell ref="C30:C31"/>
    <mergeCell ref="AK30:AK31"/>
    <mergeCell ref="AL30:AL31"/>
    <mergeCell ref="AM30:AM31"/>
    <mergeCell ref="AN30:AN31"/>
    <mergeCell ref="AO30:AO31"/>
    <mergeCell ref="AP30:AP31"/>
    <mergeCell ref="AQ30:AQ31"/>
    <mergeCell ref="AR30:AR31"/>
    <mergeCell ref="AQ32:AQ33"/>
    <mergeCell ref="AR32:AR33"/>
    <mergeCell ref="B34:B43"/>
    <mergeCell ref="C34:C35"/>
    <mergeCell ref="AJ34:AJ43"/>
    <mergeCell ref="AK34:AK35"/>
    <mergeCell ref="AL34:AL35"/>
    <mergeCell ref="AM34:AM35"/>
    <mergeCell ref="AN34:AN35"/>
    <mergeCell ref="C32:C33"/>
    <mergeCell ref="AK32:AK33"/>
    <mergeCell ref="AL32:AL33"/>
    <mergeCell ref="AM32:AM33"/>
    <mergeCell ref="AN32:AN33"/>
    <mergeCell ref="AO32:AO33"/>
    <mergeCell ref="AO34:AO35"/>
    <mergeCell ref="AP34:AP35"/>
    <mergeCell ref="AQ34:AQ35"/>
    <mergeCell ref="AR34:AR35"/>
    <mergeCell ref="C36:C37"/>
    <mergeCell ref="AK36:AK37"/>
    <mergeCell ref="AL36:AL37"/>
    <mergeCell ref="AM36:AM37"/>
    <mergeCell ref="AN36:AN37"/>
    <mergeCell ref="AO36:AO37"/>
    <mergeCell ref="AP36:AP37"/>
    <mergeCell ref="AQ36:AQ37"/>
    <mergeCell ref="AR36:AR37"/>
    <mergeCell ref="C38:C39"/>
    <mergeCell ref="AK38:AK39"/>
    <mergeCell ref="AL38:AL39"/>
    <mergeCell ref="AM38:AM39"/>
    <mergeCell ref="AN38:AN39"/>
    <mergeCell ref="AO38:AO39"/>
    <mergeCell ref="AP38:AP39"/>
    <mergeCell ref="AQ38:AQ39"/>
    <mergeCell ref="AR38:AR39"/>
    <mergeCell ref="C40:C41"/>
    <mergeCell ref="AK40:AK41"/>
    <mergeCell ref="AL40:AL41"/>
    <mergeCell ref="AM40:AM41"/>
    <mergeCell ref="AN40:AN41"/>
    <mergeCell ref="AO40:AO41"/>
    <mergeCell ref="AP40:AP41"/>
    <mergeCell ref="AQ40:AQ41"/>
    <mergeCell ref="AR40:AR41"/>
    <mergeCell ref="C42:C43"/>
    <mergeCell ref="AK42:AK43"/>
    <mergeCell ref="AL42:AL43"/>
    <mergeCell ref="AM42:AM43"/>
    <mergeCell ref="AN42:AN43"/>
    <mergeCell ref="AO42:AO43"/>
    <mergeCell ref="AP42:AP43"/>
    <mergeCell ref="AQ42:AQ43"/>
    <mergeCell ref="AR42:AR43"/>
    <mergeCell ref="AN44:AN45"/>
    <mergeCell ref="AO44:AO45"/>
    <mergeCell ref="AP44:AP45"/>
    <mergeCell ref="AQ44:AQ45"/>
    <mergeCell ref="AR44:AR45"/>
    <mergeCell ref="C46:C47"/>
    <mergeCell ref="AK46:AK47"/>
    <mergeCell ref="AL46:AL47"/>
    <mergeCell ref="AM46:AM47"/>
    <mergeCell ref="AN46:AN47"/>
    <mergeCell ref="C44:C45"/>
    <mergeCell ref="AJ44:AJ53"/>
    <mergeCell ref="AK44:AK45"/>
    <mergeCell ref="AL44:AL45"/>
    <mergeCell ref="AM44:AM45"/>
    <mergeCell ref="AO46:AO47"/>
    <mergeCell ref="AP46:AP47"/>
    <mergeCell ref="AQ46:AQ47"/>
    <mergeCell ref="AR46:AR47"/>
    <mergeCell ref="C48:C49"/>
    <mergeCell ref="AK48:AK49"/>
    <mergeCell ref="AL48:AL49"/>
    <mergeCell ref="AM48:AM49"/>
    <mergeCell ref="AN48:AN49"/>
    <mergeCell ref="AO48:AO49"/>
    <mergeCell ref="AP48:AP49"/>
    <mergeCell ref="AQ48:AQ49"/>
    <mergeCell ref="AR48:AR49"/>
    <mergeCell ref="C50:C51"/>
    <mergeCell ref="AK50:AK51"/>
    <mergeCell ref="AL50:AL51"/>
    <mergeCell ref="AM50:AM51"/>
    <mergeCell ref="AN50:AN51"/>
    <mergeCell ref="AO50:AO51"/>
    <mergeCell ref="AP50:AP51"/>
    <mergeCell ref="AQ50:AQ51"/>
    <mergeCell ref="AR50:AR51"/>
    <mergeCell ref="C52:C53"/>
    <mergeCell ref="AK52:AK53"/>
    <mergeCell ref="AL52:AL53"/>
    <mergeCell ref="AM52:AM53"/>
    <mergeCell ref="AN52:AN53"/>
    <mergeCell ref="AO52:AO53"/>
    <mergeCell ref="AP52:AP53"/>
    <mergeCell ref="AQ52:AQ53"/>
    <mergeCell ref="AR52:AR53"/>
    <mergeCell ref="B44:B53"/>
    <mergeCell ref="AQ54:AQ55"/>
    <mergeCell ref="AR54:AR55"/>
    <mergeCell ref="C56:C57"/>
    <mergeCell ref="AK56:AK57"/>
    <mergeCell ref="AL56:AL57"/>
    <mergeCell ref="AM56:AM57"/>
    <mergeCell ref="AN56:AN57"/>
    <mergeCell ref="AO56:AO57"/>
    <mergeCell ref="AP56:AP57"/>
    <mergeCell ref="AQ56:AQ57"/>
    <mergeCell ref="AR56:AR57"/>
    <mergeCell ref="B54:B63"/>
    <mergeCell ref="C54:C55"/>
    <mergeCell ref="AJ54:AJ63"/>
    <mergeCell ref="AK54:AK55"/>
    <mergeCell ref="AL54:AL55"/>
    <mergeCell ref="AM54:AM55"/>
    <mergeCell ref="AN54:AN55"/>
    <mergeCell ref="AO54:AO55"/>
    <mergeCell ref="AP54:AP55"/>
    <mergeCell ref="C58:C59"/>
    <mergeCell ref="AK58:AK59"/>
    <mergeCell ref="AL58:AL59"/>
    <mergeCell ref="AQ58:AQ59"/>
    <mergeCell ref="AR58:AR59"/>
    <mergeCell ref="AP60:AP61"/>
    <mergeCell ref="AQ60:AQ61"/>
    <mergeCell ref="AR60:AR61"/>
    <mergeCell ref="C62:C63"/>
    <mergeCell ref="AK62:AK63"/>
    <mergeCell ref="AL62:AL63"/>
    <mergeCell ref="AM62:AM63"/>
    <mergeCell ref="AN62:AN63"/>
    <mergeCell ref="AO62:AO63"/>
    <mergeCell ref="AP62:AP63"/>
    <mergeCell ref="C60:C61"/>
    <mergeCell ref="AK60:AK61"/>
    <mergeCell ref="AL60:AL61"/>
    <mergeCell ref="AM60:AM61"/>
    <mergeCell ref="AN60:AN61"/>
    <mergeCell ref="AO60:AO61"/>
    <mergeCell ref="AQ62:AQ63"/>
    <mergeCell ref="AR62:AR63"/>
    <mergeCell ref="AM58:AM59"/>
    <mergeCell ref="AN58:AN59"/>
    <mergeCell ref="AO58:AO59"/>
    <mergeCell ref="AP58:AP59"/>
    <mergeCell ref="B64:B73"/>
    <mergeCell ref="C64:C65"/>
    <mergeCell ref="AJ64:AJ73"/>
    <mergeCell ref="AK64:AK65"/>
    <mergeCell ref="AL64:AL65"/>
    <mergeCell ref="AM64:AM65"/>
    <mergeCell ref="AN64:AN65"/>
    <mergeCell ref="AO64:AO65"/>
    <mergeCell ref="AP64:AP65"/>
    <mergeCell ref="C68:C69"/>
    <mergeCell ref="AK68:AK69"/>
    <mergeCell ref="AL68:AL69"/>
    <mergeCell ref="AM68:AM69"/>
    <mergeCell ref="AN68:AN69"/>
    <mergeCell ref="AO68:AO69"/>
    <mergeCell ref="AP68:AP69"/>
    <mergeCell ref="AP72:AP73"/>
    <mergeCell ref="AQ64:AQ65"/>
    <mergeCell ref="AR64:AR65"/>
    <mergeCell ref="C66:C67"/>
    <mergeCell ref="AK66:AK67"/>
    <mergeCell ref="AL66:AL67"/>
    <mergeCell ref="AM66:AM67"/>
    <mergeCell ref="AN66:AN67"/>
    <mergeCell ref="AO66:AO67"/>
    <mergeCell ref="AP66:AP67"/>
    <mergeCell ref="AQ66:AQ67"/>
    <mergeCell ref="AR66:AR67"/>
    <mergeCell ref="AQ68:AQ69"/>
    <mergeCell ref="AR68:AR69"/>
    <mergeCell ref="C70:C71"/>
    <mergeCell ref="AK70:AK71"/>
    <mergeCell ref="AL70:AL71"/>
    <mergeCell ref="AM70:AM71"/>
    <mergeCell ref="AN70:AN71"/>
    <mergeCell ref="AO70:AO71"/>
    <mergeCell ref="AP70:AP71"/>
    <mergeCell ref="AQ70:AQ71"/>
    <mergeCell ref="AR70:AR71"/>
    <mergeCell ref="AQ72:AQ73"/>
    <mergeCell ref="AR72:AR73"/>
    <mergeCell ref="B74:B83"/>
    <mergeCell ref="C74:C75"/>
    <mergeCell ref="AJ74:AJ83"/>
    <mergeCell ref="AK74:AK75"/>
    <mergeCell ref="AL74:AL75"/>
    <mergeCell ref="AM74:AM75"/>
    <mergeCell ref="AN74:AN75"/>
    <mergeCell ref="C72:C73"/>
    <mergeCell ref="AK72:AK73"/>
    <mergeCell ref="AL72:AL73"/>
    <mergeCell ref="AM72:AM73"/>
    <mergeCell ref="AN72:AN73"/>
    <mergeCell ref="AO72:AO73"/>
    <mergeCell ref="AO74:AO75"/>
    <mergeCell ref="AP74:AP75"/>
    <mergeCell ref="AQ74:AQ75"/>
    <mergeCell ref="AR74:AR75"/>
    <mergeCell ref="C76:C77"/>
    <mergeCell ref="AK76:AK77"/>
    <mergeCell ref="AL76:AL77"/>
    <mergeCell ref="AM76:AM77"/>
    <mergeCell ref="AN76:AN77"/>
    <mergeCell ref="AO76:AO77"/>
    <mergeCell ref="AP76:AP77"/>
    <mergeCell ref="AQ76:AQ77"/>
    <mergeCell ref="AR76:AR77"/>
    <mergeCell ref="C78:C79"/>
    <mergeCell ref="AK78:AK79"/>
    <mergeCell ref="AL78:AL79"/>
    <mergeCell ref="AM78:AM79"/>
    <mergeCell ref="AN78:AN79"/>
    <mergeCell ref="AO78:AO79"/>
    <mergeCell ref="AP78:AP79"/>
    <mergeCell ref="AQ78:AQ79"/>
    <mergeCell ref="AR78:AR79"/>
    <mergeCell ref="C80:C81"/>
    <mergeCell ref="AK80:AK81"/>
    <mergeCell ref="AL80:AL81"/>
    <mergeCell ref="AM80:AM81"/>
    <mergeCell ref="AN80:AN81"/>
    <mergeCell ref="AO80:AO81"/>
    <mergeCell ref="AP80:AP81"/>
    <mergeCell ref="AQ80:AQ81"/>
    <mergeCell ref="AR80:AR81"/>
    <mergeCell ref="C82:C83"/>
    <mergeCell ref="AK82:AK83"/>
    <mergeCell ref="AL82:AL83"/>
    <mergeCell ref="AM82:AM83"/>
    <mergeCell ref="AN82:AN83"/>
    <mergeCell ref="AO82:AO83"/>
    <mergeCell ref="AP82:AP83"/>
    <mergeCell ref="AQ82:AQ83"/>
    <mergeCell ref="AR82:AR83"/>
    <mergeCell ref="AN84:AN85"/>
    <mergeCell ref="AO84:AO85"/>
    <mergeCell ref="AP84:AP85"/>
    <mergeCell ref="AQ84:AQ85"/>
    <mergeCell ref="AR84:AR85"/>
    <mergeCell ref="C86:C87"/>
    <mergeCell ref="AK86:AK87"/>
    <mergeCell ref="AL86:AL87"/>
    <mergeCell ref="AM86:AM87"/>
    <mergeCell ref="AN86:AN87"/>
    <mergeCell ref="C84:C85"/>
    <mergeCell ref="AJ84:AJ93"/>
    <mergeCell ref="AK84:AK85"/>
    <mergeCell ref="AL84:AL85"/>
    <mergeCell ref="AM84:AM85"/>
    <mergeCell ref="AO86:AO87"/>
    <mergeCell ref="AP86:AP87"/>
    <mergeCell ref="AQ86:AQ87"/>
    <mergeCell ref="AR86:AR87"/>
    <mergeCell ref="C88:C89"/>
    <mergeCell ref="AK88:AK89"/>
    <mergeCell ref="AL88:AL89"/>
    <mergeCell ref="AM88:AM89"/>
    <mergeCell ref="AN88:AN89"/>
    <mergeCell ref="AR92:AR93"/>
    <mergeCell ref="AO88:AO89"/>
    <mergeCell ref="AP88:AP89"/>
    <mergeCell ref="AQ88:AQ89"/>
    <mergeCell ref="AR88:AR89"/>
    <mergeCell ref="C90:C91"/>
    <mergeCell ref="AK90:AK91"/>
    <mergeCell ref="AL90:AL91"/>
    <mergeCell ref="AM90:AM91"/>
    <mergeCell ref="AN90:AN91"/>
    <mergeCell ref="AO90:AO91"/>
    <mergeCell ref="AP90:AP91"/>
    <mergeCell ref="AQ90:AQ91"/>
    <mergeCell ref="AR90:AR91"/>
    <mergeCell ref="C92:C93"/>
    <mergeCell ref="AK92:AK93"/>
    <mergeCell ref="AL92:AL93"/>
    <mergeCell ref="AM92:AM93"/>
    <mergeCell ref="AN92:AN93"/>
    <mergeCell ref="AO92:AO93"/>
    <mergeCell ref="AP92:AP93"/>
    <mergeCell ref="AQ92:AQ93"/>
    <mergeCell ref="AP98:AP99"/>
    <mergeCell ref="B84:B93"/>
    <mergeCell ref="AQ94:AQ95"/>
    <mergeCell ref="AR94:AR95"/>
    <mergeCell ref="C96:C97"/>
    <mergeCell ref="AK96:AK97"/>
    <mergeCell ref="AL96:AL97"/>
    <mergeCell ref="AM96:AM97"/>
    <mergeCell ref="AN96:AN97"/>
    <mergeCell ref="AO96:AO97"/>
    <mergeCell ref="AP96:AP97"/>
    <mergeCell ref="AQ96:AQ97"/>
    <mergeCell ref="AR96:AR97"/>
    <mergeCell ref="B94:B103"/>
    <mergeCell ref="C94:C95"/>
    <mergeCell ref="AJ94:AJ103"/>
    <mergeCell ref="AK94:AK95"/>
    <mergeCell ref="AL94:AL95"/>
    <mergeCell ref="AM94:AM95"/>
    <mergeCell ref="AN94:AN95"/>
    <mergeCell ref="AO94:AO95"/>
    <mergeCell ref="AP94:AP95"/>
    <mergeCell ref="C98:C99"/>
    <mergeCell ref="AK98:AK99"/>
    <mergeCell ref="AL98:AL99"/>
    <mergeCell ref="AQ98:AQ99"/>
    <mergeCell ref="AR98:AR99"/>
    <mergeCell ref="AP100:AP101"/>
    <mergeCell ref="AQ100:AQ101"/>
    <mergeCell ref="AR100:AR101"/>
    <mergeCell ref="C102:C103"/>
    <mergeCell ref="AK102:AK103"/>
    <mergeCell ref="AL102:AL103"/>
    <mergeCell ref="AM102:AM103"/>
    <mergeCell ref="AN102:AN103"/>
    <mergeCell ref="AO102:AO103"/>
    <mergeCell ref="AP102:AP103"/>
    <mergeCell ref="C100:C101"/>
    <mergeCell ref="AK100:AK101"/>
    <mergeCell ref="AL100:AL101"/>
    <mergeCell ref="AM100:AM101"/>
    <mergeCell ref="AN100:AN101"/>
    <mergeCell ref="AO100:AO101"/>
    <mergeCell ref="AQ102:AQ103"/>
    <mergeCell ref="AR102:AR103"/>
    <mergeCell ref="AM98:AM99"/>
    <mergeCell ref="AN98:AN99"/>
    <mergeCell ref="AO98:AO99"/>
    <mergeCell ref="AR106:AR107"/>
    <mergeCell ref="C104:C105"/>
    <mergeCell ref="AJ104:AJ113"/>
    <mergeCell ref="AK104:AK105"/>
    <mergeCell ref="AL104:AL105"/>
    <mergeCell ref="AM104:AM105"/>
    <mergeCell ref="AN104:AN105"/>
    <mergeCell ref="AO104:AO105"/>
    <mergeCell ref="AP104:AP105"/>
    <mergeCell ref="C108:C109"/>
    <mergeCell ref="AK108:AK109"/>
    <mergeCell ref="AL108:AL109"/>
    <mergeCell ref="AM108:AM109"/>
    <mergeCell ref="AN108:AN109"/>
    <mergeCell ref="B104:B113"/>
    <mergeCell ref="AQ108:AQ109"/>
    <mergeCell ref="AR108:AR109"/>
    <mergeCell ref="C110:C111"/>
    <mergeCell ref="AK110:AK111"/>
    <mergeCell ref="AL110:AL111"/>
    <mergeCell ref="AM110:AM111"/>
    <mergeCell ref="AN110:AN111"/>
    <mergeCell ref="AO110:AO111"/>
    <mergeCell ref="AP110:AP111"/>
    <mergeCell ref="AQ110:AQ111"/>
    <mergeCell ref="AR110:AR111"/>
    <mergeCell ref="AO108:AO109"/>
    <mergeCell ref="AP108:AP109"/>
    <mergeCell ref="AQ104:AQ105"/>
    <mergeCell ref="AR104:AR105"/>
    <mergeCell ref="C106:C107"/>
    <mergeCell ref="AK106:AK107"/>
    <mergeCell ref="AL106:AL107"/>
    <mergeCell ref="AM106:AM107"/>
    <mergeCell ref="AN106:AN107"/>
    <mergeCell ref="AO106:AO107"/>
    <mergeCell ref="AP106:AP107"/>
    <mergeCell ref="AQ106:AQ107"/>
    <mergeCell ref="AP112:AP113"/>
    <mergeCell ref="AR112:AR113"/>
    <mergeCell ref="B114:B123"/>
    <mergeCell ref="C114:C115"/>
    <mergeCell ref="AJ114:AJ123"/>
    <mergeCell ref="AK114:AK115"/>
    <mergeCell ref="AL114:AL115"/>
    <mergeCell ref="AM114:AM115"/>
    <mergeCell ref="AN114:AN115"/>
    <mergeCell ref="C112:C113"/>
    <mergeCell ref="AK112:AK113"/>
    <mergeCell ref="AL112:AL113"/>
    <mergeCell ref="AM112:AM113"/>
    <mergeCell ref="AN112:AN113"/>
    <mergeCell ref="AO112:AO113"/>
    <mergeCell ref="AO114:AO115"/>
    <mergeCell ref="AP114:AP115"/>
    <mergeCell ref="AQ114:AQ115"/>
    <mergeCell ref="AR114:AR115"/>
    <mergeCell ref="C116:C117"/>
    <mergeCell ref="AK116:AK117"/>
    <mergeCell ref="AL116:AL117"/>
    <mergeCell ref="AM116:AM117"/>
    <mergeCell ref="AN116:AN117"/>
    <mergeCell ref="B124:B128"/>
    <mergeCell ref="C124:AI124"/>
    <mergeCell ref="AJ124:AJ128"/>
    <mergeCell ref="C125:AI125"/>
    <mergeCell ref="C126:AI126"/>
    <mergeCell ref="C127:AI127"/>
    <mergeCell ref="C128:AI128"/>
    <mergeCell ref="AO116:AO117"/>
    <mergeCell ref="AP116:AP117"/>
    <mergeCell ref="C118:C119"/>
    <mergeCell ref="AK118:AK119"/>
    <mergeCell ref="AL118:AL119"/>
    <mergeCell ref="AM118:AM119"/>
    <mergeCell ref="AN118:AN119"/>
    <mergeCell ref="AO118:AO119"/>
    <mergeCell ref="AP118:AP119"/>
    <mergeCell ref="CK2:DO2"/>
    <mergeCell ref="AR120:AR121"/>
    <mergeCell ref="C122:C123"/>
    <mergeCell ref="AK122:AK123"/>
    <mergeCell ref="AL122:AL123"/>
    <mergeCell ref="AM122:AM123"/>
    <mergeCell ref="AN122:AN123"/>
    <mergeCell ref="AO122:AO123"/>
    <mergeCell ref="AP122:AP123"/>
    <mergeCell ref="AQ122:AQ123"/>
    <mergeCell ref="AR122:AR123"/>
    <mergeCell ref="C120:C121"/>
    <mergeCell ref="AK120:AK121"/>
    <mergeCell ref="AL120:AL121"/>
    <mergeCell ref="AM120:AM121"/>
    <mergeCell ref="AN120:AN121"/>
    <mergeCell ref="AO120:AO121"/>
    <mergeCell ref="AP120:AP121"/>
    <mergeCell ref="AQ120:AQ121"/>
    <mergeCell ref="AQ116:AQ117"/>
    <mergeCell ref="AR116:AR117"/>
    <mergeCell ref="AQ118:AQ119"/>
    <mergeCell ref="AR118:AR119"/>
    <mergeCell ref="AQ112:AQ113"/>
  </mergeCells>
  <conditionalFormatting sqref="E4:AI13 E24:AI33 E14:AF23 E44:AI123 E34:AH43">
    <cfRule type="cellIs" dxfId="35" priority="7" operator="equal">
      <formula>"ОТ"</formula>
    </cfRule>
    <cfRule type="cellIs" dxfId="34" priority="8" operator="equal">
      <formula>"СП"</formula>
    </cfRule>
  </conditionalFormatting>
  <conditionalFormatting sqref="E4:AI13 E24:AI33 E14:AF23 AH14:AI23 E44:AI123 E34:AH43">
    <cfRule type="cellIs" dxfId="33" priority="3" operator="equal">
      <formula>0</formula>
    </cfRule>
  </conditionalFormatting>
  <conditionalFormatting sqref="AG14:AG23">
    <cfRule type="cellIs" dxfId="32" priority="2" operator="equal">
      <formula>0</formula>
    </cfRule>
  </conditionalFormatting>
  <conditionalFormatting sqref="AI34:AI43">
    <cfRule type="cellIs" dxfId="31" priority="1" operator="equal">
      <formula>0</formula>
    </cfRule>
  </conditionalFormatting>
  <pageMargins left="0.7" right="0.7" top="0.75" bottom="0.75" header="0.3" footer="0.3"/>
  <pageSetup paperSize="9" scale="2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63" id="{00000000-000E-0000-0700-000040000000}">
            <xm:f>OR(WEEKDAY(DATE($AV$1,MONTH($B$64),E$3),2)&gt;5,ISNUMBER(MATCH(DATE($AV$1,MONTH($B$64),E$3),Подключения!$A$2:$A$1039,0)))</xm:f>
            <x14:dxf>
              <fill>
                <patternFill>
                  <bgColor theme="4" tint="0.59996337778862885"/>
                </patternFill>
              </fill>
            </x14:dxf>
          </x14:cfRule>
          <xm:sqref>E64:AI73</xm:sqref>
        </x14:conditionalFormatting>
        <x14:conditionalFormatting xmlns:xm="http://schemas.microsoft.com/office/excel/2006/main">
          <x14:cfRule type="expression" priority="264" id="{00000000-000E-0000-0700-00003F000000}">
            <xm:f>OR(WEEKDAY(DATE($AV$1,MONTH($B$74),E$3),2)&gt;5,ISNUMBER(MATCH(DATE($AV$1,MONTH($B$74),E$3),Подключения!$A$2:$A$1039,0)))</xm:f>
            <x14:dxf>
              <fill>
                <patternFill>
                  <bgColor theme="4" tint="0.59996337778862885"/>
                </patternFill>
              </fill>
            </x14:dxf>
          </x14:cfRule>
          <xm:sqref>E74:AI83</xm:sqref>
        </x14:conditionalFormatting>
        <x14:conditionalFormatting xmlns:xm="http://schemas.microsoft.com/office/excel/2006/main">
          <x14:cfRule type="expression" priority="265" id="{00000000-000E-0000-0700-00003E000000}">
            <xm:f>OR(WEEKDAY(DATE($AV$1,MONTH($B$84),E$3),2)&gt;5,ISNUMBER(MATCH(DATE($AV$1,MONTH($B$84),E$3),Подключения!$A$2:$A$1039,0)))</xm:f>
            <x14:dxf>
              <fill>
                <patternFill>
                  <bgColor theme="4" tint="0.59996337778862885"/>
                </patternFill>
              </fill>
            </x14:dxf>
          </x14:cfRule>
          <xm:sqref>E84:AI93</xm:sqref>
        </x14:conditionalFormatting>
        <x14:conditionalFormatting xmlns:xm="http://schemas.microsoft.com/office/excel/2006/main">
          <x14:cfRule type="expression" priority="266" id="{00000000-000E-0000-0700-00003D000000}">
            <xm:f>OR(WEEKDAY(DATE($AV$1,MONTH($B$94),E$3),2)&gt;5,ISNUMBER(MATCH(DATE($AV$1,MONTH($B$94),E$3),Подключения!$A$2:$A$1039,0)))</xm:f>
            <x14:dxf>
              <fill>
                <patternFill>
                  <bgColor theme="4" tint="0.59996337778862885"/>
                </patternFill>
              </fill>
            </x14:dxf>
          </x14:cfRule>
          <xm:sqref>E94:AI103</xm:sqref>
        </x14:conditionalFormatting>
        <x14:conditionalFormatting xmlns:xm="http://schemas.microsoft.com/office/excel/2006/main">
          <x14:cfRule type="expression" priority="267" id="{00000000-000E-0000-0700-00003C000000}">
            <xm:f>OR(WEEKDAY(DATE($AV$1,MONTH($B$104),E$3),2)&gt;5,ISNUMBER(MATCH(DATE($AV$1,MONTH($B$104),E$3),Подключения!$A$2:$A$1039,0)))</xm:f>
            <x14:dxf>
              <fill>
                <patternFill>
                  <bgColor theme="4" tint="0.59996337778862885"/>
                </patternFill>
              </fill>
            </x14:dxf>
          </x14:cfRule>
          <xm:sqref>E104:AH113</xm:sqref>
        </x14:conditionalFormatting>
        <x14:conditionalFormatting xmlns:xm="http://schemas.microsoft.com/office/excel/2006/main">
          <x14:cfRule type="expression" priority="268" id="{00000000-000E-0000-0700-00003B000000}">
            <xm:f>OR(WEEKDAY(DATE($AV$1,MONTH($B$114),E$3),2)&gt;5,ISNUMBER(MATCH(DATE($AV$1,MONTH($B$114),E$3),Подключения!$A$2:$A$1039,0)))</xm:f>
            <x14:dxf>
              <fill>
                <patternFill>
                  <bgColor theme="4" tint="0.59996337778862885"/>
                </patternFill>
              </fill>
            </x14:dxf>
          </x14:cfRule>
          <xm:sqref>E114:AI123</xm:sqref>
        </x14:conditionalFormatting>
        <x14:conditionalFormatting xmlns:xm="http://schemas.microsoft.com/office/excel/2006/main">
          <x14:cfRule type="expression" priority="269" id="{E84AF135-9406-4E55-AC07-98D3A86E513E}">
            <xm:f>OR(WEEKDAY(DATE($AV$1,MONTH($B$4),E$3),2)&gt;5,ISNUMBER(MATCH(DATE($AV$1,MONTH($B$4),E$3),Подключения!$A$2:$A$1039,0)))</xm:f>
            <x14:dxf>
              <fill>
                <patternFill>
                  <bgColor theme="3" tint="0.79998168889431442"/>
                </patternFill>
              </fill>
            </x14:dxf>
          </x14:cfRule>
          <xm:sqref>E4:AI13</xm:sqref>
        </x14:conditionalFormatting>
        <x14:conditionalFormatting xmlns:xm="http://schemas.microsoft.com/office/excel/2006/main">
          <x14:cfRule type="expression" priority="270" id="{F968CF40-C83A-4E04-B05C-7BE5F6970870}">
            <xm:f>OR(WEEKDAY(DATE($AV$1,MONTH($B$14),E$3),2)&gt;5,ISNUMBER(MATCH(DATE($AV$1,MONTH($B$14),E$3),Подключения!$A$2:$A$1039,0)))</xm:f>
            <x14:dxf>
              <fill>
                <patternFill>
                  <bgColor theme="3" tint="0.79998168889431442"/>
                </patternFill>
              </fill>
            </x14:dxf>
          </x14:cfRule>
          <xm:sqref>E14:AF23</xm:sqref>
        </x14:conditionalFormatting>
        <x14:conditionalFormatting xmlns:xm="http://schemas.microsoft.com/office/excel/2006/main">
          <x14:cfRule type="expression" priority="271" id="{3975C7BB-7CC8-47F9-8A12-79E04383672D}">
            <xm:f>OR(WEEKDAY(DATE($AV$1,MONTH($B$24),E$3),2)&gt;5,ISNUMBER(MATCH(DATE($AV$1,MONTH($B$24),E$3),Подключения!$A$2:$A$1039,0)))</xm:f>
            <x14:dxf>
              <fill>
                <patternFill>
                  <bgColor theme="3" tint="0.79998168889431442"/>
                </patternFill>
              </fill>
            </x14:dxf>
          </x14:cfRule>
          <xm:sqref>E24:AI33</xm:sqref>
        </x14:conditionalFormatting>
        <x14:conditionalFormatting xmlns:xm="http://schemas.microsoft.com/office/excel/2006/main">
          <x14:cfRule type="expression" priority="272" id="{E33FF781-8CB8-4C73-929F-98C787E05441}">
            <xm:f>OR(WEEKDAY(DATE($AV$1,MONTH($B$34),E$3),2)&gt;5,ISNUMBER(MATCH(DATE($AV$1,MONTH($B$34),E$3),Подключения!$A$2:$A$1039,0)))</xm:f>
            <x14:dxf>
              <fill>
                <patternFill>
                  <bgColor theme="3" tint="0.79998168889431442"/>
                </patternFill>
              </fill>
            </x14:dxf>
          </x14:cfRule>
          <xm:sqref>E34:AH43</xm:sqref>
        </x14:conditionalFormatting>
        <x14:conditionalFormatting xmlns:xm="http://schemas.microsoft.com/office/excel/2006/main">
          <x14:cfRule type="expression" priority="273" id="{3DA03887-6E07-46BE-AF65-FCC542516395}">
            <xm:f>OR(WEEKDAY(DATE($AV$1,MONTH($B$44),E$3),2)&gt;5,ISNUMBER(MATCH(DATE($AV$1,MONTH($B$44),E$3),Подключения!$A$2:$A$1039,0)))</xm:f>
            <x14:dxf>
              <fill>
                <patternFill>
                  <bgColor theme="3" tint="0.79998168889431442"/>
                </patternFill>
              </fill>
            </x14:dxf>
          </x14:cfRule>
          <xm:sqref>E44:AI53</xm:sqref>
        </x14:conditionalFormatting>
        <x14:conditionalFormatting xmlns:xm="http://schemas.microsoft.com/office/excel/2006/main">
          <x14:cfRule type="expression" priority="274" id="{B6877CA4-42FF-4878-A184-3B0C86275CE5}">
            <xm:f>OR(WEEKDAY(DATE($AV$1,MONTH($B$54),E$3),2)&gt;5,ISNUMBER(MATCH(DATE($AV$1,MONTH($B$54),E$3),Подключения!$A$2:$A$1039,0)))</xm:f>
            <x14:dxf>
              <fill>
                <patternFill>
                  <bgColor theme="3" tint="0.79998168889431442"/>
                </patternFill>
              </fill>
            </x14:dxf>
          </x14:cfRule>
          <xm:sqref>E54:AI63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7">
    <tabColor theme="7" tint="-0.249977111117893"/>
    <pageSetUpPr fitToPage="1"/>
  </sheetPr>
  <dimension ref="B1:DO129"/>
  <sheetViews>
    <sheetView zoomScale="70" zoomScaleNormal="70" workbookViewId="0">
      <pane ySplit="3" topLeftCell="A4" activePane="bottomLeft" state="frozen"/>
      <selection activeCell="AY1" sqref="AY1:CC1048576"/>
      <selection pane="bottomLeft" activeCell="R1" sqref="R1"/>
    </sheetView>
  </sheetViews>
  <sheetFormatPr defaultRowHeight="15" x14ac:dyDescent="0.25"/>
  <cols>
    <col min="2" max="3" width="10.7109375" customWidth="1"/>
    <col min="4" max="4" width="4.5703125" customWidth="1"/>
    <col min="5" max="5" width="6" customWidth="1"/>
    <col min="6" max="6" width="4.85546875" customWidth="1"/>
    <col min="7" max="35" width="4.7109375" customWidth="1"/>
    <col min="36" max="42" width="10.7109375" customWidth="1"/>
    <col min="45" max="46" width="10.7109375" bestFit="1" customWidth="1"/>
    <col min="51" max="119" width="2.7109375" customWidth="1"/>
  </cols>
  <sheetData>
    <row r="1" spans="2:119" ht="21.75" thickBot="1" x14ac:dyDescent="0.3">
      <c r="AV1" s="42">
        <f>'Сводный годовой график'!$AX$1</f>
        <v>2025</v>
      </c>
    </row>
    <row r="2" spans="2:119" ht="25.5" customHeight="1" thickTop="1" thickBot="1" x14ac:dyDescent="0.3">
      <c r="B2" s="242" t="s">
        <v>24</v>
      </c>
      <c r="C2" s="244" t="s">
        <v>25</v>
      </c>
      <c r="D2" s="46"/>
      <c r="E2" s="203" t="s">
        <v>26</v>
      </c>
      <c r="F2" s="203"/>
      <c r="G2" s="203"/>
      <c r="H2" s="203"/>
      <c r="I2" s="203"/>
      <c r="J2" s="203"/>
      <c r="K2" s="203"/>
      <c r="L2" s="203"/>
      <c r="M2" s="203"/>
      <c r="N2" s="203"/>
      <c r="O2" s="203"/>
      <c r="P2" s="203"/>
      <c r="Q2" s="203"/>
      <c r="R2" s="203"/>
      <c r="S2" s="203"/>
      <c r="T2" s="203"/>
      <c r="U2" s="203"/>
      <c r="V2" s="203"/>
      <c r="W2" s="203"/>
      <c r="X2" s="203"/>
      <c r="Y2" s="203"/>
      <c r="Z2" s="203"/>
      <c r="AA2" s="203"/>
      <c r="AB2" s="203"/>
      <c r="AC2" s="203"/>
      <c r="AD2" s="203"/>
      <c r="AE2" s="203"/>
      <c r="AF2" s="203"/>
      <c r="AG2" s="203"/>
      <c r="AH2" s="203"/>
      <c r="AI2" s="204"/>
      <c r="AJ2" s="246" t="s">
        <v>27</v>
      </c>
      <c r="AK2" s="248" t="s">
        <v>28</v>
      </c>
      <c r="AL2" s="250" t="s">
        <v>29</v>
      </c>
      <c r="AM2" s="232" t="s">
        <v>30</v>
      </c>
      <c r="AN2" s="234" t="s">
        <v>31</v>
      </c>
      <c r="AO2" s="234" t="s">
        <v>32</v>
      </c>
      <c r="AP2" s="236" t="s">
        <v>33</v>
      </c>
      <c r="AQ2" s="238" t="s">
        <v>34</v>
      </c>
      <c r="AR2" s="240" t="s">
        <v>35</v>
      </c>
      <c r="CK2" s="231" t="s">
        <v>66</v>
      </c>
      <c r="CL2" s="231"/>
      <c r="CM2" s="231"/>
      <c r="CN2" s="231"/>
      <c r="CO2" s="231"/>
      <c r="CP2" s="231"/>
      <c r="CQ2" s="231"/>
      <c r="CR2" s="231"/>
      <c r="CS2" s="231"/>
      <c r="CT2" s="231"/>
      <c r="CU2" s="231"/>
      <c r="CV2" s="231"/>
      <c r="CW2" s="231"/>
      <c r="CX2" s="231"/>
      <c r="CY2" s="231"/>
      <c r="CZ2" s="231"/>
      <c r="DA2" s="231"/>
      <c r="DB2" s="231"/>
      <c r="DC2" s="231"/>
      <c r="DD2" s="231"/>
      <c r="DE2" s="231"/>
      <c r="DF2" s="231"/>
      <c r="DG2" s="231"/>
      <c r="DH2" s="231"/>
      <c r="DI2" s="231"/>
      <c r="DJ2" s="231"/>
      <c r="DK2" s="231"/>
      <c r="DL2" s="231"/>
      <c r="DM2" s="231"/>
      <c r="DN2" s="231"/>
      <c r="DO2" s="231"/>
    </row>
    <row r="3" spans="2:119" ht="27" customHeight="1" thickBot="1" x14ac:dyDescent="0.3">
      <c r="B3" s="243"/>
      <c r="C3" s="245"/>
      <c r="D3" s="47"/>
      <c r="E3" s="43">
        <v>1</v>
      </c>
      <c r="F3" s="44">
        <f>E3+1</f>
        <v>2</v>
      </c>
      <c r="G3" s="44">
        <f t="shared" ref="G3:AH3" si="0">F3+1</f>
        <v>3</v>
      </c>
      <c r="H3" s="44">
        <f t="shared" si="0"/>
        <v>4</v>
      </c>
      <c r="I3" s="44">
        <f t="shared" si="0"/>
        <v>5</v>
      </c>
      <c r="J3" s="44">
        <f t="shared" si="0"/>
        <v>6</v>
      </c>
      <c r="K3" s="44">
        <f t="shared" si="0"/>
        <v>7</v>
      </c>
      <c r="L3" s="44">
        <f t="shared" si="0"/>
        <v>8</v>
      </c>
      <c r="M3" s="44">
        <f t="shared" si="0"/>
        <v>9</v>
      </c>
      <c r="N3" s="44">
        <f t="shared" si="0"/>
        <v>10</v>
      </c>
      <c r="O3" s="44">
        <f t="shared" si="0"/>
        <v>11</v>
      </c>
      <c r="P3" s="44">
        <f t="shared" si="0"/>
        <v>12</v>
      </c>
      <c r="Q3" s="44">
        <f t="shared" si="0"/>
        <v>13</v>
      </c>
      <c r="R3" s="44">
        <f t="shared" si="0"/>
        <v>14</v>
      </c>
      <c r="S3" s="44">
        <f t="shared" si="0"/>
        <v>15</v>
      </c>
      <c r="T3" s="44">
        <f t="shared" si="0"/>
        <v>16</v>
      </c>
      <c r="U3" s="44">
        <f t="shared" si="0"/>
        <v>17</v>
      </c>
      <c r="V3" s="44">
        <f t="shared" si="0"/>
        <v>18</v>
      </c>
      <c r="W3" s="44">
        <f t="shared" si="0"/>
        <v>19</v>
      </c>
      <c r="X3" s="44">
        <f t="shared" si="0"/>
        <v>20</v>
      </c>
      <c r="Y3" s="44">
        <f t="shared" si="0"/>
        <v>21</v>
      </c>
      <c r="Z3" s="44">
        <f t="shared" si="0"/>
        <v>22</v>
      </c>
      <c r="AA3" s="44">
        <f>Z3+1</f>
        <v>23</v>
      </c>
      <c r="AB3" s="44">
        <f t="shared" si="0"/>
        <v>24</v>
      </c>
      <c r="AC3" s="44">
        <f t="shared" si="0"/>
        <v>25</v>
      </c>
      <c r="AD3" s="44">
        <f t="shared" si="0"/>
        <v>26</v>
      </c>
      <c r="AE3" s="44">
        <f t="shared" si="0"/>
        <v>27</v>
      </c>
      <c r="AF3" s="44">
        <f t="shared" si="0"/>
        <v>28</v>
      </c>
      <c r="AG3" s="44">
        <f>AF3+1</f>
        <v>29</v>
      </c>
      <c r="AH3" s="44">
        <f t="shared" si="0"/>
        <v>30</v>
      </c>
      <c r="AI3" s="45">
        <f>AH3+1</f>
        <v>31</v>
      </c>
      <c r="AJ3" s="247"/>
      <c r="AK3" s="249"/>
      <c r="AL3" s="251"/>
      <c r="AM3" s="233"/>
      <c r="AN3" s="235"/>
      <c r="AO3" s="235"/>
      <c r="AP3" s="237"/>
      <c r="AQ3" s="239"/>
      <c r="AR3" s="241"/>
      <c r="CK3">
        <v>1</v>
      </c>
      <c r="CL3">
        <v>2</v>
      </c>
      <c r="CM3">
        <v>3</v>
      </c>
      <c r="CN3">
        <v>4</v>
      </c>
      <c r="CO3">
        <v>5</v>
      </c>
      <c r="CP3">
        <v>6</v>
      </c>
      <c r="CQ3">
        <v>7</v>
      </c>
      <c r="CR3">
        <v>8</v>
      </c>
      <c r="CS3">
        <v>9</v>
      </c>
      <c r="CT3">
        <v>10</v>
      </c>
      <c r="CU3">
        <v>11</v>
      </c>
      <c r="CV3">
        <v>12</v>
      </c>
      <c r="CW3">
        <v>13</v>
      </c>
      <c r="CX3">
        <v>14</v>
      </c>
      <c r="CY3">
        <v>15</v>
      </c>
      <c r="CZ3">
        <v>16</v>
      </c>
      <c r="DA3">
        <v>17</v>
      </c>
      <c r="DB3">
        <v>18</v>
      </c>
      <c r="DC3">
        <v>19</v>
      </c>
      <c r="DD3">
        <v>20</v>
      </c>
      <c r="DE3">
        <v>21</v>
      </c>
      <c r="DF3">
        <v>22</v>
      </c>
      <c r="DG3">
        <v>23</v>
      </c>
      <c r="DH3">
        <v>24</v>
      </c>
      <c r="DI3">
        <v>25</v>
      </c>
      <c r="DJ3">
        <v>26</v>
      </c>
      <c r="DK3">
        <v>27</v>
      </c>
      <c r="DL3">
        <v>28</v>
      </c>
      <c r="DM3">
        <v>29</v>
      </c>
      <c r="DN3">
        <v>30</v>
      </c>
      <c r="DO3">
        <v>31</v>
      </c>
    </row>
    <row r="4" spans="2:119" ht="17.25" customHeight="1" thickTop="1" thickBot="1" x14ac:dyDescent="0.3">
      <c r="B4" s="200">
        <f>DATE($AV$1,1,1)</f>
        <v>45658</v>
      </c>
      <c r="C4" s="196">
        <v>1</v>
      </c>
      <c r="D4" s="81">
        <v>1</v>
      </c>
      <c r="E4" s="28">
        <f ca="1">IF(AND(INDEX('Сводный годовой график'!$C$1:$AR$4,MATCH($C$4,'Сводный годовой график'!$B$1:$B$4),MATCH(DATE($AV$1,MONTH($B$4),E$3),'Сводный годовой график'!$C$5:$AR$5))&lt;&gt;12,INDIRECT(ADDRESS(ROW()+1,COLUMN()))="СП"),8,INDEX('Сводный годовой график'!$C$1:$AR$4,MATCH($C$4,'Сводный годовой график'!$B$1:$B$4),MATCH(DATE($AV$1,MONTH($B$4),E$3),'Сводный годовой график'!$C$5:$AR$5)))</f>
        <v>8</v>
      </c>
      <c r="F4" s="28">
        <f ca="1">IF(AND(INDEX('Сводный годовой график'!$C$1:$AR$4,MATCH($C$4,'Сводный годовой график'!$B$1:$B$4),MATCH(DATE($AV$1,MONTH($B$4),F$3),'Сводный годовой график'!$C$5:$AR$5))&lt;&gt;12,INDIRECT(ADDRESS(ROW()+1,COLUMN()))="СП"),8,INDEX('Сводный годовой график'!$C$1:$AR$4,MATCH($C$4,'Сводный годовой график'!$B$1:$B$4),MATCH(DATE($AV$1,MONTH($B$4),F$3),'Сводный годовой график'!$C$5:$AR$5)))</f>
        <v>0</v>
      </c>
      <c r="G4" s="28">
        <f ca="1">IF(AND(INDEX('Сводный годовой график'!$C$1:$AR$4,MATCH($C$4,'Сводный годовой график'!$B$1:$B$4),MATCH(DATE($AV$1,MONTH($B$4),G$3),'Сводный годовой график'!$C$5:$AR$5))&lt;&gt;12,INDIRECT(ADDRESS(ROW()+1,COLUMN()))="СП"),8,INDEX('Сводный годовой график'!$C$1:$AR$4,MATCH($C$4,'Сводный годовой график'!$B$1:$B$4),MATCH(DATE($AV$1,MONTH($B$4),G$3),'Сводный годовой график'!$C$5:$AR$5)))</f>
        <v>4</v>
      </c>
      <c r="H4" s="28">
        <f ca="1">IF(AND(INDEX('Сводный годовой график'!$C$1:$AR$4,MATCH($C$4,'Сводный годовой график'!$B$1:$B$4),MATCH(DATE($AV$1,MONTH($B$4),H$3),'Сводный годовой график'!$C$5:$AR$5))&lt;&gt;12,INDIRECT(ADDRESS(ROW()+1,COLUMN()))="СП"),8,INDEX('Сводный годовой график'!$C$1:$AR$4,MATCH($C$4,'Сводный годовой график'!$B$1:$B$4),MATCH(DATE($AV$1,MONTH($B$4),H$3),'Сводный годовой график'!$C$5:$AR$5)))</f>
        <v>8</v>
      </c>
      <c r="I4" s="28">
        <f ca="1">IF(AND(INDEX('Сводный годовой график'!$C$1:$AR$4,MATCH($C$4,'Сводный годовой график'!$B$1:$B$4),MATCH(DATE($AV$1,MONTH($B$4),I$3),'Сводный годовой график'!$C$5:$AR$5))&lt;&gt;12,INDIRECT(ADDRESS(ROW()+1,COLUMN()))="СП"),8,INDEX('Сводный годовой график'!$C$1:$AR$4,MATCH($C$4,'Сводный годовой график'!$B$1:$B$4),MATCH(DATE($AV$1,MONTH($B$4),I$3),'Сводный годовой график'!$C$5:$AR$5)))</f>
        <v>12</v>
      </c>
      <c r="J4" s="28">
        <f ca="1">IF(AND(INDEX('Сводный годовой график'!$C$1:$AR$4,MATCH($C$4,'Сводный годовой график'!$B$1:$B$4),MATCH(DATE($AV$1,MONTH($B$4),J$3),'Сводный годовой график'!$C$5:$AR$5))&lt;&gt;12,INDIRECT(ADDRESS(ROW()+1,COLUMN()))="СП"),8,INDEX('Сводный годовой график'!$C$1:$AR$4,MATCH($C$4,'Сводный годовой график'!$B$1:$B$4),MATCH(DATE($AV$1,MONTH($B$4),J$3),'Сводный годовой график'!$C$5:$AR$5)))</f>
        <v>4</v>
      </c>
      <c r="K4" s="28">
        <f ca="1">IF(AND(INDEX('Сводный годовой график'!$C$1:$AR$4,MATCH($C$4,'Сводный годовой график'!$B$1:$B$4),MATCH(DATE($AV$1,MONTH($B$4),K$3),'Сводный годовой график'!$C$5:$AR$5))&lt;&gt;12,INDIRECT(ADDRESS(ROW()+1,COLUMN()))="СП"),8,INDEX('Сводный годовой график'!$C$1:$AR$4,MATCH($C$4,'Сводный годовой график'!$B$1:$B$4),MATCH(DATE($AV$1,MONTH($B$4),K$3),'Сводный годовой график'!$C$5:$AR$5)))</f>
        <v>8</v>
      </c>
      <c r="L4" s="28">
        <f ca="1">IF(AND(INDEX('Сводный годовой график'!$C$1:$AR$4,MATCH($C$4,'Сводный годовой график'!$B$1:$B$4),MATCH(DATE($AV$1,MONTH($B$4),L$3),'Сводный годовой график'!$C$5:$AR$5))&lt;&gt;12,INDIRECT(ADDRESS(ROW()+1,COLUMN()))="СП"),8,INDEX('Сводный годовой график'!$C$1:$AR$4,MATCH($C$4,'Сводный годовой график'!$B$1:$B$4),MATCH(DATE($AV$1,MONTH($B$4),L$3),'Сводный годовой график'!$C$5:$AR$5)))</f>
        <v>12</v>
      </c>
      <c r="M4" s="28">
        <f ca="1">IF(AND(INDEX('Сводный годовой график'!$C$1:$AR$4,MATCH($C$4,'Сводный годовой график'!$B$1:$B$4),MATCH(DATE($AV$1,MONTH($B$4),M$3),'Сводный годовой график'!$C$5:$AR$5))&lt;&gt;12,INDIRECT(ADDRESS(ROW()+1,COLUMN()))="СП"),8,INDEX('Сводный годовой график'!$C$1:$AR$4,MATCH($C$4,'Сводный годовой график'!$B$1:$B$4),MATCH(DATE($AV$1,MONTH($B$4),M$3),'Сводный годовой график'!$C$5:$AR$5)))</f>
        <v>0</v>
      </c>
      <c r="N4" s="28">
        <f ca="1">IF(AND(INDEX('Сводный годовой график'!$C$1:$AR$4,MATCH($C$4,'Сводный годовой график'!$B$1:$B$4),MATCH(DATE($AV$1,MONTH($B$4),N$3),'Сводный годовой график'!$C$5:$AR$5))&lt;&gt;12,INDIRECT(ADDRESS(ROW()+1,COLUMN()))="СП"),8,INDEX('Сводный годовой график'!$C$1:$AR$4,MATCH($C$4,'Сводный годовой график'!$B$1:$B$4),MATCH(DATE($AV$1,MONTH($B$4),N$3),'Сводный годовой график'!$C$5:$AR$5)))</f>
        <v>0</v>
      </c>
      <c r="O4" s="28">
        <f ca="1">IF(AND(INDEX('Сводный годовой график'!$C$1:$AR$4,MATCH($C$4,'Сводный годовой график'!$B$1:$B$4),MATCH(DATE($AV$1,MONTH($B$4),O$3),'Сводный годовой график'!$C$5:$AR$5))&lt;&gt;12,INDIRECT(ADDRESS(ROW()+1,COLUMN()))="СП"),8,INDEX('Сводный годовой график'!$C$1:$AR$4,MATCH($C$4,'Сводный годовой график'!$B$1:$B$4),MATCH(DATE($AV$1,MONTH($B$4),O$3),'Сводный годовой график'!$C$5:$AR$5)))</f>
        <v>4</v>
      </c>
      <c r="P4" s="28">
        <f ca="1">IF(AND(INDEX('Сводный годовой график'!$C$1:$AR$4,MATCH($C$4,'Сводный годовой график'!$B$1:$B$4),MATCH(DATE($AV$1,MONTH($B$4),P$3),'Сводный годовой график'!$C$5:$AR$5))&lt;&gt;12,INDIRECT(ADDRESS(ROW()+1,COLUMN()))="СП"),8,INDEX('Сводный годовой график'!$C$1:$AR$4,MATCH($C$4,'Сводный годовой график'!$B$1:$B$4),MATCH(DATE($AV$1,MONTH($B$4),P$3),'Сводный годовой график'!$C$5:$AR$5)))</f>
        <v>8</v>
      </c>
      <c r="Q4" s="28">
        <f ca="1">IF(AND(INDEX('Сводный годовой график'!$C$1:$AR$4,MATCH($C$4,'Сводный годовой график'!$B$1:$B$4),MATCH(DATE($AV$1,MONTH($B$4),Q$3),'Сводный годовой график'!$C$5:$AR$5))&lt;&gt;12,INDIRECT(ADDRESS(ROW()+1,COLUMN()))="СП"),8,INDEX('Сводный годовой график'!$C$1:$AR$4,MATCH($C$4,'Сводный годовой график'!$B$1:$B$4),MATCH(DATE($AV$1,MONTH($B$4),Q$3),'Сводный годовой график'!$C$5:$AR$5)))</f>
        <v>12</v>
      </c>
      <c r="R4" s="28">
        <f ca="1">IF(AND(INDEX('Сводный годовой график'!$C$1:$AR$4,MATCH($C$4,'Сводный годовой график'!$B$1:$B$4),MATCH(DATE($AV$1,MONTH($B$4),R$3),'Сводный годовой график'!$C$5:$AR$5))&lt;&gt;12,INDIRECT(ADDRESS(ROW()+1,COLUMN()))="СП"),8,INDEX('Сводный годовой график'!$C$1:$AR$4,MATCH($C$4,'Сводный годовой график'!$B$1:$B$4),MATCH(DATE($AV$1,MONTH($B$4),R$3),'Сводный годовой график'!$C$5:$AR$5)))</f>
        <v>4</v>
      </c>
      <c r="S4" s="28">
        <f ca="1">IF(AND(INDEX('Сводный годовой график'!$C$1:$AR$4,MATCH($C$4,'Сводный годовой график'!$B$1:$B$4),MATCH(DATE($AV$1,MONTH($B$4),S$3),'Сводный годовой график'!$C$5:$AR$5))&lt;&gt;12,INDIRECT(ADDRESS(ROW()+1,COLUMN()))="СП"),8,INDEX('Сводный годовой график'!$C$1:$AR$4,MATCH($C$4,'Сводный годовой график'!$B$1:$B$4),MATCH(DATE($AV$1,MONTH($B$4),S$3),'Сводный годовой график'!$C$5:$AR$5)))</f>
        <v>8</v>
      </c>
      <c r="T4" s="28">
        <f ca="1">IF(AND(INDEX('Сводный годовой график'!$C$1:$AR$4,MATCH($C$4,'Сводный годовой график'!$B$1:$B$4),MATCH(DATE($AV$1,MONTH($B$4),T$3),'Сводный годовой график'!$C$5:$AR$5))&lt;&gt;12,INDIRECT(ADDRESS(ROW()+1,COLUMN()))="СП"),8,INDEX('Сводный годовой график'!$C$1:$AR$4,MATCH($C$4,'Сводный годовой график'!$B$1:$B$4),MATCH(DATE($AV$1,MONTH($B$4),T$3),'Сводный годовой график'!$C$5:$AR$5)))</f>
        <v>12</v>
      </c>
      <c r="U4" s="28">
        <f ca="1">IF(AND(INDEX('Сводный годовой график'!$C$1:$AR$4,MATCH($C$4,'Сводный годовой график'!$B$1:$B$4),MATCH(DATE($AV$1,MONTH($B$4),U$3),'Сводный годовой график'!$C$5:$AR$5))&lt;&gt;12,INDIRECT(ADDRESS(ROW()+1,COLUMN()))="СП"),8,INDEX('Сводный годовой график'!$C$1:$AR$4,MATCH($C$4,'Сводный годовой график'!$B$1:$B$4),MATCH(DATE($AV$1,MONTH($B$4),U$3),'Сводный годовой график'!$C$5:$AR$5)))</f>
        <v>0</v>
      </c>
      <c r="V4" s="28">
        <f ca="1">IF(AND(INDEX('Сводный годовой график'!$C$1:$AR$4,MATCH($C$4,'Сводный годовой график'!$B$1:$B$4),MATCH(DATE($AV$1,MONTH($B$4),V$3),'Сводный годовой график'!$C$5:$AR$5))&lt;&gt;12,INDIRECT(ADDRESS(ROW()+1,COLUMN()))="СП"),8,INDEX('Сводный годовой график'!$C$1:$AR$4,MATCH($C$4,'Сводный годовой график'!$B$1:$B$4),MATCH(DATE($AV$1,MONTH($B$4),V$3),'Сводный годовой график'!$C$5:$AR$5)))</f>
        <v>0</v>
      </c>
      <c r="W4" s="28">
        <f ca="1">IF(AND(INDEX('Сводный годовой график'!$C$1:$AR$4,MATCH($C$4,'Сводный годовой график'!$B$1:$B$4),MATCH(DATE($AV$1,MONTH($B$4),W$3),'Сводный годовой график'!$C$5:$AR$5))&lt;&gt;12,INDIRECT(ADDRESS(ROW()+1,COLUMN()))="СП"),8,INDEX('Сводный годовой график'!$C$1:$AR$4,MATCH($C$4,'Сводный годовой график'!$B$1:$B$4),MATCH(DATE($AV$1,MONTH($B$4),W$3),'Сводный годовой график'!$C$5:$AR$5)))</f>
        <v>4</v>
      </c>
      <c r="X4" s="28">
        <f ca="1">IF(AND(INDEX('Сводный годовой график'!$C$1:$AR$4,MATCH($C$4,'Сводный годовой график'!$B$1:$B$4),MATCH(DATE($AV$1,MONTH($B$4),X$3),'Сводный годовой график'!$C$5:$AR$5))&lt;&gt;12,INDIRECT(ADDRESS(ROW()+1,COLUMN()))="СП"),8,INDEX('Сводный годовой график'!$C$1:$AR$4,MATCH($C$4,'Сводный годовой график'!$B$1:$B$4),MATCH(DATE($AV$1,MONTH($B$4),X$3),'Сводный годовой график'!$C$5:$AR$5)))</f>
        <v>8</v>
      </c>
      <c r="Y4" s="28">
        <f ca="1">IF(AND(INDEX('Сводный годовой график'!$C$1:$AR$4,MATCH($C$4,'Сводный годовой график'!$B$1:$B$4),MATCH(DATE($AV$1,MONTH($B$4),Y$3),'Сводный годовой график'!$C$5:$AR$5))&lt;&gt;12,INDIRECT(ADDRESS(ROW()+1,COLUMN()))="СП"),8,INDEX('Сводный годовой график'!$C$1:$AR$4,MATCH($C$4,'Сводный годовой график'!$B$1:$B$4),MATCH(DATE($AV$1,MONTH($B$4),Y$3),'Сводный годовой график'!$C$5:$AR$5)))</f>
        <v>12</v>
      </c>
      <c r="Z4" s="28">
        <f ca="1">IF(AND(INDEX('Сводный годовой график'!$C$1:$AR$4,MATCH($C$4,'Сводный годовой график'!$B$1:$B$4),MATCH(DATE($AV$1,MONTH($B$4),Z$3),'Сводный годовой график'!$C$5:$AR$5))&lt;&gt;12,INDIRECT(ADDRESS(ROW()+1,COLUMN()))="СП"),8,INDEX('Сводный годовой график'!$C$1:$AR$4,MATCH($C$4,'Сводный годовой график'!$B$1:$B$4),MATCH(DATE($AV$1,MONTH($B$4),Z$3),'Сводный годовой график'!$C$5:$AR$5)))</f>
        <v>4</v>
      </c>
      <c r="AA4" s="28">
        <f ca="1">IF(AND(INDEX('Сводный годовой график'!$C$1:$AR$4,MATCH($C$4,'Сводный годовой график'!$B$1:$B$4),MATCH(DATE($AV$1,MONTH($B$4),AA$3),'Сводный годовой график'!$C$5:$AR$5))&lt;&gt;12,INDIRECT(ADDRESS(ROW()+1,COLUMN()))="СП"),8,INDEX('Сводный годовой график'!$C$1:$AR$4,MATCH($C$4,'Сводный годовой график'!$B$1:$B$4),MATCH(DATE($AV$1,MONTH($B$4),AA$3),'Сводный годовой график'!$C$5:$AR$5)))</f>
        <v>8</v>
      </c>
      <c r="AB4" s="28">
        <f ca="1">IF(AND(INDEX('Сводный годовой график'!$C$1:$AR$4,MATCH($C$4,'Сводный годовой график'!$B$1:$B$4),MATCH(DATE($AV$1,MONTH($B$4),AB$3),'Сводный годовой график'!$C$5:$AR$5))&lt;&gt;12,INDIRECT(ADDRESS(ROW()+1,COLUMN()))="СП"),8,INDEX('Сводный годовой график'!$C$1:$AR$4,MATCH($C$4,'Сводный годовой график'!$B$1:$B$4),MATCH(DATE($AV$1,MONTH($B$4),AB$3),'Сводный годовой график'!$C$5:$AR$5)))</f>
        <v>12</v>
      </c>
      <c r="AC4" s="28">
        <f ca="1">IF(AND(INDEX('Сводный годовой график'!$C$1:$AR$4,MATCH($C$4,'Сводный годовой график'!$B$1:$B$4),MATCH(DATE($AV$1,MONTH($B$4),AC$3),'Сводный годовой график'!$C$5:$AR$5))&lt;&gt;12,INDIRECT(ADDRESS(ROW()+1,COLUMN()))="СП"),8,INDEX('Сводный годовой график'!$C$1:$AR$4,MATCH($C$4,'Сводный годовой график'!$B$1:$B$4),MATCH(DATE($AV$1,MONTH($B$4),AC$3),'Сводный годовой график'!$C$5:$AR$5)))</f>
        <v>0</v>
      </c>
      <c r="AD4" s="28">
        <f ca="1">IF(AND(INDEX('Сводный годовой график'!$C$1:$AR$4,MATCH($C$4,'Сводный годовой график'!$B$1:$B$4),MATCH(DATE($AV$1,MONTH($B$4),AD$3),'Сводный годовой график'!$C$5:$AR$5))&lt;&gt;12,INDIRECT(ADDRESS(ROW()+1,COLUMN()))="СП"),8,INDEX('Сводный годовой график'!$C$1:$AR$4,MATCH($C$4,'Сводный годовой график'!$B$1:$B$4),MATCH(DATE($AV$1,MONTH($B$4),AD$3),'Сводный годовой график'!$C$5:$AR$5)))</f>
        <v>0</v>
      </c>
      <c r="AE4" s="28">
        <f ca="1">IF(AND(INDEX('Сводный годовой график'!$C$1:$AR$4,MATCH($C$4,'Сводный годовой график'!$B$1:$B$4),MATCH(DATE($AV$1,MONTH($B$4),AE$3),'Сводный годовой график'!$C$5:$AR$5))&lt;&gt;12,INDIRECT(ADDRESS(ROW()+1,COLUMN()))="СП"),8,INDEX('Сводный годовой график'!$C$1:$AR$4,MATCH($C$4,'Сводный годовой график'!$B$1:$B$4),MATCH(DATE($AV$1,MONTH($B$4),AE$3),'Сводный годовой график'!$C$5:$AR$5)))</f>
        <v>4</v>
      </c>
      <c r="AF4" s="28">
        <f ca="1">IF(AND(INDEX('Сводный годовой график'!$C$1:$AR$4,MATCH($C$4,'Сводный годовой график'!$B$1:$B$4),MATCH(DATE($AV$1,MONTH($B$4),AF$3),'Сводный годовой график'!$C$5:$AR$5))&lt;&gt;12,INDIRECT(ADDRESS(ROW()+1,COLUMN()))="СП"),8,INDEX('Сводный годовой график'!$C$1:$AR$4,MATCH($C$4,'Сводный годовой график'!$B$1:$B$4),MATCH(DATE($AV$1,MONTH($B$4),AF$3),'Сводный годовой график'!$C$5:$AR$5)))</f>
        <v>8</v>
      </c>
      <c r="AG4" s="28">
        <f ca="1">IF(AND(INDEX('Сводный годовой график'!$C$1:$AR$4,MATCH($C$4,'Сводный годовой график'!$B$1:$B$4),MATCH(DATE($AV$1,MONTH($B$4),AG$3),'Сводный годовой график'!$C$5:$AR$5))&lt;&gt;12,INDIRECT(ADDRESS(ROW()+1,COLUMN()))="СП"),8,INDEX('Сводный годовой график'!$C$1:$AR$4,MATCH($C$4,'Сводный годовой график'!$B$1:$B$4),MATCH(DATE($AV$1,MONTH($B$4),AG$3),'Сводный годовой график'!$C$5:$AR$5)))</f>
        <v>12</v>
      </c>
      <c r="AH4" s="28">
        <f ca="1">IF(AND(INDEX('Сводный годовой график'!$C$1:$AR$4,MATCH($C$4,'Сводный годовой график'!$B$1:$B$4),MATCH(DATE($AV$1,MONTH($B$4),AH$3),'Сводный годовой график'!$C$5:$AR$5))&lt;&gt;12,INDIRECT(ADDRESS(ROW()+1,COLUMN()))="СП"),8,INDEX('Сводный годовой график'!$C$1:$AR$4,MATCH($C$4,'Сводный годовой график'!$B$1:$B$4),MATCH(DATE($AV$1,MONTH($B$4),AH$3),'Сводный годовой график'!$C$5:$AR$5)))</f>
        <v>4</v>
      </c>
      <c r="AI4" s="95">
        <f ca="1">IF(AND(INDEX('Сводный годовой график'!$C$1:$AR$4,MATCH($C$4,'Сводный годовой график'!$B$1:$B$4),MATCH(DATE($AV$1,MONTH($B$4),AI$3),'Сводный годовой график'!$C$5:$AR$5))&lt;&gt;12,INDIRECT(ADDRESS(ROW()+1,COLUMN()))="СП"),8,INDEX('Сводный годовой график'!$C$1:$AR$4,MATCH($C$4,'Сводный годовой график'!$B$1:$B$4),MATCH(DATE($AV$1,MONTH($B$4),AI$3),'Сводный годовой график'!$C$5:$AR$5)))</f>
        <v>8</v>
      </c>
      <c r="AJ4" s="205">
        <f>INDEX(Подключения!$D$3:$H$14,MONTH(B4),5)</f>
        <v>136</v>
      </c>
      <c r="AK4" s="216">
        <f>$AJ$4-SUM(AY4:CC5)</f>
        <v>136</v>
      </c>
      <c r="AL4" s="216">
        <f ca="1">SUM(E4:AI5)</f>
        <v>188</v>
      </c>
      <c r="AM4" s="216">
        <f ca="1">SUM(E4:L4)</f>
        <v>56</v>
      </c>
      <c r="AN4" s="218">
        <f ca="1">-AM4-AK4+AL4</f>
        <v>-4</v>
      </c>
      <c r="AO4" s="218">
        <v>0</v>
      </c>
      <c r="AP4" s="218">
        <f ca="1">AN4-AO4</f>
        <v>-4</v>
      </c>
      <c r="AQ4" s="218" t="s">
        <v>37</v>
      </c>
      <c r="AR4" s="229">
        <v>1</v>
      </c>
      <c r="CK4" s="59"/>
      <c r="CL4" s="59"/>
      <c r="CM4" s="59"/>
      <c r="CN4" s="59"/>
      <c r="CO4" s="59"/>
      <c r="CP4" s="59"/>
      <c r="CQ4" s="59"/>
      <c r="CR4" s="59"/>
      <c r="CS4" s="59"/>
      <c r="CT4" s="59"/>
      <c r="CU4" s="59"/>
      <c r="CV4" s="59"/>
      <c r="CW4" s="59"/>
      <c r="CX4" s="59"/>
      <c r="CY4" s="59"/>
      <c r="CZ4" s="59"/>
      <c r="DA4" s="59"/>
      <c r="DB4" s="59"/>
      <c r="DC4" s="59"/>
      <c r="DD4" s="59"/>
      <c r="DE4" s="59"/>
      <c r="DF4" s="59"/>
      <c r="DG4" s="59"/>
      <c r="DH4" s="59"/>
      <c r="DI4" s="59"/>
      <c r="DJ4" s="59"/>
      <c r="DK4" s="59"/>
      <c r="DL4" s="59"/>
      <c r="DM4" s="59"/>
      <c r="DN4" s="59"/>
      <c r="DO4" s="59"/>
    </row>
    <row r="5" spans="2:119" ht="16.5" thickBot="1" x14ac:dyDescent="0.3">
      <c r="B5" s="201"/>
      <c r="C5" s="197"/>
      <c r="D5" s="82">
        <v>2</v>
      </c>
      <c r="E5" s="92" t="str">
        <f t="shared" ref="E5:AI5" si="1">IF(INDEX($CK$4:$DO$123,ROW()-3,E$3)=0,"","СП")</f>
        <v>СП</v>
      </c>
      <c r="F5" s="92" t="str">
        <f t="shared" si="1"/>
        <v/>
      </c>
      <c r="G5" s="92" t="str">
        <f t="shared" si="1"/>
        <v/>
      </c>
      <c r="H5" s="92" t="str">
        <f t="shared" si="1"/>
        <v/>
      </c>
      <c r="I5" s="92" t="str">
        <f t="shared" si="1"/>
        <v/>
      </c>
      <c r="J5" s="92" t="str">
        <f t="shared" si="1"/>
        <v/>
      </c>
      <c r="K5" s="92" t="str">
        <f t="shared" si="1"/>
        <v/>
      </c>
      <c r="L5" s="92" t="str">
        <f t="shared" si="1"/>
        <v/>
      </c>
      <c r="M5" s="92" t="str">
        <f t="shared" si="1"/>
        <v/>
      </c>
      <c r="N5" s="92" t="str">
        <f t="shared" si="1"/>
        <v/>
      </c>
      <c r="O5" s="92" t="str">
        <f t="shared" si="1"/>
        <v/>
      </c>
      <c r="P5" s="92" t="str">
        <f t="shared" si="1"/>
        <v/>
      </c>
      <c r="Q5" s="92" t="str">
        <f t="shared" si="1"/>
        <v/>
      </c>
      <c r="R5" s="92" t="str">
        <f t="shared" si="1"/>
        <v/>
      </c>
      <c r="S5" s="92" t="str">
        <f t="shared" si="1"/>
        <v/>
      </c>
      <c r="T5" s="92" t="str">
        <f t="shared" si="1"/>
        <v/>
      </c>
      <c r="U5" s="92" t="str">
        <f t="shared" si="1"/>
        <v/>
      </c>
      <c r="V5" s="92" t="str">
        <f t="shared" si="1"/>
        <v/>
      </c>
      <c r="W5" s="92" t="str">
        <f t="shared" si="1"/>
        <v/>
      </c>
      <c r="X5" s="92" t="str">
        <f t="shared" si="1"/>
        <v/>
      </c>
      <c r="Y5" s="92" t="str">
        <f t="shared" si="1"/>
        <v/>
      </c>
      <c r="Z5" s="92" t="str">
        <f t="shared" si="1"/>
        <v/>
      </c>
      <c r="AA5" s="92" t="str">
        <f t="shared" si="1"/>
        <v/>
      </c>
      <c r="AB5" s="92" t="str">
        <f t="shared" si="1"/>
        <v/>
      </c>
      <c r="AC5" s="92" t="str">
        <f t="shared" si="1"/>
        <v/>
      </c>
      <c r="AD5" s="92" t="str">
        <f t="shared" si="1"/>
        <v/>
      </c>
      <c r="AE5" s="92" t="str">
        <f t="shared" si="1"/>
        <v/>
      </c>
      <c r="AF5" s="92" t="str">
        <f t="shared" si="1"/>
        <v/>
      </c>
      <c r="AG5" s="92" t="str">
        <f t="shared" si="1"/>
        <v/>
      </c>
      <c r="AH5" s="92" t="str">
        <f t="shared" si="1"/>
        <v/>
      </c>
      <c r="AI5" s="97" t="str">
        <f t="shared" si="1"/>
        <v/>
      </c>
      <c r="AJ5" s="206"/>
      <c r="AK5" s="209"/>
      <c r="AL5" s="209"/>
      <c r="AM5" s="209"/>
      <c r="AN5" s="211"/>
      <c r="AO5" s="211"/>
      <c r="AP5" s="211"/>
      <c r="AQ5" s="211"/>
      <c r="AR5" s="230"/>
      <c r="CK5" s="58">
        <f>IF(DAY(INDEX('Сводный годовой график'!$BA$4:$BL$14,$C4,MONTH($B$4)))=E$3,1,0)</f>
        <v>1</v>
      </c>
      <c r="CL5" s="58">
        <f>IF(DAY(INDEX('Сводный годовой график'!$BA$4:$BL$14,$C4,MONTH($B$4)))=F$3,1,0)</f>
        <v>0</v>
      </c>
      <c r="CM5" s="58">
        <f>IF(DAY(INDEX('Сводный годовой график'!$BA$4:$BL$14,$C4,MONTH($B$4)))=G$3,1,0)</f>
        <v>0</v>
      </c>
      <c r="CN5" s="58">
        <f>IF(DAY(INDEX('Сводный годовой график'!$BA$4:$BL$14,$C4,MONTH($B$4)))=H$3,1,0)</f>
        <v>0</v>
      </c>
      <c r="CO5" s="58">
        <f>IF(DAY(INDEX('Сводный годовой график'!$BA$4:$BL$14,$C4,MONTH($B$4)))=I$3,1,0)</f>
        <v>0</v>
      </c>
      <c r="CP5" s="58">
        <f>IF(DAY(INDEX('Сводный годовой график'!$BA$4:$BL$14,$C4,MONTH($B$4)))=J$3,1,0)</f>
        <v>0</v>
      </c>
      <c r="CQ5" s="58">
        <f>IF(DAY(INDEX('Сводный годовой график'!$BA$4:$BL$14,$C4,MONTH($B$4)))=K$3,1,0)</f>
        <v>0</v>
      </c>
      <c r="CR5" s="58">
        <f>IF(DAY(INDEX('Сводный годовой график'!$BA$4:$BL$14,$C4,MONTH($B$4)))=L$3,1,0)</f>
        <v>0</v>
      </c>
      <c r="CS5" s="58">
        <f>IF(DAY(INDEX('Сводный годовой график'!$BA$4:$BL$14,$C4,MONTH($B$4)))=M$3,1,0)</f>
        <v>0</v>
      </c>
      <c r="CT5" s="58">
        <f>IF(DAY(INDEX('Сводный годовой график'!$BA$4:$BL$14,$C4,MONTH($B$4)))=N$3,1,0)</f>
        <v>0</v>
      </c>
      <c r="CU5" s="58">
        <f>IF(DAY(INDEX('Сводный годовой график'!$BA$4:$BL$14,$C4,MONTH($B$4)))=O$3,1,0)</f>
        <v>0</v>
      </c>
      <c r="CV5" s="58">
        <f>IF(DAY(INDEX('Сводный годовой график'!$BA$4:$BL$14,$C4,MONTH($B$4)))=P$3,1,0)</f>
        <v>0</v>
      </c>
      <c r="CW5" s="58">
        <f>IF(DAY(INDEX('Сводный годовой график'!$BA$4:$BL$14,$C4,MONTH($B$4)))=Q$3,1,0)</f>
        <v>0</v>
      </c>
      <c r="CX5" s="58">
        <f>IF(DAY(INDEX('Сводный годовой график'!$BA$4:$BL$14,$C4,MONTH($B$4)))=R$3,1,0)</f>
        <v>0</v>
      </c>
      <c r="CY5" s="58">
        <f>IF(DAY(INDEX('Сводный годовой график'!$BA$4:$BL$14,$C4,MONTH($B$4)))=S$3,1,0)</f>
        <v>0</v>
      </c>
      <c r="CZ5" s="58">
        <f>IF(DAY(INDEX('Сводный годовой график'!$BA$4:$BL$14,$C4,MONTH($B$4)))=T$3,1,0)</f>
        <v>0</v>
      </c>
      <c r="DA5" s="58">
        <f>IF(DAY(INDEX('Сводный годовой график'!$BA$4:$BL$14,$C4,MONTH($B$4)))=U$3,1,0)</f>
        <v>0</v>
      </c>
      <c r="DB5" s="58">
        <f>IF(DAY(INDEX('Сводный годовой график'!$BA$4:$BL$14,$C4,MONTH($B$4)))=V$3,1,0)</f>
        <v>0</v>
      </c>
      <c r="DC5" s="58">
        <f>IF(DAY(INDEX('Сводный годовой график'!$BA$4:$BL$14,$C4,MONTH($B$4)))=W$3,1,0)</f>
        <v>0</v>
      </c>
      <c r="DD5" s="58">
        <f>IF(DAY(INDEX('Сводный годовой график'!$BA$4:$BL$14,$C4,MONTH($B$4)))=X$3,1,0)</f>
        <v>0</v>
      </c>
      <c r="DE5" s="58">
        <f>IF(DAY(INDEX('Сводный годовой график'!$BA$4:$BL$14,$C4,MONTH($B$4)))=Y$3,1,0)</f>
        <v>0</v>
      </c>
      <c r="DF5" s="58">
        <f>IF(DAY(INDEX('Сводный годовой график'!$BA$4:$BL$14,$C4,MONTH($B$4)))=Z$3,1,0)</f>
        <v>0</v>
      </c>
      <c r="DG5" s="58">
        <f>IF(DAY(INDEX('Сводный годовой график'!$BA$4:$BL$14,$C4,MONTH($B$4)))=AA$3,1,0)</f>
        <v>0</v>
      </c>
      <c r="DH5" s="58">
        <f>IF(DAY(INDEX('Сводный годовой график'!$BA$4:$BL$14,$C4,MONTH($B$4)))=AB$3,1,0)</f>
        <v>0</v>
      </c>
      <c r="DI5" s="58">
        <f>IF(DAY(INDEX('Сводный годовой график'!$BA$4:$BL$14,$C4,MONTH($B$4)))=AC$3,1,0)</f>
        <v>0</v>
      </c>
      <c r="DJ5" s="58">
        <f>IF(DAY(INDEX('Сводный годовой график'!$BA$4:$BL$14,$C4,MONTH($B$4)))=AD$3,1,0)</f>
        <v>0</v>
      </c>
      <c r="DK5" s="58">
        <f>IF(DAY(INDEX('Сводный годовой график'!$BA$4:$BL$14,$C4,MONTH($B$4)))=AE$3,1,0)</f>
        <v>0</v>
      </c>
      <c r="DL5" s="58">
        <f>IF(DAY(INDEX('Сводный годовой график'!$BA$4:$BL$14,$C4,MONTH($B$4)))=AF$3,1,0)</f>
        <v>0</v>
      </c>
      <c r="DM5" s="58">
        <f>IF(DAY(INDEX('Сводный годовой график'!$BA$4:$BL$14,$C4,MONTH($B$4)))=AG$3,1,0)</f>
        <v>0</v>
      </c>
      <c r="DN5" s="58">
        <f>IF(DAY(INDEX('Сводный годовой график'!$BA$4:$BL$14,$C4,MONTH($B$4)))=AH$3,1,0)</f>
        <v>0</v>
      </c>
      <c r="DO5" s="58">
        <f>IF(DAY(INDEX('Сводный годовой график'!$BA$4:$BL$14,$C4,MONTH($B$4)))=AI$3,1,0)</f>
        <v>0</v>
      </c>
    </row>
    <row r="6" spans="2:119" ht="16.5" thickBot="1" x14ac:dyDescent="0.3">
      <c r="B6" s="201"/>
      <c r="C6" s="196">
        <v>2</v>
      </c>
      <c r="D6" s="81">
        <v>3</v>
      </c>
      <c r="E6" s="92">
        <f ca="1">IF(AND(INDEX('Сводный годовой график'!$C$1:$AR$4,MATCH($C$6,'Сводный годовой график'!$B$1:$B$4),MATCH(DATE($AV$1,MONTH($B$4),E$3),'Сводный годовой график'!$C$5:$AR$5))&lt;&gt;12,INDIRECT(ADDRESS(ROW()+1,COLUMN()))="СП"),8,INDEX('Сводный годовой график'!$C$1:$AR$4,MATCH($C$6,'Сводный годовой график'!$B$1:$B$4),MATCH(DATE($AV$1,MONTH($B$4),E$3),'Сводный годовой график'!$C$5:$AR$5)))</f>
        <v>4</v>
      </c>
      <c r="F6" s="92">
        <f ca="1">IF(AND(INDEX('Сводный годовой график'!$C$1:$AR$4,MATCH($C$6,'Сводный годовой график'!$B$1:$B$4),MATCH(DATE($AV$1,MONTH($B$4),F$3),'Сводный годовой график'!$C$5:$AR$5))&lt;&gt;12,INDIRECT(ADDRESS(ROW()+1,COLUMN()))="СП"),8,INDEX('Сводный годовой график'!$C$1:$AR$4,MATCH($C$6,'Сводный годовой график'!$B$1:$B$4),MATCH(DATE($AV$1,MONTH($B$4),F$3),'Сводный годовой график'!$C$5:$AR$5)))</f>
        <v>8</v>
      </c>
      <c r="G6" s="92">
        <f ca="1">IF(AND(INDEX('Сводный годовой график'!$C$1:$AR$4,MATCH($C$6,'Сводный годовой график'!$B$1:$B$4),MATCH(DATE($AV$1,MONTH($B$4),G$3),'Сводный годовой график'!$C$5:$AR$5))&lt;&gt;12,INDIRECT(ADDRESS(ROW()+1,COLUMN()))="СП"),8,INDEX('Сводный годовой график'!$C$1:$AR$4,MATCH($C$6,'Сводный годовой график'!$B$1:$B$4),MATCH(DATE($AV$1,MONTH($B$4),G$3),'Сводный годовой график'!$C$5:$AR$5)))</f>
        <v>12</v>
      </c>
      <c r="H6" s="92">
        <f ca="1">IF(AND(INDEX('Сводный годовой график'!$C$1:$AR$4,MATCH($C$6,'Сводный годовой график'!$B$1:$B$4),MATCH(DATE($AV$1,MONTH($B$4),H$3),'Сводный годовой график'!$C$5:$AR$5))&lt;&gt;12,INDIRECT(ADDRESS(ROW()+1,COLUMN()))="СП"),8,INDEX('Сводный годовой график'!$C$1:$AR$4,MATCH($C$6,'Сводный годовой график'!$B$1:$B$4),MATCH(DATE($AV$1,MONTH($B$4),H$3),'Сводный годовой график'!$C$5:$AR$5)))</f>
        <v>4</v>
      </c>
      <c r="I6" s="92">
        <f ca="1">IF(AND(INDEX('Сводный годовой график'!$C$1:$AR$4,MATCH($C$6,'Сводный годовой график'!$B$1:$B$4),MATCH(DATE($AV$1,MONTH($B$4),I$3),'Сводный годовой график'!$C$5:$AR$5))&lt;&gt;12,INDIRECT(ADDRESS(ROW()+1,COLUMN()))="СП"),8,INDEX('Сводный годовой график'!$C$1:$AR$4,MATCH($C$6,'Сводный годовой график'!$B$1:$B$4),MATCH(DATE($AV$1,MONTH($B$4),I$3),'Сводный годовой график'!$C$5:$AR$5)))</f>
        <v>8</v>
      </c>
      <c r="J6" s="92">
        <f ca="1">IF(AND(INDEX('Сводный годовой график'!$C$1:$AR$4,MATCH($C$6,'Сводный годовой график'!$B$1:$B$4),MATCH(DATE($AV$1,MONTH($B$4),J$3),'Сводный годовой график'!$C$5:$AR$5))&lt;&gt;12,INDIRECT(ADDRESS(ROW()+1,COLUMN()))="СП"),8,INDEX('Сводный годовой график'!$C$1:$AR$4,MATCH($C$6,'Сводный годовой график'!$B$1:$B$4),MATCH(DATE($AV$1,MONTH($B$4),J$3),'Сводный годовой график'!$C$5:$AR$5)))</f>
        <v>12</v>
      </c>
      <c r="K6" s="92">
        <f ca="1">IF(AND(INDEX('Сводный годовой график'!$C$1:$AR$4,MATCH($C$6,'Сводный годовой график'!$B$1:$B$4),MATCH(DATE($AV$1,MONTH($B$4),K$3),'Сводный годовой график'!$C$5:$AR$5))&lt;&gt;12,INDIRECT(ADDRESS(ROW()+1,COLUMN()))="СП"),8,INDEX('Сводный годовой график'!$C$1:$AR$4,MATCH($C$6,'Сводный годовой график'!$B$1:$B$4),MATCH(DATE($AV$1,MONTH($B$4),K$3),'Сводный годовой график'!$C$5:$AR$5)))</f>
        <v>0</v>
      </c>
      <c r="L6" s="92">
        <f ca="1">IF(AND(INDEX('Сводный годовой график'!$C$1:$AR$4,MATCH($C$6,'Сводный годовой график'!$B$1:$B$4),MATCH(DATE($AV$1,MONTH($B$4),L$3),'Сводный годовой график'!$C$5:$AR$5))&lt;&gt;12,INDIRECT(ADDRESS(ROW()+1,COLUMN()))="СП"),8,INDEX('Сводный годовой график'!$C$1:$AR$4,MATCH($C$6,'Сводный годовой график'!$B$1:$B$4),MATCH(DATE($AV$1,MONTH($B$4),L$3),'Сводный годовой график'!$C$5:$AR$5)))</f>
        <v>0</v>
      </c>
      <c r="M6" s="92">
        <f ca="1">IF(AND(INDEX('Сводный годовой график'!$C$1:$AR$4,MATCH($C$6,'Сводный годовой график'!$B$1:$B$4),MATCH(DATE($AV$1,MONTH($B$4),M$3),'Сводный годовой график'!$C$5:$AR$5))&lt;&gt;12,INDIRECT(ADDRESS(ROW()+1,COLUMN()))="СП"),8,INDEX('Сводный годовой график'!$C$1:$AR$4,MATCH($C$6,'Сводный годовой график'!$B$1:$B$4),MATCH(DATE($AV$1,MONTH($B$4),M$3),'Сводный годовой график'!$C$5:$AR$5)))</f>
        <v>4</v>
      </c>
      <c r="N6" s="92">
        <f ca="1">IF(AND(INDEX('Сводный годовой график'!$C$1:$AR$4,MATCH($C$6,'Сводный годовой график'!$B$1:$B$4),MATCH(DATE($AV$1,MONTH($B$4),N$3),'Сводный годовой график'!$C$5:$AR$5))&lt;&gt;12,INDIRECT(ADDRESS(ROW()+1,COLUMN()))="СП"),8,INDEX('Сводный годовой график'!$C$1:$AR$4,MATCH($C$6,'Сводный годовой график'!$B$1:$B$4),MATCH(DATE($AV$1,MONTH($B$4),N$3),'Сводный годовой график'!$C$5:$AR$5)))</f>
        <v>8</v>
      </c>
      <c r="O6" s="92">
        <f ca="1">IF(AND(INDEX('Сводный годовой график'!$C$1:$AR$4,MATCH($C$6,'Сводный годовой график'!$B$1:$B$4),MATCH(DATE($AV$1,MONTH($B$4),O$3),'Сводный годовой график'!$C$5:$AR$5))&lt;&gt;12,INDIRECT(ADDRESS(ROW()+1,COLUMN()))="СП"),8,INDEX('Сводный годовой график'!$C$1:$AR$4,MATCH($C$6,'Сводный годовой график'!$B$1:$B$4),MATCH(DATE($AV$1,MONTH($B$4),O$3),'Сводный годовой график'!$C$5:$AR$5)))</f>
        <v>12</v>
      </c>
      <c r="P6" s="92">
        <f ca="1">IF(AND(INDEX('Сводный годовой график'!$C$1:$AR$4,MATCH($C$6,'Сводный годовой график'!$B$1:$B$4),MATCH(DATE($AV$1,MONTH($B$4),P$3),'Сводный годовой график'!$C$5:$AR$5))&lt;&gt;12,INDIRECT(ADDRESS(ROW()+1,COLUMN()))="СП"),8,INDEX('Сводный годовой график'!$C$1:$AR$4,MATCH($C$6,'Сводный годовой график'!$B$1:$B$4),MATCH(DATE($AV$1,MONTH($B$4),P$3),'Сводный годовой график'!$C$5:$AR$5)))</f>
        <v>4</v>
      </c>
      <c r="Q6" s="92">
        <f ca="1">IF(AND(INDEX('Сводный годовой график'!$C$1:$AR$4,MATCH($C$6,'Сводный годовой график'!$B$1:$B$4),MATCH(DATE($AV$1,MONTH($B$4),Q$3),'Сводный годовой график'!$C$5:$AR$5))&lt;&gt;12,INDIRECT(ADDRESS(ROW()+1,COLUMN()))="СП"),8,INDEX('Сводный годовой график'!$C$1:$AR$4,MATCH($C$6,'Сводный годовой график'!$B$1:$B$4),MATCH(DATE($AV$1,MONTH($B$4),Q$3),'Сводный годовой график'!$C$5:$AR$5)))</f>
        <v>8</v>
      </c>
      <c r="R6" s="92">
        <f ca="1">IF(AND(INDEX('Сводный годовой график'!$C$1:$AR$4,MATCH($C$6,'Сводный годовой график'!$B$1:$B$4),MATCH(DATE($AV$1,MONTH($B$4),R$3),'Сводный годовой график'!$C$5:$AR$5))&lt;&gt;12,INDIRECT(ADDRESS(ROW()+1,COLUMN()))="СП"),8,INDEX('Сводный годовой график'!$C$1:$AR$4,MATCH($C$6,'Сводный годовой график'!$B$1:$B$4),MATCH(DATE($AV$1,MONTH($B$4),R$3),'Сводный годовой график'!$C$5:$AR$5)))</f>
        <v>12</v>
      </c>
      <c r="S6" s="92">
        <f ca="1">IF(AND(INDEX('Сводный годовой график'!$C$1:$AR$4,MATCH($C$6,'Сводный годовой график'!$B$1:$B$4),MATCH(DATE($AV$1,MONTH($B$4),S$3),'Сводный годовой график'!$C$5:$AR$5))&lt;&gt;12,INDIRECT(ADDRESS(ROW()+1,COLUMN()))="СП"),8,INDEX('Сводный годовой график'!$C$1:$AR$4,MATCH($C$6,'Сводный годовой график'!$B$1:$B$4),MATCH(DATE($AV$1,MONTH($B$4),S$3),'Сводный годовой график'!$C$5:$AR$5)))</f>
        <v>0</v>
      </c>
      <c r="T6" s="92">
        <f ca="1">IF(AND(INDEX('Сводный годовой график'!$C$1:$AR$4,MATCH($C$6,'Сводный годовой график'!$B$1:$B$4),MATCH(DATE($AV$1,MONTH($B$4),T$3),'Сводный годовой график'!$C$5:$AR$5))&lt;&gt;12,INDIRECT(ADDRESS(ROW()+1,COLUMN()))="СП"),8,INDEX('Сводный годовой график'!$C$1:$AR$4,MATCH($C$6,'Сводный годовой график'!$B$1:$B$4),MATCH(DATE($AV$1,MONTH($B$4),T$3),'Сводный годовой график'!$C$5:$AR$5)))</f>
        <v>0</v>
      </c>
      <c r="U6" s="92">
        <f ca="1">IF(AND(INDEX('Сводный годовой график'!$C$1:$AR$4,MATCH($C$6,'Сводный годовой график'!$B$1:$B$4),MATCH(DATE($AV$1,MONTH($B$4),U$3),'Сводный годовой график'!$C$5:$AR$5))&lt;&gt;12,INDIRECT(ADDRESS(ROW()+1,COLUMN()))="СП"),8,INDEX('Сводный годовой график'!$C$1:$AR$4,MATCH($C$6,'Сводный годовой график'!$B$1:$B$4),MATCH(DATE($AV$1,MONTH($B$4),U$3),'Сводный годовой график'!$C$5:$AR$5)))</f>
        <v>4</v>
      </c>
      <c r="V6" s="92">
        <f ca="1">IF(AND(INDEX('Сводный годовой график'!$C$1:$AR$4,MATCH($C$6,'Сводный годовой график'!$B$1:$B$4),MATCH(DATE($AV$1,MONTH($B$4),V$3),'Сводный годовой график'!$C$5:$AR$5))&lt;&gt;12,INDIRECT(ADDRESS(ROW()+1,COLUMN()))="СП"),8,INDEX('Сводный годовой график'!$C$1:$AR$4,MATCH($C$6,'Сводный годовой график'!$B$1:$B$4),MATCH(DATE($AV$1,MONTH($B$4),V$3),'Сводный годовой график'!$C$5:$AR$5)))</f>
        <v>8</v>
      </c>
      <c r="W6" s="92">
        <f ca="1">IF(AND(INDEX('Сводный годовой график'!$C$1:$AR$4,MATCH($C$6,'Сводный годовой график'!$B$1:$B$4),MATCH(DATE($AV$1,MONTH($B$4),W$3),'Сводный годовой график'!$C$5:$AR$5))&lt;&gt;12,INDIRECT(ADDRESS(ROW()+1,COLUMN()))="СП"),8,INDEX('Сводный годовой график'!$C$1:$AR$4,MATCH($C$6,'Сводный годовой график'!$B$1:$B$4),MATCH(DATE($AV$1,MONTH($B$4),W$3),'Сводный годовой график'!$C$5:$AR$5)))</f>
        <v>12</v>
      </c>
      <c r="X6" s="92">
        <f ca="1">IF(AND(INDEX('Сводный годовой график'!$C$1:$AR$4,MATCH($C$6,'Сводный годовой график'!$B$1:$B$4),MATCH(DATE($AV$1,MONTH($B$4),X$3),'Сводный годовой график'!$C$5:$AR$5))&lt;&gt;12,INDIRECT(ADDRESS(ROW()+1,COLUMN()))="СП"),8,INDEX('Сводный годовой график'!$C$1:$AR$4,MATCH($C$6,'Сводный годовой график'!$B$1:$B$4),MATCH(DATE($AV$1,MONTH($B$4),X$3),'Сводный годовой график'!$C$5:$AR$5)))</f>
        <v>4</v>
      </c>
      <c r="Y6" s="92">
        <f ca="1">IF(AND(INDEX('Сводный годовой график'!$C$1:$AR$4,MATCH($C$6,'Сводный годовой график'!$B$1:$B$4),MATCH(DATE($AV$1,MONTH($B$4),Y$3),'Сводный годовой график'!$C$5:$AR$5))&lt;&gt;12,INDIRECT(ADDRESS(ROW()+1,COLUMN()))="СП"),8,INDEX('Сводный годовой график'!$C$1:$AR$4,MATCH($C$6,'Сводный годовой график'!$B$1:$B$4),MATCH(DATE($AV$1,MONTH($B$4),Y$3),'Сводный годовой график'!$C$5:$AR$5)))</f>
        <v>8</v>
      </c>
      <c r="Z6" s="92">
        <f ca="1">IF(AND(INDEX('Сводный годовой график'!$C$1:$AR$4,MATCH($C$6,'Сводный годовой график'!$B$1:$B$4),MATCH(DATE($AV$1,MONTH($B$4),Z$3),'Сводный годовой график'!$C$5:$AR$5))&lt;&gt;12,INDIRECT(ADDRESS(ROW()+1,COLUMN()))="СП"),8,INDEX('Сводный годовой график'!$C$1:$AR$4,MATCH($C$6,'Сводный годовой график'!$B$1:$B$4),MATCH(DATE($AV$1,MONTH($B$4),Z$3),'Сводный годовой график'!$C$5:$AR$5)))</f>
        <v>12</v>
      </c>
      <c r="AA6" s="92">
        <f ca="1">IF(AND(INDEX('Сводный годовой график'!$C$1:$AR$4,MATCH($C$6,'Сводный годовой график'!$B$1:$B$4),MATCH(DATE($AV$1,MONTH($B$4),AA$3),'Сводный годовой график'!$C$5:$AR$5))&lt;&gt;12,INDIRECT(ADDRESS(ROW()+1,COLUMN()))="СП"),8,INDEX('Сводный годовой график'!$C$1:$AR$4,MATCH($C$6,'Сводный годовой график'!$B$1:$B$4),MATCH(DATE($AV$1,MONTH($B$4),AA$3),'Сводный годовой график'!$C$5:$AR$5)))</f>
        <v>0</v>
      </c>
      <c r="AB6" s="92">
        <f ca="1">IF(AND(INDEX('Сводный годовой график'!$C$1:$AR$4,MATCH($C$6,'Сводный годовой график'!$B$1:$B$4),MATCH(DATE($AV$1,MONTH($B$4),AB$3),'Сводный годовой график'!$C$5:$AR$5))&lt;&gt;12,INDIRECT(ADDRESS(ROW()+1,COLUMN()))="СП"),8,INDEX('Сводный годовой график'!$C$1:$AR$4,MATCH($C$6,'Сводный годовой график'!$B$1:$B$4),MATCH(DATE($AV$1,MONTH($B$4),AB$3),'Сводный годовой график'!$C$5:$AR$5)))</f>
        <v>0</v>
      </c>
      <c r="AC6" s="92">
        <f ca="1">IF(AND(INDEX('Сводный годовой график'!$C$1:$AR$4,MATCH($C$6,'Сводный годовой график'!$B$1:$B$4),MATCH(DATE($AV$1,MONTH($B$4),AC$3),'Сводный годовой график'!$C$5:$AR$5))&lt;&gt;12,INDIRECT(ADDRESS(ROW()+1,COLUMN()))="СП"),8,INDEX('Сводный годовой график'!$C$1:$AR$4,MATCH($C$6,'Сводный годовой график'!$B$1:$B$4),MATCH(DATE($AV$1,MONTH($B$4),AC$3),'Сводный годовой график'!$C$5:$AR$5)))</f>
        <v>4</v>
      </c>
      <c r="AD6" s="92">
        <f ca="1">IF(AND(INDEX('Сводный годовой график'!$C$1:$AR$4,MATCH($C$6,'Сводный годовой график'!$B$1:$B$4),MATCH(DATE($AV$1,MONTH($B$4),AD$3),'Сводный годовой график'!$C$5:$AR$5))&lt;&gt;12,INDIRECT(ADDRESS(ROW()+1,COLUMN()))="СП"),8,INDEX('Сводный годовой график'!$C$1:$AR$4,MATCH($C$6,'Сводный годовой график'!$B$1:$B$4),MATCH(DATE($AV$1,MONTH($B$4),AD$3),'Сводный годовой график'!$C$5:$AR$5)))</f>
        <v>8</v>
      </c>
      <c r="AE6" s="92">
        <f ca="1">IF(AND(INDEX('Сводный годовой график'!$C$1:$AR$4,MATCH($C$6,'Сводный годовой график'!$B$1:$B$4),MATCH(DATE($AV$1,MONTH($B$4),AE$3),'Сводный годовой график'!$C$5:$AR$5))&lt;&gt;12,INDIRECT(ADDRESS(ROW()+1,COLUMN()))="СП"),8,INDEX('Сводный годовой график'!$C$1:$AR$4,MATCH($C$6,'Сводный годовой график'!$B$1:$B$4),MATCH(DATE($AV$1,MONTH($B$4),AE$3),'Сводный годовой график'!$C$5:$AR$5)))</f>
        <v>12</v>
      </c>
      <c r="AF6" s="92">
        <f ca="1">IF(AND(INDEX('Сводный годовой график'!$C$1:$AR$4,MATCH($C$6,'Сводный годовой график'!$B$1:$B$4),MATCH(DATE($AV$1,MONTH($B$4),AF$3),'Сводный годовой график'!$C$5:$AR$5))&lt;&gt;12,INDIRECT(ADDRESS(ROW()+1,COLUMN()))="СП"),8,INDEX('Сводный годовой график'!$C$1:$AR$4,MATCH($C$6,'Сводный годовой график'!$B$1:$B$4),MATCH(DATE($AV$1,MONTH($B$4),AF$3),'Сводный годовой график'!$C$5:$AR$5)))</f>
        <v>4</v>
      </c>
      <c r="AG6" s="92">
        <f ca="1">IF(AND(INDEX('Сводный годовой график'!$C$1:$AR$4,MATCH($C$6,'Сводный годовой график'!$B$1:$B$4),MATCH(DATE($AV$1,MONTH($B$4),AG$3),'Сводный годовой график'!$C$5:$AR$5))&lt;&gt;12,INDIRECT(ADDRESS(ROW()+1,COLUMN()))="СП"),8,INDEX('Сводный годовой график'!$C$1:$AR$4,MATCH($C$6,'Сводный годовой график'!$B$1:$B$4),MATCH(DATE($AV$1,MONTH($B$4),AG$3),'Сводный годовой график'!$C$5:$AR$5)))</f>
        <v>8</v>
      </c>
      <c r="AH6" s="92">
        <f ca="1">IF(AND(INDEX('Сводный годовой график'!$C$1:$AR$4,MATCH($C$6,'Сводный годовой график'!$B$1:$B$4),MATCH(DATE($AV$1,MONTH($B$4),AH$3),'Сводный годовой график'!$C$5:$AR$5))&lt;&gt;12,INDIRECT(ADDRESS(ROW()+1,COLUMN()))="СП"),8,INDEX('Сводный годовой график'!$C$1:$AR$4,MATCH($C$6,'Сводный годовой график'!$B$1:$B$4),MATCH(DATE($AV$1,MONTH($B$4),AH$3),'Сводный годовой график'!$C$5:$AR$5)))</f>
        <v>12</v>
      </c>
      <c r="AI6" s="97">
        <f ca="1">IF(AND(INDEX('Сводный годовой график'!$C$1:$AR$4,MATCH($C$6,'Сводный годовой график'!$B$1:$B$4),MATCH(DATE($AV$1,MONTH($B$4),AI$3),'Сводный годовой график'!$C$5:$AR$5))&lt;&gt;12,INDIRECT(ADDRESS(ROW()+1,COLUMN()))="СП"),8,INDEX('Сводный годовой график'!$C$1:$AR$4,MATCH($C$6,'Сводный годовой график'!$B$1:$B$4),MATCH(DATE($AV$1,MONTH($B$4),AI$3),'Сводный годовой график'!$C$5:$AR$5)))</f>
        <v>0</v>
      </c>
      <c r="AJ6" s="206"/>
      <c r="AK6" s="209">
        <f>$AJ$4-SUM(AY6:CC7)</f>
        <v>136</v>
      </c>
      <c r="AL6" s="209">
        <f t="shared" ref="AL6" ca="1" si="2">SUM(E6:AI7)</f>
        <v>192</v>
      </c>
      <c r="AM6" s="209">
        <f t="shared" ref="AM6" ca="1" si="3">SUM(E6:L6)</f>
        <v>48</v>
      </c>
      <c r="AN6" s="211">
        <f t="shared" ref="AN6" ca="1" si="4">-AM6-AK6+AL6</f>
        <v>8</v>
      </c>
      <c r="AO6" s="211">
        <v>0</v>
      </c>
      <c r="AP6" s="211">
        <f t="shared" ref="AP6" ca="1" si="5">AN6-AO6</f>
        <v>8</v>
      </c>
      <c r="AQ6" s="209">
        <v>0</v>
      </c>
      <c r="AR6" s="210">
        <v>1</v>
      </c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  <c r="DH6" s="59"/>
      <c r="DI6" s="59"/>
      <c r="DJ6" s="59"/>
      <c r="DK6" s="59"/>
      <c r="DL6" s="59"/>
      <c r="DM6" s="59"/>
      <c r="DN6" s="59"/>
      <c r="DO6" s="59"/>
    </row>
    <row r="7" spans="2:119" ht="16.5" thickBot="1" x14ac:dyDescent="0.3">
      <c r="B7" s="201"/>
      <c r="C7" s="197"/>
      <c r="D7" s="82">
        <v>4</v>
      </c>
      <c r="E7" s="92" t="str">
        <f t="shared" ref="E7:AI7" si="6">IF(INDEX($CK$4:$DO$123,ROW()-3,E$3)=0,"","СП")</f>
        <v/>
      </c>
      <c r="F7" s="92" t="str">
        <f t="shared" si="6"/>
        <v>СП</v>
      </c>
      <c r="G7" s="92" t="str">
        <f t="shared" si="6"/>
        <v/>
      </c>
      <c r="H7" s="92" t="str">
        <f t="shared" si="6"/>
        <v/>
      </c>
      <c r="I7" s="92" t="str">
        <f t="shared" si="6"/>
        <v/>
      </c>
      <c r="J7" s="92" t="str">
        <f t="shared" si="6"/>
        <v/>
      </c>
      <c r="K7" s="92" t="str">
        <f t="shared" si="6"/>
        <v/>
      </c>
      <c r="L7" s="92" t="str">
        <f t="shared" si="6"/>
        <v/>
      </c>
      <c r="M7" s="92" t="str">
        <f t="shared" si="6"/>
        <v/>
      </c>
      <c r="N7" s="92" t="str">
        <f t="shared" si="6"/>
        <v/>
      </c>
      <c r="O7" s="92" t="str">
        <f t="shared" si="6"/>
        <v/>
      </c>
      <c r="P7" s="92" t="str">
        <f t="shared" si="6"/>
        <v/>
      </c>
      <c r="Q7" s="92" t="str">
        <f t="shared" si="6"/>
        <v/>
      </c>
      <c r="R7" s="92" t="str">
        <f t="shared" si="6"/>
        <v/>
      </c>
      <c r="S7" s="92" t="str">
        <f t="shared" si="6"/>
        <v/>
      </c>
      <c r="T7" s="92" t="str">
        <f t="shared" si="6"/>
        <v/>
      </c>
      <c r="U7" s="92" t="str">
        <f t="shared" si="6"/>
        <v/>
      </c>
      <c r="V7" s="92" t="str">
        <f t="shared" si="6"/>
        <v/>
      </c>
      <c r="W7" s="92" t="str">
        <f t="shared" si="6"/>
        <v/>
      </c>
      <c r="X7" s="92" t="str">
        <f t="shared" si="6"/>
        <v/>
      </c>
      <c r="Y7" s="92" t="str">
        <f t="shared" si="6"/>
        <v/>
      </c>
      <c r="Z7" s="92" t="str">
        <f t="shared" si="6"/>
        <v/>
      </c>
      <c r="AA7" s="92" t="str">
        <f t="shared" si="6"/>
        <v/>
      </c>
      <c r="AB7" s="92" t="str">
        <f t="shared" si="6"/>
        <v/>
      </c>
      <c r="AC7" s="92" t="str">
        <f t="shared" si="6"/>
        <v/>
      </c>
      <c r="AD7" s="92" t="str">
        <f t="shared" si="6"/>
        <v/>
      </c>
      <c r="AE7" s="92" t="str">
        <f t="shared" si="6"/>
        <v/>
      </c>
      <c r="AF7" s="92" t="str">
        <f t="shared" si="6"/>
        <v/>
      </c>
      <c r="AG7" s="92" t="str">
        <f t="shared" si="6"/>
        <v/>
      </c>
      <c r="AH7" s="92" t="str">
        <f t="shared" si="6"/>
        <v/>
      </c>
      <c r="AI7" s="97" t="str">
        <f t="shared" si="6"/>
        <v/>
      </c>
      <c r="AJ7" s="206"/>
      <c r="AK7" s="209"/>
      <c r="AL7" s="209"/>
      <c r="AM7" s="209"/>
      <c r="AN7" s="211"/>
      <c r="AO7" s="211"/>
      <c r="AP7" s="211"/>
      <c r="AQ7" s="209"/>
      <c r="AR7" s="210"/>
      <c r="AT7">
        <f>40*23</f>
        <v>920</v>
      </c>
      <c r="CK7" s="58">
        <f>IF(DAY(INDEX('Сводный годовой график'!$BA$4:$BL$14,$C6,MONTH($B$4)))=E$3,1,0)</f>
        <v>0</v>
      </c>
      <c r="CL7" s="58">
        <f>IF(DAY(INDEX('Сводный годовой график'!$BA$4:$BL$14,$C6,MONTH($B$4)))=F$3,1,0)</f>
        <v>1</v>
      </c>
      <c r="CM7" s="58">
        <f>IF(DAY(INDEX('Сводный годовой график'!$BA$4:$BL$14,$C6,MONTH($B$4)))=G$3,1,0)</f>
        <v>0</v>
      </c>
      <c r="CN7" s="58">
        <f>IF(DAY(INDEX('Сводный годовой график'!$BA$4:$BL$14,$C6,MONTH($B$4)))=H$3,1,0)</f>
        <v>0</v>
      </c>
      <c r="CO7" s="58">
        <f>IF(DAY(INDEX('Сводный годовой график'!$BA$4:$BL$14,$C6,MONTH($B$4)))=I$3,1,0)</f>
        <v>0</v>
      </c>
      <c r="CP7" s="58">
        <f>IF(DAY(INDEX('Сводный годовой график'!$BA$4:$BL$14,$C6,MONTH($B$4)))=J$3,1,0)</f>
        <v>0</v>
      </c>
      <c r="CQ7" s="58">
        <f>IF(DAY(INDEX('Сводный годовой график'!$BA$4:$BL$14,$C6,MONTH($B$4)))=K$3,1,0)</f>
        <v>0</v>
      </c>
      <c r="CR7" s="58">
        <f>IF(DAY(INDEX('Сводный годовой график'!$BA$4:$BL$14,$C6,MONTH($B$4)))=L$3,1,0)</f>
        <v>0</v>
      </c>
      <c r="CS7" s="58">
        <f>IF(DAY(INDEX('Сводный годовой график'!$BA$4:$BL$14,$C6,MONTH($B$4)))=M$3,1,0)</f>
        <v>0</v>
      </c>
      <c r="CT7" s="58">
        <f>IF(DAY(INDEX('Сводный годовой график'!$BA$4:$BL$14,$C6,MONTH($B$4)))=N$3,1,0)</f>
        <v>0</v>
      </c>
      <c r="CU7" s="58">
        <f>IF(DAY(INDEX('Сводный годовой график'!$BA$4:$BL$14,$C6,MONTH($B$4)))=O$3,1,0)</f>
        <v>0</v>
      </c>
      <c r="CV7" s="58">
        <f>IF(DAY(INDEX('Сводный годовой график'!$BA$4:$BL$14,$C6,MONTH($B$4)))=P$3,1,0)</f>
        <v>0</v>
      </c>
      <c r="CW7" s="58">
        <f>IF(DAY(INDEX('Сводный годовой график'!$BA$4:$BL$14,$C6,MONTH($B$4)))=Q$3,1,0)</f>
        <v>0</v>
      </c>
      <c r="CX7" s="58">
        <f>IF(DAY(INDEX('Сводный годовой график'!$BA$4:$BL$14,$C6,MONTH($B$4)))=R$3,1,0)</f>
        <v>0</v>
      </c>
      <c r="CY7" s="58">
        <f>IF(DAY(INDEX('Сводный годовой график'!$BA$4:$BL$14,$C6,MONTH($B$4)))=S$3,1,0)</f>
        <v>0</v>
      </c>
      <c r="CZ7" s="58">
        <f>IF(DAY(INDEX('Сводный годовой график'!$BA$4:$BL$14,$C6,MONTH($B$4)))=T$3,1,0)</f>
        <v>0</v>
      </c>
      <c r="DA7" s="58">
        <f>IF(DAY(INDEX('Сводный годовой график'!$BA$4:$BL$14,$C6,MONTH($B$4)))=U$3,1,0)</f>
        <v>0</v>
      </c>
      <c r="DB7" s="58">
        <f>IF(DAY(INDEX('Сводный годовой график'!$BA$4:$BL$14,$C6,MONTH($B$4)))=V$3,1,0)</f>
        <v>0</v>
      </c>
      <c r="DC7" s="58">
        <f>IF(DAY(INDEX('Сводный годовой график'!$BA$4:$BL$14,$C6,MONTH($B$4)))=W$3,1,0)</f>
        <v>0</v>
      </c>
      <c r="DD7" s="58">
        <f>IF(DAY(INDEX('Сводный годовой график'!$BA$4:$BL$14,$C6,MONTH($B$4)))=X$3,1,0)</f>
        <v>0</v>
      </c>
      <c r="DE7" s="58">
        <f>IF(DAY(INDEX('Сводный годовой график'!$BA$4:$BL$14,$C6,MONTH($B$4)))=Y$3,1,0)</f>
        <v>0</v>
      </c>
      <c r="DF7" s="58">
        <f>IF(DAY(INDEX('Сводный годовой график'!$BA$4:$BL$14,$C6,MONTH($B$4)))=Z$3,1,0)</f>
        <v>0</v>
      </c>
      <c r="DG7" s="58">
        <f>IF(DAY(INDEX('Сводный годовой график'!$BA$4:$BL$14,$C6,MONTH($B$4)))=AA$3,1,0)</f>
        <v>0</v>
      </c>
      <c r="DH7" s="58">
        <f>IF(DAY(INDEX('Сводный годовой график'!$BA$4:$BL$14,$C6,MONTH($B$4)))=AB$3,1,0)</f>
        <v>0</v>
      </c>
      <c r="DI7" s="58">
        <f>IF(DAY(INDEX('Сводный годовой график'!$BA$4:$BL$14,$C6,MONTH($B$4)))=AC$3,1,0)</f>
        <v>0</v>
      </c>
      <c r="DJ7" s="58">
        <f>IF(DAY(INDEX('Сводный годовой график'!$BA$4:$BL$14,$C6,MONTH($B$4)))=AD$3,1,0)</f>
        <v>0</v>
      </c>
      <c r="DK7" s="58">
        <f>IF(DAY(INDEX('Сводный годовой график'!$BA$4:$BL$14,$C6,MONTH($B$4)))=AE$3,1,0)</f>
        <v>0</v>
      </c>
      <c r="DL7" s="58">
        <f>IF(DAY(INDEX('Сводный годовой график'!$BA$4:$BL$14,$C6,MONTH($B$4)))=AF$3,1,0)</f>
        <v>0</v>
      </c>
      <c r="DM7" s="58">
        <f>IF(DAY(INDEX('Сводный годовой график'!$BA$4:$BL$14,$C6,MONTH($B$4)))=AG$3,1,0)</f>
        <v>0</v>
      </c>
      <c r="DN7" s="58">
        <f>IF(DAY(INDEX('Сводный годовой график'!$BA$4:$BL$14,$C6,MONTH($B$4)))=AH$3,1,0)</f>
        <v>0</v>
      </c>
      <c r="DO7" s="58">
        <f>IF(DAY(INDEX('Сводный годовой график'!$BA$4:$BL$14,$C6,MONTH($B$4)))=AI$3,1,0)</f>
        <v>0</v>
      </c>
    </row>
    <row r="8" spans="2:119" ht="16.5" thickBot="1" x14ac:dyDescent="0.3">
      <c r="B8" s="201"/>
      <c r="C8" s="196">
        <v>3</v>
      </c>
      <c r="D8" s="81">
        <v>5</v>
      </c>
      <c r="E8" s="92">
        <f ca="1">IF(AND(INDEX('Сводный годовой график'!$C$1:$AR$4,MATCH($C$8,'Сводный годовой график'!$B$1:$B$4),MATCH(DATE($AV$1,MONTH($B$4),E$3),'Сводный годовой график'!$C$5:$AR$5))&lt;&gt;12,INDIRECT(ADDRESS(ROW()+1,COLUMN()))="СП"),8,INDEX('Сводный годовой график'!$C$1:$AR$4,MATCH($C$8,'Сводный годовой график'!$B$1:$B$4),MATCH(DATE($AV$1,MONTH($B$4),E$3),'Сводный годовой график'!$C$5:$AR$5)))</f>
        <v>8</v>
      </c>
      <c r="F8" s="92">
        <f ca="1">IF(AND(INDEX('Сводный годовой график'!$C$1:$AR$4,MATCH($C$8,'Сводный годовой график'!$B$1:$B$4),MATCH(DATE($AV$1,MONTH($B$4),F$3),'Сводный годовой график'!$C$5:$AR$5))&lt;&gt;12,INDIRECT(ADDRESS(ROW()+1,COLUMN()))="СП"),8,INDEX('Сводный годовой график'!$C$1:$AR$4,MATCH($C$8,'Сводный годовой график'!$B$1:$B$4),MATCH(DATE($AV$1,MONTH($B$4),F$3),'Сводный годовой график'!$C$5:$AR$5)))</f>
        <v>12</v>
      </c>
      <c r="G8" s="92">
        <f ca="1">IF(AND(INDEX('Сводный годовой график'!$C$1:$AR$4,MATCH($C$8,'Сводный годовой график'!$B$1:$B$4),MATCH(DATE($AV$1,MONTH($B$4),G$3),'Сводный годовой график'!$C$5:$AR$5))&lt;&gt;12,INDIRECT(ADDRESS(ROW()+1,COLUMN()))="СП"),8,INDEX('Сводный годовой график'!$C$1:$AR$4,MATCH($C$8,'Сводный годовой график'!$B$1:$B$4),MATCH(DATE($AV$1,MONTH($B$4),G$3),'Сводный годовой график'!$C$5:$AR$5)))</f>
        <v>8</v>
      </c>
      <c r="H8" s="92">
        <f ca="1">IF(AND(INDEX('Сводный годовой график'!$C$1:$AR$4,MATCH($C$8,'Сводный годовой график'!$B$1:$B$4),MATCH(DATE($AV$1,MONTH($B$4),H$3),'Сводный годовой график'!$C$5:$AR$5))&lt;&gt;12,INDIRECT(ADDRESS(ROW()+1,COLUMN()))="СП"),8,INDEX('Сводный годовой график'!$C$1:$AR$4,MATCH($C$8,'Сводный годовой график'!$B$1:$B$4),MATCH(DATE($AV$1,MONTH($B$4),H$3),'Сводный годовой график'!$C$5:$AR$5)))</f>
        <v>0</v>
      </c>
      <c r="I8" s="92">
        <f ca="1">IF(AND(INDEX('Сводный годовой график'!$C$1:$AR$4,MATCH($C$8,'Сводный годовой график'!$B$1:$B$4),MATCH(DATE($AV$1,MONTH($B$4),I$3),'Сводный годовой график'!$C$5:$AR$5))&lt;&gt;12,INDIRECT(ADDRESS(ROW()+1,COLUMN()))="СП"),8,INDEX('Сводный годовой график'!$C$1:$AR$4,MATCH($C$8,'Сводный годовой график'!$B$1:$B$4),MATCH(DATE($AV$1,MONTH($B$4),I$3),'Сводный годовой график'!$C$5:$AR$5)))</f>
        <v>4</v>
      </c>
      <c r="J8" s="92">
        <f ca="1">IF(AND(INDEX('Сводный годовой график'!$C$1:$AR$4,MATCH($C$8,'Сводный годовой график'!$B$1:$B$4),MATCH(DATE($AV$1,MONTH($B$4),J$3),'Сводный годовой график'!$C$5:$AR$5))&lt;&gt;12,INDIRECT(ADDRESS(ROW()+1,COLUMN()))="СП"),8,INDEX('Сводный годовой график'!$C$1:$AR$4,MATCH($C$8,'Сводный годовой график'!$B$1:$B$4),MATCH(DATE($AV$1,MONTH($B$4),J$3),'Сводный годовой график'!$C$5:$AR$5)))</f>
        <v>8</v>
      </c>
      <c r="K8" s="92">
        <f ca="1">IF(AND(INDEX('Сводный годовой график'!$C$1:$AR$4,MATCH($C$8,'Сводный годовой график'!$B$1:$B$4),MATCH(DATE($AV$1,MONTH($B$4),K$3),'Сводный годовой график'!$C$5:$AR$5))&lt;&gt;12,INDIRECT(ADDRESS(ROW()+1,COLUMN()))="СП"),8,INDEX('Сводный годовой график'!$C$1:$AR$4,MATCH($C$8,'Сводный годовой график'!$B$1:$B$4),MATCH(DATE($AV$1,MONTH($B$4),K$3),'Сводный годовой график'!$C$5:$AR$5)))</f>
        <v>12</v>
      </c>
      <c r="L8" s="92">
        <f ca="1">IF(AND(INDEX('Сводный годовой график'!$C$1:$AR$4,MATCH($C$8,'Сводный годовой график'!$B$1:$B$4),MATCH(DATE($AV$1,MONTH($B$4),L$3),'Сводный годовой график'!$C$5:$AR$5))&lt;&gt;12,INDIRECT(ADDRESS(ROW()+1,COLUMN()))="СП"),8,INDEX('Сводный годовой график'!$C$1:$AR$4,MATCH($C$8,'Сводный годовой график'!$B$1:$B$4),MATCH(DATE($AV$1,MONTH($B$4),L$3),'Сводный годовой график'!$C$5:$AR$5)))</f>
        <v>4</v>
      </c>
      <c r="M8" s="92">
        <f ca="1">IF(AND(INDEX('Сводный годовой график'!$C$1:$AR$4,MATCH($C$8,'Сводный годовой график'!$B$1:$B$4),MATCH(DATE($AV$1,MONTH($B$4),M$3),'Сводный годовой график'!$C$5:$AR$5))&lt;&gt;12,INDIRECT(ADDRESS(ROW()+1,COLUMN()))="СП"),8,INDEX('Сводный годовой график'!$C$1:$AR$4,MATCH($C$8,'Сводный годовой график'!$B$1:$B$4),MATCH(DATE($AV$1,MONTH($B$4),M$3),'Сводный годовой график'!$C$5:$AR$5)))</f>
        <v>8</v>
      </c>
      <c r="N8" s="92">
        <f ca="1">IF(AND(INDEX('Сводный годовой график'!$C$1:$AR$4,MATCH($C$8,'Сводный годовой график'!$B$1:$B$4),MATCH(DATE($AV$1,MONTH($B$4),N$3),'Сводный годовой график'!$C$5:$AR$5))&lt;&gt;12,INDIRECT(ADDRESS(ROW()+1,COLUMN()))="СП"),8,INDEX('Сводный годовой график'!$C$1:$AR$4,MATCH($C$8,'Сводный годовой график'!$B$1:$B$4),MATCH(DATE($AV$1,MONTH($B$4),N$3),'Сводный годовой график'!$C$5:$AR$5)))</f>
        <v>12</v>
      </c>
      <c r="O8" s="92">
        <f ca="1">IF(AND(INDEX('Сводный годовой график'!$C$1:$AR$4,MATCH($C$8,'Сводный годовой график'!$B$1:$B$4),MATCH(DATE($AV$1,MONTH($B$4),O$3),'Сводный годовой график'!$C$5:$AR$5))&lt;&gt;12,INDIRECT(ADDRESS(ROW()+1,COLUMN()))="СП"),8,INDEX('Сводный годовой график'!$C$1:$AR$4,MATCH($C$8,'Сводный годовой график'!$B$1:$B$4),MATCH(DATE($AV$1,MONTH($B$4),O$3),'Сводный годовой график'!$C$5:$AR$5)))</f>
        <v>0</v>
      </c>
      <c r="P8" s="92">
        <f ca="1">IF(AND(INDEX('Сводный годовой график'!$C$1:$AR$4,MATCH($C$8,'Сводный годовой график'!$B$1:$B$4),MATCH(DATE($AV$1,MONTH($B$4),P$3),'Сводный годовой график'!$C$5:$AR$5))&lt;&gt;12,INDIRECT(ADDRESS(ROW()+1,COLUMN()))="СП"),8,INDEX('Сводный годовой график'!$C$1:$AR$4,MATCH($C$8,'Сводный годовой график'!$B$1:$B$4),MATCH(DATE($AV$1,MONTH($B$4),P$3),'Сводный годовой график'!$C$5:$AR$5)))</f>
        <v>0</v>
      </c>
      <c r="Q8" s="92">
        <f ca="1">IF(AND(INDEX('Сводный годовой график'!$C$1:$AR$4,MATCH($C$8,'Сводный годовой график'!$B$1:$B$4),MATCH(DATE($AV$1,MONTH($B$4),Q$3),'Сводный годовой график'!$C$5:$AR$5))&lt;&gt;12,INDIRECT(ADDRESS(ROW()+1,COLUMN()))="СП"),8,INDEX('Сводный годовой график'!$C$1:$AR$4,MATCH($C$8,'Сводный годовой график'!$B$1:$B$4),MATCH(DATE($AV$1,MONTH($B$4),Q$3),'Сводный годовой график'!$C$5:$AR$5)))</f>
        <v>4</v>
      </c>
      <c r="R8" s="92">
        <f ca="1">IF(AND(INDEX('Сводный годовой график'!$C$1:$AR$4,MATCH($C$8,'Сводный годовой график'!$B$1:$B$4),MATCH(DATE($AV$1,MONTH($B$4),R$3),'Сводный годовой график'!$C$5:$AR$5))&lt;&gt;12,INDIRECT(ADDRESS(ROW()+1,COLUMN()))="СП"),8,INDEX('Сводный годовой график'!$C$1:$AR$4,MATCH($C$8,'Сводный годовой график'!$B$1:$B$4),MATCH(DATE($AV$1,MONTH($B$4),R$3),'Сводный годовой график'!$C$5:$AR$5)))</f>
        <v>8</v>
      </c>
      <c r="S8" s="92">
        <f ca="1">IF(AND(INDEX('Сводный годовой график'!$C$1:$AR$4,MATCH($C$8,'Сводный годовой график'!$B$1:$B$4),MATCH(DATE($AV$1,MONTH($B$4),S$3),'Сводный годовой график'!$C$5:$AR$5))&lt;&gt;12,INDIRECT(ADDRESS(ROW()+1,COLUMN()))="СП"),8,INDEX('Сводный годовой график'!$C$1:$AR$4,MATCH($C$8,'Сводный годовой график'!$B$1:$B$4),MATCH(DATE($AV$1,MONTH($B$4),S$3),'Сводный годовой график'!$C$5:$AR$5)))</f>
        <v>12</v>
      </c>
      <c r="T8" s="92">
        <f ca="1">IF(AND(INDEX('Сводный годовой график'!$C$1:$AR$4,MATCH($C$8,'Сводный годовой график'!$B$1:$B$4),MATCH(DATE($AV$1,MONTH($B$4),T$3),'Сводный годовой график'!$C$5:$AR$5))&lt;&gt;12,INDIRECT(ADDRESS(ROW()+1,COLUMN()))="СП"),8,INDEX('Сводный годовой график'!$C$1:$AR$4,MATCH($C$8,'Сводный годовой график'!$B$1:$B$4),MATCH(DATE($AV$1,MONTH($B$4),T$3),'Сводный годовой график'!$C$5:$AR$5)))</f>
        <v>4</v>
      </c>
      <c r="U8" s="92">
        <f ca="1">IF(AND(INDEX('Сводный годовой график'!$C$1:$AR$4,MATCH($C$8,'Сводный годовой график'!$B$1:$B$4),MATCH(DATE($AV$1,MONTH($B$4),U$3),'Сводный годовой график'!$C$5:$AR$5))&lt;&gt;12,INDIRECT(ADDRESS(ROW()+1,COLUMN()))="СП"),8,INDEX('Сводный годовой график'!$C$1:$AR$4,MATCH($C$8,'Сводный годовой график'!$B$1:$B$4),MATCH(DATE($AV$1,MONTH($B$4),U$3),'Сводный годовой график'!$C$5:$AR$5)))</f>
        <v>8</v>
      </c>
      <c r="V8" s="92">
        <f ca="1">IF(AND(INDEX('Сводный годовой график'!$C$1:$AR$4,MATCH($C$8,'Сводный годовой график'!$B$1:$B$4),MATCH(DATE($AV$1,MONTH($B$4),V$3),'Сводный годовой график'!$C$5:$AR$5))&lt;&gt;12,INDIRECT(ADDRESS(ROW()+1,COLUMN()))="СП"),8,INDEX('Сводный годовой график'!$C$1:$AR$4,MATCH($C$8,'Сводный годовой график'!$B$1:$B$4),MATCH(DATE($AV$1,MONTH($B$4),V$3),'Сводный годовой график'!$C$5:$AR$5)))</f>
        <v>12</v>
      </c>
      <c r="W8" s="92">
        <f ca="1">IF(AND(INDEX('Сводный годовой график'!$C$1:$AR$4,MATCH($C$8,'Сводный годовой график'!$B$1:$B$4),MATCH(DATE($AV$1,MONTH($B$4),W$3),'Сводный годовой график'!$C$5:$AR$5))&lt;&gt;12,INDIRECT(ADDRESS(ROW()+1,COLUMN()))="СП"),8,INDEX('Сводный годовой график'!$C$1:$AR$4,MATCH($C$8,'Сводный годовой график'!$B$1:$B$4),MATCH(DATE($AV$1,MONTH($B$4),W$3),'Сводный годовой график'!$C$5:$AR$5)))</f>
        <v>0</v>
      </c>
      <c r="X8" s="92">
        <f ca="1">IF(AND(INDEX('Сводный годовой график'!$C$1:$AR$4,MATCH($C$8,'Сводный годовой график'!$B$1:$B$4),MATCH(DATE($AV$1,MONTH($B$4),X$3),'Сводный годовой график'!$C$5:$AR$5))&lt;&gt;12,INDIRECT(ADDRESS(ROW()+1,COLUMN()))="СП"),8,INDEX('Сводный годовой график'!$C$1:$AR$4,MATCH($C$8,'Сводный годовой график'!$B$1:$B$4),MATCH(DATE($AV$1,MONTH($B$4),X$3),'Сводный годовой график'!$C$5:$AR$5)))</f>
        <v>0</v>
      </c>
      <c r="Y8" s="92">
        <f ca="1">IF(AND(INDEX('Сводный годовой график'!$C$1:$AR$4,MATCH($C$8,'Сводный годовой график'!$B$1:$B$4),MATCH(DATE($AV$1,MONTH($B$4),Y$3),'Сводный годовой график'!$C$5:$AR$5))&lt;&gt;12,INDIRECT(ADDRESS(ROW()+1,COLUMN()))="СП"),8,INDEX('Сводный годовой график'!$C$1:$AR$4,MATCH($C$8,'Сводный годовой график'!$B$1:$B$4),MATCH(DATE($AV$1,MONTH($B$4),Y$3),'Сводный годовой график'!$C$5:$AR$5)))</f>
        <v>4</v>
      </c>
      <c r="Z8" s="92">
        <f ca="1">IF(AND(INDEX('Сводный годовой график'!$C$1:$AR$4,MATCH($C$8,'Сводный годовой график'!$B$1:$B$4),MATCH(DATE($AV$1,MONTH($B$4),Z$3),'Сводный годовой график'!$C$5:$AR$5))&lt;&gt;12,INDIRECT(ADDRESS(ROW()+1,COLUMN()))="СП"),8,INDEX('Сводный годовой график'!$C$1:$AR$4,MATCH($C$8,'Сводный годовой график'!$B$1:$B$4),MATCH(DATE($AV$1,MONTH($B$4),Z$3),'Сводный годовой график'!$C$5:$AR$5)))</f>
        <v>8</v>
      </c>
      <c r="AA8" s="92">
        <f ca="1">IF(AND(INDEX('Сводный годовой график'!$C$1:$AR$4,MATCH($C$8,'Сводный годовой график'!$B$1:$B$4),MATCH(DATE($AV$1,MONTH($B$4),AA$3),'Сводный годовой график'!$C$5:$AR$5))&lt;&gt;12,INDIRECT(ADDRESS(ROW()+1,COLUMN()))="СП"),8,INDEX('Сводный годовой график'!$C$1:$AR$4,MATCH($C$8,'Сводный годовой график'!$B$1:$B$4),MATCH(DATE($AV$1,MONTH($B$4),AA$3),'Сводный годовой график'!$C$5:$AR$5)))</f>
        <v>12</v>
      </c>
      <c r="AB8" s="92">
        <f ca="1">IF(AND(INDEX('Сводный годовой график'!$C$1:$AR$4,MATCH($C$8,'Сводный годовой график'!$B$1:$B$4),MATCH(DATE($AV$1,MONTH($B$4),AB$3),'Сводный годовой график'!$C$5:$AR$5))&lt;&gt;12,INDIRECT(ADDRESS(ROW()+1,COLUMN()))="СП"),8,INDEX('Сводный годовой график'!$C$1:$AR$4,MATCH($C$8,'Сводный годовой график'!$B$1:$B$4),MATCH(DATE($AV$1,MONTH($B$4),AB$3),'Сводный годовой график'!$C$5:$AR$5)))</f>
        <v>4</v>
      </c>
      <c r="AC8" s="92">
        <f ca="1">IF(AND(INDEX('Сводный годовой график'!$C$1:$AR$4,MATCH($C$8,'Сводный годовой график'!$B$1:$B$4),MATCH(DATE($AV$1,MONTH($B$4),AC$3),'Сводный годовой график'!$C$5:$AR$5))&lt;&gt;12,INDIRECT(ADDRESS(ROW()+1,COLUMN()))="СП"),8,INDEX('Сводный годовой график'!$C$1:$AR$4,MATCH($C$8,'Сводный годовой график'!$B$1:$B$4),MATCH(DATE($AV$1,MONTH($B$4),AC$3),'Сводный годовой график'!$C$5:$AR$5)))</f>
        <v>8</v>
      </c>
      <c r="AD8" s="92">
        <f ca="1">IF(AND(INDEX('Сводный годовой график'!$C$1:$AR$4,MATCH($C$8,'Сводный годовой график'!$B$1:$B$4),MATCH(DATE($AV$1,MONTH($B$4),AD$3),'Сводный годовой график'!$C$5:$AR$5))&lt;&gt;12,INDIRECT(ADDRESS(ROW()+1,COLUMN()))="СП"),8,INDEX('Сводный годовой график'!$C$1:$AR$4,MATCH($C$8,'Сводный годовой график'!$B$1:$B$4),MATCH(DATE($AV$1,MONTH($B$4),AD$3),'Сводный годовой график'!$C$5:$AR$5)))</f>
        <v>12</v>
      </c>
      <c r="AE8" s="92">
        <f ca="1">IF(AND(INDEX('Сводный годовой график'!$C$1:$AR$4,MATCH($C$8,'Сводный годовой график'!$B$1:$B$4),MATCH(DATE($AV$1,MONTH($B$4),AE$3),'Сводный годовой график'!$C$5:$AR$5))&lt;&gt;12,INDIRECT(ADDRESS(ROW()+1,COLUMN()))="СП"),8,INDEX('Сводный годовой график'!$C$1:$AR$4,MATCH($C$8,'Сводный годовой график'!$B$1:$B$4),MATCH(DATE($AV$1,MONTH($B$4),AE$3),'Сводный годовой график'!$C$5:$AR$5)))</f>
        <v>0</v>
      </c>
      <c r="AF8" s="92">
        <f ca="1">IF(AND(INDEX('Сводный годовой график'!$C$1:$AR$4,MATCH($C$8,'Сводный годовой график'!$B$1:$B$4),MATCH(DATE($AV$1,MONTH($B$4),AF$3),'Сводный годовой график'!$C$5:$AR$5))&lt;&gt;12,INDIRECT(ADDRESS(ROW()+1,COLUMN()))="СП"),8,INDEX('Сводный годовой график'!$C$1:$AR$4,MATCH($C$8,'Сводный годовой график'!$B$1:$B$4),MATCH(DATE($AV$1,MONTH($B$4),AF$3),'Сводный годовой график'!$C$5:$AR$5)))</f>
        <v>0</v>
      </c>
      <c r="AG8" s="92">
        <f ca="1">IF(AND(INDEX('Сводный годовой график'!$C$1:$AR$4,MATCH($C$8,'Сводный годовой график'!$B$1:$B$4),MATCH(DATE($AV$1,MONTH($B$4),AG$3),'Сводный годовой график'!$C$5:$AR$5))&lt;&gt;12,INDIRECT(ADDRESS(ROW()+1,COLUMN()))="СП"),8,INDEX('Сводный годовой график'!$C$1:$AR$4,MATCH($C$8,'Сводный годовой график'!$B$1:$B$4),MATCH(DATE($AV$1,MONTH($B$4),AG$3),'Сводный годовой график'!$C$5:$AR$5)))</f>
        <v>4</v>
      </c>
      <c r="AH8" s="92">
        <f ca="1">IF(AND(INDEX('Сводный годовой график'!$C$1:$AR$4,MATCH($C$8,'Сводный годовой график'!$B$1:$B$4),MATCH(DATE($AV$1,MONTH($B$4),AH$3),'Сводный годовой график'!$C$5:$AR$5))&lt;&gt;12,INDIRECT(ADDRESS(ROW()+1,COLUMN()))="СП"),8,INDEX('Сводный годовой график'!$C$1:$AR$4,MATCH($C$8,'Сводный годовой график'!$B$1:$B$4),MATCH(DATE($AV$1,MONTH($B$4),AH$3),'Сводный годовой график'!$C$5:$AR$5)))</f>
        <v>8</v>
      </c>
      <c r="AI8" s="97">
        <f ca="1">IF(AND(INDEX('Сводный годовой график'!$C$1:$AR$4,MATCH($C$8,'Сводный годовой график'!$B$1:$B$4),MATCH(DATE($AV$1,MONTH($B$4),AI$3),'Сводный годовой график'!$C$5:$AR$5))&lt;&gt;12,INDIRECT(ADDRESS(ROW()+1,COLUMN()))="СП"),8,INDEX('Сводный годовой график'!$C$1:$AR$4,MATCH($C$8,'Сводный годовой график'!$B$1:$B$4),MATCH(DATE($AV$1,MONTH($B$4),AI$3),'Сводный годовой график'!$C$5:$AR$5)))</f>
        <v>12</v>
      </c>
      <c r="AJ8" s="206"/>
      <c r="AK8" s="209">
        <f>$AJ$4-SUM(AY8:CC9)</f>
        <v>136</v>
      </c>
      <c r="AL8" s="209">
        <f t="shared" ref="AL8" ca="1" si="7">SUM(E8:AI9)</f>
        <v>196</v>
      </c>
      <c r="AM8" s="209">
        <f ca="1">SUM(E8:L8)</f>
        <v>56</v>
      </c>
      <c r="AN8" s="211">
        <f t="shared" ref="AN8" ca="1" si="8">-AM8-AK8+AL8</f>
        <v>4</v>
      </c>
      <c r="AO8" s="211">
        <v>0</v>
      </c>
      <c r="AP8" s="211">
        <f t="shared" ref="AP8" ca="1" si="9">AN8-AO8</f>
        <v>4</v>
      </c>
      <c r="AQ8" s="209">
        <v>0</v>
      </c>
      <c r="AR8" s="210">
        <v>1</v>
      </c>
      <c r="CK8" s="59"/>
      <c r="CL8" s="59"/>
      <c r="CM8" s="59"/>
      <c r="CN8" s="59"/>
      <c r="CO8" s="59"/>
      <c r="CP8" s="59"/>
      <c r="CQ8" s="59"/>
      <c r="CR8" s="59"/>
      <c r="CS8" s="59"/>
      <c r="CT8" s="59"/>
      <c r="CU8" s="59"/>
      <c r="CV8" s="59"/>
      <c r="CW8" s="59"/>
      <c r="CX8" s="59"/>
      <c r="CY8" s="59"/>
      <c r="CZ8" s="59"/>
      <c r="DA8" s="59"/>
      <c r="DB8" s="59"/>
      <c r="DC8" s="59"/>
      <c r="DD8" s="59"/>
      <c r="DE8" s="59"/>
      <c r="DF8" s="59"/>
      <c r="DG8" s="59"/>
      <c r="DH8" s="59"/>
      <c r="DI8" s="59"/>
      <c r="DJ8" s="59"/>
      <c r="DK8" s="59"/>
      <c r="DL8" s="59"/>
      <c r="DM8" s="59"/>
      <c r="DN8" s="59"/>
      <c r="DO8" s="59"/>
    </row>
    <row r="9" spans="2:119" ht="16.5" thickBot="1" x14ac:dyDescent="0.3">
      <c r="B9" s="201"/>
      <c r="C9" s="197"/>
      <c r="D9" s="82">
        <v>6</v>
      </c>
      <c r="E9" s="92" t="str">
        <f t="shared" ref="E9:AI9" si="10">IF(INDEX($CK$4:$DO$123,ROW()-3,E$3)=0,"","СП")</f>
        <v/>
      </c>
      <c r="F9" s="92" t="str">
        <f t="shared" si="10"/>
        <v/>
      </c>
      <c r="G9" s="92" t="str">
        <f t="shared" si="10"/>
        <v>СП</v>
      </c>
      <c r="H9" s="92" t="str">
        <f t="shared" si="10"/>
        <v/>
      </c>
      <c r="I9" s="92" t="str">
        <f t="shared" si="10"/>
        <v/>
      </c>
      <c r="J9" s="92" t="str">
        <f t="shared" si="10"/>
        <v/>
      </c>
      <c r="K9" s="92" t="str">
        <f t="shared" si="10"/>
        <v/>
      </c>
      <c r="L9" s="92" t="str">
        <f t="shared" si="10"/>
        <v/>
      </c>
      <c r="M9" s="92" t="str">
        <f t="shared" si="10"/>
        <v/>
      </c>
      <c r="N9" s="92" t="str">
        <f t="shared" si="10"/>
        <v/>
      </c>
      <c r="O9" s="92" t="str">
        <f t="shared" si="10"/>
        <v/>
      </c>
      <c r="P9" s="92" t="str">
        <f t="shared" si="10"/>
        <v/>
      </c>
      <c r="Q9" s="92" t="str">
        <f t="shared" si="10"/>
        <v/>
      </c>
      <c r="R9" s="92" t="str">
        <f t="shared" si="10"/>
        <v/>
      </c>
      <c r="S9" s="92" t="str">
        <f t="shared" si="10"/>
        <v/>
      </c>
      <c r="T9" s="92" t="str">
        <f t="shared" si="10"/>
        <v/>
      </c>
      <c r="U9" s="92" t="str">
        <f t="shared" si="10"/>
        <v/>
      </c>
      <c r="V9" s="92" t="str">
        <f t="shared" si="10"/>
        <v/>
      </c>
      <c r="W9" s="92" t="str">
        <f t="shared" si="10"/>
        <v/>
      </c>
      <c r="X9" s="92" t="str">
        <f t="shared" si="10"/>
        <v/>
      </c>
      <c r="Y9" s="92" t="str">
        <f t="shared" si="10"/>
        <v/>
      </c>
      <c r="Z9" s="92" t="str">
        <f t="shared" si="10"/>
        <v/>
      </c>
      <c r="AA9" s="92" t="str">
        <f t="shared" si="10"/>
        <v/>
      </c>
      <c r="AB9" s="92" t="str">
        <f t="shared" si="10"/>
        <v/>
      </c>
      <c r="AC9" s="92" t="str">
        <f t="shared" si="10"/>
        <v/>
      </c>
      <c r="AD9" s="92" t="str">
        <f t="shared" si="10"/>
        <v/>
      </c>
      <c r="AE9" s="92" t="str">
        <f t="shared" si="10"/>
        <v/>
      </c>
      <c r="AF9" s="92" t="str">
        <f t="shared" si="10"/>
        <v/>
      </c>
      <c r="AG9" s="92" t="str">
        <f t="shared" si="10"/>
        <v/>
      </c>
      <c r="AH9" s="92" t="str">
        <f t="shared" si="10"/>
        <v/>
      </c>
      <c r="AI9" s="97" t="str">
        <f t="shared" si="10"/>
        <v/>
      </c>
      <c r="AJ9" s="206"/>
      <c r="AK9" s="209"/>
      <c r="AL9" s="209"/>
      <c r="AM9" s="209"/>
      <c r="AN9" s="211"/>
      <c r="AO9" s="211"/>
      <c r="AP9" s="211"/>
      <c r="AQ9" s="209"/>
      <c r="AR9" s="210"/>
      <c r="CK9" s="58">
        <f>IF(DAY(INDEX('Сводный годовой график'!$BA$4:$BL$14,$C8,MONTH($B$4)))=E$3,1,0)</f>
        <v>0</v>
      </c>
      <c r="CL9" s="58">
        <f>IF(DAY(INDEX('Сводный годовой график'!$BA$4:$BL$14,$C8,MONTH($B$4)))=F$3,1,0)</f>
        <v>0</v>
      </c>
      <c r="CM9" s="58">
        <f>IF(DAY(INDEX('Сводный годовой график'!$BA$4:$BL$14,$C8,MONTH($B$4)))=G$3,1,0)</f>
        <v>1</v>
      </c>
      <c r="CN9" s="58">
        <f>IF(DAY(INDEX('Сводный годовой график'!$BA$4:$BL$14,$C8,MONTH($B$4)))=H$3,1,0)</f>
        <v>0</v>
      </c>
      <c r="CO9" s="58">
        <f>IF(DAY(INDEX('Сводный годовой график'!$BA$4:$BL$14,$C8,MONTH($B$4)))=I$3,1,0)</f>
        <v>0</v>
      </c>
      <c r="CP9" s="58">
        <f>IF(DAY(INDEX('Сводный годовой график'!$BA$4:$BL$14,$C8,MONTH($B$4)))=J$3,1,0)</f>
        <v>0</v>
      </c>
      <c r="CQ9" s="58">
        <f>IF(DAY(INDEX('Сводный годовой график'!$BA$4:$BL$14,$C8,MONTH($B$4)))=K$3,1,0)</f>
        <v>0</v>
      </c>
      <c r="CR9" s="58">
        <f>IF(DAY(INDEX('Сводный годовой график'!$BA$4:$BL$14,$C8,MONTH($B$4)))=L$3,1,0)</f>
        <v>0</v>
      </c>
      <c r="CS9" s="58">
        <f>IF(DAY(INDEX('Сводный годовой график'!$BA$4:$BL$14,$C8,MONTH($B$4)))=M$3,1,0)</f>
        <v>0</v>
      </c>
      <c r="CT9" s="58">
        <f>IF(DAY(INDEX('Сводный годовой график'!$BA$4:$BL$14,$C8,MONTH($B$4)))=N$3,1,0)</f>
        <v>0</v>
      </c>
      <c r="CU9" s="58">
        <f>IF(DAY(INDEX('Сводный годовой график'!$BA$4:$BL$14,$C8,MONTH($B$4)))=O$3,1,0)</f>
        <v>0</v>
      </c>
      <c r="CV9" s="58">
        <f>IF(DAY(INDEX('Сводный годовой график'!$BA$4:$BL$14,$C8,MONTH($B$4)))=P$3,1,0)</f>
        <v>0</v>
      </c>
      <c r="CW9" s="58">
        <f>IF(DAY(INDEX('Сводный годовой график'!$BA$4:$BL$14,$C8,MONTH($B$4)))=Q$3,1,0)</f>
        <v>0</v>
      </c>
      <c r="CX9" s="58">
        <f>IF(DAY(INDEX('Сводный годовой график'!$BA$4:$BL$14,$C8,MONTH($B$4)))=R$3,1,0)</f>
        <v>0</v>
      </c>
      <c r="CY9" s="58">
        <f>IF(DAY(INDEX('Сводный годовой график'!$BA$4:$BL$14,$C8,MONTH($B$4)))=S$3,1,0)</f>
        <v>0</v>
      </c>
      <c r="CZ9" s="58">
        <f>IF(DAY(INDEX('Сводный годовой график'!$BA$4:$BL$14,$C8,MONTH($B$4)))=T$3,1,0)</f>
        <v>0</v>
      </c>
      <c r="DA9" s="58">
        <f>IF(DAY(INDEX('Сводный годовой график'!$BA$4:$BL$14,$C8,MONTH($B$4)))=U$3,1,0)</f>
        <v>0</v>
      </c>
      <c r="DB9" s="58">
        <f>IF(DAY(INDEX('Сводный годовой график'!$BA$4:$BL$14,$C8,MONTH($B$4)))=V$3,1,0)</f>
        <v>0</v>
      </c>
      <c r="DC9" s="58">
        <f>IF(DAY(INDEX('Сводный годовой график'!$BA$4:$BL$14,$C8,MONTH($B$4)))=W$3,1,0)</f>
        <v>0</v>
      </c>
      <c r="DD9" s="58">
        <f>IF(DAY(INDEX('Сводный годовой график'!$BA$4:$BL$14,$C8,MONTH($B$4)))=X$3,1,0)</f>
        <v>0</v>
      </c>
      <c r="DE9" s="58">
        <f>IF(DAY(INDEX('Сводный годовой график'!$BA$4:$BL$14,$C8,MONTH($B$4)))=Y$3,1,0)</f>
        <v>0</v>
      </c>
      <c r="DF9" s="58">
        <f>IF(DAY(INDEX('Сводный годовой график'!$BA$4:$BL$14,$C8,MONTH($B$4)))=Z$3,1,0)</f>
        <v>0</v>
      </c>
      <c r="DG9" s="58">
        <f>IF(DAY(INDEX('Сводный годовой график'!$BA$4:$BL$14,$C8,MONTH($B$4)))=AA$3,1,0)</f>
        <v>0</v>
      </c>
      <c r="DH9" s="58">
        <f>IF(DAY(INDEX('Сводный годовой график'!$BA$4:$BL$14,$C8,MONTH($B$4)))=AB$3,1,0)</f>
        <v>0</v>
      </c>
      <c r="DI9" s="58">
        <f>IF(DAY(INDEX('Сводный годовой график'!$BA$4:$BL$14,$C8,MONTH($B$4)))=AC$3,1,0)</f>
        <v>0</v>
      </c>
      <c r="DJ9" s="58">
        <f>IF(DAY(INDEX('Сводный годовой график'!$BA$4:$BL$14,$C8,MONTH($B$4)))=AD$3,1,0)</f>
        <v>0</v>
      </c>
      <c r="DK9" s="58">
        <f>IF(DAY(INDEX('Сводный годовой график'!$BA$4:$BL$14,$C8,MONTH($B$4)))=AE$3,1,0)</f>
        <v>0</v>
      </c>
      <c r="DL9" s="58">
        <f>IF(DAY(INDEX('Сводный годовой график'!$BA$4:$BL$14,$C8,MONTH($B$4)))=AF$3,1,0)</f>
        <v>0</v>
      </c>
      <c r="DM9" s="58">
        <f>IF(DAY(INDEX('Сводный годовой график'!$BA$4:$BL$14,$C8,MONTH($B$4)))=AG$3,1,0)</f>
        <v>0</v>
      </c>
      <c r="DN9" s="58">
        <f>IF(DAY(INDEX('Сводный годовой график'!$BA$4:$BL$14,$C8,MONTH($B$4)))=AH$3,1,0)</f>
        <v>0</v>
      </c>
      <c r="DO9" s="58">
        <f>IF(DAY(INDEX('Сводный годовой график'!$BA$4:$BL$14,$C8,MONTH($B$4)))=AI$3,1,0)</f>
        <v>0</v>
      </c>
    </row>
    <row r="10" spans="2:119" ht="16.5" thickBot="1" x14ac:dyDescent="0.3">
      <c r="B10" s="201"/>
      <c r="C10" s="196">
        <v>4</v>
      </c>
      <c r="D10" s="81">
        <v>7</v>
      </c>
      <c r="E10" s="92">
        <f ca="1">IF(AND(INDEX('Сводный годовой график'!$C$1:$AR$4,MATCH($C$10,'Сводный годовой график'!$B$1:$B$4),MATCH(DATE($AV$1,MONTH($B$4),E$3),'Сводный годовой график'!$C$5:$AR$5))&lt;&gt;12,INDIRECT(ADDRESS(ROW()+1,COLUMN()))="СП"),8,INDEX('Сводный годовой график'!$C$1:$AR$4,MATCH($C$10,'Сводный годовой график'!$B$1:$B$4),MATCH(DATE($AV$1,MONTH($B$4),E$3),'Сводный годовой график'!$C$5:$AR$5)))</f>
        <v>12</v>
      </c>
      <c r="F10" s="92">
        <f ca="1">IF(AND(INDEX('Сводный годовой график'!$C$1:$AR$4,MATCH($C$10,'Сводный годовой график'!$B$1:$B$4),MATCH(DATE($AV$1,MONTH($B$4),F$3),'Сводный годовой график'!$C$5:$AR$5))&lt;&gt;12,INDIRECT(ADDRESS(ROW()+1,COLUMN()))="СП"),8,INDEX('Сводный годовой график'!$C$1:$AR$4,MATCH($C$10,'Сводный годовой график'!$B$1:$B$4),MATCH(DATE($AV$1,MONTH($B$4),F$3),'Сводный годовой график'!$C$5:$AR$5)))</f>
        <v>4</v>
      </c>
      <c r="G10" s="92">
        <f ca="1">IF(AND(INDEX('Сводный годовой график'!$C$1:$AR$4,MATCH($C$10,'Сводный годовой график'!$B$1:$B$4),MATCH(DATE($AV$1,MONTH($B$4),G$3),'Сводный годовой график'!$C$5:$AR$5))&lt;&gt;12,INDIRECT(ADDRESS(ROW()+1,COLUMN()))="СП"),8,INDEX('Сводный годовой график'!$C$1:$AR$4,MATCH($C$10,'Сводный годовой график'!$B$1:$B$4),MATCH(DATE($AV$1,MONTH($B$4),G$3),'Сводный годовой график'!$C$5:$AR$5)))</f>
        <v>8</v>
      </c>
      <c r="H10" s="92">
        <f ca="1">IF(AND(INDEX('Сводный годовой график'!$C$1:$AR$4,MATCH($C$10,'Сводный годовой график'!$B$1:$B$4),MATCH(DATE($AV$1,MONTH($B$4),H$3),'Сводный годовой график'!$C$5:$AR$5))&lt;&gt;12,INDIRECT(ADDRESS(ROW()+1,COLUMN()))="СП"),8,INDEX('Сводный годовой график'!$C$1:$AR$4,MATCH($C$10,'Сводный годовой график'!$B$1:$B$4),MATCH(DATE($AV$1,MONTH($B$4),H$3),'Сводный годовой график'!$C$5:$AR$5)))</f>
        <v>12</v>
      </c>
      <c r="I10" s="92">
        <f ca="1">IF(AND(INDEX('Сводный годовой график'!$C$1:$AR$4,MATCH($C$10,'Сводный годовой график'!$B$1:$B$4),MATCH(DATE($AV$1,MONTH($B$4),I$3),'Сводный годовой график'!$C$5:$AR$5))&lt;&gt;12,INDIRECT(ADDRESS(ROW()+1,COLUMN()))="СП"),8,INDEX('Сводный годовой график'!$C$1:$AR$4,MATCH($C$10,'Сводный годовой график'!$B$1:$B$4),MATCH(DATE($AV$1,MONTH($B$4),I$3),'Сводный годовой график'!$C$5:$AR$5)))</f>
        <v>0</v>
      </c>
      <c r="J10" s="92">
        <f ca="1">IF(AND(INDEX('Сводный годовой график'!$C$1:$AR$4,MATCH($C$10,'Сводный годовой график'!$B$1:$B$4),MATCH(DATE($AV$1,MONTH($B$4),J$3),'Сводный годовой график'!$C$5:$AR$5))&lt;&gt;12,INDIRECT(ADDRESS(ROW()+1,COLUMN()))="СП"),8,INDEX('Сводный годовой график'!$C$1:$AR$4,MATCH($C$10,'Сводный годовой график'!$B$1:$B$4),MATCH(DATE($AV$1,MONTH($B$4),J$3),'Сводный годовой график'!$C$5:$AR$5)))</f>
        <v>0</v>
      </c>
      <c r="K10" s="92">
        <f ca="1">IF(AND(INDEX('Сводный годовой график'!$C$1:$AR$4,MATCH($C$10,'Сводный годовой график'!$B$1:$B$4),MATCH(DATE($AV$1,MONTH($B$4),K$3),'Сводный годовой график'!$C$5:$AR$5))&lt;&gt;12,INDIRECT(ADDRESS(ROW()+1,COLUMN()))="СП"),8,INDEX('Сводный годовой график'!$C$1:$AR$4,MATCH($C$10,'Сводный годовой график'!$B$1:$B$4),MATCH(DATE($AV$1,MONTH($B$4),K$3),'Сводный годовой график'!$C$5:$AR$5)))</f>
        <v>4</v>
      </c>
      <c r="L10" s="92">
        <f ca="1">IF(AND(INDEX('Сводный годовой график'!$C$1:$AR$4,MATCH($C$10,'Сводный годовой график'!$B$1:$B$4),MATCH(DATE($AV$1,MONTH($B$4),L$3),'Сводный годовой график'!$C$5:$AR$5))&lt;&gt;12,INDIRECT(ADDRESS(ROW()+1,COLUMN()))="СП"),8,INDEX('Сводный годовой график'!$C$1:$AR$4,MATCH($C$10,'Сводный годовой график'!$B$1:$B$4),MATCH(DATE($AV$1,MONTH($B$4),L$3),'Сводный годовой график'!$C$5:$AR$5)))</f>
        <v>8</v>
      </c>
      <c r="M10" s="92">
        <f ca="1">IF(AND(INDEX('Сводный годовой график'!$C$1:$AR$4,MATCH($C$10,'Сводный годовой график'!$B$1:$B$4),MATCH(DATE($AV$1,MONTH($B$4),M$3),'Сводный годовой график'!$C$5:$AR$5))&lt;&gt;12,INDIRECT(ADDRESS(ROW()+1,COLUMN()))="СП"),8,INDEX('Сводный годовой график'!$C$1:$AR$4,MATCH($C$10,'Сводный годовой график'!$B$1:$B$4),MATCH(DATE($AV$1,MONTH($B$4),M$3),'Сводный годовой график'!$C$5:$AR$5)))</f>
        <v>12</v>
      </c>
      <c r="N10" s="92">
        <f ca="1">IF(AND(INDEX('Сводный годовой график'!$C$1:$AR$4,MATCH($C$10,'Сводный годовой график'!$B$1:$B$4),MATCH(DATE($AV$1,MONTH($B$4),N$3),'Сводный годовой график'!$C$5:$AR$5))&lt;&gt;12,INDIRECT(ADDRESS(ROW()+1,COLUMN()))="СП"),8,INDEX('Сводный годовой график'!$C$1:$AR$4,MATCH($C$10,'Сводный годовой график'!$B$1:$B$4),MATCH(DATE($AV$1,MONTH($B$4),N$3),'Сводный годовой график'!$C$5:$AR$5)))</f>
        <v>4</v>
      </c>
      <c r="O10" s="92">
        <f ca="1">IF(AND(INDEX('Сводный годовой график'!$C$1:$AR$4,MATCH($C$10,'Сводный годовой график'!$B$1:$B$4),MATCH(DATE($AV$1,MONTH($B$4),O$3),'Сводный годовой график'!$C$5:$AR$5))&lt;&gt;12,INDIRECT(ADDRESS(ROW()+1,COLUMN()))="СП"),8,INDEX('Сводный годовой график'!$C$1:$AR$4,MATCH($C$10,'Сводный годовой график'!$B$1:$B$4),MATCH(DATE($AV$1,MONTH($B$4),O$3),'Сводный годовой график'!$C$5:$AR$5)))</f>
        <v>8</v>
      </c>
      <c r="P10" s="92">
        <f ca="1">IF(AND(INDEX('Сводный годовой график'!$C$1:$AR$4,MATCH($C$10,'Сводный годовой график'!$B$1:$B$4),MATCH(DATE($AV$1,MONTH($B$4),P$3),'Сводный годовой график'!$C$5:$AR$5))&lt;&gt;12,INDIRECT(ADDRESS(ROW()+1,COLUMN()))="СП"),8,INDEX('Сводный годовой график'!$C$1:$AR$4,MATCH($C$10,'Сводный годовой график'!$B$1:$B$4),MATCH(DATE($AV$1,MONTH($B$4),P$3),'Сводный годовой график'!$C$5:$AR$5)))</f>
        <v>12</v>
      </c>
      <c r="Q10" s="92">
        <f ca="1">IF(AND(INDEX('Сводный годовой график'!$C$1:$AR$4,MATCH($C$10,'Сводный годовой график'!$B$1:$B$4),MATCH(DATE($AV$1,MONTH($B$4),Q$3),'Сводный годовой график'!$C$5:$AR$5))&lt;&gt;12,INDIRECT(ADDRESS(ROW()+1,COLUMN()))="СП"),8,INDEX('Сводный годовой график'!$C$1:$AR$4,MATCH($C$10,'Сводный годовой график'!$B$1:$B$4),MATCH(DATE($AV$1,MONTH($B$4),Q$3),'Сводный годовой график'!$C$5:$AR$5)))</f>
        <v>0</v>
      </c>
      <c r="R10" s="92">
        <f ca="1">IF(AND(INDEX('Сводный годовой график'!$C$1:$AR$4,MATCH($C$10,'Сводный годовой график'!$B$1:$B$4),MATCH(DATE($AV$1,MONTH($B$4),R$3),'Сводный годовой график'!$C$5:$AR$5))&lt;&gt;12,INDIRECT(ADDRESS(ROW()+1,COLUMN()))="СП"),8,INDEX('Сводный годовой график'!$C$1:$AR$4,MATCH($C$10,'Сводный годовой график'!$B$1:$B$4),MATCH(DATE($AV$1,MONTH($B$4),R$3),'Сводный годовой график'!$C$5:$AR$5)))</f>
        <v>0</v>
      </c>
      <c r="S10" s="92">
        <f ca="1">IF(AND(INDEX('Сводный годовой график'!$C$1:$AR$4,MATCH($C$10,'Сводный годовой график'!$B$1:$B$4),MATCH(DATE($AV$1,MONTH($B$4),S$3),'Сводный годовой график'!$C$5:$AR$5))&lt;&gt;12,INDIRECT(ADDRESS(ROW()+1,COLUMN()))="СП"),8,INDEX('Сводный годовой график'!$C$1:$AR$4,MATCH($C$10,'Сводный годовой график'!$B$1:$B$4),MATCH(DATE($AV$1,MONTH($B$4),S$3),'Сводный годовой график'!$C$5:$AR$5)))</f>
        <v>4</v>
      </c>
      <c r="T10" s="92">
        <f ca="1">IF(AND(INDEX('Сводный годовой график'!$C$1:$AR$4,MATCH($C$10,'Сводный годовой график'!$B$1:$B$4),MATCH(DATE($AV$1,MONTH($B$4),T$3),'Сводный годовой график'!$C$5:$AR$5))&lt;&gt;12,INDIRECT(ADDRESS(ROW()+1,COLUMN()))="СП"),8,INDEX('Сводный годовой график'!$C$1:$AR$4,MATCH($C$10,'Сводный годовой график'!$B$1:$B$4),MATCH(DATE($AV$1,MONTH($B$4),T$3),'Сводный годовой график'!$C$5:$AR$5)))</f>
        <v>8</v>
      </c>
      <c r="U10" s="92">
        <f ca="1">IF(AND(INDEX('Сводный годовой график'!$C$1:$AR$4,MATCH($C$10,'Сводный годовой график'!$B$1:$B$4),MATCH(DATE($AV$1,MONTH($B$4),U$3),'Сводный годовой график'!$C$5:$AR$5))&lt;&gt;12,INDIRECT(ADDRESS(ROW()+1,COLUMN()))="СП"),8,INDEX('Сводный годовой график'!$C$1:$AR$4,MATCH($C$10,'Сводный годовой график'!$B$1:$B$4),MATCH(DATE($AV$1,MONTH($B$4),U$3),'Сводный годовой график'!$C$5:$AR$5)))</f>
        <v>12</v>
      </c>
      <c r="V10" s="92">
        <f ca="1">IF(AND(INDEX('Сводный годовой график'!$C$1:$AR$4,MATCH($C$10,'Сводный годовой график'!$B$1:$B$4),MATCH(DATE($AV$1,MONTH($B$4),V$3),'Сводный годовой график'!$C$5:$AR$5))&lt;&gt;12,INDIRECT(ADDRESS(ROW()+1,COLUMN()))="СП"),8,INDEX('Сводный годовой график'!$C$1:$AR$4,MATCH($C$10,'Сводный годовой график'!$B$1:$B$4),MATCH(DATE($AV$1,MONTH($B$4),V$3),'Сводный годовой график'!$C$5:$AR$5)))</f>
        <v>4</v>
      </c>
      <c r="W10" s="92">
        <f ca="1">IF(AND(INDEX('Сводный годовой график'!$C$1:$AR$4,MATCH($C$10,'Сводный годовой график'!$B$1:$B$4),MATCH(DATE($AV$1,MONTH($B$4),W$3),'Сводный годовой график'!$C$5:$AR$5))&lt;&gt;12,INDIRECT(ADDRESS(ROW()+1,COLUMN()))="СП"),8,INDEX('Сводный годовой график'!$C$1:$AR$4,MATCH($C$10,'Сводный годовой график'!$B$1:$B$4),MATCH(DATE($AV$1,MONTH($B$4),W$3),'Сводный годовой график'!$C$5:$AR$5)))</f>
        <v>8</v>
      </c>
      <c r="X10" s="92">
        <f ca="1">IF(AND(INDEX('Сводный годовой график'!$C$1:$AR$4,MATCH($C$10,'Сводный годовой график'!$B$1:$B$4),MATCH(DATE($AV$1,MONTH($B$4),X$3),'Сводный годовой график'!$C$5:$AR$5))&lt;&gt;12,INDIRECT(ADDRESS(ROW()+1,COLUMN()))="СП"),8,INDEX('Сводный годовой график'!$C$1:$AR$4,MATCH($C$10,'Сводный годовой график'!$B$1:$B$4),MATCH(DATE($AV$1,MONTH($B$4),X$3),'Сводный годовой график'!$C$5:$AR$5)))</f>
        <v>12</v>
      </c>
      <c r="Y10" s="92">
        <f ca="1">IF(AND(INDEX('Сводный годовой график'!$C$1:$AR$4,MATCH($C$10,'Сводный годовой график'!$B$1:$B$4),MATCH(DATE($AV$1,MONTH($B$4),Y$3),'Сводный годовой график'!$C$5:$AR$5))&lt;&gt;12,INDIRECT(ADDRESS(ROW()+1,COLUMN()))="СП"),8,INDEX('Сводный годовой график'!$C$1:$AR$4,MATCH($C$10,'Сводный годовой график'!$B$1:$B$4),MATCH(DATE($AV$1,MONTH($B$4),Y$3),'Сводный годовой график'!$C$5:$AR$5)))</f>
        <v>0</v>
      </c>
      <c r="Z10" s="92">
        <f ca="1">IF(AND(INDEX('Сводный годовой график'!$C$1:$AR$4,MATCH($C$10,'Сводный годовой график'!$B$1:$B$4),MATCH(DATE($AV$1,MONTH($B$4),Z$3),'Сводный годовой график'!$C$5:$AR$5))&lt;&gt;12,INDIRECT(ADDRESS(ROW()+1,COLUMN()))="СП"),8,INDEX('Сводный годовой график'!$C$1:$AR$4,MATCH($C$10,'Сводный годовой график'!$B$1:$B$4),MATCH(DATE($AV$1,MONTH($B$4),Z$3),'Сводный годовой график'!$C$5:$AR$5)))</f>
        <v>0</v>
      </c>
      <c r="AA10" s="92">
        <f ca="1">IF(AND(INDEX('Сводный годовой график'!$C$1:$AR$4,MATCH($C$10,'Сводный годовой график'!$B$1:$B$4),MATCH(DATE($AV$1,MONTH($B$4),AA$3),'Сводный годовой график'!$C$5:$AR$5))&lt;&gt;12,INDIRECT(ADDRESS(ROW()+1,COLUMN()))="СП"),8,INDEX('Сводный годовой график'!$C$1:$AR$4,MATCH($C$10,'Сводный годовой график'!$B$1:$B$4),MATCH(DATE($AV$1,MONTH($B$4),AA$3),'Сводный годовой график'!$C$5:$AR$5)))</f>
        <v>4</v>
      </c>
      <c r="AB10" s="92">
        <f ca="1">IF(AND(INDEX('Сводный годовой график'!$C$1:$AR$4,MATCH($C$10,'Сводный годовой график'!$B$1:$B$4),MATCH(DATE($AV$1,MONTH($B$4),AB$3),'Сводный годовой график'!$C$5:$AR$5))&lt;&gt;12,INDIRECT(ADDRESS(ROW()+1,COLUMN()))="СП"),8,INDEX('Сводный годовой график'!$C$1:$AR$4,MATCH($C$10,'Сводный годовой график'!$B$1:$B$4),MATCH(DATE($AV$1,MONTH($B$4),AB$3),'Сводный годовой график'!$C$5:$AR$5)))</f>
        <v>8</v>
      </c>
      <c r="AC10" s="92">
        <f ca="1">IF(AND(INDEX('Сводный годовой график'!$C$1:$AR$4,MATCH($C$10,'Сводный годовой график'!$B$1:$B$4),MATCH(DATE($AV$1,MONTH($B$4),AC$3),'Сводный годовой график'!$C$5:$AR$5))&lt;&gt;12,INDIRECT(ADDRESS(ROW()+1,COLUMN()))="СП"),8,INDEX('Сводный годовой график'!$C$1:$AR$4,MATCH($C$10,'Сводный годовой график'!$B$1:$B$4),MATCH(DATE($AV$1,MONTH($B$4),AC$3),'Сводный годовой график'!$C$5:$AR$5)))</f>
        <v>12</v>
      </c>
      <c r="AD10" s="92">
        <f ca="1">IF(AND(INDEX('Сводный годовой график'!$C$1:$AR$4,MATCH($C$10,'Сводный годовой график'!$B$1:$B$4),MATCH(DATE($AV$1,MONTH($B$4),AD$3),'Сводный годовой график'!$C$5:$AR$5))&lt;&gt;12,INDIRECT(ADDRESS(ROW()+1,COLUMN()))="СП"),8,INDEX('Сводный годовой график'!$C$1:$AR$4,MATCH($C$10,'Сводный годовой график'!$B$1:$B$4),MATCH(DATE($AV$1,MONTH($B$4),AD$3),'Сводный годовой график'!$C$5:$AR$5)))</f>
        <v>4</v>
      </c>
      <c r="AE10" s="92">
        <f ca="1">IF(AND(INDEX('Сводный годовой график'!$C$1:$AR$4,MATCH($C$10,'Сводный годовой график'!$B$1:$B$4),MATCH(DATE($AV$1,MONTH($B$4),AE$3),'Сводный годовой график'!$C$5:$AR$5))&lt;&gt;12,INDIRECT(ADDRESS(ROW()+1,COLUMN()))="СП"),8,INDEX('Сводный годовой график'!$C$1:$AR$4,MATCH($C$10,'Сводный годовой график'!$B$1:$B$4),MATCH(DATE($AV$1,MONTH($B$4),AE$3),'Сводный годовой график'!$C$5:$AR$5)))</f>
        <v>8</v>
      </c>
      <c r="AF10" s="92">
        <f ca="1">IF(AND(INDEX('Сводный годовой график'!$C$1:$AR$4,MATCH($C$10,'Сводный годовой график'!$B$1:$B$4),MATCH(DATE($AV$1,MONTH($B$4),AF$3),'Сводный годовой график'!$C$5:$AR$5))&lt;&gt;12,INDIRECT(ADDRESS(ROW()+1,COLUMN()))="СП"),8,INDEX('Сводный годовой график'!$C$1:$AR$4,MATCH($C$10,'Сводный годовой график'!$B$1:$B$4),MATCH(DATE($AV$1,MONTH($B$4),AF$3),'Сводный годовой график'!$C$5:$AR$5)))</f>
        <v>12</v>
      </c>
      <c r="AG10" s="92">
        <f ca="1">IF(AND(INDEX('Сводный годовой график'!$C$1:$AR$4,MATCH($C$10,'Сводный годовой график'!$B$1:$B$4),MATCH(DATE($AV$1,MONTH($B$4),AG$3),'Сводный годовой график'!$C$5:$AR$5))&lt;&gt;12,INDIRECT(ADDRESS(ROW()+1,COLUMN()))="СП"),8,INDEX('Сводный годовой график'!$C$1:$AR$4,MATCH($C$10,'Сводный годовой график'!$B$1:$B$4),MATCH(DATE($AV$1,MONTH($B$4),AG$3),'Сводный годовой график'!$C$5:$AR$5)))</f>
        <v>0</v>
      </c>
      <c r="AH10" s="92">
        <f ca="1">IF(AND(INDEX('Сводный годовой график'!$C$1:$AR$4,MATCH($C$10,'Сводный годовой график'!$B$1:$B$4),MATCH(DATE($AV$1,MONTH($B$4),AH$3),'Сводный годовой график'!$C$5:$AR$5))&lt;&gt;12,INDIRECT(ADDRESS(ROW()+1,COLUMN()))="СП"),8,INDEX('Сводный годовой график'!$C$1:$AR$4,MATCH($C$10,'Сводный годовой график'!$B$1:$B$4),MATCH(DATE($AV$1,MONTH($B$4),AH$3),'Сводный годовой график'!$C$5:$AR$5)))</f>
        <v>0</v>
      </c>
      <c r="AI10" s="97">
        <f ca="1">IF(AND(INDEX('Сводный годовой график'!$C$1:$AR$4,MATCH($C$10,'Сводный годовой график'!$B$1:$B$4),MATCH(DATE($AV$1,MONTH($B$4),AI$3),'Сводный годовой график'!$C$5:$AR$5))&lt;&gt;12,INDIRECT(ADDRESS(ROW()+1,COLUMN()))="СП"),8,INDEX('Сводный годовой график'!$C$1:$AR$4,MATCH($C$10,'Сводный годовой график'!$B$1:$B$4),MATCH(DATE($AV$1,MONTH($B$4),AI$3),'Сводный годовой график'!$C$5:$AR$5)))</f>
        <v>4</v>
      </c>
      <c r="AJ10" s="206"/>
      <c r="AK10" s="209">
        <f>$AJ$4-SUM(AY10:CC11)</f>
        <v>136</v>
      </c>
      <c r="AL10" s="209">
        <f t="shared" ref="AL10" ca="1" si="11">SUM(E10:AI11)</f>
        <v>184</v>
      </c>
      <c r="AM10" s="209">
        <f t="shared" ref="AM10" ca="1" si="12">SUM(E10:L10)</f>
        <v>48</v>
      </c>
      <c r="AN10" s="211">
        <f t="shared" ref="AN10" ca="1" si="13">-AM10-AK10+AL10</f>
        <v>0</v>
      </c>
      <c r="AO10" s="211">
        <v>0</v>
      </c>
      <c r="AP10" s="211">
        <f t="shared" ref="AP10" ca="1" si="14">AN10-AO10</f>
        <v>0</v>
      </c>
      <c r="AQ10" s="209">
        <v>0</v>
      </c>
      <c r="AR10" s="210">
        <v>1</v>
      </c>
      <c r="CK10" s="59"/>
      <c r="CL10" s="59"/>
      <c r="CM10" s="59"/>
      <c r="CN10" s="59"/>
      <c r="CO10" s="59"/>
      <c r="CP10" s="59"/>
      <c r="CQ10" s="59"/>
      <c r="CR10" s="59"/>
      <c r="CS10" s="59"/>
      <c r="CT10" s="59"/>
      <c r="CU10" s="59"/>
      <c r="CV10" s="59"/>
      <c r="CW10" s="59"/>
      <c r="CX10" s="59"/>
      <c r="CY10" s="59"/>
      <c r="CZ10" s="59"/>
      <c r="DA10" s="59"/>
      <c r="DB10" s="59"/>
      <c r="DC10" s="59"/>
      <c r="DD10" s="59"/>
      <c r="DE10" s="59"/>
      <c r="DF10" s="59"/>
      <c r="DG10" s="59"/>
      <c r="DH10" s="59"/>
      <c r="DI10" s="59"/>
      <c r="DJ10" s="59"/>
      <c r="DK10" s="59"/>
      <c r="DL10" s="59"/>
      <c r="DM10" s="59"/>
      <c r="DN10" s="59"/>
      <c r="DO10" s="59"/>
    </row>
    <row r="11" spans="2:119" ht="16.5" thickBot="1" x14ac:dyDescent="0.3">
      <c r="B11" s="201"/>
      <c r="C11" s="197"/>
      <c r="D11" s="82">
        <v>8</v>
      </c>
      <c r="E11" s="92" t="str">
        <f t="shared" ref="E11:AI11" si="15">IF(INDEX($CK$4:$DO$123,ROW()-3,E$3)=0,"","СП")</f>
        <v/>
      </c>
      <c r="F11" s="92" t="str">
        <f t="shared" si="15"/>
        <v/>
      </c>
      <c r="G11" s="92" t="str">
        <f t="shared" si="15"/>
        <v/>
      </c>
      <c r="H11" s="92" t="str">
        <f t="shared" si="15"/>
        <v>СП</v>
      </c>
      <c r="I11" s="92" t="str">
        <f t="shared" si="15"/>
        <v/>
      </c>
      <c r="J11" s="92" t="str">
        <f t="shared" si="15"/>
        <v/>
      </c>
      <c r="K11" s="92" t="str">
        <f t="shared" si="15"/>
        <v/>
      </c>
      <c r="L11" s="92" t="str">
        <f t="shared" si="15"/>
        <v/>
      </c>
      <c r="M11" s="92" t="str">
        <f t="shared" si="15"/>
        <v/>
      </c>
      <c r="N11" s="92" t="str">
        <f t="shared" si="15"/>
        <v/>
      </c>
      <c r="O11" s="92" t="str">
        <f t="shared" si="15"/>
        <v/>
      </c>
      <c r="P11" s="92" t="str">
        <f t="shared" si="15"/>
        <v/>
      </c>
      <c r="Q11" s="92" t="str">
        <f t="shared" si="15"/>
        <v/>
      </c>
      <c r="R11" s="92" t="str">
        <f t="shared" si="15"/>
        <v/>
      </c>
      <c r="S11" s="92" t="str">
        <f t="shared" si="15"/>
        <v/>
      </c>
      <c r="T11" s="92" t="str">
        <f t="shared" si="15"/>
        <v/>
      </c>
      <c r="U11" s="92" t="str">
        <f t="shared" si="15"/>
        <v/>
      </c>
      <c r="V11" s="92" t="str">
        <f t="shared" si="15"/>
        <v/>
      </c>
      <c r="W11" s="92" t="str">
        <f t="shared" si="15"/>
        <v/>
      </c>
      <c r="X11" s="92" t="str">
        <f t="shared" si="15"/>
        <v/>
      </c>
      <c r="Y11" s="92" t="str">
        <f t="shared" si="15"/>
        <v/>
      </c>
      <c r="Z11" s="92" t="str">
        <f t="shared" si="15"/>
        <v/>
      </c>
      <c r="AA11" s="92" t="str">
        <f t="shared" si="15"/>
        <v/>
      </c>
      <c r="AB11" s="92" t="str">
        <f t="shared" si="15"/>
        <v/>
      </c>
      <c r="AC11" s="92" t="str">
        <f t="shared" si="15"/>
        <v/>
      </c>
      <c r="AD11" s="92" t="str">
        <f t="shared" si="15"/>
        <v/>
      </c>
      <c r="AE11" s="92" t="str">
        <f t="shared" si="15"/>
        <v/>
      </c>
      <c r="AF11" s="92" t="str">
        <f t="shared" si="15"/>
        <v/>
      </c>
      <c r="AG11" s="92" t="str">
        <f t="shared" si="15"/>
        <v/>
      </c>
      <c r="AH11" s="92" t="str">
        <f t="shared" si="15"/>
        <v/>
      </c>
      <c r="AI11" s="97" t="str">
        <f t="shared" si="15"/>
        <v/>
      </c>
      <c r="AJ11" s="206"/>
      <c r="AK11" s="209"/>
      <c r="AL11" s="209"/>
      <c r="AM11" s="209"/>
      <c r="AN11" s="211"/>
      <c r="AO11" s="211"/>
      <c r="AP11" s="211"/>
      <c r="AQ11" s="209"/>
      <c r="AR11" s="210"/>
      <c r="CK11" s="58">
        <f>IF(DAY(INDEX('Сводный годовой график'!$BA$4:$BL$14,$C10,MONTH($B$4)))=E$3,1,0)</f>
        <v>0</v>
      </c>
      <c r="CL11" s="58">
        <f>IF(DAY(INDEX('Сводный годовой график'!$BA$4:$BL$14,$C10,MONTH($B$4)))=F$3,1,0)</f>
        <v>0</v>
      </c>
      <c r="CM11" s="58">
        <f>IF(DAY(INDEX('Сводный годовой график'!$BA$4:$BL$14,$C10,MONTH($B$4)))=G$3,1,0)</f>
        <v>0</v>
      </c>
      <c r="CN11" s="58">
        <f>IF(DAY(INDEX('Сводный годовой график'!$BA$4:$BL$14,$C10,MONTH($B$4)))=H$3,1,0)</f>
        <v>1</v>
      </c>
      <c r="CO11" s="58">
        <f>IF(DAY(INDEX('Сводный годовой график'!$BA$4:$BL$14,$C10,MONTH($B$4)))=I$3,1,0)</f>
        <v>0</v>
      </c>
      <c r="CP11" s="58">
        <f>IF(DAY(INDEX('Сводный годовой график'!$BA$4:$BL$14,$C10,MONTH($B$4)))=J$3,1,0)</f>
        <v>0</v>
      </c>
      <c r="CQ11" s="58">
        <f>IF(DAY(INDEX('Сводный годовой график'!$BA$4:$BL$14,$C10,MONTH($B$4)))=K$3,1,0)</f>
        <v>0</v>
      </c>
      <c r="CR11" s="58">
        <f>IF(DAY(INDEX('Сводный годовой график'!$BA$4:$BL$14,$C10,MONTH($B$4)))=L$3,1,0)</f>
        <v>0</v>
      </c>
      <c r="CS11" s="58">
        <f>IF(DAY(INDEX('Сводный годовой график'!$BA$4:$BL$14,$C10,MONTH($B$4)))=M$3,1,0)</f>
        <v>0</v>
      </c>
      <c r="CT11" s="58">
        <f>IF(DAY(INDEX('Сводный годовой график'!$BA$4:$BL$14,$C10,MONTH($B$4)))=N$3,1,0)</f>
        <v>0</v>
      </c>
      <c r="CU11" s="58">
        <f>IF(DAY(INDEX('Сводный годовой график'!$BA$4:$BL$14,$C10,MONTH($B$4)))=O$3,1,0)</f>
        <v>0</v>
      </c>
      <c r="CV11" s="58">
        <f>IF(DAY(INDEX('Сводный годовой график'!$BA$4:$BL$14,$C10,MONTH($B$4)))=P$3,1,0)</f>
        <v>0</v>
      </c>
      <c r="CW11" s="58">
        <f>IF(DAY(INDEX('Сводный годовой график'!$BA$4:$BL$14,$C10,MONTH($B$4)))=Q$3,1,0)</f>
        <v>0</v>
      </c>
      <c r="CX11" s="58">
        <f>IF(DAY(INDEX('Сводный годовой график'!$BA$4:$BL$14,$C10,MONTH($B$4)))=R$3,1,0)</f>
        <v>0</v>
      </c>
      <c r="CY11" s="58">
        <f>IF(DAY(INDEX('Сводный годовой график'!$BA$4:$BL$14,$C10,MONTH($B$4)))=S$3,1,0)</f>
        <v>0</v>
      </c>
      <c r="CZ11" s="58">
        <f>IF(DAY(INDEX('Сводный годовой график'!$BA$4:$BL$14,$C10,MONTH($B$4)))=T$3,1,0)</f>
        <v>0</v>
      </c>
      <c r="DA11" s="58">
        <f>IF(DAY(INDEX('Сводный годовой график'!$BA$4:$BL$14,$C10,MONTH($B$4)))=U$3,1,0)</f>
        <v>0</v>
      </c>
      <c r="DB11" s="58">
        <f>IF(DAY(INDEX('Сводный годовой график'!$BA$4:$BL$14,$C10,MONTH($B$4)))=V$3,1,0)</f>
        <v>0</v>
      </c>
      <c r="DC11" s="58">
        <f>IF(DAY(INDEX('Сводный годовой график'!$BA$4:$BL$14,$C10,MONTH($B$4)))=W$3,1,0)</f>
        <v>0</v>
      </c>
      <c r="DD11" s="58">
        <f>IF(DAY(INDEX('Сводный годовой график'!$BA$4:$BL$14,$C10,MONTH($B$4)))=X$3,1,0)</f>
        <v>0</v>
      </c>
      <c r="DE11" s="58">
        <f>IF(DAY(INDEX('Сводный годовой график'!$BA$4:$BL$14,$C10,MONTH($B$4)))=Y$3,1,0)</f>
        <v>0</v>
      </c>
      <c r="DF11" s="58">
        <f>IF(DAY(INDEX('Сводный годовой график'!$BA$4:$BL$14,$C10,MONTH($B$4)))=Z$3,1,0)</f>
        <v>0</v>
      </c>
      <c r="DG11" s="58">
        <f>IF(DAY(INDEX('Сводный годовой график'!$BA$4:$BL$14,$C10,MONTH($B$4)))=AA$3,1,0)</f>
        <v>0</v>
      </c>
      <c r="DH11" s="58">
        <f>IF(DAY(INDEX('Сводный годовой график'!$BA$4:$BL$14,$C10,MONTH($B$4)))=AB$3,1,0)</f>
        <v>0</v>
      </c>
      <c r="DI11" s="58">
        <f>IF(DAY(INDEX('Сводный годовой график'!$BA$4:$BL$14,$C10,MONTH($B$4)))=AC$3,1,0)</f>
        <v>0</v>
      </c>
      <c r="DJ11" s="58">
        <f>IF(DAY(INDEX('Сводный годовой график'!$BA$4:$BL$14,$C10,MONTH($B$4)))=AD$3,1,0)</f>
        <v>0</v>
      </c>
      <c r="DK11" s="58">
        <f>IF(DAY(INDEX('Сводный годовой график'!$BA$4:$BL$14,$C10,MONTH($B$4)))=AE$3,1,0)</f>
        <v>0</v>
      </c>
      <c r="DL11" s="58">
        <f>IF(DAY(INDEX('Сводный годовой график'!$BA$4:$BL$14,$C10,MONTH($B$4)))=AF$3,1,0)</f>
        <v>0</v>
      </c>
      <c r="DM11" s="58">
        <f>IF(DAY(INDEX('Сводный годовой график'!$BA$4:$BL$14,$C10,MONTH($B$4)))=AG$3,1,0)</f>
        <v>0</v>
      </c>
      <c r="DN11" s="58">
        <f>IF(DAY(INDEX('Сводный годовой график'!$BA$4:$BL$14,$C10,MONTH($B$4)))=AH$3,1,0)</f>
        <v>0</v>
      </c>
      <c r="DO11" s="58">
        <f>IF(DAY(INDEX('Сводный годовой график'!$BA$4:$BL$14,$C10,MONTH($B$4)))=AI$3,1,0)</f>
        <v>0</v>
      </c>
    </row>
    <row r="12" spans="2:119" ht="16.5" thickBot="1" x14ac:dyDescent="0.3">
      <c r="B12" s="201"/>
      <c r="C12" s="196">
        <v>5</v>
      </c>
      <c r="D12" s="81">
        <v>9</v>
      </c>
      <c r="E12" s="92" t="s">
        <v>36</v>
      </c>
      <c r="F12" s="92" t="s">
        <v>36</v>
      </c>
      <c r="G12" s="92" t="s">
        <v>36</v>
      </c>
      <c r="H12" s="92" t="s">
        <v>36</v>
      </c>
      <c r="I12" s="92" t="s">
        <v>36</v>
      </c>
      <c r="J12" s="92" t="s">
        <v>36</v>
      </c>
      <c r="K12" s="92" t="s">
        <v>36</v>
      </c>
      <c r="L12" s="92" t="s">
        <v>36</v>
      </c>
      <c r="M12" s="92" t="s">
        <v>36</v>
      </c>
      <c r="N12" s="92" t="s">
        <v>36</v>
      </c>
      <c r="O12" s="92" t="s">
        <v>36</v>
      </c>
      <c r="P12" s="92" t="s">
        <v>36</v>
      </c>
      <c r="Q12" s="92" t="s">
        <v>36</v>
      </c>
      <c r="R12" s="92" t="s">
        <v>36</v>
      </c>
      <c r="S12" s="92" t="s">
        <v>36</v>
      </c>
      <c r="T12" s="92" t="s">
        <v>36</v>
      </c>
      <c r="U12" s="92" t="s">
        <v>36</v>
      </c>
      <c r="V12" s="92" t="s">
        <v>36</v>
      </c>
      <c r="W12" s="92" t="s">
        <v>36</v>
      </c>
      <c r="X12" s="92" t="s">
        <v>36</v>
      </c>
      <c r="Y12" s="92" t="s">
        <v>36</v>
      </c>
      <c r="Z12" s="92" t="s">
        <v>36</v>
      </c>
      <c r="AA12" s="92" t="s">
        <v>36</v>
      </c>
      <c r="AB12" s="92" t="s">
        <v>36</v>
      </c>
      <c r="AC12" s="92" t="s">
        <v>36</v>
      </c>
      <c r="AD12" s="92" t="s">
        <v>36</v>
      </c>
      <c r="AE12" s="92" t="s">
        <v>36</v>
      </c>
      <c r="AF12" s="92" t="s">
        <v>36</v>
      </c>
      <c r="AG12" s="92" t="s">
        <v>36</v>
      </c>
      <c r="AH12" s="92" t="s">
        <v>36</v>
      </c>
      <c r="AI12" s="97" t="s">
        <v>36</v>
      </c>
      <c r="AJ12" s="206"/>
      <c r="AK12" s="209">
        <f>$AJ$4-SUM(AY12:CC13)</f>
        <v>136</v>
      </c>
      <c r="AL12" s="209">
        <f t="shared" ref="AL12" si="16">SUM(E12:AI13)</f>
        <v>0</v>
      </c>
      <c r="AM12" s="209">
        <f t="shared" ref="AM12" si="17">SUM(E12:L12)</f>
        <v>0</v>
      </c>
      <c r="AN12" s="211">
        <f t="shared" ref="AN12" si="18">-AM12-AK12+AL12</f>
        <v>-136</v>
      </c>
      <c r="AO12" s="211">
        <v>0</v>
      </c>
      <c r="AP12" s="211">
        <f t="shared" ref="AP12" si="19">AN12-AO12</f>
        <v>-136</v>
      </c>
      <c r="AQ12" s="209">
        <v>7</v>
      </c>
      <c r="AR12" s="210">
        <v>1</v>
      </c>
      <c r="CK12" s="59"/>
      <c r="CL12" s="59"/>
      <c r="CM12" s="59"/>
      <c r="CN12" s="59"/>
      <c r="CO12" s="59"/>
      <c r="CP12" s="59"/>
      <c r="CQ12" s="59"/>
      <c r="CR12" s="59"/>
      <c r="CS12" s="59"/>
      <c r="CT12" s="59"/>
      <c r="CU12" s="59"/>
      <c r="CV12" s="59"/>
      <c r="CW12" s="59"/>
      <c r="CX12" s="59"/>
      <c r="CY12" s="59"/>
      <c r="CZ12" s="59"/>
      <c r="DA12" s="59"/>
      <c r="DB12" s="59"/>
      <c r="DC12" s="59"/>
      <c r="DD12" s="59"/>
      <c r="DE12" s="59"/>
      <c r="DF12" s="59"/>
      <c r="DG12" s="59"/>
      <c r="DH12" s="59"/>
      <c r="DI12" s="59"/>
      <c r="DJ12" s="59"/>
      <c r="DK12" s="59"/>
      <c r="DL12" s="59"/>
      <c r="DM12" s="59"/>
      <c r="DN12" s="59"/>
      <c r="DO12" s="59"/>
    </row>
    <row r="13" spans="2:119" ht="16.5" thickBot="1" x14ac:dyDescent="0.3">
      <c r="B13" s="202"/>
      <c r="C13" s="197"/>
      <c r="D13" s="82">
        <v>10</v>
      </c>
      <c r="E13" s="29" t="str">
        <f t="shared" ref="E13:AI13" si="20">IF(INDEX($CK$4:$DO$123,ROW()-3,E$3)=0,"","СП")</f>
        <v/>
      </c>
      <c r="F13" s="29" t="str">
        <f t="shared" si="20"/>
        <v/>
      </c>
      <c r="G13" s="29" t="str">
        <f t="shared" si="20"/>
        <v/>
      </c>
      <c r="H13" s="29" t="str">
        <f t="shared" si="20"/>
        <v/>
      </c>
      <c r="I13" s="29" t="str">
        <f t="shared" si="20"/>
        <v>СП</v>
      </c>
      <c r="J13" s="29" t="str">
        <f t="shared" si="20"/>
        <v/>
      </c>
      <c r="K13" s="29" t="str">
        <f t="shared" si="20"/>
        <v/>
      </c>
      <c r="L13" s="29" t="str">
        <f t="shared" si="20"/>
        <v/>
      </c>
      <c r="M13" s="29" t="str">
        <f t="shared" si="20"/>
        <v/>
      </c>
      <c r="N13" s="29" t="str">
        <f t="shared" si="20"/>
        <v/>
      </c>
      <c r="O13" s="29" t="str">
        <f t="shared" si="20"/>
        <v/>
      </c>
      <c r="P13" s="29" t="str">
        <f t="shared" si="20"/>
        <v/>
      </c>
      <c r="Q13" s="29" t="str">
        <f t="shared" si="20"/>
        <v/>
      </c>
      <c r="R13" s="29" t="str">
        <f t="shared" si="20"/>
        <v/>
      </c>
      <c r="S13" s="29" t="str">
        <f t="shared" si="20"/>
        <v/>
      </c>
      <c r="T13" s="29" t="str">
        <f t="shared" si="20"/>
        <v/>
      </c>
      <c r="U13" s="29" t="str">
        <f t="shared" si="20"/>
        <v/>
      </c>
      <c r="V13" s="29" t="str">
        <f t="shared" si="20"/>
        <v/>
      </c>
      <c r="W13" s="29" t="str">
        <f t="shared" si="20"/>
        <v/>
      </c>
      <c r="X13" s="29" t="str">
        <f t="shared" si="20"/>
        <v/>
      </c>
      <c r="Y13" s="29" t="str">
        <f t="shared" si="20"/>
        <v/>
      </c>
      <c r="Z13" s="29" t="str">
        <f t="shared" si="20"/>
        <v/>
      </c>
      <c r="AA13" s="29" t="str">
        <f t="shared" si="20"/>
        <v/>
      </c>
      <c r="AB13" s="29" t="str">
        <f t="shared" si="20"/>
        <v/>
      </c>
      <c r="AC13" s="29" t="str">
        <f t="shared" si="20"/>
        <v/>
      </c>
      <c r="AD13" s="29" t="str">
        <f t="shared" si="20"/>
        <v/>
      </c>
      <c r="AE13" s="29" t="str">
        <f t="shared" si="20"/>
        <v/>
      </c>
      <c r="AF13" s="29" t="str">
        <f t="shared" si="20"/>
        <v/>
      </c>
      <c r="AG13" s="29" t="str">
        <f t="shared" si="20"/>
        <v/>
      </c>
      <c r="AH13" s="29" t="str">
        <f t="shared" si="20"/>
        <v/>
      </c>
      <c r="AI13" s="85" t="str">
        <f t="shared" si="20"/>
        <v/>
      </c>
      <c r="AJ13" s="207"/>
      <c r="AK13" s="213"/>
      <c r="AL13" s="213"/>
      <c r="AM13" s="213"/>
      <c r="AN13" s="214"/>
      <c r="AO13" s="214"/>
      <c r="AP13" s="214"/>
      <c r="AQ13" s="213"/>
      <c r="AR13" s="215"/>
      <c r="CK13" s="58">
        <f>IF(DAY(INDEX('Сводный годовой график'!$BA$4:$BL$14,$C12,MONTH($B$4)))=E$3,1,0)</f>
        <v>0</v>
      </c>
      <c r="CL13" s="58">
        <f>IF(DAY(INDEX('Сводный годовой график'!$BA$4:$BL$14,$C12,MONTH($B$4)))=F$3,1,0)</f>
        <v>0</v>
      </c>
      <c r="CM13" s="58">
        <f>IF(DAY(INDEX('Сводный годовой график'!$BA$4:$BL$14,$C12,MONTH($B$4)))=G$3,1,0)</f>
        <v>0</v>
      </c>
      <c r="CN13" s="58">
        <f>IF(DAY(INDEX('Сводный годовой график'!$BA$4:$BL$14,$C12,MONTH($B$4)))=H$3,1,0)</f>
        <v>0</v>
      </c>
      <c r="CO13" s="58">
        <f>IF(DAY(INDEX('Сводный годовой график'!$BA$4:$BL$14,$C12,MONTH($B$4)))=I$3,1,0)</f>
        <v>1</v>
      </c>
      <c r="CP13" s="58">
        <f>IF(DAY(INDEX('Сводный годовой график'!$BA$4:$BL$14,$C12,MONTH($B$4)))=J$3,1,0)</f>
        <v>0</v>
      </c>
      <c r="CQ13" s="58">
        <f>IF(DAY(INDEX('Сводный годовой график'!$BA$4:$BL$14,$C12,MONTH($B$4)))=K$3,1,0)</f>
        <v>0</v>
      </c>
      <c r="CR13" s="58">
        <f>IF(DAY(INDEX('Сводный годовой график'!$BA$4:$BL$14,$C12,MONTH($B$4)))=L$3,1,0)</f>
        <v>0</v>
      </c>
      <c r="CS13" s="58">
        <f>IF(DAY(INDEX('Сводный годовой график'!$BA$4:$BL$14,$C12,MONTH($B$4)))=M$3,1,0)</f>
        <v>0</v>
      </c>
      <c r="CT13" s="58">
        <f>IF(DAY(INDEX('Сводный годовой график'!$BA$4:$BL$14,$C12,MONTH($B$4)))=N$3,1,0)</f>
        <v>0</v>
      </c>
      <c r="CU13" s="58">
        <f>IF(DAY(INDEX('Сводный годовой график'!$BA$4:$BL$14,$C12,MONTH($B$4)))=O$3,1,0)</f>
        <v>0</v>
      </c>
      <c r="CV13" s="58">
        <f>IF(DAY(INDEX('Сводный годовой график'!$BA$4:$BL$14,$C12,MONTH($B$4)))=P$3,1,0)</f>
        <v>0</v>
      </c>
      <c r="CW13" s="58">
        <f>IF(DAY(INDEX('Сводный годовой график'!$BA$4:$BL$14,$C12,MONTH($B$4)))=Q$3,1,0)</f>
        <v>0</v>
      </c>
      <c r="CX13" s="58">
        <f>IF(DAY(INDEX('Сводный годовой график'!$BA$4:$BL$14,$C12,MONTH($B$4)))=R$3,1,0)</f>
        <v>0</v>
      </c>
      <c r="CY13" s="58">
        <f>IF(DAY(INDEX('Сводный годовой график'!$BA$4:$BL$14,$C12,MONTH($B$4)))=S$3,1,0)</f>
        <v>0</v>
      </c>
      <c r="CZ13" s="58">
        <f>IF(DAY(INDEX('Сводный годовой график'!$BA$4:$BL$14,$C12,MONTH($B$4)))=T$3,1,0)</f>
        <v>0</v>
      </c>
      <c r="DA13" s="58">
        <f>IF(DAY(INDEX('Сводный годовой график'!$BA$4:$BL$14,$C12,MONTH($B$4)))=U$3,1,0)</f>
        <v>0</v>
      </c>
      <c r="DB13" s="58">
        <f>IF(DAY(INDEX('Сводный годовой график'!$BA$4:$BL$14,$C12,MONTH($B$4)))=V$3,1,0)</f>
        <v>0</v>
      </c>
      <c r="DC13" s="58">
        <f>IF(DAY(INDEX('Сводный годовой график'!$BA$4:$BL$14,$C12,MONTH($B$4)))=W$3,1,0)</f>
        <v>0</v>
      </c>
      <c r="DD13" s="58">
        <f>IF(DAY(INDEX('Сводный годовой график'!$BA$4:$BL$14,$C12,MONTH($B$4)))=X$3,1,0)</f>
        <v>0</v>
      </c>
      <c r="DE13" s="58">
        <f>IF(DAY(INDEX('Сводный годовой график'!$BA$4:$BL$14,$C12,MONTH($B$4)))=Y$3,1,0)</f>
        <v>0</v>
      </c>
      <c r="DF13" s="58">
        <f>IF(DAY(INDEX('Сводный годовой график'!$BA$4:$BL$14,$C12,MONTH($B$4)))=Z$3,1,0)</f>
        <v>0</v>
      </c>
      <c r="DG13" s="58">
        <f>IF(DAY(INDEX('Сводный годовой график'!$BA$4:$BL$14,$C12,MONTH($B$4)))=AA$3,1,0)</f>
        <v>0</v>
      </c>
      <c r="DH13" s="58">
        <f>IF(DAY(INDEX('Сводный годовой график'!$BA$4:$BL$14,$C12,MONTH($B$4)))=AB$3,1,0)</f>
        <v>0</v>
      </c>
      <c r="DI13" s="58">
        <f>IF(DAY(INDEX('Сводный годовой график'!$BA$4:$BL$14,$C12,MONTH($B$4)))=AC$3,1,0)</f>
        <v>0</v>
      </c>
      <c r="DJ13" s="58">
        <f>IF(DAY(INDEX('Сводный годовой график'!$BA$4:$BL$14,$C12,MONTH($B$4)))=AD$3,1,0)</f>
        <v>0</v>
      </c>
      <c r="DK13" s="58">
        <f>IF(DAY(INDEX('Сводный годовой график'!$BA$4:$BL$14,$C12,MONTH($B$4)))=AE$3,1,0)</f>
        <v>0</v>
      </c>
      <c r="DL13" s="58">
        <f>IF(DAY(INDEX('Сводный годовой график'!$BA$4:$BL$14,$C12,MONTH($B$4)))=AF$3,1,0)</f>
        <v>0</v>
      </c>
      <c r="DM13" s="58">
        <f>IF(DAY(INDEX('Сводный годовой график'!$BA$4:$BL$14,$C12,MONTH($B$4)))=AG$3,1,0)</f>
        <v>0</v>
      </c>
      <c r="DN13" s="58">
        <f>IF(DAY(INDEX('Сводный годовой график'!$BA$4:$BL$14,$C12,MONTH($B$4)))=AH$3,1,0)</f>
        <v>0</v>
      </c>
      <c r="DO13" s="58">
        <f>IF(DAY(INDEX('Сводный годовой график'!$BA$4:$BL$14,$C12,MONTH($B$4)))=AI$3,1,0)</f>
        <v>0</v>
      </c>
    </row>
    <row r="14" spans="2:119" ht="17.25" customHeight="1" thickTop="1" thickBot="1" x14ac:dyDescent="0.3">
      <c r="B14" s="200">
        <f>DATE($AV$1,2,1)</f>
        <v>45689</v>
      </c>
      <c r="C14" s="212">
        <v>1</v>
      </c>
      <c r="D14" s="99">
        <v>1</v>
      </c>
      <c r="E14" s="27">
        <f ca="1">IF(AND(INDEX('Сводный годовой график'!$C$1:$AR$4,MATCH($C$14,'Сводный годовой график'!$B$1:$B$4),MATCH(DATE($AV$1,MONTH($B$14),E$3),'Сводный годовой график'!$C$6:$AR$6))&lt;&gt;12,INDIRECT(ADDRESS(ROW()+1,COLUMN()))="СП"),8,INDEX('Сводный годовой график'!$C$1:$AR$4,MATCH($C$14,'Сводный годовой график'!$B$1:$B$4),MATCH(DATE($AV$1,MONTH($B$14),E$3),'Сводный годовой график'!$C$6:$AR$6)))</f>
        <v>12</v>
      </c>
      <c r="F14" s="27">
        <f ca="1">IF(AND(INDEX('Сводный годовой график'!$C$1:$AR$4,MATCH($C$14,'Сводный годовой график'!$B$1:$B$4),MATCH(DATE($AV$1,MONTH($B$14),F$3),'Сводный годовой график'!$C$6:$AR$6))&lt;&gt;12,INDIRECT(ADDRESS(ROW()+1,COLUMN()))="СП"),8,INDEX('Сводный годовой график'!$C$1:$AR$4,MATCH($C$14,'Сводный годовой график'!$B$1:$B$4),MATCH(DATE($AV$1,MONTH($B$14),F$3),'Сводный годовой график'!$C$6:$AR$6)))</f>
        <v>8</v>
      </c>
      <c r="G14" s="27">
        <f ca="1">IF(AND(INDEX('Сводный годовой график'!$C$1:$AR$4,MATCH($C$14,'Сводный годовой график'!$B$1:$B$4),MATCH(DATE($AV$1,MONTH($B$14),G$3),'Сводный годовой график'!$C$6:$AR$6))&lt;&gt;12,INDIRECT(ADDRESS(ROW()+1,COLUMN()))="СП"),8,INDEX('Сводный годовой график'!$C$1:$AR$4,MATCH($C$14,'Сводный годовой график'!$B$1:$B$4),MATCH(DATE($AV$1,MONTH($B$14),G$3),'Сводный годовой график'!$C$6:$AR$6)))</f>
        <v>0</v>
      </c>
      <c r="H14" s="27">
        <f ca="1">IF(AND(INDEX('Сводный годовой график'!$C$1:$AR$4,MATCH($C$14,'Сводный годовой график'!$B$1:$B$4),MATCH(DATE($AV$1,MONTH($B$14),H$3),'Сводный годовой график'!$C$6:$AR$6))&lt;&gt;12,INDIRECT(ADDRESS(ROW()+1,COLUMN()))="СП"),8,INDEX('Сводный годовой график'!$C$1:$AR$4,MATCH($C$14,'Сводный годовой график'!$B$1:$B$4),MATCH(DATE($AV$1,MONTH($B$14),H$3),'Сводный годовой график'!$C$6:$AR$6)))</f>
        <v>4</v>
      </c>
      <c r="I14" s="27">
        <f ca="1">IF(AND(INDEX('Сводный годовой график'!$C$1:$AR$4,MATCH($C$14,'Сводный годовой график'!$B$1:$B$4),MATCH(DATE($AV$1,MONTH($B$14),I$3),'Сводный годовой график'!$C$6:$AR$6))&lt;&gt;12,INDIRECT(ADDRESS(ROW()+1,COLUMN()))="СП"),8,INDEX('Сводный годовой график'!$C$1:$AR$4,MATCH($C$14,'Сводный годовой график'!$B$1:$B$4),MATCH(DATE($AV$1,MONTH($B$14),I$3),'Сводный годовой график'!$C$6:$AR$6)))</f>
        <v>8</v>
      </c>
      <c r="J14" s="27">
        <f ca="1">IF(AND(INDEX('Сводный годовой график'!$C$1:$AR$4,MATCH($C$14,'Сводный годовой график'!$B$1:$B$4),MATCH(DATE($AV$1,MONTH($B$14),J$3),'Сводный годовой график'!$C$6:$AR$6))&lt;&gt;12,INDIRECT(ADDRESS(ROW()+1,COLUMN()))="СП"),8,INDEX('Сводный годовой график'!$C$1:$AR$4,MATCH($C$14,'Сводный годовой график'!$B$1:$B$4),MATCH(DATE($AV$1,MONTH($B$14),J$3),'Сводный годовой график'!$C$6:$AR$6)))</f>
        <v>12</v>
      </c>
      <c r="K14" s="27">
        <f ca="1">IF(AND(INDEX('Сводный годовой график'!$C$1:$AR$4,MATCH($C$14,'Сводный годовой график'!$B$1:$B$4),MATCH(DATE($AV$1,MONTH($B$14),K$3),'Сводный годовой график'!$C$6:$AR$6))&lt;&gt;12,INDIRECT(ADDRESS(ROW()+1,COLUMN()))="СП"),8,INDEX('Сводный годовой график'!$C$1:$AR$4,MATCH($C$14,'Сводный годовой график'!$B$1:$B$4),MATCH(DATE($AV$1,MONTH($B$14),K$3),'Сводный годовой график'!$C$6:$AR$6)))</f>
        <v>4</v>
      </c>
      <c r="L14" s="27">
        <f ca="1">IF(AND(INDEX('Сводный годовой график'!$C$1:$AR$4,MATCH($C$14,'Сводный годовой график'!$B$1:$B$4),MATCH(DATE($AV$1,MONTH($B$14),L$3),'Сводный годовой график'!$C$6:$AR$6))&lt;&gt;12,INDIRECT(ADDRESS(ROW()+1,COLUMN()))="СП"),8,INDEX('Сводный годовой график'!$C$1:$AR$4,MATCH($C$14,'Сводный годовой график'!$B$1:$B$4),MATCH(DATE($AV$1,MONTH($B$14),L$3),'Сводный годовой график'!$C$6:$AR$6)))</f>
        <v>8</v>
      </c>
      <c r="M14" s="27">
        <f ca="1">IF(AND(INDEX('Сводный годовой график'!$C$1:$AR$4,MATCH($C$14,'Сводный годовой график'!$B$1:$B$4),MATCH(DATE($AV$1,MONTH($B$14),M$3),'Сводный годовой график'!$C$6:$AR$6))&lt;&gt;12,INDIRECT(ADDRESS(ROW()+1,COLUMN()))="СП"),8,INDEX('Сводный годовой график'!$C$1:$AR$4,MATCH($C$14,'Сводный годовой график'!$B$1:$B$4),MATCH(DATE($AV$1,MONTH($B$14),M$3),'Сводный годовой график'!$C$6:$AR$6)))</f>
        <v>12</v>
      </c>
      <c r="N14" s="27">
        <f ca="1">IF(AND(INDEX('Сводный годовой график'!$C$1:$AR$4,MATCH($C$14,'Сводный годовой график'!$B$1:$B$4),MATCH(DATE($AV$1,MONTH($B$14),N$3),'Сводный годовой график'!$C$6:$AR$6))&lt;&gt;12,INDIRECT(ADDRESS(ROW()+1,COLUMN()))="СП"),8,INDEX('Сводный годовой график'!$C$1:$AR$4,MATCH($C$14,'Сводный годовой график'!$B$1:$B$4),MATCH(DATE($AV$1,MONTH($B$14),N$3),'Сводный годовой график'!$C$6:$AR$6)))</f>
        <v>0</v>
      </c>
      <c r="O14" s="27">
        <f ca="1">IF(AND(INDEX('Сводный годовой график'!$C$1:$AR$4,MATCH($C$14,'Сводный годовой график'!$B$1:$B$4),MATCH(DATE($AV$1,MONTH($B$14),O$3),'Сводный годовой график'!$C$6:$AR$6))&lt;&gt;12,INDIRECT(ADDRESS(ROW()+1,COLUMN()))="СП"),8,INDEX('Сводный годовой график'!$C$1:$AR$4,MATCH($C$14,'Сводный годовой график'!$B$1:$B$4),MATCH(DATE($AV$1,MONTH($B$14),O$3),'Сводный годовой график'!$C$6:$AR$6)))</f>
        <v>0</v>
      </c>
      <c r="P14" s="27">
        <f ca="1">IF(AND(INDEX('Сводный годовой график'!$C$1:$AR$4,MATCH($C$14,'Сводный годовой график'!$B$1:$B$4),MATCH(DATE($AV$1,MONTH($B$14),P$3),'Сводный годовой график'!$C$6:$AR$6))&lt;&gt;12,INDIRECT(ADDRESS(ROW()+1,COLUMN()))="СП"),8,INDEX('Сводный годовой график'!$C$1:$AR$4,MATCH($C$14,'Сводный годовой график'!$B$1:$B$4),MATCH(DATE($AV$1,MONTH($B$14),P$3),'Сводный годовой график'!$C$6:$AR$6)))</f>
        <v>4</v>
      </c>
      <c r="Q14" s="27">
        <f ca="1">IF(AND(INDEX('Сводный годовой график'!$C$1:$AR$4,MATCH($C$14,'Сводный годовой график'!$B$1:$B$4),MATCH(DATE($AV$1,MONTH($B$14),Q$3),'Сводный годовой график'!$C$6:$AR$6))&lt;&gt;12,INDIRECT(ADDRESS(ROW()+1,COLUMN()))="СП"),8,INDEX('Сводный годовой график'!$C$1:$AR$4,MATCH($C$14,'Сводный годовой график'!$B$1:$B$4),MATCH(DATE($AV$1,MONTH($B$14),Q$3),'Сводный годовой график'!$C$6:$AR$6)))</f>
        <v>8</v>
      </c>
      <c r="R14" s="27">
        <f ca="1">IF(AND(INDEX('Сводный годовой график'!$C$1:$AR$4,MATCH($C$14,'Сводный годовой график'!$B$1:$B$4),MATCH(DATE($AV$1,MONTH($B$14),R$3),'Сводный годовой график'!$C$6:$AR$6))&lt;&gt;12,INDIRECT(ADDRESS(ROW()+1,COLUMN()))="СП"),8,INDEX('Сводный годовой график'!$C$1:$AR$4,MATCH($C$14,'Сводный годовой график'!$B$1:$B$4),MATCH(DATE($AV$1,MONTH($B$14),R$3),'Сводный годовой график'!$C$6:$AR$6)))</f>
        <v>12</v>
      </c>
      <c r="S14" s="27">
        <f ca="1">IF(AND(INDEX('Сводный годовой график'!$C$1:$AR$4,MATCH($C$14,'Сводный годовой график'!$B$1:$B$4),MATCH(DATE($AV$1,MONTH($B$14),S$3),'Сводный годовой график'!$C$6:$AR$6))&lt;&gt;12,INDIRECT(ADDRESS(ROW()+1,COLUMN()))="СП"),8,INDEX('Сводный годовой график'!$C$1:$AR$4,MATCH($C$14,'Сводный годовой график'!$B$1:$B$4),MATCH(DATE($AV$1,MONTH($B$14),S$3),'Сводный годовой график'!$C$6:$AR$6)))</f>
        <v>4</v>
      </c>
      <c r="T14" s="27">
        <f ca="1">IF(AND(INDEX('Сводный годовой график'!$C$1:$AR$4,MATCH($C$14,'Сводный годовой график'!$B$1:$B$4),MATCH(DATE($AV$1,MONTH($B$14),T$3),'Сводный годовой график'!$C$6:$AR$6))&lt;&gt;12,INDIRECT(ADDRESS(ROW()+1,COLUMN()))="СП"),8,INDEX('Сводный годовой график'!$C$1:$AR$4,MATCH($C$14,'Сводный годовой график'!$B$1:$B$4),MATCH(DATE($AV$1,MONTH($B$14),T$3),'Сводный годовой график'!$C$6:$AR$6)))</f>
        <v>8</v>
      </c>
      <c r="U14" s="27">
        <f ca="1">IF(AND(INDEX('Сводный годовой график'!$C$1:$AR$4,MATCH($C$14,'Сводный годовой график'!$B$1:$B$4),MATCH(DATE($AV$1,MONTH($B$14),U$3),'Сводный годовой график'!$C$6:$AR$6))&lt;&gt;12,INDIRECT(ADDRESS(ROW()+1,COLUMN()))="СП"),8,INDEX('Сводный годовой график'!$C$1:$AR$4,MATCH($C$14,'Сводный годовой график'!$B$1:$B$4),MATCH(DATE($AV$1,MONTH($B$14),U$3),'Сводный годовой график'!$C$6:$AR$6)))</f>
        <v>12</v>
      </c>
      <c r="V14" s="27">
        <f ca="1">IF(AND(INDEX('Сводный годовой график'!$C$1:$AR$4,MATCH($C$14,'Сводный годовой график'!$B$1:$B$4),MATCH(DATE($AV$1,MONTH($B$14),V$3),'Сводный годовой график'!$C$6:$AR$6))&lt;&gt;12,INDIRECT(ADDRESS(ROW()+1,COLUMN()))="СП"),8,INDEX('Сводный годовой график'!$C$1:$AR$4,MATCH($C$14,'Сводный годовой график'!$B$1:$B$4),MATCH(DATE($AV$1,MONTH($B$14),V$3),'Сводный годовой график'!$C$6:$AR$6)))</f>
        <v>0</v>
      </c>
      <c r="W14" s="27">
        <f ca="1">IF(AND(INDEX('Сводный годовой график'!$C$1:$AR$4,MATCH($C$14,'Сводный годовой график'!$B$1:$B$4),MATCH(DATE($AV$1,MONTH($B$14),W$3),'Сводный годовой график'!$C$6:$AR$6))&lt;&gt;12,INDIRECT(ADDRESS(ROW()+1,COLUMN()))="СП"),8,INDEX('Сводный годовой график'!$C$1:$AR$4,MATCH($C$14,'Сводный годовой график'!$B$1:$B$4),MATCH(DATE($AV$1,MONTH($B$14),W$3),'Сводный годовой график'!$C$6:$AR$6)))</f>
        <v>0</v>
      </c>
      <c r="X14" s="27">
        <f ca="1">IF(AND(INDEX('Сводный годовой график'!$C$1:$AR$4,MATCH($C$14,'Сводный годовой график'!$B$1:$B$4),MATCH(DATE($AV$1,MONTH($B$14),X$3),'Сводный годовой график'!$C$6:$AR$6))&lt;&gt;12,INDIRECT(ADDRESS(ROW()+1,COLUMN()))="СП"),8,INDEX('Сводный годовой график'!$C$1:$AR$4,MATCH($C$14,'Сводный годовой график'!$B$1:$B$4),MATCH(DATE($AV$1,MONTH($B$14),X$3),'Сводный годовой график'!$C$6:$AR$6)))</f>
        <v>4</v>
      </c>
      <c r="Y14" s="27">
        <f ca="1">IF(AND(INDEX('Сводный годовой график'!$C$1:$AR$4,MATCH($C$14,'Сводный годовой график'!$B$1:$B$4),MATCH(DATE($AV$1,MONTH($B$14),Y$3),'Сводный годовой график'!$C$6:$AR$6))&lt;&gt;12,INDIRECT(ADDRESS(ROW()+1,COLUMN()))="СП"),8,INDEX('Сводный годовой график'!$C$1:$AR$4,MATCH($C$14,'Сводный годовой график'!$B$1:$B$4),MATCH(DATE($AV$1,MONTH($B$14),Y$3),'Сводный годовой график'!$C$6:$AR$6)))</f>
        <v>8</v>
      </c>
      <c r="Z14" s="27">
        <f ca="1">IF(AND(INDEX('Сводный годовой график'!$C$1:$AR$4,MATCH($C$14,'Сводный годовой график'!$B$1:$B$4),MATCH(DATE($AV$1,MONTH($B$14),Z$3),'Сводный годовой график'!$C$6:$AR$6))&lt;&gt;12,INDIRECT(ADDRESS(ROW()+1,COLUMN()))="СП"),8,INDEX('Сводный годовой график'!$C$1:$AR$4,MATCH($C$14,'Сводный годовой график'!$B$1:$B$4),MATCH(DATE($AV$1,MONTH($B$14),Z$3),'Сводный годовой график'!$C$6:$AR$6)))</f>
        <v>12</v>
      </c>
      <c r="AA14" s="27">
        <f ca="1">IF(AND(INDEX('Сводный годовой график'!$C$1:$AR$4,MATCH($C$14,'Сводный годовой график'!$B$1:$B$4),MATCH(DATE($AV$1,MONTH($B$14),AA$3),'Сводный годовой график'!$C$6:$AR$6))&lt;&gt;12,INDIRECT(ADDRESS(ROW()+1,COLUMN()))="СП"),8,INDEX('Сводный годовой график'!$C$1:$AR$4,MATCH($C$14,'Сводный годовой график'!$B$1:$B$4),MATCH(DATE($AV$1,MONTH($B$14),AA$3),'Сводный годовой график'!$C$6:$AR$6)))</f>
        <v>4</v>
      </c>
      <c r="AB14" s="27">
        <f ca="1">IF(AND(INDEX('Сводный годовой график'!$C$1:$AR$4,MATCH($C$14,'Сводный годовой график'!$B$1:$B$4),MATCH(DATE($AV$1,MONTH($B$14),AB$3),'Сводный годовой график'!$C$6:$AR$6))&lt;&gt;12,INDIRECT(ADDRESS(ROW()+1,COLUMN()))="СП"),8,INDEX('Сводный годовой график'!$C$1:$AR$4,MATCH($C$14,'Сводный годовой график'!$B$1:$B$4),MATCH(DATE($AV$1,MONTH($B$14),AB$3),'Сводный годовой график'!$C$6:$AR$6)))</f>
        <v>8</v>
      </c>
      <c r="AC14" s="27">
        <f ca="1">IF(AND(INDEX('Сводный годовой график'!$C$1:$AR$4,MATCH($C$14,'Сводный годовой график'!$B$1:$B$4),MATCH(DATE($AV$1,MONTH($B$14),AC$3),'Сводный годовой график'!$C$6:$AR$6))&lt;&gt;12,INDIRECT(ADDRESS(ROW()+1,COLUMN()))="СП"),8,INDEX('Сводный годовой график'!$C$1:$AR$4,MATCH($C$14,'Сводный годовой график'!$B$1:$B$4),MATCH(DATE($AV$1,MONTH($B$14),AC$3),'Сводный годовой график'!$C$6:$AR$6)))</f>
        <v>12</v>
      </c>
      <c r="AD14" s="27">
        <f ca="1">IF(AND(INDEX('Сводный годовой график'!$C$1:$AR$4,MATCH($C$14,'Сводный годовой график'!$B$1:$B$4),MATCH(DATE($AV$1,MONTH($B$14),AD$3),'Сводный годовой график'!$C$6:$AR$6))&lt;&gt;12,INDIRECT(ADDRESS(ROW()+1,COLUMN()))="СП"),8,INDEX('Сводный годовой график'!$C$1:$AR$4,MATCH($C$14,'Сводный годовой график'!$B$1:$B$4),MATCH(DATE($AV$1,MONTH($B$14),AD$3),'Сводный годовой график'!$C$6:$AR$6)))</f>
        <v>0</v>
      </c>
      <c r="AE14" s="27">
        <f ca="1">IF(AND(INDEX('Сводный годовой график'!$C$1:$AR$4,MATCH($C$14,'Сводный годовой график'!$B$1:$B$4),MATCH(DATE($AV$1,MONTH($B$14),AE$3),'Сводный годовой график'!$C$6:$AR$6))&lt;&gt;12,INDIRECT(ADDRESS(ROW()+1,COLUMN()))="СП"),8,INDEX('Сводный годовой график'!$C$1:$AR$4,MATCH($C$14,'Сводный годовой график'!$B$1:$B$4),MATCH(DATE($AV$1,MONTH($B$14),AE$3),'Сводный годовой график'!$C$6:$AR$6)))</f>
        <v>0</v>
      </c>
      <c r="AF14" s="27">
        <f ca="1">IF(AND(INDEX('Сводный годовой график'!$C$1:$AR$4,MATCH($C$14,'Сводный годовой график'!$B$1:$B$4),MATCH(DATE($AV$1,MONTH($B$14),AF$3),'Сводный годовой график'!$C$6:$AR$6))&lt;&gt;12,INDIRECT(ADDRESS(ROW()+1,COLUMN()))="СП"),8,INDEX('Сводный годовой график'!$C$1:$AR$4,MATCH($C$14,'Сводный годовой график'!$B$1:$B$4),MATCH(DATE($AV$1,MONTH($B$14),AF$3),'Сводный годовой график'!$C$6:$AR$6)))</f>
        <v>4</v>
      </c>
      <c r="AG14" s="121"/>
      <c r="AH14" s="118"/>
      <c r="AI14" s="118"/>
      <c r="AJ14" s="205">
        <f>INDEX(Подключения!$D$3:$H$14,MONTH(B14),5)</f>
        <v>160</v>
      </c>
      <c r="AK14" s="203">
        <f>$AJ$14-SUM(AY14:CC15)</f>
        <v>160</v>
      </c>
      <c r="AL14" s="203">
        <f t="shared" ref="AL14" ca="1" si="21">SUM(E14:AI15)</f>
        <v>168</v>
      </c>
      <c r="AM14" s="203">
        <f ca="1">SUM(AA14)</f>
        <v>4</v>
      </c>
      <c r="AN14" s="208">
        <f t="shared" ref="AN14" ca="1" si="22">-AM14-AK14+AL14</f>
        <v>4</v>
      </c>
      <c r="AO14" s="208">
        <v>18</v>
      </c>
      <c r="AP14" s="208">
        <f ca="1">AN14+AP4-AO14</f>
        <v>-18</v>
      </c>
      <c r="AQ14" s="203">
        <v>0</v>
      </c>
      <c r="AR14" s="204">
        <v>1</v>
      </c>
      <c r="CK14" s="59"/>
      <c r="CL14" s="59"/>
      <c r="CM14" s="59"/>
      <c r="CN14" s="59"/>
      <c r="CO14" s="59"/>
      <c r="CP14" s="59"/>
      <c r="CQ14" s="59"/>
      <c r="CR14" s="59"/>
      <c r="CS14" s="59"/>
      <c r="CT14" s="59"/>
      <c r="CU14" s="59"/>
      <c r="CV14" s="59"/>
      <c r="CW14" s="59"/>
      <c r="CX14" s="59"/>
      <c r="CY14" s="59"/>
      <c r="CZ14" s="59"/>
      <c r="DA14" s="59"/>
      <c r="DB14" s="59"/>
      <c r="DC14" s="59"/>
      <c r="DD14" s="59"/>
      <c r="DE14" s="59"/>
      <c r="DF14" s="59"/>
      <c r="DG14" s="59"/>
      <c r="DH14" s="59"/>
      <c r="DI14" s="59"/>
      <c r="DJ14" s="59"/>
      <c r="DK14" s="59"/>
      <c r="DL14" s="59"/>
      <c r="DM14" s="59"/>
      <c r="DN14" s="59"/>
      <c r="DO14" s="59"/>
    </row>
    <row r="15" spans="2:119" ht="16.5" thickBot="1" x14ac:dyDescent="0.3">
      <c r="B15" s="201"/>
      <c r="C15" s="197"/>
      <c r="D15" s="82">
        <v>2</v>
      </c>
      <c r="E15" s="92" t="str">
        <f t="shared" ref="E15:AF15" si="23">IF(INDEX($CK$4:$DO$123,ROW()-3,E$3)=0,"","СП")</f>
        <v/>
      </c>
      <c r="F15" s="92" t="str">
        <f t="shared" si="23"/>
        <v>СП</v>
      </c>
      <c r="G15" s="92" t="str">
        <f t="shared" si="23"/>
        <v/>
      </c>
      <c r="H15" s="92" t="str">
        <f t="shared" si="23"/>
        <v/>
      </c>
      <c r="I15" s="92" t="str">
        <f t="shared" si="23"/>
        <v/>
      </c>
      <c r="J15" s="92" t="str">
        <f t="shared" si="23"/>
        <v/>
      </c>
      <c r="K15" s="92" t="str">
        <f t="shared" si="23"/>
        <v/>
      </c>
      <c r="L15" s="92" t="str">
        <f t="shared" si="23"/>
        <v/>
      </c>
      <c r="M15" s="92" t="str">
        <f t="shared" si="23"/>
        <v/>
      </c>
      <c r="N15" s="92" t="str">
        <f t="shared" si="23"/>
        <v/>
      </c>
      <c r="O15" s="92" t="str">
        <f t="shared" si="23"/>
        <v/>
      </c>
      <c r="P15" s="92" t="str">
        <f t="shared" si="23"/>
        <v/>
      </c>
      <c r="Q15" s="92" t="str">
        <f t="shared" si="23"/>
        <v/>
      </c>
      <c r="R15" s="92" t="str">
        <f t="shared" si="23"/>
        <v/>
      </c>
      <c r="S15" s="92" t="str">
        <f t="shared" si="23"/>
        <v/>
      </c>
      <c r="T15" s="92" t="str">
        <f t="shared" si="23"/>
        <v/>
      </c>
      <c r="U15" s="92" t="str">
        <f t="shared" si="23"/>
        <v/>
      </c>
      <c r="V15" s="92" t="str">
        <f t="shared" si="23"/>
        <v/>
      </c>
      <c r="W15" s="92" t="str">
        <f t="shared" si="23"/>
        <v/>
      </c>
      <c r="X15" s="92" t="str">
        <f t="shared" si="23"/>
        <v/>
      </c>
      <c r="Y15" s="92" t="str">
        <f t="shared" si="23"/>
        <v/>
      </c>
      <c r="Z15" s="92" t="str">
        <f t="shared" si="23"/>
        <v/>
      </c>
      <c r="AA15" s="92" t="str">
        <f t="shared" si="23"/>
        <v/>
      </c>
      <c r="AB15" s="92" t="str">
        <f t="shared" si="23"/>
        <v/>
      </c>
      <c r="AC15" s="92" t="str">
        <f t="shared" si="23"/>
        <v/>
      </c>
      <c r="AD15" s="92" t="str">
        <f t="shared" si="23"/>
        <v/>
      </c>
      <c r="AE15" s="92" t="str">
        <f t="shared" si="23"/>
        <v/>
      </c>
      <c r="AF15" s="92" t="str">
        <f t="shared" si="23"/>
        <v/>
      </c>
      <c r="AG15" s="119"/>
      <c r="AH15" s="119"/>
      <c r="AI15" s="119"/>
      <c r="AJ15" s="206"/>
      <c r="AK15" s="177"/>
      <c r="AL15" s="177"/>
      <c r="AM15" s="177"/>
      <c r="AN15" s="198"/>
      <c r="AO15" s="198"/>
      <c r="AP15" s="198"/>
      <c r="AQ15" s="177"/>
      <c r="AR15" s="179"/>
      <c r="CK15" s="58">
        <f>IF(DAY(INDEX('Сводный годовой график'!$BA$4:$BL$14,$C14,MONTH($B$14)))=E$3,1,0)</f>
        <v>0</v>
      </c>
      <c r="CL15" s="58">
        <f>IF(DAY(INDEX('Сводный годовой график'!$BA$4:$BL$14,$C14,MONTH($B$14)))=F$3,1,0)</f>
        <v>1</v>
      </c>
      <c r="CM15" s="58">
        <f>IF(DAY(INDEX('Сводный годовой график'!$BA$4:$BL$14,$C14,MONTH($B$14)))=G$3,1,0)</f>
        <v>0</v>
      </c>
      <c r="CN15" s="58">
        <f>IF(DAY(INDEX('Сводный годовой график'!$BA$4:$BL$14,$C14,MONTH($B$14)))=H$3,1,0)</f>
        <v>0</v>
      </c>
      <c r="CO15" s="58">
        <f>IF(DAY(INDEX('Сводный годовой график'!$BA$4:$BL$14,$C14,MONTH($B$14)))=I$3,1,0)</f>
        <v>0</v>
      </c>
      <c r="CP15" s="58">
        <f>IF(DAY(INDEX('Сводный годовой график'!$BA$4:$BL$14,$C14,MONTH($B$14)))=J$3,1,0)</f>
        <v>0</v>
      </c>
      <c r="CQ15" s="58">
        <f>IF(DAY(INDEX('Сводный годовой график'!$BA$4:$BL$14,$C14,MONTH($B$14)))=K$3,1,0)</f>
        <v>0</v>
      </c>
      <c r="CR15" s="58">
        <f>IF(DAY(INDEX('Сводный годовой график'!$BA$4:$BL$14,$C14,MONTH($B$14)))=L$3,1,0)</f>
        <v>0</v>
      </c>
      <c r="CS15" s="58">
        <f>IF(DAY(INDEX('Сводный годовой график'!$BA$4:$BL$14,$C14,MONTH($B$14)))=M$3,1,0)</f>
        <v>0</v>
      </c>
      <c r="CT15" s="58">
        <f>IF(DAY(INDEX('Сводный годовой график'!$BA$4:$BL$14,$C14,MONTH($B$14)))=N$3,1,0)</f>
        <v>0</v>
      </c>
      <c r="CU15" s="58">
        <f>IF(DAY(INDEX('Сводный годовой график'!$BA$4:$BL$14,$C14,MONTH($B$14)))=O$3,1,0)</f>
        <v>0</v>
      </c>
      <c r="CV15" s="58">
        <f>IF(DAY(INDEX('Сводный годовой график'!$BA$4:$BL$14,$C14,MONTH($B$14)))=P$3,1,0)</f>
        <v>0</v>
      </c>
      <c r="CW15" s="58">
        <f>IF(DAY(INDEX('Сводный годовой график'!$BA$4:$BL$14,$C14,MONTH($B$14)))=Q$3,1,0)</f>
        <v>0</v>
      </c>
      <c r="CX15" s="58">
        <f>IF(DAY(INDEX('Сводный годовой график'!$BA$4:$BL$14,$C14,MONTH($B$14)))=R$3,1,0)</f>
        <v>0</v>
      </c>
      <c r="CY15" s="58">
        <f>IF(DAY(INDEX('Сводный годовой график'!$BA$4:$BL$14,$C14,MONTH($B$14)))=S$3,1,0)</f>
        <v>0</v>
      </c>
      <c r="CZ15" s="58">
        <f>IF(DAY(INDEX('Сводный годовой график'!$BA$4:$BL$14,$C14,MONTH($B$14)))=T$3,1,0)</f>
        <v>0</v>
      </c>
      <c r="DA15" s="58">
        <f>IF(DAY(INDEX('Сводный годовой график'!$BA$4:$BL$14,$C14,MONTH($B$14)))=U$3,1,0)</f>
        <v>0</v>
      </c>
      <c r="DB15" s="58">
        <f>IF(DAY(INDEX('Сводный годовой график'!$BA$4:$BL$14,$C14,MONTH($B$14)))=V$3,1,0)</f>
        <v>0</v>
      </c>
      <c r="DC15" s="58">
        <f>IF(DAY(INDEX('Сводный годовой график'!$BA$4:$BL$14,$C14,MONTH($B$14)))=W$3,1,0)</f>
        <v>0</v>
      </c>
      <c r="DD15" s="58">
        <f>IF(DAY(INDEX('Сводный годовой график'!$BA$4:$BL$14,$C14,MONTH($B$14)))=X$3,1,0)</f>
        <v>0</v>
      </c>
      <c r="DE15" s="58">
        <f>IF(DAY(INDEX('Сводный годовой график'!$BA$4:$BL$14,$C14,MONTH($B$14)))=Y$3,1,0)</f>
        <v>0</v>
      </c>
      <c r="DF15" s="58">
        <f>IF(DAY(INDEX('Сводный годовой график'!$BA$4:$BL$14,$C14,MONTH($B$14)))=Z$3,1,0)</f>
        <v>0</v>
      </c>
      <c r="DG15" s="58">
        <f>IF(DAY(INDEX('Сводный годовой график'!$BA$4:$BL$14,$C14,MONTH($B$14)))=AA$3,1,0)</f>
        <v>0</v>
      </c>
      <c r="DH15" s="58">
        <f>IF(DAY(INDEX('Сводный годовой график'!$BA$4:$BL$14,$C14,MONTH($B$14)))=AB$3,1,0)</f>
        <v>0</v>
      </c>
      <c r="DI15" s="58">
        <f>IF(DAY(INDEX('Сводный годовой график'!$BA$4:$BL$14,$C14,MONTH($B$14)))=AC$3,1,0)</f>
        <v>0</v>
      </c>
      <c r="DJ15" s="58">
        <f>IF(DAY(INDEX('Сводный годовой график'!$BA$4:$BL$14,$C14,MONTH($B$14)))=AD$3,1,0)</f>
        <v>0</v>
      </c>
      <c r="DK15" s="58">
        <f>IF(DAY(INDEX('Сводный годовой график'!$BA$4:$BL$14,$C14,MONTH($B$14)))=AE$3,1,0)</f>
        <v>0</v>
      </c>
      <c r="DL15" s="58">
        <f>IF(DAY(INDEX('Сводный годовой график'!$BA$4:$BL$14,$C14,MONTH($B$14)))=AF$3,1,0)</f>
        <v>0</v>
      </c>
      <c r="DM15" s="58">
        <f>IF(DAY(INDEX('Сводный годовой график'!$BA$4:$BL$14,$C14,MONTH($B$14)))=AG$3,1,0)</f>
        <v>0</v>
      </c>
      <c r="DN15" s="58">
        <f>IF(DAY(INDEX('Сводный годовой график'!$BA$4:$BL$14,$C14,MONTH($B$14)))=AH$3,1,0)</f>
        <v>0</v>
      </c>
      <c r="DO15" s="58">
        <f>IF(DAY(INDEX('Сводный годовой график'!$BA$4:$BL$14,$C14,MONTH($B$14)))=AI$3,1,0)</f>
        <v>0</v>
      </c>
    </row>
    <row r="16" spans="2:119" ht="17.25" thickTop="1" thickBot="1" x14ac:dyDescent="0.3">
      <c r="B16" s="201"/>
      <c r="C16" s="196">
        <v>2</v>
      </c>
      <c r="D16" s="81">
        <v>3</v>
      </c>
      <c r="E16" s="92">
        <f ca="1">IF(AND(INDEX('Сводный годовой график'!$C$1:$AR$4,MATCH($C$16,'Сводный годовой график'!$B$1:$B$4),MATCH(DATE($AV$1,MONTH($B$14),E$3),'Сводный годовой график'!$C$6:$AR$6))&lt;&gt;12,INDIRECT(ADDRESS(ROW()+1,COLUMN()))="СП"),8,INDEX('Сводный годовой график'!$C$1:$AR$4,MATCH($C$16,'Сводный годовой график'!$B$1:$B$4),MATCH(DATE($AV$1,MONTH($B$14),E$3),'Сводный годовой график'!$C$6:$AR$6)))</f>
        <v>0</v>
      </c>
      <c r="F16" s="92">
        <f ca="1">IF(AND(INDEX('Сводный годовой график'!$C$1:$AR$4,MATCH($C$16,'Сводный годовой график'!$B$1:$B$4),MATCH(DATE($AV$1,MONTH($B$14),F$3),'Сводный годовой график'!$C$6:$AR$6))&lt;&gt;12,INDIRECT(ADDRESS(ROW()+1,COLUMN()))="СП"),8,INDEX('Сводный годовой график'!$C$1:$AR$4,MATCH($C$16,'Сводный годовой график'!$B$1:$B$4),MATCH(DATE($AV$1,MONTH($B$14),F$3),'Сводный годовой график'!$C$6:$AR$6)))</f>
        <v>4</v>
      </c>
      <c r="G16" s="92">
        <f ca="1">IF(AND(INDEX('Сводный годовой график'!$C$1:$AR$4,MATCH($C$16,'Сводный годовой график'!$B$1:$B$4),MATCH(DATE($AV$1,MONTH($B$14),G$3),'Сводный годовой график'!$C$6:$AR$6))&lt;&gt;12,INDIRECT(ADDRESS(ROW()+1,COLUMN()))="СП"),8,INDEX('Сводный годовой график'!$C$1:$AR$4,MATCH($C$16,'Сводный годовой график'!$B$1:$B$4),MATCH(DATE($AV$1,MONTH($B$14),G$3),'Сводный годовой график'!$C$6:$AR$6)))</f>
        <v>8</v>
      </c>
      <c r="H16" s="92">
        <f ca="1">IF(AND(INDEX('Сводный годовой график'!$C$1:$AR$4,MATCH($C$16,'Сводный годовой график'!$B$1:$B$4),MATCH(DATE($AV$1,MONTH($B$14),H$3),'Сводный годовой график'!$C$6:$AR$6))&lt;&gt;12,INDIRECT(ADDRESS(ROW()+1,COLUMN()))="СП"),8,INDEX('Сводный годовой график'!$C$1:$AR$4,MATCH($C$16,'Сводный годовой график'!$B$1:$B$4),MATCH(DATE($AV$1,MONTH($B$14),H$3),'Сводный годовой график'!$C$6:$AR$6)))</f>
        <v>12</v>
      </c>
      <c r="I16" s="92">
        <f ca="1">IF(AND(INDEX('Сводный годовой график'!$C$1:$AR$4,MATCH($C$16,'Сводный годовой график'!$B$1:$B$4),MATCH(DATE($AV$1,MONTH($B$14),I$3),'Сводный годовой график'!$C$6:$AR$6))&lt;&gt;12,INDIRECT(ADDRESS(ROW()+1,COLUMN()))="СП"),8,INDEX('Сводный годовой график'!$C$1:$AR$4,MATCH($C$16,'Сводный годовой график'!$B$1:$B$4),MATCH(DATE($AV$1,MONTH($B$14),I$3),'Сводный годовой график'!$C$6:$AR$6)))</f>
        <v>4</v>
      </c>
      <c r="J16" s="92">
        <f ca="1">IF(AND(INDEX('Сводный годовой график'!$C$1:$AR$4,MATCH($C$16,'Сводный годовой график'!$B$1:$B$4),MATCH(DATE($AV$1,MONTH($B$14),J$3),'Сводный годовой график'!$C$6:$AR$6))&lt;&gt;12,INDIRECT(ADDRESS(ROW()+1,COLUMN()))="СП"),8,INDEX('Сводный годовой график'!$C$1:$AR$4,MATCH($C$16,'Сводный годовой график'!$B$1:$B$4),MATCH(DATE($AV$1,MONTH($B$14),J$3),'Сводный годовой график'!$C$6:$AR$6)))</f>
        <v>8</v>
      </c>
      <c r="K16" s="92">
        <f ca="1">IF(AND(INDEX('Сводный годовой график'!$C$1:$AR$4,MATCH($C$16,'Сводный годовой график'!$B$1:$B$4),MATCH(DATE($AV$1,MONTH($B$14),K$3),'Сводный годовой график'!$C$6:$AR$6))&lt;&gt;12,INDIRECT(ADDRESS(ROW()+1,COLUMN()))="СП"),8,INDEX('Сводный годовой график'!$C$1:$AR$4,MATCH($C$16,'Сводный годовой график'!$B$1:$B$4),MATCH(DATE($AV$1,MONTH($B$14),K$3),'Сводный годовой график'!$C$6:$AR$6)))</f>
        <v>12</v>
      </c>
      <c r="L16" s="92">
        <f ca="1">IF(AND(INDEX('Сводный годовой график'!$C$1:$AR$4,MATCH($C$16,'Сводный годовой график'!$B$1:$B$4),MATCH(DATE($AV$1,MONTH($B$14),L$3),'Сводный годовой график'!$C$6:$AR$6))&lt;&gt;12,INDIRECT(ADDRESS(ROW()+1,COLUMN()))="СП"),8,INDEX('Сводный годовой график'!$C$1:$AR$4,MATCH($C$16,'Сводный годовой график'!$B$1:$B$4),MATCH(DATE($AV$1,MONTH($B$14),L$3),'Сводный годовой график'!$C$6:$AR$6)))</f>
        <v>0</v>
      </c>
      <c r="M16" s="92">
        <f ca="1">IF(AND(INDEX('Сводный годовой график'!$C$1:$AR$4,MATCH($C$16,'Сводный годовой график'!$B$1:$B$4),MATCH(DATE($AV$1,MONTH($B$14),M$3),'Сводный годовой график'!$C$6:$AR$6))&lt;&gt;12,INDIRECT(ADDRESS(ROW()+1,COLUMN()))="СП"),8,INDEX('Сводный годовой график'!$C$1:$AR$4,MATCH($C$16,'Сводный годовой график'!$B$1:$B$4),MATCH(DATE($AV$1,MONTH($B$14),M$3),'Сводный годовой график'!$C$6:$AR$6)))</f>
        <v>0</v>
      </c>
      <c r="N16" s="92">
        <f ca="1">IF(AND(INDEX('Сводный годовой график'!$C$1:$AR$4,MATCH($C$16,'Сводный годовой график'!$B$1:$B$4),MATCH(DATE($AV$1,MONTH($B$14),N$3),'Сводный годовой график'!$C$6:$AR$6))&lt;&gt;12,INDIRECT(ADDRESS(ROW()+1,COLUMN()))="СП"),8,INDEX('Сводный годовой график'!$C$1:$AR$4,MATCH($C$16,'Сводный годовой график'!$B$1:$B$4),MATCH(DATE($AV$1,MONTH($B$14),N$3),'Сводный годовой график'!$C$6:$AR$6)))</f>
        <v>4</v>
      </c>
      <c r="O16" s="92">
        <f ca="1">IF(AND(INDEX('Сводный годовой график'!$C$1:$AR$4,MATCH($C$16,'Сводный годовой график'!$B$1:$B$4),MATCH(DATE($AV$1,MONTH($B$14),O$3),'Сводный годовой график'!$C$6:$AR$6))&lt;&gt;12,INDIRECT(ADDRESS(ROW()+1,COLUMN()))="СП"),8,INDEX('Сводный годовой график'!$C$1:$AR$4,MATCH($C$16,'Сводный годовой график'!$B$1:$B$4),MATCH(DATE($AV$1,MONTH($B$14),O$3),'Сводный годовой график'!$C$6:$AR$6)))</f>
        <v>8</v>
      </c>
      <c r="P16" s="92">
        <f ca="1">IF(AND(INDEX('Сводный годовой график'!$C$1:$AR$4,MATCH($C$16,'Сводный годовой график'!$B$1:$B$4),MATCH(DATE($AV$1,MONTH($B$14),P$3),'Сводный годовой график'!$C$6:$AR$6))&lt;&gt;12,INDIRECT(ADDRESS(ROW()+1,COLUMN()))="СП"),8,INDEX('Сводный годовой график'!$C$1:$AR$4,MATCH($C$16,'Сводный годовой график'!$B$1:$B$4),MATCH(DATE($AV$1,MONTH($B$14),P$3),'Сводный годовой график'!$C$6:$AR$6)))</f>
        <v>12</v>
      </c>
      <c r="Q16" s="92">
        <f ca="1">IF(AND(INDEX('Сводный годовой график'!$C$1:$AR$4,MATCH($C$16,'Сводный годовой график'!$B$1:$B$4),MATCH(DATE($AV$1,MONTH($B$14),Q$3),'Сводный годовой график'!$C$6:$AR$6))&lt;&gt;12,INDIRECT(ADDRESS(ROW()+1,COLUMN()))="СП"),8,INDEX('Сводный годовой график'!$C$1:$AR$4,MATCH($C$16,'Сводный годовой график'!$B$1:$B$4),MATCH(DATE($AV$1,MONTH($B$14),Q$3),'Сводный годовой график'!$C$6:$AR$6)))</f>
        <v>4</v>
      </c>
      <c r="R16" s="92">
        <f ca="1">IF(AND(INDEX('Сводный годовой график'!$C$1:$AR$4,MATCH($C$16,'Сводный годовой график'!$B$1:$B$4),MATCH(DATE($AV$1,MONTH($B$14),R$3),'Сводный годовой график'!$C$6:$AR$6))&lt;&gt;12,INDIRECT(ADDRESS(ROW()+1,COLUMN()))="СП"),8,INDEX('Сводный годовой график'!$C$1:$AR$4,MATCH($C$16,'Сводный годовой график'!$B$1:$B$4),MATCH(DATE($AV$1,MONTH($B$14),R$3),'Сводный годовой график'!$C$6:$AR$6)))</f>
        <v>8</v>
      </c>
      <c r="S16" s="92">
        <f ca="1">IF(AND(INDEX('Сводный годовой график'!$C$1:$AR$4,MATCH($C$16,'Сводный годовой график'!$B$1:$B$4),MATCH(DATE($AV$1,MONTH($B$14),S$3),'Сводный годовой график'!$C$6:$AR$6))&lt;&gt;12,INDIRECT(ADDRESS(ROW()+1,COLUMN()))="СП"),8,INDEX('Сводный годовой график'!$C$1:$AR$4,MATCH($C$16,'Сводный годовой график'!$B$1:$B$4),MATCH(DATE($AV$1,MONTH($B$14),S$3),'Сводный годовой график'!$C$6:$AR$6)))</f>
        <v>12</v>
      </c>
      <c r="T16" s="92">
        <f ca="1">IF(AND(INDEX('Сводный годовой график'!$C$1:$AR$4,MATCH($C$16,'Сводный годовой график'!$B$1:$B$4),MATCH(DATE($AV$1,MONTH($B$14),T$3),'Сводный годовой график'!$C$6:$AR$6))&lt;&gt;12,INDIRECT(ADDRESS(ROW()+1,COLUMN()))="СП"),8,INDEX('Сводный годовой график'!$C$1:$AR$4,MATCH($C$16,'Сводный годовой график'!$B$1:$B$4),MATCH(DATE($AV$1,MONTH($B$14),T$3),'Сводный годовой график'!$C$6:$AR$6)))</f>
        <v>0</v>
      </c>
      <c r="U16" s="92">
        <f ca="1">IF(AND(INDEX('Сводный годовой график'!$C$1:$AR$4,MATCH($C$16,'Сводный годовой график'!$B$1:$B$4),MATCH(DATE($AV$1,MONTH($B$14),U$3),'Сводный годовой график'!$C$6:$AR$6))&lt;&gt;12,INDIRECT(ADDRESS(ROW()+1,COLUMN()))="СП"),8,INDEX('Сводный годовой график'!$C$1:$AR$4,MATCH($C$16,'Сводный годовой график'!$B$1:$B$4),MATCH(DATE($AV$1,MONTH($B$14),U$3),'Сводный годовой график'!$C$6:$AR$6)))</f>
        <v>0</v>
      </c>
      <c r="V16" s="92">
        <f ca="1">IF(AND(INDEX('Сводный годовой график'!$C$1:$AR$4,MATCH($C$16,'Сводный годовой график'!$B$1:$B$4),MATCH(DATE($AV$1,MONTH($B$14),V$3),'Сводный годовой график'!$C$6:$AR$6))&lt;&gt;12,INDIRECT(ADDRESS(ROW()+1,COLUMN()))="СП"),8,INDEX('Сводный годовой график'!$C$1:$AR$4,MATCH($C$16,'Сводный годовой график'!$B$1:$B$4),MATCH(DATE($AV$1,MONTH($B$14),V$3),'Сводный годовой график'!$C$6:$AR$6)))</f>
        <v>4</v>
      </c>
      <c r="W16" s="92">
        <f ca="1">IF(AND(INDEX('Сводный годовой график'!$C$1:$AR$4,MATCH($C$16,'Сводный годовой график'!$B$1:$B$4),MATCH(DATE($AV$1,MONTH($B$14),W$3),'Сводный годовой график'!$C$6:$AR$6))&lt;&gt;12,INDIRECT(ADDRESS(ROW()+1,COLUMN()))="СП"),8,INDEX('Сводный годовой график'!$C$1:$AR$4,MATCH($C$16,'Сводный годовой график'!$B$1:$B$4),MATCH(DATE($AV$1,MONTH($B$14),W$3),'Сводный годовой график'!$C$6:$AR$6)))</f>
        <v>8</v>
      </c>
      <c r="X16" s="92">
        <f ca="1">IF(AND(INDEX('Сводный годовой график'!$C$1:$AR$4,MATCH($C$16,'Сводный годовой график'!$B$1:$B$4),MATCH(DATE($AV$1,MONTH($B$14),X$3),'Сводный годовой график'!$C$6:$AR$6))&lt;&gt;12,INDIRECT(ADDRESS(ROW()+1,COLUMN()))="СП"),8,INDEX('Сводный годовой график'!$C$1:$AR$4,MATCH($C$16,'Сводный годовой график'!$B$1:$B$4),MATCH(DATE($AV$1,MONTH($B$14),X$3),'Сводный годовой график'!$C$6:$AR$6)))</f>
        <v>12</v>
      </c>
      <c r="Y16" s="92">
        <f ca="1">IF(AND(INDEX('Сводный годовой график'!$C$1:$AR$4,MATCH($C$16,'Сводный годовой график'!$B$1:$B$4),MATCH(DATE($AV$1,MONTH($B$14),Y$3),'Сводный годовой график'!$C$6:$AR$6))&lt;&gt;12,INDIRECT(ADDRESS(ROW()+1,COLUMN()))="СП"),8,INDEX('Сводный годовой график'!$C$1:$AR$4,MATCH($C$16,'Сводный годовой график'!$B$1:$B$4),MATCH(DATE($AV$1,MONTH($B$14),Y$3),'Сводный годовой график'!$C$6:$AR$6)))</f>
        <v>4</v>
      </c>
      <c r="Z16" s="92">
        <f ca="1">IF(AND(INDEX('Сводный годовой график'!$C$1:$AR$4,MATCH($C$16,'Сводный годовой график'!$B$1:$B$4),MATCH(DATE($AV$1,MONTH($B$14),Z$3),'Сводный годовой график'!$C$6:$AR$6))&lt;&gt;12,INDIRECT(ADDRESS(ROW()+1,COLUMN()))="СП"),8,INDEX('Сводный годовой график'!$C$1:$AR$4,MATCH($C$16,'Сводный годовой график'!$B$1:$B$4),MATCH(DATE($AV$1,MONTH($B$14),Z$3),'Сводный годовой график'!$C$6:$AR$6)))</f>
        <v>8</v>
      </c>
      <c r="AA16" s="92">
        <f ca="1">IF(AND(INDEX('Сводный годовой график'!$C$1:$AR$4,MATCH($C$16,'Сводный годовой график'!$B$1:$B$4),MATCH(DATE($AV$1,MONTH($B$14),AA$3),'Сводный годовой график'!$C$6:$AR$6))&lt;&gt;12,INDIRECT(ADDRESS(ROW()+1,COLUMN()))="СП"),8,INDEX('Сводный годовой график'!$C$1:$AR$4,MATCH($C$16,'Сводный годовой график'!$B$1:$B$4),MATCH(DATE($AV$1,MONTH($B$14),AA$3),'Сводный годовой график'!$C$6:$AR$6)))</f>
        <v>12</v>
      </c>
      <c r="AB16" s="92">
        <f ca="1">IF(AND(INDEX('Сводный годовой график'!$C$1:$AR$4,MATCH($C$16,'Сводный годовой график'!$B$1:$B$4),MATCH(DATE($AV$1,MONTH($B$14),AB$3),'Сводный годовой график'!$C$6:$AR$6))&lt;&gt;12,INDIRECT(ADDRESS(ROW()+1,COLUMN()))="СП"),8,INDEX('Сводный годовой график'!$C$1:$AR$4,MATCH($C$16,'Сводный годовой график'!$B$1:$B$4),MATCH(DATE($AV$1,MONTH($B$14),AB$3),'Сводный годовой график'!$C$6:$AR$6)))</f>
        <v>0</v>
      </c>
      <c r="AC16" s="92">
        <f ca="1">IF(AND(INDEX('Сводный годовой график'!$C$1:$AR$4,MATCH($C$16,'Сводный годовой график'!$B$1:$B$4),MATCH(DATE($AV$1,MONTH($B$14),AC$3),'Сводный годовой график'!$C$6:$AR$6))&lt;&gt;12,INDIRECT(ADDRESS(ROW()+1,COLUMN()))="СП"),8,INDEX('Сводный годовой график'!$C$1:$AR$4,MATCH($C$16,'Сводный годовой график'!$B$1:$B$4),MATCH(DATE($AV$1,MONTH($B$14),AC$3),'Сводный годовой график'!$C$6:$AR$6)))</f>
        <v>0</v>
      </c>
      <c r="AD16" s="92">
        <f ca="1">IF(AND(INDEX('Сводный годовой график'!$C$1:$AR$4,MATCH($C$16,'Сводный годовой график'!$B$1:$B$4),MATCH(DATE($AV$1,MONTH($B$14),AD$3),'Сводный годовой график'!$C$6:$AR$6))&lt;&gt;12,INDIRECT(ADDRESS(ROW()+1,COLUMN()))="СП"),8,INDEX('Сводный годовой график'!$C$1:$AR$4,MATCH($C$16,'Сводный годовой график'!$B$1:$B$4),MATCH(DATE($AV$1,MONTH($B$14),AD$3),'Сводный годовой график'!$C$6:$AR$6)))</f>
        <v>4</v>
      </c>
      <c r="AE16" s="92">
        <f ca="1">IF(AND(INDEX('Сводный годовой график'!$C$1:$AR$4,MATCH($C$16,'Сводный годовой график'!$B$1:$B$4),MATCH(DATE($AV$1,MONTH($B$14),AE$3),'Сводный годовой график'!$C$6:$AR$6))&lt;&gt;12,INDIRECT(ADDRESS(ROW()+1,COLUMN()))="СП"),8,INDEX('Сводный годовой график'!$C$1:$AR$4,MATCH($C$16,'Сводный годовой график'!$B$1:$B$4),MATCH(DATE($AV$1,MONTH($B$14),AE$3),'Сводный годовой график'!$C$6:$AR$6)))</f>
        <v>8</v>
      </c>
      <c r="AF16" s="92">
        <f ca="1">IF(AND(INDEX('Сводный годовой график'!$C$1:$AR$4,MATCH($C$16,'Сводный годовой график'!$B$1:$B$4),MATCH(DATE($AV$1,MONTH($B$14),AF$3),'Сводный годовой график'!$C$6:$AR$6))&lt;&gt;12,INDIRECT(ADDRESS(ROW()+1,COLUMN()))="СП"),8,INDEX('Сводный годовой график'!$C$1:$AR$4,MATCH($C$16,'Сводный годовой график'!$B$1:$B$4),MATCH(DATE($AV$1,MONTH($B$14),AF$3),'Сводный годовой график'!$C$6:$AR$6)))</f>
        <v>12</v>
      </c>
      <c r="AG16" s="119"/>
      <c r="AH16" s="119"/>
      <c r="AI16" s="119"/>
      <c r="AJ16" s="206"/>
      <c r="AK16" s="177">
        <f>$AJ$14-SUM(AY16:CC17)</f>
        <v>160</v>
      </c>
      <c r="AL16" s="177">
        <f t="shared" ref="AL16" ca="1" si="24">SUM(E16:AI17)</f>
        <v>168</v>
      </c>
      <c r="AM16" s="177">
        <f ca="1">SUM(AA16)</f>
        <v>12</v>
      </c>
      <c r="AN16" s="198">
        <f t="shared" ref="AN16" ca="1" si="25">-AM16-AK16+AL16</f>
        <v>-4</v>
      </c>
      <c r="AO16" s="198">
        <v>12</v>
      </c>
      <c r="AP16" s="208">
        <f ca="1">AN16+AP6-AO16</f>
        <v>-8</v>
      </c>
      <c r="AQ16" s="177">
        <v>0</v>
      </c>
      <c r="AR16" s="179">
        <v>1</v>
      </c>
      <c r="CK16" s="59"/>
      <c r="CL16" s="59"/>
      <c r="CM16" s="59"/>
      <c r="CN16" s="59"/>
      <c r="CO16" s="59"/>
      <c r="CP16" s="59"/>
      <c r="CQ16" s="59"/>
      <c r="CR16" s="59"/>
      <c r="CS16" s="59"/>
      <c r="CT16" s="59"/>
      <c r="CU16" s="59"/>
      <c r="CV16" s="59"/>
      <c r="CW16" s="59"/>
      <c r="CX16" s="59"/>
      <c r="CY16" s="59"/>
      <c r="CZ16" s="59"/>
      <c r="DA16" s="59"/>
      <c r="DB16" s="59"/>
      <c r="DC16" s="59"/>
      <c r="DD16" s="59"/>
      <c r="DE16" s="59"/>
      <c r="DF16" s="59"/>
      <c r="DG16" s="59"/>
      <c r="DH16" s="59"/>
      <c r="DI16" s="59"/>
      <c r="DJ16" s="59"/>
      <c r="DK16" s="59"/>
      <c r="DL16" s="59"/>
      <c r="DM16" s="59"/>
      <c r="DN16" s="59"/>
      <c r="DO16" s="59"/>
    </row>
    <row r="17" spans="2:119" ht="16.5" thickBot="1" x14ac:dyDescent="0.3">
      <c r="B17" s="201"/>
      <c r="C17" s="197"/>
      <c r="D17" s="82">
        <v>4</v>
      </c>
      <c r="E17" s="92" t="str">
        <f t="shared" ref="E17:AF17" si="26">IF(INDEX($CK$4:$DO$123,ROW()-3,E$3)=0,"","СП")</f>
        <v/>
      </c>
      <c r="F17" s="92" t="str">
        <f t="shared" si="26"/>
        <v/>
      </c>
      <c r="G17" s="92" t="str">
        <f t="shared" si="26"/>
        <v>СП</v>
      </c>
      <c r="H17" s="92" t="str">
        <f t="shared" si="26"/>
        <v/>
      </c>
      <c r="I17" s="92" t="str">
        <f t="shared" si="26"/>
        <v/>
      </c>
      <c r="J17" s="92" t="str">
        <f t="shared" si="26"/>
        <v/>
      </c>
      <c r="K17" s="92" t="str">
        <f t="shared" si="26"/>
        <v/>
      </c>
      <c r="L17" s="92" t="str">
        <f t="shared" si="26"/>
        <v/>
      </c>
      <c r="M17" s="92" t="str">
        <f t="shared" si="26"/>
        <v/>
      </c>
      <c r="N17" s="92" t="str">
        <f t="shared" si="26"/>
        <v/>
      </c>
      <c r="O17" s="92" t="str">
        <f t="shared" si="26"/>
        <v/>
      </c>
      <c r="P17" s="92" t="str">
        <f t="shared" si="26"/>
        <v/>
      </c>
      <c r="Q17" s="92" t="str">
        <f t="shared" si="26"/>
        <v/>
      </c>
      <c r="R17" s="92" t="str">
        <f t="shared" si="26"/>
        <v/>
      </c>
      <c r="S17" s="92" t="str">
        <f t="shared" si="26"/>
        <v/>
      </c>
      <c r="T17" s="92" t="str">
        <f t="shared" si="26"/>
        <v/>
      </c>
      <c r="U17" s="92" t="str">
        <f t="shared" si="26"/>
        <v/>
      </c>
      <c r="V17" s="92" t="str">
        <f t="shared" si="26"/>
        <v/>
      </c>
      <c r="W17" s="92" t="str">
        <f t="shared" si="26"/>
        <v/>
      </c>
      <c r="X17" s="92" t="str">
        <f t="shared" si="26"/>
        <v/>
      </c>
      <c r="Y17" s="92" t="str">
        <f t="shared" si="26"/>
        <v/>
      </c>
      <c r="Z17" s="92" t="str">
        <f t="shared" si="26"/>
        <v/>
      </c>
      <c r="AA17" s="92" t="str">
        <f t="shared" si="26"/>
        <v/>
      </c>
      <c r="AB17" s="92" t="str">
        <f t="shared" si="26"/>
        <v/>
      </c>
      <c r="AC17" s="92" t="str">
        <f t="shared" si="26"/>
        <v/>
      </c>
      <c r="AD17" s="92" t="str">
        <f t="shared" si="26"/>
        <v/>
      </c>
      <c r="AE17" s="92" t="str">
        <f t="shared" si="26"/>
        <v/>
      </c>
      <c r="AF17" s="92" t="str">
        <f t="shared" si="26"/>
        <v/>
      </c>
      <c r="AG17" s="119"/>
      <c r="AH17" s="119"/>
      <c r="AI17" s="119"/>
      <c r="AJ17" s="206"/>
      <c r="AK17" s="177"/>
      <c r="AL17" s="177"/>
      <c r="AM17" s="177"/>
      <c r="AN17" s="198"/>
      <c r="AO17" s="198"/>
      <c r="AP17" s="198"/>
      <c r="AQ17" s="177"/>
      <c r="AR17" s="179"/>
      <c r="CK17" s="58">
        <f>IF(DAY(INDEX('Сводный годовой график'!$BA$4:$BL$14,$C16,MONTH($B$14)))=E$3,1,0)</f>
        <v>0</v>
      </c>
      <c r="CL17" s="58">
        <f>IF(DAY(INDEX('Сводный годовой график'!$BA$4:$BL$14,$C16,MONTH($B$14)))=F$3,1,0)</f>
        <v>0</v>
      </c>
      <c r="CM17" s="58">
        <f>IF(DAY(INDEX('Сводный годовой график'!$BA$4:$BL$14,$C16,MONTH($B$14)))=G$3,1,0)</f>
        <v>1</v>
      </c>
      <c r="CN17" s="58">
        <f>IF(DAY(INDEX('Сводный годовой график'!$BA$4:$BL$14,$C16,MONTH($B$14)))=H$3,1,0)</f>
        <v>0</v>
      </c>
      <c r="CO17" s="58">
        <f>IF(DAY(INDEX('Сводный годовой график'!$BA$4:$BL$14,$C16,MONTH($B$14)))=I$3,1,0)</f>
        <v>0</v>
      </c>
      <c r="CP17" s="58">
        <f>IF(DAY(INDEX('Сводный годовой график'!$BA$4:$BL$14,$C16,MONTH($B$14)))=J$3,1,0)</f>
        <v>0</v>
      </c>
      <c r="CQ17" s="58">
        <f>IF(DAY(INDEX('Сводный годовой график'!$BA$4:$BL$14,$C16,MONTH($B$14)))=K$3,1,0)</f>
        <v>0</v>
      </c>
      <c r="CR17" s="58">
        <f>IF(DAY(INDEX('Сводный годовой график'!$BA$4:$BL$14,$C16,MONTH($B$14)))=L$3,1,0)</f>
        <v>0</v>
      </c>
      <c r="CS17" s="58">
        <f>IF(DAY(INDEX('Сводный годовой график'!$BA$4:$BL$14,$C16,MONTH($B$14)))=M$3,1,0)</f>
        <v>0</v>
      </c>
      <c r="CT17" s="58">
        <f>IF(DAY(INDEX('Сводный годовой график'!$BA$4:$BL$14,$C16,MONTH($B$14)))=N$3,1,0)</f>
        <v>0</v>
      </c>
      <c r="CU17" s="58">
        <f>IF(DAY(INDEX('Сводный годовой график'!$BA$4:$BL$14,$C16,MONTH($B$14)))=O$3,1,0)</f>
        <v>0</v>
      </c>
      <c r="CV17" s="58">
        <f>IF(DAY(INDEX('Сводный годовой график'!$BA$4:$BL$14,$C16,MONTH($B$14)))=P$3,1,0)</f>
        <v>0</v>
      </c>
      <c r="CW17" s="58">
        <f>IF(DAY(INDEX('Сводный годовой график'!$BA$4:$BL$14,$C16,MONTH($B$14)))=Q$3,1,0)</f>
        <v>0</v>
      </c>
      <c r="CX17" s="58">
        <f>IF(DAY(INDEX('Сводный годовой график'!$BA$4:$BL$14,$C16,MONTH($B$14)))=R$3,1,0)</f>
        <v>0</v>
      </c>
      <c r="CY17" s="58">
        <f>IF(DAY(INDEX('Сводный годовой график'!$BA$4:$BL$14,$C16,MONTH($B$14)))=S$3,1,0)</f>
        <v>0</v>
      </c>
      <c r="CZ17" s="58">
        <f>IF(DAY(INDEX('Сводный годовой график'!$BA$4:$BL$14,$C16,MONTH($B$14)))=T$3,1,0)</f>
        <v>0</v>
      </c>
      <c r="DA17" s="58">
        <f>IF(DAY(INDEX('Сводный годовой график'!$BA$4:$BL$14,$C16,MONTH($B$14)))=U$3,1,0)</f>
        <v>0</v>
      </c>
      <c r="DB17" s="58">
        <f>IF(DAY(INDEX('Сводный годовой график'!$BA$4:$BL$14,$C16,MONTH($B$14)))=V$3,1,0)</f>
        <v>0</v>
      </c>
      <c r="DC17" s="58">
        <f>IF(DAY(INDEX('Сводный годовой график'!$BA$4:$BL$14,$C16,MONTH($B$14)))=W$3,1,0)</f>
        <v>0</v>
      </c>
      <c r="DD17" s="58">
        <f>IF(DAY(INDEX('Сводный годовой график'!$BA$4:$BL$14,$C16,MONTH($B$14)))=X$3,1,0)</f>
        <v>0</v>
      </c>
      <c r="DE17" s="58">
        <f>IF(DAY(INDEX('Сводный годовой график'!$BA$4:$BL$14,$C16,MONTH($B$14)))=Y$3,1,0)</f>
        <v>0</v>
      </c>
      <c r="DF17" s="58">
        <f>IF(DAY(INDEX('Сводный годовой график'!$BA$4:$BL$14,$C16,MONTH($B$14)))=Z$3,1,0)</f>
        <v>0</v>
      </c>
      <c r="DG17" s="58">
        <f>IF(DAY(INDEX('Сводный годовой график'!$BA$4:$BL$14,$C16,MONTH($B$14)))=AA$3,1,0)</f>
        <v>0</v>
      </c>
      <c r="DH17" s="58">
        <f>IF(DAY(INDEX('Сводный годовой график'!$BA$4:$BL$14,$C16,MONTH($B$14)))=AB$3,1,0)</f>
        <v>0</v>
      </c>
      <c r="DI17" s="58">
        <f>IF(DAY(INDEX('Сводный годовой график'!$BA$4:$BL$14,$C16,MONTH($B$14)))=AC$3,1,0)</f>
        <v>0</v>
      </c>
      <c r="DJ17" s="58">
        <f>IF(DAY(INDEX('Сводный годовой график'!$BA$4:$BL$14,$C16,MONTH($B$14)))=AD$3,1,0)</f>
        <v>0</v>
      </c>
      <c r="DK17" s="58">
        <f>IF(DAY(INDEX('Сводный годовой график'!$BA$4:$BL$14,$C16,MONTH($B$14)))=AE$3,1,0)</f>
        <v>0</v>
      </c>
      <c r="DL17" s="58">
        <f>IF(DAY(INDEX('Сводный годовой график'!$BA$4:$BL$14,$C16,MONTH($B$14)))=AF$3,1,0)</f>
        <v>0</v>
      </c>
      <c r="DM17" s="58">
        <f>IF(DAY(INDEX('Сводный годовой график'!$BA$4:$BL$14,$C16,MONTH($B$14)))=AG$3,1,0)</f>
        <v>0</v>
      </c>
      <c r="DN17" s="58">
        <f>IF(DAY(INDEX('Сводный годовой график'!$BA$4:$BL$14,$C16,MONTH($B$14)))=AH$3,1,0)</f>
        <v>0</v>
      </c>
      <c r="DO17" s="58">
        <f>IF(DAY(INDEX('Сводный годовой график'!$BA$4:$BL$14,$C16,MONTH($B$14)))=AI$3,1,0)</f>
        <v>0</v>
      </c>
    </row>
    <row r="18" spans="2:119" ht="17.25" thickTop="1" thickBot="1" x14ac:dyDescent="0.3">
      <c r="B18" s="201"/>
      <c r="C18" s="196">
        <v>3</v>
      </c>
      <c r="D18" s="81">
        <v>5</v>
      </c>
      <c r="E18" s="92">
        <f ca="1">IF(AND(INDEX('Сводный годовой график'!$C$1:$AR$4,MATCH($C$18,'Сводный годовой график'!$B$1:$B$4),MATCH(DATE($AV$1,MONTH($B$14),E$3),'Сводный годовой график'!$C$6:$AR$6))&lt;&gt;12,INDIRECT(ADDRESS(ROW()+1,COLUMN()))="СП"),8,INDEX('Сводный годовой график'!$C$1:$AR$4,MATCH($C$18,'Сводный годовой график'!$B$1:$B$4),MATCH(DATE($AV$1,MONTH($B$14),E$3),'Сводный годовой график'!$C$6:$AR$6)))</f>
        <v>4</v>
      </c>
      <c r="F18" s="92">
        <f ca="1">IF(AND(INDEX('Сводный годовой график'!$C$1:$AR$4,MATCH($C$18,'Сводный годовой график'!$B$1:$B$4),MATCH(DATE($AV$1,MONTH($B$14),F$3),'Сводный годовой график'!$C$6:$AR$6))&lt;&gt;12,INDIRECT(ADDRESS(ROW()+1,COLUMN()))="СП"),8,INDEX('Сводный годовой график'!$C$1:$AR$4,MATCH($C$18,'Сводный годовой график'!$B$1:$B$4),MATCH(DATE($AV$1,MONTH($B$14),F$3),'Сводный годовой график'!$C$6:$AR$6)))</f>
        <v>8</v>
      </c>
      <c r="G18" s="92">
        <f ca="1">IF(AND(INDEX('Сводный годовой график'!$C$1:$AR$4,MATCH($C$18,'Сводный годовой график'!$B$1:$B$4),MATCH(DATE($AV$1,MONTH($B$14),G$3),'Сводный годовой график'!$C$6:$AR$6))&lt;&gt;12,INDIRECT(ADDRESS(ROW()+1,COLUMN()))="СП"),8,INDEX('Сводный годовой график'!$C$1:$AR$4,MATCH($C$18,'Сводный годовой график'!$B$1:$B$4),MATCH(DATE($AV$1,MONTH($B$14),G$3),'Сводный годовой график'!$C$6:$AR$6)))</f>
        <v>12</v>
      </c>
      <c r="H18" s="92">
        <f ca="1">IF(AND(INDEX('Сводный годовой график'!$C$1:$AR$4,MATCH($C$18,'Сводный годовой график'!$B$1:$B$4),MATCH(DATE($AV$1,MONTH($B$14),H$3),'Сводный годовой график'!$C$6:$AR$6))&lt;&gt;12,INDIRECT(ADDRESS(ROW()+1,COLUMN()))="СП"),8,INDEX('Сводный годовой график'!$C$1:$AR$4,MATCH($C$18,'Сводный годовой график'!$B$1:$B$4),MATCH(DATE($AV$1,MONTH($B$14),H$3),'Сводный годовой график'!$C$6:$AR$6)))</f>
        <v>8</v>
      </c>
      <c r="I18" s="92">
        <f ca="1">IF(AND(INDEX('Сводный годовой график'!$C$1:$AR$4,MATCH($C$18,'Сводный годовой график'!$B$1:$B$4),MATCH(DATE($AV$1,MONTH($B$14),I$3),'Сводный годовой график'!$C$6:$AR$6))&lt;&gt;12,INDIRECT(ADDRESS(ROW()+1,COLUMN()))="СП"),8,INDEX('Сводный годовой график'!$C$1:$AR$4,MATCH($C$18,'Сводный годовой график'!$B$1:$B$4),MATCH(DATE($AV$1,MONTH($B$14),I$3),'Сводный годовой график'!$C$6:$AR$6)))</f>
        <v>0</v>
      </c>
      <c r="J18" s="92">
        <f ca="1">IF(AND(INDEX('Сводный годовой график'!$C$1:$AR$4,MATCH($C$18,'Сводный годовой график'!$B$1:$B$4),MATCH(DATE($AV$1,MONTH($B$14),J$3),'Сводный годовой график'!$C$6:$AR$6))&lt;&gt;12,INDIRECT(ADDRESS(ROW()+1,COLUMN()))="СП"),8,INDEX('Сводный годовой график'!$C$1:$AR$4,MATCH($C$18,'Сводный годовой график'!$B$1:$B$4),MATCH(DATE($AV$1,MONTH($B$14),J$3),'Сводный годовой график'!$C$6:$AR$6)))</f>
        <v>4</v>
      </c>
      <c r="K18" s="92">
        <f ca="1">IF(AND(INDEX('Сводный годовой график'!$C$1:$AR$4,MATCH($C$18,'Сводный годовой график'!$B$1:$B$4),MATCH(DATE($AV$1,MONTH($B$14),K$3),'Сводный годовой график'!$C$6:$AR$6))&lt;&gt;12,INDIRECT(ADDRESS(ROW()+1,COLUMN()))="СП"),8,INDEX('Сводный годовой график'!$C$1:$AR$4,MATCH($C$18,'Сводный годовой график'!$B$1:$B$4),MATCH(DATE($AV$1,MONTH($B$14),K$3),'Сводный годовой график'!$C$6:$AR$6)))</f>
        <v>8</v>
      </c>
      <c r="L18" s="92">
        <f ca="1">IF(AND(INDEX('Сводный годовой график'!$C$1:$AR$4,MATCH($C$18,'Сводный годовой график'!$B$1:$B$4),MATCH(DATE($AV$1,MONTH($B$14),L$3),'Сводный годовой график'!$C$6:$AR$6))&lt;&gt;12,INDIRECT(ADDRESS(ROW()+1,COLUMN()))="СП"),8,INDEX('Сводный годовой график'!$C$1:$AR$4,MATCH($C$18,'Сводный годовой график'!$B$1:$B$4),MATCH(DATE($AV$1,MONTH($B$14),L$3),'Сводный годовой график'!$C$6:$AR$6)))</f>
        <v>12</v>
      </c>
      <c r="M18" s="92">
        <f ca="1">IF(AND(INDEX('Сводный годовой график'!$C$1:$AR$4,MATCH($C$18,'Сводный годовой график'!$B$1:$B$4),MATCH(DATE($AV$1,MONTH($B$14),M$3),'Сводный годовой график'!$C$6:$AR$6))&lt;&gt;12,INDIRECT(ADDRESS(ROW()+1,COLUMN()))="СП"),8,INDEX('Сводный годовой график'!$C$1:$AR$4,MATCH($C$18,'Сводный годовой график'!$B$1:$B$4),MATCH(DATE($AV$1,MONTH($B$14),M$3),'Сводный годовой график'!$C$6:$AR$6)))</f>
        <v>4</v>
      </c>
      <c r="N18" s="92">
        <f ca="1">IF(AND(INDEX('Сводный годовой график'!$C$1:$AR$4,MATCH($C$18,'Сводный годовой график'!$B$1:$B$4),MATCH(DATE($AV$1,MONTH($B$14),N$3),'Сводный годовой график'!$C$6:$AR$6))&lt;&gt;12,INDIRECT(ADDRESS(ROW()+1,COLUMN()))="СП"),8,INDEX('Сводный годовой график'!$C$1:$AR$4,MATCH($C$18,'Сводный годовой график'!$B$1:$B$4),MATCH(DATE($AV$1,MONTH($B$14),N$3),'Сводный годовой график'!$C$6:$AR$6)))</f>
        <v>8</v>
      </c>
      <c r="O18" s="92">
        <f ca="1">IF(AND(INDEX('Сводный годовой график'!$C$1:$AR$4,MATCH($C$18,'Сводный годовой график'!$B$1:$B$4),MATCH(DATE($AV$1,MONTH($B$14),O$3),'Сводный годовой график'!$C$6:$AR$6))&lt;&gt;12,INDIRECT(ADDRESS(ROW()+1,COLUMN()))="СП"),8,INDEX('Сводный годовой график'!$C$1:$AR$4,MATCH($C$18,'Сводный годовой график'!$B$1:$B$4),MATCH(DATE($AV$1,MONTH($B$14),O$3),'Сводный годовой график'!$C$6:$AR$6)))</f>
        <v>12</v>
      </c>
      <c r="P18" s="92">
        <f ca="1">IF(AND(INDEX('Сводный годовой график'!$C$1:$AR$4,MATCH($C$18,'Сводный годовой график'!$B$1:$B$4),MATCH(DATE($AV$1,MONTH($B$14),P$3),'Сводный годовой график'!$C$6:$AR$6))&lt;&gt;12,INDIRECT(ADDRESS(ROW()+1,COLUMN()))="СП"),8,INDEX('Сводный годовой график'!$C$1:$AR$4,MATCH($C$18,'Сводный годовой график'!$B$1:$B$4),MATCH(DATE($AV$1,MONTH($B$14),P$3),'Сводный годовой график'!$C$6:$AR$6)))</f>
        <v>0</v>
      </c>
      <c r="Q18" s="92">
        <f ca="1">IF(AND(INDEX('Сводный годовой график'!$C$1:$AR$4,MATCH($C$18,'Сводный годовой график'!$B$1:$B$4),MATCH(DATE($AV$1,MONTH($B$14),Q$3),'Сводный годовой график'!$C$6:$AR$6))&lt;&gt;12,INDIRECT(ADDRESS(ROW()+1,COLUMN()))="СП"),8,INDEX('Сводный годовой график'!$C$1:$AR$4,MATCH($C$18,'Сводный годовой график'!$B$1:$B$4),MATCH(DATE($AV$1,MONTH($B$14),Q$3),'Сводный годовой график'!$C$6:$AR$6)))</f>
        <v>0</v>
      </c>
      <c r="R18" s="92">
        <f ca="1">IF(AND(INDEX('Сводный годовой график'!$C$1:$AR$4,MATCH($C$18,'Сводный годовой график'!$B$1:$B$4),MATCH(DATE($AV$1,MONTH($B$14),R$3),'Сводный годовой график'!$C$6:$AR$6))&lt;&gt;12,INDIRECT(ADDRESS(ROW()+1,COLUMN()))="СП"),8,INDEX('Сводный годовой график'!$C$1:$AR$4,MATCH($C$18,'Сводный годовой график'!$B$1:$B$4),MATCH(DATE($AV$1,MONTH($B$14),R$3),'Сводный годовой график'!$C$6:$AR$6)))</f>
        <v>4</v>
      </c>
      <c r="S18" s="92">
        <f ca="1">IF(AND(INDEX('Сводный годовой график'!$C$1:$AR$4,MATCH($C$18,'Сводный годовой график'!$B$1:$B$4),MATCH(DATE($AV$1,MONTH($B$14),S$3),'Сводный годовой график'!$C$6:$AR$6))&lt;&gt;12,INDIRECT(ADDRESS(ROW()+1,COLUMN()))="СП"),8,INDEX('Сводный годовой график'!$C$1:$AR$4,MATCH($C$18,'Сводный годовой график'!$B$1:$B$4),MATCH(DATE($AV$1,MONTH($B$14),S$3),'Сводный годовой график'!$C$6:$AR$6)))</f>
        <v>8</v>
      </c>
      <c r="T18" s="92">
        <f ca="1">IF(AND(INDEX('Сводный годовой график'!$C$1:$AR$4,MATCH($C$18,'Сводный годовой график'!$B$1:$B$4),MATCH(DATE($AV$1,MONTH($B$14),T$3),'Сводный годовой график'!$C$6:$AR$6))&lt;&gt;12,INDIRECT(ADDRESS(ROW()+1,COLUMN()))="СП"),8,INDEX('Сводный годовой график'!$C$1:$AR$4,MATCH($C$18,'Сводный годовой график'!$B$1:$B$4),MATCH(DATE($AV$1,MONTH($B$14),T$3),'Сводный годовой график'!$C$6:$AR$6)))</f>
        <v>12</v>
      </c>
      <c r="U18" s="92">
        <f ca="1">IF(AND(INDEX('Сводный годовой график'!$C$1:$AR$4,MATCH($C$18,'Сводный годовой график'!$B$1:$B$4),MATCH(DATE($AV$1,MONTH($B$14),U$3),'Сводный годовой график'!$C$6:$AR$6))&lt;&gt;12,INDIRECT(ADDRESS(ROW()+1,COLUMN()))="СП"),8,INDEX('Сводный годовой график'!$C$1:$AR$4,MATCH($C$18,'Сводный годовой график'!$B$1:$B$4),MATCH(DATE($AV$1,MONTH($B$14),U$3),'Сводный годовой график'!$C$6:$AR$6)))</f>
        <v>4</v>
      </c>
      <c r="V18" s="92">
        <f ca="1">IF(AND(INDEX('Сводный годовой график'!$C$1:$AR$4,MATCH($C$18,'Сводный годовой график'!$B$1:$B$4),MATCH(DATE($AV$1,MONTH($B$14),V$3),'Сводный годовой график'!$C$6:$AR$6))&lt;&gt;12,INDIRECT(ADDRESS(ROW()+1,COLUMN()))="СП"),8,INDEX('Сводный годовой график'!$C$1:$AR$4,MATCH($C$18,'Сводный годовой график'!$B$1:$B$4),MATCH(DATE($AV$1,MONTH($B$14),V$3),'Сводный годовой график'!$C$6:$AR$6)))</f>
        <v>8</v>
      </c>
      <c r="W18" s="92">
        <f ca="1">IF(AND(INDEX('Сводный годовой график'!$C$1:$AR$4,MATCH($C$18,'Сводный годовой график'!$B$1:$B$4),MATCH(DATE($AV$1,MONTH($B$14),W$3),'Сводный годовой график'!$C$6:$AR$6))&lt;&gt;12,INDIRECT(ADDRESS(ROW()+1,COLUMN()))="СП"),8,INDEX('Сводный годовой график'!$C$1:$AR$4,MATCH($C$18,'Сводный годовой график'!$B$1:$B$4),MATCH(DATE($AV$1,MONTH($B$14),W$3),'Сводный годовой график'!$C$6:$AR$6)))</f>
        <v>12</v>
      </c>
      <c r="X18" s="92">
        <f ca="1">IF(AND(INDEX('Сводный годовой график'!$C$1:$AR$4,MATCH($C$18,'Сводный годовой график'!$B$1:$B$4),MATCH(DATE($AV$1,MONTH($B$14),X$3),'Сводный годовой график'!$C$6:$AR$6))&lt;&gt;12,INDIRECT(ADDRESS(ROW()+1,COLUMN()))="СП"),8,INDEX('Сводный годовой график'!$C$1:$AR$4,MATCH($C$18,'Сводный годовой график'!$B$1:$B$4),MATCH(DATE($AV$1,MONTH($B$14),X$3),'Сводный годовой график'!$C$6:$AR$6)))</f>
        <v>0</v>
      </c>
      <c r="Y18" s="92">
        <f ca="1">IF(AND(INDEX('Сводный годовой график'!$C$1:$AR$4,MATCH($C$18,'Сводный годовой график'!$B$1:$B$4),MATCH(DATE($AV$1,MONTH($B$14),Y$3),'Сводный годовой график'!$C$6:$AR$6))&lt;&gt;12,INDIRECT(ADDRESS(ROW()+1,COLUMN()))="СП"),8,INDEX('Сводный годовой график'!$C$1:$AR$4,MATCH($C$18,'Сводный годовой график'!$B$1:$B$4),MATCH(DATE($AV$1,MONTH($B$14),Y$3),'Сводный годовой график'!$C$6:$AR$6)))</f>
        <v>0</v>
      </c>
      <c r="Z18" s="92">
        <f ca="1">IF(AND(INDEX('Сводный годовой график'!$C$1:$AR$4,MATCH($C$18,'Сводный годовой график'!$B$1:$B$4),MATCH(DATE($AV$1,MONTH($B$14),Z$3),'Сводный годовой график'!$C$6:$AR$6))&lt;&gt;12,INDIRECT(ADDRESS(ROW()+1,COLUMN()))="СП"),8,INDEX('Сводный годовой график'!$C$1:$AR$4,MATCH($C$18,'Сводный годовой график'!$B$1:$B$4),MATCH(DATE($AV$1,MONTH($B$14),Z$3),'Сводный годовой график'!$C$6:$AR$6)))</f>
        <v>4</v>
      </c>
      <c r="AA18" s="92">
        <f ca="1">IF(AND(INDEX('Сводный годовой график'!$C$1:$AR$4,MATCH($C$18,'Сводный годовой график'!$B$1:$B$4),MATCH(DATE($AV$1,MONTH($B$14),AA$3),'Сводный годовой график'!$C$6:$AR$6))&lt;&gt;12,INDIRECT(ADDRESS(ROW()+1,COLUMN()))="СП"),8,INDEX('Сводный годовой график'!$C$1:$AR$4,MATCH($C$18,'Сводный годовой график'!$B$1:$B$4),MATCH(DATE($AV$1,MONTH($B$14),AA$3),'Сводный годовой график'!$C$6:$AR$6)))</f>
        <v>8</v>
      </c>
      <c r="AB18" s="92">
        <f ca="1">IF(AND(INDEX('Сводный годовой график'!$C$1:$AR$4,MATCH($C$18,'Сводный годовой график'!$B$1:$B$4),MATCH(DATE($AV$1,MONTH($B$14),AB$3),'Сводный годовой график'!$C$6:$AR$6))&lt;&gt;12,INDIRECT(ADDRESS(ROW()+1,COLUMN()))="СП"),8,INDEX('Сводный годовой график'!$C$1:$AR$4,MATCH($C$18,'Сводный годовой график'!$B$1:$B$4),MATCH(DATE($AV$1,MONTH($B$14),AB$3),'Сводный годовой график'!$C$6:$AR$6)))</f>
        <v>12</v>
      </c>
      <c r="AC18" s="92">
        <f ca="1">IF(AND(INDEX('Сводный годовой график'!$C$1:$AR$4,MATCH($C$18,'Сводный годовой график'!$B$1:$B$4),MATCH(DATE($AV$1,MONTH($B$14),AC$3),'Сводный годовой график'!$C$6:$AR$6))&lt;&gt;12,INDIRECT(ADDRESS(ROW()+1,COLUMN()))="СП"),8,INDEX('Сводный годовой график'!$C$1:$AR$4,MATCH($C$18,'Сводный годовой график'!$B$1:$B$4),MATCH(DATE($AV$1,MONTH($B$14),AC$3),'Сводный годовой график'!$C$6:$AR$6)))</f>
        <v>4</v>
      </c>
      <c r="AD18" s="92">
        <f ca="1">IF(AND(INDEX('Сводный годовой график'!$C$1:$AR$4,MATCH($C$18,'Сводный годовой график'!$B$1:$B$4),MATCH(DATE($AV$1,MONTH($B$14),AD$3),'Сводный годовой график'!$C$6:$AR$6))&lt;&gt;12,INDIRECT(ADDRESS(ROW()+1,COLUMN()))="СП"),8,INDEX('Сводный годовой график'!$C$1:$AR$4,MATCH($C$18,'Сводный годовой график'!$B$1:$B$4),MATCH(DATE($AV$1,MONTH($B$14),AD$3),'Сводный годовой график'!$C$6:$AR$6)))</f>
        <v>8</v>
      </c>
      <c r="AE18" s="92">
        <f ca="1">IF(AND(INDEX('Сводный годовой график'!$C$1:$AR$4,MATCH($C$18,'Сводный годовой график'!$B$1:$B$4),MATCH(DATE($AV$1,MONTH($B$14),AE$3),'Сводный годовой график'!$C$6:$AR$6))&lt;&gt;12,INDIRECT(ADDRESS(ROW()+1,COLUMN()))="СП"),8,INDEX('Сводный годовой график'!$C$1:$AR$4,MATCH($C$18,'Сводный годовой график'!$B$1:$B$4),MATCH(DATE($AV$1,MONTH($B$14),AE$3),'Сводный годовой график'!$C$6:$AR$6)))</f>
        <v>12</v>
      </c>
      <c r="AF18" s="92">
        <f ca="1">IF(AND(INDEX('Сводный годовой график'!$C$1:$AR$4,MATCH($C$18,'Сводный годовой график'!$B$1:$B$4),MATCH(DATE($AV$1,MONTH($B$14),AF$3),'Сводный годовой график'!$C$6:$AR$6))&lt;&gt;12,INDIRECT(ADDRESS(ROW()+1,COLUMN()))="СП"),8,INDEX('Сводный годовой график'!$C$1:$AR$4,MATCH($C$18,'Сводный годовой график'!$B$1:$B$4),MATCH(DATE($AV$1,MONTH($B$14),AF$3),'Сводный годовой график'!$C$6:$AR$6)))</f>
        <v>0</v>
      </c>
      <c r="AG18" s="119"/>
      <c r="AH18" s="119"/>
      <c r="AI18" s="119"/>
      <c r="AJ18" s="206"/>
      <c r="AK18" s="177">
        <f>$AJ$14-SUM(AY18:CC19)</f>
        <v>160</v>
      </c>
      <c r="AL18" s="177">
        <f t="shared" ref="AL18" ca="1" si="27">SUM(E18:AI19)</f>
        <v>176</v>
      </c>
      <c r="AM18" s="177">
        <f ca="1">SUM(AA18)</f>
        <v>8</v>
      </c>
      <c r="AN18" s="198">
        <f t="shared" ref="AN18" ca="1" si="28">-AM18-AK18+AL18</f>
        <v>8</v>
      </c>
      <c r="AO18" s="198">
        <v>24</v>
      </c>
      <c r="AP18" s="208">
        <f t="shared" ref="AP18" ca="1" si="29">AN18+AP8-AO18</f>
        <v>-12</v>
      </c>
      <c r="AQ18" s="177">
        <v>0</v>
      </c>
      <c r="AR18" s="179">
        <v>1</v>
      </c>
      <c r="CK18" s="59"/>
      <c r="CL18" s="59"/>
      <c r="CM18" s="59"/>
      <c r="CN18" s="59"/>
      <c r="CO18" s="59"/>
      <c r="CP18" s="59"/>
      <c r="CQ18" s="59"/>
      <c r="CR18" s="59"/>
      <c r="CS18" s="59"/>
      <c r="CT18" s="59"/>
      <c r="CU18" s="59"/>
      <c r="CV18" s="59"/>
      <c r="CW18" s="59"/>
      <c r="CX18" s="59"/>
      <c r="CY18" s="59"/>
      <c r="CZ18" s="59"/>
      <c r="DA18" s="59"/>
      <c r="DB18" s="59"/>
      <c r="DC18" s="59"/>
      <c r="DD18" s="59"/>
      <c r="DE18" s="59"/>
      <c r="DF18" s="59"/>
      <c r="DG18" s="59"/>
      <c r="DH18" s="59"/>
      <c r="DI18" s="59"/>
      <c r="DJ18" s="59"/>
      <c r="DK18" s="59"/>
      <c r="DL18" s="59"/>
      <c r="DM18" s="59"/>
      <c r="DN18" s="59"/>
      <c r="DO18" s="59"/>
    </row>
    <row r="19" spans="2:119" ht="16.5" thickBot="1" x14ac:dyDescent="0.3">
      <c r="B19" s="201"/>
      <c r="C19" s="197"/>
      <c r="D19" s="82">
        <v>6</v>
      </c>
      <c r="E19" s="92" t="str">
        <f t="shared" ref="E19:AF19" si="30">IF(INDEX($CK$4:$DO$123,ROW()-3,E$3)=0,"","СП")</f>
        <v/>
      </c>
      <c r="F19" s="92" t="str">
        <f t="shared" si="30"/>
        <v/>
      </c>
      <c r="G19" s="92" t="str">
        <f t="shared" si="30"/>
        <v/>
      </c>
      <c r="H19" s="92" t="str">
        <f t="shared" si="30"/>
        <v>СП</v>
      </c>
      <c r="I19" s="92" t="str">
        <f t="shared" si="30"/>
        <v/>
      </c>
      <c r="J19" s="92" t="str">
        <f t="shared" si="30"/>
        <v/>
      </c>
      <c r="K19" s="92" t="str">
        <f t="shared" si="30"/>
        <v/>
      </c>
      <c r="L19" s="92" t="str">
        <f t="shared" si="30"/>
        <v/>
      </c>
      <c r="M19" s="92" t="str">
        <f t="shared" si="30"/>
        <v/>
      </c>
      <c r="N19" s="92" t="str">
        <f t="shared" si="30"/>
        <v/>
      </c>
      <c r="O19" s="92" t="str">
        <f t="shared" si="30"/>
        <v/>
      </c>
      <c r="P19" s="92" t="str">
        <f t="shared" si="30"/>
        <v/>
      </c>
      <c r="Q19" s="92" t="str">
        <f t="shared" si="30"/>
        <v/>
      </c>
      <c r="R19" s="92" t="str">
        <f t="shared" si="30"/>
        <v/>
      </c>
      <c r="S19" s="92" t="str">
        <f t="shared" si="30"/>
        <v/>
      </c>
      <c r="T19" s="92" t="str">
        <f t="shared" si="30"/>
        <v/>
      </c>
      <c r="U19" s="92" t="str">
        <f t="shared" si="30"/>
        <v/>
      </c>
      <c r="V19" s="92" t="str">
        <f t="shared" si="30"/>
        <v/>
      </c>
      <c r="W19" s="92" t="str">
        <f t="shared" si="30"/>
        <v/>
      </c>
      <c r="X19" s="92" t="str">
        <f t="shared" si="30"/>
        <v/>
      </c>
      <c r="Y19" s="92" t="str">
        <f t="shared" si="30"/>
        <v/>
      </c>
      <c r="Z19" s="92" t="str">
        <f t="shared" si="30"/>
        <v/>
      </c>
      <c r="AA19" s="92" t="str">
        <f t="shared" si="30"/>
        <v/>
      </c>
      <c r="AB19" s="92" t="str">
        <f t="shared" si="30"/>
        <v/>
      </c>
      <c r="AC19" s="92" t="str">
        <f t="shared" si="30"/>
        <v/>
      </c>
      <c r="AD19" s="92" t="str">
        <f t="shared" si="30"/>
        <v/>
      </c>
      <c r="AE19" s="92" t="str">
        <f t="shared" si="30"/>
        <v/>
      </c>
      <c r="AF19" s="92" t="str">
        <f t="shared" si="30"/>
        <v/>
      </c>
      <c r="AG19" s="119"/>
      <c r="AH19" s="119"/>
      <c r="AI19" s="119"/>
      <c r="AJ19" s="206"/>
      <c r="AK19" s="177"/>
      <c r="AL19" s="177"/>
      <c r="AM19" s="177"/>
      <c r="AN19" s="198"/>
      <c r="AO19" s="198"/>
      <c r="AP19" s="198"/>
      <c r="AQ19" s="177"/>
      <c r="AR19" s="179"/>
      <c r="CK19" s="58">
        <f>IF(DAY(INDEX('Сводный годовой график'!$BA$4:$BL$14,$C18,MONTH($B$14)))=E$3,1,0)</f>
        <v>0</v>
      </c>
      <c r="CL19" s="58">
        <f>IF(DAY(INDEX('Сводный годовой график'!$BA$4:$BL$14,$C18,MONTH($B$14)))=F$3,1,0)</f>
        <v>0</v>
      </c>
      <c r="CM19" s="58">
        <f>IF(DAY(INDEX('Сводный годовой график'!$BA$4:$BL$14,$C18,MONTH($B$14)))=G$3,1,0)</f>
        <v>0</v>
      </c>
      <c r="CN19" s="58">
        <f>IF(DAY(INDEX('Сводный годовой график'!$BA$4:$BL$14,$C18,MONTH($B$14)))=H$3,1,0)</f>
        <v>1</v>
      </c>
      <c r="CO19" s="58">
        <f>IF(DAY(INDEX('Сводный годовой график'!$BA$4:$BL$14,$C18,MONTH($B$14)))=I$3,1,0)</f>
        <v>0</v>
      </c>
      <c r="CP19" s="58">
        <f>IF(DAY(INDEX('Сводный годовой график'!$BA$4:$BL$14,$C18,MONTH($B$14)))=J$3,1,0)</f>
        <v>0</v>
      </c>
      <c r="CQ19" s="58">
        <f>IF(DAY(INDEX('Сводный годовой график'!$BA$4:$BL$14,$C18,MONTH($B$14)))=K$3,1,0)</f>
        <v>0</v>
      </c>
      <c r="CR19" s="58">
        <f>IF(DAY(INDEX('Сводный годовой график'!$BA$4:$BL$14,$C18,MONTH($B$14)))=L$3,1,0)</f>
        <v>0</v>
      </c>
      <c r="CS19" s="58">
        <f>IF(DAY(INDEX('Сводный годовой график'!$BA$4:$BL$14,$C18,MONTH($B$14)))=M$3,1,0)</f>
        <v>0</v>
      </c>
      <c r="CT19" s="58">
        <f>IF(DAY(INDEX('Сводный годовой график'!$BA$4:$BL$14,$C18,MONTH($B$14)))=N$3,1,0)</f>
        <v>0</v>
      </c>
      <c r="CU19" s="58">
        <f>IF(DAY(INDEX('Сводный годовой график'!$BA$4:$BL$14,$C18,MONTH($B$14)))=O$3,1,0)</f>
        <v>0</v>
      </c>
      <c r="CV19" s="58">
        <f>IF(DAY(INDEX('Сводный годовой график'!$BA$4:$BL$14,$C18,MONTH($B$14)))=P$3,1,0)</f>
        <v>0</v>
      </c>
      <c r="CW19" s="58">
        <f>IF(DAY(INDEX('Сводный годовой график'!$BA$4:$BL$14,$C18,MONTH($B$14)))=Q$3,1,0)</f>
        <v>0</v>
      </c>
      <c r="CX19" s="58">
        <f>IF(DAY(INDEX('Сводный годовой график'!$BA$4:$BL$14,$C18,MONTH($B$14)))=R$3,1,0)</f>
        <v>0</v>
      </c>
      <c r="CY19" s="58">
        <f>IF(DAY(INDEX('Сводный годовой график'!$BA$4:$BL$14,$C18,MONTH($B$14)))=S$3,1,0)</f>
        <v>0</v>
      </c>
      <c r="CZ19" s="58">
        <f>IF(DAY(INDEX('Сводный годовой график'!$BA$4:$BL$14,$C18,MONTH($B$14)))=T$3,1,0)</f>
        <v>0</v>
      </c>
      <c r="DA19" s="58">
        <f>IF(DAY(INDEX('Сводный годовой график'!$BA$4:$BL$14,$C18,MONTH($B$14)))=U$3,1,0)</f>
        <v>0</v>
      </c>
      <c r="DB19" s="58">
        <f>IF(DAY(INDEX('Сводный годовой график'!$BA$4:$BL$14,$C18,MONTH($B$14)))=V$3,1,0)</f>
        <v>0</v>
      </c>
      <c r="DC19" s="58">
        <f>IF(DAY(INDEX('Сводный годовой график'!$BA$4:$BL$14,$C18,MONTH($B$14)))=W$3,1,0)</f>
        <v>0</v>
      </c>
      <c r="DD19" s="58">
        <f>IF(DAY(INDEX('Сводный годовой график'!$BA$4:$BL$14,$C18,MONTH($B$14)))=X$3,1,0)</f>
        <v>0</v>
      </c>
      <c r="DE19" s="58">
        <f>IF(DAY(INDEX('Сводный годовой график'!$BA$4:$BL$14,$C18,MONTH($B$14)))=Y$3,1,0)</f>
        <v>0</v>
      </c>
      <c r="DF19" s="58">
        <f>IF(DAY(INDEX('Сводный годовой график'!$BA$4:$BL$14,$C18,MONTH($B$14)))=Z$3,1,0)</f>
        <v>0</v>
      </c>
      <c r="DG19" s="58">
        <f>IF(DAY(INDEX('Сводный годовой график'!$BA$4:$BL$14,$C18,MONTH($B$14)))=AA$3,1,0)</f>
        <v>0</v>
      </c>
      <c r="DH19" s="58">
        <f>IF(DAY(INDEX('Сводный годовой график'!$BA$4:$BL$14,$C18,MONTH($B$14)))=AB$3,1,0)</f>
        <v>0</v>
      </c>
      <c r="DI19" s="58">
        <f>IF(DAY(INDEX('Сводный годовой график'!$BA$4:$BL$14,$C18,MONTH($B$14)))=AC$3,1,0)</f>
        <v>0</v>
      </c>
      <c r="DJ19" s="58">
        <f>IF(DAY(INDEX('Сводный годовой график'!$BA$4:$BL$14,$C18,MONTH($B$14)))=AD$3,1,0)</f>
        <v>0</v>
      </c>
      <c r="DK19" s="58">
        <f>IF(DAY(INDEX('Сводный годовой график'!$BA$4:$BL$14,$C18,MONTH($B$14)))=AE$3,1,0)</f>
        <v>0</v>
      </c>
      <c r="DL19" s="58">
        <f>IF(DAY(INDEX('Сводный годовой график'!$BA$4:$BL$14,$C18,MONTH($B$14)))=AF$3,1,0)</f>
        <v>0</v>
      </c>
      <c r="DM19" s="58">
        <f>IF(DAY(INDEX('Сводный годовой график'!$BA$4:$BL$14,$C18,MONTH($B$14)))=AG$3,1,0)</f>
        <v>0</v>
      </c>
      <c r="DN19" s="58">
        <f>IF(DAY(INDEX('Сводный годовой график'!$BA$4:$BL$14,$C18,MONTH($B$14)))=AH$3,1,0)</f>
        <v>0</v>
      </c>
      <c r="DO19" s="58">
        <f>IF(DAY(INDEX('Сводный годовой график'!$BA$4:$BL$14,$C18,MONTH($B$14)))=AI$3,1,0)</f>
        <v>0</v>
      </c>
    </row>
    <row r="20" spans="2:119" ht="17.25" thickTop="1" thickBot="1" x14ac:dyDescent="0.3">
      <c r="B20" s="201"/>
      <c r="C20" s="196">
        <v>4</v>
      </c>
      <c r="D20" s="81">
        <v>7</v>
      </c>
      <c r="E20" s="92">
        <f ca="1">IF(AND(INDEX('Сводный годовой график'!$C$1:$AR$4,MATCH($C$20,'Сводный годовой график'!$B$1:$B$4),MATCH(DATE($AV$1,MONTH($B$14),E$3),'Сводный годовой график'!$C$6:$AR$6))&lt;&gt;12,INDIRECT(ADDRESS(ROW()+1,COLUMN()))="СП"),8,INDEX('Сводный годовой график'!$C$1:$AR$4,MATCH($C$20,'Сводный годовой график'!$B$1:$B$4),MATCH(DATE($AV$1,MONTH($B$14),E$3),'Сводный годовой график'!$C$6:$AR$6)))</f>
        <v>8</v>
      </c>
      <c r="F20" s="92">
        <f ca="1">IF(AND(INDEX('Сводный годовой график'!$C$1:$AR$4,MATCH($C$20,'Сводный годовой график'!$B$1:$B$4),MATCH(DATE($AV$1,MONTH($B$14),F$3),'Сводный годовой график'!$C$6:$AR$6))&lt;&gt;12,INDIRECT(ADDRESS(ROW()+1,COLUMN()))="СП"),8,INDEX('Сводный годовой график'!$C$1:$AR$4,MATCH($C$20,'Сводный годовой график'!$B$1:$B$4),MATCH(DATE($AV$1,MONTH($B$14),F$3),'Сводный годовой график'!$C$6:$AR$6)))</f>
        <v>12</v>
      </c>
      <c r="G20" s="92">
        <f ca="1">IF(AND(INDEX('Сводный годовой график'!$C$1:$AR$4,MATCH($C$20,'Сводный годовой график'!$B$1:$B$4),MATCH(DATE($AV$1,MONTH($B$14),G$3),'Сводный годовой график'!$C$6:$AR$6))&lt;&gt;12,INDIRECT(ADDRESS(ROW()+1,COLUMN()))="СП"),8,INDEX('Сводный годовой график'!$C$1:$AR$4,MATCH($C$20,'Сводный годовой график'!$B$1:$B$4),MATCH(DATE($AV$1,MONTH($B$14),G$3),'Сводный годовой график'!$C$6:$AR$6)))</f>
        <v>4</v>
      </c>
      <c r="H20" s="92">
        <f ca="1">IF(AND(INDEX('Сводный годовой график'!$C$1:$AR$4,MATCH($C$20,'Сводный годовой график'!$B$1:$B$4),MATCH(DATE($AV$1,MONTH($B$14),H$3),'Сводный годовой график'!$C$6:$AR$6))&lt;&gt;12,INDIRECT(ADDRESS(ROW()+1,COLUMN()))="СП"),8,INDEX('Сводный годовой график'!$C$1:$AR$4,MATCH($C$20,'Сводный годовой график'!$B$1:$B$4),MATCH(DATE($AV$1,MONTH($B$14),H$3),'Сводный годовой график'!$C$6:$AR$6)))</f>
        <v>8</v>
      </c>
      <c r="I20" s="92">
        <f ca="1">IF(AND(INDEX('Сводный годовой график'!$C$1:$AR$4,MATCH($C$20,'Сводный годовой график'!$B$1:$B$4),MATCH(DATE($AV$1,MONTH($B$14),I$3),'Сводный годовой график'!$C$6:$AR$6))&lt;&gt;12,INDIRECT(ADDRESS(ROW()+1,COLUMN()))="СП"),8,INDEX('Сводный годовой график'!$C$1:$AR$4,MATCH($C$20,'Сводный годовой график'!$B$1:$B$4),MATCH(DATE($AV$1,MONTH($B$14),I$3),'Сводный годовой график'!$C$6:$AR$6)))</f>
        <v>12</v>
      </c>
      <c r="J20" s="92">
        <f ca="1">IF(AND(INDEX('Сводный годовой график'!$C$1:$AR$4,MATCH($C$20,'Сводный годовой график'!$B$1:$B$4),MATCH(DATE($AV$1,MONTH($B$14),J$3),'Сводный годовой график'!$C$6:$AR$6))&lt;&gt;12,INDIRECT(ADDRESS(ROW()+1,COLUMN()))="СП"),8,INDEX('Сводный годовой график'!$C$1:$AR$4,MATCH($C$20,'Сводный годовой график'!$B$1:$B$4),MATCH(DATE($AV$1,MONTH($B$14),J$3),'Сводный годовой график'!$C$6:$AR$6)))</f>
        <v>0</v>
      </c>
      <c r="K20" s="92">
        <f ca="1">IF(AND(INDEX('Сводный годовой график'!$C$1:$AR$4,MATCH($C$20,'Сводный годовой график'!$B$1:$B$4),MATCH(DATE($AV$1,MONTH($B$14),K$3),'Сводный годовой график'!$C$6:$AR$6))&lt;&gt;12,INDIRECT(ADDRESS(ROW()+1,COLUMN()))="СП"),8,INDEX('Сводный годовой график'!$C$1:$AR$4,MATCH($C$20,'Сводный годовой график'!$B$1:$B$4),MATCH(DATE($AV$1,MONTH($B$14),K$3),'Сводный годовой график'!$C$6:$AR$6)))</f>
        <v>0</v>
      </c>
      <c r="L20" s="92">
        <f ca="1">IF(AND(INDEX('Сводный годовой график'!$C$1:$AR$4,MATCH($C$20,'Сводный годовой график'!$B$1:$B$4),MATCH(DATE($AV$1,MONTH($B$14),L$3),'Сводный годовой график'!$C$6:$AR$6))&lt;&gt;12,INDIRECT(ADDRESS(ROW()+1,COLUMN()))="СП"),8,INDEX('Сводный годовой график'!$C$1:$AR$4,MATCH($C$20,'Сводный годовой график'!$B$1:$B$4),MATCH(DATE($AV$1,MONTH($B$14),L$3),'Сводный годовой график'!$C$6:$AR$6)))</f>
        <v>4</v>
      </c>
      <c r="M20" s="92">
        <f ca="1">IF(AND(INDEX('Сводный годовой график'!$C$1:$AR$4,MATCH($C$20,'Сводный годовой график'!$B$1:$B$4),MATCH(DATE($AV$1,MONTH($B$14),M$3),'Сводный годовой график'!$C$6:$AR$6))&lt;&gt;12,INDIRECT(ADDRESS(ROW()+1,COLUMN()))="СП"),8,INDEX('Сводный годовой график'!$C$1:$AR$4,MATCH($C$20,'Сводный годовой график'!$B$1:$B$4),MATCH(DATE($AV$1,MONTH($B$14),M$3),'Сводный годовой график'!$C$6:$AR$6)))</f>
        <v>8</v>
      </c>
      <c r="N20" s="92">
        <f ca="1">IF(AND(INDEX('Сводный годовой график'!$C$1:$AR$4,MATCH($C$20,'Сводный годовой график'!$B$1:$B$4),MATCH(DATE($AV$1,MONTH($B$14),N$3),'Сводный годовой график'!$C$6:$AR$6))&lt;&gt;12,INDIRECT(ADDRESS(ROW()+1,COLUMN()))="СП"),8,INDEX('Сводный годовой график'!$C$1:$AR$4,MATCH($C$20,'Сводный годовой график'!$B$1:$B$4),MATCH(DATE($AV$1,MONTH($B$14),N$3),'Сводный годовой график'!$C$6:$AR$6)))</f>
        <v>12</v>
      </c>
      <c r="O20" s="92">
        <f ca="1">IF(AND(INDEX('Сводный годовой график'!$C$1:$AR$4,MATCH($C$20,'Сводный годовой график'!$B$1:$B$4),MATCH(DATE($AV$1,MONTH($B$14),O$3),'Сводный годовой график'!$C$6:$AR$6))&lt;&gt;12,INDIRECT(ADDRESS(ROW()+1,COLUMN()))="СП"),8,INDEX('Сводный годовой график'!$C$1:$AR$4,MATCH($C$20,'Сводный годовой график'!$B$1:$B$4),MATCH(DATE($AV$1,MONTH($B$14),O$3),'Сводный годовой график'!$C$6:$AR$6)))</f>
        <v>4</v>
      </c>
      <c r="P20" s="92">
        <f ca="1">IF(AND(INDEX('Сводный годовой график'!$C$1:$AR$4,MATCH($C$20,'Сводный годовой график'!$B$1:$B$4),MATCH(DATE($AV$1,MONTH($B$14),P$3),'Сводный годовой график'!$C$6:$AR$6))&lt;&gt;12,INDIRECT(ADDRESS(ROW()+1,COLUMN()))="СП"),8,INDEX('Сводный годовой график'!$C$1:$AR$4,MATCH($C$20,'Сводный годовой график'!$B$1:$B$4),MATCH(DATE($AV$1,MONTH($B$14),P$3),'Сводный годовой график'!$C$6:$AR$6)))</f>
        <v>8</v>
      </c>
      <c r="Q20" s="92">
        <f ca="1">IF(AND(INDEX('Сводный годовой график'!$C$1:$AR$4,MATCH($C$20,'Сводный годовой график'!$B$1:$B$4),MATCH(DATE($AV$1,MONTH($B$14),Q$3),'Сводный годовой график'!$C$6:$AR$6))&lt;&gt;12,INDIRECT(ADDRESS(ROW()+1,COLUMN()))="СП"),8,INDEX('Сводный годовой график'!$C$1:$AR$4,MATCH($C$20,'Сводный годовой график'!$B$1:$B$4),MATCH(DATE($AV$1,MONTH($B$14),Q$3),'Сводный годовой график'!$C$6:$AR$6)))</f>
        <v>12</v>
      </c>
      <c r="R20" s="92">
        <f ca="1">IF(AND(INDEX('Сводный годовой график'!$C$1:$AR$4,MATCH($C$20,'Сводный годовой график'!$B$1:$B$4),MATCH(DATE($AV$1,MONTH($B$14),R$3),'Сводный годовой график'!$C$6:$AR$6))&lt;&gt;12,INDIRECT(ADDRESS(ROW()+1,COLUMN()))="СП"),8,INDEX('Сводный годовой график'!$C$1:$AR$4,MATCH($C$20,'Сводный годовой график'!$B$1:$B$4),MATCH(DATE($AV$1,MONTH($B$14),R$3),'Сводный годовой график'!$C$6:$AR$6)))</f>
        <v>0</v>
      </c>
      <c r="S20" s="92">
        <f ca="1">IF(AND(INDEX('Сводный годовой график'!$C$1:$AR$4,MATCH($C$20,'Сводный годовой график'!$B$1:$B$4),MATCH(DATE($AV$1,MONTH($B$14),S$3),'Сводный годовой график'!$C$6:$AR$6))&lt;&gt;12,INDIRECT(ADDRESS(ROW()+1,COLUMN()))="СП"),8,INDEX('Сводный годовой график'!$C$1:$AR$4,MATCH($C$20,'Сводный годовой график'!$B$1:$B$4),MATCH(DATE($AV$1,MONTH($B$14),S$3),'Сводный годовой график'!$C$6:$AR$6)))</f>
        <v>0</v>
      </c>
      <c r="T20" s="92">
        <f ca="1">IF(AND(INDEX('Сводный годовой график'!$C$1:$AR$4,MATCH($C$20,'Сводный годовой график'!$B$1:$B$4),MATCH(DATE($AV$1,MONTH($B$14),T$3),'Сводный годовой график'!$C$6:$AR$6))&lt;&gt;12,INDIRECT(ADDRESS(ROW()+1,COLUMN()))="СП"),8,INDEX('Сводный годовой график'!$C$1:$AR$4,MATCH($C$20,'Сводный годовой график'!$B$1:$B$4),MATCH(DATE($AV$1,MONTH($B$14),T$3),'Сводный годовой график'!$C$6:$AR$6)))</f>
        <v>4</v>
      </c>
      <c r="U20" s="92">
        <f ca="1">IF(AND(INDEX('Сводный годовой график'!$C$1:$AR$4,MATCH($C$20,'Сводный годовой график'!$B$1:$B$4),MATCH(DATE($AV$1,MONTH($B$14),U$3),'Сводный годовой график'!$C$6:$AR$6))&lt;&gt;12,INDIRECT(ADDRESS(ROW()+1,COLUMN()))="СП"),8,INDEX('Сводный годовой график'!$C$1:$AR$4,MATCH($C$20,'Сводный годовой график'!$B$1:$B$4),MATCH(DATE($AV$1,MONTH($B$14),U$3),'Сводный годовой график'!$C$6:$AR$6)))</f>
        <v>8</v>
      </c>
      <c r="V20" s="92">
        <f ca="1">IF(AND(INDEX('Сводный годовой график'!$C$1:$AR$4,MATCH($C$20,'Сводный годовой график'!$B$1:$B$4),MATCH(DATE($AV$1,MONTH($B$14),V$3),'Сводный годовой график'!$C$6:$AR$6))&lt;&gt;12,INDIRECT(ADDRESS(ROW()+1,COLUMN()))="СП"),8,INDEX('Сводный годовой график'!$C$1:$AR$4,MATCH($C$20,'Сводный годовой график'!$B$1:$B$4),MATCH(DATE($AV$1,MONTH($B$14),V$3),'Сводный годовой график'!$C$6:$AR$6)))</f>
        <v>12</v>
      </c>
      <c r="W20" s="92">
        <f ca="1">IF(AND(INDEX('Сводный годовой график'!$C$1:$AR$4,MATCH($C$20,'Сводный годовой график'!$B$1:$B$4),MATCH(DATE($AV$1,MONTH($B$14),W$3),'Сводный годовой график'!$C$6:$AR$6))&lt;&gt;12,INDIRECT(ADDRESS(ROW()+1,COLUMN()))="СП"),8,INDEX('Сводный годовой график'!$C$1:$AR$4,MATCH($C$20,'Сводный годовой график'!$B$1:$B$4),MATCH(DATE($AV$1,MONTH($B$14),W$3),'Сводный годовой график'!$C$6:$AR$6)))</f>
        <v>4</v>
      </c>
      <c r="X20" s="92">
        <f ca="1">IF(AND(INDEX('Сводный годовой график'!$C$1:$AR$4,MATCH($C$20,'Сводный годовой график'!$B$1:$B$4),MATCH(DATE($AV$1,MONTH($B$14),X$3),'Сводный годовой график'!$C$6:$AR$6))&lt;&gt;12,INDIRECT(ADDRESS(ROW()+1,COLUMN()))="СП"),8,INDEX('Сводный годовой график'!$C$1:$AR$4,MATCH($C$20,'Сводный годовой график'!$B$1:$B$4),MATCH(DATE($AV$1,MONTH($B$14),X$3),'Сводный годовой график'!$C$6:$AR$6)))</f>
        <v>8</v>
      </c>
      <c r="Y20" s="92">
        <f ca="1">IF(AND(INDEX('Сводный годовой график'!$C$1:$AR$4,MATCH($C$20,'Сводный годовой график'!$B$1:$B$4),MATCH(DATE($AV$1,MONTH($B$14),Y$3),'Сводный годовой график'!$C$6:$AR$6))&lt;&gt;12,INDIRECT(ADDRESS(ROW()+1,COLUMN()))="СП"),8,INDEX('Сводный годовой график'!$C$1:$AR$4,MATCH($C$20,'Сводный годовой график'!$B$1:$B$4),MATCH(DATE($AV$1,MONTH($B$14),Y$3),'Сводный годовой график'!$C$6:$AR$6)))</f>
        <v>12</v>
      </c>
      <c r="Z20" s="92">
        <f ca="1">IF(AND(INDEX('Сводный годовой график'!$C$1:$AR$4,MATCH($C$20,'Сводный годовой график'!$B$1:$B$4),MATCH(DATE($AV$1,MONTH($B$14),Z$3),'Сводный годовой график'!$C$6:$AR$6))&lt;&gt;12,INDIRECT(ADDRESS(ROW()+1,COLUMN()))="СП"),8,INDEX('Сводный годовой график'!$C$1:$AR$4,MATCH($C$20,'Сводный годовой график'!$B$1:$B$4),MATCH(DATE($AV$1,MONTH($B$14),Z$3),'Сводный годовой график'!$C$6:$AR$6)))</f>
        <v>0</v>
      </c>
      <c r="AA20" s="92">
        <f ca="1">IF(AND(INDEX('Сводный годовой график'!$C$1:$AR$4,MATCH($C$20,'Сводный годовой график'!$B$1:$B$4),MATCH(DATE($AV$1,MONTH($B$14),AA$3),'Сводный годовой график'!$C$6:$AR$6))&lt;&gt;12,INDIRECT(ADDRESS(ROW()+1,COLUMN()))="СП"),8,INDEX('Сводный годовой график'!$C$1:$AR$4,MATCH($C$20,'Сводный годовой график'!$B$1:$B$4),MATCH(DATE($AV$1,MONTH($B$14),AA$3),'Сводный годовой график'!$C$6:$AR$6)))</f>
        <v>0</v>
      </c>
      <c r="AB20" s="92">
        <f ca="1">IF(AND(INDEX('Сводный годовой график'!$C$1:$AR$4,MATCH($C$20,'Сводный годовой график'!$B$1:$B$4),MATCH(DATE($AV$1,MONTH($B$14),AB$3),'Сводный годовой график'!$C$6:$AR$6))&lt;&gt;12,INDIRECT(ADDRESS(ROW()+1,COLUMN()))="СП"),8,INDEX('Сводный годовой график'!$C$1:$AR$4,MATCH($C$20,'Сводный годовой график'!$B$1:$B$4),MATCH(DATE($AV$1,MONTH($B$14),AB$3),'Сводный годовой график'!$C$6:$AR$6)))</f>
        <v>4</v>
      </c>
      <c r="AC20" s="92">
        <f ca="1">IF(AND(INDEX('Сводный годовой график'!$C$1:$AR$4,MATCH($C$20,'Сводный годовой график'!$B$1:$B$4),MATCH(DATE($AV$1,MONTH($B$14),AC$3),'Сводный годовой график'!$C$6:$AR$6))&lt;&gt;12,INDIRECT(ADDRESS(ROW()+1,COLUMN()))="СП"),8,INDEX('Сводный годовой график'!$C$1:$AR$4,MATCH($C$20,'Сводный годовой график'!$B$1:$B$4),MATCH(DATE($AV$1,MONTH($B$14),AC$3),'Сводный годовой график'!$C$6:$AR$6)))</f>
        <v>8</v>
      </c>
      <c r="AD20" s="92">
        <f ca="1">IF(AND(INDEX('Сводный годовой график'!$C$1:$AR$4,MATCH($C$20,'Сводный годовой график'!$B$1:$B$4),MATCH(DATE($AV$1,MONTH($B$14),AD$3),'Сводный годовой график'!$C$6:$AR$6))&lt;&gt;12,INDIRECT(ADDRESS(ROW()+1,COLUMN()))="СП"),8,INDEX('Сводный годовой график'!$C$1:$AR$4,MATCH($C$20,'Сводный годовой график'!$B$1:$B$4),MATCH(DATE($AV$1,MONTH($B$14),AD$3),'Сводный годовой график'!$C$6:$AR$6)))</f>
        <v>12</v>
      </c>
      <c r="AE20" s="92">
        <f ca="1">IF(AND(INDEX('Сводный годовой график'!$C$1:$AR$4,MATCH($C$20,'Сводный годовой график'!$B$1:$B$4),MATCH(DATE($AV$1,MONTH($B$14),AE$3),'Сводный годовой график'!$C$6:$AR$6))&lt;&gt;12,INDIRECT(ADDRESS(ROW()+1,COLUMN()))="СП"),8,INDEX('Сводный годовой график'!$C$1:$AR$4,MATCH($C$20,'Сводный годовой график'!$B$1:$B$4),MATCH(DATE($AV$1,MONTH($B$14),AE$3),'Сводный годовой график'!$C$6:$AR$6)))</f>
        <v>4</v>
      </c>
      <c r="AF20" s="92">
        <f ca="1">IF(AND(INDEX('Сводный годовой график'!$C$1:$AR$4,MATCH($C$20,'Сводный годовой график'!$B$1:$B$4),MATCH(DATE($AV$1,MONTH($B$14),AF$3),'Сводный годовой график'!$C$6:$AR$6))&lt;&gt;12,INDIRECT(ADDRESS(ROW()+1,COLUMN()))="СП"),8,INDEX('Сводный годовой график'!$C$1:$AR$4,MATCH($C$20,'Сводный годовой график'!$B$1:$B$4),MATCH(DATE($AV$1,MONTH($B$14),AF$3),'Сводный годовой график'!$C$6:$AR$6)))</f>
        <v>8</v>
      </c>
      <c r="AG20" s="119"/>
      <c r="AH20" s="119"/>
      <c r="AI20" s="119"/>
      <c r="AJ20" s="206"/>
      <c r="AK20" s="177">
        <f>$AJ$14-SUM(AY20:CC21)</f>
        <v>160</v>
      </c>
      <c r="AL20" s="177">
        <f t="shared" ref="AL20" ca="1" si="31">SUM(E20:AI21)</f>
        <v>176</v>
      </c>
      <c r="AM20" s="177">
        <f ca="1">SUM(AA20)</f>
        <v>0</v>
      </c>
      <c r="AN20" s="198">
        <f t="shared" ref="AN20" ca="1" si="32">-AM20-AK20+AL20</f>
        <v>16</v>
      </c>
      <c r="AO20" s="198">
        <v>0</v>
      </c>
      <c r="AP20" s="208">
        <f t="shared" ref="AP20" ca="1" si="33">AN20+AP10-AO20</f>
        <v>16</v>
      </c>
      <c r="AQ20" s="177">
        <v>0</v>
      </c>
      <c r="AR20" s="179">
        <v>1</v>
      </c>
      <c r="CK20" s="59"/>
      <c r="CL20" s="59"/>
      <c r="CM20" s="59"/>
      <c r="CN20" s="59"/>
      <c r="CO20" s="59"/>
      <c r="CP20" s="59"/>
      <c r="CQ20" s="59"/>
      <c r="CR20" s="59"/>
      <c r="CS20" s="59"/>
      <c r="CT20" s="59"/>
      <c r="CU20" s="59"/>
      <c r="CV20" s="59"/>
      <c r="CW20" s="59"/>
      <c r="CX20" s="59"/>
      <c r="CY20" s="59"/>
      <c r="CZ20" s="59"/>
      <c r="DA20" s="59"/>
      <c r="DB20" s="59"/>
      <c r="DC20" s="59"/>
      <c r="DD20" s="59"/>
      <c r="DE20" s="59"/>
      <c r="DF20" s="59"/>
      <c r="DG20" s="59"/>
      <c r="DH20" s="59"/>
      <c r="DI20" s="59"/>
      <c r="DJ20" s="59"/>
      <c r="DK20" s="59"/>
      <c r="DL20" s="59"/>
      <c r="DM20" s="59"/>
      <c r="DN20" s="59"/>
      <c r="DO20" s="59"/>
    </row>
    <row r="21" spans="2:119" ht="16.5" thickBot="1" x14ac:dyDescent="0.3">
      <c r="B21" s="201"/>
      <c r="C21" s="197"/>
      <c r="D21" s="82">
        <v>8</v>
      </c>
      <c r="E21" s="92" t="str">
        <f t="shared" ref="E21:AF21" si="34">IF(INDEX($CK$4:$DO$123,ROW()-3,E$3)=0,"","СП")</f>
        <v/>
      </c>
      <c r="F21" s="92" t="str">
        <f t="shared" si="34"/>
        <v/>
      </c>
      <c r="G21" s="92" t="str">
        <f t="shared" si="34"/>
        <v/>
      </c>
      <c r="H21" s="92" t="str">
        <f t="shared" si="34"/>
        <v/>
      </c>
      <c r="I21" s="92" t="str">
        <f t="shared" si="34"/>
        <v>СП</v>
      </c>
      <c r="J21" s="92" t="str">
        <f t="shared" si="34"/>
        <v/>
      </c>
      <c r="K21" s="92" t="str">
        <f t="shared" si="34"/>
        <v/>
      </c>
      <c r="L21" s="92" t="str">
        <f t="shared" si="34"/>
        <v/>
      </c>
      <c r="M21" s="92" t="str">
        <f t="shared" si="34"/>
        <v/>
      </c>
      <c r="N21" s="92" t="str">
        <f t="shared" si="34"/>
        <v/>
      </c>
      <c r="O21" s="92" t="str">
        <f t="shared" si="34"/>
        <v/>
      </c>
      <c r="P21" s="92" t="str">
        <f t="shared" si="34"/>
        <v/>
      </c>
      <c r="Q21" s="92" t="str">
        <f t="shared" si="34"/>
        <v/>
      </c>
      <c r="R21" s="92" t="str">
        <f t="shared" si="34"/>
        <v/>
      </c>
      <c r="S21" s="92" t="str">
        <f t="shared" si="34"/>
        <v/>
      </c>
      <c r="T21" s="92" t="str">
        <f t="shared" si="34"/>
        <v/>
      </c>
      <c r="U21" s="92" t="str">
        <f t="shared" si="34"/>
        <v/>
      </c>
      <c r="V21" s="92" t="str">
        <f t="shared" si="34"/>
        <v/>
      </c>
      <c r="W21" s="92" t="str">
        <f t="shared" si="34"/>
        <v/>
      </c>
      <c r="X21" s="92" t="str">
        <f t="shared" si="34"/>
        <v/>
      </c>
      <c r="Y21" s="92" t="str">
        <f t="shared" si="34"/>
        <v/>
      </c>
      <c r="Z21" s="92" t="str">
        <f t="shared" si="34"/>
        <v/>
      </c>
      <c r="AA21" s="92" t="str">
        <f t="shared" si="34"/>
        <v/>
      </c>
      <c r="AB21" s="92" t="str">
        <f t="shared" si="34"/>
        <v/>
      </c>
      <c r="AC21" s="92" t="str">
        <f t="shared" si="34"/>
        <v/>
      </c>
      <c r="AD21" s="92" t="str">
        <f t="shared" si="34"/>
        <v/>
      </c>
      <c r="AE21" s="92" t="str">
        <f t="shared" si="34"/>
        <v/>
      </c>
      <c r="AF21" s="92" t="str">
        <f t="shared" si="34"/>
        <v/>
      </c>
      <c r="AG21" s="119"/>
      <c r="AH21" s="119"/>
      <c r="AI21" s="119"/>
      <c r="AJ21" s="206"/>
      <c r="AK21" s="177"/>
      <c r="AL21" s="177"/>
      <c r="AM21" s="177"/>
      <c r="AN21" s="198"/>
      <c r="AO21" s="198"/>
      <c r="AP21" s="198"/>
      <c r="AQ21" s="177"/>
      <c r="AR21" s="179"/>
      <c r="CK21" s="58">
        <f>IF(DAY(INDEX('Сводный годовой график'!$BA$4:$BL$14,$C20,MONTH($B$14)))=E$3,1,0)</f>
        <v>0</v>
      </c>
      <c r="CL21" s="58">
        <f>IF(DAY(INDEX('Сводный годовой график'!$BA$4:$BL$14,$C20,MONTH($B$14)))=F$3,1,0)</f>
        <v>0</v>
      </c>
      <c r="CM21" s="58">
        <f>IF(DAY(INDEX('Сводный годовой график'!$BA$4:$BL$14,$C20,MONTH($B$14)))=G$3,1,0)</f>
        <v>0</v>
      </c>
      <c r="CN21" s="58">
        <f>IF(DAY(INDEX('Сводный годовой график'!$BA$4:$BL$14,$C20,MONTH($B$14)))=H$3,1,0)</f>
        <v>0</v>
      </c>
      <c r="CO21" s="58">
        <f>IF(DAY(INDEX('Сводный годовой график'!$BA$4:$BL$14,$C20,MONTH($B$14)))=I$3,1,0)</f>
        <v>1</v>
      </c>
      <c r="CP21" s="58">
        <f>IF(DAY(INDEX('Сводный годовой график'!$BA$4:$BL$14,$C20,MONTH($B$14)))=J$3,1,0)</f>
        <v>0</v>
      </c>
      <c r="CQ21" s="58">
        <f>IF(DAY(INDEX('Сводный годовой график'!$BA$4:$BL$14,$C20,MONTH($B$14)))=K$3,1,0)</f>
        <v>0</v>
      </c>
      <c r="CR21" s="58">
        <f>IF(DAY(INDEX('Сводный годовой график'!$BA$4:$BL$14,$C20,MONTH($B$14)))=L$3,1,0)</f>
        <v>0</v>
      </c>
      <c r="CS21" s="58">
        <f>IF(DAY(INDEX('Сводный годовой график'!$BA$4:$BL$14,$C20,MONTH($B$14)))=M$3,1,0)</f>
        <v>0</v>
      </c>
      <c r="CT21" s="58">
        <f>IF(DAY(INDEX('Сводный годовой график'!$BA$4:$BL$14,$C20,MONTH($B$14)))=N$3,1,0)</f>
        <v>0</v>
      </c>
      <c r="CU21" s="58">
        <f>IF(DAY(INDEX('Сводный годовой график'!$BA$4:$BL$14,$C20,MONTH($B$14)))=O$3,1,0)</f>
        <v>0</v>
      </c>
      <c r="CV21" s="58">
        <f>IF(DAY(INDEX('Сводный годовой график'!$BA$4:$BL$14,$C20,MONTH($B$14)))=P$3,1,0)</f>
        <v>0</v>
      </c>
      <c r="CW21" s="58">
        <f>IF(DAY(INDEX('Сводный годовой график'!$BA$4:$BL$14,$C20,MONTH($B$14)))=Q$3,1,0)</f>
        <v>0</v>
      </c>
      <c r="CX21" s="58">
        <f>IF(DAY(INDEX('Сводный годовой график'!$BA$4:$BL$14,$C20,MONTH($B$14)))=R$3,1,0)</f>
        <v>0</v>
      </c>
      <c r="CY21" s="58">
        <f>IF(DAY(INDEX('Сводный годовой график'!$BA$4:$BL$14,$C20,MONTH($B$14)))=S$3,1,0)</f>
        <v>0</v>
      </c>
      <c r="CZ21" s="58">
        <f>IF(DAY(INDEX('Сводный годовой график'!$BA$4:$BL$14,$C20,MONTH($B$14)))=T$3,1,0)</f>
        <v>0</v>
      </c>
      <c r="DA21" s="58">
        <f>IF(DAY(INDEX('Сводный годовой график'!$BA$4:$BL$14,$C20,MONTH($B$14)))=U$3,1,0)</f>
        <v>0</v>
      </c>
      <c r="DB21" s="58">
        <f>IF(DAY(INDEX('Сводный годовой график'!$BA$4:$BL$14,$C20,MONTH($B$14)))=V$3,1,0)</f>
        <v>0</v>
      </c>
      <c r="DC21" s="58">
        <f>IF(DAY(INDEX('Сводный годовой график'!$BA$4:$BL$14,$C20,MONTH($B$14)))=W$3,1,0)</f>
        <v>0</v>
      </c>
      <c r="DD21" s="58">
        <f>IF(DAY(INDEX('Сводный годовой график'!$BA$4:$BL$14,$C20,MONTH($B$14)))=X$3,1,0)</f>
        <v>0</v>
      </c>
      <c r="DE21" s="58">
        <f>IF(DAY(INDEX('Сводный годовой график'!$BA$4:$BL$14,$C20,MONTH($B$14)))=Y$3,1,0)</f>
        <v>0</v>
      </c>
      <c r="DF21" s="58">
        <f>IF(DAY(INDEX('Сводный годовой график'!$BA$4:$BL$14,$C20,MONTH($B$14)))=Z$3,1,0)</f>
        <v>0</v>
      </c>
      <c r="DG21" s="58">
        <f>IF(DAY(INDEX('Сводный годовой график'!$BA$4:$BL$14,$C20,MONTH($B$14)))=AA$3,1,0)</f>
        <v>0</v>
      </c>
      <c r="DH21" s="58">
        <f>IF(DAY(INDEX('Сводный годовой график'!$BA$4:$BL$14,$C20,MONTH($B$14)))=AB$3,1,0)</f>
        <v>0</v>
      </c>
      <c r="DI21" s="58">
        <f>IF(DAY(INDEX('Сводный годовой график'!$BA$4:$BL$14,$C20,MONTH($B$14)))=AC$3,1,0)</f>
        <v>0</v>
      </c>
      <c r="DJ21" s="58">
        <f>IF(DAY(INDEX('Сводный годовой график'!$BA$4:$BL$14,$C20,MONTH($B$14)))=AD$3,1,0)</f>
        <v>0</v>
      </c>
      <c r="DK21" s="58">
        <f>IF(DAY(INDEX('Сводный годовой график'!$BA$4:$BL$14,$C20,MONTH($B$14)))=AE$3,1,0)</f>
        <v>0</v>
      </c>
      <c r="DL21" s="58">
        <f>IF(DAY(INDEX('Сводный годовой график'!$BA$4:$BL$14,$C20,MONTH($B$14)))=AF$3,1,0)</f>
        <v>0</v>
      </c>
      <c r="DM21" s="58">
        <f>IF(DAY(INDEX('Сводный годовой график'!$BA$4:$BL$14,$C20,MONTH($B$14)))=AG$3,1,0)</f>
        <v>0</v>
      </c>
      <c r="DN21" s="58">
        <f>IF(DAY(INDEX('Сводный годовой график'!$BA$4:$BL$14,$C20,MONTH($B$14)))=AH$3,1,0)</f>
        <v>0</v>
      </c>
      <c r="DO21" s="58">
        <f>IF(DAY(INDEX('Сводный годовой график'!$BA$4:$BL$14,$C20,MONTH($B$14)))=AI$3,1,0)</f>
        <v>0</v>
      </c>
    </row>
    <row r="22" spans="2:119" ht="17.25" thickTop="1" thickBot="1" x14ac:dyDescent="0.3">
      <c r="B22" s="201"/>
      <c r="C22" s="196">
        <v>5</v>
      </c>
      <c r="D22" s="81">
        <v>9</v>
      </c>
      <c r="E22" s="92" t="s">
        <v>36</v>
      </c>
      <c r="F22" s="92" t="s">
        <v>36</v>
      </c>
      <c r="G22" s="92" t="s">
        <v>36</v>
      </c>
      <c r="H22" s="92" t="s">
        <v>36</v>
      </c>
      <c r="I22" s="92" t="s">
        <v>36</v>
      </c>
      <c r="J22" s="92" t="s">
        <v>36</v>
      </c>
      <c r="K22" s="92" t="s">
        <v>36</v>
      </c>
      <c r="L22" s="92" t="s">
        <v>36</v>
      </c>
      <c r="M22" s="92" t="s">
        <v>36</v>
      </c>
      <c r="N22" s="92" t="s">
        <v>36</v>
      </c>
      <c r="O22" s="92" t="s">
        <v>36</v>
      </c>
      <c r="P22" s="92" t="s">
        <v>36</v>
      </c>
      <c r="Q22" s="92" t="s">
        <v>36</v>
      </c>
      <c r="R22" s="92" t="s">
        <v>36</v>
      </c>
      <c r="S22" s="92" t="s">
        <v>36</v>
      </c>
      <c r="T22" s="92" t="s">
        <v>36</v>
      </c>
      <c r="U22" s="92" t="s">
        <v>36</v>
      </c>
      <c r="V22" s="92" t="s">
        <v>36</v>
      </c>
      <c r="W22" s="92" t="s">
        <v>36</v>
      </c>
      <c r="X22" s="92" t="s">
        <v>36</v>
      </c>
      <c r="Y22" s="92" t="s">
        <v>36</v>
      </c>
      <c r="Z22" s="92" t="s">
        <v>36</v>
      </c>
      <c r="AA22" s="92" t="s">
        <v>36</v>
      </c>
      <c r="AB22" s="92" t="s">
        <v>36</v>
      </c>
      <c r="AC22" s="92" t="s">
        <v>36</v>
      </c>
      <c r="AD22" s="92" t="s">
        <v>36</v>
      </c>
      <c r="AE22" s="92" t="s">
        <v>36</v>
      </c>
      <c r="AF22" s="92" t="s">
        <v>36</v>
      </c>
      <c r="AG22" s="119"/>
      <c r="AH22" s="119"/>
      <c r="AI22" s="119"/>
      <c r="AJ22" s="206"/>
      <c r="AK22" s="177">
        <f>$AJ$14-SUM(AY22:CC23)</f>
        <v>160</v>
      </c>
      <c r="AL22" s="177">
        <f t="shared" ref="AL22" si="35">SUM(E22:AI23)</f>
        <v>0</v>
      </c>
      <c r="AM22" s="177">
        <f>SUM(AA22)</f>
        <v>0</v>
      </c>
      <c r="AN22" s="198">
        <f t="shared" ref="AN22" si="36">-AM22-AK22+AL22</f>
        <v>-160</v>
      </c>
      <c r="AO22" s="198">
        <v>0</v>
      </c>
      <c r="AP22" s="208">
        <f t="shared" ref="AP22" si="37">AN22+AP12-AO22</f>
        <v>-296</v>
      </c>
      <c r="AQ22" s="177">
        <v>0</v>
      </c>
      <c r="AR22" s="179">
        <v>1</v>
      </c>
      <c r="CK22" s="59"/>
      <c r="CL22" s="59"/>
      <c r="CM22" s="59"/>
      <c r="CN22" s="59"/>
      <c r="CO22" s="59"/>
      <c r="CP22" s="59"/>
      <c r="CQ22" s="59"/>
      <c r="CR22" s="59"/>
      <c r="CS22" s="59"/>
      <c r="CT22" s="59"/>
      <c r="CU22" s="59"/>
      <c r="CV22" s="59"/>
      <c r="CW22" s="59"/>
      <c r="CX22" s="59"/>
      <c r="CY22" s="59"/>
      <c r="CZ22" s="59"/>
      <c r="DA22" s="59"/>
      <c r="DB22" s="59"/>
      <c r="DC22" s="59"/>
      <c r="DD22" s="59"/>
      <c r="DE22" s="59"/>
      <c r="DF22" s="59"/>
      <c r="DG22" s="59"/>
      <c r="DH22" s="59"/>
      <c r="DI22" s="59"/>
      <c r="DJ22" s="59"/>
      <c r="DK22" s="59"/>
      <c r="DL22" s="59"/>
      <c r="DM22" s="59"/>
      <c r="DN22" s="59"/>
      <c r="DO22" s="59"/>
    </row>
    <row r="23" spans="2:119" ht="16.5" thickBot="1" x14ac:dyDescent="0.3">
      <c r="B23" s="202"/>
      <c r="C23" s="212"/>
      <c r="D23" s="99">
        <v>10</v>
      </c>
      <c r="E23" s="30" t="str">
        <f t="shared" ref="E23:AF23" si="38">IF(INDEX($CK$4:$DO$123,ROW()-3,E$3)=0,"","СП")</f>
        <v/>
      </c>
      <c r="F23" s="30" t="str">
        <f t="shared" si="38"/>
        <v/>
      </c>
      <c r="G23" s="30" t="str">
        <f t="shared" si="38"/>
        <v/>
      </c>
      <c r="H23" s="30" t="str">
        <f t="shared" si="38"/>
        <v/>
      </c>
      <c r="I23" s="30" t="str">
        <f t="shared" si="38"/>
        <v/>
      </c>
      <c r="J23" s="30" t="str">
        <f t="shared" si="38"/>
        <v>СП</v>
      </c>
      <c r="K23" s="30" t="str">
        <f t="shared" si="38"/>
        <v/>
      </c>
      <c r="L23" s="30" t="str">
        <f t="shared" si="38"/>
        <v/>
      </c>
      <c r="M23" s="30" t="str">
        <f t="shared" si="38"/>
        <v/>
      </c>
      <c r="N23" s="30" t="str">
        <f t="shared" si="38"/>
        <v/>
      </c>
      <c r="O23" s="30" t="str">
        <f t="shared" si="38"/>
        <v/>
      </c>
      <c r="P23" s="30" t="str">
        <f t="shared" si="38"/>
        <v/>
      </c>
      <c r="Q23" s="30" t="str">
        <f t="shared" si="38"/>
        <v/>
      </c>
      <c r="R23" s="30" t="str">
        <f t="shared" si="38"/>
        <v/>
      </c>
      <c r="S23" s="30" t="str">
        <f t="shared" si="38"/>
        <v/>
      </c>
      <c r="T23" s="30" t="str">
        <f t="shared" si="38"/>
        <v/>
      </c>
      <c r="U23" s="30" t="str">
        <f t="shared" si="38"/>
        <v/>
      </c>
      <c r="V23" s="30" t="str">
        <f t="shared" si="38"/>
        <v/>
      </c>
      <c r="W23" s="30" t="str">
        <f t="shared" si="38"/>
        <v/>
      </c>
      <c r="X23" s="30" t="str">
        <f t="shared" si="38"/>
        <v/>
      </c>
      <c r="Y23" s="30" t="str">
        <f t="shared" si="38"/>
        <v/>
      </c>
      <c r="Z23" s="30" t="str">
        <f t="shared" si="38"/>
        <v/>
      </c>
      <c r="AA23" s="30" t="str">
        <f t="shared" si="38"/>
        <v/>
      </c>
      <c r="AB23" s="30" t="str">
        <f t="shared" si="38"/>
        <v/>
      </c>
      <c r="AC23" s="30" t="str">
        <f t="shared" si="38"/>
        <v/>
      </c>
      <c r="AD23" s="30" t="str">
        <f t="shared" si="38"/>
        <v/>
      </c>
      <c r="AE23" s="30" t="str">
        <f t="shared" si="38"/>
        <v/>
      </c>
      <c r="AF23" s="30" t="str">
        <f t="shared" si="38"/>
        <v/>
      </c>
      <c r="AG23" s="124"/>
      <c r="AH23" s="120"/>
      <c r="AI23" s="120"/>
      <c r="AJ23" s="207"/>
      <c r="AK23" s="178"/>
      <c r="AL23" s="178"/>
      <c r="AM23" s="178"/>
      <c r="AN23" s="199"/>
      <c r="AO23" s="199"/>
      <c r="AP23" s="198"/>
      <c r="AQ23" s="178"/>
      <c r="AR23" s="180"/>
      <c r="CK23" s="58">
        <f>IF(DAY(INDEX('Сводный годовой график'!$BA$4:$BL$14,$C22,MONTH($B$14)))=E$3,1,0)</f>
        <v>0</v>
      </c>
      <c r="CL23" s="58">
        <f>IF(DAY(INDEX('Сводный годовой график'!$BA$4:$BL$14,$C22,MONTH($B$14)))=F$3,1,0)</f>
        <v>0</v>
      </c>
      <c r="CM23" s="58">
        <f>IF(DAY(INDEX('Сводный годовой график'!$BA$4:$BL$14,$C22,MONTH($B$14)))=G$3,1,0)</f>
        <v>0</v>
      </c>
      <c r="CN23" s="58">
        <f>IF(DAY(INDEX('Сводный годовой график'!$BA$4:$BL$14,$C22,MONTH($B$14)))=H$3,1,0)</f>
        <v>0</v>
      </c>
      <c r="CO23" s="58">
        <f>IF(DAY(INDEX('Сводный годовой график'!$BA$4:$BL$14,$C22,MONTH($B$14)))=I$3,1,0)</f>
        <v>0</v>
      </c>
      <c r="CP23" s="58">
        <f>IF(DAY(INDEX('Сводный годовой график'!$BA$4:$BL$14,$C22,MONTH($B$14)))=J$3,1,0)</f>
        <v>1</v>
      </c>
      <c r="CQ23" s="58">
        <f>IF(DAY(INDEX('Сводный годовой график'!$BA$4:$BL$14,$C22,MONTH($B$14)))=K$3,1,0)</f>
        <v>0</v>
      </c>
      <c r="CR23" s="58">
        <f>IF(DAY(INDEX('Сводный годовой график'!$BA$4:$BL$14,$C22,MONTH($B$14)))=L$3,1,0)</f>
        <v>0</v>
      </c>
      <c r="CS23" s="58">
        <f>IF(DAY(INDEX('Сводный годовой график'!$BA$4:$BL$14,$C22,MONTH($B$14)))=M$3,1,0)</f>
        <v>0</v>
      </c>
      <c r="CT23" s="58">
        <f>IF(DAY(INDEX('Сводный годовой график'!$BA$4:$BL$14,$C22,MONTH($B$14)))=N$3,1,0)</f>
        <v>0</v>
      </c>
      <c r="CU23" s="58">
        <f>IF(DAY(INDEX('Сводный годовой график'!$BA$4:$BL$14,$C22,MONTH($B$14)))=O$3,1,0)</f>
        <v>0</v>
      </c>
      <c r="CV23" s="58">
        <f>IF(DAY(INDEX('Сводный годовой график'!$BA$4:$BL$14,$C22,MONTH($B$14)))=P$3,1,0)</f>
        <v>0</v>
      </c>
      <c r="CW23" s="58">
        <f>IF(DAY(INDEX('Сводный годовой график'!$BA$4:$BL$14,$C22,MONTH($B$14)))=Q$3,1,0)</f>
        <v>0</v>
      </c>
      <c r="CX23" s="58">
        <f>IF(DAY(INDEX('Сводный годовой график'!$BA$4:$BL$14,$C22,MONTH($B$14)))=R$3,1,0)</f>
        <v>0</v>
      </c>
      <c r="CY23" s="58">
        <f>IF(DAY(INDEX('Сводный годовой график'!$BA$4:$BL$14,$C22,MONTH($B$14)))=S$3,1,0)</f>
        <v>0</v>
      </c>
      <c r="CZ23" s="58">
        <f>IF(DAY(INDEX('Сводный годовой график'!$BA$4:$BL$14,$C22,MONTH($B$14)))=T$3,1,0)</f>
        <v>0</v>
      </c>
      <c r="DA23" s="58">
        <f>IF(DAY(INDEX('Сводный годовой график'!$BA$4:$BL$14,$C22,MONTH($B$14)))=U$3,1,0)</f>
        <v>0</v>
      </c>
      <c r="DB23" s="58">
        <f>IF(DAY(INDEX('Сводный годовой график'!$BA$4:$BL$14,$C22,MONTH($B$14)))=V$3,1,0)</f>
        <v>0</v>
      </c>
      <c r="DC23" s="58">
        <f>IF(DAY(INDEX('Сводный годовой график'!$BA$4:$BL$14,$C22,MONTH($B$14)))=W$3,1,0)</f>
        <v>0</v>
      </c>
      <c r="DD23" s="58">
        <f>IF(DAY(INDEX('Сводный годовой график'!$BA$4:$BL$14,$C22,MONTH($B$14)))=X$3,1,0)</f>
        <v>0</v>
      </c>
      <c r="DE23" s="58">
        <f>IF(DAY(INDEX('Сводный годовой график'!$BA$4:$BL$14,$C22,MONTH($B$14)))=Y$3,1,0)</f>
        <v>0</v>
      </c>
      <c r="DF23" s="58">
        <f>IF(DAY(INDEX('Сводный годовой график'!$BA$4:$BL$14,$C22,MONTH($B$14)))=Z$3,1,0)</f>
        <v>0</v>
      </c>
      <c r="DG23" s="58">
        <f>IF(DAY(INDEX('Сводный годовой график'!$BA$4:$BL$14,$C22,MONTH($B$14)))=AA$3,1,0)</f>
        <v>0</v>
      </c>
      <c r="DH23" s="58">
        <f>IF(DAY(INDEX('Сводный годовой график'!$BA$4:$BL$14,$C22,MONTH($B$14)))=AB$3,1,0)</f>
        <v>0</v>
      </c>
      <c r="DI23" s="58">
        <f>IF(DAY(INDEX('Сводный годовой график'!$BA$4:$BL$14,$C22,MONTH($B$14)))=AC$3,1,0)</f>
        <v>0</v>
      </c>
      <c r="DJ23" s="58">
        <f>IF(DAY(INDEX('Сводный годовой график'!$BA$4:$BL$14,$C22,MONTH($B$14)))=AD$3,1,0)</f>
        <v>0</v>
      </c>
      <c r="DK23" s="58">
        <f>IF(DAY(INDEX('Сводный годовой график'!$BA$4:$BL$14,$C22,MONTH($B$14)))=AE$3,1,0)</f>
        <v>0</v>
      </c>
      <c r="DL23" s="58">
        <f>IF(DAY(INDEX('Сводный годовой график'!$BA$4:$BL$14,$C22,MONTH($B$14)))=AF$3,1,0)</f>
        <v>0</v>
      </c>
      <c r="DM23" s="58">
        <f>IF(DAY(INDEX('Сводный годовой график'!$BA$4:$BL$14,$C22,MONTH($B$14)))=AG$3,1,0)</f>
        <v>0</v>
      </c>
      <c r="DN23" s="58">
        <f>IF(DAY(INDEX('Сводный годовой график'!$BA$4:$BL$14,$C22,MONTH($B$14)))=AH$3,1,0)</f>
        <v>0</v>
      </c>
      <c r="DO23" s="58">
        <f>IF(DAY(INDEX('Сводный годовой график'!$BA$4:$BL$14,$C22,MONTH($B$14)))=AI$3,1,0)</f>
        <v>0</v>
      </c>
    </row>
    <row r="24" spans="2:119" ht="17.25" customHeight="1" thickTop="1" thickBot="1" x14ac:dyDescent="0.3">
      <c r="B24" s="200">
        <f>DATE($AV$1,3,1)</f>
        <v>45717</v>
      </c>
      <c r="C24" s="196">
        <v>1</v>
      </c>
      <c r="D24" s="81">
        <v>1</v>
      </c>
      <c r="E24" s="28">
        <f ca="1">IF(AND(INDEX('Сводный годовой график'!$C$1:$AR$4,MATCH($C$24,'Сводный годовой график'!$B$1:$B$4),MATCH(DATE($AV$1,MONTH($B$24),E$3),'Сводный годовой график'!$C$7:$AR$7))&lt;&gt;12,INDIRECT(ADDRESS(ROW()+1,COLUMN()))="СП"),8,INDEX('Сводный годовой график'!$C$1:$AR$4,MATCH($C$24,'Сводный годовой график'!$B$1:$B$4),MATCH(DATE($AV$1,MONTH($B$24),E$3),'Сводный годовой график'!$C$7:$AR$7)))</f>
        <v>8</v>
      </c>
      <c r="F24" s="28">
        <f ca="1">IF(AND(INDEX('Сводный годовой график'!$C$1:$AR$4,MATCH($C$24,'Сводный годовой график'!$B$1:$B$4),MATCH(DATE($AV$1,MONTH($B$24),F$3),'Сводный годовой график'!$C$7:$AR$7))&lt;&gt;12,INDIRECT(ADDRESS(ROW()+1,COLUMN()))="СП"),8,INDEX('Сводный годовой график'!$C$1:$AR$4,MATCH($C$24,'Сводный годовой график'!$B$1:$B$4),MATCH(DATE($AV$1,MONTH($B$24),F$3),'Сводный годовой график'!$C$7:$AR$7)))</f>
        <v>12</v>
      </c>
      <c r="G24" s="28">
        <f ca="1">IF(AND(INDEX('Сводный годовой график'!$C$1:$AR$4,MATCH($C$24,'Сводный годовой график'!$B$1:$B$4),MATCH(DATE($AV$1,MONTH($B$24),G$3),'Сводный годовой график'!$C$7:$AR$7))&lt;&gt;12,INDIRECT(ADDRESS(ROW()+1,COLUMN()))="СП"),8,INDEX('Сводный годовой график'!$C$1:$AR$4,MATCH($C$24,'Сводный годовой график'!$B$1:$B$4),MATCH(DATE($AV$1,MONTH($B$24),G$3),'Сводный годовой график'!$C$7:$AR$7)))</f>
        <v>8</v>
      </c>
      <c r="H24" s="28">
        <f ca="1">IF(AND(INDEX('Сводный годовой график'!$C$1:$AR$4,MATCH($C$24,'Сводный годовой график'!$B$1:$B$4),MATCH(DATE($AV$1,MONTH($B$24),H$3),'Сводный годовой график'!$C$7:$AR$7))&lt;&gt;12,INDIRECT(ADDRESS(ROW()+1,COLUMN()))="СП"),8,INDEX('Сводный годовой график'!$C$1:$AR$4,MATCH($C$24,'Сводный годовой график'!$B$1:$B$4),MATCH(DATE($AV$1,MONTH($B$24),H$3),'Сводный годовой график'!$C$7:$AR$7)))</f>
        <v>8</v>
      </c>
      <c r="I24" s="28">
        <f ca="1">IF(AND(INDEX('Сводный годовой график'!$C$1:$AR$4,MATCH($C$24,'Сводный годовой график'!$B$1:$B$4),MATCH(DATE($AV$1,MONTH($B$24),I$3),'Сводный годовой график'!$C$7:$AR$7))&lt;&gt;12,INDIRECT(ADDRESS(ROW()+1,COLUMN()))="СП"),8,INDEX('Сводный годовой график'!$C$1:$AR$4,MATCH($C$24,'Сводный годовой график'!$B$1:$B$4),MATCH(DATE($AV$1,MONTH($B$24),I$3),'Сводный годовой график'!$C$7:$AR$7)))</f>
        <v>12</v>
      </c>
      <c r="J24" s="28">
        <f ca="1">IF(AND(INDEX('Сводный годовой график'!$C$1:$AR$4,MATCH($C$24,'Сводный годовой график'!$B$1:$B$4),MATCH(DATE($AV$1,MONTH($B$24),J$3),'Сводный годовой график'!$C$7:$AR$7))&lt;&gt;12,INDIRECT(ADDRESS(ROW()+1,COLUMN()))="СП"),8,INDEX('Сводный годовой график'!$C$1:$AR$4,MATCH($C$24,'Сводный годовой график'!$B$1:$B$4),MATCH(DATE($AV$1,MONTH($B$24),J$3),'Сводный годовой график'!$C$7:$AR$7)))</f>
        <v>0</v>
      </c>
      <c r="K24" s="28">
        <f ca="1">IF(AND(INDEX('Сводный годовой график'!$C$1:$AR$4,MATCH($C$24,'Сводный годовой график'!$B$1:$B$4),MATCH(DATE($AV$1,MONTH($B$24),K$3),'Сводный годовой график'!$C$7:$AR$7))&lt;&gt;12,INDIRECT(ADDRESS(ROW()+1,COLUMN()))="СП"),8,INDEX('Сводный годовой график'!$C$1:$AR$4,MATCH($C$24,'Сводный годовой график'!$B$1:$B$4),MATCH(DATE($AV$1,MONTH($B$24),K$3),'Сводный годовой график'!$C$7:$AR$7)))</f>
        <v>0</v>
      </c>
      <c r="L24" s="28">
        <f ca="1">IF(AND(INDEX('Сводный годовой график'!$C$1:$AR$4,MATCH($C$24,'Сводный годовой график'!$B$1:$B$4),MATCH(DATE($AV$1,MONTH($B$24),L$3),'Сводный годовой график'!$C$7:$AR$7))&lt;&gt;12,INDIRECT(ADDRESS(ROW()+1,COLUMN()))="СП"),8,INDEX('Сводный годовой график'!$C$1:$AR$4,MATCH($C$24,'Сводный годовой график'!$B$1:$B$4),MATCH(DATE($AV$1,MONTH($B$24),L$3),'Сводный годовой график'!$C$7:$AR$7)))</f>
        <v>4</v>
      </c>
      <c r="M24" s="28">
        <f ca="1">IF(AND(INDEX('Сводный годовой график'!$C$1:$AR$4,MATCH($C$24,'Сводный годовой график'!$B$1:$B$4),MATCH(DATE($AV$1,MONTH($B$24),M$3),'Сводный годовой график'!$C$7:$AR$7))&lt;&gt;12,INDIRECT(ADDRESS(ROW()+1,COLUMN()))="СП"),8,INDEX('Сводный годовой график'!$C$1:$AR$4,MATCH($C$24,'Сводный годовой график'!$B$1:$B$4),MATCH(DATE($AV$1,MONTH($B$24),M$3),'Сводный годовой график'!$C$7:$AR$7)))</f>
        <v>8</v>
      </c>
      <c r="N24" s="28">
        <f ca="1">IF(AND(INDEX('Сводный годовой график'!$C$1:$AR$4,MATCH($C$24,'Сводный годовой график'!$B$1:$B$4),MATCH(DATE($AV$1,MONTH($B$24),N$3),'Сводный годовой график'!$C$7:$AR$7))&lt;&gt;12,INDIRECT(ADDRESS(ROW()+1,COLUMN()))="СП"),8,INDEX('Сводный годовой график'!$C$1:$AR$4,MATCH($C$24,'Сводный годовой график'!$B$1:$B$4),MATCH(DATE($AV$1,MONTH($B$24),N$3),'Сводный годовой график'!$C$7:$AR$7)))</f>
        <v>12</v>
      </c>
      <c r="O24" s="28">
        <f ca="1">IF(AND(INDEX('Сводный годовой график'!$C$1:$AR$4,MATCH($C$24,'Сводный годовой график'!$B$1:$B$4),MATCH(DATE($AV$1,MONTH($B$24),O$3),'Сводный годовой график'!$C$7:$AR$7))&lt;&gt;12,INDIRECT(ADDRESS(ROW()+1,COLUMN()))="СП"),8,INDEX('Сводный годовой график'!$C$1:$AR$4,MATCH($C$24,'Сводный годовой график'!$B$1:$B$4),MATCH(DATE($AV$1,MONTH($B$24),O$3),'Сводный годовой график'!$C$7:$AR$7)))</f>
        <v>4</v>
      </c>
      <c r="P24" s="28">
        <f ca="1">IF(AND(INDEX('Сводный годовой график'!$C$1:$AR$4,MATCH($C$24,'Сводный годовой график'!$B$1:$B$4),MATCH(DATE($AV$1,MONTH($B$24),P$3),'Сводный годовой график'!$C$7:$AR$7))&lt;&gt;12,INDIRECT(ADDRESS(ROW()+1,COLUMN()))="СП"),8,INDEX('Сводный годовой график'!$C$1:$AR$4,MATCH($C$24,'Сводный годовой график'!$B$1:$B$4),MATCH(DATE($AV$1,MONTH($B$24),P$3),'Сводный годовой график'!$C$7:$AR$7)))</f>
        <v>8</v>
      </c>
      <c r="Q24" s="28">
        <f ca="1">IF(AND(INDEX('Сводный годовой график'!$C$1:$AR$4,MATCH($C$24,'Сводный годовой график'!$B$1:$B$4),MATCH(DATE($AV$1,MONTH($B$24),Q$3),'Сводный годовой график'!$C$7:$AR$7))&lt;&gt;12,INDIRECT(ADDRESS(ROW()+1,COLUMN()))="СП"),8,INDEX('Сводный годовой график'!$C$1:$AR$4,MATCH($C$24,'Сводный годовой график'!$B$1:$B$4),MATCH(DATE($AV$1,MONTH($B$24),Q$3),'Сводный годовой график'!$C$7:$AR$7)))</f>
        <v>12</v>
      </c>
      <c r="R24" s="28">
        <f ca="1">IF(AND(INDEX('Сводный годовой график'!$C$1:$AR$4,MATCH($C$24,'Сводный годовой график'!$B$1:$B$4),MATCH(DATE($AV$1,MONTH($B$24),R$3),'Сводный годовой график'!$C$7:$AR$7))&lt;&gt;12,INDIRECT(ADDRESS(ROW()+1,COLUMN()))="СП"),8,INDEX('Сводный годовой график'!$C$1:$AR$4,MATCH($C$24,'Сводный годовой график'!$B$1:$B$4),MATCH(DATE($AV$1,MONTH($B$24),R$3),'Сводный годовой график'!$C$7:$AR$7)))</f>
        <v>0</v>
      </c>
      <c r="S24" s="28">
        <f ca="1">IF(AND(INDEX('Сводный годовой график'!$C$1:$AR$4,MATCH($C$24,'Сводный годовой график'!$B$1:$B$4),MATCH(DATE($AV$1,MONTH($B$24),S$3),'Сводный годовой график'!$C$7:$AR$7))&lt;&gt;12,INDIRECT(ADDRESS(ROW()+1,COLUMN()))="СП"),8,INDEX('Сводный годовой график'!$C$1:$AR$4,MATCH($C$24,'Сводный годовой график'!$B$1:$B$4),MATCH(DATE($AV$1,MONTH($B$24),S$3),'Сводный годовой график'!$C$7:$AR$7)))</f>
        <v>0</v>
      </c>
      <c r="T24" s="28">
        <f ca="1">IF(AND(INDEX('Сводный годовой график'!$C$1:$AR$4,MATCH($C$24,'Сводный годовой график'!$B$1:$B$4),MATCH(DATE($AV$1,MONTH($B$24),T$3),'Сводный годовой график'!$C$7:$AR$7))&lt;&gt;12,INDIRECT(ADDRESS(ROW()+1,COLUMN()))="СП"),8,INDEX('Сводный годовой график'!$C$1:$AR$4,MATCH($C$24,'Сводный годовой график'!$B$1:$B$4),MATCH(DATE($AV$1,MONTH($B$24),T$3),'Сводный годовой график'!$C$7:$AR$7)))</f>
        <v>4</v>
      </c>
      <c r="U24" s="28">
        <f ca="1">IF(AND(INDEX('Сводный годовой график'!$C$1:$AR$4,MATCH($C$24,'Сводный годовой график'!$B$1:$B$4),MATCH(DATE($AV$1,MONTH($B$24),U$3),'Сводный годовой график'!$C$7:$AR$7))&lt;&gt;12,INDIRECT(ADDRESS(ROW()+1,COLUMN()))="СП"),8,INDEX('Сводный годовой график'!$C$1:$AR$4,MATCH($C$24,'Сводный годовой график'!$B$1:$B$4),MATCH(DATE($AV$1,MONTH($B$24),U$3),'Сводный годовой график'!$C$7:$AR$7)))</f>
        <v>8</v>
      </c>
      <c r="V24" s="28">
        <f ca="1">IF(AND(INDEX('Сводный годовой график'!$C$1:$AR$4,MATCH($C$24,'Сводный годовой график'!$B$1:$B$4),MATCH(DATE($AV$1,MONTH($B$24),V$3),'Сводный годовой график'!$C$7:$AR$7))&lt;&gt;12,INDIRECT(ADDRESS(ROW()+1,COLUMN()))="СП"),8,INDEX('Сводный годовой график'!$C$1:$AR$4,MATCH($C$24,'Сводный годовой график'!$B$1:$B$4),MATCH(DATE($AV$1,MONTH($B$24),V$3),'Сводный годовой график'!$C$7:$AR$7)))</f>
        <v>12</v>
      </c>
      <c r="W24" s="28">
        <f ca="1">IF(AND(INDEX('Сводный годовой график'!$C$1:$AR$4,MATCH($C$24,'Сводный годовой график'!$B$1:$B$4),MATCH(DATE($AV$1,MONTH($B$24),W$3),'Сводный годовой график'!$C$7:$AR$7))&lt;&gt;12,INDIRECT(ADDRESS(ROW()+1,COLUMN()))="СП"),8,INDEX('Сводный годовой график'!$C$1:$AR$4,MATCH($C$24,'Сводный годовой график'!$B$1:$B$4),MATCH(DATE($AV$1,MONTH($B$24),W$3),'Сводный годовой график'!$C$7:$AR$7)))</f>
        <v>4</v>
      </c>
      <c r="X24" s="28">
        <f ca="1">IF(AND(INDEX('Сводный годовой график'!$C$1:$AR$4,MATCH($C$24,'Сводный годовой график'!$B$1:$B$4),MATCH(DATE($AV$1,MONTH($B$24),X$3),'Сводный годовой график'!$C$7:$AR$7))&lt;&gt;12,INDIRECT(ADDRESS(ROW()+1,COLUMN()))="СП"),8,INDEX('Сводный годовой график'!$C$1:$AR$4,MATCH($C$24,'Сводный годовой график'!$B$1:$B$4),MATCH(DATE($AV$1,MONTH($B$24),X$3),'Сводный годовой график'!$C$7:$AR$7)))</f>
        <v>8</v>
      </c>
      <c r="Y24" s="28">
        <f ca="1">IF(AND(INDEX('Сводный годовой график'!$C$1:$AR$4,MATCH($C$24,'Сводный годовой график'!$B$1:$B$4),MATCH(DATE($AV$1,MONTH($B$24),Y$3),'Сводный годовой график'!$C$7:$AR$7))&lt;&gt;12,INDIRECT(ADDRESS(ROW()+1,COLUMN()))="СП"),8,INDEX('Сводный годовой график'!$C$1:$AR$4,MATCH($C$24,'Сводный годовой график'!$B$1:$B$4),MATCH(DATE($AV$1,MONTH($B$24),Y$3),'Сводный годовой график'!$C$7:$AR$7)))</f>
        <v>12</v>
      </c>
      <c r="Z24" s="28">
        <f ca="1">IF(AND(INDEX('Сводный годовой график'!$C$1:$AR$4,MATCH($C$24,'Сводный годовой график'!$B$1:$B$4),MATCH(DATE($AV$1,MONTH($B$24),Z$3),'Сводный годовой график'!$C$7:$AR$7))&lt;&gt;12,INDIRECT(ADDRESS(ROW()+1,COLUMN()))="СП"),8,INDEX('Сводный годовой график'!$C$1:$AR$4,MATCH($C$24,'Сводный годовой график'!$B$1:$B$4),MATCH(DATE($AV$1,MONTH($B$24),Z$3),'Сводный годовой график'!$C$7:$AR$7)))</f>
        <v>0</v>
      </c>
      <c r="AA24" s="28">
        <f ca="1">IF(AND(INDEX('Сводный годовой график'!$C$1:$AR$4,MATCH($C$24,'Сводный годовой график'!$B$1:$B$4),MATCH(DATE($AV$1,MONTH($B$24),AA$3),'Сводный годовой график'!$C$7:$AR$7))&lt;&gt;12,INDIRECT(ADDRESS(ROW()+1,COLUMN()))="СП"),8,INDEX('Сводный годовой график'!$C$1:$AR$4,MATCH($C$24,'Сводный годовой график'!$B$1:$B$4),MATCH(DATE($AV$1,MONTH($B$24),AA$3),'Сводный годовой график'!$C$7:$AR$7)))</f>
        <v>0</v>
      </c>
      <c r="AB24" s="28">
        <f ca="1">IF(AND(INDEX('Сводный годовой график'!$C$1:$AR$4,MATCH($C$24,'Сводный годовой график'!$B$1:$B$4),MATCH(DATE($AV$1,MONTH($B$24),AB$3),'Сводный годовой график'!$C$7:$AR$7))&lt;&gt;12,INDIRECT(ADDRESS(ROW()+1,COLUMN()))="СП"),8,INDEX('Сводный годовой график'!$C$1:$AR$4,MATCH($C$24,'Сводный годовой график'!$B$1:$B$4),MATCH(DATE($AV$1,MONTH($B$24),AB$3),'Сводный годовой график'!$C$7:$AR$7)))</f>
        <v>4</v>
      </c>
      <c r="AC24" s="28">
        <f ca="1">IF(AND(INDEX('Сводный годовой график'!$C$1:$AR$4,MATCH($C$24,'Сводный годовой график'!$B$1:$B$4),MATCH(DATE($AV$1,MONTH($B$24),AC$3),'Сводный годовой график'!$C$7:$AR$7))&lt;&gt;12,INDIRECT(ADDRESS(ROW()+1,COLUMN()))="СП"),8,INDEX('Сводный годовой график'!$C$1:$AR$4,MATCH($C$24,'Сводный годовой график'!$B$1:$B$4),MATCH(DATE($AV$1,MONTH($B$24),AC$3),'Сводный годовой график'!$C$7:$AR$7)))</f>
        <v>8</v>
      </c>
      <c r="AD24" s="28">
        <f ca="1">IF(AND(INDEX('Сводный годовой график'!$C$1:$AR$4,MATCH($C$24,'Сводный годовой график'!$B$1:$B$4),MATCH(DATE($AV$1,MONTH($B$24),AD$3),'Сводный годовой график'!$C$7:$AR$7))&lt;&gt;12,INDIRECT(ADDRESS(ROW()+1,COLUMN()))="СП"),8,INDEX('Сводный годовой график'!$C$1:$AR$4,MATCH($C$24,'Сводный годовой график'!$B$1:$B$4),MATCH(DATE($AV$1,MONTH($B$24),AD$3),'Сводный годовой график'!$C$7:$AR$7)))</f>
        <v>12</v>
      </c>
      <c r="AE24" s="28">
        <f ca="1">IF(AND(INDEX('Сводный годовой график'!$C$1:$AR$4,MATCH($C$24,'Сводный годовой график'!$B$1:$B$4),MATCH(DATE($AV$1,MONTH($B$24),AE$3),'Сводный годовой график'!$C$7:$AR$7))&lt;&gt;12,INDIRECT(ADDRESS(ROW()+1,COLUMN()))="СП"),8,INDEX('Сводный годовой график'!$C$1:$AR$4,MATCH($C$24,'Сводный годовой график'!$B$1:$B$4),MATCH(DATE($AV$1,MONTH($B$24),AE$3),'Сводный годовой график'!$C$7:$AR$7)))</f>
        <v>4</v>
      </c>
      <c r="AF24" s="28">
        <f ca="1">IF(AND(INDEX('Сводный годовой график'!$C$1:$AR$4,MATCH($C$24,'Сводный годовой график'!$B$1:$B$4),MATCH(DATE($AV$1,MONTH($B$24),AF$3),'Сводный годовой график'!$C$7:$AR$7))&lt;&gt;12,INDIRECT(ADDRESS(ROW()+1,COLUMN()))="СП"),8,INDEX('Сводный годовой график'!$C$1:$AR$4,MATCH($C$24,'Сводный годовой график'!$B$1:$B$4),MATCH(DATE($AV$1,MONTH($B$24),AF$3),'Сводный годовой график'!$C$7:$AR$7)))</f>
        <v>8</v>
      </c>
      <c r="AG24" s="28">
        <f ca="1">IF(AND(INDEX('Сводный годовой график'!$C$1:$AR$4,MATCH($C$24,'Сводный годовой график'!$B$1:$B$4),MATCH(DATE($AV$1,MONTH($B$24),AG$3),'Сводный годовой график'!$C$7:$AR$7))&lt;&gt;12,INDIRECT(ADDRESS(ROW()+1,COLUMN()))="СП"),8,INDEX('Сводный годовой график'!$C$1:$AR$4,MATCH($C$24,'Сводный годовой график'!$B$1:$B$4),MATCH(DATE($AV$1,MONTH($B$24),AG$3),'Сводный годовой график'!$C$7:$AR$7)))</f>
        <v>12</v>
      </c>
      <c r="AH24" s="28">
        <f ca="1">IF(AND(INDEX('Сводный годовой график'!$C$1:$AR$4,MATCH($C$24,'Сводный годовой график'!$B$1:$B$4),MATCH(DATE($AV$1,MONTH($B$24),AH$3),'Сводный годовой график'!$C$7:$AR$7))&lt;&gt;12,INDIRECT(ADDRESS(ROW()+1,COLUMN()))="СП"),8,INDEX('Сводный годовой график'!$C$1:$AR$4,MATCH($C$24,'Сводный годовой график'!$B$1:$B$4),MATCH(DATE($AV$1,MONTH($B$24),AH$3),'Сводный годовой график'!$C$7:$AR$7)))</f>
        <v>0</v>
      </c>
      <c r="AI24" s="95">
        <f ca="1">IF(AND(INDEX('Сводный годовой график'!$C$1:$AR$4,MATCH($C$24,'Сводный годовой график'!$B$1:$B$4),MATCH(DATE($AV$1,MONTH($B$24),AI$3),'Сводный годовой график'!$C$7:$AR$7))&lt;&gt;12,INDIRECT(ADDRESS(ROW()+1,COLUMN()))="СП"),8,INDEX('Сводный годовой график'!$C$1:$AR$4,MATCH($C$24,'Сводный годовой график'!$B$1:$B$4),MATCH(DATE($AV$1,MONTH($B$24),AI$3),'Сводный годовой график'!$C$7:$AR$7)))</f>
        <v>0</v>
      </c>
      <c r="AJ24" s="205">
        <f>INDEX(Подключения!$D$3:$H$14,MONTH(B24),5)</f>
        <v>167</v>
      </c>
      <c r="AK24" s="216">
        <f>$AJ$24-SUM(AY24:CC25)</f>
        <v>167</v>
      </c>
      <c r="AL24" s="216">
        <f t="shared" ref="AL24" ca="1" si="39">SUM(E24:AI25)</f>
        <v>192</v>
      </c>
      <c r="AM24" s="216">
        <f ca="1">SUM(L24)</f>
        <v>4</v>
      </c>
      <c r="AN24" s="218">
        <f t="shared" ref="AN24" ca="1" si="40">-AM24-AK24+AL24</f>
        <v>21</v>
      </c>
      <c r="AO24" s="218">
        <v>12</v>
      </c>
      <c r="AP24" s="218">
        <f ca="1">AN24+AP14-AO24</f>
        <v>-9</v>
      </c>
      <c r="AQ24" s="216">
        <v>0</v>
      </c>
      <c r="AR24" s="217">
        <v>1</v>
      </c>
      <c r="CK24" s="59"/>
      <c r="CL24" s="59"/>
      <c r="CM24" s="59"/>
      <c r="CN24" s="59"/>
      <c r="CO24" s="59"/>
      <c r="CP24" s="59"/>
      <c r="CQ24" s="59"/>
      <c r="CR24" s="59"/>
      <c r="CS24" s="59"/>
      <c r="CT24" s="59"/>
      <c r="CU24" s="59"/>
      <c r="CV24" s="59"/>
      <c r="CW24" s="59"/>
      <c r="CX24" s="59"/>
      <c r="CY24" s="59"/>
      <c r="CZ24" s="59"/>
      <c r="DA24" s="59"/>
      <c r="DB24" s="59"/>
      <c r="DC24" s="59"/>
      <c r="DD24" s="59"/>
      <c r="DE24" s="59"/>
      <c r="DF24" s="59"/>
      <c r="DG24" s="59"/>
      <c r="DH24" s="59"/>
      <c r="DI24" s="59"/>
      <c r="DJ24" s="59"/>
      <c r="DK24" s="59"/>
      <c r="DL24" s="59"/>
      <c r="DM24" s="59"/>
      <c r="DN24" s="59"/>
      <c r="DO24" s="59"/>
    </row>
    <row r="25" spans="2:119" ht="16.5" thickBot="1" x14ac:dyDescent="0.3">
      <c r="B25" s="201"/>
      <c r="C25" s="197"/>
      <c r="D25" s="82">
        <v>2</v>
      </c>
      <c r="E25" s="92" t="str">
        <f t="shared" ref="E25:AI25" si="41">IF(INDEX($CK$4:$DO$123,ROW()-3,E$3)=0,"","СП")</f>
        <v/>
      </c>
      <c r="F25" s="92" t="str">
        <f t="shared" si="41"/>
        <v/>
      </c>
      <c r="G25" s="92" t="str">
        <f t="shared" si="41"/>
        <v>СП</v>
      </c>
      <c r="H25" s="92" t="str">
        <f t="shared" si="41"/>
        <v/>
      </c>
      <c r="I25" s="92" t="str">
        <f t="shared" si="41"/>
        <v/>
      </c>
      <c r="J25" s="92" t="str">
        <f t="shared" si="41"/>
        <v/>
      </c>
      <c r="K25" s="92" t="str">
        <f t="shared" si="41"/>
        <v/>
      </c>
      <c r="L25" s="92" t="str">
        <f t="shared" si="41"/>
        <v/>
      </c>
      <c r="M25" s="92" t="str">
        <f t="shared" si="41"/>
        <v/>
      </c>
      <c r="N25" s="92" t="str">
        <f t="shared" si="41"/>
        <v/>
      </c>
      <c r="O25" s="92" t="str">
        <f t="shared" si="41"/>
        <v/>
      </c>
      <c r="P25" s="92" t="str">
        <f t="shared" si="41"/>
        <v/>
      </c>
      <c r="Q25" s="92" t="str">
        <f t="shared" si="41"/>
        <v/>
      </c>
      <c r="R25" s="92" t="str">
        <f t="shared" si="41"/>
        <v/>
      </c>
      <c r="S25" s="92" t="str">
        <f t="shared" si="41"/>
        <v/>
      </c>
      <c r="T25" s="92" t="str">
        <f t="shared" si="41"/>
        <v/>
      </c>
      <c r="U25" s="92" t="str">
        <f t="shared" si="41"/>
        <v/>
      </c>
      <c r="V25" s="92" t="str">
        <f t="shared" si="41"/>
        <v/>
      </c>
      <c r="W25" s="92" t="str">
        <f t="shared" si="41"/>
        <v/>
      </c>
      <c r="X25" s="92" t="str">
        <f t="shared" si="41"/>
        <v/>
      </c>
      <c r="Y25" s="92" t="str">
        <f t="shared" si="41"/>
        <v/>
      </c>
      <c r="Z25" s="92" t="str">
        <f t="shared" si="41"/>
        <v/>
      </c>
      <c r="AA25" s="92" t="str">
        <f t="shared" si="41"/>
        <v/>
      </c>
      <c r="AB25" s="92" t="str">
        <f t="shared" si="41"/>
        <v/>
      </c>
      <c r="AC25" s="92" t="str">
        <f t="shared" si="41"/>
        <v/>
      </c>
      <c r="AD25" s="92" t="str">
        <f t="shared" si="41"/>
        <v/>
      </c>
      <c r="AE25" s="92" t="str">
        <f t="shared" si="41"/>
        <v/>
      </c>
      <c r="AF25" s="92" t="str">
        <f t="shared" si="41"/>
        <v/>
      </c>
      <c r="AG25" s="92" t="str">
        <f t="shared" si="41"/>
        <v/>
      </c>
      <c r="AH25" s="92" t="str">
        <f t="shared" si="41"/>
        <v/>
      </c>
      <c r="AI25" s="97" t="str">
        <f t="shared" si="41"/>
        <v/>
      </c>
      <c r="AJ25" s="206"/>
      <c r="AK25" s="209"/>
      <c r="AL25" s="209"/>
      <c r="AM25" s="209"/>
      <c r="AN25" s="211"/>
      <c r="AO25" s="211"/>
      <c r="AP25" s="211"/>
      <c r="AQ25" s="209"/>
      <c r="AR25" s="210"/>
      <c r="CK25" s="58">
        <f>IF(DAY(INDEX('Сводный годовой график'!$BA$4:$BL$14,$C24,MONTH($B$24)))=E$3,1,0)</f>
        <v>0</v>
      </c>
      <c r="CL25" s="58">
        <f>IF(DAY(INDEX('Сводный годовой график'!$BA$4:$BL$14,$C24,MONTH($B$24)))=F$3,1,0)</f>
        <v>0</v>
      </c>
      <c r="CM25" s="58">
        <f>IF(DAY(INDEX('Сводный годовой график'!$BA$4:$BL$14,$C24,MONTH($B$24)))=G$3,1,0)</f>
        <v>1</v>
      </c>
      <c r="CN25" s="58">
        <f>IF(DAY(INDEX('Сводный годовой график'!$BA$4:$BL$14,$C24,MONTH($B$24)))=H$3,1,0)</f>
        <v>0</v>
      </c>
      <c r="CO25" s="58">
        <f>IF(DAY(INDEX('Сводный годовой график'!$BA$4:$BL$14,$C24,MONTH($B$24)))=I$3,1,0)</f>
        <v>0</v>
      </c>
      <c r="CP25" s="58">
        <f>IF(DAY(INDEX('Сводный годовой график'!$BA$4:$BL$14,$C24,MONTH($B$24)))=J$3,1,0)</f>
        <v>0</v>
      </c>
      <c r="CQ25" s="58">
        <f>IF(DAY(INDEX('Сводный годовой график'!$BA$4:$BL$14,$C24,MONTH($B$24)))=K$3,1,0)</f>
        <v>0</v>
      </c>
      <c r="CR25" s="58">
        <f>IF(DAY(INDEX('Сводный годовой график'!$BA$4:$BL$14,$C24,MONTH($B$24)))=L$3,1,0)</f>
        <v>0</v>
      </c>
      <c r="CS25" s="58">
        <f>IF(DAY(INDEX('Сводный годовой график'!$BA$4:$BL$14,$C24,MONTH($B$24)))=M$3,1,0)</f>
        <v>0</v>
      </c>
      <c r="CT25" s="58">
        <f>IF(DAY(INDEX('Сводный годовой график'!$BA$4:$BL$14,$C24,MONTH($B$24)))=N$3,1,0)</f>
        <v>0</v>
      </c>
      <c r="CU25" s="58">
        <f>IF(DAY(INDEX('Сводный годовой график'!$BA$4:$BL$14,$C24,MONTH($B$24)))=O$3,1,0)</f>
        <v>0</v>
      </c>
      <c r="CV25" s="58">
        <f>IF(DAY(INDEX('Сводный годовой график'!$BA$4:$BL$14,$C24,MONTH($B$24)))=P$3,1,0)</f>
        <v>0</v>
      </c>
      <c r="CW25" s="58">
        <f>IF(DAY(INDEX('Сводный годовой график'!$BA$4:$BL$14,$C24,MONTH($B$24)))=Q$3,1,0)</f>
        <v>0</v>
      </c>
      <c r="CX25" s="58">
        <f>IF(DAY(INDEX('Сводный годовой график'!$BA$4:$BL$14,$C24,MONTH($B$24)))=R$3,1,0)</f>
        <v>0</v>
      </c>
      <c r="CY25" s="58">
        <f>IF(DAY(INDEX('Сводный годовой график'!$BA$4:$BL$14,$C24,MONTH($B$24)))=S$3,1,0)</f>
        <v>0</v>
      </c>
      <c r="CZ25" s="58">
        <f>IF(DAY(INDEX('Сводный годовой график'!$BA$4:$BL$14,$C24,MONTH($B$24)))=T$3,1,0)</f>
        <v>0</v>
      </c>
      <c r="DA25" s="58">
        <f>IF(DAY(INDEX('Сводный годовой график'!$BA$4:$BL$14,$C24,MONTH($B$24)))=U$3,1,0)</f>
        <v>0</v>
      </c>
      <c r="DB25" s="58">
        <f>IF(DAY(INDEX('Сводный годовой график'!$BA$4:$BL$14,$C24,MONTH($B$24)))=V$3,1,0)</f>
        <v>0</v>
      </c>
      <c r="DC25" s="58">
        <f>IF(DAY(INDEX('Сводный годовой график'!$BA$4:$BL$14,$C24,MONTH($B$24)))=W$3,1,0)</f>
        <v>0</v>
      </c>
      <c r="DD25" s="58">
        <f>IF(DAY(INDEX('Сводный годовой график'!$BA$4:$BL$14,$C24,MONTH($B$24)))=X$3,1,0)</f>
        <v>0</v>
      </c>
      <c r="DE25" s="58">
        <f>IF(DAY(INDEX('Сводный годовой график'!$BA$4:$BL$14,$C24,MONTH($B$24)))=Y$3,1,0)</f>
        <v>0</v>
      </c>
      <c r="DF25" s="58">
        <f>IF(DAY(INDEX('Сводный годовой график'!$BA$4:$BL$14,$C24,MONTH($B$24)))=Z$3,1,0)</f>
        <v>0</v>
      </c>
      <c r="DG25" s="58">
        <f>IF(DAY(INDEX('Сводный годовой график'!$BA$4:$BL$14,$C24,MONTH($B$24)))=AA$3,1,0)</f>
        <v>0</v>
      </c>
      <c r="DH25" s="58">
        <f>IF(DAY(INDEX('Сводный годовой график'!$BA$4:$BL$14,$C24,MONTH($B$24)))=AB$3,1,0)</f>
        <v>0</v>
      </c>
      <c r="DI25" s="58">
        <f>IF(DAY(INDEX('Сводный годовой график'!$BA$4:$BL$14,$C24,MONTH($B$24)))=AC$3,1,0)</f>
        <v>0</v>
      </c>
      <c r="DJ25" s="58">
        <f>IF(DAY(INDEX('Сводный годовой график'!$BA$4:$BL$14,$C24,MONTH($B$24)))=AD$3,1,0)</f>
        <v>0</v>
      </c>
      <c r="DK25" s="58">
        <f>IF(DAY(INDEX('Сводный годовой график'!$BA$4:$BL$14,$C24,MONTH($B$24)))=AE$3,1,0)</f>
        <v>0</v>
      </c>
      <c r="DL25" s="58">
        <f>IF(DAY(INDEX('Сводный годовой график'!$BA$4:$BL$14,$C24,MONTH($B$24)))=AF$3,1,0)</f>
        <v>0</v>
      </c>
      <c r="DM25" s="58">
        <f>IF(DAY(INDEX('Сводный годовой график'!$BA$4:$BL$14,$C24,MONTH($B$24)))=AG$3,1,0)</f>
        <v>0</v>
      </c>
      <c r="DN25" s="58">
        <f>IF(DAY(INDEX('Сводный годовой график'!$BA$4:$BL$14,$C24,MONTH($B$24)))=AH$3,1,0)</f>
        <v>0</v>
      </c>
      <c r="DO25" s="58">
        <f>IF(DAY(INDEX('Сводный годовой график'!$BA$4:$BL$14,$C24,MONTH($B$24)))=AI$3,1,0)</f>
        <v>0</v>
      </c>
    </row>
    <row r="26" spans="2:119" ht="16.5" thickBot="1" x14ac:dyDescent="0.3">
      <c r="B26" s="201"/>
      <c r="C26" s="196">
        <v>2</v>
      </c>
      <c r="D26" s="81">
        <v>3</v>
      </c>
      <c r="E26" s="92">
        <f ca="1">IF(AND(INDEX('Сводный годовой график'!$C$1:$AR$4,MATCH($C$26,'Сводный годовой график'!$B$1:$B$4),MATCH(DATE($AV$1,MONTH($B$24),E$3),'Сводный годовой график'!$C$7:$AR$7))&lt;&gt;12,INDIRECT(ADDRESS(ROW()+1,COLUMN()))="СП"),8,INDEX('Сводный годовой график'!$C$1:$AR$4,MATCH($C$26,'Сводный годовой график'!$B$1:$B$4),MATCH(DATE($AV$1,MONTH($B$24),E$3),'Сводный годовой график'!$C$7:$AR$7)))</f>
        <v>4</v>
      </c>
      <c r="F26" s="92">
        <f ca="1">IF(AND(INDEX('Сводный годовой график'!$C$1:$AR$4,MATCH($C$26,'Сводный годовой график'!$B$1:$B$4),MATCH(DATE($AV$1,MONTH($B$24),F$3),'Сводный годовой график'!$C$7:$AR$7))&lt;&gt;12,INDIRECT(ADDRESS(ROW()+1,COLUMN()))="СП"),8,INDEX('Сводный годовой график'!$C$1:$AR$4,MATCH($C$26,'Сводный годовой график'!$B$1:$B$4),MATCH(DATE($AV$1,MONTH($B$24),F$3),'Сводный годовой график'!$C$7:$AR$7)))</f>
        <v>8</v>
      </c>
      <c r="G26" s="92">
        <f ca="1">IF(AND(INDEX('Сводный годовой график'!$C$1:$AR$4,MATCH($C$26,'Сводный годовой график'!$B$1:$B$4),MATCH(DATE($AV$1,MONTH($B$24),G$3),'Сводный годовой график'!$C$7:$AR$7))&lt;&gt;12,INDIRECT(ADDRESS(ROW()+1,COLUMN()))="СП"),8,INDEX('Сводный годовой график'!$C$1:$AR$4,MATCH($C$26,'Сводный годовой график'!$B$1:$B$4),MATCH(DATE($AV$1,MONTH($B$24),G$3),'Сводный годовой график'!$C$7:$AR$7)))</f>
        <v>12</v>
      </c>
      <c r="H26" s="92">
        <f ca="1">IF(AND(INDEX('Сводный годовой график'!$C$1:$AR$4,MATCH($C$26,'Сводный годовой график'!$B$1:$B$4),MATCH(DATE($AV$1,MONTH($B$24),H$3),'Сводный годовой график'!$C$7:$AR$7))&lt;&gt;12,INDIRECT(ADDRESS(ROW()+1,COLUMN()))="СП"),8,INDEX('Сводный годовой график'!$C$1:$AR$4,MATCH($C$26,'Сводный годовой график'!$B$1:$B$4),MATCH(DATE($AV$1,MONTH($B$24),H$3),'Сводный годовой график'!$C$7:$AR$7)))</f>
        <v>8</v>
      </c>
      <c r="I26" s="92">
        <f ca="1">IF(AND(INDEX('Сводный годовой график'!$C$1:$AR$4,MATCH($C$26,'Сводный годовой график'!$B$1:$B$4),MATCH(DATE($AV$1,MONTH($B$24),I$3),'Сводный годовой график'!$C$7:$AR$7))&lt;&gt;12,INDIRECT(ADDRESS(ROW()+1,COLUMN()))="СП"),8,INDEX('Сводный годовой график'!$C$1:$AR$4,MATCH($C$26,'Сводный годовой график'!$B$1:$B$4),MATCH(DATE($AV$1,MONTH($B$24),I$3),'Сводный годовой график'!$C$7:$AR$7)))</f>
        <v>0</v>
      </c>
      <c r="J26" s="92">
        <f ca="1">IF(AND(INDEX('Сводный годовой график'!$C$1:$AR$4,MATCH($C$26,'Сводный годовой график'!$B$1:$B$4),MATCH(DATE($AV$1,MONTH($B$24),J$3),'Сводный годовой график'!$C$7:$AR$7))&lt;&gt;12,INDIRECT(ADDRESS(ROW()+1,COLUMN()))="СП"),8,INDEX('Сводный годовой график'!$C$1:$AR$4,MATCH($C$26,'Сводный годовой график'!$B$1:$B$4),MATCH(DATE($AV$1,MONTH($B$24),J$3),'Сводный годовой график'!$C$7:$AR$7)))</f>
        <v>4</v>
      </c>
      <c r="K26" s="92">
        <f ca="1">IF(AND(INDEX('Сводный годовой график'!$C$1:$AR$4,MATCH($C$26,'Сводный годовой график'!$B$1:$B$4),MATCH(DATE($AV$1,MONTH($B$24),K$3),'Сводный годовой график'!$C$7:$AR$7))&lt;&gt;12,INDIRECT(ADDRESS(ROW()+1,COLUMN()))="СП"),8,INDEX('Сводный годовой график'!$C$1:$AR$4,MATCH($C$26,'Сводный годовой график'!$B$1:$B$4),MATCH(DATE($AV$1,MONTH($B$24),K$3),'Сводный годовой график'!$C$7:$AR$7)))</f>
        <v>8</v>
      </c>
      <c r="L26" s="92">
        <f ca="1">IF(AND(INDEX('Сводный годовой график'!$C$1:$AR$4,MATCH($C$26,'Сводный годовой график'!$B$1:$B$4),MATCH(DATE($AV$1,MONTH($B$24),L$3),'Сводный годовой график'!$C$7:$AR$7))&lt;&gt;12,INDIRECT(ADDRESS(ROW()+1,COLUMN()))="СП"),8,INDEX('Сводный годовой график'!$C$1:$AR$4,MATCH($C$26,'Сводный годовой график'!$B$1:$B$4),MATCH(DATE($AV$1,MONTH($B$24),L$3),'Сводный годовой график'!$C$7:$AR$7)))</f>
        <v>12</v>
      </c>
      <c r="M26" s="92">
        <f ca="1">IF(AND(INDEX('Сводный годовой график'!$C$1:$AR$4,MATCH($C$26,'Сводный годовой график'!$B$1:$B$4),MATCH(DATE($AV$1,MONTH($B$24),M$3),'Сводный годовой график'!$C$7:$AR$7))&lt;&gt;12,INDIRECT(ADDRESS(ROW()+1,COLUMN()))="СП"),8,INDEX('Сводный годовой график'!$C$1:$AR$4,MATCH($C$26,'Сводный годовой график'!$B$1:$B$4),MATCH(DATE($AV$1,MONTH($B$24),M$3),'Сводный годовой график'!$C$7:$AR$7)))</f>
        <v>4</v>
      </c>
      <c r="N26" s="92">
        <f ca="1">IF(AND(INDEX('Сводный годовой график'!$C$1:$AR$4,MATCH($C$26,'Сводный годовой график'!$B$1:$B$4),MATCH(DATE($AV$1,MONTH($B$24),N$3),'Сводный годовой график'!$C$7:$AR$7))&lt;&gt;12,INDIRECT(ADDRESS(ROW()+1,COLUMN()))="СП"),8,INDEX('Сводный годовой график'!$C$1:$AR$4,MATCH($C$26,'Сводный годовой график'!$B$1:$B$4),MATCH(DATE($AV$1,MONTH($B$24),N$3),'Сводный годовой график'!$C$7:$AR$7)))</f>
        <v>8</v>
      </c>
      <c r="O26" s="92">
        <f ca="1">IF(AND(INDEX('Сводный годовой график'!$C$1:$AR$4,MATCH($C$26,'Сводный годовой график'!$B$1:$B$4),MATCH(DATE($AV$1,MONTH($B$24),O$3),'Сводный годовой график'!$C$7:$AR$7))&lt;&gt;12,INDIRECT(ADDRESS(ROW()+1,COLUMN()))="СП"),8,INDEX('Сводный годовой график'!$C$1:$AR$4,MATCH($C$26,'Сводный годовой график'!$B$1:$B$4),MATCH(DATE($AV$1,MONTH($B$24),O$3),'Сводный годовой график'!$C$7:$AR$7)))</f>
        <v>12</v>
      </c>
      <c r="P26" s="92">
        <f ca="1">IF(AND(INDEX('Сводный годовой график'!$C$1:$AR$4,MATCH($C$26,'Сводный годовой график'!$B$1:$B$4),MATCH(DATE($AV$1,MONTH($B$24),P$3),'Сводный годовой график'!$C$7:$AR$7))&lt;&gt;12,INDIRECT(ADDRESS(ROW()+1,COLUMN()))="СП"),8,INDEX('Сводный годовой график'!$C$1:$AR$4,MATCH($C$26,'Сводный годовой график'!$B$1:$B$4),MATCH(DATE($AV$1,MONTH($B$24),P$3),'Сводный годовой график'!$C$7:$AR$7)))</f>
        <v>0</v>
      </c>
      <c r="Q26" s="92">
        <f ca="1">IF(AND(INDEX('Сводный годовой график'!$C$1:$AR$4,MATCH($C$26,'Сводный годовой график'!$B$1:$B$4),MATCH(DATE($AV$1,MONTH($B$24),Q$3),'Сводный годовой график'!$C$7:$AR$7))&lt;&gt;12,INDIRECT(ADDRESS(ROW()+1,COLUMN()))="СП"),8,INDEX('Сводный годовой график'!$C$1:$AR$4,MATCH($C$26,'Сводный годовой график'!$B$1:$B$4),MATCH(DATE($AV$1,MONTH($B$24),Q$3),'Сводный годовой график'!$C$7:$AR$7)))</f>
        <v>0</v>
      </c>
      <c r="R26" s="92">
        <f ca="1">IF(AND(INDEX('Сводный годовой график'!$C$1:$AR$4,MATCH($C$26,'Сводный годовой график'!$B$1:$B$4),MATCH(DATE($AV$1,MONTH($B$24),R$3),'Сводный годовой график'!$C$7:$AR$7))&lt;&gt;12,INDIRECT(ADDRESS(ROW()+1,COLUMN()))="СП"),8,INDEX('Сводный годовой график'!$C$1:$AR$4,MATCH($C$26,'Сводный годовой график'!$B$1:$B$4),MATCH(DATE($AV$1,MONTH($B$24),R$3),'Сводный годовой график'!$C$7:$AR$7)))</f>
        <v>4</v>
      </c>
      <c r="S26" s="92">
        <f ca="1">IF(AND(INDEX('Сводный годовой график'!$C$1:$AR$4,MATCH($C$26,'Сводный годовой график'!$B$1:$B$4),MATCH(DATE($AV$1,MONTH($B$24),S$3),'Сводный годовой график'!$C$7:$AR$7))&lt;&gt;12,INDIRECT(ADDRESS(ROW()+1,COLUMN()))="СП"),8,INDEX('Сводный годовой график'!$C$1:$AR$4,MATCH($C$26,'Сводный годовой график'!$B$1:$B$4),MATCH(DATE($AV$1,MONTH($B$24),S$3),'Сводный годовой график'!$C$7:$AR$7)))</f>
        <v>8</v>
      </c>
      <c r="T26" s="92">
        <f ca="1">IF(AND(INDEX('Сводный годовой график'!$C$1:$AR$4,MATCH($C$26,'Сводный годовой график'!$B$1:$B$4),MATCH(DATE($AV$1,MONTH($B$24),T$3),'Сводный годовой график'!$C$7:$AR$7))&lt;&gt;12,INDIRECT(ADDRESS(ROW()+1,COLUMN()))="СП"),8,INDEX('Сводный годовой график'!$C$1:$AR$4,MATCH($C$26,'Сводный годовой график'!$B$1:$B$4),MATCH(DATE($AV$1,MONTH($B$24),T$3),'Сводный годовой график'!$C$7:$AR$7)))</f>
        <v>12</v>
      </c>
      <c r="U26" s="92">
        <f ca="1">IF(AND(INDEX('Сводный годовой график'!$C$1:$AR$4,MATCH($C$26,'Сводный годовой график'!$B$1:$B$4),MATCH(DATE($AV$1,MONTH($B$24),U$3),'Сводный годовой график'!$C$7:$AR$7))&lt;&gt;12,INDIRECT(ADDRESS(ROW()+1,COLUMN()))="СП"),8,INDEX('Сводный годовой график'!$C$1:$AR$4,MATCH($C$26,'Сводный годовой график'!$B$1:$B$4),MATCH(DATE($AV$1,MONTH($B$24),U$3),'Сводный годовой график'!$C$7:$AR$7)))</f>
        <v>4</v>
      </c>
      <c r="V26" s="92">
        <f ca="1">IF(AND(INDEX('Сводный годовой график'!$C$1:$AR$4,MATCH($C$26,'Сводный годовой график'!$B$1:$B$4),MATCH(DATE($AV$1,MONTH($B$24),V$3),'Сводный годовой график'!$C$7:$AR$7))&lt;&gt;12,INDIRECT(ADDRESS(ROW()+1,COLUMN()))="СП"),8,INDEX('Сводный годовой график'!$C$1:$AR$4,MATCH($C$26,'Сводный годовой график'!$B$1:$B$4),MATCH(DATE($AV$1,MONTH($B$24),V$3),'Сводный годовой график'!$C$7:$AR$7)))</f>
        <v>8</v>
      </c>
      <c r="W26" s="92">
        <f ca="1">IF(AND(INDEX('Сводный годовой график'!$C$1:$AR$4,MATCH($C$26,'Сводный годовой график'!$B$1:$B$4),MATCH(DATE($AV$1,MONTH($B$24),W$3),'Сводный годовой график'!$C$7:$AR$7))&lt;&gt;12,INDIRECT(ADDRESS(ROW()+1,COLUMN()))="СП"),8,INDEX('Сводный годовой график'!$C$1:$AR$4,MATCH($C$26,'Сводный годовой график'!$B$1:$B$4),MATCH(DATE($AV$1,MONTH($B$24),W$3),'Сводный годовой график'!$C$7:$AR$7)))</f>
        <v>12</v>
      </c>
      <c r="X26" s="92">
        <f ca="1">IF(AND(INDEX('Сводный годовой график'!$C$1:$AR$4,MATCH($C$26,'Сводный годовой график'!$B$1:$B$4),MATCH(DATE($AV$1,MONTH($B$24),X$3),'Сводный годовой график'!$C$7:$AR$7))&lt;&gt;12,INDIRECT(ADDRESS(ROW()+1,COLUMN()))="СП"),8,INDEX('Сводный годовой график'!$C$1:$AR$4,MATCH($C$26,'Сводный годовой график'!$B$1:$B$4),MATCH(DATE($AV$1,MONTH($B$24),X$3),'Сводный годовой график'!$C$7:$AR$7)))</f>
        <v>0</v>
      </c>
      <c r="Y26" s="92">
        <f ca="1">IF(AND(INDEX('Сводный годовой график'!$C$1:$AR$4,MATCH($C$26,'Сводный годовой график'!$B$1:$B$4),MATCH(DATE($AV$1,MONTH($B$24),Y$3),'Сводный годовой график'!$C$7:$AR$7))&lt;&gt;12,INDIRECT(ADDRESS(ROW()+1,COLUMN()))="СП"),8,INDEX('Сводный годовой график'!$C$1:$AR$4,MATCH($C$26,'Сводный годовой график'!$B$1:$B$4),MATCH(DATE($AV$1,MONTH($B$24),Y$3),'Сводный годовой график'!$C$7:$AR$7)))</f>
        <v>0</v>
      </c>
      <c r="Z26" s="92">
        <f ca="1">IF(AND(INDEX('Сводный годовой график'!$C$1:$AR$4,MATCH($C$26,'Сводный годовой график'!$B$1:$B$4),MATCH(DATE($AV$1,MONTH($B$24),Z$3),'Сводный годовой график'!$C$7:$AR$7))&lt;&gt;12,INDIRECT(ADDRESS(ROW()+1,COLUMN()))="СП"),8,INDEX('Сводный годовой график'!$C$1:$AR$4,MATCH($C$26,'Сводный годовой график'!$B$1:$B$4),MATCH(DATE($AV$1,MONTH($B$24),Z$3),'Сводный годовой график'!$C$7:$AR$7)))</f>
        <v>4</v>
      </c>
      <c r="AA26" s="92">
        <f ca="1">IF(AND(INDEX('Сводный годовой график'!$C$1:$AR$4,MATCH($C$26,'Сводный годовой график'!$B$1:$B$4),MATCH(DATE($AV$1,MONTH($B$24),AA$3),'Сводный годовой график'!$C$7:$AR$7))&lt;&gt;12,INDIRECT(ADDRESS(ROW()+1,COLUMN()))="СП"),8,INDEX('Сводный годовой график'!$C$1:$AR$4,MATCH($C$26,'Сводный годовой график'!$B$1:$B$4),MATCH(DATE($AV$1,MONTH($B$24),AA$3),'Сводный годовой график'!$C$7:$AR$7)))</f>
        <v>8</v>
      </c>
      <c r="AB26" s="92">
        <f ca="1">IF(AND(INDEX('Сводный годовой график'!$C$1:$AR$4,MATCH($C$26,'Сводный годовой график'!$B$1:$B$4),MATCH(DATE($AV$1,MONTH($B$24),AB$3),'Сводный годовой график'!$C$7:$AR$7))&lt;&gt;12,INDIRECT(ADDRESS(ROW()+1,COLUMN()))="СП"),8,INDEX('Сводный годовой график'!$C$1:$AR$4,MATCH($C$26,'Сводный годовой график'!$B$1:$B$4),MATCH(DATE($AV$1,MONTH($B$24),AB$3),'Сводный годовой график'!$C$7:$AR$7)))</f>
        <v>12</v>
      </c>
      <c r="AC26" s="92">
        <f ca="1">IF(AND(INDEX('Сводный годовой график'!$C$1:$AR$4,MATCH($C$26,'Сводный годовой график'!$B$1:$B$4),MATCH(DATE($AV$1,MONTH($B$24),AC$3),'Сводный годовой график'!$C$7:$AR$7))&lt;&gt;12,INDIRECT(ADDRESS(ROW()+1,COLUMN()))="СП"),8,INDEX('Сводный годовой график'!$C$1:$AR$4,MATCH($C$26,'Сводный годовой график'!$B$1:$B$4),MATCH(DATE($AV$1,MONTH($B$24),AC$3),'Сводный годовой график'!$C$7:$AR$7)))</f>
        <v>4</v>
      </c>
      <c r="AD26" s="92">
        <f ca="1">IF(AND(INDEX('Сводный годовой график'!$C$1:$AR$4,MATCH($C$26,'Сводный годовой график'!$B$1:$B$4),MATCH(DATE($AV$1,MONTH($B$24),AD$3),'Сводный годовой график'!$C$7:$AR$7))&lt;&gt;12,INDIRECT(ADDRESS(ROW()+1,COLUMN()))="СП"),8,INDEX('Сводный годовой график'!$C$1:$AR$4,MATCH($C$26,'Сводный годовой график'!$B$1:$B$4),MATCH(DATE($AV$1,MONTH($B$24),AD$3),'Сводный годовой график'!$C$7:$AR$7)))</f>
        <v>8</v>
      </c>
      <c r="AE26" s="92">
        <f ca="1">IF(AND(INDEX('Сводный годовой график'!$C$1:$AR$4,MATCH($C$26,'Сводный годовой график'!$B$1:$B$4),MATCH(DATE($AV$1,MONTH($B$24),AE$3),'Сводный годовой график'!$C$7:$AR$7))&lt;&gt;12,INDIRECT(ADDRESS(ROW()+1,COLUMN()))="СП"),8,INDEX('Сводный годовой график'!$C$1:$AR$4,MATCH($C$26,'Сводный годовой график'!$B$1:$B$4),MATCH(DATE($AV$1,MONTH($B$24),AE$3),'Сводный годовой график'!$C$7:$AR$7)))</f>
        <v>12</v>
      </c>
      <c r="AF26" s="92">
        <f ca="1">IF(AND(INDEX('Сводный годовой график'!$C$1:$AR$4,MATCH($C$26,'Сводный годовой график'!$B$1:$B$4),MATCH(DATE($AV$1,MONTH($B$24),AF$3),'Сводный годовой график'!$C$7:$AR$7))&lt;&gt;12,INDIRECT(ADDRESS(ROW()+1,COLUMN()))="СП"),8,INDEX('Сводный годовой график'!$C$1:$AR$4,MATCH($C$26,'Сводный годовой график'!$B$1:$B$4),MATCH(DATE($AV$1,MONTH($B$24),AF$3),'Сводный годовой график'!$C$7:$AR$7)))</f>
        <v>0</v>
      </c>
      <c r="AG26" s="92">
        <f ca="1">IF(AND(INDEX('Сводный годовой график'!$C$1:$AR$4,MATCH($C$26,'Сводный годовой график'!$B$1:$B$4),MATCH(DATE($AV$1,MONTH($B$24),AG$3),'Сводный годовой график'!$C$7:$AR$7))&lt;&gt;12,INDIRECT(ADDRESS(ROW()+1,COLUMN()))="СП"),8,INDEX('Сводный годовой график'!$C$1:$AR$4,MATCH($C$26,'Сводный годовой график'!$B$1:$B$4),MATCH(DATE($AV$1,MONTH($B$24),AG$3),'Сводный годовой график'!$C$7:$AR$7)))</f>
        <v>0</v>
      </c>
      <c r="AH26" s="92">
        <f ca="1">IF(AND(INDEX('Сводный годовой график'!$C$1:$AR$4,MATCH($C$26,'Сводный годовой график'!$B$1:$B$4),MATCH(DATE($AV$1,MONTH($B$24),AH$3),'Сводный годовой график'!$C$7:$AR$7))&lt;&gt;12,INDIRECT(ADDRESS(ROW()+1,COLUMN()))="СП"),8,INDEX('Сводный годовой график'!$C$1:$AR$4,MATCH($C$26,'Сводный годовой график'!$B$1:$B$4),MATCH(DATE($AV$1,MONTH($B$24),AH$3),'Сводный годовой график'!$C$7:$AR$7)))</f>
        <v>4</v>
      </c>
      <c r="AI26" s="97">
        <f ca="1">IF(AND(INDEX('Сводный годовой график'!$C$1:$AR$4,MATCH($C$26,'Сводный годовой график'!$B$1:$B$4),MATCH(DATE($AV$1,MONTH($B$24),AI$3),'Сводный годовой график'!$C$7:$AR$7))&lt;&gt;12,INDIRECT(ADDRESS(ROW()+1,COLUMN()))="СП"),8,INDEX('Сводный годовой график'!$C$1:$AR$4,MATCH($C$26,'Сводный годовой график'!$B$1:$B$4),MATCH(DATE($AV$1,MONTH($B$24),AI$3),'Сводный годовой график'!$C$7:$AR$7)))</f>
        <v>8</v>
      </c>
      <c r="AJ26" s="206"/>
      <c r="AK26" s="209">
        <f>$AJ$24-SUM(AY26:CC27)</f>
        <v>167</v>
      </c>
      <c r="AL26" s="209">
        <f t="shared" ref="AL26" ca="1" si="42">SUM(E26:AI27)</f>
        <v>188</v>
      </c>
      <c r="AM26" s="209">
        <f ca="1">SUM(L26)</f>
        <v>12</v>
      </c>
      <c r="AN26" s="211">
        <f t="shared" ref="AN26" ca="1" si="43">-AM26-AK26+AL26</f>
        <v>9</v>
      </c>
      <c r="AO26" s="211">
        <v>18</v>
      </c>
      <c r="AP26" s="211">
        <f ca="1">AN26+AP16-AO26</f>
        <v>-17</v>
      </c>
      <c r="AQ26" s="209">
        <v>0</v>
      </c>
      <c r="AR26" s="210">
        <v>1</v>
      </c>
      <c r="CK26" s="59"/>
      <c r="CL26" s="59"/>
      <c r="CM26" s="59"/>
      <c r="CN26" s="59"/>
      <c r="CO26" s="59"/>
      <c r="CP26" s="59"/>
      <c r="CQ26" s="59"/>
      <c r="CR26" s="59"/>
      <c r="CS26" s="59"/>
      <c r="CT26" s="59"/>
      <c r="CU26" s="59"/>
      <c r="CV26" s="59"/>
      <c r="CW26" s="59"/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59"/>
      <c r="DI26" s="59"/>
      <c r="DJ26" s="59"/>
      <c r="DK26" s="59"/>
      <c r="DL26" s="59"/>
      <c r="DM26" s="59"/>
      <c r="DN26" s="59"/>
      <c r="DO26" s="59"/>
    </row>
    <row r="27" spans="2:119" ht="16.5" thickBot="1" x14ac:dyDescent="0.3">
      <c r="B27" s="201"/>
      <c r="C27" s="197"/>
      <c r="D27" s="82">
        <v>4</v>
      </c>
      <c r="E27" s="92" t="str">
        <f t="shared" ref="E27:AI27" si="44">IF(INDEX($CK$4:$DO$123,ROW()-3,E$3)=0,"","СП")</f>
        <v/>
      </c>
      <c r="F27" s="92" t="str">
        <f t="shared" si="44"/>
        <v/>
      </c>
      <c r="G27" s="92" t="str">
        <f t="shared" si="44"/>
        <v/>
      </c>
      <c r="H27" s="92" t="str">
        <f t="shared" si="44"/>
        <v>СП</v>
      </c>
      <c r="I27" s="92" t="str">
        <f t="shared" si="44"/>
        <v/>
      </c>
      <c r="J27" s="92" t="str">
        <f t="shared" si="44"/>
        <v/>
      </c>
      <c r="K27" s="92" t="str">
        <f t="shared" si="44"/>
        <v/>
      </c>
      <c r="L27" s="92" t="str">
        <f t="shared" si="44"/>
        <v/>
      </c>
      <c r="M27" s="92" t="str">
        <f t="shared" si="44"/>
        <v/>
      </c>
      <c r="N27" s="92" t="str">
        <f t="shared" si="44"/>
        <v/>
      </c>
      <c r="O27" s="92" t="str">
        <f t="shared" si="44"/>
        <v/>
      </c>
      <c r="P27" s="92" t="str">
        <f t="shared" si="44"/>
        <v/>
      </c>
      <c r="Q27" s="92" t="str">
        <f t="shared" si="44"/>
        <v/>
      </c>
      <c r="R27" s="92" t="str">
        <f t="shared" si="44"/>
        <v/>
      </c>
      <c r="S27" s="92" t="str">
        <f t="shared" si="44"/>
        <v/>
      </c>
      <c r="T27" s="92" t="str">
        <f t="shared" si="44"/>
        <v/>
      </c>
      <c r="U27" s="92" t="str">
        <f t="shared" si="44"/>
        <v/>
      </c>
      <c r="V27" s="92" t="str">
        <f t="shared" si="44"/>
        <v/>
      </c>
      <c r="W27" s="92" t="str">
        <f t="shared" si="44"/>
        <v/>
      </c>
      <c r="X27" s="92" t="str">
        <f t="shared" si="44"/>
        <v/>
      </c>
      <c r="Y27" s="92" t="str">
        <f t="shared" si="44"/>
        <v/>
      </c>
      <c r="Z27" s="92" t="str">
        <f t="shared" si="44"/>
        <v/>
      </c>
      <c r="AA27" s="92" t="str">
        <f t="shared" si="44"/>
        <v/>
      </c>
      <c r="AB27" s="92" t="str">
        <f t="shared" si="44"/>
        <v/>
      </c>
      <c r="AC27" s="92" t="str">
        <f t="shared" si="44"/>
        <v/>
      </c>
      <c r="AD27" s="92" t="str">
        <f t="shared" si="44"/>
        <v/>
      </c>
      <c r="AE27" s="92" t="str">
        <f t="shared" si="44"/>
        <v/>
      </c>
      <c r="AF27" s="92" t="str">
        <f t="shared" si="44"/>
        <v/>
      </c>
      <c r="AG27" s="92" t="str">
        <f t="shared" si="44"/>
        <v/>
      </c>
      <c r="AH27" s="92" t="str">
        <f t="shared" si="44"/>
        <v/>
      </c>
      <c r="AI27" s="97" t="str">
        <f t="shared" si="44"/>
        <v/>
      </c>
      <c r="AJ27" s="206"/>
      <c r="AK27" s="209"/>
      <c r="AL27" s="209"/>
      <c r="AM27" s="209"/>
      <c r="AN27" s="211"/>
      <c r="AO27" s="211"/>
      <c r="AP27" s="211"/>
      <c r="AQ27" s="209"/>
      <c r="AR27" s="210"/>
      <c r="CK27" s="58">
        <f>IF(DAY(INDEX('Сводный годовой график'!$BA$4:$BL$14,$C26,MONTH($B$24)))=E$3,1,0)</f>
        <v>0</v>
      </c>
      <c r="CL27" s="58">
        <f>IF(DAY(INDEX('Сводный годовой график'!$BA$4:$BL$14,$C26,MONTH($B$24)))=F$3,1,0)</f>
        <v>0</v>
      </c>
      <c r="CM27" s="58">
        <f>IF(DAY(INDEX('Сводный годовой график'!$BA$4:$BL$14,$C26,MONTH($B$24)))=G$3,1,0)</f>
        <v>0</v>
      </c>
      <c r="CN27" s="58">
        <f>IF(DAY(INDEX('Сводный годовой график'!$BA$4:$BL$14,$C26,MONTH($B$24)))=H$3,1,0)</f>
        <v>1</v>
      </c>
      <c r="CO27" s="58">
        <f>IF(DAY(INDEX('Сводный годовой график'!$BA$4:$BL$14,$C26,MONTH($B$24)))=I$3,1,0)</f>
        <v>0</v>
      </c>
      <c r="CP27" s="58">
        <f>IF(DAY(INDEX('Сводный годовой график'!$BA$4:$BL$14,$C26,MONTH($B$24)))=J$3,1,0)</f>
        <v>0</v>
      </c>
      <c r="CQ27" s="58">
        <f>IF(DAY(INDEX('Сводный годовой график'!$BA$4:$BL$14,$C26,MONTH($B$24)))=K$3,1,0)</f>
        <v>0</v>
      </c>
      <c r="CR27" s="58">
        <f>IF(DAY(INDEX('Сводный годовой график'!$BA$4:$BL$14,$C26,MONTH($B$24)))=L$3,1,0)</f>
        <v>0</v>
      </c>
      <c r="CS27" s="58">
        <f>IF(DAY(INDEX('Сводный годовой график'!$BA$4:$BL$14,$C26,MONTH($B$24)))=M$3,1,0)</f>
        <v>0</v>
      </c>
      <c r="CT27" s="58">
        <f>IF(DAY(INDEX('Сводный годовой график'!$BA$4:$BL$14,$C26,MONTH($B$24)))=N$3,1,0)</f>
        <v>0</v>
      </c>
      <c r="CU27" s="58">
        <f>IF(DAY(INDEX('Сводный годовой график'!$BA$4:$BL$14,$C26,MONTH($B$24)))=O$3,1,0)</f>
        <v>0</v>
      </c>
      <c r="CV27" s="58">
        <f>IF(DAY(INDEX('Сводный годовой график'!$BA$4:$BL$14,$C26,MONTH($B$24)))=P$3,1,0)</f>
        <v>0</v>
      </c>
      <c r="CW27" s="58">
        <f>IF(DAY(INDEX('Сводный годовой график'!$BA$4:$BL$14,$C26,MONTH($B$24)))=Q$3,1,0)</f>
        <v>0</v>
      </c>
      <c r="CX27" s="58">
        <f>IF(DAY(INDEX('Сводный годовой график'!$BA$4:$BL$14,$C26,MONTH($B$24)))=R$3,1,0)</f>
        <v>0</v>
      </c>
      <c r="CY27" s="58">
        <f>IF(DAY(INDEX('Сводный годовой график'!$BA$4:$BL$14,$C26,MONTH($B$24)))=S$3,1,0)</f>
        <v>0</v>
      </c>
      <c r="CZ27" s="58">
        <f>IF(DAY(INDEX('Сводный годовой график'!$BA$4:$BL$14,$C26,MONTH($B$24)))=T$3,1,0)</f>
        <v>0</v>
      </c>
      <c r="DA27" s="58">
        <f>IF(DAY(INDEX('Сводный годовой график'!$BA$4:$BL$14,$C26,MONTH($B$24)))=U$3,1,0)</f>
        <v>0</v>
      </c>
      <c r="DB27" s="58">
        <f>IF(DAY(INDEX('Сводный годовой график'!$BA$4:$BL$14,$C26,MONTH($B$24)))=V$3,1,0)</f>
        <v>0</v>
      </c>
      <c r="DC27" s="58">
        <f>IF(DAY(INDEX('Сводный годовой график'!$BA$4:$BL$14,$C26,MONTH($B$24)))=W$3,1,0)</f>
        <v>0</v>
      </c>
      <c r="DD27" s="58">
        <f>IF(DAY(INDEX('Сводный годовой график'!$BA$4:$BL$14,$C26,MONTH($B$24)))=X$3,1,0)</f>
        <v>0</v>
      </c>
      <c r="DE27" s="58">
        <f>IF(DAY(INDEX('Сводный годовой график'!$BA$4:$BL$14,$C26,MONTH($B$24)))=Y$3,1,0)</f>
        <v>0</v>
      </c>
      <c r="DF27" s="58">
        <f>IF(DAY(INDEX('Сводный годовой график'!$BA$4:$BL$14,$C26,MONTH($B$24)))=Z$3,1,0)</f>
        <v>0</v>
      </c>
      <c r="DG27" s="58">
        <f>IF(DAY(INDEX('Сводный годовой график'!$BA$4:$BL$14,$C26,MONTH($B$24)))=AA$3,1,0)</f>
        <v>0</v>
      </c>
      <c r="DH27" s="58">
        <f>IF(DAY(INDEX('Сводный годовой график'!$BA$4:$BL$14,$C26,MONTH($B$24)))=AB$3,1,0)</f>
        <v>0</v>
      </c>
      <c r="DI27" s="58">
        <f>IF(DAY(INDEX('Сводный годовой график'!$BA$4:$BL$14,$C26,MONTH($B$24)))=AC$3,1,0)</f>
        <v>0</v>
      </c>
      <c r="DJ27" s="58">
        <f>IF(DAY(INDEX('Сводный годовой график'!$BA$4:$BL$14,$C26,MONTH($B$24)))=AD$3,1,0)</f>
        <v>0</v>
      </c>
      <c r="DK27" s="58">
        <f>IF(DAY(INDEX('Сводный годовой график'!$BA$4:$BL$14,$C26,MONTH($B$24)))=AE$3,1,0)</f>
        <v>0</v>
      </c>
      <c r="DL27" s="58">
        <f>IF(DAY(INDEX('Сводный годовой график'!$BA$4:$BL$14,$C26,MONTH($B$24)))=AF$3,1,0)</f>
        <v>0</v>
      </c>
      <c r="DM27" s="58">
        <f>IF(DAY(INDEX('Сводный годовой график'!$BA$4:$BL$14,$C26,MONTH($B$24)))=AG$3,1,0)</f>
        <v>0</v>
      </c>
      <c r="DN27" s="58">
        <f>IF(DAY(INDEX('Сводный годовой график'!$BA$4:$BL$14,$C26,MONTH($B$24)))=AH$3,1,0)</f>
        <v>0</v>
      </c>
      <c r="DO27" s="58">
        <f>IF(DAY(INDEX('Сводный годовой график'!$BA$4:$BL$14,$C26,MONTH($B$24)))=AI$3,1,0)</f>
        <v>0</v>
      </c>
    </row>
    <row r="28" spans="2:119" ht="16.5" thickBot="1" x14ac:dyDescent="0.3">
      <c r="B28" s="201"/>
      <c r="C28" s="196">
        <v>3</v>
      </c>
      <c r="D28" s="81">
        <v>5</v>
      </c>
      <c r="E28" s="92">
        <f ca="1">IF(AND(INDEX('Сводный годовой график'!$C$1:$AR$4,MATCH($C$28,'Сводный годовой график'!$B$1:$B$4),MATCH(DATE($AV$1,MONTH($B$24),E$3),'Сводный годовой график'!$C$7:$AR$7))&lt;&gt;12,INDIRECT(ADDRESS(ROW()+1,COLUMN()))="СП"),8,INDEX('Сводный годовой график'!$C$1:$AR$4,MATCH($C$28,'Сводный годовой график'!$B$1:$B$4),MATCH(DATE($AV$1,MONTH($B$24),E$3),'Сводный годовой график'!$C$7:$AR$7)))</f>
        <v>0</v>
      </c>
      <c r="F28" s="92">
        <f ca="1">IF(AND(INDEX('Сводный годовой график'!$C$1:$AR$4,MATCH($C$28,'Сводный годовой график'!$B$1:$B$4),MATCH(DATE($AV$1,MONTH($B$24),F$3),'Сводный годовой график'!$C$7:$AR$7))&lt;&gt;12,INDIRECT(ADDRESS(ROW()+1,COLUMN()))="СП"),8,INDEX('Сводный годовой график'!$C$1:$AR$4,MATCH($C$28,'Сводный годовой график'!$B$1:$B$4),MATCH(DATE($AV$1,MONTH($B$24),F$3),'Сводный годовой график'!$C$7:$AR$7)))</f>
        <v>4</v>
      </c>
      <c r="G28" s="92">
        <f ca="1">IF(AND(INDEX('Сводный годовой график'!$C$1:$AR$4,MATCH($C$28,'Сводный годовой график'!$B$1:$B$4),MATCH(DATE($AV$1,MONTH($B$24),G$3),'Сводный годовой график'!$C$7:$AR$7))&lt;&gt;12,INDIRECT(ADDRESS(ROW()+1,COLUMN()))="СП"),8,INDEX('Сводный годовой график'!$C$1:$AR$4,MATCH($C$28,'Сводный годовой график'!$B$1:$B$4),MATCH(DATE($AV$1,MONTH($B$24),G$3),'Сводный годовой график'!$C$7:$AR$7)))</f>
        <v>8</v>
      </c>
      <c r="H28" s="92">
        <f ca="1">IF(AND(INDEX('Сводный годовой график'!$C$1:$AR$4,MATCH($C$28,'Сводный годовой график'!$B$1:$B$4),MATCH(DATE($AV$1,MONTH($B$24),H$3),'Сводный годовой график'!$C$7:$AR$7))&lt;&gt;12,INDIRECT(ADDRESS(ROW()+1,COLUMN()))="СП"),8,INDEX('Сводный годовой график'!$C$1:$AR$4,MATCH($C$28,'Сводный годовой график'!$B$1:$B$4),MATCH(DATE($AV$1,MONTH($B$24),H$3),'Сводный годовой график'!$C$7:$AR$7)))</f>
        <v>12</v>
      </c>
      <c r="I28" s="92">
        <f ca="1">IF(AND(INDEX('Сводный годовой график'!$C$1:$AR$4,MATCH($C$28,'Сводный годовой график'!$B$1:$B$4),MATCH(DATE($AV$1,MONTH($B$24),I$3),'Сводный годовой график'!$C$7:$AR$7))&lt;&gt;12,INDIRECT(ADDRESS(ROW()+1,COLUMN()))="СП"),8,INDEX('Сводный годовой график'!$C$1:$AR$4,MATCH($C$28,'Сводный годовой график'!$B$1:$B$4),MATCH(DATE($AV$1,MONTH($B$24),I$3),'Сводный годовой график'!$C$7:$AR$7)))</f>
        <v>8</v>
      </c>
      <c r="J28" s="92">
        <f ca="1">IF(AND(INDEX('Сводный годовой график'!$C$1:$AR$4,MATCH($C$28,'Сводный годовой график'!$B$1:$B$4),MATCH(DATE($AV$1,MONTH($B$24),J$3),'Сводный годовой график'!$C$7:$AR$7))&lt;&gt;12,INDIRECT(ADDRESS(ROW()+1,COLUMN()))="СП"),8,INDEX('Сводный годовой график'!$C$1:$AR$4,MATCH($C$28,'Сводный годовой график'!$B$1:$B$4),MATCH(DATE($AV$1,MONTH($B$24),J$3),'Сводный годовой график'!$C$7:$AR$7)))</f>
        <v>8</v>
      </c>
      <c r="K28" s="92">
        <f ca="1">IF(AND(INDEX('Сводный годовой график'!$C$1:$AR$4,MATCH($C$28,'Сводный годовой график'!$B$1:$B$4),MATCH(DATE($AV$1,MONTH($B$24),K$3),'Сводный годовой график'!$C$7:$AR$7))&lt;&gt;12,INDIRECT(ADDRESS(ROW()+1,COLUMN()))="СП"),8,INDEX('Сводный годовой график'!$C$1:$AR$4,MATCH($C$28,'Сводный годовой график'!$B$1:$B$4),MATCH(DATE($AV$1,MONTH($B$24),K$3),'Сводный годовой график'!$C$7:$AR$7)))</f>
        <v>12</v>
      </c>
      <c r="L28" s="92">
        <f ca="1">IF(AND(INDEX('Сводный годовой график'!$C$1:$AR$4,MATCH($C$28,'Сводный годовой график'!$B$1:$B$4),MATCH(DATE($AV$1,MONTH($B$24),L$3),'Сводный годовой график'!$C$7:$AR$7))&lt;&gt;12,INDIRECT(ADDRESS(ROW()+1,COLUMN()))="СП"),8,INDEX('Сводный годовой график'!$C$1:$AR$4,MATCH($C$28,'Сводный годовой график'!$B$1:$B$4),MATCH(DATE($AV$1,MONTH($B$24),L$3),'Сводный годовой график'!$C$7:$AR$7)))</f>
        <v>0</v>
      </c>
      <c r="M28" s="92">
        <f ca="1">IF(AND(INDEX('Сводный годовой график'!$C$1:$AR$4,MATCH($C$28,'Сводный годовой график'!$B$1:$B$4),MATCH(DATE($AV$1,MONTH($B$24),M$3),'Сводный годовой график'!$C$7:$AR$7))&lt;&gt;12,INDIRECT(ADDRESS(ROW()+1,COLUMN()))="СП"),8,INDEX('Сводный годовой график'!$C$1:$AR$4,MATCH($C$28,'Сводный годовой график'!$B$1:$B$4),MATCH(DATE($AV$1,MONTH($B$24),M$3),'Сводный годовой график'!$C$7:$AR$7)))</f>
        <v>0</v>
      </c>
      <c r="N28" s="92">
        <f ca="1">IF(AND(INDEX('Сводный годовой график'!$C$1:$AR$4,MATCH($C$28,'Сводный годовой график'!$B$1:$B$4),MATCH(DATE($AV$1,MONTH($B$24),N$3),'Сводный годовой график'!$C$7:$AR$7))&lt;&gt;12,INDIRECT(ADDRESS(ROW()+1,COLUMN()))="СП"),8,INDEX('Сводный годовой график'!$C$1:$AR$4,MATCH($C$28,'Сводный годовой график'!$B$1:$B$4),MATCH(DATE($AV$1,MONTH($B$24),N$3),'Сводный годовой график'!$C$7:$AR$7)))</f>
        <v>4</v>
      </c>
      <c r="O28" s="92">
        <f ca="1">IF(AND(INDEX('Сводный годовой график'!$C$1:$AR$4,MATCH($C$28,'Сводный годовой график'!$B$1:$B$4),MATCH(DATE($AV$1,MONTH($B$24),O$3),'Сводный годовой график'!$C$7:$AR$7))&lt;&gt;12,INDIRECT(ADDRESS(ROW()+1,COLUMN()))="СП"),8,INDEX('Сводный годовой график'!$C$1:$AR$4,MATCH($C$28,'Сводный годовой график'!$B$1:$B$4),MATCH(DATE($AV$1,MONTH($B$24),O$3),'Сводный годовой график'!$C$7:$AR$7)))</f>
        <v>8</v>
      </c>
      <c r="P28" s="92">
        <f ca="1">IF(AND(INDEX('Сводный годовой график'!$C$1:$AR$4,MATCH($C$28,'Сводный годовой график'!$B$1:$B$4),MATCH(DATE($AV$1,MONTH($B$24),P$3),'Сводный годовой график'!$C$7:$AR$7))&lt;&gt;12,INDIRECT(ADDRESS(ROW()+1,COLUMN()))="СП"),8,INDEX('Сводный годовой график'!$C$1:$AR$4,MATCH($C$28,'Сводный годовой график'!$B$1:$B$4),MATCH(DATE($AV$1,MONTH($B$24),P$3),'Сводный годовой график'!$C$7:$AR$7)))</f>
        <v>12</v>
      </c>
      <c r="Q28" s="92">
        <f ca="1">IF(AND(INDEX('Сводный годовой график'!$C$1:$AR$4,MATCH($C$28,'Сводный годовой график'!$B$1:$B$4),MATCH(DATE($AV$1,MONTH($B$24),Q$3),'Сводный годовой график'!$C$7:$AR$7))&lt;&gt;12,INDIRECT(ADDRESS(ROW()+1,COLUMN()))="СП"),8,INDEX('Сводный годовой график'!$C$1:$AR$4,MATCH($C$28,'Сводный годовой график'!$B$1:$B$4),MATCH(DATE($AV$1,MONTH($B$24),Q$3),'Сводный годовой график'!$C$7:$AR$7)))</f>
        <v>4</v>
      </c>
      <c r="R28" s="92">
        <f ca="1">IF(AND(INDEX('Сводный годовой график'!$C$1:$AR$4,MATCH($C$28,'Сводный годовой график'!$B$1:$B$4),MATCH(DATE($AV$1,MONTH($B$24),R$3),'Сводный годовой график'!$C$7:$AR$7))&lt;&gt;12,INDIRECT(ADDRESS(ROW()+1,COLUMN()))="СП"),8,INDEX('Сводный годовой график'!$C$1:$AR$4,MATCH($C$28,'Сводный годовой график'!$B$1:$B$4),MATCH(DATE($AV$1,MONTH($B$24),R$3),'Сводный годовой график'!$C$7:$AR$7)))</f>
        <v>8</v>
      </c>
      <c r="S28" s="92">
        <f ca="1">IF(AND(INDEX('Сводный годовой график'!$C$1:$AR$4,MATCH($C$28,'Сводный годовой график'!$B$1:$B$4),MATCH(DATE($AV$1,MONTH($B$24),S$3),'Сводный годовой график'!$C$7:$AR$7))&lt;&gt;12,INDIRECT(ADDRESS(ROW()+1,COLUMN()))="СП"),8,INDEX('Сводный годовой график'!$C$1:$AR$4,MATCH($C$28,'Сводный годовой график'!$B$1:$B$4),MATCH(DATE($AV$1,MONTH($B$24),S$3),'Сводный годовой график'!$C$7:$AR$7)))</f>
        <v>12</v>
      </c>
      <c r="T28" s="92">
        <f ca="1">IF(AND(INDEX('Сводный годовой график'!$C$1:$AR$4,MATCH($C$28,'Сводный годовой график'!$B$1:$B$4),MATCH(DATE($AV$1,MONTH($B$24),T$3),'Сводный годовой график'!$C$7:$AR$7))&lt;&gt;12,INDIRECT(ADDRESS(ROW()+1,COLUMN()))="СП"),8,INDEX('Сводный годовой график'!$C$1:$AR$4,MATCH($C$28,'Сводный годовой график'!$B$1:$B$4),MATCH(DATE($AV$1,MONTH($B$24),T$3),'Сводный годовой график'!$C$7:$AR$7)))</f>
        <v>0</v>
      </c>
      <c r="U28" s="92">
        <f ca="1">IF(AND(INDEX('Сводный годовой график'!$C$1:$AR$4,MATCH($C$28,'Сводный годовой график'!$B$1:$B$4),MATCH(DATE($AV$1,MONTH($B$24),U$3),'Сводный годовой график'!$C$7:$AR$7))&lt;&gt;12,INDIRECT(ADDRESS(ROW()+1,COLUMN()))="СП"),8,INDEX('Сводный годовой график'!$C$1:$AR$4,MATCH($C$28,'Сводный годовой график'!$B$1:$B$4),MATCH(DATE($AV$1,MONTH($B$24),U$3),'Сводный годовой график'!$C$7:$AR$7)))</f>
        <v>0</v>
      </c>
      <c r="V28" s="92">
        <f ca="1">IF(AND(INDEX('Сводный годовой график'!$C$1:$AR$4,MATCH($C$28,'Сводный годовой график'!$B$1:$B$4),MATCH(DATE($AV$1,MONTH($B$24),V$3),'Сводный годовой график'!$C$7:$AR$7))&lt;&gt;12,INDIRECT(ADDRESS(ROW()+1,COLUMN()))="СП"),8,INDEX('Сводный годовой график'!$C$1:$AR$4,MATCH($C$28,'Сводный годовой график'!$B$1:$B$4),MATCH(DATE($AV$1,MONTH($B$24),V$3),'Сводный годовой график'!$C$7:$AR$7)))</f>
        <v>4</v>
      </c>
      <c r="W28" s="92">
        <f ca="1">IF(AND(INDEX('Сводный годовой график'!$C$1:$AR$4,MATCH($C$28,'Сводный годовой график'!$B$1:$B$4),MATCH(DATE($AV$1,MONTH($B$24),W$3),'Сводный годовой график'!$C$7:$AR$7))&lt;&gt;12,INDIRECT(ADDRESS(ROW()+1,COLUMN()))="СП"),8,INDEX('Сводный годовой график'!$C$1:$AR$4,MATCH($C$28,'Сводный годовой график'!$B$1:$B$4),MATCH(DATE($AV$1,MONTH($B$24),W$3),'Сводный годовой график'!$C$7:$AR$7)))</f>
        <v>8</v>
      </c>
      <c r="X28" s="92">
        <f ca="1">IF(AND(INDEX('Сводный годовой график'!$C$1:$AR$4,MATCH($C$28,'Сводный годовой график'!$B$1:$B$4),MATCH(DATE($AV$1,MONTH($B$24),X$3),'Сводный годовой график'!$C$7:$AR$7))&lt;&gt;12,INDIRECT(ADDRESS(ROW()+1,COLUMN()))="СП"),8,INDEX('Сводный годовой график'!$C$1:$AR$4,MATCH($C$28,'Сводный годовой график'!$B$1:$B$4),MATCH(DATE($AV$1,MONTH($B$24),X$3),'Сводный годовой график'!$C$7:$AR$7)))</f>
        <v>12</v>
      </c>
      <c r="Y28" s="92">
        <f ca="1">IF(AND(INDEX('Сводный годовой график'!$C$1:$AR$4,MATCH($C$28,'Сводный годовой график'!$B$1:$B$4),MATCH(DATE($AV$1,MONTH($B$24),Y$3),'Сводный годовой график'!$C$7:$AR$7))&lt;&gt;12,INDIRECT(ADDRESS(ROW()+1,COLUMN()))="СП"),8,INDEX('Сводный годовой график'!$C$1:$AR$4,MATCH($C$28,'Сводный годовой график'!$B$1:$B$4),MATCH(DATE($AV$1,MONTH($B$24),Y$3),'Сводный годовой график'!$C$7:$AR$7)))</f>
        <v>4</v>
      </c>
      <c r="Z28" s="92">
        <f ca="1">IF(AND(INDEX('Сводный годовой график'!$C$1:$AR$4,MATCH($C$28,'Сводный годовой график'!$B$1:$B$4),MATCH(DATE($AV$1,MONTH($B$24),Z$3),'Сводный годовой график'!$C$7:$AR$7))&lt;&gt;12,INDIRECT(ADDRESS(ROW()+1,COLUMN()))="СП"),8,INDEX('Сводный годовой график'!$C$1:$AR$4,MATCH($C$28,'Сводный годовой график'!$B$1:$B$4),MATCH(DATE($AV$1,MONTH($B$24),Z$3),'Сводный годовой график'!$C$7:$AR$7)))</f>
        <v>8</v>
      </c>
      <c r="AA28" s="92">
        <f ca="1">IF(AND(INDEX('Сводный годовой график'!$C$1:$AR$4,MATCH($C$28,'Сводный годовой график'!$B$1:$B$4),MATCH(DATE($AV$1,MONTH($B$24),AA$3),'Сводный годовой график'!$C$7:$AR$7))&lt;&gt;12,INDIRECT(ADDRESS(ROW()+1,COLUMN()))="СП"),8,INDEX('Сводный годовой график'!$C$1:$AR$4,MATCH($C$28,'Сводный годовой график'!$B$1:$B$4),MATCH(DATE($AV$1,MONTH($B$24),AA$3),'Сводный годовой график'!$C$7:$AR$7)))</f>
        <v>12</v>
      </c>
      <c r="AB28" s="92">
        <f ca="1">IF(AND(INDEX('Сводный годовой график'!$C$1:$AR$4,MATCH($C$28,'Сводный годовой график'!$B$1:$B$4),MATCH(DATE($AV$1,MONTH($B$24),AB$3),'Сводный годовой график'!$C$7:$AR$7))&lt;&gt;12,INDIRECT(ADDRESS(ROW()+1,COLUMN()))="СП"),8,INDEX('Сводный годовой график'!$C$1:$AR$4,MATCH($C$28,'Сводный годовой график'!$B$1:$B$4),MATCH(DATE($AV$1,MONTH($B$24),AB$3),'Сводный годовой график'!$C$7:$AR$7)))</f>
        <v>0</v>
      </c>
      <c r="AC28" s="92">
        <f ca="1">IF(AND(INDEX('Сводный годовой график'!$C$1:$AR$4,MATCH($C$28,'Сводный годовой график'!$B$1:$B$4),MATCH(DATE($AV$1,MONTH($B$24),AC$3),'Сводный годовой график'!$C$7:$AR$7))&lt;&gt;12,INDIRECT(ADDRESS(ROW()+1,COLUMN()))="СП"),8,INDEX('Сводный годовой график'!$C$1:$AR$4,MATCH($C$28,'Сводный годовой график'!$B$1:$B$4),MATCH(DATE($AV$1,MONTH($B$24),AC$3),'Сводный годовой график'!$C$7:$AR$7)))</f>
        <v>0</v>
      </c>
      <c r="AD28" s="92">
        <f ca="1">IF(AND(INDEX('Сводный годовой график'!$C$1:$AR$4,MATCH($C$28,'Сводный годовой график'!$B$1:$B$4),MATCH(DATE($AV$1,MONTH($B$24),AD$3),'Сводный годовой график'!$C$7:$AR$7))&lt;&gt;12,INDIRECT(ADDRESS(ROW()+1,COLUMN()))="СП"),8,INDEX('Сводный годовой график'!$C$1:$AR$4,MATCH($C$28,'Сводный годовой график'!$B$1:$B$4),MATCH(DATE($AV$1,MONTH($B$24),AD$3),'Сводный годовой график'!$C$7:$AR$7)))</f>
        <v>4</v>
      </c>
      <c r="AE28" s="92">
        <f ca="1">IF(AND(INDEX('Сводный годовой график'!$C$1:$AR$4,MATCH($C$28,'Сводный годовой график'!$B$1:$B$4),MATCH(DATE($AV$1,MONTH($B$24),AE$3),'Сводный годовой график'!$C$7:$AR$7))&lt;&gt;12,INDIRECT(ADDRESS(ROW()+1,COLUMN()))="СП"),8,INDEX('Сводный годовой график'!$C$1:$AR$4,MATCH($C$28,'Сводный годовой график'!$B$1:$B$4),MATCH(DATE($AV$1,MONTH($B$24),AE$3),'Сводный годовой график'!$C$7:$AR$7)))</f>
        <v>8</v>
      </c>
      <c r="AF28" s="92">
        <f ca="1">IF(AND(INDEX('Сводный годовой график'!$C$1:$AR$4,MATCH($C$28,'Сводный годовой график'!$B$1:$B$4),MATCH(DATE($AV$1,MONTH($B$24),AF$3),'Сводный годовой график'!$C$7:$AR$7))&lt;&gt;12,INDIRECT(ADDRESS(ROW()+1,COLUMN()))="СП"),8,INDEX('Сводный годовой график'!$C$1:$AR$4,MATCH($C$28,'Сводный годовой график'!$B$1:$B$4),MATCH(DATE($AV$1,MONTH($B$24),AF$3),'Сводный годовой график'!$C$7:$AR$7)))</f>
        <v>12</v>
      </c>
      <c r="AG28" s="92">
        <f ca="1">IF(AND(INDEX('Сводный годовой график'!$C$1:$AR$4,MATCH($C$28,'Сводный годовой график'!$B$1:$B$4),MATCH(DATE($AV$1,MONTH($B$24),AG$3),'Сводный годовой график'!$C$7:$AR$7))&lt;&gt;12,INDIRECT(ADDRESS(ROW()+1,COLUMN()))="СП"),8,INDEX('Сводный годовой график'!$C$1:$AR$4,MATCH($C$28,'Сводный годовой график'!$B$1:$B$4),MATCH(DATE($AV$1,MONTH($B$24),AG$3),'Сводный годовой график'!$C$7:$AR$7)))</f>
        <v>4</v>
      </c>
      <c r="AH28" s="92">
        <f ca="1">IF(AND(INDEX('Сводный годовой график'!$C$1:$AR$4,MATCH($C$28,'Сводный годовой график'!$B$1:$B$4),MATCH(DATE($AV$1,MONTH($B$24),AH$3),'Сводный годовой график'!$C$7:$AR$7))&lt;&gt;12,INDIRECT(ADDRESS(ROW()+1,COLUMN()))="СП"),8,INDEX('Сводный годовой график'!$C$1:$AR$4,MATCH($C$28,'Сводный годовой график'!$B$1:$B$4),MATCH(DATE($AV$1,MONTH($B$24),AH$3),'Сводный годовой график'!$C$7:$AR$7)))</f>
        <v>8</v>
      </c>
      <c r="AI28" s="97">
        <f ca="1">IF(AND(INDEX('Сводный годовой график'!$C$1:$AR$4,MATCH($C$28,'Сводный годовой график'!$B$1:$B$4),MATCH(DATE($AV$1,MONTH($B$24),AI$3),'Сводный годовой график'!$C$7:$AR$7))&lt;&gt;12,INDIRECT(ADDRESS(ROW()+1,COLUMN()))="СП"),8,INDEX('Сводный годовой график'!$C$1:$AR$4,MATCH($C$28,'Сводный годовой график'!$B$1:$B$4),MATCH(DATE($AV$1,MONTH($B$24),AI$3),'Сводный годовой график'!$C$7:$AR$7)))</f>
        <v>12</v>
      </c>
      <c r="AJ28" s="206"/>
      <c r="AK28" s="209">
        <f>$AJ$24-SUM(AY28:CC29)</f>
        <v>167</v>
      </c>
      <c r="AL28" s="209">
        <f t="shared" ref="AL28" ca="1" si="45">SUM(E28:AI29)</f>
        <v>196</v>
      </c>
      <c r="AM28" s="209">
        <f ca="1">SUM(L28)</f>
        <v>0</v>
      </c>
      <c r="AN28" s="211">
        <f t="shared" ref="AN28" ca="1" si="46">-AM28-AK28+AL28</f>
        <v>29</v>
      </c>
      <c r="AO28" s="211">
        <v>0</v>
      </c>
      <c r="AP28" s="211">
        <f ca="1">AN28+AP18-AO28</f>
        <v>17</v>
      </c>
      <c r="AQ28" s="209">
        <v>0</v>
      </c>
      <c r="AR28" s="210">
        <v>1</v>
      </c>
      <c r="CK28" s="59"/>
      <c r="CL28" s="59"/>
      <c r="CM28" s="59"/>
      <c r="CN28" s="59"/>
      <c r="CO28" s="59"/>
      <c r="CP28" s="59"/>
      <c r="CQ28" s="59"/>
      <c r="CR28" s="59"/>
      <c r="CS28" s="59"/>
      <c r="CT28" s="59"/>
      <c r="CU28" s="59"/>
      <c r="CV28" s="59"/>
      <c r="CW28" s="59"/>
      <c r="CX28" s="59"/>
      <c r="CY28" s="59"/>
      <c r="CZ28" s="59"/>
      <c r="DA28" s="59"/>
      <c r="DB28" s="59"/>
      <c r="DC28" s="59"/>
      <c r="DD28" s="59"/>
      <c r="DE28" s="59"/>
      <c r="DF28" s="59"/>
      <c r="DG28" s="59"/>
      <c r="DH28" s="59"/>
      <c r="DI28" s="59"/>
      <c r="DJ28" s="59"/>
      <c r="DK28" s="59"/>
      <c r="DL28" s="59"/>
      <c r="DM28" s="59"/>
      <c r="DN28" s="59"/>
      <c r="DO28" s="59"/>
    </row>
    <row r="29" spans="2:119" ht="16.5" thickBot="1" x14ac:dyDescent="0.3">
      <c r="B29" s="201"/>
      <c r="C29" s="197"/>
      <c r="D29" s="82">
        <v>6</v>
      </c>
      <c r="E29" s="92" t="str">
        <f t="shared" ref="E29:AI29" si="47">IF(INDEX($CK$4:$DO$123,ROW()-3,E$3)=0,"","СП")</f>
        <v/>
      </c>
      <c r="F29" s="92" t="str">
        <f t="shared" si="47"/>
        <v/>
      </c>
      <c r="G29" s="92" t="str">
        <f t="shared" si="47"/>
        <v/>
      </c>
      <c r="H29" s="92" t="str">
        <f t="shared" si="47"/>
        <v/>
      </c>
      <c r="I29" s="92" t="str">
        <f t="shared" si="47"/>
        <v>СП</v>
      </c>
      <c r="J29" s="92" t="str">
        <f t="shared" si="47"/>
        <v/>
      </c>
      <c r="K29" s="92" t="str">
        <f t="shared" si="47"/>
        <v/>
      </c>
      <c r="L29" s="92" t="str">
        <f t="shared" si="47"/>
        <v/>
      </c>
      <c r="M29" s="92" t="str">
        <f t="shared" si="47"/>
        <v/>
      </c>
      <c r="N29" s="92" t="str">
        <f t="shared" si="47"/>
        <v/>
      </c>
      <c r="O29" s="92" t="str">
        <f t="shared" si="47"/>
        <v/>
      </c>
      <c r="P29" s="92" t="str">
        <f t="shared" si="47"/>
        <v/>
      </c>
      <c r="Q29" s="92" t="str">
        <f t="shared" si="47"/>
        <v/>
      </c>
      <c r="R29" s="92" t="str">
        <f t="shared" si="47"/>
        <v/>
      </c>
      <c r="S29" s="92" t="str">
        <f t="shared" si="47"/>
        <v/>
      </c>
      <c r="T29" s="92" t="str">
        <f t="shared" si="47"/>
        <v/>
      </c>
      <c r="U29" s="92" t="str">
        <f t="shared" si="47"/>
        <v/>
      </c>
      <c r="V29" s="92" t="str">
        <f t="shared" si="47"/>
        <v/>
      </c>
      <c r="W29" s="92" t="str">
        <f t="shared" si="47"/>
        <v/>
      </c>
      <c r="X29" s="92" t="str">
        <f t="shared" si="47"/>
        <v/>
      </c>
      <c r="Y29" s="92" t="str">
        <f t="shared" si="47"/>
        <v/>
      </c>
      <c r="Z29" s="92" t="str">
        <f t="shared" si="47"/>
        <v/>
      </c>
      <c r="AA29" s="92" t="str">
        <f t="shared" si="47"/>
        <v/>
      </c>
      <c r="AB29" s="92" t="str">
        <f t="shared" si="47"/>
        <v/>
      </c>
      <c r="AC29" s="92" t="str">
        <f t="shared" si="47"/>
        <v/>
      </c>
      <c r="AD29" s="92" t="str">
        <f t="shared" si="47"/>
        <v/>
      </c>
      <c r="AE29" s="92" t="str">
        <f t="shared" si="47"/>
        <v/>
      </c>
      <c r="AF29" s="92" t="str">
        <f t="shared" si="47"/>
        <v/>
      </c>
      <c r="AG29" s="92" t="str">
        <f t="shared" si="47"/>
        <v/>
      </c>
      <c r="AH29" s="92" t="str">
        <f t="shared" si="47"/>
        <v/>
      </c>
      <c r="AI29" s="97" t="str">
        <f t="shared" si="47"/>
        <v/>
      </c>
      <c r="AJ29" s="206"/>
      <c r="AK29" s="209"/>
      <c r="AL29" s="209"/>
      <c r="AM29" s="209"/>
      <c r="AN29" s="211"/>
      <c r="AO29" s="211"/>
      <c r="AP29" s="211"/>
      <c r="AQ29" s="209"/>
      <c r="AR29" s="210"/>
      <c r="CK29" s="58">
        <f>IF(DAY(INDEX('Сводный годовой график'!$BA$4:$BL$14,$C28,MONTH($B$24)))=E$3,1,0)</f>
        <v>0</v>
      </c>
      <c r="CL29" s="58">
        <f>IF(DAY(INDEX('Сводный годовой график'!$BA$4:$BL$14,$C28,MONTH($B$24)))=F$3,1,0)</f>
        <v>0</v>
      </c>
      <c r="CM29" s="58">
        <f>IF(DAY(INDEX('Сводный годовой график'!$BA$4:$BL$14,$C28,MONTH($B$24)))=G$3,1,0)</f>
        <v>0</v>
      </c>
      <c r="CN29" s="58">
        <f>IF(DAY(INDEX('Сводный годовой график'!$BA$4:$BL$14,$C28,MONTH($B$24)))=H$3,1,0)</f>
        <v>0</v>
      </c>
      <c r="CO29" s="58">
        <f>IF(DAY(INDEX('Сводный годовой график'!$BA$4:$BL$14,$C28,MONTH($B$24)))=I$3,1,0)</f>
        <v>1</v>
      </c>
      <c r="CP29" s="58">
        <f>IF(DAY(INDEX('Сводный годовой график'!$BA$4:$BL$14,$C28,MONTH($B$24)))=J$3,1,0)</f>
        <v>0</v>
      </c>
      <c r="CQ29" s="58">
        <f>IF(DAY(INDEX('Сводный годовой график'!$BA$4:$BL$14,$C28,MONTH($B$24)))=K$3,1,0)</f>
        <v>0</v>
      </c>
      <c r="CR29" s="58">
        <f>IF(DAY(INDEX('Сводный годовой график'!$BA$4:$BL$14,$C28,MONTH($B$24)))=L$3,1,0)</f>
        <v>0</v>
      </c>
      <c r="CS29" s="58">
        <f>IF(DAY(INDEX('Сводный годовой график'!$BA$4:$BL$14,$C28,MONTH($B$24)))=M$3,1,0)</f>
        <v>0</v>
      </c>
      <c r="CT29" s="58">
        <f>IF(DAY(INDEX('Сводный годовой график'!$BA$4:$BL$14,$C28,MONTH($B$24)))=N$3,1,0)</f>
        <v>0</v>
      </c>
      <c r="CU29" s="58">
        <f>IF(DAY(INDEX('Сводный годовой график'!$BA$4:$BL$14,$C28,MONTH($B$24)))=O$3,1,0)</f>
        <v>0</v>
      </c>
      <c r="CV29" s="58">
        <f>IF(DAY(INDEX('Сводный годовой график'!$BA$4:$BL$14,$C28,MONTH($B$24)))=P$3,1,0)</f>
        <v>0</v>
      </c>
      <c r="CW29" s="58">
        <f>IF(DAY(INDEX('Сводный годовой график'!$BA$4:$BL$14,$C28,MONTH($B$24)))=Q$3,1,0)</f>
        <v>0</v>
      </c>
      <c r="CX29" s="58">
        <f>IF(DAY(INDEX('Сводный годовой график'!$BA$4:$BL$14,$C28,MONTH($B$24)))=R$3,1,0)</f>
        <v>0</v>
      </c>
      <c r="CY29" s="58">
        <f>IF(DAY(INDEX('Сводный годовой график'!$BA$4:$BL$14,$C28,MONTH($B$24)))=S$3,1,0)</f>
        <v>0</v>
      </c>
      <c r="CZ29" s="58">
        <f>IF(DAY(INDEX('Сводный годовой график'!$BA$4:$BL$14,$C28,MONTH($B$24)))=T$3,1,0)</f>
        <v>0</v>
      </c>
      <c r="DA29" s="58">
        <f>IF(DAY(INDEX('Сводный годовой график'!$BA$4:$BL$14,$C28,MONTH($B$24)))=U$3,1,0)</f>
        <v>0</v>
      </c>
      <c r="DB29" s="58">
        <f>IF(DAY(INDEX('Сводный годовой график'!$BA$4:$BL$14,$C28,MONTH($B$24)))=V$3,1,0)</f>
        <v>0</v>
      </c>
      <c r="DC29" s="58">
        <f>IF(DAY(INDEX('Сводный годовой график'!$BA$4:$BL$14,$C28,MONTH($B$24)))=W$3,1,0)</f>
        <v>0</v>
      </c>
      <c r="DD29" s="58">
        <f>IF(DAY(INDEX('Сводный годовой график'!$BA$4:$BL$14,$C28,MONTH($B$24)))=X$3,1,0)</f>
        <v>0</v>
      </c>
      <c r="DE29" s="58">
        <f>IF(DAY(INDEX('Сводный годовой график'!$BA$4:$BL$14,$C28,MONTH($B$24)))=Y$3,1,0)</f>
        <v>0</v>
      </c>
      <c r="DF29" s="58">
        <f>IF(DAY(INDEX('Сводный годовой график'!$BA$4:$BL$14,$C28,MONTH($B$24)))=Z$3,1,0)</f>
        <v>0</v>
      </c>
      <c r="DG29" s="58">
        <f>IF(DAY(INDEX('Сводный годовой график'!$BA$4:$BL$14,$C28,MONTH($B$24)))=AA$3,1,0)</f>
        <v>0</v>
      </c>
      <c r="DH29" s="58">
        <f>IF(DAY(INDEX('Сводный годовой график'!$BA$4:$BL$14,$C28,MONTH($B$24)))=AB$3,1,0)</f>
        <v>0</v>
      </c>
      <c r="DI29" s="58">
        <f>IF(DAY(INDEX('Сводный годовой график'!$BA$4:$BL$14,$C28,MONTH($B$24)))=AC$3,1,0)</f>
        <v>0</v>
      </c>
      <c r="DJ29" s="58">
        <f>IF(DAY(INDEX('Сводный годовой график'!$BA$4:$BL$14,$C28,MONTH($B$24)))=AD$3,1,0)</f>
        <v>0</v>
      </c>
      <c r="DK29" s="58">
        <f>IF(DAY(INDEX('Сводный годовой график'!$BA$4:$BL$14,$C28,MONTH($B$24)))=AE$3,1,0)</f>
        <v>0</v>
      </c>
      <c r="DL29" s="58">
        <f>IF(DAY(INDEX('Сводный годовой график'!$BA$4:$BL$14,$C28,MONTH($B$24)))=AF$3,1,0)</f>
        <v>0</v>
      </c>
      <c r="DM29" s="58">
        <f>IF(DAY(INDEX('Сводный годовой график'!$BA$4:$BL$14,$C28,MONTH($B$24)))=AG$3,1,0)</f>
        <v>0</v>
      </c>
      <c r="DN29" s="58">
        <f>IF(DAY(INDEX('Сводный годовой график'!$BA$4:$BL$14,$C28,MONTH($B$24)))=AH$3,1,0)</f>
        <v>0</v>
      </c>
      <c r="DO29" s="58">
        <f>IF(DAY(INDEX('Сводный годовой график'!$BA$4:$BL$14,$C28,MONTH($B$24)))=AI$3,1,0)</f>
        <v>0</v>
      </c>
    </row>
    <row r="30" spans="2:119" ht="16.5" thickBot="1" x14ac:dyDescent="0.3">
      <c r="B30" s="201"/>
      <c r="C30" s="196">
        <v>4</v>
      </c>
      <c r="D30" s="81">
        <v>7</v>
      </c>
      <c r="E30" s="92">
        <f ca="1">IF(AND(INDEX('Сводный годовой график'!$C$1:$AR$4,MATCH($C$30,'Сводный годовой график'!$B$1:$B$4),MATCH(DATE($AV$1,MONTH($B$24),E$3),'Сводный годовой график'!$C$7:$AR$7))&lt;&gt;12,INDIRECT(ADDRESS(ROW()+1,COLUMN()))="СП"),8,INDEX('Сводный годовой график'!$C$1:$AR$4,MATCH($C$30,'Сводный годовой график'!$B$1:$B$4),MATCH(DATE($AV$1,MONTH($B$24),E$3),'Сводный годовой график'!$C$7:$AR$7)))</f>
        <v>12</v>
      </c>
      <c r="F30" s="92">
        <f ca="1">IF(AND(INDEX('Сводный годовой график'!$C$1:$AR$4,MATCH($C$30,'Сводный годовой график'!$B$1:$B$4),MATCH(DATE($AV$1,MONTH($B$24),F$3),'Сводный годовой график'!$C$7:$AR$7))&lt;&gt;12,INDIRECT(ADDRESS(ROW()+1,COLUMN()))="СП"),8,INDEX('Сводный годовой график'!$C$1:$AR$4,MATCH($C$30,'Сводный годовой график'!$B$1:$B$4),MATCH(DATE($AV$1,MONTH($B$24),F$3),'Сводный годовой график'!$C$7:$AR$7)))</f>
        <v>0</v>
      </c>
      <c r="G30" s="92">
        <f ca="1">IF(AND(INDEX('Сводный годовой график'!$C$1:$AR$4,MATCH($C$30,'Сводный годовой график'!$B$1:$B$4),MATCH(DATE($AV$1,MONTH($B$24),G$3),'Сводный годовой график'!$C$7:$AR$7))&lt;&gt;12,INDIRECT(ADDRESS(ROW()+1,COLUMN()))="СП"),8,INDEX('Сводный годовой график'!$C$1:$AR$4,MATCH($C$30,'Сводный годовой график'!$B$1:$B$4),MATCH(DATE($AV$1,MONTH($B$24),G$3),'Сводный годовой график'!$C$7:$AR$7)))</f>
        <v>0</v>
      </c>
      <c r="H30" s="92">
        <f ca="1">IF(AND(INDEX('Сводный годовой график'!$C$1:$AR$4,MATCH($C$30,'Сводный годовой график'!$B$1:$B$4),MATCH(DATE($AV$1,MONTH($B$24),H$3),'Сводный годовой график'!$C$7:$AR$7))&lt;&gt;12,INDIRECT(ADDRESS(ROW()+1,COLUMN()))="СП"),8,INDEX('Сводный годовой график'!$C$1:$AR$4,MATCH($C$30,'Сводный годовой график'!$B$1:$B$4),MATCH(DATE($AV$1,MONTH($B$24),H$3),'Сводный годовой график'!$C$7:$AR$7)))</f>
        <v>4</v>
      </c>
      <c r="I30" s="92">
        <f ca="1">IF(AND(INDEX('Сводный годовой график'!$C$1:$AR$4,MATCH($C$30,'Сводный годовой график'!$B$1:$B$4),MATCH(DATE($AV$1,MONTH($B$24),I$3),'Сводный годовой график'!$C$7:$AR$7))&lt;&gt;12,INDIRECT(ADDRESS(ROW()+1,COLUMN()))="СП"),8,INDEX('Сводный годовой график'!$C$1:$AR$4,MATCH($C$30,'Сводный годовой график'!$B$1:$B$4),MATCH(DATE($AV$1,MONTH($B$24),I$3),'Сводный годовой график'!$C$7:$AR$7)))</f>
        <v>8</v>
      </c>
      <c r="J30" s="92">
        <f ca="1">IF(AND(INDEX('Сводный годовой график'!$C$1:$AR$4,MATCH($C$30,'Сводный годовой график'!$B$1:$B$4),MATCH(DATE($AV$1,MONTH($B$24),J$3),'Сводный годовой график'!$C$7:$AR$7))&lt;&gt;12,INDIRECT(ADDRESS(ROW()+1,COLUMN()))="СП"),8,INDEX('Сводный годовой график'!$C$1:$AR$4,MATCH($C$30,'Сводный годовой график'!$B$1:$B$4),MATCH(DATE($AV$1,MONTH($B$24),J$3),'Сводный годовой график'!$C$7:$AR$7)))</f>
        <v>12</v>
      </c>
      <c r="K30" s="92">
        <f ca="1">IF(AND(INDEX('Сводный годовой график'!$C$1:$AR$4,MATCH($C$30,'Сводный годовой график'!$B$1:$B$4),MATCH(DATE($AV$1,MONTH($B$24),K$3),'Сводный годовой график'!$C$7:$AR$7))&lt;&gt;12,INDIRECT(ADDRESS(ROW()+1,COLUMN()))="СП"),8,INDEX('Сводный годовой график'!$C$1:$AR$4,MATCH($C$30,'Сводный годовой график'!$B$1:$B$4),MATCH(DATE($AV$1,MONTH($B$24),K$3),'Сводный годовой график'!$C$7:$AR$7)))</f>
        <v>4</v>
      </c>
      <c r="L30" s="92">
        <f ca="1">IF(AND(INDEX('Сводный годовой график'!$C$1:$AR$4,MATCH($C$30,'Сводный годовой график'!$B$1:$B$4),MATCH(DATE($AV$1,MONTH($B$24),L$3),'Сводный годовой график'!$C$7:$AR$7))&lt;&gt;12,INDIRECT(ADDRESS(ROW()+1,COLUMN()))="СП"),8,INDEX('Сводный годовой график'!$C$1:$AR$4,MATCH($C$30,'Сводный годовой график'!$B$1:$B$4),MATCH(DATE($AV$1,MONTH($B$24),L$3),'Сводный годовой график'!$C$7:$AR$7)))</f>
        <v>8</v>
      </c>
      <c r="M30" s="92">
        <f ca="1">IF(AND(INDEX('Сводный годовой график'!$C$1:$AR$4,MATCH($C$30,'Сводный годовой график'!$B$1:$B$4),MATCH(DATE($AV$1,MONTH($B$24),M$3),'Сводный годовой график'!$C$7:$AR$7))&lt;&gt;12,INDIRECT(ADDRESS(ROW()+1,COLUMN()))="СП"),8,INDEX('Сводный годовой график'!$C$1:$AR$4,MATCH($C$30,'Сводный годовой график'!$B$1:$B$4),MATCH(DATE($AV$1,MONTH($B$24),M$3),'Сводный годовой график'!$C$7:$AR$7)))</f>
        <v>12</v>
      </c>
      <c r="N30" s="92">
        <f ca="1">IF(AND(INDEX('Сводный годовой график'!$C$1:$AR$4,MATCH($C$30,'Сводный годовой график'!$B$1:$B$4),MATCH(DATE($AV$1,MONTH($B$24),N$3),'Сводный годовой график'!$C$7:$AR$7))&lt;&gt;12,INDIRECT(ADDRESS(ROW()+1,COLUMN()))="СП"),8,INDEX('Сводный годовой график'!$C$1:$AR$4,MATCH($C$30,'Сводный годовой график'!$B$1:$B$4),MATCH(DATE($AV$1,MONTH($B$24),N$3),'Сводный годовой график'!$C$7:$AR$7)))</f>
        <v>0</v>
      </c>
      <c r="O30" s="92">
        <f ca="1">IF(AND(INDEX('Сводный годовой график'!$C$1:$AR$4,MATCH($C$30,'Сводный годовой график'!$B$1:$B$4),MATCH(DATE($AV$1,MONTH($B$24),O$3),'Сводный годовой график'!$C$7:$AR$7))&lt;&gt;12,INDIRECT(ADDRESS(ROW()+1,COLUMN()))="СП"),8,INDEX('Сводный годовой график'!$C$1:$AR$4,MATCH($C$30,'Сводный годовой график'!$B$1:$B$4),MATCH(DATE($AV$1,MONTH($B$24),O$3),'Сводный годовой график'!$C$7:$AR$7)))</f>
        <v>0</v>
      </c>
      <c r="P30" s="92">
        <f ca="1">IF(AND(INDEX('Сводный годовой график'!$C$1:$AR$4,MATCH($C$30,'Сводный годовой график'!$B$1:$B$4),MATCH(DATE($AV$1,MONTH($B$24),P$3),'Сводный годовой график'!$C$7:$AR$7))&lt;&gt;12,INDIRECT(ADDRESS(ROW()+1,COLUMN()))="СП"),8,INDEX('Сводный годовой график'!$C$1:$AR$4,MATCH($C$30,'Сводный годовой график'!$B$1:$B$4),MATCH(DATE($AV$1,MONTH($B$24),P$3),'Сводный годовой график'!$C$7:$AR$7)))</f>
        <v>4</v>
      </c>
      <c r="Q30" s="92">
        <f ca="1">IF(AND(INDEX('Сводный годовой график'!$C$1:$AR$4,MATCH($C$30,'Сводный годовой график'!$B$1:$B$4),MATCH(DATE($AV$1,MONTH($B$24),Q$3),'Сводный годовой график'!$C$7:$AR$7))&lt;&gt;12,INDIRECT(ADDRESS(ROW()+1,COLUMN()))="СП"),8,INDEX('Сводный годовой график'!$C$1:$AR$4,MATCH($C$30,'Сводный годовой график'!$B$1:$B$4),MATCH(DATE($AV$1,MONTH($B$24),Q$3),'Сводный годовой график'!$C$7:$AR$7)))</f>
        <v>8</v>
      </c>
      <c r="R30" s="92">
        <f ca="1">IF(AND(INDEX('Сводный годовой график'!$C$1:$AR$4,MATCH($C$30,'Сводный годовой график'!$B$1:$B$4),MATCH(DATE($AV$1,MONTH($B$24),R$3),'Сводный годовой график'!$C$7:$AR$7))&lt;&gt;12,INDIRECT(ADDRESS(ROW()+1,COLUMN()))="СП"),8,INDEX('Сводный годовой график'!$C$1:$AR$4,MATCH($C$30,'Сводный годовой график'!$B$1:$B$4),MATCH(DATE($AV$1,MONTH($B$24),R$3),'Сводный годовой график'!$C$7:$AR$7)))</f>
        <v>12</v>
      </c>
      <c r="S30" s="92">
        <f ca="1">IF(AND(INDEX('Сводный годовой график'!$C$1:$AR$4,MATCH($C$30,'Сводный годовой график'!$B$1:$B$4),MATCH(DATE($AV$1,MONTH($B$24),S$3),'Сводный годовой график'!$C$7:$AR$7))&lt;&gt;12,INDIRECT(ADDRESS(ROW()+1,COLUMN()))="СП"),8,INDEX('Сводный годовой график'!$C$1:$AR$4,MATCH($C$30,'Сводный годовой график'!$B$1:$B$4),MATCH(DATE($AV$1,MONTH($B$24),S$3),'Сводный годовой график'!$C$7:$AR$7)))</f>
        <v>4</v>
      </c>
      <c r="T30" s="92">
        <f ca="1">IF(AND(INDEX('Сводный годовой график'!$C$1:$AR$4,MATCH($C$30,'Сводный годовой график'!$B$1:$B$4),MATCH(DATE($AV$1,MONTH($B$24),T$3),'Сводный годовой график'!$C$7:$AR$7))&lt;&gt;12,INDIRECT(ADDRESS(ROW()+1,COLUMN()))="СП"),8,INDEX('Сводный годовой график'!$C$1:$AR$4,MATCH($C$30,'Сводный годовой график'!$B$1:$B$4),MATCH(DATE($AV$1,MONTH($B$24),T$3),'Сводный годовой график'!$C$7:$AR$7)))</f>
        <v>8</v>
      </c>
      <c r="U30" s="92">
        <f ca="1">IF(AND(INDEX('Сводный годовой график'!$C$1:$AR$4,MATCH($C$30,'Сводный годовой график'!$B$1:$B$4),MATCH(DATE($AV$1,MONTH($B$24),U$3),'Сводный годовой график'!$C$7:$AR$7))&lt;&gt;12,INDIRECT(ADDRESS(ROW()+1,COLUMN()))="СП"),8,INDEX('Сводный годовой график'!$C$1:$AR$4,MATCH($C$30,'Сводный годовой график'!$B$1:$B$4),MATCH(DATE($AV$1,MONTH($B$24),U$3),'Сводный годовой график'!$C$7:$AR$7)))</f>
        <v>12</v>
      </c>
      <c r="V30" s="92">
        <f ca="1">IF(AND(INDEX('Сводный годовой график'!$C$1:$AR$4,MATCH($C$30,'Сводный годовой график'!$B$1:$B$4),MATCH(DATE($AV$1,MONTH($B$24),V$3),'Сводный годовой график'!$C$7:$AR$7))&lt;&gt;12,INDIRECT(ADDRESS(ROW()+1,COLUMN()))="СП"),8,INDEX('Сводный годовой график'!$C$1:$AR$4,MATCH($C$30,'Сводный годовой график'!$B$1:$B$4),MATCH(DATE($AV$1,MONTH($B$24),V$3),'Сводный годовой график'!$C$7:$AR$7)))</f>
        <v>0</v>
      </c>
      <c r="W30" s="92">
        <f ca="1">IF(AND(INDEX('Сводный годовой график'!$C$1:$AR$4,MATCH($C$30,'Сводный годовой график'!$B$1:$B$4),MATCH(DATE($AV$1,MONTH($B$24),W$3),'Сводный годовой график'!$C$7:$AR$7))&lt;&gt;12,INDIRECT(ADDRESS(ROW()+1,COLUMN()))="СП"),8,INDEX('Сводный годовой график'!$C$1:$AR$4,MATCH($C$30,'Сводный годовой график'!$B$1:$B$4),MATCH(DATE($AV$1,MONTH($B$24),W$3),'Сводный годовой график'!$C$7:$AR$7)))</f>
        <v>0</v>
      </c>
      <c r="X30" s="92">
        <f ca="1">IF(AND(INDEX('Сводный годовой график'!$C$1:$AR$4,MATCH($C$30,'Сводный годовой график'!$B$1:$B$4),MATCH(DATE($AV$1,MONTH($B$24),X$3),'Сводный годовой график'!$C$7:$AR$7))&lt;&gt;12,INDIRECT(ADDRESS(ROW()+1,COLUMN()))="СП"),8,INDEX('Сводный годовой график'!$C$1:$AR$4,MATCH($C$30,'Сводный годовой график'!$B$1:$B$4),MATCH(DATE($AV$1,MONTH($B$24),X$3),'Сводный годовой график'!$C$7:$AR$7)))</f>
        <v>4</v>
      </c>
      <c r="Y30" s="92">
        <f ca="1">IF(AND(INDEX('Сводный годовой график'!$C$1:$AR$4,MATCH($C$30,'Сводный годовой график'!$B$1:$B$4),MATCH(DATE($AV$1,MONTH($B$24),Y$3),'Сводный годовой график'!$C$7:$AR$7))&lt;&gt;12,INDIRECT(ADDRESS(ROW()+1,COLUMN()))="СП"),8,INDEX('Сводный годовой график'!$C$1:$AR$4,MATCH($C$30,'Сводный годовой график'!$B$1:$B$4),MATCH(DATE($AV$1,MONTH($B$24),Y$3),'Сводный годовой график'!$C$7:$AR$7)))</f>
        <v>8</v>
      </c>
      <c r="Z30" s="92">
        <f ca="1">IF(AND(INDEX('Сводный годовой график'!$C$1:$AR$4,MATCH($C$30,'Сводный годовой график'!$B$1:$B$4),MATCH(DATE($AV$1,MONTH($B$24),Z$3),'Сводный годовой график'!$C$7:$AR$7))&lt;&gt;12,INDIRECT(ADDRESS(ROW()+1,COLUMN()))="СП"),8,INDEX('Сводный годовой график'!$C$1:$AR$4,MATCH($C$30,'Сводный годовой график'!$B$1:$B$4),MATCH(DATE($AV$1,MONTH($B$24),Z$3),'Сводный годовой график'!$C$7:$AR$7)))</f>
        <v>12</v>
      </c>
      <c r="AA30" s="92">
        <f ca="1">IF(AND(INDEX('Сводный годовой график'!$C$1:$AR$4,MATCH($C$30,'Сводный годовой график'!$B$1:$B$4),MATCH(DATE($AV$1,MONTH($B$24),AA$3),'Сводный годовой график'!$C$7:$AR$7))&lt;&gt;12,INDIRECT(ADDRESS(ROW()+1,COLUMN()))="СП"),8,INDEX('Сводный годовой график'!$C$1:$AR$4,MATCH($C$30,'Сводный годовой график'!$B$1:$B$4),MATCH(DATE($AV$1,MONTH($B$24),AA$3),'Сводный годовой график'!$C$7:$AR$7)))</f>
        <v>4</v>
      </c>
      <c r="AB30" s="92">
        <f ca="1">IF(AND(INDEX('Сводный годовой график'!$C$1:$AR$4,MATCH($C$30,'Сводный годовой график'!$B$1:$B$4),MATCH(DATE($AV$1,MONTH($B$24),AB$3),'Сводный годовой график'!$C$7:$AR$7))&lt;&gt;12,INDIRECT(ADDRESS(ROW()+1,COLUMN()))="СП"),8,INDEX('Сводный годовой график'!$C$1:$AR$4,MATCH($C$30,'Сводный годовой график'!$B$1:$B$4),MATCH(DATE($AV$1,MONTH($B$24),AB$3),'Сводный годовой график'!$C$7:$AR$7)))</f>
        <v>8</v>
      </c>
      <c r="AC30" s="92">
        <f ca="1">IF(AND(INDEX('Сводный годовой график'!$C$1:$AR$4,MATCH($C$30,'Сводный годовой график'!$B$1:$B$4),MATCH(DATE($AV$1,MONTH($B$24),AC$3),'Сводный годовой график'!$C$7:$AR$7))&lt;&gt;12,INDIRECT(ADDRESS(ROW()+1,COLUMN()))="СП"),8,INDEX('Сводный годовой график'!$C$1:$AR$4,MATCH($C$30,'Сводный годовой график'!$B$1:$B$4),MATCH(DATE($AV$1,MONTH($B$24),AC$3),'Сводный годовой график'!$C$7:$AR$7)))</f>
        <v>12</v>
      </c>
      <c r="AD30" s="92">
        <f ca="1">IF(AND(INDEX('Сводный годовой график'!$C$1:$AR$4,MATCH($C$30,'Сводный годовой график'!$B$1:$B$4),MATCH(DATE($AV$1,MONTH($B$24),AD$3),'Сводный годовой график'!$C$7:$AR$7))&lt;&gt;12,INDIRECT(ADDRESS(ROW()+1,COLUMN()))="СП"),8,INDEX('Сводный годовой график'!$C$1:$AR$4,MATCH($C$30,'Сводный годовой график'!$B$1:$B$4),MATCH(DATE($AV$1,MONTH($B$24),AD$3),'Сводный годовой график'!$C$7:$AR$7)))</f>
        <v>0</v>
      </c>
      <c r="AE30" s="92">
        <f ca="1">IF(AND(INDEX('Сводный годовой график'!$C$1:$AR$4,MATCH($C$30,'Сводный годовой график'!$B$1:$B$4),MATCH(DATE($AV$1,MONTH($B$24),AE$3),'Сводный годовой график'!$C$7:$AR$7))&lt;&gt;12,INDIRECT(ADDRESS(ROW()+1,COLUMN()))="СП"),8,INDEX('Сводный годовой график'!$C$1:$AR$4,MATCH($C$30,'Сводный годовой график'!$B$1:$B$4),MATCH(DATE($AV$1,MONTH($B$24),AE$3),'Сводный годовой график'!$C$7:$AR$7)))</f>
        <v>0</v>
      </c>
      <c r="AF30" s="92">
        <f ca="1">IF(AND(INDEX('Сводный годовой график'!$C$1:$AR$4,MATCH($C$30,'Сводный годовой график'!$B$1:$B$4),MATCH(DATE($AV$1,MONTH($B$24),AF$3),'Сводный годовой график'!$C$7:$AR$7))&lt;&gt;12,INDIRECT(ADDRESS(ROW()+1,COLUMN()))="СП"),8,INDEX('Сводный годовой график'!$C$1:$AR$4,MATCH($C$30,'Сводный годовой график'!$B$1:$B$4),MATCH(DATE($AV$1,MONTH($B$24),AF$3),'Сводный годовой график'!$C$7:$AR$7)))</f>
        <v>4</v>
      </c>
      <c r="AG30" s="92">
        <f ca="1">IF(AND(INDEX('Сводный годовой график'!$C$1:$AR$4,MATCH($C$30,'Сводный годовой график'!$B$1:$B$4),MATCH(DATE($AV$1,MONTH($B$24),AG$3),'Сводный годовой график'!$C$7:$AR$7))&lt;&gt;12,INDIRECT(ADDRESS(ROW()+1,COLUMN()))="СП"),8,INDEX('Сводный годовой график'!$C$1:$AR$4,MATCH($C$30,'Сводный годовой график'!$B$1:$B$4),MATCH(DATE($AV$1,MONTH($B$24),AG$3),'Сводный годовой график'!$C$7:$AR$7)))</f>
        <v>8</v>
      </c>
      <c r="AH30" s="92">
        <f ca="1">IF(AND(INDEX('Сводный годовой график'!$C$1:$AR$4,MATCH($C$30,'Сводный годовой график'!$B$1:$B$4),MATCH(DATE($AV$1,MONTH($B$24),AH$3),'Сводный годовой график'!$C$7:$AR$7))&lt;&gt;12,INDIRECT(ADDRESS(ROW()+1,COLUMN()))="СП"),8,INDEX('Сводный годовой график'!$C$1:$AR$4,MATCH($C$30,'Сводный годовой график'!$B$1:$B$4),MATCH(DATE($AV$1,MONTH($B$24),AH$3),'Сводный годовой график'!$C$7:$AR$7)))</f>
        <v>12</v>
      </c>
      <c r="AI30" s="97">
        <f ca="1">IF(AND(INDEX('Сводный годовой график'!$C$1:$AR$4,MATCH($C$30,'Сводный годовой график'!$B$1:$B$4),MATCH(DATE($AV$1,MONTH($B$24),AI$3),'Сводный годовой график'!$C$7:$AR$7))&lt;&gt;12,INDIRECT(ADDRESS(ROW()+1,COLUMN()))="СП"),8,INDEX('Сводный годовой график'!$C$1:$AR$4,MATCH($C$30,'Сводный годовой график'!$B$1:$B$4),MATCH(DATE($AV$1,MONTH($B$24),AI$3),'Сводный годовой график'!$C$7:$AR$7)))</f>
        <v>4</v>
      </c>
      <c r="AJ30" s="206"/>
      <c r="AK30" s="209">
        <f>$AJ$24-SUM(AY30:CC31)</f>
        <v>167</v>
      </c>
      <c r="AL30" s="209">
        <f t="shared" ref="AL30" ca="1" si="48">SUM(E30:AI31)</f>
        <v>184</v>
      </c>
      <c r="AM30" s="209">
        <f ca="1">SUM(L30)</f>
        <v>8</v>
      </c>
      <c r="AN30" s="211">
        <f t="shared" ref="AN30" ca="1" si="49">-AM30-AK30+AL30</f>
        <v>9</v>
      </c>
      <c r="AO30" s="211">
        <v>0</v>
      </c>
      <c r="AP30" s="211">
        <f ca="1">AN30+AP20-AO30</f>
        <v>25</v>
      </c>
      <c r="AQ30" s="209">
        <v>0</v>
      </c>
      <c r="AR30" s="210">
        <v>1</v>
      </c>
      <c r="CK30" s="59"/>
      <c r="CL30" s="59"/>
      <c r="CM30" s="59"/>
      <c r="CN30" s="59"/>
      <c r="CO30" s="59"/>
      <c r="CP30" s="59"/>
      <c r="CQ30" s="59"/>
      <c r="CR30" s="59"/>
      <c r="CS30" s="59"/>
      <c r="CT30" s="59"/>
      <c r="CU30" s="59"/>
      <c r="CV30" s="59"/>
      <c r="CW30" s="59"/>
      <c r="CX30" s="59"/>
      <c r="CY30" s="59"/>
      <c r="CZ30" s="59"/>
      <c r="DA30" s="59"/>
      <c r="DB30" s="59"/>
      <c r="DC30" s="59"/>
      <c r="DD30" s="59"/>
      <c r="DE30" s="59"/>
      <c r="DF30" s="59"/>
      <c r="DG30" s="59"/>
      <c r="DH30" s="59"/>
      <c r="DI30" s="59"/>
      <c r="DJ30" s="59"/>
      <c r="DK30" s="59"/>
      <c r="DL30" s="59"/>
      <c r="DM30" s="59"/>
      <c r="DN30" s="59"/>
      <c r="DO30" s="59"/>
    </row>
    <row r="31" spans="2:119" ht="16.5" thickBot="1" x14ac:dyDescent="0.3">
      <c r="B31" s="201"/>
      <c r="C31" s="197"/>
      <c r="D31" s="82">
        <v>8</v>
      </c>
      <c r="E31" s="92" t="str">
        <f t="shared" ref="E31:AI31" si="50">IF(INDEX($CK$4:$DO$123,ROW()-3,E$3)=0,"","СП")</f>
        <v/>
      </c>
      <c r="F31" s="92" t="str">
        <f t="shared" si="50"/>
        <v/>
      </c>
      <c r="G31" s="92" t="str">
        <f t="shared" si="50"/>
        <v/>
      </c>
      <c r="H31" s="92" t="str">
        <f t="shared" si="50"/>
        <v/>
      </c>
      <c r="I31" s="92" t="str">
        <f t="shared" si="50"/>
        <v/>
      </c>
      <c r="J31" s="92" t="str">
        <f t="shared" si="50"/>
        <v>СП</v>
      </c>
      <c r="K31" s="92" t="str">
        <f t="shared" si="50"/>
        <v/>
      </c>
      <c r="L31" s="92" t="str">
        <f t="shared" si="50"/>
        <v/>
      </c>
      <c r="M31" s="92" t="str">
        <f t="shared" si="50"/>
        <v/>
      </c>
      <c r="N31" s="92" t="str">
        <f t="shared" si="50"/>
        <v/>
      </c>
      <c r="O31" s="92" t="str">
        <f t="shared" si="50"/>
        <v/>
      </c>
      <c r="P31" s="92" t="str">
        <f t="shared" si="50"/>
        <v/>
      </c>
      <c r="Q31" s="92" t="str">
        <f t="shared" si="50"/>
        <v/>
      </c>
      <c r="R31" s="92" t="str">
        <f t="shared" si="50"/>
        <v/>
      </c>
      <c r="S31" s="92" t="str">
        <f t="shared" si="50"/>
        <v/>
      </c>
      <c r="T31" s="92" t="str">
        <f t="shared" si="50"/>
        <v/>
      </c>
      <c r="U31" s="92" t="str">
        <f t="shared" si="50"/>
        <v/>
      </c>
      <c r="V31" s="92" t="str">
        <f t="shared" si="50"/>
        <v/>
      </c>
      <c r="W31" s="92" t="str">
        <f t="shared" si="50"/>
        <v/>
      </c>
      <c r="X31" s="92" t="str">
        <f t="shared" si="50"/>
        <v/>
      </c>
      <c r="Y31" s="92" t="str">
        <f t="shared" si="50"/>
        <v/>
      </c>
      <c r="Z31" s="92" t="str">
        <f t="shared" si="50"/>
        <v/>
      </c>
      <c r="AA31" s="92" t="str">
        <f t="shared" si="50"/>
        <v/>
      </c>
      <c r="AB31" s="92" t="str">
        <f t="shared" si="50"/>
        <v/>
      </c>
      <c r="AC31" s="92" t="str">
        <f t="shared" si="50"/>
        <v/>
      </c>
      <c r="AD31" s="92" t="str">
        <f t="shared" si="50"/>
        <v/>
      </c>
      <c r="AE31" s="92" t="str">
        <f t="shared" si="50"/>
        <v/>
      </c>
      <c r="AF31" s="92" t="str">
        <f t="shared" si="50"/>
        <v/>
      </c>
      <c r="AG31" s="92" t="str">
        <f t="shared" si="50"/>
        <v/>
      </c>
      <c r="AH31" s="92" t="str">
        <f t="shared" si="50"/>
        <v/>
      </c>
      <c r="AI31" s="97" t="str">
        <f t="shared" si="50"/>
        <v/>
      </c>
      <c r="AJ31" s="206"/>
      <c r="AK31" s="209"/>
      <c r="AL31" s="209"/>
      <c r="AM31" s="209"/>
      <c r="AN31" s="211"/>
      <c r="AO31" s="211"/>
      <c r="AP31" s="211"/>
      <c r="AQ31" s="209"/>
      <c r="AR31" s="210"/>
      <c r="CK31" s="58">
        <f>IF(DAY(INDEX('Сводный годовой график'!$BA$4:$BL$14,$C30,MONTH($B$24)))=E$3,1,0)</f>
        <v>0</v>
      </c>
      <c r="CL31" s="58">
        <f>IF(DAY(INDEX('Сводный годовой график'!$BA$4:$BL$14,$C30,MONTH($B$24)))=F$3,1,0)</f>
        <v>0</v>
      </c>
      <c r="CM31" s="58">
        <f>IF(DAY(INDEX('Сводный годовой график'!$BA$4:$BL$14,$C30,MONTH($B$24)))=G$3,1,0)</f>
        <v>0</v>
      </c>
      <c r="CN31" s="58">
        <f>IF(DAY(INDEX('Сводный годовой график'!$BA$4:$BL$14,$C30,MONTH($B$24)))=H$3,1,0)</f>
        <v>0</v>
      </c>
      <c r="CO31" s="58">
        <f>IF(DAY(INDEX('Сводный годовой график'!$BA$4:$BL$14,$C30,MONTH($B$24)))=I$3,1,0)</f>
        <v>0</v>
      </c>
      <c r="CP31" s="58">
        <f>IF(DAY(INDEX('Сводный годовой график'!$BA$4:$BL$14,$C30,MONTH($B$24)))=J$3,1,0)</f>
        <v>1</v>
      </c>
      <c r="CQ31" s="58">
        <f>IF(DAY(INDEX('Сводный годовой график'!$BA$4:$BL$14,$C30,MONTH($B$24)))=K$3,1,0)</f>
        <v>0</v>
      </c>
      <c r="CR31" s="58">
        <f>IF(DAY(INDEX('Сводный годовой график'!$BA$4:$BL$14,$C30,MONTH($B$24)))=L$3,1,0)</f>
        <v>0</v>
      </c>
      <c r="CS31" s="58">
        <f>IF(DAY(INDEX('Сводный годовой график'!$BA$4:$BL$14,$C30,MONTH($B$24)))=M$3,1,0)</f>
        <v>0</v>
      </c>
      <c r="CT31" s="58">
        <f>IF(DAY(INDEX('Сводный годовой график'!$BA$4:$BL$14,$C30,MONTH($B$24)))=N$3,1,0)</f>
        <v>0</v>
      </c>
      <c r="CU31" s="58">
        <f>IF(DAY(INDEX('Сводный годовой график'!$BA$4:$BL$14,$C30,MONTH($B$24)))=O$3,1,0)</f>
        <v>0</v>
      </c>
      <c r="CV31" s="58">
        <f>IF(DAY(INDEX('Сводный годовой график'!$BA$4:$BL$14,$C30,MONTH($B$24)))=P$3,1,0)</f>
        <v>0</v>
      </c>
      <c r="CW31" s="58">
        <f>IF(DAY(INDEX('Сводный годовой график'!$BA$4:$BL$14,$C30,MONTH($B$24)))=Q$3,1,0)</f>
        <v>0</v>
      </c>
      <c r="CX31" s="58">
        <f>IF(DAY(INDEX('Сводный годовой график'!$BA$4:$BL$14,$C30,MONTH($B$24)))=R$3,1,0)</f>
        <v>0</v>
      </c>
      <c r="CY31" s="58">
        <f>IF(DAY(INDEX('Сводный годовой график'!$BA$4:$BL$14,$C30,MONTH($B$24)))=S$3,1,0)</f>
        <v>0</v>
      </c>
      <c r="CZ31" s="58">
        <f>IF(DAY(INDEX('Сводный годовой график'!$BA$4:$BL$14,$C30,MONTH($B$24)))=T$3,1,0)</f>
        <v>0</v>
      </c>
      <c r="DA31" s="58">
        <f>IF(DAY(INDEX('Сводный годовой график'!$BA$4:$BL$14,$C30,MONTH($B$24)))=U$3,1,0)</f>
        <v>0</v>
      </c>
      <c r="DB31" s="58">
        <f>IF(DAY(INDEX('Сводный годовой график'!$BA$4:$BL$14,$C30,MONTH($B$24)))=V$3,1,0)</f>
        <v>0</v>
      </c>
      <c r="DC31" s="58">
        <f>IF(DAY(INDEX('Сводный годовой график'!$BA$4:$BL$14,$C30,MONTH($B$24)))=W$3,1,0)</f>
        <v>0</v>
      </c>
      <c r="DD31" s="58">
        <f>IF(DAY(INDEX('Сводный годовой график'!$BA$4:$BL$14,$C30,MONTH($B$24)))=X$3,1,0)</f>
        <v>0</v>
      </c>
      <c r="DE31" s="58">
        <f>IF(DAY(INDEX('Сводный годовой график'!$BA$4:$BL$14,$C30,MONTH($B$24)))=Y$3,1,0)</f>
        <v>0</v>
      </c>
      <c r="DF31" s="58">
        <f>IF(DAY(INDEX('Сводный годовой график'!$BA$4:$BL$14,$C30,MONTH($B$24)))=Z$3,1,0)</f>
        <v>0</v>
      </c>
      <c r="DG31" s="58">
        <f>IF(DAY(INDEX('Сводный годовой график'!$BA$4:$BL$14,$C30,MONTH($B$24)))=AA$3,1,0)</f>
        <v>0</v>
      </c>
      <c r="DH31" s="58">
        <f>IF(DAY(INDEX('Сводный годовой график'!$BA$4:$BL$14,$C30,MONTH($B$24)))=AB$3,1,0)</f>
        <v>0</v>
      </c>
      <c r="DI31" s="58">
        <f>IF(DAY(INDEX('Сводный годовой график'!$BA$4:$BL$14,$C30,MONTH($B$24)))=AC$3,1,0)</f>
        <v>0</v>
      </c>
      <c r="DJ31" s="58">
        <f>IF(DAY(INDEX('Сводный годовой график'!$BA$4:$BL$14,$C30,MONTH($B$24)))=AD$3,1,0)</f>
        <v>0</v>
      </c>
      <c r="DK31" s="58">
        <f>IF(DAY(INDEX('Сводный годовой график'!$BA$4:$BL$14,$C30,MONTH($B$24)))=AE$3,1,0)</f>
        <v>0</v>
      </c>
      <c r="DL31" s="58">
        <f>IF(DAY(INDEX('Сводный годовой график'!$BA$4:$BL$14,$C30,MONTH($B$24)))=AF$3,1,0)</f>
        <v>0</v>
      </c>
      <c r="DM31" s="58">
        <f>IF(DAY(INDEX('Сводный годовой график'!$BA$4:$BL$14,$C30,MONTH($B$24)))=AG$3,1,0)</f>
        <v>0</v>
      </c>
      <c r="DN31" s="58">
        <f>IF(DAY(INDEX('Сводный годовой график'!$BA$4:$BL$14,$C30,MONTH($B$24)))=AH$3,1,0)</f>
        <v>0</v>
      </c>
      <c r="DO31" s="58">
        <f>IF(DAY(INDEX('Сводный годовой график'!$BA$4:$BL$14,$C30,MONTH($B$24)))=AI$3,1,0)</f>
        <v>0</v>
      </c>
    </row>
    <row r="32" spans="2:119" ht="16.5" thickBot="1" x14ac:dyDescent="0.3">
      <c r="B32" s="201"/>
      <c r="C32" s="196">
        <v>5</v>
      </c>
      <c r="D32" s="81">
        <v>9</v>
      </c>
      <c r="E32" s="92" t="s">
        <v>36</v>
      </c>
      <c r="F32" s="92" t="s">
        <v>36</v>
      </c>
      <c r="G32" s="92" t="s">
        <v>36</v>
      </c>
      <c r="H32" s="92" t="s">
        <v>36</v>
      </c>
      <c r="I32" s="92" t="s">
        <v>36</v>
      </c>
      <c r="J32" s="92" t="s">
        <v>36</v>
      </c>
      <c r="K32" s="92" t="s">
        <v>36</v>
      </c>
      <c r="L32" s="92" t="s">
        <v>36</v>
      </c>
      <c r="M32" s="92" t="s">
        <v>36</v>
      </c>
      <c r="N32" s="92" t="s">
        <v>36</v>
      </c>
      <c r="O32" s="92" t="s">
        <v>36</v>
      </c>
      <c r="P32" s="92" t="s">
        <v>36</v>
      </c>
      <c r="Q32" s="92" t="s">
        <v>36</v>
      </c>
      <c r="R32" s="92" t="s">
        <v>36</v>
      </c>
      <c r="S32" s="92" t="s">
        <v>36</v>
      </c>
      <c r="T32" s="92" t="s">
        <v>36</v>
      </c>
      <c r="U32" s="92" t="s">
        <v>36</v>
      </c>
      <c r="V32" s="92" t="s">
        <v>36</v>
      </c>
      <c r="W32" s="92" t="s">
        <v>36</v>
      </c>
      <c r="X32" s="92" t="s">
        <v>36</v>
      </c>
      <c r="Y32" s="92" t="s">
        <v>36</v>
      </c>
      <c r="Z32" s="92" t="s">
        <v>36</v>
      </c>
      <c r="AA32" s="92" t="s">
        <v>36</v>
      </c>
      <c r="AB32" s="92" t="s">
        <v>36</v>
      </c>
      <c r="AC32" s="92" t="s">
        <v>36</v>
      </c>
      <c r="AD32" s="92" t="s">
        <v>36</v>
      </c>
      <c r="AE32" s="92" t="s">
        <v>36</v>
      </c>
      <c r="AF32" s="92" t="s">
        <v>36</v>
      </c>
      <c r="AG32" s="92" t="s">
        <v>36</v>
      </c>
      <c r="AH32" s="92" t="s">
        <v>36</v>
      </c>
      <c r="AI32" s="97" t="s">
        <v>36</v>
      </c>
      <c r="AJ32" s="206"/>
      <c r="AK32" s="209">
        <f>$AJ$24-SUM(AY32:CC33)</f>
        <v>167</v>
      </c>
      <c r="AL32" s="209">
        <f t="shared" ref="AL32" si="51">SUM(E32:AI33)</f>
        <v>0</v>
      </c>
      <c r="AM32" s="209">
        <f>SUM(L32)</f>
        <v>0</v>
      </c>
      <c r="AN32" s="211">
        <f t="shared" ref="AN32" si="52">-AM32-AK32+AL32</f>
        <v>-167</v>
      </c>
      <c r="AO32" s="211">
        <v>12</v>
      </c>
      <c r="AP32" s="211">
        <f>AN32+AP22-AO32</f>
        <v>-475</v>
      </c>
      <c r="AQ32" s="209">
        <v>0</v>
      </c>
      <c r="AR32" s="210">
        <v>1</v>
      </c>
      <c r="CK32" s="59"/>
      <c r="CL32" s="59"/>
      <c r="CM32" s="59"/>
      <c r="CN32" s="59"/>
      <c r="CO32" s="59"/>
      <c r="CP32" s="59"/>
      <c r="CQ32" s="59"/>
      <c r="CR32" s="59"/>
      <c r="CS32" s="59"/>
      <c r="CT32" s="59"/>
      <c r="CU32" s="59"/>
      <c r="CV32" s="59"/>
      <c r="CW32" s="59"/>
      <c r="CX32" s="59"/>
      <c r="CY32" s="59"/>
      <c r="CZ32" s="59"/>
      <c r="DA32" s="59"/>
      <c r="DB32" s="59"/>
      <c r="DC32" s="59"/>
      <c r="DD32" s="59"/>
      <c r="DE32" s="59"/>
      <c r="DF32" s="59"/>
      <c r="DG32" s="59"/>
      <c r="DH32" s="59"/>
      <c r="DI32" s="59"/>
      <c r="DJ32" s="59"/>
      <c r="DK32" s="59"/>
      <c r="DL32" s="59"/>
      <c r="DM32" s="59"/>
      <c r="DN32" s="59"/>
      <c r="DO32" s="59"/>
    </row>
    <row r="33" spans="2:119" ht="16.5" thickBot="1" x14ac:dyDescent="0.3">
      <c r="B33" s="202"/>
      <c r="C33" s="197"/>
      <c r="D33" s="82">
        <v>10</v>
      </c>
      <c r="E33" s="29" t="str">
        <f t="shared" ref="E33:AI33" si="53">IF(INDEX($CK$4:$DO$123,ROW()-3,E$3)=0,"","СП")</f>
        <v/>
      </c>
      <c r="F33" s="29" t="str">
        <f t="shared" si="53"/>
        <v/>
      </c>
      <c r="G33" s="29" t="str">
        <f t="shared" si="53"/>
        <v/>
      </c>
      <c r="H33" s="29" t="str">
        <f t="shared" si="53"/>
        <v/>
      </c>
      <c r="I33" s="29" t="str">
        <f t="shared" si="53"/>
        <v/>
      </c>
      <c r="J33" s="29" t="str">
        <f t="shared" si="53"/>
        <v/>
      </c>
      <c r="K33" s="29" t="str">
        <f t="shared" si="53"/>
        <v>СП</v>
      </c>
      <c r="L33" s="29" t="str">
        <f t="shared" si="53"/>
        <v/>
      </c>
      <c r="M33" s="29" t="str">
        <f t="shared" si="53"/>
        <v/>
      </c>
      <c r="N33" s="29" t="str">
        <f t="shared" si="53"/>
        <v/>
      </c>
      <c r="O33" s="29" t="str">
        <f t="shared" si="53"/>
        <v/>
      </c>
      <c r="P33" s="29" t="str">
        <f t="shared" si="53"/>
        <v/>
      </c>
      <c r="Q33" s="29" t="str">
        <f t="shared" si="53"/>
        <v/>
      </c>
      <c r="R33" s="29" t="str">
        <f t="shared" si="53"/>
        <v/>
      </c>
      <c r="S33" s="29" t="str">
        <f t="shared" si="53"/>
        <v/>
      </c>
      <c r="T33" s="29" t="str">
        <f t="shared" si="53"/>
        <v/>
      </c>
      <c r="U33" s="29" t="str">
        <f t="shared" si="53"/>
        <v/>
      </c>
      <c r="V33" s="29" t="str">
        <f t="shared" si="53"/>
        <v/>
      </c>
      <c r="W33" s="29" t="str">
        <f t="shared" si="53"/>
        <v/>
      </c>
      <c r="X33" s="29" t="str">
        <f t="shared" si="53"/>
        <v/>
      </c>
      <c r="Y33" s="29" t="str">
        <f t="shared" si="53"/>
        <v/>
      </c>
      <c r="Z33" s="29" t="str">
        <f t="shared" si="53"/>
        <v/>
      </c>
      <c r="AA33" s="29" t="str">
        <f t="shared" si="53"/>
        <v/>
      </c>
      <c r="AB33" s="29" t="str">
        <f t="shared" si="53"/>
        <v/>
      </c>
      <c r="AC33" s="29" t="str">
        <f t="shared" si="53"/>
        <v/>
      </c>
      <c r="AD33" s="29" t="str">
        <f t="shared" si="53"/>
        <v/>
      </c>
      <c r="AE33" s="29" t="str">
        <f t="shared" si="53"/>
        <v/>
      </c>
      <c r="AF33" s="29" t="str">
        <f t="shared" si="53"/>
        <v/>
      </c>
      <c r="AG33" s="29" t="str">
        <f t="shared" si="53"/>
        <v/>
      </c>
      <c r="AH33" s="29" t="str">
        <f t="shared" si="53"/>
        <v/>
      </c>
      <c r="AI33" s="85" t="str">
        <f t="shared" si="53"/>
        <v/>
      </c>
      <c r="AJ33" s="207"/>
      <c r="AK33" s="213"/>
      <c r="AL33" s="213"/>
      <c r="AM33" s="213"/>
      <c r="AN33" s="214"/>
      <c r="AO33" s="214"/>
      <c r="AP33" s="214"/>
      <c r="AQ33" s="213"/>
      <c r="AR33" s="215"/>
      <c r="CK33" s="58">
        <f>IF(DAY(INDEX('Сводный годовой график'!$BA$4:$BL$14,$C32,MONTH($B$24)))=E$3,1,0)</f>
        <v>0</v>
      </c>
      <c r="CL33" s="58">
        <f>IF(DAY(INDEX('Сводный годовой график'!$BA$4:$BL$14,$C32,MONTH($B$24)))=F$3,1,0)</f>
        <v>0</v>
      </c>
      <c r="CM33" s="58">
        <f>IF(DAY(INDEX('Сводный годовой график'!$BA$4:$BL$14,$C32,MONTH($B$24)))=G$3,1,0)</f>
        <v>0</v>
      </c>
      <c r="CN33" s="58">
        <f>IF(DAY(INDEX('Сводный годовой график'!$BA$4:$BL$14,$C32,MONTH($B$24)))=H$3,1,0)</f>
        <v>0</v>
      </c>
      <c r="CO33" s="58">
        <f>IF(DAY(INDEX('Сводный годовой график'!$BA$4:$BL$14,$C32,MONTH($B$24)))=I$3,1,0)</f>
        <v>0</v>
      </c>
      <c r="CP33" s="58">
        <f>IF(DAY(INDEX('Сводный годовой график'!$BA$4:$BL$14,$C32,MONTH($B$24)))=J$3,1,0)</f>
        <v>0</v>
      </c>
      <c r="CQ33" s="58">
        <f>IF(DAY(INDEX('Сводный годовой график'!$BA$4:$BL$14,$C32,MONTH($B$24)))=K$3,1,0)</f>
        <v>1</v>
      </c>
      <c r="CR33" s="58">
        <f>IF(DAY(INDEX('Сводный годовой график'!$BA$4:$BL$14,$C32,MONTH($B$24)))=L$3,1,0)</f>
        <v>0</v>
      </c>
      <c r="CS33" s="58">
        <f>IF(DAY(INDEX('Сводный годовой график'!$BA$4:$BL$14,$C32,MONTH($B$24)))=M$3,1,0)</f>
        <v>0</v>
      </c>
      <c r="CT33" s="58">
        <f>IF(DAY(INDEX('Сводный годовой график'!$BA$4:$BL$14,$C32,MONTH($B$24)))=N$3,1,0)</f>
        <v>0</v>
      </c>
      <c r="CU33" s="58">
        <f>IF(DAY(INDEX('Сводный годовой график'!$BA$4:$BL$14,$C32,MONTH($B$24)))=O$3,1,0)</f>
        <v>0</v>
      </c>
      <c r="CV33" s="58">
        <f>IF(DAY(INDEX('Сводный годовой график'!$BA$4:$BL$14,$C32,MONTH($B$24)))=P$3,1,0)</f>
        <v>0</v>
      </c>
      <c r="CW33" s="58">
        <f>IF(DAY(INDEX('Сводный годовой график'!$BA$4:$BL$14,$C32,MONTH($B$24)))=Q$3,1,0)</f>
        <v>0</v>
      </c>
      <c r="CX33" s="58">
        <f>IF(DAY(INDEX('Сводный годовой график'!$BA$4:$BL$14,$C32,MONTH($B$24)))=R$3,1,0)</f>
        <v>0</v>
      </c>
      <c r="CY33" s="58">
        <f>IF(DAY(INDEX('Сводный годовой график'!$BA$4:$BL$14,$C32,MONTH($B$24)))=S$3,1,0)</f>
        <v>0</v>
      </c>
      <c r="CZ33" s="58">
        <f>IF(DAY(INDEX('Сводный годовой график'!$BA$4:$BL$14,$C32,MONTH($B$24)))=T$3,1,0)</f>
        <v>0</v>
      </c>
      <c r="DA33" s="58">
        <f>IF(DAY(INDEX('Сводный годовой график'!$BA$4:$BL$14,$C32,MONTH($B$24)))=U$3,1,0)</f>
        <v>0</v>
      </c>
      <c r="DB33" s="58">
        <f>IF(DAY(INDEX('Сводный годовой график'!$BA$4:$BL$14,$C32,MONTH($B$24)))=V$3,1,0)</f>
        <v>0</v>
      </c>
      <c r="DC33" s="58">
        <f>IF(DAY(INDEX('Сводный годовой график'!$BA$4:$BL$14,$C32,MONTH($B$24)))=W$3,1,0)</f>
        <v>0</v>
      </c>
      <c r="DD33" s="58">
        <f>IF(DAY(INDEX('Сводный годовой график'!$BA$4:$BL$14,$C32,MONTH($B$24)))=X$3,1,0)</f>
        <v>0</v>
      </c>
      <c r="DE33" s="58">
        <f>IF(DAY(INDEX('Сводный годовой график'!$BA$4:$BL$14,$C32,MONTH($B$24)))=Y$3,1,0)</f>
        <v>0</v>
      </c>
      <c r="DF33" s="58">
        <f>IF(DAY(INDEX('Сводный годовой график'!$BA$4:$BL$14,$C32,MONTH($B$24)))=Z$3,1,0)</f>
        <v>0</v>
      </c>
      <c r="DG33" s="58">
        <f>IF(DAY(INDEX('Сводный годовой график'!$BA$4:$BL$14,$C32,MONTH($B$24)))=AA$3,1,0)</f>
        <v>0</v>
      </c>
      <c r="DH33" s="58">
        <f>IF(DAY(INDEX('Сводный годовой график'!$BA$4:$BL$14,$C32,MONTH($B$24)))=AB$3,1,0)</f>
        <v>0</v>
      </c>
      <c r="DI33" s="58">
        <f>IF(DAY(INDEX('Сводный годовой график'!$BA$4:$BL$14,$C32,MONTH($B$24)))=AC$3,1,0)</f>
        <v>0</v>
      </c>
      <c r="DJ33" s="58">
        <f>IF(DAY(INDEX('Сводный годовой график'!$BA$4:$BL$14,$C32,MONTH($B$24)))=AD$3,1,0)</f>
        <v>0</v>
      </c>
      <c r="DK33" s="58">
        <f>IF(DAY(INDEX('Сводный годовой график'!$BA$4:$BL$14,$C32,MONTH($B$24)))=AE$3,1,0)</f>
        <v>0</v>
      </c>
      <c r="DL33" s="58">
        <f>IF(DAY(INDEX('Сводный годовой график'!$BA$4:$BL$14,$C32,MONTH($B$24)))=AF$3,1,0)</f>
        <v>0</v>
      </c>
      <c r="DM33" s="58">
        <f>IF(DAY(INDEX('Сводный годовой график'!$BA$4:$BL$14,$C32,MONTH($B$24)))=AG$3,1,0)</f>
        <v>0</v>
      </c>
      <c r="DN33" s="58">
        <f>IF(DAY(INDEX('Сводный годовой график'!$BA$4:$BL$14,$C32,MONTH($B$24)))=AH$3,1,0)</f>
        <v>0</v>
      </c>
      <c r="DO33" s="58">
        <f>IF(DAY(INDEX('Сводный годовой график'!$BA$4:$BL$14,$C32,MONTH($B$24)))=AI$3,1,0)</f>
        <v>0</v>
      </c>
    </row>
    <row r="34" spans="2:119" ht="17.25" customHeight="1" thickTop="1" thickBot="1" x14ac:dyDescent="0.3">
      <c r="B34" s="200">
        <f>DATE($AV$1,4,1)</f>
        <v>45748</v>
      </c>
      <c r="C34" s="196">
        <v>1</v>
      </c>
      <c r="D34" s="81">
        <v>1</v>
      </c>
      <c r="E34" s="28">
        <f ca="1">IF(AND(INDEX('Сводный годовой график'!$C$1:$AR$4,MATCH($C$34,'Сводный годовой график'!$B$1:$B$4),MATCH(DATE($AV$1,MONTH($B$34),E$3),'Сводный годовой график'!$C$8:$AR$8))&lt;&gt;12,INDIRECT(ADDRESS(ROW()+1,COLUMN()))="СП"),8,INDEX('Сводный годовой график'!$C$1:$AR$4,MATCH($C$34,'Сводный годовой график'!$B$1:$B$4),MATCH(DATE($AV$1,MONTH($B$34),E$3),'Сводный годовой график'!$C$8:$AR$8)))</f>
        <v>4</v>
      </c>
      <c r="F34" s="28">
        <f ca="1">IF(AND(INDEX('Сводный годовой график'!$C$1:$AR$4,MATCH($C$34,'Сводный годовой график'!$B$1:$B$4),MATCH(DATE($AV$1,MONTH($B$34),F$3),'Сводный годовой график'!$C$8:$AR$8))&lt;&gt;12,INDIRECT(ADDRESS(ROW()+1,COLUMN()))="СП"),8,INDEX('Сводный годовой график'!$C$1:$AR$4,MATCH($C$34,'Сводный годовой график'!$B$1:$B$4),MATCH(DATE($AV$1,MONTH($B$34),F$3),'Сводный годовой график'!$C$8:$AR$8)))</f>
        <v>8</v>
      </c>
      <c r="G34" s="28">
        <f ca="1">IF(AND(INDEX('Сводный годовой график'!$C$1:$AR$4,MATCH($C$34,'Сводный годовой график'!$B$1:$B$4),MATCH(DATE($AV$1,MONTH($B$34),G$3),'Сводный годовой график'!$C$8:$AR$8))&lt;&gt;12,INDIRECT(ADDRESS(ROW()+1,COLUMN()))="СП"),8,INDEX('Сводный годовой график'!$C$1:$AR$4,MATCH($C$34,'Сводный годовой график'!$B$1:$B$4),MATCH(DATE($AV$1,MONTH($B$34),G$3),'Сводный годовой график'!$C$8:$AR$8)))</f>
        <v>12</v>
      </c>
      <c r="H34" s="28">
        <f ca="1">IF(AND(INDEX('Сводный годовой график'!$C$1:$AR$4,MATCH($C$34,'Сводный годовой график'!$B$1:$B$4),MATCH(DATE($AV$1,MONTH($B$34),H$3),'Сводный годовой график'!$C$8:$AR$8))&lt;&gt;12,INDIRECT(ADDRESS(ROW()+1,COLUMN()))="СП"),8,INDEX('Сводный годовой график'!$C$1:$AR$4,MATCH($C$34,'Сводный годовой график'!$B$1:$B$4),MATCH(DATE($AV$1,MONTH($B$34),H$3),'Сводный годовой график'!$C$8:$AR$8)))</f>
        <v>8</v>
      </c>
      <c r="I34" s="28">
        <f ca="1">IF(AND(INDEX('Сводный годовой график'!$C$1:$AR$4,MATCH($C$34,'Сводный годовой график'!$B$1:$B$4),MATCH(DATE($AV$1,MONTH($B$34),I$3),'Сводный годовой график'!$C$8:$AR$8))&lt;&gt;12,INDIRECT(ADDRESS(ROW()+1,COLUMN()))="СП"),8,INDEX('Сводный годовой график'!$C$1:$AR$4,MATCH($C$34,'Сводный годовой график'!$B$1:$B$4),MATCH(DATE($AV$1,MONTH($B$34),I$3),'Сводный годовой график'!$C$8:$AR$8)))</f>
        <v>8</v>
      </c>
      <c r="J34" s="28">
        <f ca="1">IF(AND(INDEX('Сводный годовой график'!$C$1:$AR$4,MATCH($C$34,'Сводный годовой график'!$B$1:$B$4),MATCH(DATE($AV$1,MONTH($B$34),J$3),'Сводный годовой график'!$C$8:$AR$8))&lt;&gt;12,INDIRECT(ADDRESS(ROW()+1,COLUMN()))="СП"),8,INDEX('Сводный годовой график'!$C$1:$AR$4,MATCH($C$34,'Сводный годовой график'!$B$1:$B$4),MATCH(DATE($AV$1,MONTH($B$34),J$3),'Сводный годовой график'!$C$8:$AR$8)))</f>
        <v>12</v>
      </c>
      <c r="K34" s="28">
        <f ca="1">IF(AND(INDEX('Сводный годовой график'!$C$1:$AR$4,MATCH($C$34,'Сводный годовой график'!$B$1:$B$4),MATCH(DATE($AV$1,MONTH($B$34),K$3),'Сводный годовой график'!$C$8:$AR$8))&lt;&gt;12,INDIRECT(ADDRESS(ROW()+1,COLUMN()))="СП"),8,INDEX('Сводный годовой график'!$C$1:$AR$4,MATCH($C$34,'Сводный годовой график'!$B$1:$B$4),MATCH(DATE($AV$1,MONTH($B$34),K$3),'Сводный годовой график'!$C$8:$AR$8)))</f>
        <v>0</v>
      </c>
      <c r="L34" s="28">
        <f ca="1">IF(AND(INDEX('Сводный годовой график'!$C$1:$AR$4,MATCH($C$34,'Сводный годовой график'!$B$1:$B$4),MATCH(DATE($AV$1,MONTH($B$34),L$3),'Сводный годовой график'!$C$8:$AR$8))&lt;&gt;12,INDIRECT(ADDRESS(ROW()+1,COLUMN()))="СП"),8,INDEX('Сводный годовой график'!$C$1:$AR$4,MATCH($C$34,'Сводный годовой график'!$B$1:$B$4),MATCH(DATE($AV$1,MONTH($B$34),L$3),'Сводный годовой график'!$C$8:$AR$8)))</f>
        <v>0</v>
      </c>
      <c r="M34" s="28">
        <f ca="1">IF(AND(INDEX('Сводный годовой график'!$C$1:$AR$4,MATCH($C$34,'Сводный годовой график'!$B$1:$B$4),MATCH(DATE($AV$1,MONTH($B$34),M$3),'Сводный годовой график'!$C$8:$AR$8))&lt;&gt;12,INDIRECT(ADDRESS(ROW()+1,COLUMN()))="СП"),8,INDEX('Сводный годовой график'!$C$1:$AR$4,MATCH($C$34,'Сводный годовой график'!$B$1:$B$4),MATCH(DATE($AV$1,MONTH($B$34),M$3),'Сводный годовой график'!$C$8:$AR$8)))</f>
        <v>4</v>
      </c>
      <c r="N34" s="28">
        <f ca="1">IF(AND(INDEX('Сводный годовой график'!$C$1:$AR$4,MATCH($C$34,'Сводный годовой график'!$B$1:$B$4),MATCH(DATE($AV$1,MONTH($B$34),N$3),'Сводный годовой график'!$C$8:$AR$8))&lt;&gt;12,INDIRECT(ADDRESS(ROW()+1,COLUMN()))="СП"),8,INDEX('Сводный годовой график'!$C$1:$AR$4,MATCH($C$34,'Сводный годовой график'!$B$1:$B$4),MATCH(DATE($AV$1,MONTH($B$34),N$3),'Сводный годовой график'!$C$8:$AR$8)))</f>
        <v>8</v>
      </c>
      <c r="O34" s="28">
        <f ca="1">IF(AND(INDEX('Сводный годовой график'!$C$1:$AR$4,MATCH($C$34,'Сводный годовой график'!$B$1:$B$4),MATCH(DATE($AV$1,MONTH($B$34),O$3),'Сводный годовой график'!$C$8:$AR$8))&lt;&gt;12,INDIRECT(ADDRESS(ROW()+1,COLUMN()))="СП"),8,INDEX('Сводный годовой график'!$C$1:$AR$4,MATCH($C$34,'Сводный годовой график'!$B$1:$B$4),MATCH(DATE($AV$1,MONTH($B$34),O$3),'Сводный годовой график'!$C$8:$AR$8)))</f>
        <v>12</v>
      </c>
      <c r="P34" s="28">
        <f ca="1">IF(AND(INDEX('Сводный годовой график'!$C$1:$AR$4,MATCH($C$34,'Сводный годовой график'!$B$1:$B$4),MATCH(DATE($AV$1,MONTH($B$34),P$3),'Сводный годовой график'!$C$8:$AR$8))&lt;&gt;12,INDIRECT(ADDRESS(ROW()+1,COLUMN()))="СП"),8,INDEX('Сводный годовой график'!$C$1:$AR$4,MATCH($C$34,'Сводный годовой график'!$B$1:$B$4),MATCH(DATE($AV$1,MONTH($B$34),P$3),'Сводный годовой график'!$C$8:$AR$8)))</f>
        <v>4</v>
      </c>
      <c r="Q34" s="28">
        <f ca="1">IF(AND(INDEX('Сводный годовой график'!$C$1:$AR$4,MATCH($C$34,'Сводный годовой график'!$B$1:$B$4),MATCH(DATE($AV$1,MONTH($B$34),Q$3),'Сводный годовой график'!$C$8:$AR$8))&lt;&gt;12,INDIRECT(ADDRESS(ROW()+1,COLUMN()))="СП"),8,INDEX('Сводный годовой график'!$C$1:$AR$4,MATCH($C$34,'Сводный годовой график'!$B$1:$B$4),MATCH(DATE($AV$1,MONTH($B$34),Q$3),'Сводный годовой график'!$C$8:$AR$8)))</f>
        <v>8</v>
      </c>
      <c r="R34" s="28">
        <f ca="1">IF(AND(INDEX('Сводный годовой график'!$C$1:$AR$4,MATCH($C$34,'Сводный годовой график'!$B$1:$B$4),MATCH(DATE($AV$1,MONTH($B$34),R$3),'Сводный годовой график'!$C$8:$AR$8))&lt;&gt;12,INDIRECT(ADDRESS(ROW()+1,COLUMN()))="СП"),8,INDEX('Сводный годовой график'!$C$1:$AR$4,MATCH($C$34,'Сводный годовой график'!$B$1:$B$4),MATCH(DATE($AV$1,MONTH($B$34),R$3),'Сводный годовой график'!$C$8:$AR$8)))</f>
        <v>12</v>
      </c>
      <c r="S34" s="28">
        <f ca="1">IF(AND(INDEX('Сводный годовой график'!$C$1:$AR$4,MATCH($C$34,'Сводный годовой график'!$B$1:$B$4),MATCH(DATE($AV$1,MONTH($B$34),S$3),'Сводный годовой график'!$C$8:$AR$8))&lt;&gt;12,INDIRECT(ADDRESS(ROW()+1,COLUMN()))="СП"),8,INDEX('Сводный годовой график'!$C$1:$AR$4,MATCH($C$34,'Сводный годовой график'!$B$1:$B$4),MATCH(DATE($AV$1,MONTH($B$34),S$3),'Сводный годовой график'!$C$8:$AR$8)))</f>
        <v>0</v>
      </c>
      <c r="T34" s="28">
        <f ca="1">IF(AND(INDEX('Сводный годовой график'!$C$1:$AR$4,MATCH($C$34,'Сводный годовой график'!$B$1:$B$4),MATCH(DATE($AV$1,MONTH($B$34),T$3),'Сводный годовой график'!$C$8:$AR$8))&lt;&gt;12,INDIRECT(ADDRESS(ROW()+1,COLUMN()))="СП"),8,INDEX('Сводный годовой график'!$C$1:$AR$4,MATCH($C$34,'Сводный годовой график'!$B$1:$B$4),MATCH(DATE($AV$1,MONTH($B$34),T$3),'Сводный годовой график'!$C$8:$AR$8)))</f>
        <v>0</v>
      </c>
      <c r="U34" s="28">
        <f ca="1">IF(AND(INDEX('Сводный годовой график'!$C$1:$AR$4,MATCH($C$34,'Сводный годовой график'!$B$1:$B$4),MATCH(DATE($AV$1,MONTH($B$34),U$3),'Сводный годовой график'!$C$8:$AR$8))&lt;&gt;12,INDIRECT(ADDRESS(ROW()+1,COLUMN()))="СП"),8,INDEX('Сводный годовой график'!$C$1:$AR$4,MATCH($C$34,'Сводный годовой график'!$B$1:$B$4),MATCH(DATE($AV$1,MONTH($B$34),U$3),'Сводный годовой график'!$C$8:$AR$8)))</f>
        <v>4</v>
      </c>
      <c r="V34" s="28">
        <f ca="1">IF(AND(INDEX('Сводный годовой график'!$C$1:$AR$4,MATCH($C$34,'Сводный годовой график'!$B$1:$B$4),MATCH(DATE($AV$1,MONTH($B$34),V$3),'Сводный годовой график'!$C$8:$AR$8))&lt;&gt;12,INDIRECT(ADDRESS(ROW()+1,COLUMN()))="СП"),8,INDEX('Сводный годовой график'!$C$1:$AR$4,MATCH($C$34,'Сводный годовой график'!$B$1:$B$4),MATCH(DATE($AV$1,MONTH($B$34),V$3),'Сводный годовой график'!$C$8:$AR$8)))</f>
        <v>8</v>
      </c>
      <c r="W34" s="28">
        <f ca="1">IF(AND(INDEX('Сводный годовой график'!$C$1:$AR$4,MATCH($C$34,'Сводный годовой график'!$B$1:$B$4),MATCH(DATE($AV$1,MONTH($B$34),W$3),'Сводный годовой график'!$C$8:$AR$8))&lt;&gt;12,INDIRECT(ADDRESS(ROW()+1,COLUMN()))="СП"),8,INDEX('Сводный годовой график'!$C$1:$AR$4,MATCH($C$34,'Сводный годовой график'!$B$1:$B$4),MATCH(DATE($AV$1,MONTH($B$34),W$3),'Сводный годовой график'!$C$8:$AR$8)))</f>
        <v>12</v>
      </c>
      <c r="X34" s="28">
        <f ca="1">IF(AND(INDEX('Сводный годовой график'!$C$1:$AR$4,MATCH($C$34,'Сводный годовой график'!$B$1:$B$4),MATCH(DATE($AV$1,MONTH($B$34),X$3),'Сводный годовой график'!$C$8:$AR$8))&lt;&gt;12,INDIRECT(ADDRESS(ROW()+1,COLUMN()))="СП"),8,INDEX('Сводный годовой график'!$C$1:$AR$4,MATCH($C$34,'Сводный годовой график'!$B$1:$B$4),MATCH(DATE($AV$1,MONTH($B$34),X$3),'Сводный годовой график'!$C$8:$AR$8)))</f>
        <v>4</v>
      </c>
      <c r="Y34" s="28">
        <f ca="1">IF(AND(INDEX('Сводный годовой график'!$C$1:$AR$4,MATCH($C$34,'Сводный годовой график'!$B$1:$B$4),MATCH(DATE($AV$1,MONTH($B$34),Y$3),'Сводный годовой график'!$C$8:$AR$8))&lt;&gt;12,INDIRECT(ADDRESS(ROW()+1,COLUMN()))="СП"),8,INDEX('Сводный годовой график'!$C$1:$AR$4,MATCH($C$34,'Сводный годовой график'!$B$1:$B$4),MATCH(DATE($AV$1,MONTH($B$34),Y$3),'Сводный годовой график'!$C$8:$AR$8)))</f>
        <v>8</v>
      </c>
      <c r="Z34" s="28">
        <f ca="1">IF(AND(INDEX('Сводный годовой график'!$C$1:$AR$4,MATCH($C$34,'Сводный годовой график'!$B$1:$B$4),MATCH(DATE($AV$1,MONTH($B$34),Z$3),'Сводный годовой график'!$C$8:$AR$8))&lt;&gt;12,INDIRECT(ADDRESS(ROW()+1,COLUMN()))="СП"),8,INDEX('Сводный годовой график'!$C$1:$AR$4,MATCH($C$34,'Сводный годовой график'!$B$1:$B$4),MATCH(DATE($AV$1,MONTH($B$34),Z$3),'Сводный годовой график'!$C$8:$AR$8)))</f>
        <v>12</v>
      </c>
      <c r="AA34" s="28">
        <f ca="1">IF(AND(INDEX('Сводный годовой график'!$C$1:$AR$4,MATCH($C$34,'Сводный годовой график'!$B$1:$B$4),MATCH(DATE($AV$1,MONTH($B$34),AA$3),'Сводный годовой график'!$C$8:$AR$8))&lt;&gt;12,INDIRECT(ADDRESS(ROW()+1,COLUMN()))="СП"),8,INDEX('Сводный годовой график'!$C$1:$AR$4,MATCH($C$34,'Сводный годовой график'!$B$1:$B$4),MATCH(DATE($AV$1,MONTH($B$34),AA$3),'Сводный годовой график'!$C$8:$AR$8)))</f>
        <v>0</v>
      </c>
      <c r="AB34" s="28">
        <f ca="1">IF(AND(INDEX('Сводный годовой график'!$C$1:$AR$4,MATCH($C$34,'Сводный годовой график'!$B$1:$B$4),MATCH(DATE($AV$1,MONTH($B$34),AB$3),'Сводный годовой график'!$C$8:$AR$8))&lt;&gt;12,INDIRECT(ADDRESS(ROW()+1,COLUMN()))="СП"),8,INDEX('Сводный годовой график'!$C$1:$AR$4,MATCH($C$34,'Сводный годовой график'!$B$1:$B$4),MATCH(DATE($AV$1,MONTH($B$34),AB$3),'Сводный годовой график'!$C$8:$AR$8)))</f>
        <v>0</v>
      </c>
      <c r="AC34" s="28">
        <f ca="1">IF(AND(INDEX('Сводный годовой график'!$C$1:$AR$4,MATCH($C$34,'Сводный годовой график'!$B$1:$B$4),MATCH(DATE($AV$1,MONTH($B$34),AC$3),'Сводный годовой график'!$C$8:$AR$8))&lt;&gt;12,INDIRECT(ADDRESS(ROW()+1,COLUMN()))="СП"),8,INDEX('Сводный годовой график'!$C$1:$AR$4,MATCH($C$34,'Сводный годовой график'!$B$1:$B$4),MATCH(DATE($AV$1,MONTH($B$34),AC$3),'Сводный годовой график'!$C$8:$AR$8)))</f>
        <v>4</v>
      </c>
      <c r="AD34" s="28">
        <f ca="1">IF(AND(INDEX('Сводный годовой график'!$C$1:$AR$4,MATCH($C$34,'Сводный годовой график'!$B$1:$B$4),MATCH(DATE($AV$1,MONTH($B$34),AD$3),'Сводный годовой график'!$C$8:$AR$8))&lt;&gt;12,INDIRECT(ADDRESS(ROW()+1,COLUMN()))="СП"),8,INDEX('Сводный годовой график'!$C$1:$AR$4,MATCH($C$34,'Сводный годовой график'!$B$1:$B$4),MATCH(DATE($AV$1,MONTH($B$34),AD$3),'Сводный годовой график'!$C$8:$AR$8)))</f>
        <v>8</v>
      </c>
      <c r="AE34" s="28">
        <f ca="1">IF(AND(INDEX('Сводный годовой график'!$C$1:$AR$4,MATCH($C$34,'Сводный годовой график'!$B$1:$B$4),MATCH(DATE($AV$1,MONTH($B$34),AE$3),'Сводный годовой график'!$C$8:$AR$8))&lt;&gt;12,INDIRECT(ADDRESS(ROW()+1,COLUMN()))="СП"),8,INDEX('Сводный годовой график'!$C$1:$AR$4,MATCH($C$34,'Сводный годовой график'!$B$1:$B$4),MATCH(DATE($AV$1,MONTH($B$34),AE$3),'Сводный годовой график'!$C$8:$AR$8)))</f>
        <v>12</v>
      </c>
      <c r="AF34" s="28">
        <f ca="1">IF(AND(INDEX('Сводный годовой график'!$C$1:$AR$4,MATCH($C$34,'Сводный годовой график'!$B$1:$B$4),MATCH(DATE($AV$1,MONTH($B$34),AF$3),'Сводный годовой график'!$C$8:$AR$8))&lt;&gt;12,INDIRECT(ADDRESS(ROW()+1,COLUMN()))="СП"),8,INDEX('Сводный годовой график'!$C$1:$AR$4,MATCH($C$34,'Сводный годовой график'!$B$1:$B$4),MATCH(DATE($AV$1,MONTH($B$34),AF$3),'Сводный годовой график'!$C$8:$AR$8)))</f>
        <v>4</v>
      </c>
      <c r="AG34" s="28">
        <f ca="1">IF(AND(INDEX('Сводный годовой график'!$C$1:$AR$4,MATCH($C$34,'Сводный годовой график'!$B$1:$B$4),MATCH(DATE($AV$1,MONTH($B$34),AG$3),'Сводный годовой график'!$C$8:$AR$8))&lt;&gt;12,INDIRECT(ADDRESS(ROW()+1,COLUMN()))="СП"),8,INDEX('Сводный годовой график'!$C$1:$AR$4,MATCH($C$34,'Сводный годовой график'!$B$1:$B$4),MATCH(DATE($AV$1,MONTH($B$34),AG$3),'Сводный годовой график'!$C$8:$AR$8)))</f>
        <v>8</v>
      </c>
      <c r="AH34" s="28">
        <f ca="1">IF(AND(INDEX('Сводный годовой график'!$C$1:$AR$4,MATCH($C$34,'Сводный годовой график'!$B$1:$B$4),MATCH(DATE($AV$1,MONTH($B$34),AH$3),'Сводный годовой график'!$C$8:$AR$8))&lt;&gt;12,INDIRECT(ADDRESS(ROW()+1,COLUMN()))="СП"),8,INDEX('Сводный годовой график'!$C$1:$AR$4,MATCH($C$34,'Сводный годовой график'!$B$1:$B$4),MATCH(DATE($AV$1,MONTH($B$34),AH$3),'Сводный годовой график'!$C$8:$AR$8)))</f>
        <v>12</v>
      </c>
      <c r="AI34" s="121"/>
      <c r="AJ34" s="205">
        <f>INDEX(Подключения!$D$3:$H$14,MONTH(B34),5)</f>
        <v>175</v>
      </c>
      <c r="AK34" s="203">
        <f>$AJ$34-SUM(AY34:CC35)</f>
        <v>175</v>
      </c>
      <c r="AL34" s="203">
        <f t="shared" ref="AL34" ca="1" si="54">SUM(E34:AI35)</f>
        <v>196</v>
      </c>
      <c r="AM34" s="203">
        <v>0</v>
      </c>
      <c r="AN34" s="208">
        <f t="shared" ref="AN34" ca="1" si="55">-AM34-AK34+AL34</f>
        <v>21</v>
      </c>
      <c r="AO34" s="208">
        <v>12</v>
      </c>
      <c r="AP34" s="208">
        <f ca="1">AN34+AP24-AO34</f>
        <v>0</v>
      </c>
      <c r="AQ34" s="203">
        <v>0</v>
      </c>
      <c r="AR34" s="204">
        <v>1</v>
      </c>
      <c r="CK34" s="59"/>
      <c r="CL34" s="59"/>
      <c r="CM34" s="59"/>
      <c r="CN34" s="59"/>
      <c r="CO34" s="59"/>
      <c r="CP34" s="59"/>
      <c r="CQ34" s="59"/>
      <c r="CR34" s="59"/>
      <c r="CS34" s="59"/>
      <c r="CT34" s="59"/>
      <c r="CU34" s="59"/>
      <c r="CV34" s="59"/>
      <c r="CW34" s="59"/>
      <c r="CX34" s="59"/>
      <c r="CY34" s="59"/>
      <c r="CZ34" s="59"/>
      <c r="DA34" s="59"/>
      <c r="DB34" s="59"/>
      <c r="DC34" s="59"/>
      <c r="DD34" s="59"/>
      <c r="DE34" s="59"/>
      <c r="DF34" s="59"/>
      <c r="DG34" s="59"/>
      <c r="DH34" s="59"/>
      <c r="DI34" s="59"/>
      <c r="DJ34" s="59"/>
      <c r="DK34" s="59"/>
      <c r="DL34" s="59"/>
      <c r="DM34" s="59"/>
      <c r="DN34" s="59"/>
      <c r="DO34" s="59"/>
    </row>
    <row r="35" spans="2:119" ht="16.5" thickBot="1" x14ac:dyDescent="0.3">
      <c r="B35" s="201"/>
      <c r="C35" s="197"/>
      <c r="D35" s="82">
        <v>2</v>
      </c>
      <c r="E35" s="92" t="str">
        <f t="shared" ref="E35:AH35" si="56">IF(INDEX($CK$4:$DO$123,ROW()-3,E$3)=0,"","СП")</f>
        <v/>
      </c>
      <c r="F35" s="92" t="str">
        <f t="shared" si="56"/>
        <v/>
      </c>
      <c r="G35" s="92" t="str">
        <f t="shared" si="56"/>
        <v/>
      </c>
      <c r="H35" s="92" t="str">
        <f t="shared" si="56"/>
        <v>СП</v>
      </c>
      <c r="I35" s="92" t="str">
        <f t="shared" si="56"/>
        <v/>
      </c>
      <c r="J35" s="92" t="str">
        <f t="shared" si="56"/>
        <v/>
      </c>
      <c r="K35" s="92" t="str">
        <f t="shared" si="56"/>
        <v/>
      </c>
      <c r="L35" s="92" t="str">
        <f t="shared" si="56"/>
        <v/>
      </c>
      <c r="M35" s="92" t="str">
        <f t="shared" si="56"/>
        <v/>
      </c>
      <c r="N35" s="92" t="str">
        <f t="shared" si="56"/>
        <v/>
      </c>
      <c r="O35" s="92" t="str">
        <f t="shared" si="56"/>
        <v/>
      </c>
      <c r="P35" s="92" t="str">
        <f t="shared" si="56"/>
        <v/>
      </c>
      <c r="Q35" s="92" t="str">
        <f t="shared" si="56"/>
        <v/>
      </c>
      <c r="R35" s="92" t="str">
        <f t="shared" si="56"/>
        <v/>
      </c>
      <c r="S35" s="92" t="str">
        <f t="shared" si="56"/>
        <v/>
      </c>
      <c r="T35" s="92" t="str">
        <f t="shared" si="56"/>
        <v/>
      </c>
      <c r="U35" s="92" t="str">
        <f t="shared" si="56"/>
        <v/>
      </c>
      <c r="V35" s="92" t="str">
        <f t="shared" si="56"/>
        <v/>
      </c>
      <c r="W35" s="92" t="str">
        <f t="shared" si="56"/>
        <v/>
      </c>
      <c r="X35" s="92" t="str">
        <f t="shared" si="56"/>
        <v/>
      </c>
      <c r="Y35" s="92" t="str">
        <f t="shared" si="56"/>
        <v/>
      </c>
      <c r="Z35" s="92" t="str">
        <f t="shared" si="56"/>
        <v/>
      </c>
      <c r="AA35" s="92" t="str">
        <f t="shared" si="56"/>
        <v/>
      </c>
      <c r="AB35" s="92" t="str">
        <f t="shared" si="56"/>
        <v/>
      </c>
      <c r="AC35" s="92" t="str">
        <f t="shared" si="56"/>
        <v/>
      </c>
      <c r="AD35" s="92" t="str">
        <f t="shared" si="56"/>
        <v/>
      </c>
      <c r="AE35" s="92" t="str">
        <f t="shared" si="56"/>
        <v/>
      </c>
      <c r="AF35" s="92" t="str">
        <f t="shared" si="56"/>
        <v/>
      </c>
      <c r="AG35" s="92" t="str">
        <f t="shared" si="56"/>
        <v/>
      </c>
      <c r="AH35" s="92" t="str">
        <f t="shared" si="56"/>
        <v/>
      </c>
      <c r="AI35" s="119"/>
      <c r="AJ35" s="206"/>
      <c r="AK35" s="177"/>
      <c r="AL35" s="177"/>
      <c r="AM35" s="177"/>
      <c r="AN35" s="198"/>
      <c r="AO35" s="198"/>
      <c r="AP35" s="198"/>
      <c r="AQ35" s="177"/>
      <c r="AR35" s="179"/>
      <c r="CK35" s="58">
        <f>IF(DAY(INDEX('Сводный годовой график'!$BA$4:$BL$14,$C34,MONTH($B$34)))=E$3,1,0)</f>
        <v>0</v>
      </c>
      <c r="CL35" s="58">
        <f>IF(DAY(INDEX('Сводный годовой график'!$BA$4:$BL$14,$C34,MONTH($B$34)))=F$3,1,0)</f>
        <v>0</v>
      </c>
      <c r="CM35" s="58">
        <f>IF(DAY(INDEX('Сводный годовой график'!$BA$4:$BL$14,$C34,MONTH($B$34)))=G$3,1,0)</f>
        <v>0</v>
      </c>
      <c r="CN35" s="58">
        <f>IF(DAY(INDEX('Сводный годовой график'!$BA$4:$BL$14,$C34,MONTH($B$34)))=H$3,1,0)</f>
        <v>1</v>
      </c>
      <c r="CO35" s="58">
        <f>IF(DAY(INDEX('Сводный годовой график'!$BA$4:$BL$14,$C34,MONTH($B$34)))=I$3,1,0)</f>
        <v>0</v>
      </c>
      <c r="CP35" s="58">
        <f>IF(DAY(INDEX('Сводный годовой график'!$BA$4:$BL$14,$C34,MONTH($B$34)))=J$3,1,0)</f>
        <v>0</v>
      </c>
      <c r="CQ35" s="58">
        <f>IF(DAY(INDEX('Сводный годовой график'!$BA$4:$BL$14,$C34,MONTH($B$34)))=K$3,1,0)</f>
        <v>0</v>
      </c>
      <c r="CR35" s="58">
        <f>IF(DAY(INDEX('Сводный годовой график'!$BA$4:$BL$14,$C34,MONTH($B$34)))=L$3,1,0)</f>
        <v>0</v>
      </c>
      <c r="CS35" s="58">
        <f>IF(DAY(INDEX('Сводный годовой график'!$BA$4:$BL$14,$C34,MONTH($B$34)))=M$3,1,0)</f>
        <v>0</v>
      </c>
      <c r="CT35" s="58">
        <f>IF(DAY(INDEX('Сводный годовой график'!$BA$4:$BL$14,$C34,MONTH($B$34)))=N$3,1,0)</f>
        <v>0</v>
      </c>
      <c r="CU35" s="58">
        <f>IF(DAY(INDEX('Сводный годовой график'!$BA$4:$BL$14,$C34,MONTH($B$34)))=O$3,1,0)</f>
        <v>0</v>
      </c>
      <c r="CV35" s="58">
        <f>IF(DAY(INDEX('Сводный годовой график'!$BA$4:$BL$14,$C34,MONTH($B$34)))=P$3,1,0)</f>
        <v>0</v>
      </c>
      <c r="CW35" s="58">
        <f>IF(DAY(INDEX('Сводный годовой график'!$BA$4:$BL$14,$C34,MONTH($B$34)))=Q$3,1,0)</f>
        <v>0</v>
      </c>
      <c r="CX35" s="58">
        <f>IF(DAY(INDEX('Сводный годовой график'!$BA$4:$BL$14,$C34,MONTH($B$34)))=R$3,1,0)</f>
        <v>0</v>
      </c>
      <c r="CY35" s="58">
        <f>IF(DAY(INDEX('Сводный годовой график'!$BA$4:$BL$14,$C34,MONTH($B$34)))=S$3,1,0)</f>
        <v>0</v>
      </c>
      <c r="CZ35" s="58">
        <f>IF(DAY(INDEX('Сводный годовой график'!$BA$4:$BL$14,$C34,MONTH($B$34)))=T$3,1,0)</f>
        <v>0</v>
      </c>
      <c r="DA35" s="58">
        <f>IF(DAY(INDEX('Сводный годовой график'!$BA$4:$BL$14,$C34,MONTH($B$34)))=U$3,1,0)</f>
        <v>0</v>
      </c>
      <c r="DB35" s="58">
        <f>IF(DAY(INDEX('Сводный годовой график'!$BA$4:$BL$14,$C34,MONTH($B$34)))=V$3,1,0)</f>
        <v>0</v>
      </c>
      <c r="DC35" s="58">
        <f>IF(DAY(INDEX('Сводный годовой график'!$BA$4:$BL$14,$C34,MONTH($B$34)))=W$3,1,0)</f>
        <v>0</v>
      </c>
      <c r="DD35" s="58">
        <f>IF(DAY(INDEX('Сводный годовой график'!$BA$4:$BL$14,$C34,MONTH($B$34)))=X$3,1,0)</f>
        <v>0</v>
      </c>
      <c r="DE35" s="58">
        <f>IF(DAY(INDEX('Сводный годовой график'!$BA$4:$BL$14,$C34,MONTH($B$34)))=Y$3,1,0)</f>
        <v>0</v>
      </c>
      <c r="DF35" s="58">
        <f>IF(DAY(INDEX('Сводный годовой график'!$BA$4:$BL$14,$C34,MONTH($B$34)))=Z$3,1,0)</f>
        <v>0</v>
      </c>
      <c r="DG35" s="58">
        <f>IF(DAY(INDEX('Сводный годовой график'!$BA$4:$BL$14,$C34,MONTH($B$34)))=AA$3,1,0)</f>
        <v>0</v>
      </c>
      <c r="DH35" s="58">
        <f>IF(DAY(INDEX('Сводный годовой график'!$BA$4:$BL$14,$C34,MONTH($B$34)))=AB$3,1,0)</f>
        <v>0</v>
      </c>
      <c r="DI35" s="58">
        <f>IF(DAY(INDEX('Сводный годовой график'!$BA$4:$BL$14,$C34,MONTH($B$34)))=AC$3,1,0)</f>
        <v>0</v>
      </c>
      <c r="DJ35" s="58">
        <f>IF(DAY(INDEX('Сводный годовой график'!$BA$4:$BL$14,$C34,MONTH($B$34)))=AD$3,1,0)</f>
        <v>0</v>
      </c>
      <c r="DK35" s="58">
        <f>IF(DAY(INDEX('Сводный годовой график'!$BA$4:$BL$14,$C34,MONTH($B$34)))=AE$3,1,0)</f>
        <v>0</v>
      </c>
      <c r="DL35" s="58">
        <f>IF(DAY(INDEX('Сводный годовой график'!$BA$4:$BL$14,$C34,MONTH($B$34)))=AF$3,1,0)</f>
        <v>0</v>
      </c>
      <c r="DM35" s="58">
        <f>IF(DAY(INDEX('Сводный годовой график'!$BA$4:$BL$14,$C34,MONTH($B$34)))=AG$3,1,0)</f>
        <v>0</v>
      </c>
      <c r="DN35" s="58">
        <f>IF(DAY(INDEX('Сводный годовой график'!$BA$4:$BL$14,$C34,MONTH($B$34)))=AH$3,1,0)</f>
        <v>0</v>
      </c>
      <c r="DO35" s="58">
        <f>IF(DAY(INDEX('Сводный годовой график'!$BA$4:$BL$14,$C34,MONTH($B$34)))=AI$3,1,0)</f>
        <v>0</v>
      </c>
    </row>
    <row r="36" spans="2:119" ht="16.5" thickBot="1" x14ac:dyDescent="0.3">
      <c r="B36" s="201"/>
      <c r="C36" s="196">
        <v>2</v>
      </c>
      <c r="D36" s="81">
        <v>3</v>
      </c>
      <c r="E36" s="92">
        <f ca="1">IF(AND(INDEX('Сводный годовой график'!$C$1:$AR$4,MATCH($C$36,'Сводный годовой график'!$B$1:$B$4),MATCH(DATE($AV$1,MONTH($B$34),E$3),'Сводный годовой график'!$C$8:$AR$8))&lt;&gt;12,INDIRECT(ADDRESS(ROW()+1,COLUMN()))="СП"),8,INDEX('Сводный годовой график'!$C$1:$AR$4,MATCH($C$36,'Сводный годовой график'!$B$1:$B$4),MATCH(DATE($AV$1,MONTH($B$34),E$3),'Сводный годовой график'!$C$8:$AR$8)))</f>
        <v>12</v>
      </c>
      <c r="F36" s="92">
        <f ca="1">IF(AND(INDEX('Сводный годовой график'!$C$1:$AR$4,MATCH($C$36,'Сводный годовой график'!$B$1:$B$4),MATCH(DATE($AV$1,MONTH($B$34),F$3),'Сводный годовой график'!$C$8:$AR$8))&lt;&gt;12,INDIRECT(ADDRESS(ROW()+1,COLUMN()))="СП"),8,INDEX('Сводный годовой график'!$C$1:$AR$4,MATCH($C$36,'Сводный годовой график'!$B$1:$B$4),MATCH(DATE($AV$1,MONTH($B$34),F$3),'Сводный годовой график'!$C$8:$AR$8)))</f>
        <v>4</v>
      </c>
      <c r="G36" s="92">
        <f ca="1">IF(AND(INDEX('Сводный годовой график'!$C$1:$AR$4,MATCH($C$36,'Сводный годовой график'!$B$1:$B$4),MATCH(DATE($AV$1,MONTH($B$34),G$3),'Сводный годовой график'!$C$8:$AR$8))&lt;&gt;12,INDIRECT(ADDRESS(ROW()+1,COLUMN()))="СП"),8,INDEX('Сводный годовой график'!$C$1:$AR$4,MATCH($C$36,'Сводный годовой график'!$B$1:$B$4),MATCH(DATE($AV$1,MONTH($B$34),G$3),'Сводный годовой график'!$C$8:$AR$8)))</f>
        <v>8</v>
      </c>
      <c r="H36" s="92">
        <f ca="1">IF(AND(INDEX('Сводный годовой график'!$C$1:$AR$4,MATCH($C$36,'Сводный годовой график'!$B$1:$B$4),MATCH(DATE($AV$1,MONTH($B$34),H$3),'Сводный годовой график'!$C$8:$AR$8))&lt;&gt;12,INDIRECT(ADDRESS(ROW()+1,COLUMN()))="СП"),8,INDEX('Сводный годовой график'!$C$1:$AR$4,MATCH($C$36,'Сводный годовой график'!$B$1:$B$4),MATCH(DATE($AV$1,MONTH($B$34),H$3),'Сводный годовой график'!$C$8:$AR$8)))</f>
        <v>12</v>
      </c>
      <c r="I36" s="92">
        <f ca="1">IF(AND(INDEX('Сводный годовой график'!$C$1:$AR$4,MATCH($C$36,'Сводный годовой график'!$B$1:$B$4),MATCH(DATE($AV$1,MONTH($B$34),I$3),'Сводный годовой график'!$C$8:$AR$8))&lt;&gt;12,INDIRECT(ADDRESS(ROW()+1,COLUMN()))="СП"),8,INDEX('Сводный годовой график'!$C$1:$AR$4,MATCH($C$36,'Сводный годовой график'!$B$1:$B$4),MATCH(DATE($AV$1,MONTH($B$34),I$3),'Сводный годовой график'!$C$8:$AR$8)))</f>
        <v>8</v>
      </c>
      <c r="J36" s="92">
        <f ca="1">IF(AND(INDEX('Сводный годовой график'!$C$1:$AR$4,MATCH($C$36,'Сводный годовой график'!$B$1:$B$4),MATCH(DATE($AV$1,MONTH($B$34),J$3),'Сводный годовой график'!$C$8:$AR$8))&lt;&gt;12,INDIRECT(ADDRESS(ROW()+1,COLUMN()))="СП"),8,INDEX('Сводный годовой график'!$C$1:$AR$4,MATCH($C$36,'Сводный годовой график'!$B$1:$B$4),MATCH(DATE($AV$1,MONTH($B$34),J$3),'Сводный годовой график'!$C$8:$AR$8)))</f>
        <v>0</v>
      </c>
      <c r="K36" s="92">
        <f ca="1">IF(AND(INDEX('Сводный годовой график'!$C$1:$AR$4,MATCH($C$36,'Сводный годовой график'!$B$1:$B$4),MATCH(DATE($AV$1,MONTH($B$34),K$3),'Сводный годовой график'!$C$8:$AR$8))&lt;&gt;12,INDIRECT(ADDRESS(ROW()+1,COLUMN()))="СП"),8,INDEX('Сводный годовой график'!$C$1:$AR$4,MATCH($C$36,'Сводный годовой график'!$B$1:$B$4),MATCH(DATE($AV$1,MONTH($B$34),K$3),'Сводный годовой график'!$C$8:$AR$8)))</f>
        <v>4</v>
      </c>
      <c r="L36" s="92">
        <f ca="1">IF(AND(INDEX('Сводный годовой график'!$C$1:$AR$4,MATCH($C$36,'Сводный годовой график'!$B$1:$B$4),MATCH(DATE($AV$1,MONTH($B$34),L$3),'Сводный годовой график'!$C$8:$AR$8))&lt;&gt;12,INDIRECT(ADDRESS(ROW()+1,COLUMN()))="СП"),8,INDEX('Сводный годовой график'!$C$1:$AR$4,MATCH($C$36,'Сводный годовой график'!$B$1:$B$4),MATCH(DATE($AV$1,MONTH($B$34),L$3),'Сводный годовой график'!$C$8:$AR$8)))</f>
        <v>8</v>
      </c>
      <c r="M36" s="92">
        <f ca="1">IF(AND(INDEX('Сводный годовой график'!$C$1:$AR$4,MATCH($C$36,'Сводный годовой график'!$B$1:$B$4),MATCH(DATE($AV$1,MONTH($B$34),M$3),'Сводный годовой график'!$C$8:$AR$8))&lt;&gt;12,INDIRECT(ADDRESS(ROW()+1,COLUMN()))="СП"),8,INDEX('Сводный годовой график'!$C$1:$AR$4,MATCH($C$36,'Сводный годовой график'!$B$1:$B$4),MATCH(DATE($AV$1,MONTH($B$34),M$3),'Сводный годовой график'!$C$8:$AR$8)))</f>
        <v>12</v>
      </c>
      <c r="N36" s="92">
        <f ca="1">IF(AND(INDEX('Сводный годовой график'!$C$1:$AR$4,MATCH($C$36,'Сводный годовой график'!$B$1:$B$4),MATCH(DATE($AV$1,MONTH($B$34),N$3),'Сводный годовой график'!$C$8:$AR$8))&lt;&gt;12,INDIRECT(ADDRESS(ROW()+1,COLUMN()))="СП"),8,INDEX('Сводный годовой график'!$C$1:$AR$4,MATCH($C$36,'Сводный годовой график'!$B$1:$B$4),MATCH(DATE($AV$1,MONTH($B$34),N$3),'Сводный годовой график'!$C$8:$AR$8)))</f>
        <v>4</v>
      </c>
      <c r="O36" s="92">
        <f ca="1">IF(AND(INDEX('Сводный годовой график'!$C$1:$AR$4,MATCH($C$36,'Сводный годовой график'!$B$1:$B$4),MATCH(DATE($AV$1,MONTH($B$34),O$3),'Сводный годовой график'!$C$8:$AR$8))&lt;&gt;12,INDIRECT(ADDRESS(ROW()+1,COLUMN()))="СП"),8,INDEX('Сводный годовой график'!$C$1:$AR$4,MATCH($C$36,'Сводный годовой график'!$B$1:$B$4),MATCH(DATE($AV$1,MONTH($B$34),O$3),'Сводный годовой график'!$C$8:$AR$8)))</f>
        <v>8</v>
      </c>
      <c r="P36" s="92">
        <f ca="1">IF(AND(INDEX('Сводный годовой график'!$C$1:$AR$4,MATCH($C$36,'Сводный годовой график'!$B$1:$B$4),MATCH(DATE($AV$1,MONTH($B$34),P$3),'Сводный годовой график'!$C$8:$AR$8))&lt;&gt;12,INDIRECT(ADDRESS(ROW()+1,COLUMN()))="СП"),8,INDEX('Сводный годовой график'!$C$1:$AR$4,MATCH($C$36,'Сводный годовой график'!$B$1:$B$4),MATCH(DATE($AV$1,MONTH($B$34),P$3),'Сводный годовой график'!$C$8:$AR$8)))</f>
        <v>12</v>
      </c>
      <c r="Q36" s="92">
        <f ca="1">IF(AND(INDEX('Сводный годовой график'!$C$1:$AR$4,MATCH($C$36,'Сводный годовой график'!$B$1:$B$4),MATCH(DATE($AV$1,MONTH($B$34),Q$3),'Сводный годовой график'!$C$8:$AR$8))&lt;&gt;12,INDIRECT(ADDRESS(ROW()+1,COLUMN()))="СП"),8,INDEX('Сводный годовой график'!$C$1:$AR$4,MATCH($C$36,'Сводный годовой график'!$B$1:$B$4),MATCH(DATE($AV$1,MONTH($B$34),Q$3),'Сводный годовой график'!$C$8:$AR$8)))</f>
        <v>0</v>
      </c>
      <c r="R36" s="92">
        <f ca="1">IF(AND(INDEX('Сводный годовой график'!$C$1:$AR$4,MATCH($C$36,'Сводный годовой график'!$B$1:$B$4),MATCH(DATE($AV$1,MONTH($B$34),R$3),'Сводный годовой график'!$C$8:$AR$8))&lt;&gt;12,INDIRECT(ADDRESS(ROW()+1,COLUMN()))="СП"),8,INDEX('Сводный годовой график'!$C$1:$AR$4,MATCH($C$36,'Сводный годовой график'!$B$1:$B$4),MATCH(DATE($AV$1,MONTH($B$34),R$3),'Сводный годовой график'!$C$8:$AR$8)))</f>
        <v>0</v>
      </c>
      <c r="S36" s="92">
        <f ca="1">IF(AND(INDEX('Сводный годовой график'!$C$1:$AR$4,MATCH($C$36,'Сводный годовой график'!$B$1:$B$4),MATCH(DATE($AV$1,MONTH($B$34),S$3),'Сводный годовой график'!$C$8:$AR$8))&lt;&gt;12,INDIRECT(ADDRESS(ROW()+1,COLUMN()))="СП"),8,INDEX('Сводный годовой график'!$C$1:$AR$4,MATCH($C$36,'Сводный годовой график'!$B$1:$B$4),MATCH(DATE($AV$1,MONTH($B$34),S$3),'Сводный годовой график'!$C$8:$AR$8)))</f>
        <v>4</v>
      </c>
      <c r="T36" s="92">
        <f ca="1">IF(AND(INDEX('Сводный годовой график'!$C$1:$AR$4,MATCH($C$36,'Сводный годовой график'!$B$1:$B$4),MATCH(DATE($AV$1,MONTH($B$34),T$3),'Сводный годовой график'!$C$8:$AR$8))&lt;&gt;12,INDIRECT(ADDRESS(ROW()+1,COLUMN()))="СП"),8,INDEX('Сводный годовой график'!$C$1:$AR$4,MATCH($C$36,'Сводный годовой график'!$B$1:$B$4),MATCH(DATE($AV$1,MONTH($B$34),T$3),'Сводный годовой график'!$C$8:$AR$8)))</f>
        <v>8</v>
      </c>
      <c r="U36" s="92">
        <f ca="1">IF(AND(INDEX('Сводный годовой график'!$C$1:$AR$4,MATCH($C$36,'Сводный годовой график'!$B$1:$B$4),MATCH(DATE($AV$1,MONTH($B$34),U$3),'Сводный годовой график'!$C$8:$AR$8))&lt;&gt;12,INDIRECT(ADDRESS(ROW()+1,COLUMN()))="СП"),8,INDEX('Сводный годовой график'!$C$1:$AR$4,MATCH($C$36,'Сводный годовой график'!$B$1:$B$4),MATCH(DATE($AV$1,MONTH($B$34),U$3),'Сводный годовой график'!$C$8:$AR$8)))</f>
        <v>12</v>
      </c>
      <c r="V36" s="92">
        <f ca="1">IF(AND(INDEX('Сводный годовой график'!$C$1:$AR$4,MATCH($C$36,'Сводный годовой график'!$B$1:$B$4),MATCH(DATE($AV$1,MONTH($B$34),V$3),'Сводный годовой график'!$C$8:$AR$8))&lt;&gt;12,INDIRECT(ADDRESS(ROW()+1,COLUMN()))="СП"),8,INDEX('Сводный годовой график'!$C$1:$AR$4,MATCH($C$36,'Сводный годовой график'!$B$1:$B$4),MATCH(DATE($AV$1,MONTH($B$34),V$3),'Сводный годовой график'!$C$8:$AR$8)))</f>
        <v>4</v>
      </c>
      <c r="W36" s="92">
        <f ca="1">IF(AND(INDEX('Сводный годовой график'!$C$1:$AR$4,MATCH($C$36,'Сводный годовой график'!$B$1:$B$4),MATCH(DATE($AV$1,MONTH($B$34),W$3),'Сводный годовой график'!$C$8:$AR$8))&lt;&gt;12,INDIRECT(ADDRESS(ROW()+1,COLUMN()))="СП"),8,INDEX('Сводный годовой график'!$C$1:$AR$4,MATCH($C$36,'Сводный годовой график'!$B$1:$B$4),MATCH(DATE($AV$1,MONTH($B$34),W$3),'Сводный годовой график'!$C$8:$AR$8)))</f>
        <v>8</v>
      </c>
      <c r="X36" s="92">
        <f ca="1">IF(AND(INDEX('Сводный годовой график'!$C$1:$AR$4,MATCH($C$36,'Сводный годовой график'!$B$1:$B$4),MATCH(DATE($AV$1,MONTH($B$34),X$3),'Сводный годовой график'!$C$8:$AR$8))&lt;&gt;12,INDIRECT(ADDRESS(ROW()+1,COLUMN()))="СП"),8,INDEX('Сводный годовой график'!$C$1:$AR$4,MATCH($C$36,'Сводный годовой график'!$B$1:$B$4),MATCH(DATE($AV$1,MONTH($B$34),X$3),'Сводный годовой график'!$C$8:$AR$8)))</f>
        <v>12</v>
      </c>
      <c r="Y36" s="92">
        <f ca="1">IF(AND(INDEX('Сводный годовой график'!$C$1:$AR$4,MATCH($C$36,'Сводный годовой график'!$B$1:$B$4),MATCH(DATE($AV$1,MONTH($B$34),Y$3),'Сводный годовой график'!$C$8:$AR$8))&lt;&gt;12,INDIRECT(ADDRESS(ROW()+1,COLUMN()))="СП"),8,INDEX('Сводный годовой график'!$C$1:$AR$4,MATCH($C$36,'Сводный годовой график'!$B$1:$B$4),MATCH(DATE($AV$1,MONTH($B$34),Y$3),'Сводный годовой график'!$C$8:$AR$8)))</f>
        <v>0</v>
      </c>
      <c r="Z36" s="92">
        <f ca="1">IF(AND(INDEX('Сводный годовой график'!$C$1:$AR$4,MATCH($C$36,'Сводный годовой график'!$B$1:$B$4),MATCH(DATE($AV$1,MONTH($B$34),Z$3),'Сводный годовой график'!$C$8:$AR$8))&lt;&gt;12,INDIRECT(ADDRESS(ROW()+1,COLUMN()))="СП"),8,INDEX('Сводный годовой график'!$C$1:$AR$4,MATCH($C$36,'Сводный годовой график'!$B$1:$B$4),MATCH(DATE($AV$1,MONTH($B$34),Z$3),'Сводный годовой график'!$C$8:$AR$8)))</f>
        <v>0</v>
      </c>
      <c r="AA36" s="92">
        <f ca="1">IF(AND(INDEX('Сводный годовой график'!$C$1:$AR$4,MATCH($C$36,'Сводный годовой график'!$B$1:$B$4),MATCH(DATE($AV$1,MONTH($B$34),AA$3),'Сводный годовой график'!$C$8:$AR$8))&lt;&gt;12,INDIRECT(ADDRESS(ROW()+1,COLUMN()))="СП"),8,INDEX('Сводный годовой график'!$C$1:$AR$4,MATCH($C$36,'Сводный годовой график'!$B$1:$B$4),MATCH(DATE($AV$1,MONTH($B$34),AA$3),'Сводный годовой график'!$C$8:$AR$8)))</f>
        <v>4</v>
      </c>
      <c r="AB36" s="92">
        <f ca="1">IF(AND(INDEX('Сводный годовой график'!$C$1:$AR$4,MATCH($C$36,'Сводный годовой график'!$B$1:$B$4),MATCH(DATE($AV$1,MONTH($B$34),AB$3),'Сводный годовой график'!$C$8:$AR$8))&lt;&gt;12,INDIRECT(ADDRESS(ROW()+1,COLUMN()))="СП"),8,INDEX('Сводный годовой график'!$C$1:$AR$4,MATCH($C$36,'Сводный годовой график'!$B$1:$B$4),MATCH(DATE($AV$1,MONTH($B$34),AB$3),'Сводный годовой график'!$C$8:$AR$8)))</f>
        <v>8</v>
      </c>
      <c r="AC36" s="92">
        <f ca="1">IF(AND(INDEX('Сводный годовой график'!$C$1:$AR$4,MATCH($C$36,'Сводный годовой график'!$B$1:$B$4),MATCH(DATE($AV$1,MONTH($B$34),AC$3),'Сводный годовой график'!$C$8:$AR$8))&lt;&gt;12,INDIRECT(ADDRESS(ROW()+1,COLUMN()))="СП"),8,INDEX('Сводный годовой график'!$C$1:$AR$4,MATCH($C$36,'Сводный годовой график'!$B$1:$B$4),MATCH(DATE($AV$1,MONTH($B$34),AC$3),'Сводный годовой график'!$C$8:$AR$8)))</f>
        <v>12</v>
      </c>
      <c r="AD36" s="92">
        <f ca="1">IF(AND(INDEX('Сводный годовой график'!$C$1:$AR$4,MATCH($C$36,'Сводный годовой график'!$B$1:$B$4),MATCH(DATE($AV$1,MONTH($B$34),AD$3),'Сводный годовой график'!$C$8:$AR$8))&lt;&gt;12,INDIRECT(ADDRESS(ROW()+1,COLUMN()))="СП"),8,INDEX('Сводный годовой график'!$C$1:$AR$4,MATCH($C$36,'Сводный годовой график'!$B$1:$B$4),MATCH(DATE($AV$1,MONTH($B$34),AD$3),'Сводный годовой график'!$C$8:$AR$8)))</f>
        <v>4</v>
      </c>
      <c r="AE36" s="92">
        <f ca="1">IF(AND(INDEX('Сводный годовой график'!$C$1:$AR$4,MATCH($C$36,'Сводный годовой график'!$B$1:$B$4),MATCH(DATE($AV$1,MONTH($B$34),AE$3),'Сводный годовой график'!$C$8:$AR$8))&lt;&gt;12,INDIRECT(ADDRESS(ROW()+1,COLUMN()))="СП"),8,INDEX('Сводный годовой график'!$C$1:$AR$4,MATCH($C$36,'Сводный годовой график'!$B$1:$B$4),MATCH(DATE($AV$1,MONTH($B$34),AE$3),'Сводный годовой график'!$C$8:$AR$8)))</f>
        <v>8</v>
      </c>
      <c r="AF36" s="92">
        <f ca="1">IF(AND(INDEX('Сводный годовой график'!$C$1:$AR$4,MATCH($C$36,'Сводный годовой график'!$B$1:$B$4),MATCH(DATE($AV$1,MONTH($B$34),AF$3),'Сводный годовой график'!$C$8:$AR$8))&lt;&gt;12,INDIRECT(ADDRESS(ROW()+1,COLUMN()))="СП"),8,INDEX('Сводный годовой график'!$C$1:$AR$4,MATCH($C$36,'Сводный годовой график'!$B$1:$B$4),MATCH(DATE($AV$1,MONTH($B$34),AF$3),'Сводный годовой график'!$C$8:$AR$8)))</f>
        <v>12</v>
      </c>
      <c r="AG36" s="92">
        <f ca="1">IF(AND(INDEX('Сводный годовой график'!$C$1:$AR$4,MATCH($C$36,'Сводный годовой график'!$B$1:$B$4),MATCH(DATE($AV$1,MONTH($B$34),AG$3),'Сводный годовой график'!$C$8:$AR$8))&lt;&gt;12,INDIRECT(ADDRESS(ROW()+1,COLUMN()))="СП"),8,INDEX('Сводный годовой график'!$C$1:$AR$4,MATCH($C$36,'Сводный годовой график'!$B$1:$B$4),MATCH(DATE($AV$1,MONTH($B$34),AG$3),'Сводный годовой график'!$C$8:$AR$8)))</f>
        <v>0</v>
      </c>
      <c r="AH36" s="92">
        <f ca="1">IF(AND(INDEX('Сводный годовой график'!$C$1:$AR$4,MATCH($C$36,'Сводный годовой график'!$B$1:$B$4),MATCH(DATE($AV$1,MONTH($B$34),AH$3),'Сводный годовой график'!$C$8:$AR$8))&lt;&gt;12,INDIRECT(ADDRESS(ROW()+1,COLUMN()))="СП"),8,INDEX('Сводный годовой график'!$C$1:$AR$4,MATCH($C$36,'Сводный годовой график'!$B$1:$B$4),MATCH(DATE($AV$1,MONTH($B$34),AH$3),'Сводный годовой график'!$C$8:$AR$8)))</f>
        <v>0</v>
      </c>
      <c r="AI36" s="119"/>
      <c r="AJ36" s="206"/>
      <c r="AK36" s="177">
        <f>$AJ$34-SUM(AY36:CC37)</f>
        <v>175</v>
      </c>
      <c r="AL36" s="177">
        <f t="shared" ref="AL36" ca="1" si="57">SUM(E36:AI37)</f>
        <v>188</v>
      </c>
      <c r="AM36" s="177">
        <v>0</v>
      </c>
      <c r="AN36" s="198">
        <f t="shared" ref="AN36" ca="1" si="58">-AM36-AK36+AL36</f>
        <v>13</v>
      </c>
      <c r="AO36" s="198">
        <v>12</v>
      </c>
      <c r="AP36" s="198">
        <f t="shared" ref="AP36" ca="1" si="59">AN36+AP26-AO36</f>
        <v>-16</v>
      </c>
      <c r="AQ36" s="177">
        <v>0</v>
      </c>
      <c r="AR36" s="179">
        <v>1</v>
      </c>
      <c r="CK36" s="59"/>
      <c r="CL36" s="59"/>
      <c r="CM36" s="59"/>
      <c r="CN36" s="59"/>
      <c r="CO36" s="59"/>
      <c r="CP36" s="59"/>
      <c r="CQ36" s="59"/>
      <c r="CR36" s="59"/>
      <c r="CS36" s="59"/>
      <c r="CT36" s="59"/>
      <c r="CU36" s="59"/>
      <c r="CV36" s="59"/>
      <c r="CW36" s="59"/>
      <c r="CX36" s="59"/>
      <c r="CY36" s="59"/>
      <c r="CZ36" s="59"/>
      <c r="DA36" s="59"/>
      <c r="DB36" s="59"/>
      <c r="DC36" s="59"/>
      <c r="DD36" s="59"/>
      <c r="DE36" s="59"/>
      <c r="DF36" s="59"/>
      <c r="DG36" s="59"/>
      <c r="DH36" s="59"/>
      <c r="DI36" s="59"/>
      <c r="DJ36" s="59"/>
      <c r="DK36" s="59"/>
      <c r="DL36" s="59"/>
      <c r="DM36" s="59"/>
      <c r="DN36" s="59"/>
      <c r="DO36" s="59"/>
    </row>
    <row r="37" spans="2:119" ht="16.5" thickBot="1" x14ac:dyDescent="0.3">
      <c r="B37" s="201"/>
      <c r="C37" s="197"/>
      <c r="D37" s="82">
        <v>4</v>
      </c>
      <c r="E37" s="92" t="str">
        <f t="shared" ref="E37:AH37" si="60">IF(INDEX($CK$4:$DO$123,ROW()-3,E$3)=0,"","СП")</f>
        <v/>
      </c>
      <c r="F37" s="92" t="str">
        <f t="shared" si="60"/>
        <v/>
      </c>
      <c r="G37" s="92" t="str">
        <f t="shared" si="60"/>
        <v/>
      </c>
      <c r="H37" s="92" t="str">
        <f t="shared" si="60"/>
        <v/>
      </c>
      <c r="I37" s="92" t="str">
        <f t="shared" si="60"/>
        <v>СП</v>
      </c>
      <c r="J37" s="92" t="str">
        <f t="shared" si="60"/>
        <v/>
      </c>
      <c r="K37" s="92" t="str">
        <f t="shared" si="60"/>
        <v/>
      </c>
      <c r="L37" s="92" t="str">
        <f t="shared" si="60"/>
        <v/>
      </c>
      <c r="M37" s="92" t="str">
        <f t="shared" si="60"/>
        <v/>
      </c>
      <c r="N37" s="92" t="str">
        <f t="shared" si="60"/>
        <v/>
      </c>
      <c r="O37" s="92" t="str">
        <f t="shared" si="60"/>
        <v/>
      </c>
      <c r="P37" s="92" t="str">
        <f t="shared" si="60"/>
        <v/>
      </c>
      <c r="Q37" s="92" t="str">
        <f t="shared" si="60"/>
        <v/>
      </c>
      <c r="R37" s="92" t="str">
        <f t="shared" si="60"/>
        <v/>
      </c>
      <c r="S37" s="92" t="str">
        <f t="shared" si="60"/>
        <v/>
      </c>
      <c r="T37" s="92" t="str">
        <f t="shared" si="60"/>
        <v/>
      </c>
      <c r="U37" s="92" t="str">
        <f t="shared" si="60"/>
        <v/>
      </c>
      <c r="V37" s="92" t="str">
        <f t="shared" si="60"/>
        <v/>
      </c>
      <c r="W37" s="92" t="str">
        <f t="shared" si="60"/>
        <v/>
      </c>
      <c r="X37" s="92" t="str">
        <f t="shared" si="60"/>
        <v/>
      </c>
      <c r="Y37" s="92" t="str">
        <f t="shared" si="60"/>
        <v/>
      </c>
      <c r="Z37" s="92" t="str">
        <f t="shared" si="60"/>
        <v/>
      </c>
      <c r="AA37" s="92" t="str">
        <f t="shared" si="60"/>
        <v/>
      </c>
      <c r="AB37" s="92" t="str">
        <f t="shared" si="60"/>
        <v/>
      </c>
      <c r="AC37" s="92" t="str">
        <f t="shared" si="60"/>
        <v/>
      </c>
      <c r="AD37" s="92" t="str">
        <f t="shared" si="60"/>
        <v/>
      </c>
      <c r="AE37" s="92" t="str">
        <f t="shared" si="60"/>
        <v/>
      </c>
      <c r="AF37" s="92" t="str">
        <f t="shared" si="60"/>
        <v/>
      </c>
      <c r="AG37" s="92" t="str">
        <f t="shared" si="60"/>
        <v/>
      </c>
      <c r="AH37" s="92" t="str">
        <f t="shared" si="60"/>
        <v/>
      </c>
      <c r="AI37" s="119"/>
      <c r="AJ37" s="206"/>
      <c r="AK37" s="177"/>
      <c r="AL37" s="177"/>
      <c r="AM37" s="177"/>
      <c r="AN37" s="198"/>
      <c r="AO37" s="198"/>
      <c r="AP37" s="198"/>
      <c r="AQ37" s="177"/>
      <c r="AR37" s="179"/>
      <c r="CK37" s="58">
        <f>IF(DAY(INDEX('Сводный годовой график'!$BA$4:$BL$14,$C36,MONTH($B$34)))=E$3,1,0)</f>
        <v>0</v>
      </c>
      <c r="CL37" s="58">
        <f>IF(DAY(INDEX('Сводный годовой график'!$BA$4:$BL$14,$C36,MONTH($B$34)))=F$3,1,0)</f>
        <v>0</v>
      </c>
      <c r="CM37" s="58">
        <f>IF(DAY(INDEX('Сводный годовой график'!$BA$4:$BL$14,$C36,MONTH($B$34)))=G$3,1,0)</f>
        <v>0</v>
      </c>
      <c r="CN37" s="58">
        <f>IF(DAY(INDEX('Сводный годовой график'!$BA$4:$BL$14,$C36,MONTH($B$34)))=H$3,1,0)</f>
        <v>0</v>
      </c>
      <c r="CO37" s="58">
        <f>IF(DAY(INDEX('Сводный годовой график'!$BA$4:$BL$14,$C36,MONTH($B$34)))=I$3,1,0)</f>
        <v>1</v>
      </c>
      <c r="CP37" s="58">
        <f>IF(DAY(INDEX('Сводный годовой график'!$BA$4:$BL$14,$C36,MONTH($B$34)))=J$3,1,0)</f>
        <v>0</v>
      </c>
      <c r="CQ37" s="58">
        <f>IF(DAY(INDEX('Сводный годовой график'!$BA$4:$BL$14,$C36,MONTH($B$34)))=K$3,1,0)</f>
        <v>0</v>
      </c>
      <c r="CR37" s="58">
        <f>IF(DAY(INDEX('Сводный годовой график'!$BA$4:$BL$14,$C36,MONTH($B$34)))=L$3,1,0)</f>
        <v>0</v>
      </c>
      <c r="CS37" s="58">
        <f>IF(DAY(INDEX('Сводный годовой график'!$BA$4:$BL$14,$C36,MONTH($B$34)))=M$3,1,0)</f>
        <v>0</v>
      </c>
      <c r="CT37" s="58">
        <f>IF(DAY(INDEX('Сводный годовой график'!$BA$4:$BL$14,$C36,MONTH($B$34)))=N$3,1,0)</f>
        <v>0</v>
      </c>
      <c r="CU37" s="58">
        <f>IF(DAY(INDEX('Сводный годовой график'!$BA$4:$BL$14,$C36,MONTH($B$34)))=O$3,1,0)</f>
        <v>0</v>
      </c>
      <c r="CV37" s="58">
        <f>IF(DAY(INDEX('Сводный годовой график'!$BA$4:$BL$14,$C36,MONTH($B$34)))=P$3,1,0)</f>
        <v>0</v>
      </c>
      <c r="CW37" s="58">
        <f>IF(DAY(INDEX('Сводный годовой график'!$BA$4:$BL$14,$C36,MONTH($B$34)))=Q$3,1,0)</f>
        <v>0</v>
      </c>
      <c r="CX37" s="58">
        <f>IF(DAY(INDEX('Сводный годовой график'!$BA$4:$BL$14,$C36,MONTH($B$34)))=R$3,1,0)</f>
        <v>0</v>
      </c>
      <c r="CY37" s="58">
        <f>IF(DAY(INDEX('Сводный годовой график'!$BA$4:$BL$14,$C36,MONTH($B$34)))=S$3,1,0)</f>
        <v>0</v>
      </c>
      <c r="CZ37" s="58">
        <f>IF(DAY(INDEX('Сводный годовой график'!$BA$4:$BL$14,$C36,MONTH($B$34)))=T$3,1,0)</f>
        <v>0</v>
      </c>
      <c r="DA37" s="58">
        <f>IF(DAY(INDEX('Сводный годовой график'!$BA$4:$BL$14,$C36,MONTH($B$34)))=U$3,1,0)</f>
        <v>0</v>
      </c>
      <c r="DB37" s="58">
        <f>IF(DAY(INDEX('Сводный годовой график'!$BA$4:$BL$14,$C36,MONTH($B$34)))=V$3,1,0)</f>
        <v>0</v>
      </c>
      <c r="DC37" s="58">
        <f>IF(DAY(INDEX('Сводный годовой график'!$BA$4:$BL$14,$C36,MONTH($B$34)))=W$3,1,0)</f>
        <v>0</v>
      </c>
      <c r="DD37" s="58">
        <f>IF(DAY(INDEX('Сводный годовой график'!$BA$4:$BL$14,$C36,MONTH($B$34)))=X$3,1,0)</f>
        <v>0</v>
      </c>
      <c r="DE37" s="58">
        <f>IF(DAY(INDEX('Сводный годовой график'!$BA$4:$BL$14,$C36,MONTH($B$34)))=Y$3,1,0)</f>
        <v>0</v>
      </c>
      <c r="DF37" s="58">
        <f>IF(DAY(INDEX('Сводный годовой график'!$BA$4:$BL$14,$C36,MONTH($B$34)))=Z$3,1,0)</f>
        <v>0</v>
      </c>
      <c r="DG37" s="58">
        <f>IF(DAY(INDEX('Сводный годовой график'!$BA$4:$BL$14,$C36,MONTH($B$34)))=AA$3,1,0)</f>
        <v>0</v>
      </c>
      <c r="DH37" s="58">
        <f>IF(DAY(INDEX('Сводный годовой график'!$BA$4:$BL$14,$C36,MONTH($B$34)))=AB$3,1,0)</f>
        <v>0</v>
      </c>
      <c r="DI37" s="58">
        <f>IF(DAY(INDEX('Сводный годовой график'!$BA$4:$BL$14,$C36,MONTH($B$34)))=AC$3,1,0)</f>
        <v>0</v>
      </c>
      <c r="DJ37" s="58">
        <f>IF(DAY(INDEX('Сводный годовой график'!$BA$4:$BL$14,$C36,MONTH($B$34)))=AD$3,1,0)</f>
        <v>0</v>
      </c>
      <c r="DK37" s="58">
        <f>IF(DAY(INDEX('Сводный годовой график'!$BA$4:$BL$14,$C36,MONTH($B$34)))=AE$3,1,0)</f>
        <v>0</v>
      </c>
      <c r="DL37" s="58">
        <f>IF(DAY(INDEX('Сводный годовой график'!$BA$4:$BL$14,$C36,MONTH($B$34)))=AF$3,1,0)</f>
        <v>0</v>
      </c>
      <c r="DM37" s="58">
        <f>IF(DAY(INDEX('Сводный годовой график'!$BA$4:$BL$14,$C36,MONTH($B$34)))=AG$3,1,0)</f>
        <v>0</v>
      </c>
      <c r="DN37" s="58">
        <f>IF(DAY(INDEX('Сводный годовой график'!$BA$4:$BL$14,$C36,MONTH($B$34)))=AH$3,1,0)</f>
        <v>0</v>
      </c>
      <c r="DO37" s="58">
        <f>IF(DAY(INDEX('Сводный годовой график'!$BA$4:$BL$14,$C36,MONTH($B$34)))=AI$3,1,0)</f>
        <v>0</v>
      </c>
    </row>
    <row r="38" spans="2:119" ht="16.5" thickBot="1" x14ac:dyDescent="0.3">
      <c r="B38" s="201"/>
      <c r="C38" s="196">
        <v>3</v>
      </c>
      <c r="D38" s="81">
        <v>5</v>
      </c>
      <c r="E38" s="92">
        <f ca="1">IF(AND(INDEX('Сводный годовой график'!$C$1:$AR$4,MATCH($C$38,'Сводный годовой график'!$B$1:$B$4),MATCH(DATE($AV$1,MONTH($B$34),E$3),'Сводный годовой график'!$C$8:$AR$8))&lt;&gt;12,INDIRECT(ADDRESS(ROW()+1,COLUMN()))="СП"),8,INDEX('Сводный годовой график'!$C$1:$AR$4,MATCH($C$38,'Сводный годовой график'!$B$1:$B$4),MATCH(DATE($AV$1,MONTH($B$34),E$3),'Сводный годовой график'!$C$8:$AR$8)))</f>
        <v>0</v>
      </c>
      <c r="F38" s="92">
        <f ca="1">IF(AND(INDEX('Сводный годовой график'!$C$1:$AR$4,MATCH($C$38,'Сводный годовой график'!$B$1:$B$4),MATCH(DATE($AV$1,MONTH($B$34),F$3),'Сводный годовой график'!$C$8:$AR$8))&lt;&gt;12,INDIRECT(ADDRESS(ROW()+1,COLUMN()))="СП"),8,INDEX('Сводный годовой график'!$C$1:$AR$4,MATCH($C$38,'Сводный годовой график'!$B$1:$B$4),MATCH(DATE($AV$1,MONTH($B$34),F$3),'Сводный годовой график'!$C$8:$AR$8)))</f>
        <v>0</v>
      </c>
      <c r="G38" s="92">
        <f ca="1">IF(AND(INDEX('Сводный годовой график'!$C$1:$AR$4,MATCH($C$38,'Сводный годовой график'!$B$1:$B$4),MATCH(DATE($AV$1,MONTH($B$34),G$3),'Сводный годовой график'!$C$8:$AR$8))&lt;&gt;12,INDIRECT(ADDRESS(ROW()+1,COLUMN()))="СП"),8,INDEX('Сводный годовой график'!$C$1:$AR$4,MATCH($C$38,'Сводный годовой график'!$B$1:$B$4),MATCH(DATE($AV$1,MONTH($B$34),G$3),'Сводный годовой график'!$C$8:$AR$8)))</f>
        <v>4</v>
      </c>
      <c r="H38" s="92">
        <f ca="1">IF(AND(INDEX('Сводный годовой график'!$C$1:$AR$4,MATCH($C$38,'Сводный годовой график'!$B$1:$B$4),MATCH(DATE($AV$1,MONTH($B$34),H$3),'Сводный годовой график'!$C$8:$AR$8))&lt;&gt;12,INDIRECT(ADDRESS(ROW()+1,COLUMN()))="СП"),8,INDEX('Сводный годовой график'!$C$1:$AR$4,MATCH($C$38,'Сводный годовой график'!$B$1:$B$4),MATCH(DATE($AV$1,MONTH($B$34),H$3),'Сводный годовой график'!$C$8:$AR$8)))</f>
        <v>8</v>
      </c>
      <c r="I38" s="92">
        <f ca="1">IF(AND(INDEX('Сводный годовой график'!$C$1:$AR$4,MATCH($C$38,'Сводный годовой график'!$B$1:$B$4),MATCH(DATE($AV$1,MONTH($B$34),I$3),'Сводный годовой график'!$C$8:$AR$8))&lt;&gt;12,INDIRECT(ADDRESS(ROW()+1,COLUMN()))="СП"),8,INDEX('Сводный годовой график'!$C$1:$AR$4,MATCH($C$38,'Сводный годовой график'!$B$1:$B$4),MATCH(DATE($AV$1,MONTH($B$34),I$3),'Сводный годовой график'!$C$8:$AR$8)))</f>
        <v>12</v>
      </c>
      <c r="J38" s="92">
        <f ca="1">IF(AND(INDEX('Сводный годовой график'!$C$1:$AR$4,MATCH($C$38,'Сводный годовой график'!$B$1:$B$4),MATCH(DATE($AV$1,MONTH($B$34),J$3),'Сводный годовой график'!$C$8:$AR$8))&lt;&gt;12,INDIRECT(ADDRESS(ROW()+1,COLUMN()))="СП"),8,INDEX('Сводный годовой график'!$C$1:$AR$4,MATCH($C$38,'Сводный годовой график'!$B$1:$B$4),MATCH(DATE($AV$1,MONTH($B$34),J$3),'Сводный годовой график'!$C$8:$AR$8)))</f>
        <v>8</v>
      </c>
      <c r="K38" s="92">
        <f ca="1">IF(AND(INDEX('Сводный годовой график'!$C$1:$AR$4,MATCH($C$38,'Сводный годовой график'!$B$1:$B$4),MATCH(DATE($AV$1,MONTH($B$34),K$3),'Сводный годовой график'!$C$8:$AR$8))&lt;&gt;12,INDIRECT(ADDRESS(ROW()+1,COLUMN()))="СП"),8,INDEX('Сводный годовой график'!$C$1:$AR$4,MATCH($C$38,'Сводный годовой график'!$B$1:$B$4),MATCH(DATE($AV$1,MONTH($B$34),K$3),'Сводный годовой график'!$C$8:$AR$8)))</f>
        <v>8</v>
      </c>
      <c r="L38" s="92">
        <f ca="1">IF(AND(INDEX('Сводный годовой график'!$C$1:$AR$4,MATCH($C$38,'Сводный годовой график'!$B$1:$B$4),MATCH(DATE($AV$1,MONTH($B$34),L$3),'Сводный годовой график'!$C$8:$AR$8))&lt;&gt;12,INDIRECT(ADDRESS(ROW()+1,COLUMN()))="СП"),8,INDEX('Сводный годовой график'!$C$1:$AR$4,MATCH($C$38,'Сводный годовой график'!$B$1:$B$4),MATCH(DATE($AV$1,MONTH($B$34),L$3),'Сводный годовой график'!$C$8:$AR$8)))</f>
        <v>12</v>
      </c>
      <c r="M38" s="92">
        <f ca="1">IF(AND(INDEX('Сводный годовой график'!$C$1:$AR$4,MATCH($C$38,'Сводный годовой график'!$B$1:$B$4),MATCH(DATE($AV$1,MONTH($B$34),M$3),'Сводный годовой график'!$C$8:$AR$8))&lt;&gt;12,INDIRECT(ADDRESS(ROW()+1,COLUMN()))="СП"),8,INDEX('Сводный годовой график'!$C$1:$AR$4,MATCH($C$38,'Сводный годовой график'!$B$1:$B$4),MATCH(DATE($AV$1,MONTH($B$34),M$3),'Сводный годовой график'!$C$8:$AR$8)))</f>
        <v>0</v>
      </c>
      <c r="N38" s="92">
        <f ca="1">IF(AND(INDEX('Сводный годовой график'!$C$1:$AR$4,MATCH($C$38,'Сводный годовой график'!$B$1:$B$4),MATCH(DATE($AV$1,MONTH($B$34),N$3),'Сводный годовой график'!$C$8:$AR$8))&lt;&gt;12,INDIRECT(ADDRESS(ROW()+1,COLUMN()))="СП"),8,INDEX('Сводный годовой график'!$C$1:$AR$4,MATCH($C$38,'Сводный годовой график'!$B$1:$B$4),MATCH(DATE($AV$1,MONTH($B$34),N$3),'Сводный годовой график'!$C$8:$AR$8)))</f>
        <v>0</v>
      </c>
      <c r="O38" s="92">
        <f ca="1">IF(AND(INDEX('Сводный годовой график'!$C$1:$AR$4,MATCH($C$38,'Сводный годовой график'!$B$1:$B$4),MATCH(DATE($AV$1,MONTH($B$34),O$3),'Сводный годовой график'!$C$8:$AR$8))&lt;&gt;12,INDIRECT(ADDRESS(ROW()+1,COLUMN()))="СП"),8,INDEX('Сводный годовой график'!$C$1:$AR$4,MATCH($C$38,'Сводный годовой график'!$B$1:$B$4),MATCH(DATE($AV$1,MONTH($B$34),O$3),'Сводный годовой график'!$C$8:$AR$8)))</f>
        <v>4</v>
      </c>
      <c r="P38" s="92">
        <f ca="1">IF(AND(INDEX('Сводный годовой график'!$C$1:$AR$4,MATCH($C$38,'Сводный годовой график'!$B$1:$B$4),MATCH(DATE($AV$1,MONTH($B$34),P$3),'Сводный годовой график'!$C$8:$AR$8))&lt;&gt;12,INDIRECT(ADDRESS(ROW()+1,COLUMN()))="СП"),8,INDEX('Сводный годовой график'!$C$1:$AR$4,MATCH($C$38,'Сводный годовой график'!$B$1:$B$4),MATCH(DATE($AV$1,MONTH($B$34),P$3),'Сводный годовой график'!$C$8:$AR$8)))</f>
        <v>8</v>
      </c>
      <c r="Q38" s="92">
        <f ca="1">IF(AND(INDEX('Сводный годовой график'!$C$1:$AR$4,MATCH($C$38,'Сводный годовой график'!$B$1:$B$4),MATCH(DATE($AV$1,MONTH($B$34),Q$3),'Сводный годовой график'!$C$8:$AR$8))&lt;&gt;12,INDIRECT(ADDRESS(ROW()+1,COLUMN()))="СП"),8,INDEX('Сводный годовой график'!$C$1:$AR$4,MATCH($C$38,'Сводный годовой график'!$B$1:$B$4),MATCH(DATE($AV$1,MONTH($B$34),Q$3),'Сводный годовой график'!$C$8:$AR$8)))</f>
        <v>12</v>
      </c>
      <c r="R38" s="92">
        <f ca="1">IF(AND(INDEX('Сводный годовой график'!$C$1:$AR$4,MATCH($C$38,'Сводный годовой график'!$B$1:$B$4),MATCH(DATE($AV$1,MONTH($B$34),R$3),'Сводный годовой график'!$C$8:$AR$8))&lt;&gt;12,INDIRECT(ADDRESS(ROW()+1,COLUMN()))="СП"),8,INDEX('Сводный годовой график'!$C$1:$AR$4,MATCH($C$38,'Сводный годовой график'!$B$1:$B$4),MATCH(DATE($AV$1,MONTH($B$34),R$3),'Сводный годовой график'!$C$8:$AR$8)))</f>
        <v>4</v>
      </c>
      <c r="S38" s="92">
        <f ca="1">IF(AND(INDEX('Сводный годовой график'!$C$1:$AR$4,MATCH($C$38,'Сводный годовой график'!$B$1:$B$4),MATCH(DATE($AV$1,MONTH($B$34),S$3),'Сводный годовой график'!$C$8:$AR$8))&lt;&gt;12,INDIRECT(ADDRESS(ROW()+1,COLUMN()))="СП"),8,INDEX('Сводный годовой график'!$C$1:$AR$4,MATCH($C$38,'Сводный годовой график'!$B$1:$B$4),MATCH(DATE($AV$1,MONTH($B$34),S$3),'Сводный годовой график'!$C$8:$AR$8)))</f>
        <v>8</v>
      </c>
      <c r="T38" s="92">
        <f ca="1">IF(AND(INDEX('Сводный годовой график'!$C$1:$AR$4,MATCH($C$38,'Сводный годовой график'!$B$1:$B$4),MATCH(DATE($AV$1,MONTH($B$34),T$3),'Сводный годовой график'!$C$8:$AR$8))&lt;&gt;12,INDIRECT(ADDRESS(ROW()+1,COLUMN()))="СП"),8,INDEX('Сводный годовой график'!$C$1:$AR$4,MATCH($C$38,'Сводный годовой график'!$B$1:$B$4),MATCH(DATE($AV$1,MONTH($B$34),T$3),'Сводный годовой график'!$C$8:$AR$8)))</f>
        <v>12</v>
      </c>
      <c r="U38" s="92">
        <f ca="1">IF(AND(INDEX('Сводный годовой график'!$C$1:$AR$4,MATCH($C$38,'Сводный годовой график'!$B$1:$B$4),MATCH(DATE($AV$1,MONTH($B$34),U$3),'Сводный годовой график'!$C$8:$AR$8))&lt;&gt;12,INDIRECT(ADDRESS(ROW()+1,COLUMN()))="СП"),8,INDEX('Сводный годовой график'!$C$1:$AR$4,MATCH($C$38,'Сводный годовой график'!$B$1:$B$4),MATCH(DATE($AV$1,MONTH($B$34),U$3),'Сводный годовой график'!$C$8:$AR$8)))</f>
        <v>0</v>
      </c>
      <c r="V38" s="92">
        <f ca="1">IF(AND(INDEX('Сводный годовой график'!$C$1:$AR$4,MATCH($C$38,'Сводный годовой график'!$B$1:$B$4),MATCH(DATE($AV$1,MONTH($B$34),V$3),'Сводный годовой график'!$C$8:$AR$8))&lt;&gt;12,INDIRECT(ADDRESS(ROW()+1,COLUMN()))="СП"),8,INDEX('Сводный годовой график'!$C$1:$AR$4,MATCH($C$38,'Сводный годовой график'!$B$1:$B$4),MATCH(DATE($AV$1,MONTH($B$34),V$3),'Сводный годовой график'!$C$8:$AR$8)))</f>
        <v>0</v>
      </c>
      <c r="W38" s="92">
        <f ca="1">IF(AND(INDEX('Сводный годовой график'!$C$1:$AR$4,MATCH($C$38,'Сводный годовой график'!$B$1:$B$4),MATCH(DATE($AV$1,MONTH($B$34),W$3),'Сводный годовой график'!$C$8:$AR$8))&lt;&gt;12,INDIRECT(ADDRESS(ROW()+1,COLUMN()))="СП"),8,INDEX('Сводный годовой график'!$C$1:$AR$4,MATCH($C$38,'Сводный годовой график'!$B$1:$B$4),MATCH(DATE($AV$1,MONTH($B$34),W$3),'Сводный годовой график'!$C$8:$AR$8)))</f>
        <v>4</v>
      </c>
      <c r="X38" s="92">
        <f ca="1">IF(AND(INDEX('Сводный годовой график'!$C$1:$AR$4,MATCH($C$38,'Сводный годовой график'!$B$1:$B$4),MATCH(DATE($AV$1,MONTH($B$34),X$3),'Сводный годовой график'!$C$8:$AR$8))&lt;&gt;12,INDIRECT(ADDRESS(ROW()+1,COLUMN()))="СП"),8,INDEX('Сводный годовой график'!$C$1:$AR$4,MATCH($C$38,'Сводный годовой график'!$B$1:$B$4),MATCH(DATE($AV$1,MONTH($B$34),X$3),'Сводный годовой график'!$C$8:$AR$8)))</f>
        <v>8</v>
      </c>
      <c r="Y38" s="92">
        <f ca="1">IF(AND(INDEX('Сводный годовой график'!$C$1:$AR$4,MATCH($C$38,'Сводный годовой график'!$B$1:$B$4),MATCH(DATE($AV$1,MONTH($B$34),Y$3),'Сводный годовой график'!$C$8:$AR$8))&lt;&gt;12,INDIRECT(ADDRESS(ROW()+1,COLUMN()))="СП"),8,INDEX('Сводный годовой график'!$C$1:$AR$4,MATCH($C$38,'Сводный годовой график'!$B$1:$B$4),MATCH(DATE($AV$1,MONTH($B$34),Y$3),'Сводный годовой график'!$C$8:$AR$8)))</f>
        <v>12</v>
      </c>
      <c r="Z38" s="92">
        <f ca="1">IF(AND(INDEX('Сводный годовой график'!$C$1:$AR$4,MATCH($C$38,'Сводный годовой график'!$B$1:$B$4),MATCH(DATE($AV$1,MONTH($B$34),Z$3),'Сводный годовой график'!$C$8:$AR$8))&lt;&gt;12,INDIRECT(ADDRESS(ROW()+1,COLUMN()))="СП"),8,INDEX('Сводный годовой график'!$C$1:$AR$4,MATCH($C$38,'Сводный годовой график'!$B$1:$B$4),MATCH(DATE($AV$1,MONTH($B$34),Z$3),'Сводный годовой график'!$C$8:$AR$8)))</f>
        <v>4</v>
      </c>
      <c r="AA38" s="92">
        <f ca="1">IF(AND(INDEX('Сводный годовой график'!$C$1:$AR$4,MATCH($C$38,'Сводный годовой график'!$B$1:$B$4),MATCH(DATE($AV$1,MONTH($B$34),AA$3),'Сводный годовой график'!$C$8:$AR$8))&lt;&gt;12,INDIRECT(ADDRESS(ROW()+1,COLUMN()))="СП"),8,INDEX('Сводный годовой график'!$C$1:$AR$4,MATCH($C$38,'Сводный годовой график'!$B$1:$B$4),MATCH(DATE($AV$1,MONTH($B$34),AA$3),'Сводный годовой график'!$C$8:$AR$8)))</f>
        <v>8</v>
      </c>
      <c r="AB38" s="92">
        <f ca="1">IF(AND(INDEX('Сводный годовой график'!$C$1:$AR$4,MATCH($C$38,'Сводный годовой график'!$B$1:$B$4),MATCH(DATE($AV$1,MONTH($B$34),AB$3),'Сводный годовой график'!$C$8:$AR$8))&lt;&gt;12,INDIRECT(ADDRESS(ROW()+1,COLUMN()))="СП"),8,INDEX('Сводный годовой график'!$C$1:$AR$4,MATCH($C$38,'Сводный годовой график'!$B$1:$B$4),MATCH(DATE($AV$1,MONTH($B$34),AB$3),'Сводный годовой график'!$C$8:$AR$8)))</f>
        <v>12</v>
      </c>
      <c r="AC38" s="92">
        <f ca="1">IF(AND(INDEX('Сводный годовой график'!$C$1:$AR$4,MATCH($C$38,'Сводный годовой график'!$B$1:$B$4),MATCH(DATE($AV$1,MONTH($B$34),AC$3),'Сводный годовой график'!$C$8:$AR$8))&lt;&gt;12,INDIRECT(ADDRESS(ROW()+1,COLUMN()))="СП"),8,INDEX('Сводный годовой график'!$C$1:$AR$4,MATCH($C$38,'Сводный годовой график'!$B$1:$B$4),MATCH(DATE($AV$1,MONTH($B$34),AC$3),'Сводный годовой график'!$C$8:$AR$8)))</f>
        <v>0</v>
      </c>
      <c r="AD38" s="92">
        <f ca="1">IF(AND(INDEX('Сводный годовой график'!$C$1:$AR$4,MATCH($C$38,'Сводный годовой график'!$B$1:$B$4),MATCH(DATE($AV$1,MONTH($B$34),AD$3),'Сводный годовой график'!$C$8:$AR$8))&lt;&gt;12,INDIRECT(ADDRESS(ROW()+1,COLUMN()))="СП"),8,INDEX('Сводный годовой график'!$C$1:$AR$4,MATCH($C$38,'Сводный годовой график'!$B$1:$B$4),MATCH(DATE($AV$1,MONTH($B$34),AD$3),'Сводный годовой график'!$C$8:$AR$8)))</f>
        <v>0</v>
      </c>
      <c r="AE38" s="92">
        <f ca="1">IF(AND(INDEX('Сводный годовой график'!$C$1:$AR$4,MATCH($C$38,'Сводный годовой график'!$B$1:$B$4),MATCH(DATE($AV$1,MONTH($B$34),AE$3),'Сводный годовой график'!$C$8:$AR$8))&lt;&gt;12,INDIRECT(ADDRESS(ROW()+1,COLUMN()))="СП"),8,INDEX('Сводный годовой график'!$C$1:$AR$4,MATCH($C$38,'Сводный годовой график'!$B$1:$B$4),MATCH(DATE($AV$1,MONTH($B$34),AE$3),'Сводный годовой график'!$C$8:$AR$8)))</f>
        <v>4</v>
      </c>
      <c r="AF38" s="92">
        <f ca="1">IF(AND(INDEX('Сводный годовой график'!$C$1:$AR$4,MATCH($C$38,'Сводный годовой график'!$B$1:$B$4),MATCH(DATE($AV$1,MONTH($B$34),AF$3),'Сводный годовой график'!$C$8:$AR$8))&lt;&gt;12,INDIRECT(ADDRESS(ROW()+1,COLUMN()))="СП"),8,INDEX('Сводный годовой график'!$C$1:$AR$4,MATCH($C$38,'Сводный годовой график'!$B$1:$B$4),MATCH(DATE($AV$1,MONTH($B$34),AF$3),'Сводный годовой график'!$C$8:$AR$8)))</f>
        <v>8</v>
      </c>
      <c r="AG38" s="92">
        <f ca="1">IF(AND(INDEX('Сводный годовой график'!$C$1:$AR$4,MATCH($C$38,'Сводный годовой график'!$B$1:$B$4),MATCH(DATE($AV$1,MONTH($B$34),AG$3),'Сводный годовой график'!$C$8:$AR$8))&lt;&gt;12,INDIRECT(ADDRESS(ROW()+1,COLUMN()))="СП"),8,INDEX('Сводный годовой график'!$C$1:$AR$4,MATCH($C$38,'Сводный годовой график'!$B$1:$B$4),MATCH(DATE($AV$1,MONTH($B$34),AG$3),'Сводный годовой график'!$C$8:$AR$8)))</f>
        <v>12</v>
      </c>
      <c r="AH38" s="92">
        <f ca="1">IF(AND(INDEX('Сводный годовой график'!$C$1:$AR$4,MATCH($C$38,'Сводный годовой график'!$B$1:$B$4),MATCH(DATE($AV$1,MONTH($B$34),AH$3),'Сводный годовой график'!$C$8:$AR$8))&lt;&gt;12,INDIRECT(ADDRESS(ROW()+1,COLUMN()))="СП"),8,INDEX('Сводный годовой график'!$C$1:$AR$4,MATCH($C$38,'Сводный годовой график'!$B$1:$B$4),MATCH(DATE($AV$1,MONTH($B$34),AH$3),'Сводный годовой график'!$C$8:$AR$8)))</f>
        <v>4</v>
      </c>
      <c r="AI38" s="119"/>
      <c r="AJ38" s="206"/>
      <c r="AK38" s="177">
        <f>$AJ$34-SUM(AY38:CC39)</f>
        <v>175</v>
      </c>
      <c r="AL38" s="177">
        <f t="shared" ref="AL38" ca="1" si="61">SUM(E38:AI39)</f>
        <v>176</v>
      </c>
      <c r="AM38" s="177">
        <v>0</v>
      </c>
      <c r="AN38" s="198">
        <f t="shared" ref="AN38" ca="1" si="62">-AM38-AK38+AL38</f>
        <v>1</v>
      </c>
      <c r="AO38" s="198">
        <v>0</v>
      </c>
      <c r="AP38" s="198">
        <f t="shared" ref="AP38" ca="1" si="63">AN38+AP28-AO38</f>
        <v>18</v>
      </c>
      <c r="AQ38" s="177">
        <v>0</v>
      </c>
      <c r="AR38" s="179">
        <v>1</v>
      </c>
      <c r="CK38" s="59"/>
      <c r="CL38" s="59"/>
      <c r="CM38" s="59"/>
      <c r="CN38" s="59"/>
      <c r="CO38" s="59"/>
      <c r="CP38" s="59"/>
      <c r="CQ38" s="59"/>
      <c r="CR38" s="59"/>
      <c r="CS38" s="59"/>
      <c r="CT38" s="59"/>
      <c r="CU38" s="59"/>
      <c r="CV38" s="59"/>
      <c r="CW38" s="59"/>
      <c r="CX38" s="59"/>
      <c r="CY38" s="59"/>
      <c r="CZ38" s="59"/>
      <c r="DA38" s="59"/>
      <c r="DB38" s="59"/>
      <c r="DC38" s="59"/>
      <c r="DD38" s="59"/>
      <c r="DE38" s="59"/>
      <c r="DF38" s="59"/>
      <c r="DG38" s="59"/>
      <c r="DH38" s="59"/>
      <c r="DI38" s="59"/>
      <c r="DJ38" s="59"/>
      <c r="DK38" s="59"/>
      <c r="DL38" s="59"/>
      <c r="DM38" s="59"/>
      <c r="DN38" s="59"/>
      <c r="DO38" s="59"/>
    </row>
    <row r="39" spans="2:119" ht="16.5" thickBot="1" x14ac:dyDescent="0.3">
      <c r="B39" s="201"/>
      <c r="C39" s="197"/>
      <c r="D39" s="82">
        <v>6</v>
      </c>
      <c r="E39" s="92" t="str">
        <f t="shared" ref="E39:AH39" si="64">IF(INDEX($CK$4:$DO$123,ROW()-3,E$3)=0,"","СП")</f>
        <v/>
      </c>
      <c r="F39" s="92" t="str">
        <f t="shared" si="64"/>
        <v/>
      </c>
      <c r="G39" s="92" t="str">
        <f t="shared" si="64"/>
        <v/>
      </c>
      <c r="H39" s="92" t="str">
        <f t="shared" si="64"/>
        <v/>
      </c>
      <c r="I39" s="92" t="str">
        <f t="shared" si="64"/>
        <v/>
      </c>
      <c r="J39" s="92" t="str">
        <f t="shared" si="64"/>
        <v>СП</v>
      </c>
      <c r="K39" s="92" t="str">
        <f t="shared" si="64"/>
        <v/>
      </c>
      <c r="L39" s="92" t="str">
        <f t="shared" si="64"/>
        <v/>
      </c>
      <c r="M39" s="92" t="str">
        <f t="shared" si="64"/>
        <v/>
      </c>
      <c r="N39" s="92" t="str">
        <f t="shared" si="64"/>
        <v/>
      </c>
      <c r="O39" s="92" t="str">
        <f t="shared" si="64"/>
        <v/>
      </c>
      <c r="P39" s="92" t="str">
        <f t="shared" si="64"/>
        <v/>
      </c>
      <c r="Q39" s="92" t="str">
        <f t="shared" si="64"/>
        <v/>
      </c>
      <c r="R39" s="92" t="str">
        <f t="shared" si="64"/>
        <v/>
      </c>
      <c r="S39" s="92" t="str">
        <f t="shared" si="64"/>
        <v/>
      </c>
      <c r="T39" s="92" t="str">
        <f t="shared" si="64"/>
        <v/>
      </c>
      <c r="U39" s="92" t="str">
        <f t="shared" si="64"/>
        <v/>
      </c>
      <c r="V39" s="92" t="str">
        <f t="shared" si="64"/>
        <v/>
      </c>
      <c r="W39" s="92" t="str">
        <f t="shared" si="64"/>
        <v/>
      </c>
      <c r="X39" s="92" t="str">
        <f t="shared" si="64"/>
        <v/>
      </c>
      <c r="Y39" s="92" t="str">
        <f t="shared" si="64"/>
        <v/>
      </c>
      <c r="Z39" s="92" t="str">
        <f t="shared" si="64"/>
        <v/>
      </c>
      <c r="AA39" s="92" t="str">
        <f t="shared" si="64"/>
        <v/>
      </c>
      <c r="AB39" s="92" t="str">
        <f t="shared" si="64"/>
        <v/>
      </c>
      <c r="AC39" s="92" t="str">
        <f t="shared" si="64"/>
        <v/>
      </c>
      <c r="AD39" s="92" t="str">
        <f t="shared" si="64"/>
        <v/>
      </c>
      <c r="AE39" s="92" t="str">
        <f t="shared" si="64"/>
        <v/>
      </c>
      <c r="AF39" s="92" t="str">
        <f t="shared" si="64"/>
        <v/>
      </c>
      <c r="AG39" s="92" t="str">
        <f t="shared" si="64"/>
        <v/>
      </c>
      <c r="AH39" s="92" t="str">
        <f t="shared" si="64"/>
        <v/>
      </c>
      <c r="AI39" s="119"/>
      <c r="AJ39" s="206"/>
      <c r="AK39" s="177"/>
      <c r="AL39" s="177"/>
      <c r="AM39" s="177"/>
      <c r="AN39" s="198"/>
      <c r="AO39" s="198"/>
      <c r="AP39" s="198"/>
      <c r="AQ39" s="177"/>
      <c r="AR39" s="179"/>
      <c r="CK39" s="58">
        <f>IF(DAY(INDEX('Сводный годовой график'!$BA$4:$BL$14,$C38,MONTH($B$34)))=E$3,1,0)</f>
        <v>0</v>
      </c>
      <c r="CL39" s="58">
        <f>IF(DAY(INDEX('Сводный годовой график'!$BA$4:$BL$14,$C38,MONTH($B$34)))=F$3,1,0)</f>
        <v>0</v>
      </c>
      <c r="CM39" s="58">
        <f>IF(DAY(INDEX('Сводный годовой график'!$BA$4:$BL$14,$C38,MONTH($B$34)))=G$3,1,0)</f>
        <v>0</v>
      </c>
      <c r="CN39" s="58">
        <f>IF(DAY(INDEX('Сводный годовой график'!$BA$4:$BL$14,$C38,MONTH($B$34)))=H$3,1,0)</f>
        <v>0</v>
      </c>
      <c r="CO39" s="58">
        <f>IF(DAY(INDEX('Сводный годовой график'!$BA$4:$BL$14,$C38,MONTH($B$34)))=I$3,1,0)</f>
        <v>0</v>
      </c>
      <c r="CP39" s="58">
        <f>IF(DAY(INDEX('Сводный годовой график'!$BA$4:$BL$14,$C38,MONTH($B$34)))=J$3,1,0)</f>
        <v>1</v>
      </c>
      <c r="CQ39" s="58">
        <f>IF(DAY(INDEX('Сводный годовой график'!$BA$4:$BL$14,$C38,MONTH($B$34)))=K$3,1,0)</f>
        <v>0</v>
      </c>
      <c r="CR39" s="58">
        <f>IF(DAY(INDEX('Сводный годовой график'!$BA$4:$BL$14,$C38,MONTH($B$34)))=L$3,1,0)</f>
        <v>0</v>
      </c>
      <c r="CS39" s="58">
        <f>IF(DAY(INDEX('Сводный годовой график'!$BA$4:$BL$14,$C38,MONTH($B$34)))=M$3,1,0)</f>
        <v>0</v>
      </c>
      <c r="CT39" s="58">
        <f>IF(DAY(INDEX('Сводный годовой график'!$BA$4:$BL$14,$C38,MONTH($B$34)))=N$3,1,0)</f>
        <v>0</v>
      </c>
      <c r="CU39" s="58">
        <f>IF(DAY(INDEX('Сводный годовой график'!$BA$4:$BL$14,$C38,MONTH($B$34)))=O$3,1,0)</f>
        <v>0</v>
      </c>
      <c r="CV39" s="58">
        <f>IF(DAY(INDEX('Сводный годовой график'!$BA$4:$BL$14,$C38,MONTH($B$34)))=P$3,1,0)</f>
        <v>0</v>
      </c>
      <c r="CW39" s="58">
        <f>IF(DAY(INDEX('Сводный годовой график'!$BA$4:$BL$14,$C38,MONTH($B$34)))=Q$3,1,0)</f>
        <v>0</v>
      </c>
      <c r="CX39" s="58">
        <f>IF(DAY(INDEX('Сводный годовой график'!$BA$4:$BL$14,$C38,MONTH($B$34)))=R$3,1,0)</f>
        <v>0</v>
      </c>
      <c r="CY39" s="58">
        <f>IF(DAY(INDEX('Сводный годовой график'!$BA$4:$BL$14,$C38,MONTH($B$34)))=S$3,1,0)</f>
        <v>0</v>
      </c>
      <c r="CZ39" s="58">
        <f>IF(DAY(INDEX('Сводный годовой график'!$BA$4:$BL$14,$C38,MONTH($B$34)))=T$3,1,0)</f>
        <v>0</v>
      </c>
      <c r="DA39" s="58">
        <f>IF(DAY(INDEX('Сводный годовой график'!$BA$4:$BL$14,$C38,MONTH($B$34)))=U$3,1,0)</f>
        <v>0</v>
      </c>
      <c r="DB39" s="58">
        <f>IF(DAY(INDEX('Сводный годовой график'!$BA$4:$BL$14,$C38,MONTH($B$34)))=V$3,1,0)</f>
        <v>0</v>
      </c>
      <c r="DC39" s="58">
        <f>IF(DAY(INDEX('Сводный годовой график'!$BA$4:$BL$14,$C38,MONTH($B$34)))=W$3,1,0)</f>
        <v>0</v>
      </c>
      <c r="DD39" s="58">
        <f>IF(DAY(INDEX('Сводный годовой график'!$BA$4:$BL$14,$C38,MONTH($B$34)))=X$3,1,0)</f>
        <v>0</v>
      </c>
      <c r="DE39" s="58">
        <f>IF(DAY(INDEX('Сводный годовой график'!$BA$4:$BL$14,$C38,MONTH($B$34)))=Y$3,1,0)</f>
        <v>0</v>
      </c>
      <c r="DF39" s="58">
        <f>IF(DAY(INDEX('Сводный годовой график'!$BA$4:$BL$14,$C38,MONTH($B$34)))=Z$3,1,0)</f>
        <v>0</v>
      </c>
      <c r="DG39" s="58">
        <f>IF(DAY(INDEX('Сводный годовой график'!$BA$4:$BL$14,$C38,MONTH($B$34)))=AA$3,1,0)</f>
        <v>0</v>
      </c>
      <c r="DH39" s="58">
        <f>IF(DAY(INDEX('Сводный годовой график'!$BA$4:$BL$14,$C38,MONTH($B$34)))=AB$3,1,0)</f>
        <v>0</v>
      </c>
      <c r="DI39" s="58">
        <f>IF(DAY(INDEX('Сводный годовой график'!$BA$4:$BL$14,$C38,MONTH($B$34)))=AC$3,1,0)</f>
        <v>0</v>
      </c>
      <c r="DJ39" s="58">
        <f>IF(DAY(INDEX('Сводный годовой график'!$BA$4:$BL$14,$C38,MONTH($B$34)))=AD$3,1,0)</f>
        <v>0</v>
      </c>
      <c r="DK39" s="58">
        <f>IF(DAY(INDEX('Сводный годовой график'!$BA$4:$BL$14,$C38,MONTH($B$34)))=AE$3,1,0)</f>
        <v>0</v>
      </c>
      <c r="DL39" s="58">
        <f>IF(DAY(INDEX('Сводный годовой график'!$BA$4:$BL$14,$C38,MONTH($B$34)))=AF$3,1,0)</f>
        <v>0</v>
      </c>
      <c r="DM39" s="58">
        <f>IF(DAY(INDEX('Сводный годовой график'!$BA$4:$BL$14,$C38,MONTH($B$34)))=AG$3,1,0)</f>
        <v>0</v>
      </c>
      <c r="DN39" s="58">
        <f>IF(DAY(INDEX('Сводный годовой график'!$BA$4:$BL$14,$C38,MONTH($B$34)))=AH$3,1,0)</f>
        <v>0</v>
      </c>
      <c r="DO39" s="58">
        <f>IF(DAY(INDEX('Сводный годовой график'!$BA$4:$BL$14,$C38,MONTH($B$34)))=AI$3,1,0)</f>
        <v>0</v>
      </c>
    </row>
    <row r="40" spans="2:119" ht="16.5" thickBot="1" x14ac:dyDescent="0.3">
      <c r="B40" s="201"/>
      <c r="C40" s="196">
        <v>4</v>
      </c>
      <c r="D40" s="81">
        <v>7</v>
      </c>
      <c r="E40" s="92">
        <f ca="1">IF(AND(INDEX('Сводный годовой график'!$C$1:$AR$4,MATCH($C$40,'Сводный годовой график'!$B$1:$B$4),MATCH(DATE($AV$1,MONTH($B$34),E$3),'Сводный годовой график'!$C$8:$AR$8))&lt;&gt;12,INDIRECT(ADDRESS(ROW()+1,COLUMN()))="СП"),8,INDEX('Сводный годовой график'!$C$1:$AR$4,MATCH($C$40,'Сводный годовой график'!$B$1:$B$4),MATCH(DATE($AV$1,MONTH($B$34),E$3),'Сводный годовой график'!$C$8:$AR$8)))</f>
        <v>8</v>
      </c>
      <c r="F40" s="92">
        <f ca="1">IF(AND(INDEX('Сводный годовой график'!$C$1:$AR$4,MATCH($C$40,'Сводный годовой график'!$B$1:$B$4),MATCH(DATE($AV$1,MONTH($B$34),F$3),'Сводный годовой график'!$C$8:$AR$8))&lt;&gt;12,INDIRECT(ADDRESS(ROW()+1,COLUMN()))="СП"),8,INDEX('Сводный годовой график'!$C$1:$AR$4,MATCH($C$40,'Сводный годовой график'!$B$1:$B$4),MATCH(DATE($AV$1,MONTH($B$34),F$3),'Сводный годовой график'!$C$8:$AR$8)))</f>
        <v>12</v>
      </c>
      <c r="G40" s="92">
        <f ca="1">IF(AND(INDEX('Сводный годовой график'!$C$1:$AR$4,MATCH($C$40,'Сводный годовой график'!$B$1:$B$4),MATCH(DATE($AV$1,MONTH($B$34),G$3),'Сводный годовой график'!$C$8:$AR$8))&lt;&gt;12,INDIRECT(ADDRESS(ROW()+1,COLUMN()))="СП"),8,INDEX('Сводный годовой график'!$C$1:$AR$4,MATCH($C$40,'Сводный годовой график'!$B$1:$B$4),MATCH(DATE($AV$1,MONTH($B$34),G$3),'Сводный годовой график'!$C$8:$AR$8)))</f>
        <v>0</v>
      </c>
      <c r="H40" s="92">
        <f ca="1">IF(AND(INDEX('Сводный годовой график'!$C$1:$AR$4,MATCH($C$40,'Сводный годовой график'!$B$1:$B$4),MATCH(DATE($AV$1,MONTH($B$34),H$3),'Сводный годовой график'!$C$8:$AR$8))&lt;&gt;12,INDIRECT(ADDRESS(ROW()+1,COLUMN()))="СП"),8,INDEX('Сводный годовой график'!$C$1:$AR$4,MATCH($C$40,'Сводный годовой график'!$B$1:$B$4),MATCH(DATE($AV$1,MONTH($B$34),H$3),'Сводный годовой график'!$C$8:$AR$8)))</f>
        <v>0</v>
      </c>
      <c r="I40" s="92">
        <f ca="1">IF(AND(INDEX('Сводный годовой график'!$C$1:$AR$4,MATCH($C$40,'Сводный годовой график'!$B$1:$B$4),MATCH(DATE($AV$1,MONTH($B$34),I$3),'Сводный годовой график'!$C$8:$AR$8))&lt;&gt;12,INDIRECT(ADDRESS(ROW()+1,COLUMN()))="СП"),8,INDEX('Сводный годовой график'!$C$1:$AR$4,MATCH($C$40,'Сводный годовой график'!$B$1:$B$4),MATCH(DATE($AV$1,MONTH($B$34),I$3),'Сводный годовой график'!$C$8:$AR$8)))</f>
        <v>4</v>
      </c>
      <c r="J40" s="92">
        <f ca="1">IF(AND(INDEX('Сводный годовой график'!$C$1:$AR$4,MATCH($C$40,'Сводный годовой график'!$B$1:$B$4),MATCH(DATE($AV$1,MONTH($B$34),J$3),'Сводный годовой график'!$C$8:$AR$8))&lt;&gt;12,INDIRECT(ADDRESS(ROW()+1,COLUMN()))="СП"),8,INDEX('Сводный годовой график'!$C$1:$AR$4,MATCH($C$40,'Сводный годовой график'!$B$1:$B$4),MATCH(DATE($AV$1,MONTH($B$34),J$3),'Сводный годовой график'!$C$8:$AR$8)))</f>
        <v>8</v>
      </c>
      <c r="K40" s="92">
        <f ca="1">IF(AND(INDEX('Сводный годовой график'!$C$1:$AR$4,MATCH($C$40,'Сводный годовой график'!$B$1:$B$4),MATCH(DATE($AV$1,MONTH($B$34),K$3),'Сводный годовой график'!$C$8:$AR$8))&lt;&gt;12,INDIRECT(ADDRESS(ROW()+1,COLUMN()))="СП"),8,INDEX('Сводный годовой график'!$C$1:$AR$4,MATCH($C$40,'Сводный годовой график'!$B$1:$B$4),MATCH(DATE($AV$1,MONTH($B$34),K$3),'Сводный годовой график'!$C$8:$AR$8)))</f>
        <v>12</v>
      </c>
      <c r="L40" s="92">
        <f ca="1">IF(AND(INDEX('Сводный годовой график'!$C$1:$AR$4,MATCH($C$40,'Сводный годовой график'!$B$1:$B$4),MATCH(DATE($AV$1,MONTH($B$34),L$3),'Сводный годовой график'!$C$8:$AR$8))&lt;&gt;12,INDIRECT(ADDRESS(ROW()+1,COLUMN()))="СП"),8,INDEX('Сводный годовой график'!$C$1:$AR$4,MATCH($C$40,'Сводный годовой график'!$B$1:$B$4),MATCH(DATE($AV$1,MONTH($B$34),L$3),'Сводный годовой график'!$C$8:$AR$8)))</f>
        <v>4</v>
      </c>
      <c r="M40" s="92">
        <f ca="1">IF(AND(INDEX('Сводный годовой график'!$C$1:$AR$4,MATCH($C$40,'Сводный годовой график'!$B$1:$B$4),MATCH(DATE($AV$1,MONTH($B$34),M$3),'Сводный годовой график'!$C$8:$AR$8))&lt;&gt;12,INDIRECT(ADDRESS(ROW()+1,COLUMN()))="СП"),8,INDEX('Сводный годовой график'!$C$1:$AR$4,MATCH($C$40,'Сводный годовой график'!$B$1:$B$4),MATCH(DATE($AV$1,MONTH($B$34),M$3),'Сводный годовой график'!$C$8:$AR$8)))</f>
        <v>8</v>
      </c>
      <c r="N40" s="92">
        <f ca="1">IF(AND(INDEX('Сводный годовой график'!$C$1:$AR$4,MATCH($C$40,'Сводный годовой график'!$B$1:$B$4),MATCH(DATE($AV$1,MONTH($B$34),N$3),'Сводный годовой график'!$C$8:$AR$8))&lt;&gt;12,INDIRECT(ADDRESS(ROW()+1,COLUMN()))="СП"),8,INDEX('Сводный годовой график'!$C$1:$AR$4,MATCH($C$40,'Сводный годовой график'!$B$1:$B$4),MATCH(DATE($AV$1,MONTH($B$34),N$3),'Сводный годовой график'!$C$8:$AR$8)))</f>
        <v>12</v>
      </c>
      <c r="O40" s="92">
        <f ca="1">IF(AND(INDEX('Сводный годовой график'!$C$1:$AR$4,MATCH($C$40,'Сводный годовой график'!$B$1:$B$4),MATCH(DATE($AV$1,MONTH($B$34),O$3),'Сводный годовой график'!$C$8:$AR$8))&lt;&gt;12,INDIRECT(ADDRESS(ROW()+1,COLUMN()))="СП"),8,INDEX('Сводный годовой график'!$C$1:$AR$4,MATCH($C$40,'Сводный годовой график'!$B$1:$B$4),MATCH(DATE($AV$1,MONTH($B$34),O$3),'Сводный годовой график'!$C$8:$AR$8)))</f>
        <v>0</v>
      </c>
      <c r="P40" s="92">
        <f ca="1">IF(AND(INDEX('Сводный годовой график'!$C$1:$AR$4,MATCH($C$40,'Сводный годовой график'!$B$1:$B$4),MATCH(DATE($AV$1,MONTH($B$34),P$3),'Сводный годовой график'!$C$8:$AR$8))&lt;&gt;12,INDIRECT(ADDRESS(ROW()+1,COLUMN()))="СП"),8,INDEX('Сводный годовой график'!$C$1:$AR$4,MATCH($C$40,'Сводный годовой график'!$B$1:$B$4),MATCH(DATE($AV$1,MONTH($B$34),P$3),'Сводный годовой график'!$C$8:$AR$8)))</f>
        <v>0</v>
      </c>
      <c r="Q40" s="92">
        <f ca="1">IF(AND(INDEX('Сводный годовой график'!$C$1:$AR$4,MATCH($C$40,'Сводный годовой график'!$B$1:$B$4),MATCH(DATE($AV$1,MONTH($B$34),Q$3),'Сводный годовой график'!$C$8:$AR$8))&lt;&gt;12,INDIRECT(ADDRESS(ROW()+1,COLUMN()))="СП"),8,INDEX('Сводный годовой график'!$C$1:$AR$4,MATCH($C$40,'Сводный годовой график'!$B$1:$B$4),MATCH(DATE($AV$1,MONTH($B$34),Q$3),'Сводный годовой график'!$C$8:$AR$8)))</f>
        <v>4</v>
      </c>
      <c r="R40" s="92">
        <f ca="1">IF(AND(INDEX('Сводный годовой график'!$C$1:$AR$4,MATCH($C$40,'Сводный годовой график'!$B$1:$B$4),MATCH(DATE($AV$1,MONTH($B$34),R$3),'Сводный годовой график'!$C$8:$AR$8))&lt;&gt;12,INDIRECT(ADDRESS(ROW()+1,COLUMN()))="СП"),8,INDEX('Сводный годовой график'!$C$1:$AR$4,MATCH($C$40,'Сводный годовой график'!$B$1:$B$4),MATCH(DATE($AV$1,MONTH($B$34),R$3),'Сводный годовой график'!$C$8:$AR$8)))</f>
        <v>8</v>
      </c>
      <c r="S40" s="92">
        <f ca="1">IF(AND(INDEX('Сводный годовой график'!$C$1:$AR$4,MATCH($C$40,'Сводный годовой график'!$B$1:$B$4),MATCH(DATE($AV$1,MONTH($B$34),S$3),'Сводный годовой график'!$C$8:$AR$8))&lt;&gt;12,INDIRECT(ADDRESS(ROW()+1,COLUMN()))="СП"),8,INDEX('Сводный годовой график'!$C$1:$AR$4,MATCH($C$40,'Сводный годовой график'!$B$1:$B$4),MATCH(DATE($AV$1,MONTH($B$34),S$3),'Сводный годовой график'!$C$8:$AR$8)))</f>
        <v>12</v>
      </c>
      <c r="T40" s="92">
        <f ca="1">IF(AND(INDEX('Сводный годовой график'!$C$1:$AR$4,MATCH($C$40,'Сводный годовой график'!$B$1:$B$4),MATCH(DATE($AV$1,MONTH($B$34),T$3),'Сводный годовой график'!$C$8:$AR$8))&lt;&gt;12,INDIRECT(ADDRESS(ROW()+1,COLUMN()))="СП"),8,INDEX('Сводный годовой график'!$C$1:$AR$4,MATCH($C$40,'Сводный годовой график'!$B$1:$B$4),MATCH(DATE($AV$1,MONTH($B$34),T$3),'Сводный годовой график'!$C$8:$AR$8)))</f>
        <v>4</v>
      </c>
      <c r="U40" s="92">
        <f ca="1">IF(AND(INDEX('Сводный годовой график'!$C$1:$AR$4,MATCH($C$40,'Сводный годовой график'!$B$1:$B$4),MATCH(DATE($AV$1,MONTH($B$34),U$3),'Сводный годовой график'!$C$8:$AR$8))&lt;&gt;12,INDIRECT(ADDRESS(ROW()+1,COLUMN()))="СП"),8,INDEX('Сводный годовой график'!$C$1:$AR$4,MATCH($C$40,'Сводный годовой график'!$B$1:$B$4),MATCH(DATE($AV$1,MONTH($B$34),U$3),'Сводный годовой график'!$C$8:$AR$8)))</f>
        <v>8</v>
      </c>
      <c r="V40" s="92">
        <f ca="1">IF(AND(INDEX('Сводный годовой график'!$C$1:$AR$4,MATCH($C$40,'Сводный годовой график'!$B$1:$B$4),MATCH(DATE($AV$1,MONTH($B$34),V$3),'Сводный годовой график'!$C$8:$AR$8))&lt;&gt;12,INDIRECT(ADDRESS(ROW()+1,COLUMN()))="СП"),8,INDEX('Сводный годовой график'!$C$1:$AR$4,MATCH($C$40,'Сводный годовой график'!$B$1:$B$4),MATCH(DATE($AV$1,MONTH($B$34),V$3),'Сводный годовой график'!$C$8:$AR$8)))</f>
        <v>12</v>
      </c>
      <c r="W40" s="92">
        <f ca="1">IF(AND(INDEX('Сводный годовой график'!$C$1:$AR$4,MATCH($C$40,'Сводный годовой график'!$B$1:$B$4),MATCH(DATE($AV$1,MONTH($B$34),W$3),'Сводный годовой график'!$C$8:$AR$8))&lt;&gt;12,INDIRECT(ADDRESS(ROW()+1,COLUMN()))="СП"),8,INDEX('Сводный годовой график'!$C$1:$AR$4,MATCH($C$40,'Сводный годовой график'!$B$1:$B$4),MATCH(DATE($AV$1,MONTH($B$34),W$3),'Сводный годовой график'!$C$8:$AR$8)))</f>
        <v>0</v>
      </c>
      <c r="X40" s="92">
        <f ca="1">IF(AND(INDEX('Сводный годовой график'!$C$1:$AR$4,MATCH($C$40,'Сводный годовой график'!$B$1:$B$4),MATCH(DATE($AV$1,MONTH($B$34),X$3),'Сводный годовой график'!$C$8:$AR$8))&lt;&gt;12,INDIRECT(ADDRESS(ROW()+1,COLUMN()))="СП"),8,INDEX('Сводный годовой график'!$C$1:$AR$4,MATCH($C$40,'Сводный годовой график'!$B$1:$B$4),MATCH(DATE($AV$1,MONTH($B$34),X$3),'Сводный годовой график'!$C$8:$AR$8)))</f>
        <v>0</v>
      </c>
      <c r="Y40" s="92">
        <f ca="1">IF(AND(INDEX('Сводный годовой график'!$C$1:$AR$4,MATCH($C$40,'Сводный годовой график'!$B$1:$B$4),MATCH(DATE($AV$1,MONTH($B$34),Y$3),'Сводный годовой график'!$C$8:$AR$8))&lt;&gt;12,INDIRECT(ADDRESS(ROW()+1,COLUMN()))="СП"),8,INDEX('Сводный годовой график'!$C$1:$AR$4,MATCH($C$40,'Сводный годовой график'!$B$1:$B$4),MATCH(DATE($AV$1,MONTH($B$34),Y$3),'Сводный годовой график'!$C$8:$AR$8)))</f>
        <v>4</v>
      </c>
      <c r="Z40" s="92">
        <f ca="1">IF(AND(INDEX('Сводный годовой график'!$C$1:$AR$4,MATCH($C$40,'Сводный годовой график'!$B$1:$B$4),MATCH(DATE($AV$1,MONTH($B$34),Z$3),'Сводный годовой график'!$C$8:$AR$8))&lt;&gt;12,INDIRECT(ADDRESS(ROW()+1,COLUMN()))="СП"),8,INDEX('Сводный годовой график'!$C$1:$AR$4,MATCH($C$40,'Сводный годовой график'!$B$1:$B$4),MATCH(DATE($AV$1,MONTH($B$34),Z$3),'Сводный годовой график'!$C$8:$AR$8)))</f>
        <v>8</v>
      </c>
      <c r="AA40" s="92">
        <f ca="1">IF(AND(INDEX('Сводный годовой график'!$C$1:$AR$4,MATCH($C$40,'Сводный годовой график'!$B$1:$B$4),MATCH(DATE($AV$1,MONTH($B$34),AA$3),'Сводный годовой график'!$C$8:$AR$8))&lt;&gt;12,INDIRECT(ADDRESS(ROW()+1,COLUMN()))="СП"),8,INDEX('Сводный годовой график'!$C$1:$AR$4,MATCH($C$40,'Сводный годовой график'!$B$1:$B$4),MATCH(DATE($AV$1,MONTH($B$34),AA$3),'Сводный годовой график'!$C$8:$AR$8)))</f>
        <v>12</v>
      </c>
      <c r="AB40" s="92">
        <f ca="1">IF(AND(INDEX('Сводный годовой график'!$C$1:$AR$4,MATCH($C$40,'Сводный годовой график'!$B$1:$B$4),MATCH(DATE($AV$1,MONTH($B$34),AB$3),'Сводный годовой график'!$C$8:$AR$8))&lt;&gt;12,INDIRECT(ADDRESS(ROW()+1,COLUMN()))="СП"),8,INDEX('Сводный годовой график'!$C$1:$AR$4,MATCH($C$40,'Сводный годовой график'!$B$1:$B$4),MATCH(DATE($AV$1,MONTH($B$34),AB$3),'Сводный годовой график'!$C$8:$AR$8)))</f>
        <v>4</v>
      </c>
      <c r="AC40" s="92">
        <f ca="1">IF(AND(INDEX('Сводный годовой график'!$C$1:$AR$4,MATCH($C$40,'Сводный годовой график'!$B$1:$B$4),MATCH(DATE($AV$1,MONTH($B$34),AC$3),'Сводный годовой график'!$C$8:$AR$8))&lt;&gt;12,INDIRECT(ADDRESS(ROW()+1,COLUMN()))="СП"),8,INDEX('Сводный годовой график'!$C$1:$AR$4,MATCH($C$40,'Сводный годовой график'!$B$1:$B$4),MATCH(DATE($AV$1,MONTH($B$34),AC$3),'Сводный годовой график'!$C$8:$AR$8)))</f>
        <v>8</v>
      </c>
      <c r="AD40" s="92">
        <f ca="1">IF(AND(INDEX('Сводный годовой график'!$C$1:$AR$4,MATCH($C$40,'Сводный годовой график'!$B$1:$B$4),MATCH(DATE($AV$1,MONTH($B$34),AD$3),'Сводный годовой график'!$C$8:$AR$8))&lt;&gt;12,INDIRECT(ADDRESS(ROW()+1,COLUMN()))="СП"),8,INDEX('Сводный годовой график'!$C$1:$AR$4,MATCH($C$40,'Сводный годовой график'!$B$1:$B$4),MATCH(DATE($AV$1,MONTH($B$34),AD$3),'Сводный годовой график'!$C$8:$AR$8)))</f>
        <v>12</v>
      </c>
      <c r="AE40" s="92">
        <f ca="1">IF(AND(INDEX('Сводный годовой график'!$C$1:$AR$4,MATCH($C$40,'Сводный годовой график'!$B$1:$B$4),MATCH(DATE($AV$1,MONTH($B$34),AE$3),'Сводный годовой график'!$C$8:$AR$8))&lt;&gt;12,INDIRECT(ADDRESS(ROW()+1,COLUMN()))="СП"),8,INDEX('Сводный годовой график'!$C$1:$AR$4,MATCH($C$40,'Сводный годовой график'!$B$1:$B$4),MATCH(DATE($AV$1,MONTH($B$34),AE$3),'Сводный годовой график'!$C$8:$AR$8)))</f>
        <v>0</v>
      </c>
      <c r="AF40" s="92">
        <f ca="1">IF(AND(INDEX('Сводный годовой график'!$C$1:$AR$4,MATCH($C$40,'Сводный годовой график'!$B$1:$B$4),MATCH(DATE($AV$1,MONTH($B$34),AF$3),'Сводный годовой график'!$C$8:$AR$8))&lt;&gt;12,INDIRECT(ADDRESS(ROW()+1,COLUMN()))="СП"),8,INDEX('Сводный годовой график'!$C$1:$AR$4,MATCH($C$40,'Сводный годовой график'!$B$1:$B$4),MATCH(DATE($AV$1,MONTH($B$34),AF$3),'Сводный годовой график'!$C$8:$AR$8)))</f>
        <v>0</v>
      </c>
      <c r="AG40" s="92">
        <f ca="1">IF(AND(INDEX('Сводный годовой график'!$C$1:$AR$4,MATCH($C$40,'Сводный годовой график'!$B$1:$B$4),MATCH(DATE($AV$1,MONTH($B$34),AG$3),'Сводный годовой график'!$C$8:$AR$8))&lt;&gt;12,INDIRECT(ADDRESS(ROW()+1,COLUMN()))="СП"),8,INDEX('Сводный годовой график'!$C$1:$AR$4,MATCH($C$40,'Сводный годовой график'!$B$1:$B$4),MATCH(DATE($AV$1,MONTH($B$34),AG$3),'Сводный годовой график'!$C$8:$AR$8)))</f>
        <v>4</v>
      </c>
      <c r="AH40" s="92">
        <f ca="1">IF(AND(INDEX('Сводный годовой график'!$C$1:$AR$4,MATCH($C$40,'Сводный годовой график'!$B$1:$B$4),MATCH(DATE($AV$1,MONTH($B$34),AH$3),'Сводный годовой график'!$C$8:$AR$8))&lt;&gt;12,INDIRECT(ADDRESS(ROW()+1,COLUMN()))="СП"),8,INDEX('Сводный годовой график'!$C$1:$AR$4,MATCH($C$40,'Сводный годовой график'!$B$1:$B$4),MATCH(DATE($AV$1,MONTH($B$34),AH$3),'Сводный годовой график'!$C$8:$AR$8)))</f>
        <v>8</v>
      </c>
      <c r="AI40" s="119"/>
      <c r="AJ40" s="206"/>
      <c r="AK40" s="177">
        <f>$AJ$34-SUM(AY40:CC41)</f>
        <v>175</v>
      </c>
      <c r="AL40" s="177">
        <f t="shared" ref="AL40" ca="1" si="65">SUM(E40:AI41)</f>
        <v>176</v>
      </c>
      <c r="AM40" s="177">
        <v>0</v>
      </c>
      <c r="AN40" s="198">
        <f t="shared" ref="AN40" ca="1" si="66">-AM40-AK40+AL40</f>
        <v>1</v>
      </c>
      <c r="AO40" s="198">
        <v>0</v>
      </c>
      <c r="AP40" s="198">
        <f t="shared" ref="AP40" ca="1" si="67">AN40+AP30-AO40</f>
        <v>26</v>
      </c>
      <c r="AQ40" s="177">
        <v>0</v>
      </c>
      <c r="AR40" s="179">
        <v>1</v>
      </c>
      <c r="CK40" s="59"/>
      <c r="CL40" s="59"/>
      <c r="CM40" s="59"/>
      <c r="CN40" s="59"/>
      <c r="CO40" s="59"/>
      <c r="CP40" s="59"/>
      <c r="CQ40" s="59"/>
      <c r="CR40" s="59"/>
      <c r="CS40" s="59"/>
      <c r="CT40" s="59"/>
      <c r="CU40" s="59"/>
      <c r="CV40" s="59"/>
      <c r="CW40" s="59"/>
      <c r="CX40" s="59"/>
      <c r="CY40" s="59"/>
      <c r="CZ40" s="59"/>
      <c r="DA40" s="59"/>
      <c r="DB40" s="59"/>
      <c r="DC40" s="59"/>
      <c r="DD40" s="59"/>
      <c r="DE40" s="59"/>
      <c r="DF40" s="59"/>
      <c r="DG40" s="59"/>
      <c r="DH40" s="59"/>
      <c r="DI40" s="59"/>
      <c r="DJ40" s="59"/>
      <c r="DK40" s="59"/>
      <c r="DL40" s="59"/>
      <c r="DM40" s="59"/>
      <c r="DN40" s="59"/>
      <c r="DO40" s="59"/>
    </row>
    <row r="41" spans="2:119" ht="16.5" thickBot="1" x14ac:dyDescent="0.3">
      <c r="B41" s="201"/>
      <c r="C41" s="197"/>
      <c r="D41" s="82">
        <v>8</v>
      </c>
      <c r="E41" s="92" t="str">
        <f t="shared" ref="E41:AH41" si="68">IF(INDEX($CK$4:$DO$123,ROW()-3,E$3)=0,"","СП")</f>
        <v/>
      </c>
      <c r="F41" s="92" t="str">
        <f t="shared" si="68"/>
        <v/>
      </c>
      <c r="G41" s="92" t="str">
        <f t="shared" si="68"/>
        <v/>
      </c>
      <c r="H41" s="92" t="str">
        <f t="shared" si="68"/>
        <v/>
      </c>
      <c r="I41" s="92" t="str">
        <f t="shared" si="68"/>
        <v/>
      </c>
      <c r="J41" s="92" t="str">
        <f t="shared" si="68"/>
        <v/>
      </c>
      <c r="K41" s="92" t="str">
        <f t="shared" si="68"/>
        <v>СП</v>
      </c>
      <c r="L41" s="92" t="str">
        <f t="shared" si="68"/>
        <v/>
      </c>
      <c r="M41" s="92" t="str">
        <f t="shared" si="68"/>
        <v/>
      </c>
      <c r="N41" s="92" t="str">
        <f t="shared" si="68"/>
        <v/>
      </c>
      <c r="O41" s="92" t="str">
        <f t="shared" si="68"/>
        <v/>
      </c>
      <c r="P41" s="92" t="str">
        <f t="shared" si="68"/>
        <v/>
      </c>
      <c r="Q41" s="92" t="str">
        <f t="shared" si="68"/>
        <v/>
      </c>
      <c r="R41" s="92" t="str">
        <f t="shared" si="68"/>
        <v/>
      </c>
      <c r="S41" s="92" t="str">
        <f t="shared" si="68"/>
        <v/>
      </c>
      <c r="T41" s="92" t="str">
        <f t="shared" si="68"/>
        <v/>
      </c>
      <c r="U41" s="92" t="str">
        <f t="shared" si="68"/>
        <v/>
      </c>
      <c r="V41" s="92" t="str">
        <f t="shared" si="68"/>
        <v/>
      </c>
      <c r="W41" s="92" t="str">
        <f t="shared" si="68"/>
        <v/>
      </c>
      <c r="X41" s="92" t="str">
        <f t="shared" si="68"/>
        <v/>
      </c>
      <c r="Y41" s="92" t="str">
        <f t="shared" si="68"/>
        <v/>
      </c>
      <c r="Z41" s="92" t="str">
        <f t="shared" si="68"/>
        <v/>
      </c>
      <c r="AA41" s="92" t="str">
        <f t="shared" si="68"/>
        <v/>
      </c>
      <c r="AB41" s="92" t="str">
        <f t="shared" si="68"/>
        <v/>
      </c>
      <c r="AC41" s="92" t="str">
        <f t="shared" si="68"/>
        <v/>
      </c>
      <c r="AD41" s="92" t="str">
        <f t="shared" si="68"/>
        <v/>
      </c>
      <c r="AE41" s="92" t="str">
        <f t="shared" si="68"/>
        <v/>
      </c>
      <c r="AF41" s="92" t="str">
        <f t="shared" si="68"/>
        <v/>
      </c>
      <c r="AG41" s="92" t="str">
        <f t="shared" si="68"/>
        <v/>
      </c>
      <c r="AH41" s="92" t="str">
        <f t="shared" si="68"/>
        <v/>
      </c>
      <c r="AI41" s="119"/>
      <c r="AJ41" s="206"/>
      <c r="AK41" s="177"/>
      <c r="AL41" s="177"/>
      <c r="AM41" s="177"/>
      <c r="AN41" s="198"/>
      <c r="AO41" s="198"/>
      <c r="AP41" s="198"/>
      <c r="AQ41" s="177"/>
      <c r="AR41" s="179"/>
      <c r="CK41" s="58">
        <f>IF(DAY(INDEX('Сводный годовой график'!$BA$4:$BL$14,$C40,MONTH($B$34)))=E$3,1,0)</f>
        <v>0</v>
      </c>
      <c r="CL41" s="58">
        <f>IF(DAY(INDEX('Сводный годовой график'!$BA$4:$BL$14,$C40,MONTH($B$34)))=F$3,1,0)</f>
        <v>0</v>
      </c>
      <c r="CM41" s="58">
        <f>IF(DAY(INDEX('Сводный годовой график'!$BA$4:$BL$14,$C40,MONTH($B$34)))=G$3,1,0)</f>
        <v>0</v>
      </c>
      <c r="CN41" s="58">
        <f>IF(DAY(INDEX('Сводный годовой график'!$BA$4:$BL$14,$C40,MONTH($B$34)))=H$3,1,0)</f>
        <v>0</v>
      </c>
      <c r="CO41" s="58">
        <f>IF(DAY(INDEX('Сводный годовой график'!$BA$4:$BL$14,$C40,MONTH($B$34)))=I$3,1,0)</f>
        <v>0</v>
      </c>
      <c r="CP41" s="58">
        <f>IF(DAY(INDEX('Сводный годовой график'!$BA$4:$BL$14,$C40,MONTH($B$34)))=J$3,1,0)</f>
        <v>0</v>
      </c>
      <c r="CQ41" s="58">
        <f>IF(DAY(INDEX('Сводный годовой график'!$BA$4:$BL$14,$C40,MONTH($B$34)))=K$3,1,0)</f>
        <v>1</v>
      </c>
      <c r="CR41" s="58">
        <f>IF(DAY(INDEX('Сводный годовой график'!$BA$4:$BL$14,$C40,MONTH($B$34)))=L$3,1,0)</f>
        <v>0</v>
      </c>
      <c r="CS41" s="58">
        <f>IF(DAY(INDEX('Сводный годовой график'!$BA$4:$BL$14,$C40,MONTH($B$34)))=M$3,1,0)</f>
        <v>0</v>
      </c>
      <c r="CT41" s="58">
        <f>IF(DAY(INDEX('Сводный годовой график'!$BA$4:$BL$14,$C40,MONTH($B$34)))=N$3,1,0)</f>
        <v>0</v>
      </c>
      <c r="CU41" s="58">
        <f>IF(DAY(INDEX('Сводный годовой график'!$BA$4:$BL$14,$C40,MONTH($B$34)))=O$3,1,0)</f>
        <v>0</v>
      </c>
      <c r="CV41" s="58">
        <f>IF(DAY(INDEX('Сводный годовой график'!$BA$4:$BL$14,$C40,MONTH($B$34)))=P$3,1,0)</f>
        <v>0</v>
      </c>
      <c r="CW41" s="58">
        <f>IF(DAY(INDEX('Сводный годовой график'!$BA$4:$BL$14,$C40,MONTH($B$34)))=Q$3,1,0)</f>
        <v>0</v>
      </c>
      <c r="CX41" s="58">
        <f>IF(DAY(INDEX('Сводный годовой график'!$BA$4:$BL$14,$C40,MONTH($B$34)))=R$3,1,0)</f>
        <v>0</v>
      </c>
      <c r="CY41" s="58">
        <f>IF(DAY(INDEX('Сводный годовой график'!$BA$4:$BL$14,$C40,MONTH($B$34)))=S$3,1,0)</f>
        <v>0</v>
      </c>
      <c r="CZ41" s="58">
        <f>IF(DAY(INDEX('Сводный годовой график'!$BA$4:$BL$14,$C40,MONTH($B$34)))=T$3,1,0)</f>
        <v>0</v>
      </c>
      <c r="DA41" s="58">
        <f>IF(DAY(INDEX('Сводный годовой график'!$BA$4:$BL$14,$C40,MONTH($B$34)))=U$3,1,0)</f>
        <v>0</v>
      </c>
      <c r="DB41" s="58">
        <f>IF(DAY(INDEX('Сводный годовой график'!$BA$4:$BL$14,$C40,MONTH($B$34)))=V$3,1,0)</f>
        <v>0</v>
      </c>
      <c r="DC41" s="58">
        <f>IF(DAY(INDEX('Сводный годовой график'!$BA$4:$BL$14,$C40,MONTH($B$34)))=W$3,1,0)</f>
        <v>0</v>
      </c>
      <c r="DD41" s="58">
        <f>IF(DAY(INDEX('Сводный годовой график'!$BA$4:$BL$14,$C40,MONTH($B$34)))=X$3,1,0)</f>
        <v>0</v>
      </c>
      <c r="DE41" s="58">
        <f>IF(DAY(INDEX('Сводный годовой график'!$BA$4:$BL$14,$C40,MONTH($B$34)))=Y$3,1,0)</f>
        <v>0</v>
      </c>
      <c r="DF41" s="58">
        <f>IF(DAY(INDEX('Сводный годовой график'!$BA$4:$BL$14,$C40,MONTH($B$34)))=Z$3,1,0)</f>
        <v>0</v>
      </c>
      <c r="DG41" s="58">
        <f>IF(DAY(INDEX('Сводный годовой график'!$BA$4:$BL$14,$C40,MONTH($B$34)))=AA$3,1,0)</f>
        <v>0</v>
      </c>
      <c r="DH41" s="58">
        <f>IF(DAY(INDEX('Сводный годовой график'!$BA$4:$BL$14,$C40,MONTH($B$34)))=AB$3,1,0)</f>
        <v>0</v>
      </c>
      <c r="DI41" s="58">
        <f>IF(DAY(INDEX('Сводный годовой график'!$BA$4:$BL$14,$C40,MONTH($B$34)))=AC$3,1,0)</f>
        <v>0</v>
      </c>
      <c r="DJ41" s="58">
        <f>IF(DAY(INDEX('Сводный годовой график'!$BA$4:$BL$14,$C40,MONTH($B$34)))=AD$3,1,0)</f>
        <v>0</v>
      </c>
      <c r="DK41" s="58">
        <f>IF(DAY(INDEX('Сводный годовой график'!$BA$4:$BL$14,$C40,MONTH($B$34)))=AE$3,1,0)</f>
        <v>0</v>
      </c>
      <c r="DL41" s="58">
        <f>IF(DAY(INDEX('Сводный годовой график'!$BA$4:$BL$14,$C40,MONTH($B$34)))=AF$3,1,0)</f>
        <v>0</v>
      </c>
      <c r="DM41" s="58">
        <f>IF(DAY(INDEX('Сводный годовой график'!$BA$4:$BL$14,$C40,MONTH($B$34)))=AG$3,1,0)</f>
        <v>0</v>
      </c>
      <c r="DN41" s="58">
        <f>IF(DAY(INDEX('Сводный годовой график'!$BA$4:$BL$14,$C40,MONTH($B$34)))=AH$3,1,0)</f>
        <v>0</v>
      </c>
      <c r="DO41" s="58">
        <f>IF(DAY(INDEX('Сводный годовой график'!$BA$4:$BL$14,$C40,MONTH($B$34)))=AI$3,1,0)</f>
        <v>0</v>
      </c>
    </row>
    <row r="42" spans="2:119" ht="16.5" thickBot="1" x14ac:dyDescent="0.3">
      <c r="B42" s="201"/>
      <c r="C42" s="196">
        <v>5</v>
      </c>
      <c r="D42" s="81">
        <v>9</v>
      </c>
      <c r="E42" s="92" t="s">
        <v>36</v>
      </c>
      <c r="F42" s="92" t="s">
        <v>36</v>
      </c>
      <c r="G42" s="92" t="s">
        <v>36</v>
      </c>
      <c r="H42" s="92" t="s">
        <v>36</v>
      </c>
      <c r="I42" s="92" t="s">
        <v>36</v>
      </c>
      <c r="J42" s="92" t="s">
        <v>36</v>
      </c>
      <c r="K42" s="92" t="s">
        <v>36</v>
      </c>
      <c r="L42" s="92" t="s">
        <v>36</v>
      </c>
      <c r="M42" s="92" t="s">
        <v>36</v>
      </c>
      <c r="N42" s="92" t="s">
        <v>36</v>
      </c>
      <c r="O42" s="92" t="s">
        <v>36</v>
      </c>
      <c r="P42" s="92" t="s">
        <v>36</v>
      </c>
      <c r="Q42" s="92" t="s">
        <v>36</v>
      </c>
      <c r="R42" s="92" t="s">
        <v>36</v>
      </c>
      <c r="S42" s="92" t="s">
        <v>36</v>
      </c>
      <c r="T42" s="92" t="s">
        <v>36</v>
      </c>
      <c r="U42" s="92" t="s">
        <v>36</v>
      </c>
      <c r="V42" s="92" t="s">
        <v>36</v>
      </c>
      <c r="W42" s="92" t="s">
        <v>36</v>
      </c>
      <c r="X42" s="92" t="s">
        <v>36</v>
      </c>
      <c r="Y42" s="92" t="s">
        <v>36</v>
      </c>
      <c r="Z42" s="92" t="s">
        <v>36</v>
      </c>
      <c r="AA42" s="92" t="s">
        <v>36</v>
      </c>
      <c r="AB42" s="92" t="s">
        <v>36</v>
      </c>
      <c r="AC42" s="92" t="s">
        <v>36</v>
      </c>
      <c r="AD42" s="92" t="s">
        <v>36</v>
      </c>
      <c r="AE42" s="92" t="s">
        <v>36</v>
      </c>
      <c r="AF42" s="92" t="s">
        <v>36</v>
      </c>
      <c r="AG42" s="92" t="s">
        <v>36</v>
      </c>
      <c r="AH42" s="92" t="s">
        <v>36</v>
      </c>
      <c r="AI42" s="119"/>
      <c r="AJ42" s="206"/>
      <c r="AK42" s="177">
        <f>$AJ$34-SUM(AY42:CC43)</f>
        <v>175</v>
      </c>
      <c r="AL42" s="177">
        <f t="shared" ref="AL42" si="69">SUM(E42:AI43)</f>
        <v>0</v>
      </c>
      <c r="AM42" s="177">
        <v>0</v>
      </c>
      <c r="AN42" s="198">
        <f t="shared" ref="AN42" si="70">-AM42-AK42+AL42</f>
        <v>-175</v>
      </c>
      <c r="AO42" s="198">
        <v>12</v>
      </c>
      <c r="AP42" s="198">
        <f t="shared" ref="AP42" si="71">AN42+AP32-AO42</f>
        <v>-662</v>
      </c>
      <c r="AQ42" s="177">
        <v>0</v>
      </c>
      <c r="AR42" s="179">
        <v>1</v>
      </c>
      <c r="CK42" s="59"/>
      <c r="CL42" s="59"/>
      <c r="CM42" s="59"/>
      <c r="CN42" s="59"/>
      <c r="CO42" s="59"/>
      <c r="CP42" s="59"/>
      <c r="CQ42" s="59"/>
      <c r="CR42" s="59"/>
      <c r="CS42" s="59"/>
      <c r="CT42" s="59"/>
      <c r="CU42" s="59"/>
      <c r="CV42" s="59"/>
      <c r="CW42" s="59"/>
      <c r="CX42" s="59"/>
      <c r="CY42" s="59"/>
      <c r="CZ42" s="59"/>
      <c r="DA42" s="59"/>
      <c r="DB42" s="59"/>
      <c r="DC42" s="59"/>
      <c r="DD42" s="59"/>
      <c r="DE42" s="59"/>
      <c r="DF42" s="59"/>
      <c r="DG42" s="59"/>
      <c r="DH42" s="59"/>
      <c r="DI42" s="59"/>
      <c r="DJ42" s="59"/>
      <c r="DK42" s="59"/>
      <c r="DL42" s="59"/>
      <c r="DM42" s="59"/>
      <c r="DN42" s="59"/>
      <c r="DO42" s="59"/>
    </row>
    <row r="43" spans="2:119" ht="16.5" thickBot="1" x14ac:dyDescent="0.3">
      <c r="B43" s="202"/>
      <c r="C43" s="197"/>
      <c r="D43" s="82">
        <v>10</v>
      </c>
      <c r="E43" s="29" t="str">
        <f t="shared" ref="E43:AH43" si="72">IF(INDEX($CK$4:$DO$123,ROW()-3,E$3)=0,"","СП")</f>
        <v/>
      </c>
      <c r="F43" s="29" t="str">
        <f t="shared" si="72"/>
        <v/>
      </c>
      <c r="G43" s="29" t="str">
        <f t="shared" si="72"/>
        <v/>
      </c>
      <c r="H43" s="29" t="str">
        <f t="shared" si="72"/>
        <v/>
      </c>
      <c r="I43" s="29" t="str">
        <f t="shared" si="72"/>
        <v/>
      </c>
      <c r="J43" s="29" t="str">
        <f t="shared" si="72"/>
        <v/>
      </c>
      <c r="K43" s="29" t="str">
        <f t="shared" si="72"/>
        <v/>
      </c>
      <c r="L43" s="29" t="str">
        <f t="shared" si="72"/>
        <v>СП</v>
      </c>
      <c r="M43" s="29" t="str">
        <f t="shared" si="72"/>
        <v/>
      </c>
      <c r="N43" s="29" t="str">
        <f t="shared" si="72"/>
        <v/>
      </c>
      <c r="O43" s="29" t="str">
        <f t="shared" si="72"/>
        <v/>
      </c>
      <c r="P43" s="29" t="str">
        <f t="shared" si="72"/>
        <v/>
      </c>
      <c r="Q43" s="29" t="str">
        <f t="shared" si="72"/>
        <v/>
      </c>
      <c r="R43" s="29" t="str">
        <f t="shared" si="72"/>
        <v/>
      </c>
      <c r="S43" s="29" t="str">
        <f t="shared" si="72"/>
        <v/>
      </c>
      <c r="T43" s="29" t="str">
        <f t="shared" si="72"/>
        <v/>
      </c>
      <c r="U43" s="29" t="str">
        <f t="shared" si="72"/>
        <v/>
      </c>
      <c r="V43" s="29" t="str">
        <f t="shared" si="72"/>
        <v/>
      </c>
      <c r="W43" s="29" t="str">
        <f t="shared" si="72"/>
        <v/>
      </c>
      <c r="X43" s="29" t="str">
        <f t="shared" si="72"/>
        <v/>
      </c>
      <c r="Y43" s="29" t="str">
        <f t="shared" si="72"/>
        <v/>
      </c>
      <c r="Z43" s="29" t="str">
        <f t="shared" si="72"/>
        <v/>
      </c>
      <c r="AA43" s="29" t="str">
        <f t="shared" si="72"/>
        <v/>
      </c>
      <c r="AB43" s="29" t="str">
        <f t="shared" si="72"/>
        <v/>
      </c>
      <c r="AC43" s="29" t="str">
        <f t="shared" si="72"/>
        <v/>
      </c>
      <c r="AD43" s="29" t="str">
        <f t="shared" si="72"/>
        <v/>
      </c>
      <c r="AE43" s="29" t="str">
        <f t="shared" si="72"/>
        <v/>
      </c>
      <c r="AF43" s="29" t="str">
        <f t="shared" si="72"/>
        <v/>
      </c>
      <c r="AG43" s="29" t="str">
        <f t="shared" si="72"/>
        <v/>
      </c>
      <c r="AH43" s="29" t="str">
        <f t="shared" si="72"/>
        <v/>
      </c>
      <c r="AI43" s="124"/>
      <c r="AJ43" s="207"/>
      <c r="AK43" s="178"/>
      <c r="AL43" s="178"/>
      <c r="AM43" s="178"/>
      <c r="AN43" s="199"/>
      <c r="AO43" s="199"/>
      <c r="AP43" s="199"/>
      <c r="AQ43" s="178"/>
      <c r="AR43" s="180"/>
      <c r="CK43" s="58">
        <f>IF(DAY(INDEX('Сводный годовой график'!$BA$4:$BL$14,$C42,MONTH($B$34)))=E$3,1,0)</f>
        <v>0</v>
      </c>
      <c r="CL43" s="58">
        <f>IF(DAY(INDEX('Сводный годовой график'!$BA$4:$BL$14,$C42,MONTH($B$34)))=F$3,1,0)</f>
        <v>0</v>
      </c>
      <c r="CM43" s="58">
        <f>IF(DAY(INDEX('Сводный годовой график'!$BA$4:$BL$14,$C42,MONTH($B$34)))=G$3,1,0)</f>
        <v>0</v>
      </c>
      <c r="CN43" s="58">
        <f>IF(DAY(INDEX('Сводный годовой график'!$BA$4:$BL$14,$C42,MONTH($B$34)))=H$3,1,0)</f>
        <v>0</v>
      </c>
      <c r="CO43" s="58">
        <f>IF(DAY(INDEX('Сводный годовой график'!$BA$4:$BL$14,$C42,MONTH($B$34)))=I$3,1,0)</f>
        <v>0</v>
      </c>
      <c r="CP43" s="58">
        <f>IF(DAY(INDEX('Сводный годовой график'!$BA$4:$BL$14,$C42,MONTH($B$34)))=J$3,1,0)</f>
        <v>0</v>
      </c>
      <c r="CQ43" s="58">
        <f>IF(DAY(INDEX('Сводный годовой график'!$BA$4:$BL$14,$C42,MONTH($B$34)))=K$3,1,0)</f>
        <v>0</v>
      </c>
      <c r="CR43" s="58">
        <f>IF(DAY(INDEX('Сводный годовой график'!$BA$4:$BL$14,$C42,MONTH($B$34)))=L$3,1,0)</f>
        <v>1</v>
      </c>
      <c r="CS43" s="58">
        <f>IF(DAY(INDEX('Сводный годовой график'!$BA$4:$BL$14,$C42,MONTH($B$34)))=M$3,1,0)</f>
        <v>0</v>
      </c>
      <c r="CT43" s="58">
        <f>IF(DAY(INDEX('Сводный годовой график'!$BA$4:$BL$14,$C42,MONTH($B$34)))=N$3,1,0)</f>
        <v>0</v>
      </c>
      <c r="CU43" s="58">
        <f>IF(DAY(INDEX('Сводный годовой график'!$BA$4:$BL$14,$C42,MONTH($B$34)))=O$3,1,0)</f>
        <v>0</v>
      </c>
      <c r="CV43" s="58">
        <f>IF(DAY(INDEX('Сводный годовой график'!$BA$4:$BL$14,$C42,MONTH($B$34)))=P$3,1,0)</f>
        <v>0</v>
      </c>
      <c r="CW43" s="58">
        <f>IF(DAY(INDEX('Сводный годовой график'!$BA$4:$BL$14,$C42,MONTH($B$34)))=Q$3,1,0)</f>
        <v>0</v>
      </c>
      <c r="CX43" s="58">
        <f>IF(DAY(INDEX('Сводный годовой график'!$BA$4:$BL$14,$C42,MONTH($B$34)))=R$3,1,0)</f>
        <v>0</v>
      </c>
      <c r="CY43" s="58">
        <f>IF(DAY(INDEX('Сводный годовой график'!$BA$4:$BL$14,$C42,MONTH($B$34)))=S$3,1,0)</f>
        <v>0</v>
      </c>
      <c r="CZ43" s="58">
        <f>IF(DAY(INDEX('Сводный годовой график'!$BA$4:$BL$14,$C42,MONTH($B$34)))=T$3,1,0)</f>
        <v>0</v>
      </c>
      <c r="DA43" s="58">
        <f>IF(DAY(INDEX('Сводный годовой график'!$BA$4:$BL$14,$C42,MONTH($B$34)))=U$3,1,0)</f>
        <v>0</v>
      </c>
      <c r="DB43" s="58">
        <f>IF(DAY(INDEX('Сводный годовой график'!$BA$4:$BL$14,$C42,MONTH($B$34)))=V$3,1,0)</f>
        <v>0</v>
      </c>
      <c r="DC43" s="58">
        <f>IF(DAY(INDEX('Сводный годовой график'!$BA$4:$BL$14,$C42,MONTH($B$34)))=W$3,1,0)</f>
        <v>0</v>
      </c>
      <c r="DD43" s="58">
        <f>IF(DAY(INDEX('Сводный годовой график'!$BA$4:$BL$14,$C42,MONTH($B$34)))=X$3,1,0)</f>
        <v>0</v>
      </c>
      <c r="DE43" s="58">
        <f>IF(DAY(INDEX('Сводный годовой график'!$BA$4:$BL$14,$C42,MONTH($B$34)))=Y$3,1,0)</f>
        <v>0</v>
      </c>
      <c r="DF43" s="58">
        <f>IF(DAY(INDEX('Сводный годовой график'!$BA$4:$BL$14,$C42,MONTH($B$34)))=Z$3,1,0)</f>
        <v>0</v>
      </c>
      <c r="DG43" s="58">
        <f>IF(DAY(INDEX('Сводный годовой график'!$BA$4:$BL$14,$C42,MONTH($B$34)))=AA$3,1,0)</f>
        <v>0</v>
      </c>
      <c r="DH43" s="58">
        <f>IF(DAY(INDEX('Сводный годовой график'!$BA$4:$BL$14,$C42,MONTH($B$34)))=AB$3,1,0)</f>
        <v>0</v>
      </c>
      <c r="DI43" s="58">
        <f>IF(DAY(INDEX('Сводный годовой график'!$BA$4:$BL$14,$C42,MONTH($B$34)))=AC$3,1,0)</f>
        <v>0</v>
      </c>
      <c r="DJ43" s="58">
        <f>IF(DAY(INDEX('Сводный годовой график'!$BA$4:$BL$14,$C42,MONTH($B$34)))=AD$3,1,0)</f>
        <v>0</v>
      </c>
      <c r="DK43" s="58">
        <f>IF(DAY(INDEX('Сводный годовой график'!$BA$4:$BL$14,$C42,MONTH($B$34)))=AE$3,1,0)</f>
        <v>0</v>
      </c>
      <c r="DL43" s="58">
        <f>IF(DAY(INDEX('Сводный годовой график'!$BA$4:$BL$14,$C42,MONTH($B$34)))=AF$3,1,0)</f>
        <v>0</v>
      </c>
      <c r="DM43" s="58">
        <f>IF(DAY(INDEX('Сводный годовой график'!$BA$4:$BL$14,$C42,MONTH($B$34)))=AG$3,1,0)</f>
        <v>0</v>
      </c>
      <c r="DN43" s="58">
        <f>IF(DAY(INDEX('Сводный годовой график'!$BA$4:$BL$14,$C42,MONTH($B$34)))=AH$3,1,0)</f>
        <v>0</v>
      </c>
      <c r="DO43" s="58">
        <f>IF(DAY(INDEX('Сводный годовой график'!$BA$4:$BL$14,$C42,MONTH($B$34)))=AI$3,1,0)</f>
        <v>0</v>
      </c>
    </row>
    <row r="44" spans="2:119" ht="17.25" customHeight="1" thickTop="1" thickBot="1" x14ac:dyDescent="0.3">
      <c r="B44" s="200">
        <f>DATE($AV$1,5,1)</f>
        <v>45778</v>
      </c>
      <c r="C44" s="212">
        <v>1</v>
      </c>
      <c r="D44" s="99">
        <v>1</v>
      </c>
      <c r="E44" s="27">
        <f ca="1">IF(AND(INDEX('Сводный годовой график'!$C$1:$AR$4,MATCH($C$44,'Сводный годовой график'!$B$1:$B$4),MATCH(DATE($AV$1,MONTH($B$44),E$3),'Сводный годовой график'!$C$9:$AR$9))&lt;&gt;12,INDIRECT(ADDRESS(ROW()+1,COLUMN()))="СП"),8,INDEX('Сводный годовой график'!$C$1:$AR$4,MATCH($C$44,'Сводный годовой график'!$B$1:$B$4),MATCH(DATE($AV$1,MONTH($B$44),E$3),'Сводный годовой график'!$C$9:$AR$9)))</f>
        <v>0</v>
      </c>
      <c r="F44" s="27">
        <f ca="1">IF(AND(INDEX('Сводный годовой график'!$C$1:$AR$4,MATCH($C$44,'Сводный годовой график'!$B$1:$B$4),MATCH(DATE($AV$1,MONTH($B$44),F$3),'Сводный годовой график'!$C$9:$AR$9))&lt;&gt;12,INDIRECT(ADDRESS(ROW()+1,COLUMN()))="СП"),8,INDEX('Сводный годовой график'!$C$1:$AR$4,MATCH($C$44,'Сводный годовой график'!$B$1:$B$4),MATCH(DATE($AV$1,MONTH($B$44),F$3),'Сводный годовой график'!$C$9:$AR$9)))</f>
        <v>0</v>
      </c>
      <c r="G44" s="27">
        <f ca="1">IF(AND(INDEX('Сводный годовой график'!$C$1:$AR$4,MATCH($C$44,'Сводный годовой график'!$B$1:$B$4),MATCH(DATE($AV$1,MONTH($B$44),G$3),'Сводный годовой график'!$C$9:$AR$9))&lt;&gt;12,INDIRECT(ADDRESS(ROW()+1,COLUMN()))="СП"),8,INDEX('Сводный годовой график'!$C$1:$AR$4,MATCH($C$44,'Сводный годовой график'!$B$1:$B$4),MATCH(DATE($AV$1,MONTH($B$44),G$3),'Сводный годовой график'!$C$9:$AR$9)))</f>
        <v>4</v>
      </c>
      <c r="H44" s="27">
        <f ca="1">IF(AND(INDEX('Сводный годовой график'!$C$1:$AR$4,MATCH($C$44,'Сводный годовой график'!$B$1:$B$4),MATCH(DATE($AV$1,MONTH($B$44),H$3),'Сводный годовой график'!$C$9:$AR$9))&lt;&gt;12,INDIRECT(ADDRESS(ROW()+1,COLUMN()))="СП"),8,INDEX('Сводный годовой график'!$C$1:$AR$4,MATCH($C$44,'Сводный годовой график'!$B$1:$B$4),MATCH(DATE($AV$1,MONTH($B$44),H$3),'Сводный годовой график'!$C$9:$AR$9)))</f>
        <v>8</v>
      </c>
      <c r="I44" s="27">
        <f ca="1">IF(AND(INDEX('Сводный годовой график'!$C$1:$AR$4,MATCH($C$44,'Сводный годовой график'!$B$1:$B$4),MATCH(DATE($AV$1,MONTH($B$44),I$3),'Сводный годовой график'!$C$9:$AR$9))&lt;&gt;12,INDIRECT(ADDRESS(ROW()+1,COLUMN()))="СП"),8,INDEX('Сводный годовой график'!$C$1:$AR$4,MATCH($C$44,'Сводный годовой график'!$B$1:$B$4),MATCH(DATE($AV$1,MONTH($B$44),I$3),'Сводный годовой график'!$C$9:$AR$9)))</f>
        <v>12</v>
      </c>
      <c r="J44" s="27">
        <f ca="1">IF(AND(INDEX('Сводный годовой график'!$C$1:$AR$4,MATCH($C$44,'Сводный годовой график'!$B$1:$B$4),MATCH(DATE($AV$1,MONTH($B$44),J$3),'Сводный годовой график'!$C$9:$AR$9))&lt;&gt;12,INDIRECT(ADDRESS(ROW()+1,COLUMN()))="СП"),8,INDEX('Сводный годовой график'!$C$1:$AR$4,MATCH($C$44,'Сводный годовой график'!$B$1:$B$4),MATCH(DATE($AV$1,MONTH($B$44),J$3),'Сводный годовой график'!$C$9:$AR$9)))</f>
        <v>4</v>
      </c>
      <c r="K44" s="27">
        <f ca="1">IF(AND(INDEX('Сводный годовой график'!$C$1:$AR$4,MATCH($C$44,'Сводный годовой график'!$B$1:$B$4),MATCH(DATE($AV$1,MONTH($B$44),K$3),'Сводный годовой график'!$C$9:$AR$9))&lt;&gt;12,INDIRECT(ADDRESS(ROW()+1,COLUMN()))="СП"),8,INDEX('Сводный годовой график'!$C$1:$AR$4,MATCH($C$44,'Сводный годовой график'!$B$1:$B$4),MATCH(DATE($AV$1,MONTH($B$44),K$3),'Сводный годовой график'!$C$9:$AR$9)))</f>
        <v>8</v>
      </c>
      <c r="L44" s="27">
        <f ca="1">IF(AND(INDEX('Сводный годовой график'!$C$1:$AR$4,MATCH($C$44,'Сводный годовой график'!$B$1:$B$4),MATCH(DATE($AV$1,MONTH($B$44),L$3),'Сводный годовой график'!$C$9:$AR$9))&lt;&gt;12,INDIRECT(ADDRESS(ROW()+1,COLUMN()))="СП"),8,INDEX('Сводный годовой график'!$C$1:$AR$4,MATCH($C$44,'Сводный годовой график'!$B$1:$B$4),MATCH(DATE($AV$1,MONTH($B$44),L$3),'Сводный годовой график'!$C$9:$AR$9)))</f>
        <v>12</v>
      </c>
      <c r="M44" s="27">
        <f ca="1">IF(AND(INDEX('Сводный годовой график'!$C$1:$AR$4,MATCH($C$44,'Сводный годовой график'!$B$1:$B$4),MATCH(DATE($AV$1,MONTH($B$44),M$3),'Сводный годовой график'!$C$9:$AR$9))&lt;&gt;12,INDIRECT(ADDRESS(ROW()+1,COLUMN()))="СП"),8,INDEX('Сводный годовой график'!$C$1:$AR$4,MATCH($C$44,'Сводный годовой график'!$B$1:$B$4),MATCH(DATE($AV$1,MONTH($B$44),M$3),'Сводный годовой график'!$C$9:$AR$9)))</f>
        <v>0</v>
      </c>
      <c r="N44" s="27">
        <f ca="1">IF(AND(INDEX('Сводный годовой график'!$C$1:$AR$4,MATCH($C$44,'Сводный годовой график'!$B$1:$B$4),MATCH(DATE($AV$1,MONTH($B$44),N$3),'Сводный годовой график'!$C$9:$AR$9))&lt;&gt;12,INDIRECT(ADDRESS(ROW()+1,COLUMN()))="СП"),8,INDEX('Сводный годовой график'!$C$1:$AR$4,MATCH($C$44,'Сводный годовой график'!$B$1:$B$4),MATCH(DATE($AV$1,MONTH($B$44),N$3),'Сводный годовой график'!$C$9:$AR$9)))</f>
        <v>0</v>
      </c>
      <c r="O44" s="27">
        <f ca="1">IF(AND(INDEX('Сводный годовой график'!$C$1:$AR$4,MATCH($C$44,'Сводный годовой график'!$B$1:$B$4),MATCH(DATE($AV$1,MONTH($B$44),O$3),'Сводный годовой график'!$C$9:$AR$9))&lt;&gt;12,INDIRECT(ADDRESS(ROW()+1,COLUMN()))="СП"),8,INDEX('Сводный годовой график'!$C$1:$AR$4,MATCH($C$44,'Сводный годовой график'!$B$1:$B$4),MATCH(DATE($AV$1,MONTH($B$44),O$3),'Сводный годовой график'!$C$9:$AR$9)))</f>
        <v>4</v>
      </c>
      <c r="P44" s="27">
        <f ca="1">IF(AND(INDEX('Сводный годовой график'!$C$1:$AR$4,MATCH($C$44,'Сводный годовой график'!$B$1:$B$4),MATCH(DATE($AV$1,MONTH($B$44),P$3),'Сводный годовой график'!$C$9:$AR$9))&lt;&gt;12,INDIRECT(ADDRESS(ROW()+1,COLUMN()))="СП"),8,INDEX('Сводный годовой график'!$C$1:$AR$4,MATCH($C$44,'Сводный годовой график'!$B$1:$B$4),MATCH(DATE($AV$1,MONTH($B$44),P$3),'Сводный годовой график'!$C$9:$AR$9)))</f>
        <v>8</v>
      </c>
      <c r="Q44" s="27">
        <f ca="1">IF(AND(INDEX('Сводный годовой график'!$C$1:$AR$4,MATCH($C$44,'Сводный годовой график'!$B$1:$B$4),MATCH(DATE($AV$1,MONTH($B$44),Q$3),'Сводный годовой график'!$C$9:$AR$9))&lt;&gt;12,INDIRECT(ADDRESS(ROW()+1,COLUMN()))="СП"),8,INDEX('Сводный годовой график'!$C$1:$AR$4,MATCH($C$44,'Сводный годовой график'!$B$1:$B$4),MATCH(DATE($AV$1,MONTH($B$44),Q$3),'Сводный годовой график'!$C$9:$AR$9)))</f>
        <v>12</v>
      </c>
      <c r="R44" s="27">
        <f ca="1">IF(AND(INDEX('Сводный годовой график'!$C$1:$AR$4,MATCH($C$44,'Сводный годовой график'!$B$1:$B$4),MATCH(DATE($AV$1,MONTH($B$44),R$3),'Сводный годовой график'!$C$9:$AR$9))&lt;&gt;12,INDIRECT(ADDRESS(ROW()+1,COLUMN()))="СП"),8,INDEX('Сводный годовой график'!$C$1:$AR$4,MATCH($C$44,'Сводный годовой график'!$B$1:$B$4),MATCH(DATE($AV$1,MONTH($B$44),R$3),'Сводный годовой график'!$C$9:$AR$9)))</f>
        <v>4</v>
      </c>
      <c r="S44" s="27">
        <f ca="1">IF(AND(INDEX('Сводный годовой график'!$C$1:$AR$4,MATCH($C$44,'Сводный годовой график'!$B$1:$B$4),MATCH(DATE($AV$1,MONTH($B$44),S$3),'Сводный годовой график'!$C$9:$AR$9))&lt;&gt;12,INDIRECT(ADDRESS(ROW()+1,COLUMN()))="СП"),8,INDEX('Сводный годовой график'!$C$1:$AR$4,MATCH($C$44,'Сводный годовой график'!$B$1:$B$4),MATCH(DATE($AV$1,MONTH($B$44),S$3),'Сводный годовой график'!$C$9:$AR$9)))</f>
        <v>8</v>
      </c>
      <c r="T44" s="27">
        <f ca="1">IF(AND(INDEX('Сводный годовой график'!$C$1:$AR$4,MATCH($C$44,'Сводный годовой график'!$B$1:$B$4),MATCH(DATE($AV$1,MONTH($B$44),T$3),'Сводный годовой график'!$C$9:$AR$9))&lt;&gt;12,INDIRECT(ADDRESS(ROW()+1,COLUMN()))="СП"),8,INDEX('Сводный годовой график'!$C$1:$AR$4,MATCH($C$44,'Сводный годовой график'!$B$1:$B$4),MATCH(DATE($AV$1,MONTH($B$44),T$3),'Сводный годовой график'!$C$9:$AR$9)))</f>
        <v>12</v>
      </c>
      <c r="U44" s="27">
        <f ca="1">IF(AND(INDEX('Сводный годовой график'!$C$1:$AR$4,MATCH($C$44,'Сводный годовой график'!$B$1:$B$4),MATCH(DATE($AV$1,MONTH($B$44),U$3),'Сводный годовой график'!$C$9:$AR$9))&lt;&gt;12,INDIRECT(ADDRESS(ROW()+1,COLUMN()))="СП"),8,INDEX('Сводный годовой график'!$C$1:$AR$4,MATCH($C$44,'Сводный годовой график'!$B$1:$B$4),MATCH(DATE($AV$1,MONTH($B$44),U$3),'Сводный годовой график'!$C$9:$AR$9)))</f>
        <v>0</v>
      </c>
      <c r="V44" s="27">
        <f ca="1">IF(AND(INDEX('Сводный годовой график'!$C$1:$AR$4,MATCH($C$44,'Сводный годовой график'!$B$1:$B$4),MATCH(DATE($AV$1,MONTH($B$44),V$3),'Сводный годовой график'!$C$9:$AR$9))&lt;&gt;12,INDIRECT(ADDRESS(ROW()+1,COLUMN()))="СП"),8,INDEX('Сводный годовой график'!$C$1:$AR$4,MATCH($C$44,'Сводный годовой график'!$B$1:$B$4),MATCH(DATE($AV$1,MONTH($B$44),V$3),'Сводный годовой график'!$C$9:$AR$9)))</f>
        <v>0</v>
      </c>
      <c r="W44" s="27">
        <f ca="1">IF(AND(INDEX('Сводный годовой график'!$C$1:$AR$4,MATCH($C$44,'Сводный годовой график'!$B$1:$B$4),MATCH(DATE($AV$1,MONTH($B$44),W$3),'Сводный годовой график'!$C$9:$AR$9))&lt;&gt;12,INDIRECT(ADDRESS(ROW()+1,COLUMN()))="СП"),8,INDEX('Сводный годовой график'!$C$1:$AR$4,MATCH($C$44,'Сводный годовой график'!$B$1:$B$4),MATCH(DATE($AV$1,MONTH($B$44),W$3),'Сводный годовой график'!$C$9:$AR$9)))</f>
        <v>4</v>
      </c>
      <c r="X44" s="27">
        <f ca="1">IF(AND(INDEX('Сводный годовой график'!$C$1:$AR$4,MATCH($C$44,'Сводный годовой график'!$B$1:$B$4),MATCH(DATE($AV$1,MONTH($B$44),X$3),'Сводный годовой график'!$C$9:$AR$9))&lt;&gt;12,INDIRECT(ADDRESS(ROW()+1,COLUMN()))="СП"),8,INDEX('Сводный годовой график'!$C$1:$AR$4,MATCH($C$44,'Сводный годовой график'!$B$1:$B$4),MATCH(DATE($AV$1,MONTH($B$44),X$3),'Сводный годовой график'!$C$9:$AR$9)))</f>
        <v>8</v>
      </c>
      <c r="Y44" s="27">
        <f ca="1">IF(AND(INDEX('Сводный годовой график'!$C$1:$AR$4,MATCH($C$44,'Сводный годовой график'!$B$1:$B$4),MATCH(DATE($AV$1,MONTH($B$44),Y$3),'Сводный годовой график'!$C$9:$AR$9))&lt;&gt;12,INDIRECT(ADDRESS(ROW()+1,COLUMN()))="СП"),8,INDEX('Сводный годовой график'!$C$1:$AR$4,MATCH($C$44,'Сводный годовой график'!$B$1:$B$4),MATCH(DATE($AV$1,MONTH($B$44),Y$3),'Сводный годовой график'!$C$9:$AR$9)))</f>
        <v>12</v>
      </c>
      <c r="Z44" s="27">
        <f ca="1">IF(AND(INDEX('Сводный годовой график'!$C$1:$AR$4,MATCH($C$44,'Сводный годовой график'!$B$1:$B$4),MATCH(DATE($AV$1,MONTH($B$44),Z$3),'Сводный годовой график'!$C$9:$AR$9))&lt;&gt;12,INDIRECT(ADDRESS(ROW()+1,COLUMN()))="СП"),8,INDEX('Сводный годовой график'!$C$1:$AR$4,MATCH($C$44,'Сводный годовой график'!$B$1:$B$4),MATCH(DATE($AV$1,MONTH($B$44),Z$3),'Сводный годовой график'!$C$9:$AR$9)))</f>
        <v>4</v>
      </c>
      <c r="AA44" s="27">
        <f ca="1">IF(AND(INDEX('Сводный годовой график'!$C$1:$AR$4,MATCH($C$44,'Сводный годовой график'!$B$1:$B$4),MATCH(DATE($AV$1,MONTH($B$44),AA$3),'Сводный годовой график'!$C$9:$AR$9))&lt;&gt;12,INDIRECT(ADDRESS(ROW()+1,COLUMN()))="СП"),8,INDEX('Сводный годовой график'!$C$1:$AR$4,MATCH($C$44,'Сводный годовой график'!$B$1:$B$4),MATCH(DATE($AV$1,MONTH($B$44),AA$3),'Сводный годовой график'!$C$9:$AR$9)))</f>
        <v>8</v>
      </c>
      <c r="AB44" s="27">
        <f ca="1">IF(AND(INDEX('Сводный годовой график'!$C$1:$AR$4,MATCH($C$44,'Сводный годовой график'!$B$1:$B$4),MATCH(DATE($AV$1,MONTH($B$44),AB$3),'Сводный годовой график'!$C$9:$AR$9))&lt;&gt;12,INDIRECT(ADDRESS(ROW()+1,COLUMN()))="СП"),8,INDEX('Сводный годовой график'!$C$1:$AR$4,MATCH($C$44,'Сводный годовой график'!$B$1:$B$4),MATCH(DATE($AV$1,MONTH($B$44),AB$3),'Сводный годовой график'!$C$9:$AR$9)))</f>
        <v>12</v>
      </c>
      <c r="AC44" s="27">
        <f ca="1">IF(AND(INDEX('Сводный годовой график'!$C$1:$AR$4,MATCH($C$44,'Сводный годовой график'!$B$1:$B$4),MATCH(DATE($AV$1,MONTH($B$44),AC$3),'Сводный годовой график'!$C$9:$AR$9))&lt;&gt;12,INDIRECT(ADDRESS(ROW()+1,COLUMN()))="СП"),8,INDEX('Сводный годовой график'!$C$1:$AR$4,MATCH($C$44,'Сводный годовой график'!$B$1:$B$4),MATCH(DATE($AV$1,MONTH($B$44),AC$3),'Сводный годовой график'!$C$9:$AR$9)))</f>
        <v>0</v>
      </c>
      <c r="AD44" s="27">
        <f ca="1">IF(AND(INDEX('Сводный годовой график'!$C$1:$AR$4,MATCH($C$44,'Сводный годовой график'!$B$1:$B$4),MATCH(DATE($AV$1,MONTH($B$44),AD$3),'Сводный годовой график'!$C$9:$AR$9))&lt;&gt;12,INDIRECT(ADDRESS(ROW()+1,COLUMN()))="СП"),8,INDEX('Сводный годовой график'!$C$1:$AR$4,MATCH($C$44,'Сводный годовой график'!$B$1:$B$4),MATCH(DATE($AV$1,MONTH($B$44),AD$3),'Сводный годовой график'!$C$9:$AR$9)))</f>
        <v>0</v>
      </c>
      <c r="AE44" s="27">
        <f ca="1">IF(AND(INDEX('Сводный годовой график'!$C$1:$AR$4,MATCH($C$44,'Сводный годовой график'!$B$1:$B$4),MATCH(DATE($AV$1,MONTH($B$44),AE$3),'Сводный годовой график'!$C$9:$AR$9))&lt;&gt;12,INDIRECT(ADDRESS(ROW()+1,COLUMN()))="СП"),8,INDEX('Сводный годовой график'!$C$1:$AR$4,MATCH($C$44,'Сводный годовой график'!$B$1:$B$4),MATCH(DATE($AV$1,MONTH($B$44),AE$3),'Сводный годовой график'!$C$9:$AR$9)))</f>
        <v>4</v>
      </c>
      <c r="AF44" s="27">
        <f ca="1">IF(AND(INDEX('Сводный годовой график'!$C$1:$AR$4,MATCH($C$44,'Сводный годовой график'!$B$1:$B$4),MATCH(DATE($AV$1,MONTH($B$44),AF$3),'Сводный годовой график'!$C$9:$AR$9))&lt;&gt;12,INDIRECT(ADDRESS(ROW()+1,COLUMN()))="СП"),8,INDEX('Сводный годовой график'!$C$1:$AR$4,MATCH($C$44,'Сводный годовой график'!$B$1:$B$4),MATCH(DATE($AV$1,MONTH($B$44),AF$3),'Сводный годовой график'!$C$9:$AR$9)))</f>
        <v>8</v>
      </c>
      <c r="AG44" s="27">
        <f ca="1">IF(AND(INDEX('Сводный годовой график'!$C$1:$AR$4,MATCH($C$44,'Сводный годовой график'!$B$1:$B$4),MATCH(DATE($AV$1,MONTH($B$44),AG$3),'Сводный годовой график'!$C$9:$AR$9))&lt;&gt;12,INDIRECT(ADDRESS(ROW()+1,COLUMN()))="СП"),8,INDEX('Сводный годовой график'!$C$1:$AR$4,MATCH($C$44,'Сводный годовой график'!$B$1:$B$4),MATCH(DATE($AV$1,MONTH($B$44),AG$3),'Сводный годовой график'!$C$9:$AR$9)))</f>
        <v>12</v>
      </c>
      <c r="AH44" s="27">
        <f ca="1">IF(AND(INDEX('Сводный годовой график'!$C$1:$AR$4,MATCH($C$44,'Сводный годовой график'!$B$1:$B$4),MATCH(DATE($AV$1,MONTH($B$44),AH$3),'Сводный годовой график'!$C$9:$AR$9))&lt;&gt;12,INDIRECT(ADDRESS(ROW()+1,COLUMN()))="СП"),8,INDEX('Сводный годовой график'!$C$1:$AR$4,MATCH($C$44,'Сводный годовой график'!$B$1:$B$4),MATCH(DATE($AV$1,MONTH($B$44),AH$3),'Сводный годовой график'!$C$9:$AR$9)))</f>
        <v>4</v>
      </c>
      <c r="AI44" s="27">
        <f ca="1">IF(AND(INDEX('Сводный годовой график'!$C$1:$AR$4,MATCH($C$44,'Сводный годовой график'!$B$1:$B$4),MATCH(DATE($AV$1,MONTH($B$44),AI$3),'Сводный годовой график'!$C$9:$AR$9))&lt;&gt;12,INDIRECT(ADDRESS(ROW()+1,COLUMN()))="СП"),8,INDEX('Сводный годовой график'!$C$1:$AR$4,MATCH($C$44,'Сводный годовой график'!$B$1:$B$4),MATCH(DATE($AV$1,MONTH($B$44),AI$3),'Сводный годовой график'!$C$9:$AR$9)))</f>
        <v>8</v>
      </c>
      <c r="AJ44" s="205">
        <f>INDEX(Подключения!$D$3:$H$14,MONTH(B44),5)</f>
        <v>144</v>
      </c>
      <c r="AK44" s="216">
        <f>$AJ$44-SUM(AY44:CC45)</f>
        <v>144</v>
      </c>
      <c r="AL44" s="216">
        <f ca="1">SUM(E44:AI45)</f>
        <v>180</v>
      </c>
      <c r="AM44" s="216">
        <f ca="1">(SUM(E44)+SUM(M44))</f>
        <v>0</v>
      </c>
      <c r="AN44" s="218">
        <f t="shared" ref="AN44" ca="1" si="73">-AM44-AK44+AL44</f>
        <v>36</v>
      </c>
      <c r="AO44" s="228"/>
      <c r="AP44" s="218">
        <f ca="1">AN44+AP34-AO44-AO44</f>
        <v>36</v>
      </c>
      <c r="AQ44" s="216">
        <v>0</v>
      </c>
      <c r="AR44" s="217">
        <v>1</v>
      </c>
      <c r="CK44" s="59"/>
      <c r="CL44" s="59"/>
      <c r="CM44" s="59"/>
      <c r="CN44" s="59"/>
      <c r="CO44" s="59"/>
      <c r="CP44" s="59"/>
      <c r="CQ44" s="59"/>
      <c r="CR44" s="59"/>
      <c r="CS44" s="59"/>
      <c r="CT44" s="59"/>
      <c r="CU44" s="59"/>
      <c r="CV44" s="59"/>
      <c r="CW44" s="59"/>
      <c r="CX44" s="59"/>
      <c r="CY44" s="59"/>
      <c r="CZ44" s="59"/>
      <c r="DA44" s="59"/>
      <c r="DB44" s="59"/>
      <c r="DC44" s="59"/>
      <c r="DD44" s="59"/>
      <c r="DE44" s="59"/>
      <c r="DF44" s="59"/>
      <c r="DG44" s="59"/>
      <c r="DH44" s="59"/>
      <c r="DI44" s="59"/>
      <c r="DJ44" s="59"/>
      <c r="DK44" s="59"/>
      <c r="DL44" s="59"/>
      <c r="DM44" s="59"/>
      <c r="DN44" s="59"/>
      <c r="DO44" s="59"/>
    </row>
    <row r="45" spans="2:119" ht="16.5" thickBot="1" x14ac:dyDescent="0.3">
      <c r="B45" s="201"/>
      <c r="C45" s="197"/>
      <c r="D45" s="82">
        <v>2</v>
      </c>
      <c r="E45" s="92" t="str">
        <f t="shared" ref="E45:AI45" si="74">IF(INDEX($CK$4:$DO$123,ROW()-3,E$3)=0,"","СП")</f>
        <v/>
      </c>
      <c r="F45" s="92" t="str">
        <f t="shared" si="74"/>
        <v/>
      </c>
      <c r="G45" s="92" t="str">
        <f t="shared" si="74"/>
        <v/>
      </c>
      <c r="H45" s="92" t="str">
        <f t="shared" si="74"/>
        <v/>
      </c>
      <c r="I45" s="92" t="str">
        <f t="shared" si="74"/>
        <v>СП</v>
      </c>
      <c r="J45" s="92" t="str">
        <f t="shared" si="74"/>
        <v/>
      </c>
      <c r="K45" s="92" t="str">
        <f t="shared" si="74"/>
        <v/>
      </c>
      <c r="L45" s="92" t="str">
        <f t="shared" si="74"/>
        <v/>
      </c>
      <c r="M45" s="92" t="str">
        <f t="shared" si="74"/>
        <v/>
      </c>
      <c r="N45" s="92" t="str">
        <f t="shared" si="74"/>
        <v/>
      </c>
      <c r="O45" s="92" t="str">
        <f t="shared" si="74"/>
        <v/>
      </c>
      <c r="P45" s="92" t="str">
        <f t="shared" si="74"/>
        <v/>
      </c>
      <c r="Q45" s="92" t="str">
        <f t="shared" si="74"/>
        <v/>
      </c>
      <c r="R45" s="92" t="str">
        <f t="shared" si="74"/>
        <v/>
      </c>
      <c r="S45" s="92" t="str">
        <f t="shared" si="74"/>
        <v/>
      </c>
      <c r="T45" s="92" t="str">
        <f t="shared" si="74"/>
        <v/>
      </c>
      <c r="U45" s="92" t="str">
        <f t="shared" si="74"/>
        <v/>
      </c>
      <c r="V45" s="92" t="str">
        <f t="shared" si="74"/>
        <v/>
      </c>
      <c r="W45" s="92" t="str">
        <f t="shared" si="74"/>
        <v/>
      </c>
      <c r="X45" s="92" t="str">
        <f t="shared" si="74"/>
        <v/>
      </c>
      <c r="Y45" s="92" t="str">
        <f t="shared" si="74"/>
        <v/>
      </c>
      <c r="Z45" s="92" t="str">
        <f t="shared" si="74"/>
        <v/>
      </c>
      <c r="AA45" s="92" t="str">
        <f t="shared" si="74"/>
        <v/>
      </c>
      <c r="AB45" s="92" t="str">
        <f t="shared" si="74"/>
        <v/>
      </c>
      <c r="AC45" s="92" t="str">
        <f t="shared" si="74"/>
        <v/>
      </c>
      <c r="AD45" s="92" t="str">
        <f t="shared" si="74"/>
        <v/>
      </c>
      <c r="AE45" s="92" t="str">
        <f t="shared" si="74"/>
        <v/>
      </c>
      <c r="AF45" s="92" t="str">
        <f t="shared" si="74"/>
        <v/>
      </c>
      <c r="AG45" s="92" t="str">
        <f t="shared" si="74"/>
        <v/>
      </c>
      <c r="AH45" s="92" t="str">
        <f t="shared" si="74"/>
        <v/>
      </c>
      <c r="AI45" s="92" t="str">
        <f t="shared" si="74"/>
        <v/>
      </c>
      <c r="AJ45" s="206"/>
      <c r="AK45" s="209"/>
      <c r="AL45" s="209"/>
      <c r="AM45" s="209"/>
      <c r="AN45" s="211"/>
      <c r="AO45" s="225"/>
      <c r="AP45" s="211"/>
      <c r="AQ45" s="209"/>
      <c r="AR45" s="210"/>
      <c r="CK45" s="58">
        <f>IF(DAY(INDEX('Сводный годовой график'!$BA$4:$BL$14,$C44,MONTH($B$44)))=E$3,1,0)</f>
        <v>0</v>
      </c>
      <c r="CL45" s="58">
        <f>IF(DAY(INDEX('Сводный годовой график'!$BA$4:$BL$14,$C44,MONTH($B$44)))=F$3,1,0)</f>
        <v>0</v>
      </c>
      <c r="CM45" s="58">
        <f>IF(DAY(INDEX('Сводный годовой график'!$BA$4:$BL$14,$C44,MONTH($B$44)))=G$3,1,0)</f>
        <v>0</v>
      </c>
      <c r="CN45" s="58">
        <f>IF(DAY(INDEX('Сводный годовой график'!$BA$4:$BL$14,$C44,MONTH($B$44)))=H$3,1,0)</f>
        <v>0</v>
      </c>
      <c r="CO45" s="58">
        <f>IF(DAY(INDEX('Сводный годовой график'!$BA$4:$BL$14,$C44,MONTH($B$44)))=I$3,1,0)</f>
        <v>1</v>
      </c>
      <c r="CP45" s="58">
        <f>IF(DAY(INDEX('Сводный годовой график'!$BA$4:$BL$14,$C44,MONTH($B$44)))=J$3,1,0)</f>
        <v>0</v>
      </c>
      <c r="CQ45" s="58">
        <f>IF(DAY(INDEX('Сводный годовой график'!$BA$4:$BL$14,$C44,MONTH($B$44)))=K$3,1,0)</f>
        <v>0</v>
      </c>
      <c r="CR45" s="58">
        <f>IF(DAY(INDEX('Сводный годовой график'!$BA$4:$BL$14,$C44,MONTH($B$44)))=L$3,1,0)</f>
        <v>0</v>
      </c>
      <c r="CS45" s="58">
        <f>IF(DAY(INDEX('Сводный годовой график'!$BA$4:$BL$14,$C44,MONTH($B$44)))=M$3,1,0)</f>
        <v>0</v>
      </c>
      <c r="CT45" s="58">
        <f>IF(DAY(INDEX('Сводный годовой график'!$BA$4:$BL$14,$C44,MONTH($B$44)))=N$3,1,0)</f>
        <v>0</v>
      </c>
      <c r="CU45" s="58">
        <f>IF(DAY(INDEX('Сводный годовой график'!$BA$4:$BL$14,$C44,MONTH($B$44)))=O$3,1,0)</f>
        <v>0</v>
      </c>
      <c r="CV45" s="58">
        <f>IF(DAY(INDEX('Сводный годовой график'!$BA$4:$BL$14,$C44,MONTH($B$44)))=P$3,1,0)</f>
        <v>0</v>
      </c>
      <c r="CW45" s="58">
        <f>IF(DAY(INDEX('Сводный годовой график'!$BA$4:$BL$14,$C44,MONTH($B$44)))=Q$3,1,0)</f>
        <v>0</v>
      </c>
      <c r="CX45" s="58">
        <f>IF(DAY(INDEX('Сводный годовой график'!$BA$4:$BL$14,$C44,MONTH($B$44)))=R$3,1,0)</f>
        <v>0</v>
      </c>
      <c r="CY45" s="58">
        <f>IF(DAY(INDEX('Сводный годовой график'!$BA$4:$BL$14,$C44,MONTH($B$44)))=S$3,1,0)</f>
        <v>0</v>
      </c>
      <c r="CZ45" s="58">
        <f>IF(DAY(INDEX('Сводный годовой график'!$BA$4:$BL$14,$C44,MONTH($B$44)))=T$3,1,0)</f>
        <v>0</v>
      </c>
      <c r="DA45" s="58">
        <f>IF(DAY(INDEX('Сводный годовой график'!$BA$4:$BL$14,$C44,MONTH($B$44)))=U$3,1,0)</f>
        <v>0</v>
      </c>
      <c r="DB45" s="58">
        <f>IF(DAY(INDEX('Сводный годовой график'!$BA$4:$BL$14,$C44,MONTH($B$44)))=V$3,1,0)</f>
        <v>0</v>
      </c>
      <c r="DC45" s="58">
        <f>IF(DAY(INDEX('Сводный годовой график'!$BA$4:$BL$14,$C44,MONTH($B$44)))=W$3,1,0)</f>
        <v>0</v>
      </c>
      <c r="DD45" s="58">
        <f>IF(DAY(INDEX('Сводный годовой график'!$BA$4:$BL$14,$C44,MONTH($B$44)))=X$3,1,0)</f>
        <v>0</v>
      </c>
      <c r="DE45" s="58">
        <f>IF(DAY(INDEX('Сводный годовой график'!$BA$4:$BL$14,$C44,MONTH($B$44)))=Y$3,1,0)</f>
        <v>0</v>
      </c>
      <c r="DF45" s="58">
        <f>IF(DAY(INDEX('Сводный годовой график'!$BA$4:$BL$14,$C44,MONTH($B$44)))=Z$3,1,0)</f>
        <v>0</v>
      </c>
      <c r="DG45" s="58">
        <f>IF(DAY(INDEX('Сводный годовой график'!$BA$4:$BL$14,$C44,MONTH($B$44)))=AA$3,1,0)</f>
        <v>0</v>
      </c>
      <c r="DH45" s="58">
        <f>IF(DAY(INDEX('Сводный годовой график'!$BA$4:$BL$14,$C44,MONTH($B$44)))=AB$3,1,0)</f>
        <v>0</v>
      </c>
      <c r="DI45" s="58">
        <f>IF(DAY(INDEX('Сводный годовой график'!$BA$4:$BL$14,$C44,MONTH($B$44)))=AC$3,1,0)</f>
        <v>0</v>
      </c>
      <c r="DJ45" s="58">
        <f>IF(DAY(INDEX('Сводный годовой график'!$BA$4:$BL$14,$C44,MONTH($B$44)))=AD$3,1,0)</f>
        <v>0</v>
      </c>
      <c r="DK45" s="58">
        <f>IF(DAY(INDEX('Сводный годовой график'!$BA$4:$BL$14,$C44,MONTH($B$44)))=AE$3,1,0)</f>
        <v>0</v>
      </c>
      <c r="DL45" s="58">
        <f>IF(DAY(INDEX('Сводный годовой график'!$BA$4:$BL$14,$C44,MONTH($B$44)))=AF$3,1,0)</f>
        <v>0</v>
      </c>
      <c r="DM45" s="58">
        <f>IF(DAY(INDEX('Сводный годовой график'!$BA$4:$BL$14,$C44,MONTH($B$44)))=AG$3,1,0)</f>
        <v>0</v>
      </c>
      <c r="DN45" s="58">
        <f>IF(DAY(INDEX('Сводный годовой график'!$BA$4:$BL$14,$C44,MONTH($B$44)))=AH$3,1,0)</f>
        <v>0</v>
      </c>
      <c r="DO45" s="58">
        <f>IF(DAY(INDEX('Сводный годовой график'!$BA$4:$BL$14,$C44,MONTH($B$44)))=AI$3,1,0)</f>
        <v>0</v>
      </c>
    </row>
    <row r="46" spans="2:119" ht="16.5" thickBot="1" x14ac:dyDescent="0.3">
      <c r="B46" s="201"/>
      <c r="C46" s="196">
        <v>2</v>
      </c>
      <c r="D46" s="81">
        <v>3</v>
      </c>
      <c r="E46" s="92">
        <f ca="1">IF(AND(INDEX('Сводный годовой график'!$C$1:$AR$4,MATCH($C$46,'Сводный годовой график'!$B$1:$B$4),MATCH(DATE($AV$1,MONTH($B$44),E$3),'Сводный годовой график'!$C$9:$AR$9))&lt;&gt;12,INDIRECT(ADDRESS(ROW()+1,COLUMN()))="СП"),8,INDEX('Сводный годовой график'!$C$1:$AR$4,MATCH($C$46,'Сводный годовой график'!$B$1:$B$4),MATCH(DATE($AV$1,MONTH($B$44),E$3),'Сводный годовой график'!$C$9:$AR$9)))</f>
        <v>4</v>
      </c>
      <c r="F46" s="92">
        <f ca="1">IF(AND(INDEX('Сводный годовой график'!$C$1:$AR$4,MATCH($C$46,'Сводный годовой график'!$B$1:$B$4),MATCH(DATE($AV$1,MONTH($B$44),F$3),'Сводный годовой график'!$C$9:$AR$9))&lt;&gt;12,INDIRECT(ADDRESS(ROW()+1,COLUMN()))="СП"),8,INDEX('Сводный годовой график'!$C$1:$AR$4,MATCH($C$46,'Сводный годовой график'!$B$1:$B$4),MATCH(DATE($AV$1,MONTH($B$44),F$3),'Сводный годовой график'!$C$9:$AR$9)))</f>
        <v>8</v>
      </c>
      <c r="G46" s="92">
        <f ca="1">IF(AND(INDEX('Сводный годовой график'!$C$1:$AR$4,MATCH($C$46,'Сводный годовой график'!$B$1:$B$4),MATCH(DATE($AV$1,MONTH($B$44),G$3),'Сводный годовой график'!$C$9:$AR$9))&lt;&gt;12,INDIRECT(ADDRESS(ROW()+1,COLUMN()))="СП"),8,INDEX('Сводный годовой график'!$C$1:$AR$4,MATCH($C$46,'Сводный годовой график'!$B$1:$B$4),MATCH(DATE($AV$1,MONTH($B$44),G$3),'Сводный годовой график'!$C$9:$AR$9)))</f>
        <v>12</v>
      </c>
      <c r="H46" s="92">
        <f ca="1">IF(AND(INDEX('Сводный годовой график'!$C$1:$AR$4,MATCH($C$46,'Сводный годовой график'!$B$1:$B$4),MATCH(DATE($AV$1,MONTH($B$44),H$3),'Сводный годовой график'!$C$9:$AR$9))&lt;&gt;12,INDIRECT(ADDRESS(ROW()+1,COLUMN()))="СП"),8,INDEX('Сводный годовой график'!$C$1:$AR$4,MATCH($C$46,'Сводный годовой график'!$B$1:$B$4),MATCH(DATE($AV$1,MONTH($B$44),H$3),'Сводный годовой график'!$C$9:$AR$9)))</f>
        <v>4</v>
      </c>
      <c r="I46" s="92">
        <f ca="1">IF(AND(INDEX('Сводный годовой график'!$C$1:$AR$4,MATCH($C$46,'Сводный годовой график'!$B$1:$B$4),MATCH(DATE($AV$1,MONTH($B$44),I$3),'Сводный годовой график'!$C$9:$AR$9))&lt;&gt;12,INDIRECT(ADDRESS(ROW()+1,COLUMN()))="СП"),8,INDEX('Сводный годовой график'!$C$1:$AR$4,MATCH($C$46,'Сводный годовой график'!$B$1:$B$4),MATCH(DATE($AV$1,MONTH($B$44),I$3),'Сводный годовой график'!$C$9:$AR$9)))</f>
        <v>8</v>
      </c>
      <c r="J46" s="92">
        <f ca="1">IF(AND(INDEX('Сводный годовой график'!$C$1:$AR$4,MATCH($C$46,'Сводный годовой график'!$B$1:$B$4),MATCH(DATE($AV$1,MONTH($B$44),J$3),'Сводный годовой график'!$C$9:$AR$9))&lt;&gt;12,INDIRECT(ADDRESS(ROW()+1,COLUMN()))="СП"),8,INDEX('Сводный годовой график'!$C$1:$AR$4,MATCH($C$46,'Сводный годовой график'!$B$1:$B$4),MATCH(DATE($AV$1,MONTH($B$44),J$3),'Сводный годовой график'!$C$9:$AR$9)))</f>
        <v>12</v>
      </c>
      <c r="K46" s="92">
        <f ca="1">IF(AND(INDEX('Сводный годовой график'!$C$1:$AR$4,MATCH($C$46,'Сводный годовой график'!$B$1:$B$4),MATCH(DATE($AV$1,MONTH($B$44),K$3),'Сводный годовой график'!$C$9:$AR$9))&lt;&gt;12,INDIRECT(ADDRESS(ROW()+1,COLUMN()))="СП"),8,INDEX('Сводный годовой график'!$C$1:$AR$4,MATCH($C$46,'Сводный годовой график'!$B$1:$B$4),MATCH(DATE($AV$1,MONTH($B$44),K$3),'Сводный годовой график'!$C$9:$AR$9)))</f>
        <v>0</v>
      </c>
      <c r="L46" s="92">
        <f ca="1">IF(AND(INDEX('Сводный годовой график'!$C$1:$AR$4,MATCH($C$46,'Сводный годовой график'!$B$1:$B$4),MATCH(DATE($AV$1,MONTH($B$44),L$3),'Сводный годовой график'!$C$9:$AR$9))&lt;&gt;12,INDIRECT(ADDRESS(ROW()+1,COLUMN()))="СП"),8,INDEX('Сводный годовой график'!$C$1:$AR$4,MATCH($C$46,'Сводный годовой график'!$B$1:$B$4),MATCH(DATE($AV$1,MONTH($B$44),L$3),'Сводный годовой график'!$C$9:$AR$9)))</f>
        <v>0</v>
      </c>
      <c r="M46" s="92">
        <f ca="1">IF(AND(INDEX('Сводный годовой график'!$C$1:$AR$4,MATCH($C$46,'Сводный годовой график'!$B$1:$B$4),MATCH(DATE($AV$1,MONTH($B$44),M$3),'Сводный годовой график'!$C$9:$AR$9))&lt;&gt;12,INDIRECT(ADDRESS(ROW()+1,COLUMN()))="СП"),8,INDEX('Сводный годовой график'!$C$1:$AR$4,MATCH($C$46,'Сводный годовой график'!$B$1:$B$4),MATCH(DATE($AV$1,MONTH($B$44),M$3),'Сводный годовой график'!$C$9:$AR$9)))</f>
        <v>4</v>
      </c>
      <c r="N46" s="92">
        <f ca="1">IF(AND(INDEX('Сводный годовой график'!$C$1:$AR$4,MATCH($C$46,'Сводный годовой график'!$B$1:$B$4),MATCH(DATE($AV$1,MONTH($B$44),N$3),'Сводный годовой график'!$C$9:$AR$9))&lt;&gt;12,INDIRECT(ADDRESS(ROW()+1,COLUMN()))="СП"),8,INDEX('Сводный годовой график'!$C$1:$AR$4,MATCH($C$46,'Сводный годовой график'!$B$1:$B$4),MATCH(DATE($AV$1,MONTH($B$44),N$3),'Сводный годовой график'!$C$9:$AR$9)))</f>
        <v>8</v>
      </c>
      <c r="O46" s="92">
        <f ca="1">IF(AND(INDEX('Сводный годовой график'!$C$1:$AR$4,MATCH($C$46,'Сводный годовой график'!$B$1:$B$4),MATCH(DATE($AV$1,MONTH($B$44),O$3),'Сводный годовой график'!$C$9:$AR$9))&lt;&gt;12,INDIRECT(ADDRESS(ROW()+1,COLUMN()))="СП"),8,INDEX('Сводный годовой график'!$C$1:$AR$4,MATCH($C$46,'Сводный годовой график'!$B$1:$B$4),MATCH(DATE($AV$1,MONTH($B$44),O$3),'Сводный годовой график'!$C$9:$AR$9)))</f>
        <v>12</v>
      </c>
      <c r="P46" s="92">
        <f ca="1">IF(AND(INDEX('Сводный годовой график'!$C$1:$AR$4,MATCH($C$46,'Сводный годовой график'!$B$1:$B$4),MATCH(DATE($AV$1,MONTH($B$44),P$3),'Сводный годовой график'!$C$9:$AR$9))&lt;&gt;12,INDIRECT(ADDRESS(ROW()+1,COLUMN()))="СП"),8,INDEX('Сводный годовой график'!$C$1:$AR$4,MATCH($C$46,'Сводный годовой график'!$B$1:$B$4),MATCH(DATE($AV$1,MONTH($B$44),P$3),'Сводный годовой график'!$C$9:$AR$9)))</f>
        <v>4</v>
      </c>
      <c r="Q46" s="92">
        <f ca="1">IF(AND(INDEX('Сводный годовой график'!$C$1:$AR$4,MATCH($C$46,'Сводный годовой график'!$B$1:$B$4),MATCH(DATE($AV$1,MONTH($B$44),Q$3),'Сводный годовой график'!$C$9:$AR$9))&lt;&gt;12,INDIRECT(ADDRESS(ROW()+1,COLUMN()))="СП"),8,INDEX('Сводный годовой график'!$C$1:$AR$4,MATCH($C$46,'Сводный годовой график'!$B$1:$B$4),MATCH(DATE($AV$1,MONTH($B$44),Q$3),'Сводный годовой график'!$C$9:$AR$9)))</f>
        <v>8</v>
      </c>
      <c r="R46" s="92">
        <f ca="1">IF(AND(INDEX('Сводный годовой график'!$C$1:$AR$4,MATCH($C$46,'Сводный годовой график'!$B$1:$B$4),MATCH(DATE($AV$1,MONTH($B$44),R$3),'Сводный годовой график'!$C$9:$AR$9))&lt;&gt;12,INDIRECT(ADDRESS(ROW()+1,COLUMN()))="СП"),8,INDEX('Сводный годовой график'!$C$1:$AR$4,MATCH($C$46,'Сводный годовой график'!$B$1:$B$4),MATCH(DATE($AV$1,MONTH($B$44),R$3),'Сводный годовой график'!$C$9:$AR$9)))</f>
        <v>12</v>
      </c>
      <c r="S46" s="92">
        <f ca="1">IF(AND(INDEX('Сводный годовой график'!$C$1:$AR$4,MATCH($C$46,'Сводный годовой график'!$B$1:$B$4),MATCH(DATE($AV$1,MONTH($B$44),S$3),'Сводный годовой график'!$C$9:$AR$9))&lt;&gt;12,INDIRECT(ADDRESS(ROW()+1,COLUMN()))="СП"),8,INDEX('Сводный годовой график'!$C$1:$AR$4,MATCH($C$46,'Сводный годовой график'!$B$1:$B$4),MATCH(DATE($AV$1,MONTH($B$44),S$3),'Сводный годовой график'!$C$9:$AR$9)))</f>
        <v>0</v>
      </c>
      <c r="T46" s="92">
        <f ca="1">IF(AND(INDEX('Сводный годовой график'!$C$1:$AR$4,MATCH($C$46,'Сводный годовой график'!$B$1:$B$4),MATCH(DATE($AV$1,MONTH($B$44),T$3),'Сводный годовой график'!$C$9:$AR$9))&lt;&gt;12,INDIRECT(ADDRESS(ROW()+1,COLUMN()))="СП"),8,INDEX('Сводный годовой график'!$C$1:$AR$4,MATCH($C$46,'Сводный годовой график'!$B$1:$B$4),MATCH(DATE($AV$1,MONTH($B$44),T$3),'Сводный годовой график'!$C$9:$AR$9)))</f>
        <v>0</v>
      </c>
      <c r="U46" s="92">
        <f ca="1">IF(AND(INDEX('Сводный годовой график'!$C$1:$AR$4,MATCH($C$46,'Сводный годовой график'!$B$1:$B$4),MATCH(DATE($AV$1,MONTH($B$44),U$3),'Сводный годовой график'!$C$9:$AR$9))&lt;&gt;12,INDIRECT(ADDRESS(ROW()+1,COLUMN()))="СП"),8,INDEX('Сводный годовой график'!$C$1:$AR$4,MATCH($C$46,'Сводный годовой график'!$B$1:$B$4),MATCH(DATE($AV$1,MONTH($B$44),U$3),'Сводный годовой график'!$C$9:$AR$9)))</f>
        <v>4</v>
      </c>
      <c r="V46" s="92">
        <f ca="1">IF(AND(INDEX('Сводный годовой график'!$C$1:$AR$4,MATCH($C$46,'Сводный годовой график'!$B$1:$B$4),MATCH(DATE($AV$1,MONTH($B$44),V$3),'Сводный годовой график'!$C$9:$AR$9))&lt;&gt;12,INDIRECT(ADDRESS(ROW()+1,COLUMN()))="СП"),8,INDEX('Сводный годовой график'!$C$1:$AR$4,MATCH($C$46,'Сводный годовой график'!$B$1:$B$4),MATCH(DATE($AV$1,MONTH($B$44),V$3),'Сводный годовой график'!$C$9:$AR$9)))</f>
        <v>8</v>
      </c>
      <c r="W46" s="92">
        <f ca="1">IF(AND(INDEX('Сводный годовой график'!$C$1:$AR$4,MATCH($C$46,'Сводный годовой график'!$B$1:$B$4),MATCH(DATE($AV$1,MONTH($B$44),W$3),'Сводный годовой график'!$C$9:$AR$9))&lt;&gt;12,INDIRECT(ADDRESS(ROW()+1,COLUMN()))="СП"),8,INDEX('Сводный годовой график'!$C$1:$AR$4,MATCH($C$46,'Сводный годовой график'!$B$1:$B$4),MATCH(DATE($AV$1,MONTH($B$44),W$3),'Сводный годовой график'!$C$9:$AR$9)))</f>
        <v>12</v>
      </c>
      <c r="X46" s="92">
        <f ca="1">IF(AND(INDEX('Сводный годовой график'!$C$1:$AR$4,MATCH($C$46,'Сводный годовой график'!$B$1:$B$4),MATCH(DATE($AV$1,MONTH($B$44),X$3),'Сводный годовой график'!$C$9:$AR$9))&lt;&gt;12,INDIRECT(ADDRESS(ROW()+1,COLUMN()))="СП"),8,INDEX('Сводный годовой график'!$C$1:$AR$4,MATCH($C$46,'Сводный годовой график'!$B$1:$B$4),MATCH(DATE($AV$1,MONTH($B$44),X$3),'Сводный годовой график'!$C$9:$AR$9)))</f>
        <v>4</v>
      </c>
      <c r="Y46" s="92">
        <f ca="1">IF(AND(INDEX('Сводный годовой график'!$C$1:$AR$4,MATCH($C$46,'Сводный годовой график'!$B$1:$B$4),MATCH(DATE($AV$1,MONTH($B$44),Y$3),'Сводный годовой график'!$C$9:$AR$9))&lt;&gt;12,INDIRECT(ADDRESS(ROW()+1,COLUMN()))="СП"),8,INDEX('Сводный годовой график'!$C$1:$AR$4,MATCH($C$46,'Сводный годовой график'!$B$1:$B$4),MATCH(DATE($AV$1,MONTH($B$44),Y$3),'Сводный годовой график'!$C$9:$AR$9)))</f>
        <v>8</v>
      </c>
      <c r="Z46" s="92">
        <f ca="1">IF(AND(INDEX('Сводный годовой график'!$C$1:$AR$4,MATCH($C$46,'Сводный годовой график'!$B$1:$B$4),MATCH(DATE($AV$1,MONTH($B$44),Z$3),'Сводный годовой график'!$C$9:$AR$9))&lt;&gt;12,INDIRECT(ADDRESS(ROW()+1,COLUMN()))="СП"),8,INDEX('Сводный годовой график'!$C$1:$AR$4,MATCH($C$46,'Сводный годовой график'!$B$1:$B$4),MATCH(DATE($AV$1,MONTH($B$44),Z$3),'Сводный годовой график'!$C$9:$AR$9)))</f>
        <v>12</v>
      </c>
      <c r="AA46" s="92">
        <f ca="1">IF(AND(INDEX('Сводный годовой график'!$C$1:$AR$4,MATCH($C$46,'Сводный годовой график'!$B$1:$B$4),MATCH(DATE($AV$1,MONTH($B$44),AA$3),'Сводный годовой график'!$C$9:$AR$9))&lt;&gt;12,INDIRECT(ADDRESS(ROW()+1,COLUMN()))="СП"),8,INDEX('Сводный годовой график'!$C$1:$AR$4,MATCH($C$46,'Сводный годовой график'!$B$1:$B$4),MATCH(DATE($AV$1,MONTH($B$44),AA$3),'Сводный годовой график'!$C$9:$AR$9)))</f>
        <v>0</v>
      </c>
      <c r="AB46" s="92">
        <f ca="1">IF(AND(INDEX('Сводный годовой график'!$C$1:$AR$4,MATCH($C$46,'Сводный годовой график'!$B$1:$B$4),MATCH(DATE($AV$1,MONTH($B$44),AB$3),'Сводный годовой график'!$C$9:$AR$9))&lt;&gt;12,INDIRECT(ADDRESS(ROW()+1,COLUMN()))="СП"),8,INDEX('Сводный годовой график'!$C$1:$AR$4,MATCH($C$46,'Сводный годовой график'!$B$1:$B$4),MATCH(DATE($AV$1,MONTH($B$44),AB$3),'Сводный годовой график'!$C$9:$AR$9)))</f>
        <v>0</v>
      </c>
      <c r="AC46" s="92">
        <f ca="1">IF(AND(INDEX('Сводный годовой график'!$C$1:$AR$4,MATCH($C$46,'Сводный годовой график'!$B$1:$B$4),MATCH(DATE($AV$1,MONTH($B$44),AC$3),'Сводный годовой график'!$C$9:$AR$9))&lt;&gt;12,INDIRECT(ADDRESS(ROW()+1,COLUMN()))="СП"),8,INDEX('Сводный годовой график'!$C$1:$AR$4,MATCH($C$46,'Сводный годовой график'!$B$1:$B$4),MATCH(DATE($AV$1,MONTH($B$44),AC$3),'Сводный годовой график'!$C$9:$AR$9)))</f>
        <v>4</v>
      </c>
      <c r="AD46" s="92">
        <f ca="1">IF(AND(INDEX('Сводный годовой график'!$C$1:$AR$4,MATCH($C$46,'Сводный годовой график'!$B$1:$B$4),MATCH(DATE($AV$1,MONTH($B$44),AD$3),'Сводный годовой график'!$C$9:$AR$9))&lt;&gt;12,INDIRECT(ADDRESS(ROW()+1,COLUMN()))="СП"),8,INDEX('Сводный годовой график'!$C$1:$AR$4,MATCH($C$46,'Сводный годовой график'!$B$1:$B$4),MATCH(DATE($AV$1,MONTH($B$44),AD$3),'Сводный годовой график'!$C$9:$AR$9)))</f>
        <v>8</v>
      </c>
      <c r="AE46" s="92">
        <f ca="1">IF(AND(INDEX('Сводный годовой график'!$C$1:$AR$4,MATCH($C$46,'Сводный годовой график'!$B$1:$B$4),MATCH(DATE($AV$1,MONTH($B$44),AE$3),'Сводный годовой график'!$C$9:$AR$9))&lt;&gt;12,INDIRECT(ADDRESS(ROW()+1,COLUMN()))="СП"),8,INDEX('Сводный годовой график'!$C$1:$AR$4,MATCH($C$46,'Сводный годовой график'!$B$1:$B$4),MATCH(DATE($AV$1,MONTH($B$44),AE$3),'Сводный годовой график'!$C$9:$AR$9)))</f>
        <v>12</v>
      </c>
      <c r="AF46" s="92">
        <f ca="1">IF(AND(INDEX('Сводный годовой график'!$C$1:$AR$4,MATCH($C$46,'Сводный годовой график'!$B$1:$B$4),MATCH(DATE($AV$1,MONTH($B$44),AF$3),'Сводный годовой график'!$C$9:$AR$9))&lt;&gt;12,INDIRECT(ADDRESS(ROW()+1,COLUMN()))="СП"),8,INDEX('Сводный годовой график'!$C$1:$AR$4,MATCH($C$46,'Сводный годовой график'!$B$1:$B$4),MATCH(DATE($AV$1,MONTH($B$44),AF$3),'Сводный годовой график'!$C$9:$AR$9)))</f>
        <v>4</v>
      </c>
      <c r="AG46" s="92">
        <f ca="1">IF(AND(INDEX('Сводный годовой график'!$C$1:$AR$4,MATCH($C$46,'Сводный годовой график'!$B$1:$B$4),MATCH(DATE($AV$1,MONTH($B$44),AG$3),'Сводный годовой график'!$C$9:$AR$9))&lt;&gt;12,INDIRECT(ADDRESS(ROW()+1,COLUMN()))="СП"),8,INDEX('Сводный годовой график'!$C$1:$AR$4,MATCH($C$46,'Сводный годовой график'!$B$1:$B$4),MATCH(DATE($AV$1,MONTH($B$44),AG$3),'Сводный годовой график'!$C$9:$AR$9)))</f>
        <v>8</v>
      </c>
      <c r="AH46" s="92">
        <f ca="1">IF(AND(INDEX('Сводный годовой график'!$C$1:$AR$4,MATCH($C$46,'Сводный годовой график'!$B$1:$B$4),MATCH(DATE($AV$1,MONTH($B$44),AH$3),'Сводный годовой график'!$C$9:$AR$9))&lt;&gt;12,INDIRECT(ADDRESS(ROW()+1,COLUMN()))="СП"),8,INDEX('Сводный годовой график'!$C$1:$AR$4,MATCH($C$46,'Сводный годовой график'!$B$1:$B$4),MATCH(DATE($AV$1,MONTH($B$44),AH$3),'Сводный годовой график'!$C$9:$AR$9)))</f>
        <v>12</v>
      </c>
      <c r="AI46" s="92">
        <f ca="1">IF(AND(INDEX('Сводный годовой график'!$C$1:$AR$4,MATCH($C$46,'Сводный годовой график'!$B$1:$B$4),MATCH(DATE($AV$1,MONTH($B$44),AI$3),'Сводный годовой график'!$C$9:$AR$9))&lt;&gt;12,INDIRECT(ADDRESS(ROW()+1,COLUMN()))="СП"),8,INDEX('Сводный годовой график'!$C$1:$AR$4,MATCH($C$46,'Сводный годовой график'!$B$1:$B$4),MATCH(DATE($AV$1,MONTH($B$44),AI$3),'Сводный годовой график'!$C$9:$AR$9)))</f>
        <v>0</v>
      </c>
      <c r="AJ46" s="206"/>
      <c r="AK46" s="209">
        <f>$AJ$44-SUM(AY46:CC47)</f>
        <v>144</v>
      </c>
      <c r="AL46" s="209">
        <f t="shared" ref="AL46" ca="1" si="75">SUM(E46:AI47)</f>
        <v>192</v>
      </c>
      <c r="AM46" s="209">
        <f t="shared" ref="AM46" ca="1" si="76">(SUM(E46)+SUM(M46))</f>
        <v>8</v>
      </c>
      <c r="AN46" s="211">
        <f t="shared" ref="AN46" ca="1" si="77">-AM46-AK46+AL46</f>
        <v>40</v>
      </c>
      <c r="AO46" s="224">
        <v>0</v>
      </c>
      <c r="AP46" s="211">
        <f ca="1">AN46+AP36-AO46</f>
        <v>24</v>
      </c>
      <c r="AQ46" s="209">
        <v>0</v>
      </c>
      <c r="AR46" s="210">
        <v>1</v>
      </c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59"/>
      <c r="DI46" s="59"/>
      <c r="DJ46" s="59"/>
      <c r="DK46" s="59"/>
      <c r="DL46" s="59"/>
      <c r="DM46" s="59"/>
      <c r="DN46" s="59"/>
      <c r="DO46" s="59"/>
    </row>
    <row r="47" spans="2:119" ht="16.5" thickBot="1" x14ac:dyDescent="0.3">
      <c r="B47" s="201"/>
      <c r="C47" s="197"/>
      <c r="D47" s="82">
        <v>4</v>
      </c>
      <c r="E47" s="92" t="str">
        <f t="shared" ref="E47:AI47" si="78">IF(INDEX($CK$4:$DO$123,ROW()-3,E$3)=0,"","СП")</f>
        <v/>
      </c>
      <c r="F47" s="92" t="str">
        <f t="shared" si="78"/>
        <v/>
      </c>
      <c r="G47" s="92" t="str">
        <f t="shared" si="78"/>
        <v/>
      </c>
      <c r="H47" s="92" t="str">
        <f t="shared" si="78"/>
        <v/>
      </c>
      <c r="I47" s="92" t="str">
        <f t="shared" si="78"/>
        <v/>
      </c>
      <c r="J47" s="92" t="str">
        <f t="shared" si="78"/>
        <v>СП</v>
      </c>
      <c r="K47" s="92" t="str">
        <f t="shared" si="78"/>
        <v/>
      </c>
      <c r="L47" s="92" t="str">
        <f t="shared" si="78"/>
        <v/>
      </c>
      <c r="M47" s="92" t="str">
        <f t="shared" si="78"/>
        <v/>
      </c>
      <c r="N47" s="92" t="str">
        <f t="shared" si="78"/>
        <v/>
      </c>
      <c r="O47" s="92" t="str">
        <f t="shared" si="78"/>
        <v/>
      </c>
      <c r="P47" s="92" t="str">
        <f t="shared" si="78"/>
        <v/>
      </c>
      <c r="Q47" s="92" t="str">
        <f t="shared" si="78"/>
        <v/>
      </c>
      <c r="R47" s="92" t="str">
        <f t="shared" si="78"/>
        <v/>
      </c>
      <c r="S47" s="92" t="str">
        <f t="shared" si="78"/>
        <v/>
      </c>
      <c r="T47" s="92" t="str">
        <f t="shared" si="78"/>
        <v/>
      </c>
      <c r="U47" s="92" t="str">
        <f t="shared" si="78"/>
        <v/>
      </c>
      <c r="V47" s="92" t="str">
        <f t="shared" si="78"/>
        <v/>
      </c>
      <c r="W47" s="92" t="str">
        <f t="shared" si="78"/>
        <v/>
      </c>
      <c r="X47" s="92" t="str">
        <f t="shared" si="78"/>
        <v/>
      </c>
      <c r="Y47" s="92" t="str">
        <f t="shared" si="78"/>
        <v/>
      </c>
      <c r="Z47" s="92" t="str">
        <f t="shared" si="78"/>
        <v/>
      </c>
      <c r="AA47" s="92" t="str">
        <f t="shared" si="78"/>
        <v/>
      </c>
      <c r="AB47" s="92" t="str">
        <f t="shared" si="78"/>
        <v/>
      </c>
      <c r="AC47" s="92" t="str">
        <f t="shared" si="78"/>
        <v/>
      </c>
      <c r="AD47" s="92" t="str">
        <f t="shared" si="78"/>
        <v/>
      </c>
      <c r="AE47" s="92" t="str">
        <f t="shared" si="78"/>
        <v/>
      </c>
      <c r="AF47" s="92" t="str">
        <f t="shared" si="78"/>
        <v/>
      </c>
      <c r="AG47" s="92" t="str">
        <f t="shared" si="78"/>
        <v/>
      </c>
      <c r="AH47" s="92" t="str">
        <f t="shared" si="78"/>
        <v/>
      </c>
      <c r="AI47" s="92" t="str">
        <f t="shared" si="78"/>
        <v/>
      </c>
      <c r="AJ47" s="206"/>
      <c r="AK47" s="209"/>
      <c r="AL47" s="209"/>
      <c r="AM47" s="209"/>
      <c r="AN47" s="211"/>
      <c r="AO47" s="225"/>
      <c r="AP47" s="211"/>
      <c r="AQ47" s="209"/>
      <c r="AR47" s="210"/>
      <c r="CK47" s="58">
        <f>IF(DAY(INDEX('Сводный годовой график'!$BA$4:$BL$14,$C46,MONTH($B$44)))=E$3,1,0)</f>
        <v>0</v>
      </c>
      <c r="CL47" s="58">
        <f>IF(DAY(INDEX('Сводный годовой график'!$BA$4:$BL$14,$C46,MONTH($B$44)))=F$3,1,0)</f>
        <v>0</v>
      </c>
      <c r="CM47" s="58">
        <f>IF(DAY(INDEX('Сводный годовой график'!$BA$4:$BL$14,$C46,MONTH($B$44)))=G$3,1,0)</f>
        <v>0</v>
      </c>
      <c r="CN47" s="58">
        <f>IF(DAY(INDEX('Сводный годовой график'!$BA$4:$BL$14,$C46,MONTH($B$44)))=H$3,1,0)</f>
        <v>0</v>
      </c>
      <c r="CO47" s="58">
        <f>IF(DAY(INDEX('Сводный годовой график'!$BA$4:$BL$14,$C46,MONTH($B$44)))=I$3,1,0)</f>
        <v>0</v>
      </c>
      <c r="CP47" s="58">
        <f>IF(DAY(INDEX('Сводный годовой график'!$BA$4:$BL$14,$C46,MONTH($B$44)))=J$3,1,0)</f>
        <v>1</v>
      </c>
      <c r="CQ47" s="58">
        <f>IF(DAY(INDEX('Сводный годовой график'!$BA$4:$BL$14,$C46,MONTH($B$44)))=K$3,1,0)</f>
        <v>0</v>
      </c>
      <c r="CR47" s="58">
        <f>IF(DAY(INDEX('Сводный годовой график'!$BA$4:$BL$14,$C46,MONTH($B$44)))=L$3,1,0)</f>
        <v>0</v>
      </c>
      <c r="CS47" s="58">
        <f>IF(DAY(INDEX('Сводный годовой график'!$BA$4:$BL$14,$C46,MONTH($B$44)))=M$3,1,0)</f>
        <v>0</v>
      </c>
      <c r="CT47" s="58">
        <f>IF(DAY(INDEX('Сводный годовой график'!$BA$4:$BL$14,$C46,MONTH($B$44)))=N$3,1,0)</f>
        <v>0</v>
      </c>
      <c r="CU47" s="58">
        <f>IF(DAY(INDEX('Сводный годовой график'!$BA$4:$BL$14,$C46,MONTH($B$44)))=O$3,1,0)</f>
        <v>0</v>
      </c>
      <c r="CV47" s="58">
        <f>IF(DAY(INDEX('Сводный годовой график'!$BA$4:$BL$14,$C46,MONTH($B$44)))=P$3,1,0)</f>
        <v>0</v>
      </c>
      <c r="CW47" s="58">
        <f>IF(DAY(INDEX('Сводный годовой график'!$BA$4:$BL$14,$C46,MONTH($B$44)))=Q$3,1,0)</f>
        <v>0</v>
      </c>
      <c r="CX47" s="58">
        <f>IF(DAY(INDEX('Сводный годовой график'!$BA$4:$BL$14,$C46,MONTH($B$44)))=R$3,1,0)</f>
        <v>0</v>
      </c>
      <c r="CY47" s="58">
        <f>IF(DAY(INDEX('Сводный годовой график'!$BA$4:$BL$14,$C46,MONTH($B$44)))=S$3,1,0)</f>
        <v>0</v>
      </c>
      <c r="CZ47" s="58">
        <f>IF(DAY(INDEX('Сводный годовой график'!$BA$4:$BL$14,$C46,MONTH($B$44)))=T$3,1,0)</f>
        <v>0</v>
      </c>
      <c r="DA47" s="58">
        <f>IF(DAY(INDEX('Сводный годовой график'!$BA$4:$BL$14,$C46,MONTH($B$44)))=U$3,1,0)</f>
        <v>0</v>
      </c>
      <c r="DB47" s="58">
        <f>IF(DAY(INDEX('Сводный годовой график'!$BA$4:$BL$14,$C46,MONTH($B$44)))=V$3,1,0)</f>
        <v>0</v>
      </c>
      <c r="DC47" s="58">
        <f>IF(DAY(INDEX('Сводный годовой график'!$BA$4:$BL$14,$C46,MONTH($B$44)))=W$3,1,0)</f>
        <v>0</v>
      </c>
      <c r="DD47" s="58">
        <f>IF(DAY(INDEX('Сводный годовой график'!$BA$4:$BL$14,$C46,MONTH($B$44)))=X$3,1,0)</f>
        <v>0</v>
      </c>
      <c r="DE47" s="58">
        <f>IF(DAY(INDEX('Сводный годовой график'!$BA$4:$BL$14,$C46,MONTH($B$44)))=Y$3,1,0)</f>
        <v>0</v>
      </c>
      <c r="DF47" s="58">
        <f>IF(DAY(INDEX('Сводный годовой график'!$BA$4:$BL$14,$C46,MONTH($B$44)))=Z$3,1,0)</f>
        <v>0</v>
      </c>
      <c r="DG47" s="58">
        <f>IF(DAY(INDEX('Сводный годовой график'!$BA$4:$BL$14,$C46,MONTH($B$44)))=AA$3,1,0)</f>
        <v>0</v>
      </c>
      <c r="DH47" s="58">
        <f>IF(DAY(INDEX('Сводный годовой график'!$BA$4:$BL$14,$C46,MONTH($B$44)))=AB$3,1,0)</f>
        <v>0</v>
      </c>
      <c r="DI47" s="58">
        <f>IF(DAY(INDEX('Сводный годовой график'!$BA$4:$BL$14,$C46,MONTH($B$44)))=AC$3,1,0)</f>
        <v>0</v>
      </c>
      <c r="DJ47" s="58">
        <f>IF(DAY(INDEX('Сводный годовой график'!$BA$4:$BL$14,$C46,MONTH($B$44)))=AD$3,1,0)</f>
        <v>0</v>
      </c>
      <c r="DK47" s="58">
        <f>IF(DAY(INDEX('Сводный годовой график'!$BA$4:$BL$14,$C46,MONTH($B$44)))=AE$3,1,0)</f>
        <v>0</v>
      </c>
      <c r="DL47" s="58">
        <f>IF(DAY(INDEX('Сводный годовой график'!$BA$4:$BL$14,$C46,MONTH($B$44)))=AF$3,1,0)</f>
        <v>0</v>
      </c>
      <c r="DM47" s="58">
        <f>IF(DAY(INDEX('Сводный годовой график'!$BA$4:$BL$14,$C46,MONTH($B$44)))=AG$3,1,0)</f>
        <v>0</v>
      </c>
      <c r="DN47" s="58">
        <f>IF(DAY(INDEX('Сводный годовой график'!$BA$4:$BL$14,$C46,MONTH($B$44)))=AH$3,1,0)</f>
        <v>0</v>
      </c>
      <c r="DO47" s="58">
        <f>IF(DAY(INDEX('Сводный годовой график'!$BA$4:$BL$14,$C46,MONTH($B$44)))=AI$3,1,0)</f>
        <v>0</v>
      </c>
    </row>
    <row r="48" spans="2:119" ht="16.5" thickBot="1" x14ac:dyDescent="0.3">
      <c r="B48" s="201"/>
      <c r="C48" s="196">
        <v>3</v>
      </c>
      <c r="D48" s="81">
        <v>5</v>
      </c>
      <c r="E48" s="92">
        <f ca="1">IF(AND(INDEX('Сводный годовой график'!$C$1:$AR$4,MATCH($C$48,'Сводный годовой график'!$B$1:$B$4),MATCH(DATE($AV$1,MONTH($B$44),E$3),'Сводный годовой график'!$C$9:$AR$9))&lt;&gt;12,INDIRECT(ADDRESS(ROW()+1,COLUMN()))="СП"),8,INDEX('Сводный годовой график'!$C$1:$AR$4,MATCH($C$48,'Сводный годовой график'!$B$1:$B$4),MATCH(DATE($AV$1,MONTH($B$44),E$3),'Сводный годовой график'!$C$9:$AR$9)))</f>
        <v>8</v>
      </c>
      <c r="F48" s="92">
        <f ca="1">IF(AND(INDEX('Сводный годовой график'!$C$1:$AR$4,MATCH($C$48,'Сводный годовой график'!$B$1:$B$4),MATCH(DATE($AV$1,MONTH($B$44),F$3),'Сводный годовой график'!$C$9:$AR$9))&lt;&gt;12,INDIRECT(ADDRESS(ROW()+1,COLUMN()))="СП"),8,INDEX('Сводный годовой график'!$C$1:$AR$4,MATCH($C$48,'Сводный годовой график'!$B$1:$B$4),MATCH(DATE($AV$1,MONTH($B$44),F$3),'Сводный годовой график'!$C$9:$AR$9)))</f>
        <v>12</v>
      </c>
      <c r="G48" s="92">
        <f ca="1">IF(AND(INDEX('Сводный годовой график'!$C$1:$AR$4,MATCH($C$48,'Сводный годовой график'!$B$1:$B$4),MATCH(DATE($AV$1,MONTH($B$44),G$3),'Сводный годовой график'!$C$9:$AR$9))&lt;&gt;12,INDIRECT(ADDRESS(ROW()+1,COLUMN()))="СП"),8,INDEX('Сводный годовой график'!$C$1:$AR$4,MATCH($C$48,'Сводный годовой график'!$B$1:$B$4),MATCH(DATE($AV$1,MONTH($B$44),G$3),'Сводный годовой график'!$C$9:$AR$9)))</f>
        <v>0</v>
      </c>
      <c r="H48" s="92">
        <f ca="1">IF(AND(INDEX('Сводный годовой график'!$C$1:$AR$4,MATCH($C$48,'Сводный годовой график'!$B$1:$B$4),MATCH(DATE($AV$1,MONTH($B$44),H$3),'Сводный годовой график'!$C$9:$AR$9))&lt;&gt;12,INDIRECT(ADDRESS(ROW()+1,COLUMN()))="СП"),8,INDEX('Сводный годовой график'!$C$1:$AR$4,MATCH($C$48,'Сводный годовой график'!$B$1:$B$4),MATCH(DATE($AV$1,MONTH($B$44),H$3),'Сводный годовой график'!$C$9:$AR$9)))</f>
        <v>0</v>
      </c>
      <c r="I48" s="92">
        <f ca="1">IF(AND(INDEX('Сводный годовой график'!$C$1:$AR$4,MATCH($C$48,'Сводный годовой график'!$B$1:$B$4),MATCH(DATE($AV$1,MONTH($B$44),I$3),'Сводный годовой график'!$C$9:$AR$9))&lt;&gt;12,INDIRECT(ADDRESS(ROW()+1,COLUMN()))="СП"),8,INDEX('Сводный годовой график'!$C$1:$AR$4,MATCH($C$48,'Сводный годовой график'!$B$1:$B$4),MATCH(DATE($AV$1,MONTH($B$44),I$3),'Сводный годовой график'!$C$9:$AR$9)))</f>
        <v>4</v>
      </c>
      <c r="J48" s="92">
        <f ca="1">IF(AND(INDEX('Сводный годовой график'!$C$1:$AR$4,MATCH($C$48,'Сводный годовой график'!$B$1:$B$4),MATCH(DATE($AV$1,MONTH($B$44),J$3),'Сводный годовой график'!$C$9:$AR$9))&lt;&gt;12,INDIRECT(ADDRESS(ROW()+1,COLUMN()))="СП"),8,INDEX('Сводный годовой график'!$C$1:$AR$4,MATCH($C$48,'Сводный годовой график'!$B$1:$B$4),MATCH(DATE($AV$1,MONTH($B$44),J$3),'Сводный годовой график'!$C$9:$AR$9)))</f>
        <v>8</v>
      </c>
      <c r="K48" s="92">
        <f ca="1">IF(AND(INDEX('Сводный годовой график'!$C$1:$AR$4,MATCH($C$48,'Сводный годовой график'!$B$1:$B$4),MATCH(DATE($AV$1,MONTH($B$44),K$3),'Сводный годовой график'!$C$9:$AR$9))&lt;&gt;12,INDIRECT(ADDRESS(ROW()+1,COLUMN()))="СП"),8,INDEX('Сводный годовой график'!$C$1:$AR$4,MATCH($C$48,'Сводный годовой график'!$B$1:$B$4),MATCH(DATE($AV$1,MONTH($B$44),K$3),'Сводный годовой график'!$C$9:$AR$9)))</f>
        <v>12</v>
      </c>
      <c r="L48" s="92">
        <f ca="1">IF(AND(INDEX('Сводный годовой график'!$C$1:$AR$4,MATCH($C$48,'Сводный годовой график'!$B$1:$B$4),MATCH(DATE($AV$1,MONTH($B$44),L$3),'Сводный годовой график'!$C$9:$AR$9))&lt;&gt;12,INDIRECT(ADDRESS(ROW()+1,COLUMN()))="СП"),8,INDEX('Сводный годовой график'!$C$1:$AR$4,MATCH($C$48,'Сводный годовой график'!$B$1:$B$4),MATCH(DATE($AV$1,MONTH($B$44),L$3),'Сводный годовой график'!$C$9:$AR$9)))</f>
        <v>4</v>
      </c>
      <c r="M48" s="92">
        <f ca="1">IF(AND(INDEX('Сводный годовой график'!$C$1:$AR$4,MATCH($C$48,'Сводный годовой график'!$B$1:$B$4),MATCH(DATE($AV$1,MONTH($B$44),M$3),'Сводный годовой график'!$C$9:$AR$9))&lt;&gt;12,INDIRECT(ADDRESS(ROW()+1,COLUMN()))="СП"),8,INDEX('Сводный годовой график'!$C$1:$AR$4,MATCH($C$48,'Сводный годовой график'!$B$1:$B$4),MATCH(DATE($AV$1,MONTH($B$44),M$3),'Сводный годовой график'!$C$9:$AR$9)))</f>
        <v>8</v>
      </c>
      <c r="N48" s="92">
        <f ca="1">IF(AND(INDEX('Сводный годовой график'!$C$1:$AR$4,MATCH($C$48,'Сводный годовой график'!$B$1:$B$4),MATCH(DATE($AV$1,MONTH($B$44),N$3),'Сводный годовой график'!$C$9:$AR$9))&lt;&gt;12,INDIRECT(ADDRESS(ROW()+1,COLUMN()))="СП"),8,INDEX('Сводный годовой график'!$C$1:$AR$4,MATCH($C$48,'Сводный годовой график'!$B$1:$B$4),MATCH(DATE($AV$1,MONTH($B$44),N$3),'Сводный годовой график'!$C$9:$AR$9)))</f>
        <v>12</v>
      </c>
      <c r="O48" s="92">
        <f ca="1">IF(AND(INDEX('Сводный годовой график'!$C$1:$AR$4,MATCH($C$48,'Сводный годовой график'!$B$1:$B$4),MATCH(DATE($AV$1,MONTH($B$44),O$3),'Сводный годовой график'!$C$9:$AR$9))&lt;&gt;12,INDIRECT(ADDRESS(ROW()+1,COLUMN()))="СП"),8,INDEX('Сводный годовой график'!$C$1:$AR$4,MATCH($C$48,'Сводный годовой график'!$B$1:$B$4),MATCH(DATE($AV$1,MONTH($B$44),O$3),'Сводный годовой график'!$C$9:$AR$9)))</f>
        <v>0</v>
      </c>
      <c r="P48" s="92">
        <f ca="1">IF(AND(INDEX('Сводный годовой график'!$C$1:$AR$4,MATCH($C$48,'Сводный годовой график'!$B$1:$B$4),MATCH(DATE($AV$1,MONTH($B$44),P$3),'Сводный годовой график'!$C$9:$AR$9))&lt;&gt;12,INDIRECT(ADDRESS(ROW()+1,COLUMN()))="СП"),8,INDEX('Сводный годовой график'!$C$1:$AR$4,MATCH($C$48,'Сводный годовой график'!$B$1:$B$4),MATCH(DATE($AV$1,MONTH($B$44),P$3),'Сводный годовой график'!$C$9:$AR$9)))</f>
        <v>0</v>
      </c>
      <c r="Q48" s="92">
        <f ca="1">IF(AND(INDEX('Сводный годовой график'!$C$1:$AR$4,MATCH($C$48,'Сводный годовой график'!$B$1:$B$4),MATCH(DATE($AV$1,MONTH($B$44),Q$3),'Сводный годовой график'!$C$9:$AR$9))&lt;&gt;12,INDIRECT(ADDRESS(ROW()+1,COLUMN()))="СП"),8,INDEX('Сводный годовой график'!$C$1:$AR$4,MATCH($C$48,'Сводный годовой график'!$B$1:$B$4),MATCH(DATE($AV$1,MONTH($B$44),Q$3),'Сводный годовой график'!$C$9:$AR$9)))</f>
        <v>4</v>
      </c>
      <c r="R48" s="92">
        <f ca="1">IF(AND(INDEX('Сводный годовой график'!$C$1:$AR$4,MATCH($C$48,'Сводный годовой график'!$B$1:$B$4),MATCH(DATE($AV$1,MONTH($B$44),R$3),'Сводный годовой график'!$C$9:$AR$9))&lt;&gt;12,INDIRECT(ADDRESS(ROW()+1,COLUMN()))="СП"),8,INDEX('Сводный годовой график'!$C$1:$AR$4,MATCH($C$48,'Сводный годовой график'!$B$1:$B$4),MATCH(DATE($AV$1,MONTH($B$44),R$3),'Сводный годовой график'!$C$9:$AR$9)))</f>
        <v>8</v>
      </c>
      <c r="S48" s="92">
        <f ca="1">IF(AND(INDEX('Сводный годовой график'!$C$1:$AR$4,MATCH($C$48,'Сводный годовой график'!$B$1:$B$4),MATCH(DATE($AV$1,MONTH($B$44),S$3),'Сводный годовой график'!$C$9:$AR$9))&lt;&gt;12,INDIRECT(ADDRESS(ROW()+1,COLUMN()))="СП"),8,INDEX('Сводный годовой график'!$C$1:$AR$4,MATCH($C$48,'Сводный годовой график'!$B$1:$B$4),MATCH(DATE($AV$1,MONTH($B$44),S$3),'Сводный годовой график'!$C$9:$AR$9)))</f>
        <v>12</v>
      </c>
      <c r="T48" s="92">
        <f ca="1">IF(AND(INDEX('Сводный годовой график'!$C$1:$AR$4,MATCH($C$48,'Сводный годовой график'!$B$1:$B$4),MATCH(DATE($AV$1,MONTH($B$44),T$3),'Сводный годовой график'!$C$9:$AR$9))&lt;&gt;12,INDIRECT(ADDRESS(ROW()+1,COLUMN()))="СП"),8,INDEX('Сводный годовой график'!$C$1:$AR$4,MATCH($C$48,'Сводный годовой график'!$B$1:$B$4),MATCH(DATE($AV$1,MONTH($B$44),T$3),'Сводный годовой график'!$C$9:$AR$9)))</f>
        <v>4</v>
      </c>
      <c r="U48" s="92">
        <f ca="1">IF(AND(INDEX('Сводный годовой график'!$C$1:$AR$4,MATCH($C$48,'Сводный годовой график'!$B$1:$B$4),MATCH(DATE($AV$1,MONTH($B$44),U$3),'Сводный годовой график'!$C$9:$AR$9))&lt;&gt;12,INDIRECT(ADDRESS(ROW()+1,COLUMN()))="СП"),8,INDEX('Сводный годовой график'!$C$1:$AR$4,MATCH($C$48,'Сводный годовой график'!$B$1:$B$4),MATCH(DATE($AV$1,MONTH($B$44),U$3),'Сводный годовой график'!$C$9:$AR$9)))</f>
        <v>8</v>
      </c>
      <c r="V48" s="92">
        <f ca="1">IF(AND(INDEX('Сводный годовой график'!$C$1:$AR$4,MATCH($C$48,'Сводный годовой график'!$B$1:$B$4),MATCH(DATE($AV$1,MONTH($B$44),V$3),'Сводный годовой график'!$C$9:$AR$9))&lt;&gt;12,INDIRECT(ADDRESS(ROW()+1,COLUMN()))="СП"),8,INDEX('Сводный годовой график'!$C$1:$AR$4,MATCH($C$48,'Сводный годовой график'!$B$1:$B$4),MATCH(DATE($AV$1,MONTH($B$44),V$3),'Сводный годовой график'!$C$9:$AR$9)))</f>
        <v>12</v>
      </c>
      <c r="W48" s="92">
        <f ca="1">IF(AND(INDEX('Сводный годовой график'!$C$1:$AR$4,MATCH($C$48,'Сводный годовой график'!$B$1:$B$4),MATCH(DATE($AV$1,MONTH($B$44),W$3),'Сводный годовой график'!$C$9:$AR$9))&lt;&gt;12,INDIRECT(ADDRESS(ROW()+1,COLUMN()))="СП"),8,INDEX('Сводный годовой график'!$C$1:$AR$4,MATCH($C$48,'Сводный годовой график'!$B$1:$B$4),MATCH(DATE($AV$1,MONTH($B$44),W$3),'Сводный годовой график'!$C$9:$AR$9)))</f>
        <v>0</v>
      </c>
      <c r="X48" s="92">
        <f ca="1">IF(AND(INDEX('Сводный годовой график'!$C$1:$AR$4,MATCH($C$48,'Сводный годовой график'!$B$1:$B$4),MATCH(DATE($AV$1,MONTH($B$44),X$3),'Сводный годовой график'!$C$9:$AR$9))&lt;&gt;12,INDIRECT(ADDRESS(ROW()+1,COLUMN()))="СП"),8,INDEX('Сводный годовой график'!$C$1:$AR$4,MATCH($C$48,'Сводный годовой график'!$B$1:$B$4),MATCH(DATE($AV$1,MONTH($B$44),X$3),'Сводный годовой график'!$C$9:$AR$9)))</f>
        <v>0</v>
      </c>
      <c r="Y48" s="92">
        <f ca="1">IF(AND(INDEX('Сводный годовой график'!$C$1:$AR$4,MATCH($C$48,'Сводный годовой график'!$B$1:$B$4),MATCH(DATE($AV$1,MONTH($B$44),Y$3),'Сводный годовой график'!$C$9:$AR$9))&lt;&gt;12,INDIRECT(ADDRESS(ROW()+1,COLUMN()))="СП"),8,INDEX('Сводный годовой график'!$C$1:$AR$4,MATCH($C$48,'Сводный годовой график'!$B$1:$B$4),MATCH(DATE($AV$1,MONTH($B$44),Y$3),'Сводный годовой график'!$C$9:$AR$9)))</f>
        <v>4</v>
      </c>
      <c r="Z48" s="92">
        <f ca="1">IF(AND(INDEX('Сводный годовой график'!$C$1:$AR$4,MATCH($C$48,'Сводный годовой график'!$B$1:$B$4),MATCH(DATE($AV$1,MONTH($B$44),Z$3),'Сводный годовой график'!$C$9:$AR$9))&lt;&gt;12,INDIRECT(ADDRESS(ROW()+1,COLUMN()))="СП"),8,INDEX('Сводный годовой график'!$C$1:$AR$4,MATCH($C$48,'Сводный годовой график'!$B$1:$B$4),MATCH(DATE($AV$1,MONTH($B$44),Z$3),'Сводный годовой график'!$C$9:$AR$9)))</f>
        <v>8</v>
      </c>
      <c r="AA48" s="92">
        <f ca="1">IF(AND(INDEX('Сводный годовой график'!$C$1:$AR$4,MATCH($C$48,'Сводный годовой график'!$B$1:$B$4),MATCH(DATE($AV$1,MONTH($B$44),AA$3),'Сводный годовой график'!$C$9:$AR$9))&lt;&gt;12,INDIRECT(ADDRESS(ROW()+1,COLUMN()))="СП"),8,INDEX('Сводный годовой график'!$C$1:$AR$4,MATCH($C$48,'Сводный годовой график'!$B$1:$B$4),MATCH(DATE($AV$1,MONTH($B$44),AA$3),'Сводный годовой график'!$C$9:$AR$9)))</f>
        <v>12</v>
      </c>
      <c r="AB48" s="92">
        <f ca="1">IF(AND(INDEX('Сводный годовой график'!$C$1:$AR$4,MATCH($C$48,'Сводный годовой график'!$B$1:$B$4),MATCH(DATE($AV$1,MONTH($B$44),AB$3),'Сводный годовой график'!$C$9:$AR$9))&lt;&gt;12,INDIRECT(ADDRESS(ROW()+1,COLUMN()))="СП"),8,INDEX('Сводный годовой график'!$C$1:$AR$4,MATCH($C$48,'Сводный годовой график'!$B$1:$B$4),MATCH(DATE($AV$1,MONTH($B$44),AB$3),'Сводный годовой график'!$C$9:$AR$9)))</f>
        <v>4</v>
      </c>
      <c r="AC48" s="92">
        <f ca="1">IF(AND(INDEX('Сводный годовой график'!$C$1:$AR$4,MATCH($C$48,'Сводный годовой график'!$B$1:$B$4),MATCH(DATE($AV$1,MONTH($B$44),AC$3),'Сводный годовой график'!$C$9:$AR$9))&lt;&gt;12,INDIRECT(ADDRESS(ROW()+1,COLUMN()))="СП"),8,INDEX('Сводный годовой график'!$C$1:$AR$4,MATCH($C$48,'Сводный годовой график'!$B$1:$B$4),MATCH(DATE($AV$1,MONTH($B$44),AC$3),'Сводный годовой график'!$C$9:$AR$9)))</f>
        <v>8</v>
      </c>
      <c r="AD48" s="92">
        <f ca="1">IF(AND(INDEX('Сводный годовой график'!$C$1:$AR$4,MATCH($C$48,'Сводный годовой график'!$B$1:$B$4),MATCH(DATE($AV$1,MONTH($B$44),AD$3),'Сводный годовой график'!$C$9:$AR$9))&lt;&gt;12,INDIRECT(ADDRESS(ROW()+1,COLUMN()))="СП"),8,INDEX('Сводный годовой график'!$C$1:$AR$4,MATCH($C$48,'Сводный годовой график'!$B$1:$B$4),MATCH(DATE($AV$1,MONTH($B$44),AD$3),'Сводный годовой график'!$C$9:$AR$9)))</f>
        <v>12</v>
      </c>
      <c r="AE48" s="92">
        <f ca="1">IF(AND(INDEX('Сводный годовой график'!$C$1:$AR$4,MATCH($C$48,'Сводный годовой график'!$B$1:$B$4),MATCH(DATE($AV$1,MONTH($B$44),AE$3),'Сводный годовой график'!$C$9:$AR$9))&lt;&gt;12,INDIRECT(ADDRESS(ROW()+1,COLUMN()))="СП"),8,INDEX('Сводный годовой график'!$C$1:$AR$4,MATCH($C$48,'Сводный годовой график'!$B$1:$B$4),MATCH(DATE($AV$1,MONTH($B$44),AE$3),'Сводный годовой график'!$C$9:$AR$9)))</f>
        <v>0</v>
      </c>
      <c r="AF48" s="92">
        <f ca="1">IF(AND(INDEX('Сводный годовой график'!$C$1:$AR$4,MATCH($C$48,'Сводный годовой график'!$B$1:$B$4),MATCH(DATE($AV$1,MONTH($B$44),AF$3),'Сводный годовой график'!$C$9:$AR$9))&lt;&gt;12,INDIRECT(ADDRESS(ROW()+1,COLUMN()))="СП"),8,INDEX('Сводный годовой график'!$C$1:$AR$4,MATCH($C$48,'Сводный годовой график'!$B$1:$B$4),MATCH(DATE($AV$1,MONTH($B$44),AF$3),'Сводный годовой график'!$C$9:$AR$9)))</f>
        <v>0</v>
      </c>
      <c r="AG48" s="92">
        <f ca="1">IF(AND(INDEX('Сводный годовой график'!$C$1:$AR$4,MATCH($C$48,'Сводный годовой график'!$B$1:$B$4),MATCH(DATE($AV$1,MONTH($B$44),AG$3),'Сводный годовой график'!$C$9:$AR$9))&lt;&gt;12,INDIRECT(ADDRESS(ROW()+1,COLUMN()))="СП"),8,INDEX('Сводный годовой график'!$C$1:$AR$4,MATCH($C$48,'Сводный годовой график'!$B$1:$B$4),MATCH(DATE($AV$1,MONTH($B$44),AG$3),'Сводный годовой график'!$C$9:$AR$9)))</f>
        <v>4</v>
      </c>
      <c r="AH48" s="92">
        <f ca="1">IF(AND(INDEX('Сводный годовой график'!$C$1:$AR$4,MATCH($C$48,'Сводный годовой график'!$B$1:$B$4),MATCH(DATE($AV$1,MONTH($B$44),AH$3),'Сводный годовой график'!$C$9:$AR$9))&lt;&gt;12,INDIRECT(ADDRESS(ROW()+1,COLUMN()))="СП"),8,INDEX('Сводный годовой график'!$C$1:$AR$4,MATCH($C$48,'Сводный годовой график'!$B$1:$B$4),MATCH(DATE($AV$1,MONTH($B$44),AH$3),'Сводный годовой график'!$C$9:$AR$9)))</f>
        <v>8</v>
      </c>
      <c r="AI48" s="92">
        <f ca="1">IF(AND(INDEX('Сводный годовой график'!$C$1:$AR$4,MATCH($C$48,'Сводный годовой график'!$B$1:$B$4),MATCH(DATE($AV$1,MONTH($B$44),AI$3),'Сводный годовой график'!$C$9:$AR$9))&lt;&gt;12,INDIRECT(ADDRESS(ROW()+1,COLUMN()))="СП"),8,INDEX('Сводный годовой график'!$C$1:$AR$4,MATCH($C$48,'Сводный годовой график'!$B$1:$B$4),MATCH(DATE($AV$1,MONTH($B$44),AI$3),'Сводный годовой график'!$C$9:$AR$9)))</f>
        <v>12</v>
      </c>
      <c r="AJ48" s="206"/>
      <c r="AK48" s="209">
        <f>$AJ$44-SUM(AY48:CC49)</f>
        <v>144</v>
      </c>
      <c r="AL48" s="209">
        <f t="shared" ref="AL48" ca="1" si="79">SUM(E48:AI49)</f>
        <v>188</v>
      </c>
      <c r="AM48" s="209">
        <f t="shared" ref="AM48" ca="1" si="80">(SUM(E48)+SUM(M48))</f>
        <v>16</v>
      </c>
      <c r="AN48" s="211">
        <f t="shared" ref="AN48" ca="1" si="81">-AM48-AK48+AL48</f>
        <v>28</v>
      </c>
      <c r="AO48" s="224">
        <v>0</v>
      </c>
      <c r="AP48" s="211">
        <f t="shared" ref="AP48" ca="1" si="82">AN48+AP38</f>
        <v>46</v>
      </c>
      <c r="AQ48" s="209">
        <v>0</v>
      </c>
      <c r="AR48" s="210">
        <v>1</v>
      </c>
      <c r="CK48" s="59"/>
      <c r="CL48" s="59"/>
      <c r="CM48" s="59"/>
      <c r="CN48" s="59"/>
      <c r="CO48" s="59"/>
      <c r="CP48" s="59"/>
      <c r="CQ48" s="59"/>
      <c r="CR48" s="59"/>
      <c r="CS48" s="59"/>
      <c r="CT48" s="59"/>
      <c r="CU48" s="59"/>
      <c r="CV48" s="59"/>
      <c r="CW48" s="59"/>
      <c r="CX48" s="59"/>
      <c r="CY48" s="59"/>
      <c r="CZ48" s="59"/>
      <c r="DA48" s="59"/>
      <c r="DB48" s="59"/>
      <c r="DC48" s="59"/>
      <c r="DD48" s="59"/>
      <c r="DE48" s="59"/>
      <c r="DF48" s="59"/>
      <c r="DG48" s="59"/>
      <c r="DH48" s="59"/>
      <c r="DI48" s="59"/>
      <c r="DJ48" s="59"/>
      <c r="DK48" s="59"/>
      <c r="DL48" s="59"/>
      <c r="DM48" s="59"/>
      <c r="DN48" s="59"/>
      <c r="DO48" s="59"/>
    </row>
    <row r="49" spans="2:119" ht="16.5" thickBot="1" x14ac:dyDescent="0.3">
      <c r="B49" s="201"/>
      <c r="C49" s="197"/>
      <c r="D49" s="82">
        <v>6</v>
      </c>
      <c r="E49" s="92" t="str">
        <f t="shared" ref="E49:AI49" si="83">IF(INDEX($CK$4:$DO$123,ROW()-3,E$3)=0,"","СП")</f>
        <v/>
      </c>
      <c r="F49" s="92" t="str">
        <f t="shared" si="83"/>
        <v/>
      </c>
      <c r="G49" s="92" t="str">
        <f t="shared" si="83"/>
        <v/>
      </c>
      <c r="H49" s="92" t="str">
        <f t="shared" si="83"/>
        <v/>
      </c>
      <c r="I49" s="92" t="str">
        <f t="shared" si="83"/>
        <v/>
      </c>
      <c r="J49" s="92" t="str">
        <f t="shared" si="83"/>
        <v/>
      </c>
      <c r="K49" s="92" t="str">
        <f t="shared" si="83"/>
        <v>СП</v>
      </c>
      <c r="L49" s="92" t="str">
        <f t="shared" si="83"/>
        <v/>
      </c>
      <c r="M49" s="92" t="str">
        <f t="shared" si="83"/>
        <v/>
      </c>
      <c r="N49" s="92" t="str">
        <f t="shared" si="83"/>
        <v/>
      </c>
      <c r="O49" s="92" t="str">
        <f t="shared" si="83"/>
        <v/>
      </c>
      <c r="P49" s="92" t="str">
        <f t="shared" si="83"/>
        <v/>
      </c>
      <c r="Q49" s="92" t="str">
        <f t="shared" si="83"/>
        <v/>
      </c>
      <c r="R49" s="92" t="str">
        <f t="shared" si="83"/>
        <v/>
      </c>
      <c r="S49" s="92" t="str">
        <f t="shared" si="83"/>
        <v/>
      </c>
      <c r="T49" s="92" t="str">
        <f t="shared" si="83"/>
        <v/>
      </c>
      <c r="U49" s="92" t="str">
        <f t="shared" si="83"/>
        <v/>
      </c>
      <c r="V49" s="92" t="str">
        <f t="shared" si="83"/>
        <v/>
      </c>
      <c r="W49" s="92" t="str">
        <f t="shared" si="83"/>
        <v/>
      </c>
      <c r="X49" s="92" t="str">
        <f t="shared" si="83"/>
        <v/>
      </c>
      <c r="Y49" s="92" t="str">
        <f t="shared" si="83"/>
        <v/>
      </c>
      <c r="Z49" s="92" t="str">
        <f t="shared" si="83"/>
        <v/>
      </c>
      <c r="AA49" s="92" t="str">
        <f t="shared" si="83"/>
        <v/>
      </c>
      <c r="AB49" s="92" t="str">
        <f t="shared" si="83"/>
        <v/>
      </c>
      <c r="AC49" s="92" t="str">
        <f t="shared" si="83"/>
        <v/>
      </c>
      <c r="AD49" s="92" t="str">
        <f t="shared" si="83"/>
        <v/>
      </c>
      <c r="AE49" s="92" t="str">
        <f t="shared" si="83"/>
        <v/>
      </c>
      <c r="AF49" s="92" t="str">
        <f t="shared" si="83"/>
        <v/>
      </c>
      <c r="AG49" s="92" t="str">
        <f t="shared" si="83"/>
        <v/>
      </c>
      <c r="AH49" s="92" t="str">
        <f t="shared" si="83"/>
        <v/>
      </c>
      <c r="AI49" s="92" t="str">
        <f t="shared" si="83"/>
        <v/>
      </c>
      <c r="AJ49" s="206"/>
      <c r="AK49" s="209"/>
      <c r="AL49" s="209"/>
      <c r="AM49" s="209"/>
      <c r="AN49" s="211"/>
      <c r="AO49" s="225"/>
      <c r="AP49" s="211"/>
      <c r="AQ49" s="209"/>
      <c r="AR49" s="210"/>
      <c r="CK49" s="58">
        <f>IF(DAY(INDEX('Сводный годовой график'!$BA$4:$BL$14,$C48,MONTH($B$44)))=E$3,1,0)</f>
        <v>0</v>
      </c>
      <c r="CL49" s="58">
        <f>IF(DAY(INDEX('Сводный годовой график'!$BA$4:$BL$14,$C48,MONTH($B$44)))=F$3,1,0)</f>
        <v>0</v>
      </c>
      <c r="CM49" s="58">
        <f>IF(DAY(INDEX('Сводный годовой график'!$BA$4:$BL$14,$C48,MONTH($B$44)))=G$3,1,0)</f>
        <v>0</v>
      </c>
      <c r="CN49" s="58">
        <f>IF(DAY(INDEX('Сводный годовой график'!$BA$4:$BL$14,$C48,MONTH($B$44)))=H$3,1,0)</f>
        <v>0</v>
      </c>
      <c r="CO49" s="58">
        <f>IF(DAY(INDEX('Сводный годовой график'!$BA$4:$BL$14,$C48,MONTH($B$44)))=I$3,1,0)</f>
        <v>0</v>
      </c>
      <c r="CP49" s="58">
        <f>IF(DAY(INDEX('Сводный годовой график'!$BA$4:$BL$14,$C48,MONTH($B$44)))=J$3,1,0)</f>
        <v>0</v>
      </c>
      <c r="CQ49" s="58">
        <f>IF(DAY(INDEX('Сводный годовой график'!$BA$4:$BL$14,$C48,MONTH($B$44)))=K$3,1,0)</f>
        <v>1</v>
      </c>
      <c r="CR49" s="58">
        <f>IF(DAY(INDEX('Сводный годовой график'!$BA$4:$BL$14,$C48,MONTH($B$44)))=L$3,1,0)</f>
        <v>0</v>
      </c>
      <c r="CS49" s="58">
        <f>IF(DAY(INDEX('Сводный годовой график'!$BA$4:$BL$14,$C48,MONTH($B$44)))=M$3,1,0)</f>
        <v>0</v>
      </c>
      <c r="CT49" s="58">
        <f>IF(DAY(INDEX('Сводный годовой график'!$BA$4:$BL$14,$C48,MONTH($B$44)))=N$3,1,0)</f>
        <v>0</v>
      </c>
      <c r="CU49" s="58">
        <f>IF(DAY(INDEX('Сводный годовой график'!$BA$4:$BL$14,$C48,MONTH($B$44)))=O$3,1,0)</f>
        <v>0</v>
      </c>
      <c r="CV49" s="58">
        <f>IF(DAY(INDEX('Сводный годовой график'!$BA$4:$BL$14,$C48,MONTH($B$44)))=P$3,1,0)</f>
        <v>0</v>
      </c>
      <c r="CW49" s="58">
        <f>IF(DAY(INDEX('Сводный годовой график'!$BA$4:$BL$14,$C48,MONTH($B$44)))=Q$3,1,0)</f>
        <v>0</v>
      </c>
      <c r="CX49" s="58">
        <f>IF(DAY(INDEX('Сводный годовой график'!$BA$4:$BL$14,$C48,MONTH($B$44)))=R$3,1,0)</f>
        <v>0</v>
      </c>
      <c r="CY49" s="58">
        <f>IF(DAY(INDEX('Сводный годовой график'!$BA$4:$BL$14,$C48,MONTH($B$44)))=S$3,1,0)</f>
        <v>0</v>
      </c>
      <c r="CZ49" s="58">
        <f>IF(DAY(INDEX('Сводный годовой график'!$BA$4:$BL$14,$C48,MONTH($B$44)))=T$3,1,0)</f>
        <v>0</v>
      </c>
      <c r="DA49" s="58">
        <f>IF(DAY(INDEX('Сводный годовой график'!$BA$4:$BL$14,$C48,MONTH($B$44)))=U$3,1,0)</f>
        <v>0</v>
      </c>
      <c r="DB49" s="58">
        <f>IF(DAY(INDEX('Сводный годовой график'!$BA$4:$BL$14,$C48,MONTH($B$44)))=V$3,1,0)</f>
        <v>0</v>
      </c>
      <c r="DC49" s="58">
        <f>IF(DAY(INDEX('Сводный годовой график'!$BA$4:$BL$14,$C48,MONTH($B$44)))=W$3,1,0)</f>
        <v>0</v>
      </c>
      <c r="DD49" s="58">
        <f>IF(DAY(INDEX('Сводный годовой график'!$BA$4:$BL$14,$C48,MONTH($B$44)))=X$3,1,0)</f>
        <v>0</v>
      </c>
      <c r="DE49" s="58">
        <f>IF(DAY(INDEX('Сводный годовой график'!$BA$4:$BL$14,$C48,MONTH($B$44)))=Y$3,1,0)</f>
        <v>0</v>
      </c>
      <c r="DF49" s="58">
        <f>IF(DAY(INDEX('Сводный годовой график'!$BA$4:$BL$14,$C48,MONTH($B$44)))=Z$3,1,0)</f>
        <v>0</v>
      </c>
      <c r="DG49" s="58">
        <f>IF(DAY(INDEX('Сводный годовой график'!$BA$4:$BL$14,$C48,MONTH($B$44)))=AA$3,1,0)</f>
        <v>0</v>
      </c>
      <c r="DH49" s="58">
        <f>IF(DAY(INDEX('Сводный годовой график'!$BA$4:$BL$14,$C48,MONTH($B$44)))=AB$3,1,0)</f>
        <v>0</v>
      </c>
      <c r="DI49" s="58">
        <f>IF(DAY(INDEX('Сводный годовой график'!$BA$4:$BL$14,$C48,MONTH($B$44)))=AC$3,1,0)</f>
        <v>0</v>
      </c>
      <c r="DJ49" s="58">
        <f>IF(DAY(INDEX('Сводный годовой график'!$BA$4:$BL$14,$C48,MONTH($B$44)))=AD$3,1,0)</f>
        <v>0</v>
      </c>
      <c r="DK49" s="58">
        <f>IF(DAY(INDEX('Сводный годовой график'!$BA$4:$BL$14,$C48,MONTH($B$44)))=AE$3,1,0)</f>
        <v>0</v>
      </c>
      <c r="DL49" s="58">
        <f>IF(DAY(INDEX('Сводный годовой график'!$BA$4:$BL$14,$C48,MONTH($B$44)))=AF$3,1,0)</f>
        <v>0</v>
      </c>
      <c r="DM49" s="58">
        <f>IF(DAY(INDEX('Сводный годовой график'!$BA$4:$BL$14,$C48,MONTH($B$44)))=AG$3,1,0)</f>
        <v>0</v>
      </c>
      <c r="DN49" s="58">
        <f>IF(DAY(INDEX('Сводный годовой график'!$BA$4:$BL$14,$C48,MONTH($B$44)))=AH$3,1,0)</f>
        <v>0</v>
      </c>
      <c r="DO49" s="58">
        <f>IF(DAY(INDEX('Сводный годовой график'!$BA$4:$BL$14,$C48,MONTH($B$44)))=AI$3,1,0)</f>
        <v>0</v>
      </c>
    </row>
    <row r="50" spans="2:119" ht="16.5" thickBot="1" x14ac:dyDescent="0.3">
      <c r="B50" s="201"/>
      <c r="C50" s="196">
        <v>4</v>
      </c>
      <c r="D50" s="81">
        <v>7</v>
      </c>
      <c r="E50" s="92">
        <f ca="1">IF(AND(INDEX('Сводный годовой график'!$C$1:$AR$4,MATCH($C$50,'Сводный годовой график'!$B$1:$B$4),MATCH(DATE($AV$1,MONTH($B$44),E$3),'Сводный годовой график'!$C$9:$AR$9))&lt;&gt;12,INDIRECT(ADDRESS(ROW()+1,COLUMN()))="СП"),8,INDEX('Сводный годовой график'!$C$1:$AR$4,MATCH($C$50,'Сводный годовой график'!$B$1:$B$4),MATCH(DATE($AV$1,MONTH($B$44),E$3),'Сводный годовой график'!$C$9:$AR$9)))</f>
        <v>12</v>
      </c>
      <c r="F50" s="92">
        <f ca="1">IF(AND(INDEX('Сводный годовой график'!$C$1:$AR$4,MATCH($C$50,'Сводный годовой график'!$B$1:$B$4),MATCH(DATE($AV$1,MONTH($B$44),F$3),'Сводный годовой график'!$C$9:$AR$9))&lt;&gt;12,INDIRECT(ADDRESS(ROW()+1,COLUMN()))="СП"),8,INDEX('Сводный годовой график'!$C$1:$AR$4,MATCH($C$50,'Сводный годовой график'!$B$1:$B$4),MATCH(DATE($AV$1,MONTH($B$44),F$3),'Сводный годовой график'!$C$9:$AR$9)))</f>
        <v>4</v>
      </c>
      <c r="G50" s="92">
        <f ca="1">IF(AND(INDEX('Сводный годовой график'!$C$1:$AR$4,MATCH($C$50,'Сводный годовой график'!$B$1:$B$4),MATCH(DATE($AV$1,MONTH($B$44),G$3),'Сводный годовой график'!$C$9:$AR$9))&lt;&gt;12,INDIRECT(ADDRESS(ROW()+1,COLUMN()))="СП"),8,INDEX('Сводный годовой график'!$C$1:$AR$4,MATCH($C$50,'Сводный годовой график'!$B$1:$B$4),MATCH(DATE($AV$1,MONTH($B$44),G$3),'Сводный годовой график'!$C$9:$AR$9)))</f>
        <v>8</v>
      </c>
      <c r="H50" s="92">
        <f ca="1">IF(AND(INDEX('Сводный годовой график'!$C$1:$AR$4,MATCH($C$50,'Сводный годовой график'!$B$1:$B$4),MATCH(DATE($AV$1,MONTH($B$44),H$3),'Сводный годовой график'!$C$9:$AR$9))&lt;&gt;12,INDIRECT(ADDRESS(ROW()+1,COLUMN()))="СП"),8,INDEX('Сводный годовой график'!$C$1:$AR$4,MATCH($C$50,'Сводный годовой график'!$B$1:$B$4),MATCH(DATE($AV$1,MONTH($B$44),H$3),'Сводный годовой график'!$C$9:$AR$9)))</f>
        <v>12</v>
      </c>
      <c r="I50" s="92">
        <f ca="1">IF(AND(INDEX('Сводный годовой график'!$C$1:$AR$4,MATCH($C$50,'Сводный годовой график'!$B$1:$B$4),MATCH(DATE($AV$1,MONTH($B$44),I$3),'Сводный годовой график'!$C$9:$AR$9))&lt;&gt;12,INDIRECT(ADDRESS(ROW()+1,COLUMN()))="СП"),8,INDEX('Сводный годовой график'!$C$1:$AR$4,MATCH($C$50,'Сводный годовой график'!$B$1:$B$4),MATCH(DATE($AV$1,MONTH($B$44),I$3),'Сводный годовой график'!$C$9:$AR$9)))</f>
        <v>0</v>
      </c>
      <c r="J50" s="92">
        <f ca="1">IF(AND(INDEX('Сводный годовой график'!$C$1:$AR$4,MATCH($C$50,'Сводный годовой график'!$B$1:$B$4),MATCH(DATE($AV$1,MONTH($B$44),J$3),'Сводный годовой график'!$C$9:$AR$9))&lt;&gt;12,INDIRECT(ADDRESS(ROW()+1,COLUMN()))="СП"),8,INDEX('Сводный годовой график'!$C$1:$AR$4,MATCH($C$50,'Сводный годовой график'!$B$1:$B$4),MATCH(DATE($AV$1,MONTH($B$44),J$3),'Сводный годовой график'!$C$9:$AR$9)))</f>
        <v>0</v>
      </c>
      <c r="K50" s="92">
        <f ca="1">IF(AND(INDEX('Сводный годовой график'!$C$1:$AR$4,MATCH($C$50,'Сводный годовой график'!$B$1:$B$4),MATCH(DATE($AV$1,MONTH($B$44),K$3),'Сводный годовой график'!$C$9:$AR$9))&lt;&gt;12,INDIRECT(ADDRESS(ROW()+1,COLUMN()))="СП"),8,INDEX('Сводный годовой график'!$C$1:$AR$4,MATCH($C$50,'Сводный годовой график'!$B$1:$B$4),MATCH(DATE($AV$1,MONTH($B$44),K$3),'Сводный годовой график'!$C$9:$AR$9)))</f>
        <v>4</v>
      </c>
      <c r="L50" s="92">
        <f ca="1">IF(AND(INDEX('Сводный годовой график'!$C$1:$AR$4,MATCH($C$50,'Сводный годовой график'!$B$1:$B$4),MATCH(DATE($AV$1,MONTH($B$44),L$3),'Сводный годовой график'!$C$9:$AR$9))&lt;&gt;12,INDIRECT(ADDRESS(ROW()+1,COLUMN()))="СП"),8,INDEX('Сводный годовой график'!$C$1:$AR$4,MATCH($C$50,'Сводный годовой график'!$B$1:$B$4),MATCH(DATE($AV$1,MONTH($B$44),L$3),'Сводный годовой график'!$C$9:$AR$9)))</f>
        <v>8</v>
      </c>
      <c r="M50" s="92">
        <f ca="1">IF(AND(INDEX('Сводный годовой график'!$C$1:$AR$4,MATCH($C$50,'Сводный годовой график'!$B$1:$B$4),MATCH(DATE($AV$1,MONTH($B$44),M$3),'Сводный годовой график'!$C$9:$AR$9))&lt;&gt;12,INDIRECT(ADDRESS(ROW()+1,COLUMN()))="СП"),8,INDEX('Сводный годовой график'!$C$1:$AR$4,MATCH($C$50,'Сводный годовой график'!$B$1:$B$4),MATCH(DATE($AV$1,MONTH($B$44),M$3),'Сводный годовой график'!$C$9:$AR$9)))</f>
        <v>12</v>
      </c>
      <c r="N50" s="92">
        <f ca="1">IF(AND(INDEX('Сводный годовой график'!$C$1:$AR$4,MATCH($C$50,'Сводный годовой график'!$B$1:$B$4),MATCH(DATE($AV$1,MONTH($B$44),N$3),'Сводный годовой график'!$C$9:$AR$9))&lt;&gt;12,INDIRECT(ADDRESS(ROW()+1,COLUMN()))="СП"),8,INDEX('Сводный годовой график'!$C$1:$AR$4,MATCH($C$50,'Сводный годовой график'!$B$1:$B$4),MATCH(DATE($AV$1,MONTH($B$44),N$3),'Сводный годовой график'!$C$9:$AR$9)))</f>
        <v>4</v>
      </c>
      <c r="O50" s="92">
        <f ca="1">IF(AND(INDEX('Сводный годовой график'!$C$1:$AR$4,MATCH($C$50,'Сводный годовой график'!$B$1:$B$4),MATCH(DATE($AV$1,MONTH($B$44),O$3),'Сводный годовой график'!$C$9:$AR$9))&lt;&gt;12,INDIRECT(ADDRESS(ROW()+1,COLUMN()))="СП"),8,INDEX('Сводный годовой график'!$C$1:$AR$4,MATCH($C$50,'Сводный годовой график'!$B$1:$B$4),MATCH(DATE($AV$1,MONTH($B$44),O$3),'Сводный годовой график'!$C$9:$AR$9)))</f>
        <v>8</v>
      </c>
      <c r="P50" s="92">
        <f ca="1">IF(AND(INDEX('Сводный годовой график'!$C$1:$AR$4,MATCH($C$50,'Сводный годовой график'!$B$1:$B$4),MATCH(DATE($AV$1,MONTH($B$44),P$3),'Сводный годовой график'!$C$9:$AR$9))&lt;&gt;12,INDIRECT(ADDRESS(ROW()+1,COLUMN()))="СП"),8,INDEX('Сводный годовой график'!$C$1:$AR$4,MATCH($C$50,'Сводный годовой график'!$B$1:$B$4),MATCH(DATE($AV$1,MONTH($B$44),P$3),'Сводный годовой график'!$C$9:$AR$9)))</f>
        <v>12</v>
      </c>
      <c r="Q50" s="92">
        <f ca="1">IF(AND(INDEX('Сводный годовой график'!$C$1:$AR$4,MATCH($C$50,'Сводный годовой график'!$B$1:$B$4),MATCH(DATE($AV$1,MONTH($B$44),Q$3),'Сводный годовой график'!$C$9:$AR$9))&lt;&gt;12,INDIRECT(ADDRESS(ROW()+1,COLUMN()))="СП"),8,INDEX('Сводный годовой график'!$C$1:$AR$4,MATCH($C$50,'Сводный годовой график'!$B$1:$B$4),MATCH(DATE($AV$1,MONTH($B$44),Q$3),'Сводный годовой график'!$C$9:$AR$9)))</f>
        <v>0</v>
      </c>
      <c r="R50" s="92">
        <f ca="1">IF(AND(INDEX('Сводный годовой график'!$C$1:$AR$4,MATCH($C$50,'Сводный годовой график'!$B$1:$B$4),MATCH(DATE($AV$1,MONTH($B$44),R$3),'Сводный годовой график'!$C$9:$AR$9))&lt;&gt;12,INDIRECT(ADDRESS(ROW()+1,COLUMN()))="СП"),8,INDEX('Сводный годовой график'!$C$1:$AR$4,MATCH($C$50,'Сводный годовой график'!$B$1:$B$4),MATCH(DATE($AV$1,MONTH($B$44),R$3),'Сводный годовой график'!$C$9:$AR$9)))</f>
        <v>0</v>
      </c>
      <c r="S50" s="92">
        <f ca="1">IF(AND(INDEX('Сводный годовой график'!$C$1:$AR$4,MATCH($C$50,'Сводный годовой график'!$B$1:$B$4),MATCH(DATE($AV$1,MONTH($B$44),S$3),'Сводный годовой график'!$C$9:$AR$9))&lt;&gt;12,INDIRECT(ADDRESS(ROW()+1,COLUMN()))="СП"),8,INDEX('Сводный годовой график'!$C$1:$AR$4,MATCH($C$50,'Сводный годовой график'!$B$1:$B$4),MATCH(DATE($AV$1,MONTH($B$44),S$3),'Сводный годовой график'!$C$9:$AR$9)))</f>
        <v>4</v>
      </c>
      <c r="T50" s="92">
        <f ca="1">IF(AND(INDEX('Сводный годовой график'!$C$1:$AR$4,MATCH($C$50,'Сводный годовой график'!$B$1:$B$4),MATCH(DATE($AV$1,MONTH($B$44),T$3),'Сводный годовой график'!$C$9:$AR$9))&lt;&gt;12,INDIRECT(ADDRESS(ROW()+1,COLUMN()))="СП"),8,INDEX('Сводный годовой график'!$C$1:$AR$4,MATCH($C$50,'Сводный годовой график'!$B$1:$B$4),MATCH(DATE($AV$1,MONTH($B$44),T$3),'Сводный годовой график'!$C$9:$AR$9)))</f>
        <v>8</v>
      </c>
      <c r="U50" s="92">
        <f ca="1">IF(AND(INDEX('Сводный годовой график'!$C$1:$AR$4,MATCH($C$50,'Сводный годовой график'!$B$1:$B$4),MATCH(DATE($AV$1,MONTH($B$44),U$3),'Сводный годовой график'!$C$9:$AR$9))&lt;&gt;12,INDIRECT(ADDRESS(ROW()+1,COLUMN()))="СП"),8,INDEX('Сводный годовой график'!$C$1:$AR$4,MATCH($C$50,'Сводный годовой график'!$B$1:$B$4),MATCH(DATE($AV$1,MONTH($B$44),U$3),'Сводный годовой график'!$C$9:$AR$9)))</f>
        <v>12</v>
      </c>
      <c r="V50" s="92">
        <f ca="1">IF(AND(INDEX('Сводный годовой график'!$C$1:$AR$4,MATCH($C$50,'Сводный годовой график'!$B$1:$B$4),MATCH(DATE($AV$1,MONTH($B$44),V$3),'Сводный годовой график'!$C$9:$AR$9))&lt;&gt;12,INDIRECT(ADDRESS(ROW()+1,COLUMN()))="СП"),8,INDEX('Сводный годовой график'!$C$1:$AR$4,MATCH($C$50,'Сводный годовой график'!$B$1:$B$4),MATCH(DATE($AV$1,MONTH($B$44),V$3),'Сводный годовой график'!$C$9:$AR$9)))</f>
        <v>4</v>
      </c>
      <c r="W50" s="92">
        <f ca="1">IF(AND(INDEX('Сводный годовой график'!$C$1:$AR$4,MATCH($C$50,'Сводный годовой график'!$B$1:$B$4),MATCH(DATE($AV$1,MONTH($B$44),W$3),'Сводный годовой график'!$C$9:$AR$9))&lt;&gt;12,INDIRECT(ADDRESS(ROW()+1,COLUMN()))="СП"),8,INDEX('Сводный годовой график'!$C$1:$AR$4,MATCH($C$50,'Сводный годовой график'!$B$1:$B$4),MATCH(DATE($AV$1,MONTH($B$44),W$3),'Сводный годовой график'!$C$9:$AR$9)))</f>
        <v>8</v>
      </c>
      <c r="X50" s="92">
        <f ca="1">IF(AND(INDEX('Сводный годовой график'!$C$1:$AR$4,MATCH($C$50,'Сводный годовой график'!$B$1:$B$4),MATCH(DATE($AV$1,MONTH($B$44),X$3),'Сводный годовой график'!$C$9:$AR$9))&lt;&gt;12,INDIRECT(ADDRESS(ROW()+1,COLUMN()))="СП"),8,INDEX('Сводный годовой график'!$C$1:$AR$4,MATCH($C$50,'Сводный годовой график'!$B$1:$B$4),MATCH(DATE($AV$1,MONTH($B$44),X$3),'Сводный годовой график'!$C$9:$AR$9)))</f>
        <v>12</v>
      </c>
      <c r="Y50" s="92">
        <f ca="1">IF(AND(INDEX('Сводный годовой график'!$C$1:$AR$4,MATCH($C$50,'Сводный годовой график'!$B$1:$B$4),MATCH(DATE($AV$1,MONTH($B$44),Y$3),'Сводный годовой график'!$C$9:$AR$9))&lt;&gt;12,INDIRECT(ADDRESS(ROW()+1,COLUMN()))="СП"),8,INDEX('Сводный годовой график'!$C$1:$AR$4,MATCH($C$50,'Сводный годовой график'!$B$1:$B$4),MATCH(DATE($AV$1,MONTH($B$44),Y$3),'Сводный годовой график'!$C$9:$AR$9)))</f>
        <v>0</v>
      </c>
      <c r="Z50" s="92">
        <f ca="1">IF(AND(INDEX('Сводный годовой график'!$C$1:$AR$4,MATCH($C$50,'Сводный годовой график'!$B$1:$B$4),MATCH(DATE($AV$1,MONTH($B$44),Z$3),'Сводный годовой график'!$C$9:$AR$9))&lt;&gt;12,INDIRECT(ADDRESS(ROW()+1,COLUMN()))="СП"),8,INDEX('Сводный годовой график'!$C$1:$AR$4,MATCH($C$50,'Сводный годовой график'!$B$1:$B$4),MATCH(DATE($AV$1,MONTH($B$44),Z$3),'Сводный годовой график'!$C$9:$AR$9)))</f>
        <v>0</v>
      </c>
      <c r="AA50" s="92">
        <f ca="1">IF(AND(INDEX('Сводный годовой график'!$C$1:$AR$4,MATCH($C$50,'Сводный годовой график'!$B$1:$B$4),MATCH(DATE($AV$1,MONTH($B$44),AA$3),'Сводный годовой график'!$C$9:$AR$9))&lt;&gt;12,INDIRECT(ADDRESS(ROW()+1,COLUMN()))="СП"),8,INDEX('Сводный годовой график'!$C$1:$AR$4,MATCH($C$50,'Сводный годовой график'!$B$1:$B$4),MATCH(DATE($AV$1,MONTH($B$44),AA$3),'Сводный годовой график'!$C$9:$AR$9)))</f>
        <v>4</v>
      </c>
      <c r="AB50" s="92">
        <f ca="1">IF(AND(INDEX('Сводный годовой график'!$C$1:$AR$4,MATCH($C$50,'Сводный годовой график'!$B$1:$B$4),MATCH(DATE($AV$1,MONTH($B$44),AB$3),'Сводный годовой график'!$C$9:$AR$9))&lt;&gt;12,INDIRECT(ADDRESS(ROW()+1,COLUMN()))="СП"),8,INDEX('Сводный годовой график'!$C$1:$AR$4,MATCH($C$50,'Сводный годовой график'!$B$1:$B$4),MATCH(DATE($AV$1,MONTH($B$44),AB$3),'Сводный годовой график'!$C$9:$AR$9)))</f>
        <v>8</v>
      </c>
      <c r="AC50" s="92">
        <f ca="1">IF(AND(INDEX('Сводный годовой график'!$C$1:$AR$4,MATCH($C$50,'Сводный годовой график'!$B$1:$B$4),MATCH(DATE($AV$1,MONTH($B$44),AC$3),'Сводный годовой график'!$C$9:$AR$9))&lt;&gt;12,INDIRECT(ADDRESS(ROW()+1,COLUMN()))="СП"),8,INDEX('Сводный годовой график'!$C$1:$AR$4,MATCH($C$50,'Сводный годовой график'!$B$1:$B$4),MATCH(DATE($AV$1,MONTH($B$44),AC$3),'Сводный годовой график'!$C$9:$AR$9)))</f>
        <v>12</v>
      </c>
      <c r="AD50" s="92">
        <f ca="1">IF(AND(INDEX('Сводный годовой график'!$C$1:$AR$4,MATCH($C$50,'Сводный годовой график'!$B$1:$B$4),MATCH(DATE($AV$1,MONTH($B$44),AD$3),'Сводный годовой график'!$C$9:$AR$9))&lt;&gt;12,INDIRECT(ADDRESS(ROW()+1,COLUMN()))="СП"),8,INDEX('Сводный годовой график'!$C$1:$AR$4,MATCH($C$50,'Сводный годовой график'!$B$1:$B$4),MATCH(DATE($AV$1,MONTH($B$44),AD$3),'Сводный годовой график'!$C$9:$AR$9)))</f>
        <v>4</v>
      </c>
      <c r="AE50" s="92">
        <f ca="1">IF(AND(INDEX('Сводный годовой график'!$C$1:$AR$4,MATCH($C$50,'Сводный годовой график'!$B$1:$B$4),MATCH(DATE($AV$1,MONTH($B$44),AE$3),'Сводный годовой график'!$C$9:$AR$9))&lt;&gt;12,INDIRECT(ADDRESS(ROW()+1,COLUMN()))="СП"),8,INDEX('Сводный годовой график'!$C$1:$AR$4,MATCH($C$50,'Сводный годовой график'!$B$1:$B$4),MATCH(DATE($AV$1,MONTH($B$44),AE$3),'Сводный годовой график'!$C$9:$AR$9)))</f>
        <v>8</v>
      </c>
      <c r="AF50" s="92">
        <f ca="1">IF(AND(INDEX('Сводный годовой график'!$C$1:$AR$4,MATCH($C$50,'Сводный годовой график'!$B$1:$B$4),MATCH(DATE($AV$1,MONTH($B$44),AF$3),'Сводный годовой график'!$C$9:$AR$9))&lt;&gt;12,INDIRECT(ADDRESS(ROW()+1,COLUMN()))="СП"),8,INDEX('Сводный годовой график'!$C$1:$AR$4,MATCH($C$50,'Сводный годовой график'!$B$1:$B$4),MATCH(DATE($AV$1,MONTH($B$44),AF$3),'Сводный годовой график'!$C$9:$AR$9)))</f>
        <v>12</v>
      </c>
      <c r="AG50" s="92">
        <f ca="1">IF(AND(INDEX('Сводный годовой график'!$C$1:$AR$4,MATCH($C$50,'Сводный годовой график'!$B$1:$B$4),MATCH(DATE($AV$1,MONTH($B$44),AG$3),'Сводный годовой график'!$C$9:$AR$9))&lt;&gt;12,INDIRECT(ADDRESS(ROW()+1,COLUMN()))="СП"),8,INDEX('Сводный годовой график'!$C$1:$AR$4,MATCH($C$50,'Сводный годовой график'!$B$1:$B$4),MATCH(DATE($AV$1,MONTH($B$44),AG$3),'Сводный годовой график'!$C$9:$AR$9)))</f>
        <v>0</v>
      </c>
      <c r="AH50" s="92">
        <f ca="1">IF(AND(INDEX('Сводный годовой график'!$C$1:$AR$4,MATCH($C$50,'Сводный годовой график'!$B$1:$B$4),MATCH(DATE($AV$1,MONTH($B$44),AH$3),'Сводный годовой график'!$C$9:$AR$9))&lt;&gt;12,INDIRECT(ADDRESS(ROW()+1,COLUMN()))="СП"),8,INDEX('Сводный годовой график'!$C$1:$AR$4,MATCH($C$50,'Сводный годовой график'!$B$1:$B$4),MATCH(DATE($AV$1,MONTH($B$44),AH$3),'Сводный годовой график'!$C$9:$AR$9)))</f>
        <v>0</v>
      </c>
      <c r="AI50" s="92">
        <f ca="1">IF(AND(INDEX('Сводный годовой график'!$C$1:$AR$4,MATCH($C$50,'Сводный годовой график'!$B$1:$B$4),MATCH(DATE($AV$1,MONTH($B$44),AI$3),'Сводный годовой график'!$C$9:$AR$9))&lt;&gt;12,INDIRECT(ADDRESS(ROW()+1,COLUMN()))="СП"),8,INDEX('Сводный годовой график'!$C$1:$AR$4,MATCH($C$50,'Сводный годовой график'!$B$1:$B$4),MATCH(DATE($AV$1,MONTH($B$44),AI$3),'Сводный годовой график'!$C$9:$AR$9)))</f>
        <v>4</v>
      </c>
      <c r="AJ50" s="206"/>
      <c r="AK50" s="209">
        <f>$AJ$44-SUM(AY50:CC51)</f>
        <v>144</v>
      </c>
      <c r="AL50" s="209">
        <f t="shared" ref="AL50" ca="1" si="84">SUM(E50:AI51)</f>
        <v>184</v>
      </c>
      <c r="AM50" s="209">
        <f t="shared" ref="AM50" ca="1" si="85">(SUM(E50)+SUM(M50))</f>
        <v>24</v>
      </c>
      <c r="AN50" s="211">
        <f t="shared" ref="AN50" ca="1" si="86">-AM50-AK50+AL50</f>
        <v>16</v>
      </c>
      <c r="AO50" s="224"/>
      <c r="AP50" s="211">
        <f ca="1">AN50+AP40-AO50</f>
        <v>42</v>
      </c>
      <c r="AQ50" s="209">
        <v>0</v>
      </c>
      <c r="AR50" s="210">
        <v>1</v>
      </c>
      <c r="CK50" s="59"/>
      <c r="CL50" s="59"/>
      <c r="CM50" s="59"/>
      <c r="CN50" s="59"/>
      <c r="CO50" s="59"/>
      <c r="CP50" s="59"/>
      <c r="CQ50" s="59"/>
      <c r="CR50" s="59"/>
      <c r="CS50" s="59"/>
      <c r="CT50" s="59"/>
      <c r="CU50" s="59"/>
      <c r="CV50" s="59"/>
      <c r="CW50" s="59"/>
      <c r="CX50" s="59"/>
      <c r="CY50" s="59"/>
      <c r="CZ50" s="59"/>
      <c r="DA50" s="59"/>
      <c r="DB50" s="59"/>
      <c r="DC50" s="59"/>
      <c r="DD50" s="59"/>
      <c r="DE50" s="59"/>
      <c r="DF50" s="59"/>
      <c r="DG50" s="59"/>
      <c r="DH50" s="59"/>
      <c r="DI50" s="59"/>
      <c r="DJ50" s="59"/>
      <c r="DK50" s="59"/>
      <c r="DL50" s="59"/>
      <c r="DM50" s="59"/>
      <c r="DN50" s="59"/>
      <c r="DO50" s="59"/>
    </row>
    <row r="51" spans="2:119" ht="16.5" thickBot="1" x14ac:dyDescent="0.3">
      <c r="B51" s="201"/>
      <c r="C51" s="197"/>
      <c r="D51" s="82">
        <v>8</v>
      </c>
      <c r="E51" s="92" t="str">
        <f t="shared" ref="E51:AI51" si="87">IF(INDEX($CK$4:$DO$123,ROW()-3,E$3)=0,"","СП")</f>
        <v/>
      </c>
      <c r="F51" s="92" t="str">
        <f t="shared" si="87"/>
        <v/>
      </c>
      <c r="G51" s="92" t="str">
        <f t="shared" si="87"/>
        <v/>
      </c>
      <c r="H51" s="92" t="str">
        <f t="shared" si="87"/>
        <v/>
      </c>
      <c r="I51" s="92" t="str">
        <f t="shared" si="87"/>
        <v/>
      </c>
      <c r="J51" s="92" t="str">
        <f t="shared" si="87"/>
        <v/>
      </c>
      <c r="K51" s="92" t="str">
        <f t="shared" si="87"/>
        <v/>
      </c>
      <c r="L51" s="92" t="str">
        <f t="shared" si="87"/>
        <v>СП</v>
      </c>
      <c r="M51" s="92" t="str">
        <f t="shared" si="87"/>
        <v/>
      </c>
      <c r="N51" s="92" t="str">
        <f t="shared" si="87"/>
        <v/>
      </c>
      <c r="O51" s="92" t="str">
        <f t="shared" si="87"/>
        <v/>
      </c>
      <c r="P51" s="92" t="str">
        <f t="shared" si="87"/>
        <v/>
      </c>
      <c r="Q51" s="92" t="str">
        <f t="shared" si="87"/>
        <v/>
      </c>
      <c r="R51" s="92" t="str">
        <f t="shared" si="87"/>
        <v/>
      </c>
      <c r="S51" s="92" t="str">
        <f t="shared" si="87"/>
        <v/>
      </c>
      <c r="T51" s="92" t="str">
        <f t="shared" si="87"/>
        <v/>
      </c>
      <c r="U51" s="92" t="str">
        <f t="shared" si="87"/>
        <v/>
      </c>
      <c r="V51" s="92" t="str">
        <f t="shared" si="87"/>
        <v/>
      </c>
      <c r="W51" s="92" t="str">
        <f t="shared" si="87"/>
        <v/>
      </c>
      <c r="X51" s="92" t="str">
        <f t="shared" si="87"/>
        <v/>
      </c>
      <c r="Y51" s="92" t="str">
        <f t="shared" si="87"/>
        <v/>
      </c>
      <c r="Z51" s="92" t="str">
        <f t="shared" si="87"/>
        <v/>
      </c>
      <c r="AA51" s="92" t="str">
        <f t="shared" si="87"/>
        <v/>
      </c>
      <c r="AB51" s="92" t="str">
        <f t="shared" si="87"/>
        <v/>
      </c>
      <c r="AC51" s="92" t="str">
        <f t="shared" si="87"/>
        <v/>
      </c>
      <c r="AD51" s="92" t="str">
        <f t="shared" si="87"/>
        <v/>
      </c>
      <c r="AE51" s="92" t="str">
        <f t="shared" si="87"/>
        <v/>
      </c>
      <c r="AF51" s="92" t="str">
        <f t="shared" si="87"/>
        <v/>
      </c>
      <c r="AG51" s="92" t="str">
        <f t="shared" si="87"/>
        <v/>
      </c>
      <c r="AH51" s="92" t="str">
        <f t="shared" si="87"/>
        <v/>
      </c>
      <c r="AI51" s="92" t="str">
        <f t="shared" si="87"/>
        <v/>
      </c>
      <c r="AJ51" s="206"/>
      <c r="AK51" s="209"/>
      <c r="AL51" s="209"/>
      <c r="AM51" s="209"/>
      <c r="AN51" s="211"/>
      <c r="AO51" s="225"/>
      <c r="AP51" s="211"/>
      <c r="AQ51" s="209"/>
      <c r="AR51" s="210"/>
      <c r="CK51" s="58">
        <f>IF(DAY(INDEX('Сводный годовой график'!$BA$4:$BL$14,$C50,MONTH($B$44)))=E$3,1,0)</f>
        <v>0</v>
      </c>
      <c r="CL51" s="58">
        <f>IF(DAY(INDEX('Сводный годовой график'!$BA$4:$BL$14,$C50,MONTH($B$44)))=F$3,1,0)</f>
        <v>0</v>
      </c>
      <c r="CM51" s="58">
        <f>IF(DAY(INDEX('Сводный годовой график'!$BA$4:$BL$14,$C50,MONTH($B$44)))=G$3,1,0)</f>
        <v>0</v>
      </c>
      <c r="CN51" s="58">
        <f>IF(DAY(INDEX('Сводный годовой график'!$BA$4:$BL$14,$C50,MONTH($B$44)))=H$3,1,0)</f>
        <v>0</v>
      </c>
      <c r="CO51" s="58">
        <f>IF(DAY(INDEX('Сводный годовой график'!$BA$4:$BL$14,$C50,MONTH($B$44)))=I$3,1,0)</f>
        <v>0</v>
      </c>
      <c r="CP51" s="58">
        <f>IF(DAY(INDEX('Сводный годовой график'!$BA$4:$BL$14,$C50,MONTH($B$44)))=J$3,1,0)</f>
        <v>0</v>
      </c>
      <c r="CQ51" s="58">
        <f>IF(DAY(INDEX('Сводный годовой график'!$BA$4:$BL$14,$C50,MONTH($B$44)))=K$3,1,0)</f>
        <v>0</v>
      </c>
      <c r="CR51" s="58">
        <f>IF(DAY(INDEX('Сводный годовой график'!$BA$4:$BL$14,$C50,MONTH($B$44)))=L$3,1,0)</f>
        <v>1</v>
      </c>
      <c r="CS51" s="58">
        <f>IF(DAY(INDEX('Сводный годовой график'!$BA$4:$BL$14,$C50,MONTH($B$44)))=M$3,1,0)</f>
        <v>0</v>
      </c>
      <c r="CT51" s="58">
        <f>IF(DAY(INDEX('Сводный годовой график'!$BA$4:$BL$14,$C50,MONTH($B$44)))=N$3,1,0)</f>
        <v>0</v>
      </c>
      <c r="CU51" s="58">
        <f>IF(DAY(INDEX('Сводный годовой график'!$BA$4:$BL$14,$C50,MONTH($B$44)))=O$3,1,0)</f>
        <v>0</v>
      </c>
      <c r="CV51" s="58">
        <f>IF(DAY(INDEX('Сводный годовой график'!$BA$4:$BL$14,$C50,MONTH($B$44)))=P$3,1,0)</f>
        <v>0</v>
      </c>
      <c r="CW51" s="58">
        <f>IF(DAY(INDEX('Сводный годовой график'!$BA$4:$BL$14,$C50,MONTH($B$44)))=Q$3,1,0)</f>
        <v>0</v>
      </c>
      <c r="CX51" s="58">
        <f>IF(DAY(INDEX('Сводный годовой график'!$BA$4:$BL$14,$C50,MONTH($B$44)))=R$3,1,0)</f>
        <v>0</v>
      </c>
      <c r="CY51" s="58">
        <f>IF(DAY(INDEX('Сводный годовой график'!$BA$4:$BL$14,$C50,MONTH($B$44)))=S$3,1,0)</f>
        <v>0</v>
      </c>
      <c r="CZ51" s="58">
        <f>IF(DAY(INDEX('Сводный годовой график'!$BA$4:$BL$14,$C50,MONTH($B$44)))=T$3,1,0)</f>
        <v>0</v>
      </c>
      <c r="DA51" s="58">
        <f>IF(DAY(INDEX('Сводный годовой график'!$BA$4:$BL$14,$C50,MONTH($B$44)))=U$3,1,0)</f>
        <v>0</v>
      </c>
      <c r="DB51" s="58">
        <f>IF(DAY(INDEX('Сводный годовой график'!$BA$4:$BL$14,$C50,MONTH($B$44)))=V$3,1,0)</f>
        <v>0</v>
      </c>
      <c r="DC51" s="58">
        <f>IF(DAY(INDEX('Сводный годовой график'!$BA$4:$BL$14,$C50,MONTH($B$44)))=W$3,1,0)</f>
        <v>0</v>
      </c>
      <c r="DD51" s="58">
        <f>IF(DAY(INDEX('Сводный годовой график'!$BA$4:$BL$14,$C50,MONTH($B$44)))=X$3,1,0)</f>
        <v>0</v>
      </c>
      <c r="DE51" s="58">
        <f>IF(DAY(INDEX('Сводный годовой график'!$BA$4:$BL$14,$C50,MONTH($B$44)))=Y$3,1,0)</f>
        <v>0</v>
      </c>
      <c r="DF51" s="58">
        <f>IF(DAY(INDEX('Сводный годовой график'!$BA$4:$BL$14,$C50,MONTH($B$44)))=Z$3,1,0)</f>
        <v>0</v>
      </c>
      <c r="DG51" s="58">
        <f>IF(DAY(INDEX('Сводный годовой график'!$BA$4:$BL$14,$C50,MONTH($B$44)))=AA$3,1,0)</f>
        <v>0</v>
      </c>
      <c r="DH51" s="58">
        <f>IF(DAY(INDEX('Сводный годовой график'!$BA$4:$BL$14,$C50,MONTH($B$44)))=AB$3,1,0)</f>
        <v>0</v>
      </c>
      <c r="DI51" s="58">
        <f>IF(DAY(INDEX('Сводный годовой график'!$BA$4:$BL$14,$C50,MONTH($B$44)))=AC$3,1,0)</f>
        <v>0</v>
      </c>
      <c r="DJ51" s="58">
        <f>IF(DAY(INDEX('Сводный годовой график'!$BA$4:$BL$14,$C50,MONTH($B$44)))=AD$3,1,0)</f>
        <v>0</v>
      </c>
      <c r="DK51" s="58">
        <f>IF(DAY(INDEX('Сводный годовой график'!$BA$4:$BL$14,$C50,MONTH($B$44)))=AE$3,1,0)</f>
        <v>0</v>
      </c>
      <c r="DL51" s="58">
        <f>IF(DAY(INDEX('Сводный годовой график'!$BA$4:$BL$14,$C50,MONTH($B$44)))=AF$3,1,0)</f>
        <v>0</v>
      </c>
      <c r="DM51" s="58">
        <f>IF(DAY(INDEX('Сводный годовой график'!$BA$4:$BL$14,$C50,MONTH($B$44)))=AG$3,1,0)</f>
        <v>0</v>
      </c>
      <c r="DN51" s="58">
        <f>IF(DAY(INDEX('Сводный годовой график'!$BA$4:$BL$14,$C50,MONTH($B$44)))=AH$3,1,0)</f>
        <v>0</v>
      </c>
      <c r="DO51" s="58">
        <f>IF(DAY(INDEX('Сводный годовой график'!$BA$4:$BL$14,$C50,MONTH($B$44)))=AI$3,1,0)</f>
        <v>0</v>
      </c>
    </row>
    <row r="52" spans="2:119" ht="16.5" thickBot="1" x14ac:dyDescent="0.3">
      <c r="B52" s="201"/>
      <c r="C52" s="196">
        <v>5</v>
      </c>
      <c r="D52" s="81">
        <v>9</v>
      </c>
      <c r="E52" s="92" t="s">
        <v>36</v>
      </c>
      <c r="F52" s="92" t="s">
        <v>36</v>
      </c>
      <c r="G52" s="92" t="s">
        <v>36</v>
      </c>
      <c r="H52" s="92" t="s">
        <v>36</v>
      </c>
      <c r="I52" s="92" t="s">
        <v>36</v>
      </c>
      <c r="J52" s="92" t="s">
        <v>36</v>
      </c>
      <c r="K52" s="92" t="s">
        <v>36</v>
      </c>
      <c r="L52" s="92" t="s">
        <v>36</v>
      </c>
      <c r="M52" s="92" t="s">
        <v>36</v>
      </c>
      <c r="N52" s="92" t="s">
        <v>36</v>
      </c>
      <c r="O52" s="92" t="s">
        <v>36</v>
      </c>
      <c r="P52" s="92" t="s">
        <v>36</v>
      </c>
      <c r="Q52" s="92" t="s">
        <v>36</v>
      </c>
      <c r="R52" s="92" t="s">
        <v>36</v>
      </c>
      <c r="S52" s="92" t="s">
        <v>36</v>
      </c>
      <c r="T52" s="92" t="s">
        <v>36</v>
      </c>
      <c r="U52" s="92" t="s">
        <v>36</v>
      </c>
      <c r="V52" s="92" t="s">
        <v>36</v>
      </c>
      <c r="W52" s="92" t="s">
        <v>36</v>
      </c>
      <c r="X52" s="92" t="s">
        <v>36</v>
      </c>
      <c r="Y52" s="92" t="s">
        <v>36</v>
      </c>
      <c r="Z52" s="92" t="s">
        <v>36</v>
      </c>
      <c r="AA52" s="92" t="s">
        <v>36</v>
      </c>
      <c r="AB52" s="92" t="s">
        <v>36</v>
      </c>
      <c r="AC52" s="92" t="s">
        <v>36</v>
      </c>
      <c r="AD52" s="92" t="s">
        <v>36</v>
      </c>
      <c r="AE52" s="92" t="s">
        <v>36</v>
      </c>
      <c r="AF52" s="92" t="s">
        <v>36</v>
      </c>
      <c r="AG52" s="92" t="s">
        <v>36</v>
      </c>
      <c r="AH52" s="92" t="s">
        <v>36</v>
      </c>
      <c r="AI52" s="92" t="s">
        <v>36</v>
      </c>
      <c r="AJ52" s="206"/>
      <c r="AK52" s="209">
        <f>$AJ$44-SUM(AY52:CC53)</f>
        <v>144</v>
      </c>
      <c r="AL52" s="209">
        <f t="shared" ref="AL52" si="88">SUM(E52:AI53)</f>
        <v>0</v>
      </c>
      <c r="AM52" s="209">
        <f t="shared" ref="AM52" si="89">(SUM(E52)+SUM(M52))</f>
        <v>0</v>
      </c>
      <c r="AN52" s="211">
        <f t="shared" ref="AN52" si="90">-AM52-AK52+AL52</f>
        <v>-144</v>
      </c>
      <c r="AO52" s="224">
        <v>0</v>
      </c>
      <c r="AP52" s="211">
        <f t="shared" ref="AP52" si="91">AN52+AP42</f>
        <v>-806</v>
      </c>
      <c r="AQ52" s="209">
        <v>0</v>
      </c>
      <c r="AR52" s="210">
        <v>1</v>
      </c>
      <c r="CK52" s="59"/>
      <c r="CL52" s="59"/>
      <c r="CM52" s="59"/>
      <c r="CN52" s="59"/>
      <c r="CO52" s="59"/>
      <c r="CP52" s="59"/>
      <c r="CQ52" s="59"/>
      <c r="CR52" s="59"/>
      <c r="CS52" s="59"/>
      <c r="CT52" s="59"/>
      <c r="CU52" s="59"/>
      <c r="CV52" s="59"/>
      <c r="CW52" s="59"/>
      <c r="CX52" s="59"/>
      <c r="CY52" s="59"/>
      <c r="CZ52" s="59"/>
      <c r="DA52" s="59"/>
      <c r="DB52" s="59"/>
      <c r="DC52" s="59"/>
      <c r="DD52" s="59"/>
      <c r="DE52" s="59"/>
      <c r="DF52" s="59"/>
      <c r="DG52" s="59"/>
      <c r="DH52" s="59"/>
      <c r="DI52" s="59"/>
      <c r="DJ52" s="59"/>
      <c r="DK52" s="59"/>
      <c r="DL52" s="59"/>
      <c r="DM52" s="59"/>
      <c r="DN52" s="59"/>
      <c r="DO52" s="59"/>
    </row>
    <row r="53" spans="2:119" ht="16.5" thickBot="1" x14ac:dyDescent="0.3">
      <c r="B53" s="202"/>
      <c r="C53" s="212"/>
      <c r="D53" s="99">
        <v>10</v>
      </c>
      <c r="E53" s="30" t="str">
        <f t="shared" ref="E53:AI53" si="92">IF(INDEX($CK$4:$DO$123,ROW()-3,E$3)=0,"","СП")</f>
        <v/>
      </c>
      <c r="F53" s="30" t="str">
        <f t="shared" si="92"/>
        <v/>
      </c>
      <c r="G53" s="30" t="str">
        <f t="shared" si="92"/>
        <v/>
      </c>
      <c r="H53" s="30" t="str">
        <f t="shared" si="92"/>
        <v/>
      </c>
      <c r="I53" s="30" t="str">
        <f t="shared" si="92"/>
        <v/>
      </c>
      <c r="J53" s="30" t="str">
        <f t="shared" si="92"/>
        <v/>
      </c>
      <c r="K53" s="30" t="str">
        <f t="shared" si="92"/>
        <v/>
      </c>
      <c r="L53" s="30" t="str">
        <f t="shared" si="92"/>
        <v/>
      </c>
      <c r="M53" s="30" t="str">
        <f t="shared" si="92"/>
        <v>СП</v>
      </c>
      <c r="N53" s="30" t="str">
        <f t="shared" si="92"/>
        <v/>
      </c>
      <c r="O53" s="30" t="str">
        <f t="shared" si="92"/>
        <v/>
      </c>
      <c r="P53" s="30" t="str">
        <f t="shared" si="92"/>
        <v/>
      </c>
      <c r="Q53" s="30" t="str">
        <f t="shared" si="92"/>
        <v/>
      </c>
      <c r="R53" s="30" t="str">
        <f t="shared" si="92"/>
        <v/>
      </c>
      <c r="S53" s="30" t="str">
        <f t="shared" si="92"/>
        <v/>
      </c>
      <c r="T53" s="30" t="str">
        <f t="shared" si="92"/>
        <v/>
      </c>
      <c r="U53" s="30" t="str">
        <f t="shared" si="92"/>
        <v/>
      </c>
      <c r="V53" s="30" t="str">
        <f t="shared" si="92"/>
        <v/>
      </c>
      <c r="W53" s="30" t="str">
        <f t="shared" si="92"/>
        <v/>
      </c>
      <c r="X53" s="30" t="str">
        <f t="shared" si="92"/>
        <v/>
      </c>
      <c r="Y53" s="30" t="str">
        <f t="shared" si="92"/>
        <v/>
      </c>
      <c r="Z53" s="30" t="str">
        <f t="shared" si="92"/>
        <v/>
      </c>
      <c r="AA53" s="30" t="str">
        <f t="shared" si="92"/>
        <v/>
      </c>
      <c r="AB53" s="30" t="str">
        <f t="shared" si="92"/>
        <v/>
      </c>
      <c r="AC53" s="30" t="str">
        <f t="shared" si="92"/>
        <v/>
      </c>
      <c r="AD53" s="30" t="str">
        <f t="shared" si="92"/>
        <v/>
      </c>
      <c r="AE53" s="30" t="str">
        <f t="shared" si="92"/>
        <v/>
      </c>
      <c r="AF53" s="30" t="str">
        <f t="shared" si="92"/>
        <v/>
      </c>
      <c r="AG53" s="30" t="str">
        <f t="shared" si="92"/>
        <v/>
      </c>
      <c r="AH53" s="30" t="str">
        <f t="shared" si="92"/>
        <v/>
      </c>
      <c r="AI53" s="30" t="str">
        <f t="shared" si="92"/>
        <v/>
      </c>
      <c r="AJ53" s="207"/>
      <c r="AK53" s="213"/>
      <c r="AL53" s="213"/>
      <c r="AM53" s="213"/>
      <c r="AN53" s="214"/>
      <c r="AO53" s="227"/>
      <c r="AP53" s="214"/>
      <c r="AQ53" s="213"/>
      <c r="AR53" s="215"/>
      <c r="CK53" s="58">
        <f>IF(DAY(INDEX('Сводный годовой график'!$BA$4:$BL$14,$C52,MONTH($B$44)))=E$3,1,0)</f>
        <v>0</v>
      </c>
      <c r="CL53" s="58">
        <f>IF(DAY(INDEX('Сводный годовой график'!$BA$4:$BL$14,$C52,MONTH($B$44)))=F$3,1,0)</f>
        <v>0</v>
      </c>
      <c r="CM53" s="58">
        <f>IF(DAY(INDEX('Сводный годовой график'!$BA$4:$BL$14,$C52,MONTH($B$44)))=G$3,1,0)</f>
        <v>0</v>
      </c>
      <c r="CN53" s="58">
        <f>IF(DAY(INDEX('Сводный годовой график'!$BA$4:$BL$14,$C52,MONTH($B$44)))=H$3,1,0)</f>
        <v>0</v>
      </c>
      <c r="CO53" s="58">
        <f>IF(DAY(INDEX('Сводный годовой график'!$BA$4:$BL$14,$C52,MONTH($B$44)))=I$3,1,0)</f>
        <v>0</v>
      </c>
      <c r="CP53" s="58">
        <f>IF(DAY(INDEX('Сводный годовой график'!$BA$4:$BL$14,$C52,MONTH($B$44)))=J$3,1,0)</f>
        <v>0</v>
      </c>
      <c r="CQ53" s="58">
        <f>IF(DAY(INDEX('Сводный годовой график'!$BA$4:$BL$14,$C52,MONTH($B$44)))=K$3,1,0)</f>
        <v>0</v>
      </c>
      <c r="CR53" s="58">
        <f>IF(DAY(INDEX('Сводный годовой график'!$BA$4:$BL$14,$C52,MONTH($B$44)))=L$3,1,0)</f>
        <v>0</v>
      </c>
      <c r="CS53" s="58">
        <f>IF(DAY(INDEX('Сводный годовой график'!$BA$4:$BL$14,$C52,MONTH($B$44)))=M$3,1,0)</f>
        <v>1</v>
      </c>
      <c r="CT53" s="58">
        <f>IF(DAY(INDEX('Сводный годовой график'!$BA$4:$BL$14,$C52,MONTH($B$44)))=N$3,1,0)</f>
        <v>0</v>
      </c>
      <c r="CU53" s="58">
        <f>IF(DAY(INDEX('Сводный годовой график'!$BA$4:$BL$14,$C52,MONTH($B$44)))=O$3,1,0)</f>
        <v>0</v>
      </c>
      <c r="CV53" s="58">
        <f>IF(DAY(INDEX('Сводный годовой график'!$BA$4:$BL$14,$C52,MONTH($B$44)))=P$3,1,0)</f>
        <v>0</v>
      </c>
      <c r="CW53" s="58">
        <f>IF(DAY(INDEX('Сводный годовой график'!$BA$4:$BL$14,$C52,MONTH($B$44)))=Q$3,1,0)</f>
        <v>0</v>
      </c>
      <c r="CX53" s="58">
        <f>IF(DAY(INDEX('Сводный годовой график'!$BA$4:$BL$14,$C52,MONTH($B$44)))=R$3,1,0)</f>
        <v>0</v>
      </c>
      <c r="CY53" s="58">
        <f>IF(DAY(INDEX('Сводный годовой график'!$BA$4:$BL$14,$C52,MONTH($B$44)))=S$3,1,0)</f>
        <v>0</v>
      </c>
      <c r="CZ53" s="58">
        <f>IF(DAY(INDEX('Сводный годовой график'!$BA$4:$BL$14,$C52,MONTH($B$44)))=T$3,1,0)</f>
        <v>0</v>
      </c>
      <c r="DA53" s="58">
        <f>IF(DAY(INDEX('Сводный годовой график'!$BA$4:$BL$14,$C52,MONTH($B$44)))=U$3,1,0)</f>
        <v>0</v>
      </c>
      <c r="DB53" s="58">
        <f>IF(DAY(INDEX('Сводный годовой график'!$BA$4:$BL$14,$C52,MONTH($B$44)))=V$3,1,0)</f>
        <v>0</v>
      </c>
      <c r="DC53" s="58">
        <f>IF(DAY(INDEX('Сводный годовой график'!$BA$4:$BL$14,$C52,MONTH($B$44)))=W$3,1,0)</f>
        <v>0</v>
      </c>
      <c r="DD53" s="58">
        <f>IF(DAY(INDEX('Сводный годовой график'!$BA$4:$BL$14,$C52,MONTH($B$44)))=X$3,1,0)</f>
        <v>0</v>
      </c>
      <c r="DE53" s="58">
        <f>IF(DAY(INDEX('Сводный годовой график'!$BA$4:$BL$14,$C52,MONTH($B$44)))=Y$3,1,0)</f>
        <v>0</v>
      </c>
      <c r="DF53" s="58">
        <f>IF(DAY(INDEX('Сводный годовой график'!$BA$4:$BL$14,$C52,MONTH($B$44)))=Z$3,1,0)</f>
        <v>0</v>
      </c>
      <c r="DG53" s="58">
        <f>IF(DAY(INDEX('Сводный годовой график'!$BA$4:$BL$14,$C52,MONTH($B$44)))=AA$3,1,0)</f>
        <v>0</v>
      </c>
      <c r="DH53" s="58">
        <f>IF(DAY(INDEX('Сводный годовой график'!$BA$4:$BL$14,$C52,MONTH($B$44)))=AB$3,1,0)</f>
        <v>0</v>
      </c>
      <c r="DI53" s="58">
        <f>IF(DAY(INDEX('Сводный годовой график'!$BA$4:$BL$14,$C52,MONTH($B$44)))=AC$3,1,0)</f>
        <v>0</v>
      </c>
      <c r="DJ53" s="58">
        <f>IF(DAY(INDEX('Сводный годовой график'!$BA$4:$BL$14,$C52,MONTH($B$44)))=AD$3,1,0)</f>
        <v>0</v>
      </c>
      <c r="DK53" s="58">
        <f>IF(DAY(INDEX('Сводный годовой график'!$BA$4:$BL$14,$C52,MONTH($B$44)))=AE$3,1,0)</f>
        <v>0</v>
      </c>
      <c r="DL53" s="58">
        <f>IF(DAY(INDEX('Сводный годовой график'!$BA$4:$BL$14,$C52,MONTH($B$44)))=AF$3,1,0)</f>
        <v>0</v>
      </c>
      <c r="DM53" s="58">
        <f>IF(DAY(INDEX('Сводный годовой график'!$BA$4:$BL$14,$C52,MONTH($B$44)))=AG$3,1,0)</f>
        <v>0</v>
      </c>
      <c r="DN53" s="58">
        <f>IF(DAY(INDEX('Сводный годовой график'!$BA$4:$BL$14,$C52,MONTH($B$44)))=AH$3,1,0)</f>
        <v>0</v>
      </c>
      <c r="DO53" s="58">
        <f>IF(DAY(INDEX('Сводный годовой график'!$BA$4:$BL$14,$C52,MONTH($B$44)))=AI$3,1,0)</f>
        <v>0</v>
      </c>
    </row>
    <row r="54" spans="2:119" ht="17.25" customHeight="1" thickTop="1" thickBot="1" x14ac:dyDescent="0.3">
      <c r="B54" s="200">
        <f>DATE($AV$1,6,1)</f>
        <v>45809</v>
      </c>
      <c r="C54" s="196">
        <v>1</v>
      </c>
      <c r="D54" s="81">
        <v>1</v>
      </c>
      <c r="E54" s="28">
        <f ca="1">IF(AND(INDEX('Сводный годовой график'!$C$1:$AR$4,MATCH($C$54,'Сводный годовой график'!$B$1:$B$4),MATCH(DATE($AV$1,MONTH($B$54),E$3),'Сводный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график'!$B$1:$B$4),MATCH(DATE($AV$1,MONTH($B$54),E$3),'Сводный годовой график'!$C$10:$AR$10)))</f>
        <v>12</v>
      </c>
      <c r="F54" s="28">
        <f ca="1">IF(AND(INDEX('Сводный годовой график'!$C$1:$AR$4,MATCH($C$54,'Сводный годовой график'!$B$1:$B$4),MATCH(DATE($AV$1,MONTH($B$54),F$3),'Сводный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график'!$B$1:$B$4),MATCH(DATE($AV$1,MONTH($B$54),F$3),'Сводный годовой график'!$C$10:$AR$10)))</f>
        <v>0</v>
      </c>
      <c r="G54" s="28">
        <f ca="1">IF(AND(INDEX('Сводный годовой график'!$C$1:$AR$4,MATCH($C$54,'Сводный годовой график'!$B$1:$B$4),MATCH(DATE($AV$1,MONTH($B$54),G$3),'Сводный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график'!$B$1:$B$4),MATCH(DATE($AV$1,MONTH($B$54),G$3),'Сводный годовой график'!$C$10:$AR$10)))</f>
        <v>0</v>
      </c>
      <c r="H54" s="28">
        <f ca="1">IF(AND(INDEX('Сводный годовой график'!$C$1:$AR$4,MATCH($C$54,'Сводный годовой график'!$B$1:$B$4),MATCH(DATE($AV$1,MONTH($B$54),H$3),'Сводный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график'!$B$1:$B$4),MATCH(DATE($AV$1,MONTH($B$54),H$3),'Сводный годовой график'!$C$10:$AR$10)))</f>
        <v>4</v>
      </c>
      <c r="I54" s="28">
        <f ca="1">IF(AND(INDEX('Сводный годовой график'!$C$1:$AR$4,MATCH($C$54,'Сводный годовой график'!$B$1:$B$4),MATCH(DATE($AV$1,MONTH($B$54),I$3),'Сводный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график'!$B$1:$B$4),MATCH(DATE($AV$1,MONTH($B$54),I$3),'Сводный годовой график'!$C$10:$AR$10)))</f>
        <v>8</v>
      </c>
      <c r="J54" s="28">
        <f ca="1">IF(AND(INDEX('Сводный годовой график'!$C$1:$AR$4,MATCH($C$54,'Сводный годовой график'!$B$1:$B$4),MATCH(DATE($AV$1,MONTH($B$54),J$3),'Сводный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график'!$B$1:$B$4),MATCH(DATE($AV$1,MONTH($B$54),J$3),'Сводный годовой график'!$C$10:$AR$10)))</f>
        <v>12</v>
      </c>
      <c r="K54" s="28">
        <f ca="1">IF(AND(INDEX('Сводный годовой график'!$C$1:$AR$4,MATCH($C$54,'Сводный годовой график'!$B$1:$B$4),MATCH(DATE($AV$1,MONTH($B$54),K$3),'Сводный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график'!$B$1:$B$4),MATCH(DATE($AV$1,MONTH($B$54),K$3),'Сводный годовой график'!$C$10:$AR$10)))</f>
        <v>4</v>
      </c>
      <c r="L54" s="28">
        <f ca="1">IF(AND(INDEX('Сводный годовой график'!$C$1:$AR$4,MATCH($C$54,'Сводный годовой график'!$B$1:$B$4),MATCH(DATE($AV$1,MONTH($B$54),L$3),'Сводный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график'!$B$1:$B$4),MATCH(DATE($AV$1,MONTH($B$54),L$3),'Сводный годовой график'!$C$10:$AR$10)))</f>
        <v>8</v>
      </c>
      <c r="M54" s="28">
        <f ca="1">IF(AND(INDEX('Сводный годовой график'!$C$1:$AR$4,MATCH($C$54,'Сводный годовой график'!$B$1:$B$4),MATCH(DATE($AV$1,MONTH($B$54),M$3),'Сводный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график'!$B$1:$B$4),MATCH(DATE($AV$1,MONTH($B$54),M$3),'Сводный годовой график'!$C$10:$AR$10)))</f>
        <v>12</v>
      </c>
      <c r="N54" s="28">
        <f ca="1">IF(AND(INDEX('Сводный годовой график'!$C$1:$AR$4,MATCH($C$54,'Сводный годовой график'!$B$1:$B$4),MATCH(DATE($AV$1,MONTH($B$54),N$3),'Сводный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график'!$B$1:$B$4),MATCH(DATE($AV$1,MONTH($B$54),N$3),'Сводный годовой график'!$C$10:$AR$10)))</f>
        <v>0</v>
      </c>
      <c r="O54" s="28">
        <f ca="1">IF(AND(INDEX('Сводный годовой график'!$C$1:$AR$4,MATCH($C$54,'Сводный годовой график'!$B$1:$B$4),MATCH(DATE($AV$1,MONTH($B$54),O$3),'Сводный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график'!$B$1:$B$4),MATCH(DATE($AV$1,MONTH($B$54),O$3),'Сводный годовой график'!$C$10:$AR$10)))</f>
        <v>0</v>
      </c>
      <c r="P54" s="28">
        <f ca="1">IF(AND(INDEX('Сводный годовой график'!$C$1:$AR$4,MATCH($C$54,'Сводный годовой график'!$B$1:$B$4),MATCH(DATE($AV$1,MONTH($B$54),P$3),'Сводный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график'!$B$1:$B$4),MATCH(DATE($AV$1,MONTH($B$54),P$3),'Сводный годовой график'!$C$10:$AR$10)))</f>
        <v>4</v>
      </c>
      <c r="Q54" s="28">
        <f ca="1">IF(AND(INDEX('Сводный годовой график'!$C$1:$AR$4,MATCH($C$54,'Сводный годовой график'!$B$1:$B$4),MATCH(DATE($AV$1,MONTH($B$54),Q$3),'Сводный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график'!$B$1:$B$4),MATCH(DATE($AV$1,MONTH($B$54),Q$3),'Сводный годовой график'!$C$10:$AR$10)))</f>
        <v>8</v>
      </c>
      <c r="R54" s="28">
        <f ca="1">IF(AND(INDEX('Сводный годовой график'!$C$1:$AR$4,MATCH($C$54,'Сводный годовой график'!$B$1:$B$4),MATCH(DATE($AV$1,MONTH($B$54),R$3),'Сводный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график'!$B$1:$B$4),MATCH(DATE($AV$1,MONTH($B$54),R$3),'Сводный годовой график'!$C$10:$AR$10)))</f>
        <v>12</v>
      </c>
      <c r="S54" s="28">
        <f ca="1">IF(AND(INDEX('Сводный годовой график'!$C$1:$AR$4,MATCH($C$54,'Сводный годовой график'!$B$1:$B$4),MATCH(DATE($AV$1,MONTH($B$54),S$3),'Сводный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график'!$B$1:$B$4),MATCH(DATE($AV$1,MONTH($B$54),S$3),'Сводный годовой график'!$C$10:$AR$10)))</f>
        <v>4</v>
      </c>
      <c r="T54" s="28">
        <f ca="1">IF(AND(INDEX('Сводный годовой график'!$C$1:$AR$4,MATCH($C$54,'Сводный годовой график'!$B$1:$B$4),MATCH(DATE($AV$1,MONTH($B$54),T$3),'Сводный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график'!$B$1:$B$4),MATCH(DATE($AV$1,MONTH($B$54),T$3),'Сводный годовой график'!$C$10:$AR$10)))</f>
        <v>8</v>
      </c>
      <c r="U54" s="28">
        <f ca="1">IF(AND(INDEX('Сводный годовой график'!$C$1:$AR$4,MATCH($C$54,'Сводный годовой график'!$B$1:$B$4),MATCH(DATE($AV$1,MONTH($B$54),U$3),'Сводный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график'!$B$1:$B$4),MATCH(DATE($AV$1,MONTH($B$54),U$3),'Сводный годовой график'!$C$10:$AR$10)))</f>
        <v>12</v>
      </c>
      <c r="V54" s="28">
        <f ca="1">IF(AND(INDEX('Сводный годовой график'!$C$1:$AR$4,MATCH($C$54,'Сводный годовой график'!$B$1:$B$4),MATCH(DATE($AV$1,MONTH($B$54),V$3),'Сводный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график'!$B$1:$B$4),MATCH(DATE($AV$1,MONTH($B$54),V$3),'Сводный годовой график'!$C$10:$AR$10)))</f>
        <v>0</v>
      </c>
      <c r="W54" s="28">
        <f ca="1">IF(AND(INDEX('Сводный годовой график'!$C$1:$AR$4,MATCH($C$54,'Сводный годовой график'!$B$1:$B$4),MATCH(DATE($AV$1,MONTH($B$54),W$3),'Сводный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график'!$B$1:$B$4),MATCH(DATE($AV$1,MONTH($B$54),W$3),'Сводный годовой график'!$C$10:$AR$10)))</f>
        <v>0</v>
      </c>
      <c r="X54" s="28">
        <f ca="1">IF(AND(INDEX('Сводный годовой график'!$C$1:$AR$4,MATCH($C$54,'Сводный годовой график'!$B$1:$B$4),MATCH(DATE($AV$1,MONTH($B$54),X$3),'Сводный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график'!$B$1:$B$4),MATCH(DATE($AV$1,MONTH($B$54),X$3),'Сводный годовой график'!$C$10:$AR$10)))</f>
        <v>4</v>
      </c>
      <c r="Y54" s="28">
        <f ca="1">IF(AND(INDEX('Сводный годовой график'!$C$1:$AR$4,MATCH($C$54,'Сводный годовой график'!$B$1:$B$4),MATCH(DATE($AV$1,MONTH($B$54),Y$3),'Сводный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график'!$B$1:$B$4),MATCH(DATE($AV$1,MONTH($B$54),Y$3),'Сводный годовой график'!$C$10:$AR$10)))</f>
        <v>8</v>
      </c>
      <c r="Z54" s="28">
        <f ca="1">IF(AND(INDEX('Сводный годовой график'!$C$1:$AR$4,MATCH($C$54,'Сводный годовой график'!$B$1:$B$4),MATCH(DATE($AV$1,MONTH($B$54),Z$3),'Сводный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график'!$B$1:$B$4),MATCH(DATE($AV$1,MONTH($B$54),Z$3),'Сводный годовой график'!$C$10:$AR$10)))</f>
        <v>12</v>
      </c>
      <c r="AA54" s="28">
        <f ca="1">IF(AND(INDEX('Сводный годовой график'!$C$1:$AR$4,MATCH($C$54,'Сводный годовой график'!$B$1:$B$4),MATCH(DATE($AV$1,MONTH($B$54),AA$3),'Сводный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график'!$B$1:$B$4),MATCH(DATE($AV$1,MONTH($B$54),AA$3),'Сводный годовой график'!$C$10:$AR$10)))</f>
        <v>4</v>
      </c>
      <c r="AB54" s="28">
        <f ca="1">IF(AND(INDEX('Сводный годовой график'!$C$1:$AR$4,MATCH($C$54,'Сводный годовой график'!$B$1:$B$4),MATCH(DATE($AV$1,MONTH($B$54),AB$3),'Сводный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график'!$B$1:$B$4),MATCH(DATE($AV$1,MONTH($B$54),AB$3),'Сводный годовой график'!$C$10:$AR$10)))</f>
        <v>8</v>
      </c>
      <c r="AC54" s="28">
        <f ca="1">IF(AND(INDEX('Сводный годовой график'!$C$1:$AR$4,MATCH($C$54,'Сводный годовой график'!$B$1:$B$4),MATCH(DATE($AV$1,MONTH($B$54),AC$3),'Сводный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график'!$B$1:$B$4),MATCH(DATE($AV$1,MONTH($B$54),AC$3),'Сводный годовой график'!$C$10:$AR$10)))</f>
        <v>12</v>
      </c>
      <c r="AD54" s="28">
        <f ca="1">IF(AND(INDEX('Сводный годовой график'!$C$1:$AR$4,MATCH($C$54,'Сводный годовой график'!$B$1:$B$4),MATCH(DATE($AV$1,MONTH($B$54),AD$3),'Сводный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график'!$B$1:$B$4),MATCH(DATE($AV$1,MONTH($B$54),AD$3),'Сводный годовой график'!$C$10:$AR$10)))</f>
        <v>0</v>
      </c>
      <c r="AE54" s="28">
        <f ca="1">IF(AND(INDEX('Сводный годовой график'!$C$1:$AR$4,MATCH($C$54,'Сводный годовой график'!$B$1:$B$4),MATCH(DATE($AV$1,MONTH($B$54),AE$3),'Сводный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график'!$B$1:$B$4),MATCH(DATE($AV$1,MONTH($B$54),AE$3),'Сводный годовой график'!$C$10:$AR$10)))</f>
        <v>0</v>
      </c>
      <c r="AF54" s="28">
        <f ca="1">IF(AND(INDEX('Сводный годовой график'!$C$1:$AR$4,MATCH($C$54,'Сводный годовой график'!$B$1:$B$4),MATCH(DATE($AV$1,MONTH($B$54),AF$3),'Сводный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график'!$B$1:$B$4),MATCH(DATE($AV$1,MONTH($B$54),AF$3),'Сводный годовой график'!$C$10:$AR$10)))</f>
        <v>4</v>
      </c>
      <c r="AG54" s="28">
        <f ca="1">IF(AND(INDEX('Сводный годовой график'!$C$1:$AR$4,MATCH($C$54,'Сводный годовой график'!$B$1:$B$4),MATCH(DATE($AV$1,MONTH($B$54),AG$3),'Сводный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график'!$B$1:$B$4),MATCH(DATE($AV$1,MONTH($B$54),AG$3),'Сводный годовой график'!$C$10:$AR$10)))</f>
        <v>8</v>
      </c>
      <c r="AH54" s="28">
        <f ca="1">IF(AND(INDEX('Сводный годовой график'!$C$1:$AR$4,MATCH($C$54,'Сводный годовой график'!$B$1:$B$4),MATCH(DATE($AV$1,MONTH($B$54),AH$3),'Сводный годовой график'!$C$10:$AR$10))&lt;&gt;12,INDIRECT(ADDRESS(ROW()+1,COLUMN()))="СП"),8,INDEX('Сводный годовой график'!$C$1:$AR$4,MATCH($C$54,'Сводный годовой график'!$B$1:$B$4),MATCH(DATE($AV$1,MONTH($B$54),AH$3),'Сводный годовой график'!$C$10:$AR$10)))</f>
        <v>12</v>
      </c>
      <c r="AI54" s="109"/>
      <c r="AJ54" s="205">
        <f>INDEX(Подключения!$D$3:$H$14,MONTH(B54),5)</f>
        <v>151</v>
      </c>
      <c r="AK54" s="203">
        <f>$AJ$54-SUM(AY54:CC55)</f>
        <v>151</v>
      </c>
      <c r="AL54" s="203">
        <f t="shared" ref="AL54" ca="1" si="93">SUM(E54:AI55)</f>
        <v>180</v>
      </c>
      <c r="AM54" s="203">
        <f ca="1">SUM(P54)</f>
        <v>4</v>
      </c>
      <c r="AN54" s="208">
        <f t="shared" ref="AN54" ca="1" si="94">-AM54-AK54+AL54</f>
        <v>25</v>
      </c>
      <c r="AO54" s="208">
        <v>0</v>
      </c>
      <c r="AP54" s="208">
        <f ca="1">AN54+AP44-AO54</f>
        <v>61</v>
      </c>
      <c r="AQ54" s="203">
        <v>0</v>
      </c>
      <c r="AR54" s="204">
        <v>1</v>
      </c>
      <c r="CK54" s="59"/>
      <c r="CL54" s="59"/>
      <c r="CM54" s="59"/>
      <c r="CN54" s="59"/>
      <c r="CO54" s="59"/>
      <c r="CP54" s="59"/>
      <c r="CQ54" s="59"/>
      <c r="CR54" s="59"/>
      <c r="CS54" s="59"/>
      <c r="CT54" s="59"/>
      <c r="CU54" s="59"/>
      <c r="CV54" s="59"/>
      <c r="CW54" s="59"/>
      <c r="CX54" s="59"/>
      <c r="CY54" s="59"/>
      <c r="CZ54" s="59"/>
      <c r="DA54" s="59"/>
      <c r="DB54" s="59"/>
      <c r="DC54" s="59"/>
      <c r="DD54" s="59"/>
      <c r="DE54" s="59"/>
      <c r="DF54" s="59"/>
      <c r="DG54" s="59"/>
      <c r="DH54" s="59"/>
      <c r="DI54" s="59"/>
      <c r="DJ54" s="59"/>
      <c r="DK54" s="59"/>
      <c r="DL54" s="59"/>
      <c r="DM54" s="59"/>
      <c r="DN54" s="59"/>
      <c r="DO54" s="59"/>
    </row>
    <row r="55" spans="2:119" ht="16.5" thickBot="1" x14ac:dyDescent="0.3">
      <c r="B55" s="201"/>
      <c r="C55" s="197"/>
      <c r="D55" s="82">
        <v>2</v>
      </c>
      <c r="E55" s="92" t="str">
        <f t="shared" ref="E55:AH55" si="95">IF(INDEX($CK$4:$DO$123,ROW()-3,E$3)=0,"","СП")</f>
        <v/>
      </c>
      <c r="F55" s="92" t="str">
        <f t="shared" si="95"/>
        <v/>
      </c>
      <c r="G55" s="92" t="str">
        <f t="shared" si="95"/>
        <v/>
      </c>
      <c r="H55" s="92" t="str">
        <f t="shared" si="95"/>
        <v/>
      </c>
      <c r="I55" s="92" t="str">
        <f t="shared" si="95"/>
        <v/>
      </c>
      <c r="J55" s="92" t="str">
        <f t="shared" si="95"/>
        <v>СП</v>
      </c>
      <c r="K55" s="92" t="str">
        <f t="shared" si="95"/>
        <v/>
      </c>
      <c r="L55" s="92" t="str">
        <f t="shared" si="95"/>
        <v/>
      </c>
      <c r="M55" s="92" t="str">
        <f t="shared" si="95"/>
        <v/>
      </c>
      <c r="N55" s="92" t="str">
        <f t="shared" si="95"/>
        <v/>
      </c>
      <c r="O55" s="92" t="str">
        <f t="shared" si="95"/>
        <v/>
      </c>
      <c r="P55" s="92" t="str">
        <f t="shared" si="95"/>
        <v/>
      </c>
      <c r="Q55" s="92" t="str">
        <f t="shared" si="95"/>
        <v/>
      </c>
      <c r="R55" s="92" t="str">
        <f t="shared" si="95"/>
        <v/>
      </c>
      <c r="S55" s="92" t="str">
        <f t="shared" si="95"/>
        <v/>
      </c>
      <c r="T55" s="92" t="str">
        <f t="shared" si="95"/>
        <v/>
      </c>
      <c r="U55" s="92" t="str">
        <f t="shared" si="95"/>
        <v/>
      </c>
      <c r="V55" s="92" t="str">
        <f t="shared" si="95"/>
        <v/>
      </c>
      <c r="W55" s="92" t="str">
        <f t="shared" si="95"/>
        <v/>
      </c>
      <c r="X55" s="92" t="str">
        <f t="shared" si="95"/>
        <v/>
      </c>
      <c r="Y55" s="92" t="str">
        <f t="shared" si="95"/>
        <v/>
      </c>
      <c r="Z55" s="92" t="str">
        <f t="shared" si="95"/>
        <v/>
      </c>
      <c r="AA55" s="92" t="str">
        <f t="shared" si="95"/>
        <v/>
      </c>
      <c r="AB55" s="92" t="str">
        <f t="shared" si="95"/>
        <v/>
      </c>
      <c r="AC55" s="92" t="str">
        <f t="shared" si="95"/>
        <v/>
      </c>
      <c r="AD55" s="92" t="str">
        <f t="shared" si="95"/>
        <v/>
      </c>
      <c r="AE55" s="92" t="str">
        <f t="shared" si="95"/>
        <v/>
      </c>
      <c r="AF55" s="92" t="str">
        <f t="shared" si="95"/>
        <v/>
      </c>
      <c r="AG55" s="92" t="str">
        <f t="shared" si="95"/>
        <v/>
      </c>
      <c r="AH55" s="92" t="str">
        <f t="shared" si="95"/>
        <v/>
      </c>
      <c r="AI55" s="110"/>
      <c r="AJ55" s="206"/>
      <c r="AK55" s="177"/>
      <c r="AL55" s="177"/>
      <c r="AM55" s="177"/>
      <c r="AN55" s="198"/>
      <c r="AO55" s="198"/>
      <c r="AP55" s="198"/>
      <c r="AQ55" s="177"/>
      <c r="AR55" s="179"/>
      <c r="CK55" s="58">
        <f>IF(DAY(INDEX('Сводный годовой график'!$BA$4:$BL$14,$C54,MONTH($B$54)))=E$3,1,0)</f>
        <v>0</v>
      </c>
      <c r="CL55" s="58">
        <f>IF(DAY(INDEX('Сводный годовой график'!$BA$4:$BL$14,$C54,MONTH($B$54)))=F$3,1,0)</f>
        <v>0</v>
      </c>
      <c r="CM55" s="58">
        <f>IF(DAY(INDEX('Сводный годовой график'!$BA$4:$BL$14,$C54,MONTH($B$54)))=G$3,1,0)</f>
        <v>0</v>
      </c>
      <c r="CN55" s="58">
        <f>IF(DAY(INDEX('Сводный годовой график'!$BA$4:$BL$14,$C54,MONTH($B$54)))=H$3,1,0)</f>
        <v>0</v>
      </c>
      <c r="CO55" s="58">
        <f>IF(DAY(INDEX('Сводный годовой график'!$BA$4:$BL$14,$C54,MONTH($B$54)))=I$3,1,0)</f>
        <v>0</v>
      </c>
      <c r="CP55" s="58">
        <f>IF(DAY(INDEX('Сводный годовой график'!$BA$4:$BL$14,$C54,MONTH($B$54)))=J$3,1,0)</f>
        <v>1</v>
      </c>
      <c r="CQ55" s="58">
        <f>IF(DAY(INDEX('Сводный годовой график'!$BA$4:$BL$14,$C54,MONTH($B$54)))=K$3,1,0)</f>
        <v>0</v>
      </c>
      <c r="CR55" s="58">
        <f>IF(DAY(INDEX('Сводный годовой график'!$BA$4:$BL$14,$C54,MONTH($B$54)))=L$3,1,0)</f>
        <v>0</v>
      </c>
      <c r="CS55" s="58">
        <f>IF(DAY(INDEX('Сводный годовой график'!$BA$4:$BL$14,$C54,MONTH($B$54)))=M$3,1,0)</f>
        <v>0</v>
      </c>
      <c r="CT55" s="58">
        <f>IF(DAY(INDEX('Сводный годовой график'!$BA$4:$BL$14,$C54,MONTH($B$54)))=N$3,1,0)</f>
        <v>0</v>
      </c>
      <c r="CU55" s="58">
        <f>IF(DAY(INDEX('Сводный годовой график'!$BA$4:$BL$14,$C54,MONTH($B$54)))=O$3,1,0)</f>
        <v>0</v>
      </c>
      <c r="CV55" s="58">
        <f>IF(DAY(INDEX('Сводный годовой график'!$BA$4:$BL$14,$C54,MONTH($B$54)))=P$3,1,0)</f>
        <v>0</v>
      </c>
      <c r="CW55" s="58">
        <f>IF(DAY(INDEX('Сводный годовой график'!$BA$4:$BL$14,$C54,MONTH($B$54)))=Q$3,1,0)</f>
        <v>0</v>
      </c>
      <c r="CX55" s="58">
        <f>IF(DAY(INDEX('Сводный годовой график'!$BA$4:$BL$14,$C54,MONTH($B$54)))=R$3,1,0)</f>
        <v>0</v>
      </c>
      <c r="CY55" s="58">
        <f>IF(DAY(INDEX('Сводный годовой график'!$BA$4:$BL$14,$C54,MONTH($B$54)))=S$3,1,0)</f>
        <v>0</v>
      </c>
      <c r="CZ55" s="58">
        <f>IF(DAY(INDEX('Сводный годовой график'!$BA$4:$BL$14,$C54,MONTH($B$54)))=T$3,1,0)</f>
        <v>0</v>
      </c>
      <c r="DA55" s="58">
        <f>IF(DAY(INDEX('Сводный годовой график'!$BA$4:$BL$14,$C54,MONTH($B$54)))=U$3,1,0)</f>
        <v>0</v>
      </c>
      <c r="DB55" s="58">
        <f>IF(DAY(INDEX('Сводный годовой график'!$BA$4:$BL$14,$C54,MONTH($B$54)))=V$3,1,0)</f>
        <v>0</v>
      </c>
      <c r="DC55" s="58">
        <f>IF(DAY(INDEX('Сводный годовой график'!$BA$4:$BL$14,$C54,MONTH($B$54)))=W$3,1,0)</f>
        <v>0</v>
      </c>
      <c r="DD55" s="58">
        <f>IF(DAY(INDEX('Сводный годовой график'!$BA$4:$BL$14,$C54,MONTH($B$54)))=X$3,1,0)</f>
        <v>0</v>
      </c>
      <c r="DE55" s="58">
        <f>IF(DAY(INDEX('Сводный годовой график'!$BA$4:$BL$14,$C54,MONTH($B$54)))=Y$3,1,0)</f>
        <v>0</v>
      </c>
      <c r="DF55" s="58">
        <f>IF(DAY(INDEX('Сводный годовой график'!$BA$4:$BL$14,$C54,MONTH($B$54)))=Z$3,1,0)</f>
        <v>0</v>
      </c>
      <c r="DG55" s="58">
        <f>IF(DAY(INDEX('Сводный годовой график'!$BA$4:$BL$14,$C54,MONTH($B$54)))=AA$3,1,0)</f>
        <v>0</v>
      </c>
      <c r="DH55" s="58">
        <f>IF(DAY(INDEX('Сводный годовой график'!$BA$4:$BL$14,$C54,MONTH($B$54)))=AB$3,1,0)</f>
        <v>0</v>
      </c>
      <c r="DI55" s="58">
        <f>IF(DAY(INDEX('Сводный годовой график'!$BA$4:$BL$14,$C54,MONTH($B$54)))=AC$3,1,0)</f>
        <v>0</v>
      </c>
      <c r="DJ55" s="58">
        <f>IF(DAY(INDEX('Сводный годовой график'!$BA$4:$BL$14,$C54,MONTH($B$54)))=AD$3,1,0)</f>
        <v>0</v>
      </c>
      <c r="DK55" s="58">
        <f>IF(DAY(INDEX('Сводный годовой график'!$BA$4:$BL$14,$C54,MONTH($B$54)))=AE$3,1,0)</f>
        <v>0</v>
      </c>
      <c r="DL55" s="58">
        <f>IF(DAY(INDEX('Сводный годовой график'!$BA$4:$BL$14,$C54,MONTH($B$54)))=AF$3,1,0)</f>
        <v>0</v>
      </c>
      <c r="DM55" s="58">
        <f>IF(DAY(INDEX('Сводный годовой график'!$BA$4:$BL$14,$C54,MONTH($B$54)))=AG$3,1,0)</f>
        <v>0</v>
      </c>
      <c r="DN55" s="58">
        <f>IF(DAY(INDEX('Сводный годовой график'!$BA$4:$BL$14,$C54,MONTH($B$54)))=AH$3,1,0)</f>
        <v>0</v>
      </c>
      <c r="DO55" s="58">
        <f>IF(DAY(INDEX('Сводный годовой график'!$BA$4:$BL$14,$C54,MONTH($B$54)))=AI$3,1,0)</f>
        <v>0</v>
      </c>
    </row>
    <row r="56" spans="2:119" ht="16.5" thickBot="1" x14ac:dyDescent="0.3">
      <c r="B56" s="201"/>
      <c r="C56" s="196">
        <v>2</v>
      </c>
      <c r="D56" s="81">
        <v>3</v>
      </c>
      <c r="E56" s="92">
        <f ca="1">IF(AND(INDEX('Сводный годовой график'!$C$1:$AR$4,MATCH($C$56,'Сводный годовой график'!$B$1:$B$4),MATCH(DATE($AV$1,MONTH($B$54),E$3),'Сводный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график'!$B$1:$B$4),MATCH(DATE($AV$1,MONTH($B$54),E$3),'Сводный годовой график'!$C$10:$AR$10)))</f>
        <v>0</v>
      </c>
      <c r="F56" s="92">
        <f ca="1">IF(AND(INDEX('Сводный годовой график'!$C$1:$AR$4,MATCH($C$56,'Сводный годовой график'!$B$1:$B$4),MATCH(DATE($AV$1,MONTH($B$54),F$3),'Сводный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график'!$B$1:$B$4),MATCH(DATE($AV$1,MONTH($B$54),F$3),'Сводный годовой график'!$C$10:$AR$10)))</f>
        <v>4</v>
      </c>
      <c r="G56" s="92">
        <f ca="1">IF(AND(INDEX('Сводный годовой график'!$C$1:$AR$4,MATCH($C$56,'Сводный годовой график'!$B$1:$B$4),MATCH(DATE($AV$1,MONTH($B$54),G$3),'Сводный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график'!$B$1:$B$4),MATCH(DATE($AV$1,MONTH($B$54),G$3),'Сводный годовой график'!$C$10:$AR$10)))</f>
        <v>8</v>
      </c>
      <c r="H56" s="92">
        <f ca="1">IF(AND(INDEX('Сводный годовой график'!$C$1:$AR$4,MATCH($C$56,'Сводный годовой график'!$B$1:$B$4),MATCH(DATE($AV$1,MONTH($B$54),H$3),'Сводный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график'!$B$1:$B$4),MATCH(DATE($AV$1,MONTH($B$54),H$3),'Сводный годовой график'!$C$10:$AR$10)))</f>
        <v>12</v>
      </c>
      <c r="I56" s="92">
        <f ca="1">IF(AND(INDEX('Сводный годовой график'!$C$1:$AR$4,MATCH($C$56,'Сводный годовой график'!$B$1:$B$4),MATCH(DATE($AV$1,MONTH($B$54),I$3),'Сводный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график'!$B$1:$B$4),MATCH(DATE($AV$1,MONTH($B$54),I$3),'Сводный годовой график'!$C$10:$AR$10)))</f>
        <v>4</v>
      </c>
      <c r="J56" s="92">
        <f ca="1">IF(AND(INDEX('Сводный годовой график'!$C$1:$AR$4,MATCH($C$56,'Сводный годовой график'!$B$1:$B$4),MATCH(DATE($AV$1,MONTH($B$54),J$3),'Сводный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график'!$B$1:$B$4),MATCH(DATE($AV$1,MONTH($B$54),J$3),'Сводный годовой график'!$C$10:$AR$10)))</f>
        <v>8</v>
      </c>
      <c r="K56" s="92">
        <f ca="1">IF(AND(INDEX('Сводный годовой график'!$C$1:$AR$4,MATCH($C$56,'Сводный годовой график'!$B$1:$B$4),MATCH(DATE($AV$1,MONTH($B$54),K$3),'Сводный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график'!$B$1:$B$4),MATCH(DATE($AV$1,MONTH($B$54),K$3),'Сводный годовой график'!$C$10:$AR$10)))</f>
        <v>12</v>
      </c>
      <c r="L56" s="92">
        <f ca="1">IF(AND(INDEX('Сводный годовой график'!$C$1:$AR$4,MATCH($C$56,'Сводный годовой график'!$B$1:$B$4),MATCH(DATE($AV$1,MONTH($B$54),L$3),'Сводный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график'!$B$1:$B$4),MATCH(DATE($AV$1,MONTH($B$54),L$3),'Сводный годовой график'!$C$10:$AR$10)))</f>
        <v>0</v>
      </c>
      <c r="M56" s="92">
        <f ca="1">IF(AND(INDEX('Сводный годовой график'!$C$1:$AR$4,MATCH($C$56,'Сводный годовой график'!$B$1:$B$4),MATCH(DATE($AV$1,MONTH($B$54),M$3),'Сводный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график'!$B$1:$B$4),MATCH(DATE($AV$1,MONTH($B$54),M$3),'Сводный годовой график'!$C$10:$AR$10)))</f>
        <v>0</v>
      </c>
      <c r="N56" s="92">
        <f ca="1">IF(AND(INDEX('Сводный годовой график'!$C$1:$AR$4,MATCH($C$56,'Сводный годовой график'!$B$1:$B$4),MATCH(DATE($AV$1,MONTH($B$54),N$3),'Сводный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график'!$B$1:$B$4),MATCH(DATE($AV$1,MONTH($B$54),N$3),'Сводный годовой график'!$C$10:$AR$10)))</f>
        <v>4</v>
      </c>
      <c r="O56" s="92">
        <f ca="1">IF(AND(INDEX('Сводный годовой график'!$C$1:$AR$4,MATCH($C$56,'Сводный годовой график'!$B$1:$B$4),MATCH(DATE($AV$1,MONTH($B$54),O$3),'Сводный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график'!$B$1:$B$4),MATCH(DATE($AV$1,MONTH($B$54),O$3),'Сводный годовой график'!$C$10:$AR$10)))</f>
        <v>8</v>
      </c>
      <c r="P56" s="92">
        <f ca="1">IF(AND(INDEX('Сводный годовой график'!$C$1:$AR$4,MATCH($C$56,'Сводный годовой график'!$B$1:$B$4),MATCH(DATE($AV$1,MONTH($B$54),P$3),'Сводный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график'!$B$1:$B$4),MATCH(DATE($AV$1,MONTH($B$54),P$3),'Сводный годовой график'!$C$10:$AR$10)))</f>
        <v>12</v>
      </c>
      <c r="Q56" s="92">
        <f ca="1">IF(AND(INDEX('Сводный годовой график'!$C$1:$AR$4,MATCH($C$56,'Сводный годовой график'!$B$1:$B$4),MATCH(DATE($AV$1,MONTH($B$54),Q$3),'Сводный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график'!$B$1:$B$4),MATCH(DATE($AV$1,MONTH($B$54),Q$3),'Сводный годовой график'!$C$10:$AR$10)))</f>
        <v>4</v>
      </c>
      <c r="R56" s="92">
        <f ca="1">IF(AND(INDEX('Сводный годовой график'!$C$1:$AR$4,MATCH($C$56,'Сводный годовой график'!$B$1:$B$4),MATCH(DATE($AV$1,MONTH($B$54),R$3),'Сводный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график'!$B$1:$B$4),MATCH(DATE($AV$1,MONTH($B$54),R$3),'Сводный годовой график'!$C$10:$AR$10)))</f>
        <v>8</v>
      </c>
      <c r="S56" s="92">
        <f ca="1">IF(AND(INDEX('Сводный годовой график'!$C$1:$AR$4,MATCH($C$56,'Сводный годовой график'!$B$1:$B$4),MATCH(DATE($AV$1,MONTH($B$54),S$3),'Сводный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график'!$B$1:$B$4),MATCH(DATE($AV$1,MONTH($B$54),S$3),'Сводный годовой график'!$C$10:$AR$10)))</f>
        <v>12</v>
      </c>
      <c r="T56" s="92">
        <f ca="1">IF(AND(INDEX('Сводный годовой график'!$C$1:$AR$4,MATCH($C$56,'Сводный годовой график'!$B$1:$B$4),MATCH(DATE($AV$1,MONTH($B$54),T$3),'Сводный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график'!$B$1:$B$4),MATCH(DATE($AV$1,MONTH($B$54),T$3),'Сводный годовой график'!$C$10:$AR$10)))</f>
        <v>0</v>
      </c>
      <c r="U56" s="92">
        <f ca="1">IF(AND(INDEX('Сводный годовой график'!$C$1:$AR$4,MATCH($C$56,'Сводный годовой график'!$B$1:$B$4),MATCH(DATE($AV$1,MONTH($B$54),U$3),'Сводный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график'!$B$1:$B$4),MATCH(DATE($AV$1,MONTH($B$54),U$3),'Сводный годовой график'!$C$10:$AR$10)))</f>
        <v>0</v>
      </c>
      <c r="V56" s="92">
        <f ca="1">IF(AND(INDEX('Сводный годовой график'!$C$1:$AR$4,MATCH($C$56,'Сводный годовой график'!$B$1:$B$4),MATCH(DATE($AV$1,MONTH($B$54),V$3),'Сводный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график'!$B$1:$B$4),MATCH(DATE($AV$1,MONTH($B$54),V$3),'Сводный годовой график'!$C$10:$AR$10)))</f>
        <v>4</v>
      </c>
      <c r="W56" s="92">
        <f ca="1">IF(AND(INDEX('Сводный годовой график'!$C$1:$AR$4,MATCH($C$56,'Сводный годовой график'!$B$1:$B$4),MATCH(DATE($AV$1,MONTH($B$54),W$3),'Сводный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график'!$B$1:$B$4),MATCH(DATE($AV$1,MONTH($B$54),W$3),'Сводный годовой график'!$C$10:$AR$10)))</f>
        <v>8</v>
      </c>
      <c r="X56" s="92">
        <f ca="1">IF(AND(INDEX('Сводный годовой график'!$C$1:$AR$4,MATCH($C$56,'Сводный годовой график'!$B$1:$B$4),MATCH(DATE($AV$1,MONTH($B$54),X$3),'Сводный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график'!$B$1:$B$4),MATCH(DATE($AV$1,MONTH($B$54),X$3),'Сводный годовой график'!$C$10:$AR$10)))</f>
        <v>12</v>
      </c>
      <c r="Y56" s="92">
        <f ca="1">IF(AND(INDEX('Сводный годовой график'!$C$1:$AR$4,MATCH($C$56,'Сводный годовой график'!$B$1:$B$4),MATCH(DATE($AV$1,MONTH($B$54),Y$3),'Сводный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график'!$B$1:$B$4),MATCH(DATE($AV$1,MONTH($B$54),Y$3),'Сводный годовой график'!$C$10:$AR$10)))</f>
        <v>4</v>
      </c>
      <c r="Z56" s="92">
        <f ca="1">IF(AND(INDEX('Сводный годовой график'!$C$1:$AR$4,MATCH($C$56,'Сводный годовой график'!$B$1:$B$4),MATCH(DATE($AV$1,MONTH($B$54),Z$3),'Сводный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график'!$B$1:$B$4),MATCH(DATE($AV$1,MONTH($B$54),Z$3),'Сводный годовой график'!$C$10:$AR$10)))</f>
        <v>8</v>
      </c>
      <c r="AA56" s="92">
        <f ca="1">IF(AND(INDEX('Сводный годовой график'!$C$1:$AR$4,MATCH($C$56,'Сводный годовой график'!$B$1:$B$4),MATCH(DATE($AV$1,MONTH($B$54),AA$3),'Сводный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график'!$B$1:$B$4),MATCH(DATE($AV$1,MONTH($B$54),AA$3),'Сводный годовой график'!$C$10:$AR$10)))</f>
        <v>12</v>
      </c>
      <c r="AB56" s="92">
        <f ca="1">IF(AND(INDEX('Сводный годовой график'!$C$1:$AR$4,MATCH($C$56,'Сводный годовой график'!$B$1:$B$4),MATCH(DATE($AV$1,MONTH($B$54),AB$3),'Сводный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график'!$B$1:$B$4),MATCH(DATE($AV$1,MONTH($B$54),AB$3),'Сводный годовой график'!$C$10:$AR$10)))</f>
        <v>0</v>
      </c>
      <c r="AC56" s="92">
        <f ca="1">IF(AND(INDEX('Сводный годовой график'!$C$1:$AR$4,MATCH($C$56,'Сводный годовой график'!$B$1:$B$4),MATCH(DATE($AV$1,MONTH($B$54),AC$3),'Сводный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график'!$B$1:$B$4),MATCH(DATE($AV$1,MONTH($B$54),AC$3),'Сводный годовой график'!$C$10:$AR$10)))</f>
        <v>0</v>
      </c>
      <c r="AD56" s="92">
        <f ca="1">IF(AND(INDEX('Сводный годовой график'!$C$1:$AR$4,MATCH($C$56,'Сводный годовой график'!$B$1:$B$4),MATCH(DATE($AV$1,MONTH($B$54),AD$3),'Сводный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график'!$B$1:$B$4),MATCH(DATE($AV$1,MONTH($B$54),AD$3),'Сводный годовой график'!$C$10:$AR$10)))</f>
        <v>4</v>
      </c>
      <c r="AE56" s="92">
        <f ca="1">IF(AND(INDEX('Сводный годовой график'!$C$1:$AR$4,MATCH($C$56,'Сводный годовой график'!$B$1:$B$4),MATCH(DATE($AV$1,MONTH($B$54),AE$3),'Сводный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график'!$B$1:$B$4),MATCH(DATE($AV$1,MONTH($B$54),AE$3),'Сводный годовой график'!$C$10:$AR$10)))</f>
        <v>8</v>
      </c>
      <c r="AF56" s="92">
        <f ca="1">IF(AND(INDEX('Сводный годовой график'!$C$1:$AR$4,MATCH($C$56,'Сводный годовой график'!$B$1:$B$4),MATCH(DATE($AV$1,MONTH($B$54),AF$3),'Сводный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график'!$B$1:$B$4),MATCH(DATE($AV$1,MONTH($B$54),AF$3),'Сводный годовой график'!$C$10:$AR$10)))</f>
        <v>12</v>
      </c>
      <c r="AG56" s="92">
        <f ca="1">IF(AND(INDEX('Сводный годовой график'!$C$1:$AR$4,MATCH($C$56,'Сводный годовой график'!$B$1:$B$4),MATCH(DATE($AV$1,MONTH($B$54),AG$3),'Сводный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график'!$B$1:$B$4),MATCH(DATE($AV$1,MONTH($B$54),AG$3),'Сводный годовой график'!$C$10:$AR$10)))</f>
        <v>4</v>
      </c>
      <c r="AH56" s="92">
        <f ca="1">IF(AND(INDEX('Сводный годовой график'!$C$1:$AR$4,MATCH($C$56,'Сводный годовой график'!$B$1:$B$4),MATCH(DATE($AV$1,MONTH($B$54),AH$3),'Сводный годовой график'!$C$10:$AR$10))&lt;&gt;12,INDIRECT(ADDRESS(ROW()+1,COLUMN()))="СП"),8,INDEX('Сводный годовой график'!$C$1:$AR$4,MATCH($C$56,'Сводный годовой график'!$B$1:$B$4),MATCH(DATE($AV$1,MONTH($B$54),AH$3),'Сводный годовой график'!$C$10:$AR$10)))</f>
        <v>8</v>
      </c>
      <c r="AI56" s="110"/>
      <c r="AJ56" s="206"/>
      <c r="AK56" s="177">
        <f>$AJ$54-SUM(AY56:CC57)</f>
        <v>151</v>
      </c>
      <c r="AL56" s="177">
        <f t="shared" ref="AL56" ca="1" si="96">SUM(E56:AI57)</f>
        <v>180</v>
      </c>
      <c r="AM56" s="177">
        <f ca="1">SUM(P56)</f>
        <v>12</v>
      </c>
      <c r="AN56" s="198">
        <f t="shared" ref="AN56" ca="1" si="97">-AM56-AK56+AL56</f>
        <v>17</v>
      </c>
      <c r="AO56" s="198">
        <v>0</v>
      </c>
      <c r="AP56" s="198">
        <f ca="1">AN56+AP46-AO56</f>
        <v>41</v>
      </c>
      <c r="AQ56" s="177">
        <v>0</v>
      </c>
      <c r="AR56" s="179">
        <v>1</v>
      </c>
      <c r="CK56" s="59"/>
      <c r="CL56" s="59"/>
      <c r="CM56" s="59"/>
      <c r="CN56" s="59"/>
      <c r="CO56" s="59"/>
      <c r="CP56" s="59"/>
      <c r="CQ56" s="59"/>
      <c r="CR56" s="59"/>
      <c r="CS56" s="59"/>
      <c r="CT56" s="59"/>
      <c r="CU56" s="59"/>
      <c r="CV56" s="59"/>
      <c r="CW56" s="59"/>
      <c r="CX56" s="59"/>
      <c r="CY56" s="59"/>
      <c r="CZ56" s="59"/>
      <c r="DA56" s="59"/>
      <c r="DB56" s="59"/>
      <c r="DC56" s="59"/>
      <c r="DD56" s="59"/>
      <c r="DE56" s="59"/>
      <c r="DF56" s="59"/>
      <c r="DG56" s="59"/>
      <c r="DH56" s="59"/>
      <c r="DI56" s="59"/>
      <c r="DJ56" s="59"/>
      <c r="DK56" s="59"/>
      <c r="DL56" s="59"/>
      <c r="DM56" s="59"/>
      <c r="DN56" s="59"/>
      <c r="DO56" s="59"/>
    </row>
    <row r="57" spans="2:119" ht="16.5" thickBot="1" x14ac:dyDescent="0.3">
      <c r="B57" s="201"/>
      <c r="C57" s="197"/>
      <c r="D57" s="82">
        <v>4</v>
      </c>
      <c r="E57" s="92" t="str">
        <f t="shared" ref="E57:AH57" si="98">IF(INDEX($CK$4:$DO$123,ROW()-3,E$3)=0,"","СП")</f>
        <v/>
      </c>
      <c r="F57" s="92" t="str">
        <f t="shared" si="98"/>
        <v/>
      </c>
      <c r="G57" s="92" t="str">
        <f t="shared" si="98"/>
        <v/>
      </c>
      <c r="H57" s="92" t="str">
        <f t="shared" si="98"/>
        <v/>
      </c>
      <c r="I57" s="92" t="str">
        <f t="shared" si="98"/>
        <v/>
      </c>
      <c r="J57" s="92" t="str">
        <f t="shared" si="98"/>
        <v/>
      </c>
      <c r="K57" s="92" t="str">
        <f t="shared" si="98"/>
        <v>СП</v>
      </c>
      <c r="L57" s="92" t="str">
        <f t="shared" si="98"/>
        <v/>
      </c>
      <c r="M57" s="92" t="str">
        <f t="shared" si="98"/>
        <v/>
      </c>
      <c r="N57" s="92" t="str">
        <f t="shared" si="98"/>
        <v/>
      </c>
      <c r="O57" s="92" t="str">
        <f t="shared" si="98"/>
        <v/>
      </c>
      <c r="P57" s="92" t="str">
        <f t="shared" si="98"/>
        <v/>
      </c>
      <c r="Q57" s="92" t="str">
        <f t="shared" si="98"/>
        <v/>
      </c>
      <c r="R57" s="92" t="str">
        <f t="shared" si="98"/>
        <v/>
      </c>
      <c r="S57" s="92" t="str">
        <f t="shared" si="98"/>
        <v/>
      </c>
      <c r="T57" s="92" t="str">
        <f t="shared" si="98"/>
        <v/>
      </c>
      <c r="U57" s="92" t="str">
        <f t="shared" si="98"/>
        <v/>
      </c>
      <c r="V57" s="92" t="str">
        <f t="shared" si="98"/>
        <v/>
      </c>
      <c r="W57" s="92" t="str">
        <f t="shared" si="98"/>
        <v/>
      </c>
      <c r="X57" s="92" t="str">
        <f t="shared" si="98"/>
        <v/>
      </c>
      <c r="Y57" s="92" t="str">
        <f t="shared" si="98"/>
        <v/>
      </c>
      <c r="Z57" s="92" t="str">
        <f t="shared" si="98"/>
        <v/>
      </c>
      <c r="AA57" s="92" t="str">
        <f t="shared" si="98"/>
        <v/>
      </c>
      <c r="AB57" s="92" t="str">
        <f t="shared" si="98"/>
        <v/>
      </c>
      <c r="AC57" s="92" t="str">
        <f t="shared" si="98"/>
        <v/>
      </c>
      <c r="AD57" s="92" t="str">
        <f t="shared" si="98"/>
        <v/>
      </c>
      <c r="AE57" s="92" t="str">
        <f t="shared" si="98"/>
        <v/>
      </c>
      <c r="AF57" s="92" t="str">
        <f t="shared" si="98"/>
        <v/>
      </c>
      <c r="AG57" s="92" t="str">
        <f t="shared" si="98"/>
        <v/>
      </c>
      <c r="AH57" s="92" t="str">
        <f t="shared" si="98"/>
        <v/>
      </c>
      <c r="AI57" s="110"/>
      <c r="AJ57" s="206"/>
      <c r="AK57" s="177"/>
      <c r="AL57" s="177"/>
      <c r="AM57" s="177"/>
      <c r="AN57" s="198"/>
      <c r="AO57" s="198"/>
      <c r="AP57" s="198"/>
      <c r="AQ57" s="177"/>
      <c r="AR57" s="179"/>
      <c r="CK57" s="58">
        <f>IF(DAY(INDEX('Сводный годовой график'!$BA$4:$BL$14,$C56,MONTH($B$54)))=E$3,1,0)</f>
        <v>0</v>
      </c>
      <c r="CL57" s="58">
        <f>IF(DAY(INDEX('Сводный годовой график'!$BA$4:$BL$14,$C56,MONTH($B$54)))=F$3,1,0)</f>
        <v>0</v>
      </c>
      <c r="CM57" s="58">
        <f>IF(DAY(INDEX('Сводный годовой график'!$BA$4:$BL$14,$C56,MONTH($B$54)))=G$3,1,0)</f>
        <v>0</v>
      </c>
      <c r="CN57" s="58">
        <f>IF(DAY(INDEX('Сводный годовой график'!$BA$4:$BL$14,$C56,MONTH($B$54)))=H$3,1,0)</f>
        <v>0</v>
      </c>
      <c r="CO57" s="58">
        <f>IF(DAY(INDEX('Сводный годовой график'!$BA$4:$BL$14,$C56,MONTH($B$54)))=I$3,1,0)</f>
        <v>0</v>
      </c>
      <c r="CP57" s="58">
        <f>IF(DAY(INDEX('Сводный годовой график'!$BA$4:$BL$14,$C56,MONTH($B$54)))=J$3,1,0)</f>
        <v>0</v>
      </c>
      <c r="CQ57" s="58">
        <f>IF(DAY(INDEX('Сводный годовой график'!$BA$4:$BL$14,$C56,MONTH($B$54)))=K$3,1,0)</f>
        <v>1</v>
      </c>
      <c r="CR57" s="58">
        <f>IF(DAY(INDEX('Сводный годовой график'!$BA$4:$BL$14,$C56,MONTH($B$54)))=L$3,1,0)</f>
        <v>0</v>
      </c>
      <c r="CS57" s="58">
        <f>IF(DAY(INDEX('Сводный годовой график'!$BA$4:$BL$14,$C56,MONTH($B$54)))=M$3,1,0)</f>
        <v>0</v>
      </c>
      <c r="CT57" s="58">
        <f>IF(DAY(INDEX('Сводный годовой график'!$BA$4:$BL$14,$C56,MONTH($B$54)))=N$3,1,0)</f>
        <v>0</v>
      </c>
      <c r="CU57" s="58">
        <f>IF(DAY(INDEX('Сводный годовой график'!$BA$4:$BL$14,$C56,MONTH($B$54)))=O$3,1,0)</f>
        <v>0</v>
      </c>
      <c r="CV57" s="58">
        <f>IF(DAY(INDEX('Сводный годовой график'!$BA$4:$BL$14,$C56,MONTH($B$54)))=P$3,1,0)</f>
        <v>0</v>
      </c>
      <c r="CW57" s="58">
        <f>IF(DAY(INDEX('Сводный годовой график'!$BA$4:$BL$14,$C56,MONTH($B$54)))=Q$3,1,0)</f>
        <v>0</v>
      </c>
      <c r="CX57" s="58">
        <f>IF(DAY(INDEX('Сводный годовой график'!$BA$4:$BL$14,$C56,MONTH($B$54)))=R$3,1,0)</f>
        <v>0</v>
      </c>
      <c r="CY57" s="58">
        <f>IF(DAY(INDEX('Сводный годовой график'!$BA$4:$BL$14,$C56,MONTH($B$54)))=S$3,1,0)</f>
        <v>0</v>
      </c>
      <c r="CZ57" s="58">
        <f>IF(DAY(INDEX('Сводный годовой график'!$BA$4:$BL$14,$C56,MONTH($B$54)))=T$3,1,0)</f>
        <v>0</v>
      </c>
      <c r="DA57" s="58">
        <f>IF(DAY(INDEX('Сводный годовой график'!$BA$4:$BL$14,$C56,MONTH($B$54)))=U$3,1,0)</f>
        <v>0</v>
      </c>
      <c r="DB57" s="58">
        <f>IF(DAY(INDEX('Сводный годовой график'!$BA$4:$BL$14,$C56,MONTH($B$54)))=V$3,1,0)</f>
        <v>0</v>
      </c>
      <c r="DC57" s="58">
        <f>IF(DAY(INDEX('Сводный годовой график'!$BA$4:$BL$14,$C56,MONTH($B$54)))=W$3,1,0)</f>
        <v>0</v>
      </c>
      <c r="DD57" s="58">
        <f>IF(DAY(INDEX('Сводный годовой график'!$BA$4:$BL$14,$C56,MONTH($B$54)))=X$3,1,0)</f>
        <v>0</v>
      </c>
      <c r="DE57" s="58">
        <f>IF(DAY(INDEX('Сводный годовой график'!$BA$4:$BL$14,$C56,MONTH($B$54)))=Y$3,1,0)</f>
        <v>0</v>
      </c>
      <c r="DF57" s="58">
        <f>IF(DAY(INDEX('Сводный годовой график'!$BA$4:$BL$14,$C56,MONTH($B$54)))=Z$3,1,0)</f>
        <v>0</v>
      </c>
      <c r="DG57" s="58">
        <f>IF(DAY(INDEX('Сводный годовой график'!$BA$4:$BL$14,$C56,MONTH($B$54)))=AA$3,1,0)</f>
        <v>0</v>
      </c>
      <c r="DH57" s="58">
        <f>IF(DAY(INDEX('Сводный годовой график'!$BA$4:$BL$14,$C56,MONTH($B$54)))=AB$3,1,0)</f>
        <v>0</v>
      </c>
      <c r="DI57" s="58">
        <f>IF(DAY(INDEX('Сводный годовой график'!$BA$4:$BL$14,$C56,MONTH($B$54)))=AC$3,1,0)</f>
        <v>0</v>
      </c>
      <c r="DJ57" s="58">
        <f>IF(DAY(INDEX('Сводный годовой график'!$BA$4:$BL$14,$C56,MONTH($B$54)))=AD$3,1,0)</f>
        <v>0</v>
      </c>
      <c r="DK57" s="58">
        <f>IF(DAY(INDEX('Сводный годовой график'!$BA$4:$BL$14,$C56,MONTH($B$54)))=AE$3,1,0)</f>
        <v>0</v>
      </c>
      <c r="DL57" s="58">
        <f>IF(DAY(INDEX('Сводный годовой график'!$BA$4:$BL$14,$C56,MONTH($B$54)))=AF$3,1,0)</f>
        <v>0</v>
      </c>
      <c r="DM57" s="58">
        <f>IF(DAY(INDEX('Сводный годовой график'!$BA$4:$BL$14,$C56,MONTH($B$54)))=AG$3,1,0)</f>
        <v>0</v>
      </c>
      <c r="DN57" s="58">
        <f>IF(DAY(INDEX('Сводный годовой график'!$BA$4:$BL$14,$C56,MONTH($B$54)))=AH$3,1,0)</f>
        <v>0</v>
      </c>
      <c r="DO57" s="58">
        <f>IF(DAY(INDEX('Сводный годовой график'!$BA$4:$BL$14,$C56,MONTH($B$54)))=AI$3,1,0)</f>
        <v>0</v>
      </c>
    </row>
    <row r="58" spans="2:119" ht="16.5" thickBot="1" x14ac:dyDescent="0.3">
      <c r="B58" s="201"/>
      <c r="C58" s="196">
        <v>3</v>
      </c>
      <c r="D58" s="81">
        <v>5</v>
      </c>
      <c r="E58" s="92">
        <f ca="1">IF(AND(INDEX('Сводный годовой график'!$C$1:$AR$4,MATCH($C$58,'Сводный годовой график'!$B$1:$B$4),MATCH(DATE($AV$1,MONTH($B$54),E$3),'Сводный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график'!$B$1:$B$4),MATCH(DATE($AV$1,MONTH($B$54),E$3),'Сводный годовой график'!$C$10:$AR$10)))</f>
        <v>4</v>
      </c>
      <c r="F58" s="92">
        <f ca="1">IF(AND(INDEX('Сводный годовой график'!$C$1:$AR$4,MATCH($C$58,'Сводный годовой график'!$B$1:$B$4),MATCH(DATE($AV$1,MONTH($B$54),F$3),'Сводный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график'!$B$1:$B$4),MATCH(DATE($AV$1,MONTH($B$54),F$3),'Сводный годовой график'!$C$10:$AR$10)))</f>
        <v>8</v>
      </c>
      <c r="G58" s="92">
        <f ca="1">IF(AND(INDEX('Сводный годовой график'!$C$1:$AR$4,MATCH($C$58,'Сводный годовой график'!$B$1:$B$4),MATCH(DATE($AV$1,MONTH($B$54),G$3),'Сводный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график'!$B$1:$B$4),MATCH(DATE($AV$1,MONTH($B$54),G$3),'Сводный годовой график'!$C$10:$AR$10)))</f>
        <v>12</v>
      </c>
      <c r="H58" s="92">
        <f ca="1">IF(AND(INDEX('Сводный годовой график'!$C$1:$AR$4,MATCH($C$58,'Сводный годовой график'!$B$1:$B$4),MATCH(DATE($AV$1,MONTH($B$54),H$3),'Сводный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график'!$B$1:$B$4),MATCH(DATE($AV$1,MONTH($B$54),H$3),'Сводный годовой график'!$C$10:$AR$10)))</f>
        <v>0</v>
      </c>
      <c r="I58" s="92">
        <f ca="1">IF(AND(INDEX('Сводный годовой график'!$C$1:$AR$4,MATCH($C$58,'Сводный годовой график'!$B$1:$B$4),MATCH(DATE($AV$1,MONTH($B$54),I$3),'Сводный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график'!$B$1:$B$4),MATCH(DATE($AV$1,MONTH($B$54),I$3),'Сводный годовой график'!$C$10:$AR$10)))</f>
        <v>0</v>
      </c>
      <c r="J58" s="92">
        <f ca="1">IF(AND(INDEX('Сводный годовой график'!$C$1:$AR$4,MATCH($C$58,'Сводный годовой график'!$B$1:$B$4),MATCH(DATE($AV$1,MONTH($B$54),J$3),'Сводный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график'!$B$1:$B$4),MATCH(DATE($AV$1,MONTH($B$54),J$3),'Сводный годовой график'!$C$10:$AR$10)))</f>
        <v>4</v>
      </c>
      <c r="K58" s="92">
        <f ca="1">IF(AND(INDEX('Сводный годовой график'!$C$1:$AR$4,MATCH($C$58,'Сводный годовой график'!$B$1:$B$4),MATCH(DATE($AV$1,MONTH($B$54),K$3),'Сводный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график'!$B$1:$B$4),MATCH(DATE($AV$1,MONTH($B$54),K$3),'Сводный годовой график'!$C$10:$AR$10)))</f>
        <v>8</v>
      </c>
      <c r="L58" s="92">
        <f ca="1">IF(AND(INDEX('Сводный годовой график'!$C$1:$AR$4,MATCH($C$58,'Сводный годовой график'!$B$1:$B$4),MATCH(DATE($AV$1,MONTH($B$54),L$3),'Сводный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график'!$B$1:$B$4),MATCH(DATE($AV$1,MONTH($B$54),L$3),'Сводный годовой график'!$C$10:$AR$10)))</f>
        <v>12</v>
      </c>
      <c r="M58" s="92">
        <f ca="1">IF(AND(INDEX('Сводный годовой график'!$C$1:$AR$4,MATCH($C$58,'Сводный годовой график'!$B$1:$B$4),MATCH(DATE($AV$1,MONTH($B$54),M$3),'Сводный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график'!$B$1:$B$4),MATCH(DATE($AV$1,MONTH($B$54),M$3),'Сводный годовой график'!$C$10:$AR$10)))</f>
        <v>4</v>
      </c>
      <c r="N58" s="92">
        <f ca="1">IF(AND(INDEX('Сводный годовой график'!$C$1:$AR$4,MATCH($C$58,'Сводный годовой график'!$B$1:$B$4),MATCH(DATE($AV$1,MONTH($B$54),N$3),'Сводный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график'!$B$1:$B$4),MATCH(DATE($AV$1,MONTH($B$54),N$3),'Сводный годовой график'!$C$10:$AR$10)))</f>
        <v>8</v>
      </c>
      <c r="O58" s="92">
        <f ca="1">IF(AND(INDEX('Сводный годовой график'!$C$1:$AR$4,MATCH($C$58,'Сводный годовой график'!$B$1:$B$4),MATCH(DATE($AV$1,MONTH($B$54),O$3),'Сводный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график'!$B$1:$B$4),MATCH(DATE($AV$1,MONTH($B$54),O$3),'Сводный годовой график'!$C$10:$AR$10)))</f>
        <v>12</v>
      </c>
      <c r="P58" s="92">
        <f ca="1">IF(AND(INDEX('Сводный годовой график'!$C$1:$AR$4,MATCH($C$58,'Сводный годовой график'!$B$1:$B$4),MATCH(DATE($AV$1,MONTH($B$54),P$3),'Сводный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график'!$B$1:$B$4),MATCH(DATE($AV$1,MONTH($B$54),P$3),'Сводный годовой график'!$C$10:$AR$10)))</f>
        <v>0</v>
      </c>
      <c r="Q58" s="92">
        <f ca="1">IF(AND(INDEX('Сводный годовой график'!$C$1:$AR$4,MATCH($C$58,'Сводный годовой график'!$B$1:$B$4),MATCH(DATE($AV$1,MONTH($B$54),Q$3),'Сводный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график'!$B$1:$B$4),MATCH(DATE($AV$1,MONTH($B$54),Q$3),'Сводный годовой график'!$C$10:$AR$10)))</f>
        <v>0</v>
      </c>
      <c r="R58" s="92">
        <f ca="1">IF(AND(INDEX('Сводный годовой график'!$C$1:$AR$4,MATCH($C$58,'Сводный годовой график'!$B$1:$B$4),MATCH(DATE($AV$1,MONTH($B$54),R$3),'Сводный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график'!$B$1:$B$4),MATCH(DATE($AV$1,MONTH($B$54),R$3),'Сводный годовой график'!$C$10:$AR$10)))</f>
        <v>4</v>
      </c>
      <c r="S58" s="92">
        <f ca="1">IF(AND(INDEX('Сводный годовой график'!$C$1:$AR$4,MATCH($C$58,'Сводный годовой график'!$B$1:$B$4),MATCH(DATE($AV$1,MONTH($B$54),S$3),'Сводный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график'!$B$1:$B$4),MATCH(DATE($AV$1,MONTH($B$54),S$3),'Сводный годовой график'!$C$10:$AR$10)))</f>
        <v>8</v>
      </c>
      <c r="T58" s="92">
        <f ca="1">IF(AND(INDEX('Сводный годовой график'!$C$1:$AR$4,MATCH($C$58,'Сводный годовой график'!$B$1:$B$4),MATCH(DATE($AV$1,MONTH($B$54),T$3),'Сводный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график'!$B$1:$B$4),MATCH(DATE($AV$1,MONTH($B$54),T$3),'Сводный годовой график'!$C$10:$AR$10)))</f>
        <v>12</v>
      </c>
      <c r="U58" s="92">
        <f ca="1">IF(AND(INDEX('Сводный годовой график'!$C$1:$AR$4,MATCH($C$58,'Сводный годовой график'!$B$1:$B$4),MATCH(DATE($AV$1,MONTH($B$54),U$3),'Сводный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график'!$B$1:$B$4),MATCH(DATE($AV$1,MONTH($B$54),U$3),'Сводный годовой график'!$C$10:$AR$10)))</f>
        <v>4</v>
      </c>
      <c r="V58" s="92">
        <f ca="1">IF(AND(INDEX('Сводный годовой график'!$C$1:$AR$4,MATCH($C$58,'Сводный годовой график'!$B$1:$B$4),MATCH(DATE($AV$1,MONTH($B$54),V$3),'Сводный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график'!$B$1:$B$4),MATCH(DATE($AV$1,MONTH($B$54),V$3),'Сводный годовой график'!$C$10:$AR$10)))</f>
        <v>8</v>
      </c>
      <c r="W58" s="92">
        <f ca="1">IF(AND(INDEX('Сводный годовой график'!$C$1:$AR$4,MATCH($C$58,'Сводный годовой график'!$B$1:$B$4),MATCH(DATE($AV$1,MONTH($B$54),W$3),'Сводный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график'!$B$1:$B$4),MATCH(DATE($AV$1,MONTH($B$54),W$3),'Сводный годовой график'!$C$10:$AR$10)))</f>
        <v>12</v>
      </c>
      <c r="X58" s="92">
        <f ca="1">IF(AND(INDEX('Сводный годовой график'!$C$1:$AR$4,MATCH($C$58,'Сводный годовой график'!$B$1:$B$4),MATCH(DATE($AV$1,MONTH($B$54),X$3),'Сводный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график'!$B$1:$B$4),MATCH(DATE($AV$1,MONTH($B$54),X$3),'Сводный годовой график'!$C$10:$AR$10)))</f>
        <v>0</v>
      </c>
      <c r="Y58" s="92">
        <f ca="1">IF(AND(INDEX('Сводный годовой график'!$C$1:$AR$4,MATCH($C$58,'Сводный годовой график'!$B$1:$B$4),MATCH(DATE($AV$1,MONTH($B$54),Y$3),'Сводный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график'!$B$1:$B$4),MATCH(DATE($AV$1,MONTH($B$54),Y$3),'Сводный годовой график'!$C$10:$AR$10)))</f>
        <v>0</v>
      </c>
      <c r="Z58" s="92">
        <f ca="1">IF(AND(INDEX('Сводный годовой график'!$C$1:$AR$4,MATCH($C$58,'Сводный годовой график'!$B$1:$B$4),MATCH(DATE($AV$1,MONTH($B$54),Z$3),'Сводный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график'!$B$1:$B$4),MATCH(DATE($AV$1,MONTH($B$54),Z$3),'Сводный годовой график'!$C$10:$AR$10)))</f>
        <v>4</v>
      </c>
      <c r="AA58" s="92">
        <f ca="1">IF(AND(INDEX('Сводный годовой график'!$C$1:$AR$4,MATCH($C$58,'Сводный годовой график'!$B$1:$B$4),MATCH(DATE($AV$1,MONTH($B$54),AA$3),'Сводный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график'!$B$1:$B$4),MATCH(DATE($AV$1,MONTH($B$54),AA$3),'Сводный годовой график'!$C$10:$AR$10)))</f>
        <v>8</v>
      </c>
      <c r="AB58" s="92">
        <f ca="1">IF(AND(INDEX('Сводный годовой график'!$C$1:$AR$4,MATCH($C$58,'Сводный годовой график'!$B$1:$B$4),MATCH(DATE($AV$1,MONTH($B$54),AB$3),'Сводный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график'!$B$1:$B$4),MATCH(DATE($AV$1,MONTH($B$54),AB$3),'Сводный годовой график'!$C$10:$AR$10)))</f>
        <v>12</v>
      </c>
      <c r="AC58" s="92">
        <f ca="1">IF(AND(INDEX('Сводный годовой график'!$C$1:$AR$4,MATCH($C$58,'Сводный годовой график'!$B$1:$B$4),MATCH(DATE($AV$1,MONTH($B$54),AC$3),'Сводный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график'!$B$1:$B$4),MATCH(DATE($AV$1,MONTH($B$54),AC$3),'Сводный годовой график'!$C$10:$AR$10)))</f>
        <v>4</v>
      </c>
      <c r="AD58" s="92">
        <f ca="1">IF(AND(INDEX('Сводный годовой график'!$C$1:$AR$4,MATCH($C$58,'Сводный годовой график'!$B$1:$B$4),MATCH(DATE($AV$1,MONTH($B$54),AD$3),'Сводный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график'!$B$1:$B$4),MATCH(DATE($AV$1,MONTH($B$54),AD$3),'Сводный годовой график'!$C$10:$AR$10)))</f>
        <v>8</v>
      </c>
      <c r="AE58" s="92">
        <f ca="1">IF(AND(INDEX('Сводный годовой график'!$C$1:$AR$4,MATCH($C$58,'Сводный годовой график'!$B$1:$B$4),MATCH(DATE($AV$1,MONTH($B$54),AE$3),'Сводный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график'!$B$1:$B$4),MATCH(DATE($AV$1,MONTH($B$54),AE$3),'Сводный годовой график'!$C$10:$AR$10)))</f>
        <v>12</v>
      </c>
      <c r="AF58" s="92">
        <f ca="1">IF(AND(INDEX('Сводный годовой график'!$C$1:$AR$4,MATCH($C$58,'Сводный годовой график'!$B$1:$B$4),MATCH(DATE($AV$1,MONTH($B$54),AF$3),'Сводный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график'!$B$1:$B$4),MATCH(DATE($AV$1,MONTH($B$54),AF$3),'Сводный годовой график'!$C$10:$AR$10)))</f>
        <v>0</v>
      </c>
      <c r="AG58" s="92">
        <f ca="1">IF(AND(INDEX('Сводный годовой график'!$C$1:$AR$4,MATCH($C$58,'Сводный годовой график'!$B$1:$B$4),MATCH(DATE($AV$1,MONTH($B$54),AG$3),'Сводный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график'!$B$1:$B$4),MATCH(DATE($AV$1,MONTH($B$54),AG$3),'Сводный годовой график'!$C$10:$AR$10)))</f>
        <v>0</v>
      </c>
      <c r="AH58" s="92">
        <f ca="1">IF(AND(INDEX('Сводный годовой график'!$C$1:$AR$4,MATCH($C$58,'Сводный годовой график'!$B$1:$B$4),MATCH(DATE($AV$1,MONTH($B$54),AH$3),'Сводный годовой график'!$C$10:$AR$10))&lt;&gt;12,INDIRECT(ADDRESS(ROW()+1,COLUMN()))="СП"),8,INDEX('Сводный годовой график'!$C$1:$AR$4,MATCH($C$58,'Сводный годовой график'!$B$1:$B$4),MATCH(DATE($AV$1,MONTH($B$54),AH$3),'Сводный годовой график'!$C$10:$AR$10)))</f>
        <v>4</v>
      </c>
      <c r="AI58" s="110"/>
      <c r="AJ58" s="206"/>
      <c r="AK58" s="177">
        <f>$AJ$54-SUM(AY58:CC59)</f>
        <v>151</v>
      </c>
      <c r="AL58" s="177">
        <f t="shared" ref="AL58" ca="1" si="99">SUM(E58:AI59)</f>
        <v>172</v>
      </c>
      <c r="AM58" s="177">
        <f ca="1">SUM(P58)</f>
        <v>0</v>
      </c>
      <c r="AN58" s="198">
        <f t="shared" ref="AN58" ca="1" si="100">-AM58-AK58+AL58</f>
        <v>21</v>
      </c>
      <c r="AO58" s="198">
        <v>0</v>
      </c>
      <c r="AP58" s="198">
        <f ca="1">AN58+AP48-AO58</f>
        <v>67</v>
      </c>
      <c r="AQ58" s="177">
        <v>0</v>
      </c>
      <c r="AR58" s="179">
        <v>1</v>
      </c>
      <c r="CK58" s="59"/>
      <c r="CL58" s="59"/>
      <c r="CM58" s="59"/>
      <c r="CN58" s="59"/>
      <c r="CO58" s="59"/>
      <c r="CP58" s="59"/>
      <c r="CQ58" s="59"/>
      <c r="CR58" s="59"/>
      <c r="CS58" s="59"/>
      <c r="CT58" s="59"/>
      <c r="CU58" s="59"/>
      <c r="CV58" s="59"/>
      <c r="CW58" s="59"/>
      <c r="CX58" s="59"/>
      <c r="CY58" s="59"/>
      <c r="CZ58" s="59"/>
      <c r="DA58" s="59"/>
      <c r="DB58" s="59"/>
      <c r="DC58" s="59"/>
      <c r="DD58" s="59"/>
      <c r="DE58" s="59"/>
      <c r="DF58" s="59"/>
      <c r="DG58" s="59"/>
      <c r="DH58" s="59"/>
      <c r="DI58" s="59"/>
      <c r="DJ58" s="59"/>
      <c r="DK58" s="59"/>
      <c r="DL58" s="59"/>
      <c r="DM58" s="59"/>
      <c r="DN58" s="59"/>
      <c r="DO58" s="59"/>
    </row>
    <row r="59" spans="2:119" ht="16.5" thickBot="1" x14ac:dyDescent="0.3">
      <c r="B59" s="201"/>
      <c r="C59" s="197"/>
      <c r="D59" s="82">
        <v>6</v>
      </c>
      <c r="E59" s="92" t="str">
        <f t="shared" ref="E59:AH59" si="101">IF(INDEX($CK$4:$DO$123,ROW()-3,E$3)=0,"","СП")</f>
        <v/>
      </c>
      <c r="F59" s="92" t="str">
        <f t="shared" si="101"/>
        <v/>
      </c>
      <c r="G59" s="92" t="str">
        <f t="shared" si="101"/>
        <v/>
      </c>
      <c r="H59" s="92" t="str">
        <f t="shared" si="101"/>
        <v/>
      </c>
      <c r="I59" s="92" t="str">
        <f t="shared" si="101"/>
        <v/>
      </c>
      <c r="J59" s="92" t="str">
        <f t="shared" si="101"/>
        <v/>
      </c>
      <c r="K59" s="92" t="str">
        <f t="shared" si="101"/>
        <v/>
      </c>
      <c r="L59" s="92" t="str">
        <f t="shared" si="101"/>
        <v>СП</v>
      </c>
      <c r="M59" s="92" t="str">
        <f t="shared" si="101"/>
        <v/>
      </c>
      <c r="N59" s="92" t="str">
        <f t="shared" si="101"/>
        <v/>
      </c>
      <c r="O59" s="92" t="str">
        <f t="shared" si="101"/>
        <v/>
      </c>
      <c r="P59" s="92" t="str">
        <f t="shared" si="101"/>
        <v/>
      </c>
      <c r="Q59" s="92" t="str">
        <f t="shared" si="101"/>
        <v/>
      </c>
      <c r="R59" s="92" t="str">
        <f t="shared" si="101"/>
        <v/>
      </c>
      <c r="S59" s="92" t="str">
        <f t="shared" si="101"/>
        <v/>
      </c>
      <c r="T59" s="92" t="str">
        <f t="shared" si="101"/>
        <v/>
      </c>
      <c r="U59" s="92" t="str">
        <f t="shared" si="101"/>
        <v/>
      </c>
      <c r="V59" s="92" t="str">
        <f t="shared" si="101"/>
        <v/>
      </c>
      <c r="W59" s="92" t="str">
        <f t="shared" si="101"/>
        <v/>
      </c>
      <c r="X59" s="92" t="str">
        <f t="shared" si="101"/>
        <v/>
      </c>
      <c r="Y59" s="92" t="str">
        <f t="shared" si="101"/>
        <v/>
      </c>
      <c r="Z59" s="92" t="str">
        <f t="shared" si="101"/>
        <v/>
      </c>
      <c r="AA59" s="92" t="str">
        <f t="shared" si="101"/>
        <v/>
      </c>
      <c r="AB59" s="92" t="str">
        <f t="shared" si="101"/>
        <v/>
      </c>
      <c r="AC59" s="92" t="str">
        <f t="shared" si="101"/>
        <v/>
      </c>
      <c r="AD59" s="92" t="str">
        <f t="shared" si="101"/>
        <v/>
      </c>
      <c r="AE59" s="92" t="str">
        <f t="shared" si="101"/>
        <v/>
      </c>
      <c r="AF59" s="92" t="str">
        <f t="shared" si="101"/>
        <v/>
      </c>
      <c r="AG59" s="92" t="str">
        <f t="shared" si="101"/>
        <v/>
      </c>
      <c r="AH59" s="92" t="str">
        <f t="shared" si="101"/>
        <v/>
      </c>
      <c r="AI59" s="110"/>
      <c r="AJ59" s="206"/>
      <c r="AK59" s="177"/>
      <c r="AL59" s="177"/>
      <c r="AM59" s="177"/>
      <c r="AN59" s="198"/>
      <c r="AO59" s="198"/>
      <c r="AP59" s="198"/>
      <c r="AQ59" s="177"/>
      <c r="AR59" s="179"/>
      <c r="CK59" s="58">
        <f>IF(DAY(INDEX('Сводный годовой график'!$BA$4:$BL$14,$C58,MONTH($B$54)))=E$3,1,0)</f>
        <v>0</v>
      </c>
      <c r="CL59" s="58">
        <f>IF(DAY(INDEX('Сводный годовой график'!$BA$4:$BL$14,$C58,MONTH($B$54)))=F$3,1,0)</f>
        <v>0</v>
      </c>
      <c r="CM59" s="58">
        <f>IF(DAY(INDEX('Сводный годовой график'!$BA$4:$BL$14,$C58,MONTH($B$54)))=G$3,1,0)</f>
        <v>0</v>
      </c>
      <c r="CN59" s="58">
        <f>IF(DAY(INDEX('Сводный годовой график'!$BA$4:$BL$14,$C58,MONTH($B$54)))=H$3,1,0)</f>
        <v>0</v>
      </c>
      <c r="CO59" s="58">
        <f>IF(DAY(INDEX('Сводный годовой график'!$BA$4:$BL$14,$C58,MONTH($B$54)))=I$3,1,0)</f>
        <v>0</v>
      </c>
      <c r="CP59" s="58">
        <f>IF(DAY(INDEX('Сводный годовой график'!$BA$4:$BL$14,$C58,MONTH($B$54)))=J$3,1,0)</f>
        <v>0</v>
      </c>
      <c r="CQ59" s="58">
        <f>IF(DAY(INDEX('Сводный годовой график'!$BA$4:$BL$14,$C58,MONTH($B$54)))=K$3,1,0)</f>
        <v>0</v>
      </c>
      <c r="CR59" s="58">
        <f>IF(DAY(INDEX('Сводный годовой график'!$BA$4:$BL$14,$C58,MONTH($B$54)))=L$3,1,0)</f>
        <v>1</v>
      </c>
      <c r="CS59" s="58">
        <f>IF(DAY(INDEX('Сводный годовой график'!$BA$4:$BL$14,$C58,MONTH($B$54)))=M$3,1,0)</f>
        <v>0</v>
      </c>
      <c r="CT59" s="58">
        <f>IF(DAY(INDEX('Сводный годовой график'!$BA$4:$BL$14,$C58,MONTH($B$54)))=N$3,1,0)</f>
        <v>0</v>
      </c>
      <c r="CU59" s="58">
        <f>IF(DAY(INDEX('Сводный годовой график'!$BA$4:$BL$14,$C58,MONTH($B$54)))=O$3,1,0)</f>
        <v>0</v>
      </c>
      <c r="CV59" s="58">
        <f>IF(DAY(INDEX('Сводный годовой график'!$BA$4:$BL$14,$C58,MONTH($B$54)))=P$3,1,0)</f>
        <v>0</v>
      </c>
      <c r="CW59" s="58">
        <f>IF(DAY(INDEX('Сводный годовой график'!$BA$4:$BL$14,$C58,MONTH($B$54)))=Q$3,1,0)</f>
        <v>0</v>
      </c>
      <c r="CX59" s="58">
        <f>IF(DAY(INDEX('Сводный годовой график'!$BA$4:$BL$14,$C58,MONTH($B$54)))=R$3,1,0)</f>
        <v>0</v>
      </c>
      <c r="CY59" s="58">
        <f>IF(DAY(INDEX('Сводный годовой график'!$BA$4:$BL$14,$C58,MONTH($B$54)))=S$3,1,0)</f>
        <v>0</v>
      </c>
      <c r="CZ59" s="58">
        <f>IF(DAY(INDEX('Сводный годовой график'!$BA$4:$BL$14,$C58,MONTH($B$54)))=T$3,1,0)</f>
        <v>0</v>
      </c>
      <c r="DA59" s="58">
        <f>IF(DAY(INDEX('Сводный годовой график'!$BA$4:$BL$14,$C58,MONTH($B$54)))=U$3,1,0)</f>
        <v>0</v>
      </c>
      <c r="DB59" s="58">
        <f>IF(DAY(INDEX('Сводный годовой график'!$BA$4:$BL$14,$C58,MONTH($B$54)))=V$3,1,0)</f>
        <v>0</v>
      </c>
      <c r="DC59" s="58">
        <f>IF(DAY(INDEX('Сводный годовой график'!$BA$4:$BL$14,$C58,MONTH($B$54)))=W$3,1,0)</f>
        <v>0</v>
      </c>
      <c r="DD59" s="58">
        <f>IF(DAY(INDEX('Сводный годовой график'!$BA$4:$BL$14,$C58,MONTH($B$54)))=X$3,1,0)</f>
        <v>0</v>
      </c>
      <c r="DE59" s="58">
        <f>IF(DAY(INDEX('Сводный годовой график'!$BA$4:$BL$14,$C58,MONTH($B$54)))=Y$3,1,0)</f>
        <v>0</v>
      </c>
      <c r="DF59" s="58">
        <f>IF(DAY(INDEX('Сводный годовой график'!$BA$4:$BL$14,$C58,MONTH($B$54)))=Z$3,1,0)</f>
        <v>0</v>
      </c>
      <c r="DG59" s="58">
        <f>IF(DAY(INDEX('Сводный годовой график'!$BA$4:$BL$14,$C58,MONTH($B$54)))=AA$3,1,0)</f>
        <v>0</v>
      </c>
      <c r="DH59" s="58">
        <f>IF(DAY(INDEX('Сводный годовой график'!$BA$4:$BL$14,$C58,MONTH($B$54)))=AB$3,1,0)</f>
        <v>0</v>
      </c>
      <c r="DI59" s="58">
        <f>IF(DAY(INDEX('Сводный годовой график'!$BA$4:$BL$14,$C58,MONTH($B$54)))=AC$3,1,0)</f>
        <v>0</v>
      </c>
      <c r="DJ59" s="58">
        <f>IF(DAY(INDEX('Сводный годовой график'!$BA$4:$BL$14,$C58,MONTH($B$54)))=AD$3,1,0)</f>
        <v>0</v>
      </c>
      <c r="DK59" s="58">
        <f>IF(DAY(INDEX('Сводный годовой график'!$BA$4:$BL$14,$C58,MONTH($B$54)))=AE$3,1,0)</f>
        <v>0</v>
      </c>
      <c r="DL59" s="58">
        <f>IF(DAY(INDEX('Сводный годовой график'!$BA$4:$BL$14,$C58,MONTH($B$54)))=AF$3,1,0)</f>
        <v>0</v>
      </c>
      <c r="DM59" s="58">
        <f>IF(DAY(INDEX('Сводный годовой график'!$BA$4:$BL$14,$C58,MONTH($B$54)))=AG$3,1,0)</f>
        <v>0</v>
      </c>
      <c r="DN59" s="58">
        <f>IF(DAY(INDEX('Сводный годовой график'!$BA$4:$BL$14,$C58,MONTH($B$54)))=AH$3,1,0)</f>
        <v>0</v>
      </c>
      <c r="DO59" s="58">
        <f>IF(DAY(INDEX('Сводный годовой график'!$BA$4:$BL$14,$C58,MONTH($B$54)))=AI$3,1,0)</f>
        <v>0</v>
      </c>
    </row>
    <row r="60" spans="2:119" ht="16.5" thickBot="1" x14ac:dyDescent="0.3">
      <c r="B60" s="201"/>
      <c r="C60" s="196">
        <v>4</v>
      </c>
      <c r="D60" s="81">
        <v>7</v>
      </c>
      <c r="E60" s="92">
        <f ca="1">IF(AND(INDEX('Сводный годовой график'!$C$1:$AR$4,MATCH($C$60,'Сводный годовой график'!$B$1:$B$4),MATCH(DATE($AV$1,MONTH($B$54),E$3),'Сводный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график'!$B$1:$B$4),MATCH(DATE($AV$1,MONTH($B$54),E$3),'Сводный годовой график'!$C$10:$AR$10)))</f>
        <v>8</v>
      </c>
      <c r="F60" s="92">
        <f ca="1">IF(AND(INDEX('Сводный годовой график'!$C$1:$AR$4,MATCH($C$60,'Сводный годовой график'!$B$1:$B$4),MATCH(DATE($AV$1,MONTH($B$54),F$3),'Сводный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график'!$B$1:$B$4),MATCH(DATE($AV$1,MONTH($B$54),F$3),'Сводный годовой график'!$C$10:$AR$10)))</f>
        <v>12</v>
      </c>
      <c r="G60" s="92">
        <f ca="1">IF(AND(INDEX('Сводный годовой график'!$C$1:$AR$4,MATCH($C$60,'Сводный годовой график'!$B$1:$B$4),MATCH(DATE($AV$1,MONTH($B$54),G$3),'Сводный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график'!$B$1:$B$4),MATCH(DATE($AV$1,MONTH($B$54),G$3),'Сводный годовой график'!$C$10:$AR$10)))</f>
        <v>4</v>
      </c>
      <c r="H60" s="92">
        <f ca="1">IF(AND(INDEX('Сводный годовой график'!$C$1:$AR$4,MATCH($C$60,'Сводный годовой график'!$B$1:$B$4),MATCH(DATE($AV$1,MONTH($B$54),H$3),'Сводный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график'!$B$1:$B$4),MATCH(DATE($AV$1,MONTH($B$54),H$3),'Сводный годовой график'!$C$10:$AR$10)))</f>
        <v>8</v>
      </c>
      <c r="I60" s="92">
        <f ca="1">IF(AND(INDEX('Сводный годовой график'!$C$1:$AR$4,MATCH($C$60,'Сводный годовой график'!$B$1:$B$4),MATCH(DATE($AV$1,MONTH($B$54),I$3),'Сводный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график'!$B$1:$B$4),MATCH(DATE($AV$1,MONTH($B$54),I$3),'Сводный годовой график'!$C$10:$AR$10)))</f>
        <v>12</v>
      </c>
      <c r="J60" s="92">
        <f ca="1">IF(AND(INDEX('Сводный годовой график'!$C$1:$AR$4,MATCH($C$60,'Сводный годовой график'!$B$1:$B$4),MATCH(DATE($AV$1,MONTH($B$54),J$3),'Сводный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график'!$B$1:$B$4),MATCH(DATE($AV$1,MONTH($B$54),J$3),'Сводный годовой график'!$C$10:$AR$10)))</f>
        <v>0</v>
      </c>
      <c r="K60" s="92">
        <f ca="1">IF(AND(INDEX('Сводный годовой график'!$C$1:$AR$4,MATCH($C$60,'Сводный годовой график'!$B$1:$B$4),MATCH(DATE($AV$1,MONTH($B$54),K$3),'Сводный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график'!$B$1:$B$4),MATCH(DATE($AV$1,MONTH($B$54),K$3),'Сводный годовой график'!$C$10:$AR$10)))</f>
        <v>0</v>
      </c>
      <c r="L60" s="92">
        <f ca="1">IF(AND(INDEX('Сводный годовой график'!$C$1:$AR$4,MATCH($C$60,'Сводный годовой график'!$B$1:$B$4),MATCH(DATE($AV$1,MONTH($B$54),L$3),'Сводный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график'!$B$1:$B$4),MATCH(DATE($AV$1,MONTH($B$54),L$3),'Сводный годовой график'!$C$10:$AR$10)))</f>
        <v>4</v>
      </c>
      <c r="M60" s="92">
        <f ca="1">IF(AND(INDEX('Сводный годовой график'!$C$1:$AR$4,MATCH($C$60,'Сводный годовой график'!$B$1:$B$4),MATCH(DATE($AV$1,MONTH($B$54),M$3),'Сводный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график'!$B$1:$B$4),MATCH(DATE($AV$1,MONTH($B$54),M$3),'Сводный годовой график'!$C$10:$AR$10)))</f>
        <v>8</v>
      </c>
      <c r="N60" s="92">
        <f ca="1">IF(AND(INDEX('Сводный годовой график'!$C$1:$AR$4,MATCH($C$60,'Сводный годовой график'!$B$1:$B$4),MATCH(DATE($AV$1,MONTH($B$54),N$3),'Сводный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график'!$B$1:$B$4),MATCH(DATE($AV$1,MONTH($B$54),N$3),'Сводный годовой график'!$C$10:$AR$10)))</f>
        <v>12</v>
      </c>
      <c r="O60" s="92">
        <f ca="1">IF(AND(INDEX('Сводный годовой график'!$C$1:$AR$4,MATCH($C$60,'Сводный годовой график'!$B$1:$B$4),MATCH(DATE($AV$1,MONTH($B$54),O$3),'Сводный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график'!$B$1:$B$4),MATCH(DATE($AV$1,MONTH($B$54),O$3),'Сводный годовой график'!$C$10:$AR$10)))</f>
        <v>4</v>
      </c>
      <c r="P60" s="92">
        <f ca="1">IF(AND(INDEX('Сводный годовой график'!$C$1:$AR$4,MATCH($C$60,'Сводный годовой график'!$B$1:$B$4),MATCH(DATE($AV$1,MONTH($B$54),P$3),'Сводный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график'!$B$1:$B$4),MATCH(DATE($AV$1,MONTH($B$54),P$3),'Сводный годовой график'!$C$10:$AR$10)))</f>
        <v>8</v>
      </c>
      <c r="Q60" s="92">
        <f ca="1">IF(AND(INDEX('Сводный годовой график'!$C$1:$AR$4,MATCH($C$60,'Сводный годовой график'!$B$1:$B$4),MATCH(DATE($AV$1,MONTH($B$54),Q$3),'Сводный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график'!$B$1:$B$4),MATCH(DATE($AV$1,MONTH($B$54),Q$3),'Сводный годовой график'!$C$10:$AR$10)))</f>
        <v>12</v>
      </c>
      <c r="R60" s="92">
        <f ca="1">IF(AND(INDEX('Сводный годовой график'!$C$1:$AR$4,MATCH($C$60,'Сводный годовой график'!$B$1:$B$4),MATCH(DATE($AV$1,MONTH($B$54),R$3),'Сводный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график'!$B$1:$B$4),MATCH(DATE($AV$1,MONTH($B$54),R$3),'Сводный годовой график'!$C$10:$AR$10)))</f>
        <v>0</v>
      </c>
      <c r="S60" s="92">
        <f ca="1">IF(AND(INDEX('Сводный годовой график'!$C$1:$AR$4,MATCH($C$60,'Сводный годовой график'!$B$1:$B$4),MATCH(DATE($AV$1,MONTH($B$54),S$3),'Сводный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график'!$B$1:$B$4),MATCH(DATE($AV$1,MONTH($B$54),S$3),'Сводный годовой график'!$C$10:$AR$10)))</f>
        <v>0</v>
      </c>
      <c r="T60" s="92">
        <f ca="1">IF(AND(INDEX('Сводный годовой график'!$C$1:$AR$4,MATCH($C$60,'Сводный годовой график'!$B$1:$B$4),MATCH(DATE($AV$1,MONTH($B$54),T$3),'Сводный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график'!$B$1:$B$4),MATCH(DATE($AV$1,MONTH($B$54),T$3),'Сводный годовой график'!$C$10:$AR$10)))</f>
        <v>4</v>
      </c>
      <c r="U60" s="92">
        <f ca="1">IF(AND(INDEX('Сводный годовой график'!$C$1:$AR$4,MATCH($C$60,'Сводный годовой график'!$B$1:$B$4),MATCH(DATE($AV$1,MONTH($B$54),U$3),'Сводный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график'!$B$1:$B$4),MATCH(DATE($AV$1,MONTH($B$54),U$3),'Сводный годовой график'!$C$10:$AR$10)))</f>
        <v>8</v>
      </c>
      <c r="V60" s="92">
        <f ca="1">IF(AND(INDEX('Сводный годовой график'!$C$1:$AR$4,MATCH($C$60,'Сводный годовой график'!$B$1:$B$4),MATCH(DATE($AV$1,MONTH($B$54),V$3),'Сводный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график'!$B$1:$B$4),MATCH(DATE($AV$1,MONTH($B$54),V$3),'Сводный годовой график'!$C$10:$AR$10)))</f>
        <v>12</v>
      </c>
      <c r="W60" s="92">
        <f ca="1">IF(AND(INDEX('Сводный годовой график'!$C$1:$AR$4,MATCH($C$60,'Сводный годовой график'!$B$1:$B$4),MATCH(DATE($AV$1,MONTH($B$54),W$3),'Сводный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график'!$B$1:$B$4),MATCH(DATE($AV$1,MONTH($B$54),W$3),'Сводный годовой график'!$C$10:$AR$10)))</f>
        <v>4</v>
      </c>
      <c r="X60" s="92">
        <f ca="1">IF(AND(INDEX('Сводный годовой график'!$C$1:$AR$4,MATCH($C$60,'Сводный годовой график'!$B$1:$B$4),MATCH(DATE($AV$1,MONTH($B$54),X$3),'Сводный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график'!$B$1:$B$4),MATCH(DATE($AV$1,MONTH($B$54),X$3),'Сводный годовой график'!$C$10:$AR$10)))</f>
        <v>8</v>
      </c>
      <c r="Y60" s="92">
        <f ca="1">IF(AND(INDEX('Сводный годовой график'!$C$1:$AR$4,MATCH($C$60,'Сводный годовой график'!$B$1:$B$4),MATCH(DATE($AV$1,MONTH($B$54),Y$3),'Сводный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график'!$B$1:$B$4),MATCH(DATE($AV$1,MONTH($B$54),Y$3),'Сводный годовой график'!$C$10:$AR$10)))</f>
        <v>12</v>
      </c>
      <c r="Z60" s="92">
        <f ca="1">IF(AND(INDEX('Сводный годовой график'!$C$1:$AR$4,MATCH($C$60,'Сводный годовой график'!$B$1:$B$4),MATCH(DATE($AV$1,MONTH($B$54),Z$3),'Сводный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график'!$B$1:$B$4),MATCH(DATE($AV$1,MONTH($B$54),Z$3),'Сводный годовой график'!$C$10:$AR$10)))</f>
        <v>0</v>
      </c>
      <c r="AA60" s="92">
        <f ca="1">IF(AND(INDEX('Сводный годовой график'!$C$1:$AR$4,MATCH($C$60,'Сводный годовой график'!$B$1:$B$4),MATCH(DATE($AV$1,MONTH($B$54),AA$3),'Сводный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график'!$B$1:$B$4),MATCH(DATE($AV$1,MONTH($B$54),AA$3),'Сводный годовой график'!$C$10:$AR$10)))</f>
        <v>0</v>
      </c>
      <c r="AB60" s="92">
        <f ca="1">IF(AND(INDEX('Сводный годовой график'!$C$1:$AR$4,MATCH($C$60,'Сводный годовой график'!$B$1:$B$4),MATCH(DATE($AV$1,MONTH($B$54),AB$3),'Сводный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график'!$B$1:$B$4),MATCH(DATE($AV$1,MONTH($B$54),AB$3),'Сводный годовой график'!$C$10:$AR$10)))</f>
        <v>4</v>
      </c>
      <c r="AC60" s="92">
        <f ca="1">IF(AND(INDEX('Сводный годовой график'!$C$1:$AR$4,MATCH($C$60,'Сводный годовой график'!$B$1:$B$4),MATCH(DATE($AV$1,MONTH($B$54),AC$3),'Сводный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график'!$B$1:$B$4),MATCH(DATE($AV$1,MONTH($B$54),AC$3),'Сводный годовой график'!$C$10:$AR$10)))</f>
        <v>8</v>
      </c>
      <c r="AD60" s="92">
        <f ca="1">IF(AND(INDEX('Сводный годовой график'!$C$1:$AR$4,MATCH($C$60,'Сводный годовой график'!$B$1:$B$4),MATCH(DATE($AV$1,MONTH($B$54),AD$3),'Сводный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график'!$B$1:$B$4),MATCH(DATE($AV$1,MONTH($B$54),AD$3),'Сводный годовой график'!$C$10:$AR$10)))</f>
        <v>12</v>
      </c>
      <c r="AE60" s="92">
        <f ca="1">IF(AND(INDEX('Сводный годовой график'!$C$1:$AR$4,MATCH($C$60,'Сводный годовой график'!$B$1:$B$4),MATCH(DATE($AV$1,MONTH($B$54),AE$3),'Сводный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график'!$B$1:$B$4),MATCH(DATE($AV$1,MONTH($B$54),AE$3),'Сводный годовой график'!$C$10:$AR$10)))</f>
        <v>4</v>
      </c>
      <c r="AF60" s="92">
        <f ca="1">IF(AND(INDEX('Сводный годовой график'!$C$1:$AR$4,MATCH($C$60,'Сводный годовой график'!$B$1:$B$4),MATCH(DATE($AV$1,MONTH($B$54),AF$3),'Сводный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график'!$B$1:$B$4),MATCH(DATE($AV$1,MONTH($B$54),AF$3),'Сводный годовой график'!$C$10:$AR$10)))</f>
        <v>8</v>
      </c>
      <c r="AG60" s="92">
        <f ca="1">IF(AND(INDEX('Сводный годовой график'!$C$1:$AR$4,MATCH($C$60,'Сводный годовой график'!$B$1:$B$4),MATCH(DATE($AV$1,MONTH($B$54),AG$3),'Сводный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график'!$B$1:$B$4),MATCH(DATE($AV$1,MONTH($B$54),AG$3),'Сводный годовой график'!$C$10:$AR$10)))</f>
        <v>12</v>
      </c>
      <c r="AH60" s="92">
        <f ca="1">IF(AND(INDEX('Сводный годовой график'!$C$1:$AR$4,MATCH($C$60,'Сводный годовой график'!$B$1:$B$4),MATCH(DATE($AV$1,MONTH($B$54),AH$3),'Сводный годовой график'!$C$10:$AR$10))&lt;&gt;12,INDIRECT(ADDRESS(ROW()+1,COLUMN()))="СП"),8,INDEX('Сводный годовой график'!$C$1:$AR$4,MATCH($C$60,'Сводный годовой график'!$B$1:$B$4),MATCH(DATE($AV$1,MONTH($B$54),AH$3),'Сводный годовой график'!$C$10:$AR$10)))</f>
        <v>0</v>
      </c>
      <c r="AI60" s="110"/>
      <c r="AJ60" s="206"/>
      <c r="AK60" s="177">
        <f>$AJ$54-SUM(AY60:CC61)</f>
        <v>151</v>
      </c>
      <c r="AL60" s="177">
        <f t="shared" ref="AL60" ca="1" si="102">SUM(E60:AI61)</f>
        <v>188</v>
      </c>
      <c r="AM60" s="177">
        <f ca="1">SUM(P60)</f>
        <v>8</v>
      </c>
      <c r="AN60" s="198">
        <f t="shared" ref="AN60" ca="1" si="103">-AM60-AK60+AL60</f>
        <v>29</v>
      </c>
      <c r="AO60" s="198">
        <v>0</v>
      </c>
      <c r="AP60" s="198">
        <f t="shared" ref="AP60" ca="1" si="104">AN60+AP50</f>
        <v>71</v>
      </c>
      <c r="AQ60" s="177">
        <v>29</v>
      </c>
      <c r="AR60" s="179">
        <v>0</v>
      </c>
      <c r="CK60" s="59"/>
      <c r="CL60" s="59"/>
      <c r="CM60" s="59"/>
      <c r="CN60" s="59"/>
      <c r="CO60" s="59"/>
      <c r="CP60" s="59"/>
      <c r="CQ60" s="59"/>
      <c r="CR60" s="59"/>
      <c r="CS60" s="59"/>
      <c r="CT60" s="59"/>
      <c r="CU60" s="59"/>
      <c r="CV60" s="59"/>
      <c r="CW60" s="59"/>
      <c r="CX60" s="59"/>
      <c r="CY60" s="59"/>
      <c r="CZ60" s="59"/>
      <c r="DA60" s="59"/>
      <c r="DB60" s="59"/>
      <c r="DC60" s="59"/>
      <c r="DD60" s="59"/>
      <c r="DE60" s="59"/>
      <c r="DF60" s="59"/>
      <c r="DG60" s="59"/>
      <c r="DH60" s="59"/>
      <c r="DI60" s="59"/>
      <c r="DJ60" s="59"/>
      <c r="DK60" s="59"/>
      <c r="DL60" s="59"/>
      <c r="DM60" s="59"/>
      <c r="DN60" s="59"/>
      <c r="DO60" s="59"/>
    </row>
    <row r="61" spans="2:119" ht="16.5" thickBot="1" x14ac:dyDescent="0.3">
      <c r="B61" s="201"/>
      <c r="C61" s="197"/>
      <c r="D61" s="82">
        <v>8</v>
      </c>
      <c r="E61" s="92" t="str">
        <f t="shared" ref="E61:AH61" si="105">IF(INDEX($CK$4:$DO$123,ROW()-3,E$3)=0,"","СП")</f>
        <v/>
      </c>
      <c r="F61" s="92" t="str">
        <f t="shared" si="105"/>
        <v/>
      </c>
      <c r="G61" s="92" t="str">
        <f t="shared" si="105"/>
        <v/>
      </c>
      <c r="H61" s="92" t="str">
        <f t="shared" si="105"/>
        <v/>
      </c>
      <c r="I61" s="92" t="str">
        <f t="shared" si="105"/>
        <v/>
      </c>
      <c r="J61" s="92" t="str">
        <f t="shared" si="105"/>
        <v/>
      </c>
      <c r="K61" s="92" t="str">
        <f t="shared" si="105"/>
        <v/>
      </c>
      <c r="L61" s="92" t="str">
        <f t="shared" si="105"/>
        <v/>
      </c>
      <c r="M61" s="92" t="str">
        <f t="shared" si="105"/>
        <v>СП</v>
      </c>
      <c r="N61" s="92" t="str">
        <f t="shared" si="105"/>
        <v/>
      </c>
      <c r="O61" s="92" t="str">
        <f t="shared" si="105"/>
        <v/>
      </c>
      <c r="P61" s="92" t="str">
        <f t="shared" si="105"/>
        <v/>
      </c>
      <c r="Q61" s="92" t="str">
        <f t="shared" si="105"/>
        <v/>
      </c>
      <c r="R61" s="92" t="str">
        <f t="shared" si="105"/>
        <v/>
      </c>
      <c r="S61" s="92" t="str">
        <f t="shared" si="105"/>
        <v/>
      </c>
      <c r="T61" s="92" t="str">
        <f t="shared" si="105"/>
        <v/>
      </c>
      <c r="U61" s="92" t="str">
        <f t="shared" si="105"/>
        <v/>
      </c>
      <c r="V61" s="92" t="str">
        <f t="shared" si="105"/>
        <v/>
      </c>
      <c r="W61" s="92" t="str">
        <f t="shared" si="105"/>
        <v/>
      </c>
      <c r="X61" s="92" t="str">
        <f t="shared" si="105"/>
        <v/>
      </c>
      <c r="Y61" s="92" t="str">
        <f t="shared" si="105"/>
        <v/>
      </c>
      <c r="Z61" s="92" t="str">
        <f t="shared" si="105"/>
        <v/>
      </c>
      <c r="AA61" s="92" t="str">
        <f t="shared" si="105"/>
        <v/>
      </c>
      <c r="AB61" s="92" t="str">
        <f t="shared" si="105"/>
        <v/>
      </c>
      <c r="AC61" s="92" t="str">
        <f t="shared" si="105"/>
        <v/>
      </c>
      <c r="AD61" s="92" t="str">
        <f t="shared" si="105"/>
        <v/>
      </c>
      <c r="AE61" s="92" t="str">
        <f t="shared" si="105"/>
        <v/>
      </c>
      <c r="AF61" s="92" t="str">
        <f t="shared" si="105"/>
        <v/>
      </c>
      <c r="AG61" s="92" t="str">
        <f t="shared" si="105"/>
        <v/>
      </c>
      <c r="AH61" s="92" t="str">
        <f t="shared" si="105"/>
        <v/>
      </c>
      <c r="AI61" s="110"/>
      <c r="AJ61" s="206"/>
      <c r="AK61" s="177"/>
      <c r="AL61" s="177"/>
      <c r="AM61" s="177"/>
      <c r="AN61" s="198"/>
      <c r="AO61" s="198"/>
      <c r="AP61" s="198"/>
      <c r="AQ61" s="177"/>
      <c r="AR61" s="179"/>
      <c r="CK61" s="58">
        <f>IF(DAY(INDEX('Сводный годовой график'!$BA$4:$BL$14,$C60,MONTH($B$54)))=E$3,1,0)</f>
        <v>0</v>
      </c>
      <c r="CL61" s="58">
        <f>IF(DAY(INDEX('Сводный годовой график'!$BA$4:$BL$14,$C60,MONTH($B$54)))=F$3,1,0)</f>
        <v>0</v>
      </c>
      <c r="CM61" s="58">
        <f>IF(DAY(INDEX('Сводный годовой график'!$BA$4:$BL$14,$C60,MONTH($B$54)))=G$3,1,0)</f>
        <v>0</v>
      </c>
      <c r="CN61" s="58">
        <f>IF(DAY(INDEX('Сводный годовой график'!$BA$4:$BL$14,$C60,MONTH($B$54)))=H$3,1,0)</f>
        <v>0</v>
      </c>
      <c r="CO61" s="58">
        <f>IF(DAY(INDEX('Сводный годовой график'!$BA$4:$BL$14,$C60,MONTH($B$54)))=I$3,1,0)</f>
        <v>0</v>
      </c>
      <c r="CP61" s="58">
        <f>IF(DAY(INDEX('Сводный годовой график'!$BA$4:$BL$14,$C60,MONTH($B$54)))=J$3,1,0)</f>
        <v>0</v>
      </c>
      <c r="CQ61" s="58">
        <f>IF(DAY(INDEX('Сводный годовой график'!$BA$4:$BL$14,$C60,MONTH($B$54)))=K$3,1,0)</f>
        <v>0</v>
      </c>
      <c r="CR61" s="58">
        <f>IF(DAY(INDEX('Сводный годовой график'!$BA$4:$BL$14,$C60,MONTH($B$54)))=L$3,1,0)</f>
        <v>0</v>
      </c>
      <c r="CS61" s="58">
        <f>IF(DAY(INDEX('Сводный годовой график'!$BA$4:$BL$14,$C60,MONTH($B$54)))=M$3,1,0)</f>
        <v>1</v>
      </c>
      <c r="CT61" s="58">
        <f>IF(DAY(INDEX('Сводный годовой график'!$BA$4:$BL$14,$C60,MONTH($B$54)))=N$3,1,0)</f>
        <v>0</v>
      </c>
      <c r="CU61" s="58">
        <f>IF(DAY(INDEX('Сводный годовой график'!$BA$4:$BL$14,$C60,MONTH($B$54)))=O$3,1,0)</f>
        <v>0</v>
      </c>
      <c r="CV61" s="58">
        <f>IF(DAY(INDEX('Сводный годовой график'!$BA$4:$BL$14,$C60,MONTH($B$54)))=P$3,1,0)</f>
        <v>0</v>
      </c>
      <c r="CW61" s="58">
        <f>IF(DAY(INDEX('Сводный годовой график'!$BA$4:$BL$14,$C60,MONTH($B$54)))=Q$3,1,0)</f>
        <v>0</v>
      </c>
      <c r="CX61" s="58">
        <f>IF(DAY(INDEX('Сводный годовой график'!$BA$4:$BL$14,$C60,MONTH($B$54)))=R$3,1,0)</f>
        <v>0</v>
      </c>
      <c r="CY61" s="58">
        <f>IF(DAY(INDEX('Сводный годовой график'!$BA$4:$BL$14,$C60,MONTH($B$54)))=S$3,1,0)</f>
        <v>0</v>
      </c>
      <c r="CZ61" s="58">
        <f>IF(DAY(INDEX('Сводный годовой график'!$BA$4:$BL$14,$C60,MONTH($B$54)))=T$3,1,0)</f>
        <v>0</v>
      </c>
      <c r="DA61" s="58">
        <f>IF(DAY(INDEX('Сводный годовой график'!$BA$4:$BL$14,$C60,MONTH($B$54)))=U$3,1,0)</f>
        <v>0</v>
      </c>
      <c r="DB61" s="58">
        <f>IF(DAY(INDEX('Сводный годовой график'!$BA$4:$BL$14,$C60,MONTH($B$54)))=V$3,1,0)</f>
        <v>0</v>
      </c>
      <c r="DC61" s="58">
        <f>IF(DAY(INDEX('Сводный годовой график'!$BA$4:$BL$14,$C60,MONTH($B$54)))=W$3,1,0)</f>
        <v>0</v>
      </c>
      <c r="DD61" s="58">
        <f>IF(DAY(INDEX('Сводный годовой график'!$BA$4:$BL$14,$C60,MONTH($B$54)))=X$3,1,0)</f>
        <v>0</v>
      </c>
      <c r="DE61" s="58">
        <f>IF(DAY(INDEX('Сводный годовой график'!$BA$4:$BL$14,$C60,MONTH($B$54)))=Y$3,1,0)</f>
        <v>0</v>
      </c>
      <c r="DF61" s="58">
        <f>IF(DAY(INDEX('Сводный годовой график'!$BA$4:$BL$14,$C60,MONTH($B$54)))=Z$3,1,0)</f>
        <v>0</v>
      </c>
      <c r="DG61" s="58">
        <f>IF(DAY(INDEX('Сводный годовой график'!$BA$4:$BL$14,$C60,MONTH($B$54)))=AA$3,1,0)</f>
        <v>0</v>
      </c>
      <c r="DH61" s="58">
        <f>IF(DAY(INDEX('Сводный годовой график'!$BA$4:$BL$14,$C60,MONTH($B$54)))=AB$3,1,0)</f>
        <v>0</v>
      </c>
      <c r="DI61" s="58">
        <f>IF(DAY(INDEX('Сводный годовой график'!$BA$4:$BL$14,$C60,MONTH($B$54)))=AC$3,1,0)</f>
        <v>0</v>
      </c>
      <c r="DJ61" s="58">
        <f>IF(DAY(INDEX('Сводный годовой график'!$BA$4:$BL$14,$C60,MONTH($B$54)))=AD$3,1,0)</f>
        <v>0</v>
      </c>
      <c r="DK61" s="58">
        <f>IF(DAY(INDEX('Сводный годовой график'!$BA$4:$BL$14,$C60,MONTH($B$54)))=AE$3,1,0)</f>
        <v>0</v>
      </c>
      <c r="DL61" s="58">
        <f>IF(DAY(INDEX('Сводный годовой график'!$BA$4:$BL$14,$C60,MONTH($B$54)))=AF$3,1,0)</f>
        <v>0</v>
      </c>
      <c r="DM61" s="58">
        <f>IF(DAY(INDEX('Сводный годовой график'!$BA$4:$BL$14,$C60,MONTH($B$54)))=AG$3,1,0)</f>
        <v>0</v>
      </c>
      <c r="DN61" s="58">
        <f>IF(DAY(INDEX('Сводный годовой график'!$BA$4:$BL$14,$C60,MONTH($B$54)))=AH$3,1,0)</f>
        <v>0</v>
      </c>
      <c r="DO61" s="58">
        <f>IF(DAY(INDEX('Сводный годовой график'!$BA$4:$BL$14,$C60,MONTH($B$54)))=AI$3,1,0)</f>
        <v>0</v>
      </c>
    </row>
    <row r="62" spans="2:119" ht="16.5" thickBot="1" x14ac:dyDescent="0.3">
      <c r="B62" s="201"/>
      <c r="C62" s="196">
        <v>5</v>
      </c>
      <c r="D62" s="81">
        <v>9</v>
      </c>
      <c r="E62" s="92" t="s">
        <v>36</v>
      </c>
      <c r="F62" s="92" t="s">
        <v>36</v>
      </c>
      <c r="G62" s="92" t="s">
        <v>36</v>
      </c>
      <c r="H62" s="92" t="s">
        <v>36</v>
      </c>
      <c r="I62" s="92" t="s">
        <v>36</v>
      </c>
      <c r="J62" s="92" t="s">
        <v>36</v>
      </c>
      <c r="K62" s="92" t="s">
        <v>36</v>
      </c>
      <c r="L62" s="92" t="s">
        <v>36</v>
      </c>
      <c r="M62" s="92" t="s">
        <v>36</v>
      </c>
      <c r="N62" s="92" t="s">
        <v>36</v>
      </c>
      <c r="O62" s="92" t="s">
        <v>36</v>
      </c>
      <c r="P62" s="92" t="s">
        <v>36</v>
      </c>
      <c r="Q62" s="92" t="s">
        <v>36</v>
      </c>
      <c r="R62" s="92" t="s">
        <v>36</v>
      </c>
      <c r="S62" s="92" t="s">
        <v>36</v>
      </c>
      <c r="T62" s="92" t="s">
        <v>36</v>
      </c>
      <c r="U62" s="92" t="s">
        <v>36</v>
      </c>
      <c r="V62" s="92" t="s">
        <v>36</v>
      </c>
      <c r="W62" s="92" t="s">
        <v>36</v>
      </c>
      <c r="X62" s="92" t="s">
        <v>36</v>
      </c>
      <c r="Y62" s="92" t="s">
        <v>36</v>
      </c>
      <c r="Z62" s="92" t="s">
        <v>36</v>
      </c>
      <c r="AA62" s="92" t="s">
        <v>36</v>
      </c>
      <c r="AB62" s="92" t="s">
        <v>36</v>
      </c>
      <c r="AC62" s="92" t="s">
        <v>36</v>
      </c>
      <c r="AD62" s="92" t="s">
        <v>36</v>
      </c>
      <c r="AE62" s="92" t="s">
        <v>36</v>
      </c>
      <c r="AF62" s="92" t="s">
        <v>36</v>
      </c>
      <c r="AG62" s="92" t="s">
        <v>36</v>
      </c>
      <c r="AH62" s="92" t="s">
        <v>36</v>
      </c>
      <c r="AI62" s="110"/>
      <c r="AJ62" s="206"/>
      <c r="AK62" s="177">
        <f>$AJ$54-SUM(AY62:CC63)</f>
        <v>151</v>
      </c>
      <c r="AL62" s="177">
        <f t="shared" ref="AL62" si="106">SUM(E62:AI63)</f>
        <v>0</v>
      </c>
      <c r="AM62" s="177">
        <f>SUM(P62)</f>
        <v>0</v>
      </c>
      <c r="AN62" s="198">
        <f t="shared" ref="AN62" si="107">-AM62-AK62+AL62</f>
        <v>-151</v>
      </c>
      <c r="AO62" s="198">
        <v>0</v>
      </c>
      <c r="AP62" s="198">
        <f t="shared" ref="AP62" si="108">AN62+AP52</f>
        <v>-957</v>
      </c>
      <c r="AQ62" s="177">
        <v>0</v>
      </c>
      <c r="AR62" s="179">
        <v>1</v>
      </c>
      <c r="CK62" s="59"/>
      <c r="CL62" s="59"/>
      <c r="CM62" s="59"/>
      <c r="CN62" s="59"/>
      <c r="CO62" s="59"/>
      <c r="CP62" s="59"/>
      <c r="CQ62" s="59"/>
      <c r="CR62" s="59"/>
      <c r="CS62" s="59"/>
      <c r="CT62" s="59"/>
      <c r="CU62" s="59"/>
      <c r="CV62" s="59"/>
      <c r="CW62" s="59"/>
      <c r="CX62" s="59"/>
      <c r="CY62" s="59"/>
      <c r="CZ62" s="59"/>
      <c r="DA62" s="59"/>
      <c r="DB62" s="59"/>
      <c r="DC62" s="59"/>
      <c r="DD62" s="59"/>
      <c r="DE62" s="59"/>
      <c r="DF62" s="59"/>
      <c r="DG62" s="59"/>
      <c r="DH62" s="59"/>
      <c r="DI62" s="59"/>
      <c r="DJ62" s="59"/>
      <c r="DK62" s="59"/>
      <c r="DL62" s="59"/>
      <c r="DM62" s="59"/>
      <c r="DN62" s="59"/>
      <c r="DO62" s="59"/>
    </row>
    <row r="63" spans="2:119" ht="16.5" thickBot="1" x14ac:dyDescent="0.3">
      <c r="B63" s="202"/>
      <c r="C63" s="197"/>
      <c r="D63" s="82">
        <v>10</v>
      </c>
      <c r="E63" s="29" t="str">
        <f t="shared" ref="E63:AH63" si="109">IF(INDEX($CK$4:$DO$123,ROW()-3,E$3)=0,"","СП")</f>
        <v/>
      </c>
      <c r="F63" s="29" t="str">
        <f t="shared" si="109"/>
        <v/>
      </c>
      <c r="G63" s="29" t="str">
        <f t="shared" si="109"/>
        <v/>
      </c>
      <c r="H63" s="29" t="str">
        <f t="shared" si="109"/>
        <v/>
      </c>
      <c r="I63" s="29" t="str">
        <f t="shared" si="109"/>
        <v/>
      </c>
      <c r="J63" s="29" t="str">
        <f t="shared" si="109"/>
        <v/>
      </c>
      <c r="K63" s="29" t="str">
        <f t="shared" si="109"/>
        <v/>
      </c>
      <c r="L63" s="29" t="str">
        <f t="shared" si="109"/>
        <v/>
      </c>
      <c r="M63" s="29" t="str">
        <f t="shared" si="109"/>
        <v/>
      </c>
      <c r="N63" s="29" t="str">
        <f t="shared" si="109"/>
        <v>СП</v>
      </c>
      <c r="O63" s="29" t="str">
        <f t="shared" si="109"/>
        <v/>
      </c>
      <c r="P63" s="29" t="str">
        <f t="shared" si="109"/>
        <v/>
      </c>
      <c r="Q63" s="29" t="str">
        <f t="shared" si="109"/>
        <v/>
      </c>
      <c r="R63" s="29" t="str">
        <f t="shared" si="109"/>
        <v/>
      </c>
      <c r="S63" s="29" t="str">
        <f t="shared" si="109"/>
        <v/>
      </c>
      <c r="T63" s="29" t="str">
        <f t="shared" si="109"/>
        <v/>
      </c>
      <c r="U63" s="29" t="str">
        <f t="shared" si="109"/>
        <v/>
      </c>
      <c r="V63" s="29" t="str">
        <f t="shared" si="109"/>
        <v/>
      </c>
      <c r="W63" s="29" t="str">
        <f t="shared" si="109"/>
        <v/>
      </c>
      <c r="X63" s="29" t="str">
        <f t="shared" si="109"/>
        <v/>
      </c>
      <c r="Y63" s="29" t="str">
        <f t="shared" si="109"/>
        <v/>
      </c>
      <c r="Z63" s="29" t="str">
        <f t="shared" si="109"/>
        <v/>
      </c>
      <c r="AA63" s="29" t="str">
        <f t="shared" si="109"/>
        <v/>
      </c>
      <c r="AB63" s="29" t="str">
        <f t="shared" si="109"/>
        <v/>
      </c>
      <c r="AC63" s="29" t="str">
        <f t="shared" si="109"/>
        <v/>
      </c>
      <c r="AD63" s="29" t="str">
        <f t="shared" si="109"/>
        <v/>
      </c>
      <c r="AE63" s="29" t="str">
        <f t="shared" si="109"/>
        <v/>
      </c>
      <c r="AF63" s="29" t="str">
        <f t="shared" si="109"/>
        <v/>
      </c>
      <c r="AG63" s="29" t="str">
        <f t="shared" si="109"/>
        <v/>
      </c>
      <c r="AH63" s="29" t="str">
        <f t="shared" si="109"/>
        <v/>
      </c>
      <c r="AI63" s="111"/>
      <c r="AJ63" s="207"/>
      <c r="AK63" s="178"/>
      <c r="AL63" s="178"/>
      <c r="AM63" s="178"/>
      <c r="AN63" s="199"/>
      <c r="AO63" s="199"/>
      <c r="AP63" s="199"/>
      <c r="AQ63" s="178"/>
      <c r="AR63" s="180"/>
      <c r="CK63" s="58">
        <f>IF(DAY(INDEX('Сводный годовой график'!$BA$4:$BL$14,$C62,MONTH($B$54)))=E$3,1,0)</f>
        <v>0</v>
      </c>
      <c r="CL63" s="58">
        <f>IF(DAY(INDEX('Сводный годовой график'!$BA$4:$BL$14,$C62,MONTH($B$54)))=F$3,1,0)</f>
        <v>0</v>
      </c>
      <c r="CM63" s="58">
        <f>IF(DAY(INDEX('Сводный годовой график'!$BA$4:$BL$14,$C62,MONTH($B$54)))=G$3,1,0)</f>
        <v>0</v>
      </c>
      <c r="CN63" s="58">
        <f>IF(DAY(INDEX('Сводный годовой график'!$BA$4:$BL$14,$C62,MONTH($B$54)))=H$3,1,0)</f>
        <v>0</v>
      </c>
      <c r="CO63" s="58">
        <f>IF(DAY(INDEX('Сводный годовой график'!$BA$4:$BL$14,$C62,MONTH($B$54)))=I$3,1,0)</f>
        <v>0</v>
      </c>
      <c r="CP63" s="58">
        <f>IF(DAY(INDEX('Сводный годовой график'!$BA$4:$BL$14,$C62,MONTH($B$54)))=J$3,1,0)</f>
        <v>0</v>
      </c>
      <c r="CQ63" s="58">
        <f>IF(DAY(INDEX('Сводный годовой график'!$BA$4:$BL$14,$C62,MONTH($B$54)))=K$3,1,0)</f>
        <v>0</v>
      </c>
      <c r="CR63" s="58">
        <f>IF(DAY(INDEX('Сводный годовой график'!$BA$4:$BL$14,$C62,MONTH($B$54)))=L$3,1,0)</f>
        <v>0</v>
      </c>
      <c r="CS63" s="58">
        <f>IF(DAY(INDEX('Сводный годовой график'!$BA$4:$BL$14,$C62,MONTH($B$54)))=M$3,1,0)</f>
        <v>0</v>
      </c>
      <c r="CT63" s="58">
        <f>IF(DAY(INDEX('Сводный годовой график'!$BA$4:$BL$14,$C62,MONTH($B$54)))=N$3,1,0)</f>
        <v>1</v>
      </c>
      <c r="CU63" s="58">
        <f>IF(DAY(INDEX('Сводный годовой график'!$BA$4:$BL$14,$C62,MONTH($B$54)))=O$3,1,0)</f>
        <v>0</v>
      </c>
      <c r="CV63" s="58">
        <f>IF(DAY(INDEX('Сводный годовой график'!$BA$4:$BL$14,$C62,MONTH($B$54)))=P$3,1,0)</f>
        <v>0</v>
      </c>
      <c r="CW63" s="58">
        <f>IF(DAY(INDEX('Сводный годовой график'!$BA$4:$BL$14,$C62,MONTH($B$54)))=Q$3,1,0)</f>
        <v>0</v>
      </c>
      <c r="CX63" s="58">
        <f>IF(DAY(INDEX('Сводный годовой график'!$BA$4:$BL$14,$C62,MONTH($B$54)))=R$3,1,0)</f>
        <v>0</v>
      </c>
      <c r="CY63" s="58">
        <f>IF(DAY(INDEX('Сводный годовой график'!$BA$4:$BL$14,$C62,MONTH($B$54)))=S$3,1,0)</f>
        <v>0</v>
      </c>
      <c r="CZ63" s="58">
        <f>IF(DAY(INDEX('Сводный годовой график'!$BA$4:$BL$14,$C62,MONTH($B$54)))=T$3,1,0)</f>
        <v>0</v>
      </c>
      <c r="DA63" s="58">
        <f>IF(DAY(INDEX('Сводный годовой график'!$BA$4:$BL$14,$C62,MONTH($B$54)))=U$3,1,0)</f>
        <v>0</v>
      </c>
      <c r="DB63" s="58">
        <f>IF(DAY(INDEX('Сводный годовой график'!$BA$4:$BL$14,$C62,MONTH($B$54)))=V$3,1,0)</f>
        <v>0</v>
      </c>
      <c r="DC63" s="58">
        <f>IF(DAY(INDEX('Сводный годовой график'!$BA$4:$BL$14,$C62,MONTH($B$54)))=W$3,1,0)</f>
        <v>0</v>
      </c>
      <c r="DD63" s="58">
        <f>IF(DAY(INDEX('Сводный годовой график'!$BA$4:$BL$14,$C62,MONTH($B$54)))=X$3,1,0)</f>
        <v>0</v>
      </c>
      <c r="DE63" s="58">
        <f>IF(DAY(INDEX('Сводный годовой график'!$BA$4:$BL$14,$C62,MONTH($B$54)))=Y$3,1,0)</f>
        <v>0</v>
      </c>
      <c r="DF63" s="58">
        <f>IF(DAY(INDEX('Сводный годовой график'!$BA$4:$BL$14,$C62,MONTH($B$54)))=Z$3,1,0)</f>
        <v>0</v>
      </c>
      <c r="DG63" s="58">
        <f>IF(DAY(INDEX('Сводный годовой график'!$BA$4:$BL$14,$C62,MONTH($B$54)))=AA$3,1,0)</f>
        <v>0</v>
      </c>
      <c r="DH63" s="58">
        <f>IF(DAY(INDEX('Сводный годовой график'!$BA$4:$BL$14,$C62,MONTH($B$54)))=AB$3,1,0)</f>
        <v>0</v>
      </c>
      <c r="DI63" s="58">
        <f>IF(DAY(INDEX('Сводный годовой график'!$BA$4:$BL$14,$C62,MONTH($B$54)))=AC$3,1,0)</f>
        <v>0</v>
      </c>
      <c r="DJ63" s="58">
        <f>IF(DAY(INDEX('Сводный годовой график'!$BA$4:$BL$14,$C62,MONTH($B$54)))=AD$3,1,0)</f>
        <v>0</v>
      </c>
      <c r="DK63" s="58">
        <f>IF(DAY(INDEX('Сводный годовой график'!$BA$4:$BL$14,$C62,MONTH($B$54)))=AE$3,1,0)</f>
        <v>0</v>
      </c>
      <c r="DL63" s="58">
        <f>IF(DAY(INDEX('Сводный годовой график'!$BA$4:$BL$14,$C62,MONTH($B$54)))=AF$3,1,0)</f>
        <v>0</v>
      </c>
      <c r="DM63" s="58">
        <f>IF(DAY(INDEX('Сводный годовой график'!$BA$4:$BL$14,$C62,MONTH($B$54)))=AG$3,1,0)</f>
        <v>0</v>
      </c>
      <c r="DN63" s="58">
        <f>IF(DAY(INDEX('Сводный годовой график'!$BA$4:$BL$14,$C62,MONTH($B$54)))=AH$3,1,0)</f>
        <v>0</v>
      </c>
      <c r="DO63" s="58">
        <f>IF(DAY(INDEX('Сводный годовой график'!$BA$4:$BL$14,$C62,MONTH($B$54)))=AI$3,1,0)</f>
        <v>0</v>
      </c>
    </row>
    <row r="64" spans="2:119" ht="17.25" customHeight="1" thickTop="1" thickBot="1" x14ac:dyDescent="0.3">
      <c r="B64" s="200">
        <f>DATE($AV$1,7,1)</f>
        <v>45839</v>
      </c>
      <c r="C64" s="212">
        <v>1</v>
      </c>
      <c r="D64" s="99">
        <v>1</v>
      </c>
      <c r="E64" s="27" t="e">
        <f ca="1">IF(AND(INDEX('Сводный годовой график'!$C$1:$AR$4,MATCH($C$64,'Сводный годовой график'!$B$1:$B$4),MATCH(DATE($AV$1,MONTH($B$64),E$3),'Сводный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график'!$B$1:$B$4),MATCH(DATE($AV$1,MONTH($B$64),E$3),'Сводный годовой график'!$C$11:$AR$11)))</f>
        <v>#N/A</v>
      </c>
      <c r="F64" s="27" t="e">
        <f ca="1">IF(AND(INDEX('Сводный годовой график'!$C$1:$AR$4,MATCH($C$64,'Сводный годовой график'!$B$1:$B$4),MATCH(DATE($AV$1,MONTH($B$64),F$3),'Сводный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график'!$B$1:$B$4),MATCH(DATE($AV$1,MONTH($B$64),F$3),'Сводный годовой график'!$C$11:$AR$11)))</f>
        <v>#N/A</v>
      </c>
      <c r="G64" s="27" t="e">
        <f ca="1">IF(AND(INDEX('Сводный годовой график'!$C$1:$AR$4,MATCH($C$64,'Сводный годовой график'!$B$1:$B$4),MATCH(DATE($AV$1,MONTH($B$64),G$3),'Сводный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график'!$B$1:$B$4),MATCH(DATE($AV$1,MONTH($B$64),G$3),'Сводный годовой график'!$C$11:$AR$11)))</f>
        <v>#N/A</v>
      </c>
      <c r="H64" s="27" t="e">
        <f ca="1">IF(AND(INDEX('Сводный годовой график'!$C$1:$AR$4,MATCH($C$64,'Сводный годовой график'!$B$1:$B$4),MATCH(DATE($AV$1,MONTH($B$64),H$3),'Сводный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график'!$B$1:$B$4),MATCH(DATE($AV$1,MONTH($B$64),H$3),'Сводный годовой график'!$C$11:$AR$11)))</f>
        <v>#N/A</v>
      </c>
      <c r="I64" s="27" t="e">
        <f ca="1">IF(AND(INDEX('Сводный годовой график'!$C$1:$AR$4,MATCH($C$64,'Сводный годовой график'!$B$1:$B$4),MATCH(DATE($AV$1,MONTH($B$64),I$3),'Сводный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график'!$B$1:$B$4),MATCH(DATE($AV$1,MONTH($B$64),I$3),'Сводный годовой график'!$C$11:$AR$11)))</f>
        <v>#N/A</v>
      </c>
      <c r="J64" s="27" t="e">
        <f ca="1">IF(AND(INDEX('Сводный годовой график'!$C$1:$AR$4,MATCH($C$64,'Сводный годовой график'!$B$1:$B$4),MATCH(DATE($AV$1,MONTH($B$64),J$3),'Сводный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график'!$B$1:$B$4),MATCH(DATE($AV$1,MONTH($B$64),J$3),'Сводный годовой график'!$C$11:$AR$11)))</f>
        <v>#N/A</v>
      </c>
      <c r="K64" s="27" t="e">
        <f ca="1">IF(AND(INDEX('Сводный годовой график'!$C$1:$AR$4,MATCH($C$64,'Сводный годовой график'!$B$1:$B$4),MATCH(DATE($AV$1,MONTH($B$64),K$3),'Сводный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график'!$B$1:$B$4),MATCH(DATE($AV$1,MONTH($B$64),K$3),'Сводный годовой график'!$C$11:$AR$11)))</f>
        <v>#N/A</v>
      </c>
      <c r="L64" s="27" t="e">
        <f ca="1">IF(AND(INDEX('Сводный годовой график'!$C$1:$AR$4,MATCH($C$64,'Сводный годовой график'!$B$1:$B$4),MATCH(DATE($AV$1,MONTH($B$64),L$3),'Сводный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график'!$B$1:$B$4),MATCH(DATE($AV$1,MONTH($B$64),L$3),'Сводный годовой график'!$C$11:$AR$11)))</f>
        <v>#N/A</v>
      </c>
      <c r="M64" s="27" t="e">
        <f ca="1">IF(AND(INDEX('Сводный годовой график'!$C$1:$AR$4,MATCH($C$64,'Сводный годовой график'!$B$1:$B$4),MATCH(DATE($AV$1,MONTH($B$64),M$3),'Сводный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график'!$B$1:$B$4),MATCH(DATE($AV$1,MONTH($B$64),M$3),'Сводный годовой график'!$C$11:$AR$11)))</f>
        <v>#N/A</v>
      </c>
      <c r="N64" s="27" t="e">
        <f ca="1">IF(AND(INDEX('Сводный годовой график'!$C$1:$AR$4,MATCH($C$64,'Сводный годовой график'!$B$1:$B$4),MATCH(DATE($AV$1,MONTH($B$64),N$3),'Сводный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график'!$B$1:$B$4),MATCH(DATE($AV$1,MONTH($B$64),N$3),'Сводный годовой график'!$C$11:$AR$11)))</f>
        <v>#N/A</v>
      </c>
      <c r="O64" s="27" t="e">
        <f ca="1">IF(AND(INDEX('Сводный годовой график'!$C$1:$AR$4,MATCH($C$64,'Сводный годовой график'!$B$1:$B$4),MATCH(DATE($AV$1,MONTH($B$64),O$3),'Сводный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график'!$B$1:$B$4),MATCH(DATE($AV$1,MONTH($B$64),O$3),'Сводный годовой график'!$C$11:$AR$11)))</f>
        <v>#N/A</v>
      </c>
      <c r="P64" s="27" t="e">
        <f ca="1">IF(AND(INDEX('Сводный годовой график'!$C$1:$AR$4,MATCH($C$64,'Сводный годовой график'!$B$1:$B$4),MATCH(DATE($AV$1,MONTH($B$64),P$3),'Сводный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график'!$B$1:$B$4),MATCH(DATE($AV$1,MONTH($B$64),P$3),'Сводный годовой график'!$C$11:$AR$11)))</f>
        <v>#N/A</v>
      </c>
      <c r="Q64" s="27" t="e">
        <f ca="1">IF(AND(INDEX('Сводный годовой график'!$C$1:$AR$4,MATCH($C$64,'Сводный годовой график'!$B$1:$B$4),MATCH(DATE($AV$1,MONTH($B$64),Q$3),'Сводный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график'!$B$1:$B$4),MATCH(DATE($AV$1,MONTH($B$64),Q$3),'Сводный годовой график'!$C$11:$AR$11)))</f>
        <v>#N/A</v>
      </c>
      <c r="R64" s="27" t="e">
        <f ca="1">IF(AND(INDEX('Сводный годовой график'!$C$1:$AR$4,MATCH($C$64,'Сводный годовой график'!$B$1:$B$4),MATCH(DATE($AV$1,MONTH($B$64),R$3),'Сводный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график'!$B$1:$B$4),MATCH(DATE($AV$1,MONTH($B$64),R$3),'Сводный годовой график'!$C$11:$AR$11)))</f>
        <v>#N/A</v>
      </c>
      <c r="S64" s="27" t="e">
        <f ca="1">IF(AND(INDEX('Сводный годовой график'!$C$1:$AR$4,MATCH($C$64,'Сводный годовой график'!$B$1:$B$4),MATCH(DATE($AV$1,MONTH($B$64),S$3),'Сводный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график'!$B$1:$B$4),MATCH(DATE($AV$1,MONTH($B$64),S$3),'Сводный годовой график'!$C$11:$AR$11)))</f>
        <v>#N/A</v>
      </c>
      <c r="T64" s="27" t="e">
        <f ca="1">IF(AND(INDEX('Сводный годовой график'!$C$1:$AR$4,MATCH($C$64,'Сводный годовой график'!$B$1:$B$4),MATCH(DATE($AV$1,MONTH($B$64),T$3),'Сводный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график'!$B$1:$B$4),MATCH(DATE($AV$1,MONTH($B$64),T$3),'Сводный годовой график'!$C$11:$AR$11)))</f>
        <v>#N/A</v>
      </c>
      <c r="U64" s="27" t="e">
        <f ca="1">IF(AND(INDEX('Сводный годовой график'!$C$1:$AR$4,MATCH($C$64,'Сводный годовой график'!$B$1:$B$4),MATCH(DATE($AV$1,MONTH($B$64),U$3),'Сводный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график'!$B$1:$B$4),MATCH(DATE($AV$1,MONTH($B$64),U$3),'Сводный годовой график'!$C$11:$AR$11)))</f>
        <v>#N/A</v>
      </c>
      <c r="V64" s="27" t="e">
        <f ca="1">IF(AND(INDEX('Сводный годовой график'!$C$1:$AR$4,MATCH($C$64,'Сводный годовой график'!$B$1:$B$4),MATCH(DATE($AV$1,MONTH($B$64),V$3),'Сводный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график'!$B$1:$B$4),MATCH(DATE($AV$1,MONTH($B$64),V$3),'Сводный годовой график'!$C$11:$AR$11)))</f>
        <v>#N/A</v>
      </c>
      <c r="W64" s="27" t="e">
        <f ca="1">IF(AND(INDEX('Сводный годовой график'!$C$1:$AR$4,MATCH($C$64,'Сводный годовой график'!$B$1:$B$4),MATCH(DATE($AV$1,MONTH($B$64),W$3),'Сводный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график'!$B$1:$B$4),MATCH(DATE($AV$1,MONTH($B$64),W$3),'Сводный годовой график'!$C$11:$AR$11)))</f>
        <v>#N/A</v>
      </c>
      <c r="X64" s="27" t="e">
        <f ca="1">IF(AND(INDEX('Сводный годовой график'!$C$1:$AR$4,MATCH($C$64,'Сводный годовой график'!$B$1:$B$4),MATCH(DATE($AV$1,MONTH($B$64),X$3),'Сводный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график'!$B$1:$B$4),MATCH(DATE($AV$1,MONTH($B$64),X$3),'Сводный годовой график'!$C$11:$AR$11)))</f>
        <v>#N/A</v>
      </c>
      <c r="Y64" s="27" t="e">
        <f ca="1">IF(AND(INDEX('Сводный годовой график'!$C$1:$AR$4,MATCH($C$64,'Сводный годовой график'!$B$1:$B$4),MATCH(DATE($AV$1,MONTH($B$64),Y$3),'Сводный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график'!$B$1:$B$4),MATCH(DATE($AV$1,MONTH($B$64),Y$3),'Сводный годовой график'!$C$11:$AR$11)))</f>
        <v>#N/A</v>
      </c>
      <c r="Z64" s="27" t="e">
        <f ca="1">IF(AND(INDEX('Сводный годовой график'!$C$1:$AR$4,MATCH($C$64,'Сводный годовой график'!$B$1:$B$4),MATCH(DATE($AV$1,MONTH($B$64),Z$3),'Сводный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график'!$B$1:$B$4),MATCH(DATE($AV$1,MONTH($B$64),Z$3),'Сводный годовой график'!$C$11:$AR$11)))</f>
        <v>#N/A</v>
      </c>
      <c r="AA64" s="27" t="e">
        <f ca="1">IF(AND(INDEX('Сводный годовой график'!$C$1:$AR$4,MATCH($C$64,'Сводный годовой график'!$B$1:$B$4),MATCH(DATE($AV$1,MONTH($B$64),AA$3),'Сводный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график'!$B$1:$B$4),MATCH(DATE($AV$1,MONTH($B$64),AA$3),'Сводный годовой график'!$C$11:$AR$11)))</f>
        <v>#N/A</v>
      </c>
      <c r="AB64" s="27" t="e">
        <f ca="1">IF(AND(INDEX('Сводный годовой график'!$C$1:$AR$4,MATCH($C$64,'Сводный годовой график'!$B$1:$B$4),MATCH(DATE($AV$1,MONTH($B$64),AB$3),'Сводный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график'!$B$1:$B$4),MATCH(DATE($AV$1,MONTH($B$64),AB$3),'Сводный годовой график'!$C$11:$AR$11)))</f>
        <v>#N/A</v>
      </c>
      <c r="AC64" s="27" t="e">
        <f ca="1">IF(AND(INDEX('Сводный годовой график'!$C$1:$AR$4,MATCH($C$64,'Сводный годовой график'!$B$1:$B$4),MATCH(DATE($AV$1,MONTH($B$64),AC$3),'Сводный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график'!$B$1:$B$4),MATCH(DATE($AV$1,MONTH($B$64),AC$3),'Сводный годовой график'!$C$11:$AR$11)))</f>
        <v>#N/A</v>
      </c>
      <c r="AD64" s="27" t="e">
        <f ca="1">IF(AND(INDEX('Сводный годовой график'!$C$1:$AR$4,MATCH($C$64,'Сводный годовой график'!$B$1:$B$4),MATCH(DATE($AV$1,MONTH($B$64),AD$3),'Сводный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график'!$B$1:$B$4),MATCH(DATE($AV$1,MONTH($B$64),AD$3),'Сводный годовой график'!$C$11:$AR$11)))</f>
        <v>#N/A</v>
      </c>
      <c r="AE64" s="27" t="e">
        <f ca="1">IF(AND(INDEX('Сводный годовой график'!$C$1:$AR$4,MATCH($C$64,'Сводный годовой график'!$B$1:$B$4),MATCH(DATE($AV$1,MONTH($B$64),AE$3),'Сводный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график'!$B$1:$B$4),MATCH(DATE($AV$1,MONTH($B$64),AE$3),'Сводный годовой график'!$C$11:$AR$11)))</f>
        <v>#N/A</v>
      </c>
      <c r="AF64" s="27" t="e">
        <f ca="1">IF(AND(INDEX('Сводный годовой график'!$C$1:$AR$4,MATCH($C$64,'Сводный годовой график'!$B$1:$B$4),MATCH(DATE($AV$1,MONTH($B$64),AF$3),'Сводный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график'!$B$1:$B$4),MATCH(DATE($AV$1,MONTH($B$64),AF$3),'Сводный годовой график'!$C$11:$AR$11)))</f>
        <v>#N/A</v>
      </c>
      <c r="AG64" s="27" t="e">
        <f ca="1">IF(AND(INDEX('Сводный годовой график'!$C$1:$AR$4,MATCH($C$64,'Сводный годовой график'!$B$1:$B$4),MATCH(DATE($AV$1,MONTH($B$64),AG$3),'Сводный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график'!$B$1:$B$4),MATCH(DATE($AV$1,MONTH($B$64),AG$3),'Сводный годовой график'!$C$11:$AR$11)))</f>
        <v>#N/A</v>
      </c>
      <c r="AH64" s="27" t="e">
        <f ca="1">IF(AND(INDEX('Сводный годовой график'!$C$1:$AR$4,MATCH($C$64,'Сводный годовой график'!$B$1:$B$4),MATCH(DATE($AV$1,MONTH($B$64),AH$3),'Сводный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график'!$B$1:$B$4),MATCH(DATE($AV$1,MONTH($B$64),AH$3),'Сводный годовой график'!$C$11:$AR$11)))</f>
        <v>#N/A</v>
      </c>
      <c r="AI64" s="27" t="e">
        <f ca="1">IF(AND(INDEX('Сводный годовой график'!$C$1:$AR$4,MATCH($C$64,'Сводный годовой график'!$B$1:$B$4),MATCH(DATE($AV$1,MONTH($B$64),AI$3),'Сводный годовой график'!$C$11:$AR$11))&lt;&gt;12,INDIRECT(ADDRESS(ROW()+1,COLUMN()))="СП"),8,INDEX('Сводный годовой график'!$C$1:$AR$4,MATCH($C$64,'Сводный годовой график'!$B$1:$B$4),MATCH(DATE($AV$1,MONTH($B$64),AI$3),'Сводный годовой график'!$C$11:$AR$11)))</f>
        <v>#N/A</v>
      </c>
      <c r="AJ64" s="205">
        <f>INDEX(Подключения!$D$3:$H$14,MONTH(B64),5)</f>
        <v>184</v>
      </c>
      <c r="AK64" s="216">
        <f>$AJ$64-SUM(AY64:CC65)</f>
        <v>184</v>
      </c>
      <c r="AL64" s="216" t="e">
        <f t="shared" ref="AL64" ca="1" si="110">SUM(E64:AI65)</f>
        <v>#N/A</v>
      </c>
      <c r="AM64" s="216">
        <v>0</v>
      </c>
      <c r="AN64" s="218" t="e">
        <f t="shared" ref="AN64" ca="1" si="111">-AM64-AK64+AL64</f>
        <v>#N/A</v>
      </c>
      <c r="AO64" s="218">
        <v>0</v>
      </c>
      <c r="AP64" s="218" t="e">
        <f ca="1">AN64+AP54-AO64</f>
        <v>#N/A</v>
      </c>
      <c r="AQ64" s="216">
        <v>0</v>
      </c>
      <c r="AR64" s="217">
        <v>1</v>
      </c>
      <c r="AS64" s="21"/>
      <c r="AT64" s="21"/>
      <c r="CK64" s="59"/>
      <c r="CL64" s="59"/>
      <c r="CM64" s="59"/>
      <c r="CN64" s="59"/>
      <c r="CO64" s="59"/>
      <c r="CP64" s="59"/>
      <c r="CQ64" s="59"/>
      <c r="CR64" s="59"/>
      <c r="CS64" s="59"/>
      <c r="CT64" s="59"/>
      <c r="CU64" s="59"/>
      <c r="CV64" s="59"/>
      <c r="CW64" s="59"/>
      <c r="CX64" s="59"/>
      <c r="CY64" s="59"/>
      <c r="CZ64" s="59"/>
      <c r="DA64" s="59"/>
      <c r="DB64" s="59"/>
      <c r="DC64" s="59"/>
      <c r="DD64" s="59"/>
      <c r="DE64" s="59"/>
      <c r="DF64" s="59"/>
      <c r="DG64" s="59"/>
      <c r="DH64" s="59"/>
      <c r="DI64" s="59"/>
      <c r="DJ64" s="59"/>
      <c r="DK64" s="59"/>
      <c r="DL64" s="59"/>
      <c r="DM64" s="59"/>
      <c r="DN64" s="59"/>
      <c r="DO64" s="59"/>
    </row>
    <row r="65" spans="2:119" ht="16.5" thickBot="1" x14ac:dyDescent="0.3">
      <c r="B65" s="201"/>
      <c r="C65" s="197"/>
      <c r="D65" s="82">
        <v>2</v>
      </c>
      <c r="E65" s="92" t="str">
        <f t="shared" ref="E65:AI65" si="112">IF(INDEX($CK$4:$DO$123,ROW()-3,E$3)=0,"","СП")</f>
        <v/>
      </c>
      <c r="F65" s="92" t="str">
        <f t="shared" si="112"/>
        <v/>
      </c>
      <c r="G65" s="92" t="str">
        <f t="shared" si="112"/>
        <v/>
      </c>
      <c r="H65" s="92" t="str">
        <f t="shared" si="112"/>
        <v/>
      </c>
      <c r="I65" s="92" t="str">
        <f t="shared" si="112"/>
        <v/>
      </c>
      <c r="J65" s="92" t="str">
        <f t="shared" si="112"/>
        <v/>
      </c>
      <c r="K65" s="92" t="str">
        <f t="shared" si="112"/>
        <v>СП</v>
      </c>
      <c r="L65" s="92" t="str">
        <f t="shared" si="112"/>
        <v/>
      </c>
      <c r="M65" s="92" t="str">
        <f t="shared" si="112"/>
        <v/>
      </c>
      <c r="N65" s="92" t="str">
        <f t="shared" si="112"/>
        <v/>
      </c>
      <c r="O65" s="92" t="str">
        <f t="shared" si="112"/>
        <v/>
      </c>
      <c r="P65" s="92" t="str">
        <f t="shared" si="112"/>
        <v/>
      </c>
      <c r="Q65" s="92" t="str">
        <f t="shared" si="112"/>
        <v/>
      </c>
      <c r="R65" s="92" t="str">
        <f t="shared" si="112"/>
        <v/>
      </c>
      <c r="S65" s="92" t="str">
        <f t="shared" si="112"/>
        <v/>
      </c>
      <c r="T65" s="92" t="str">
        <f t="shared" si="112"/>
        <v/>
      </c>
      <c r="U65" s="92" t="str">
        <f t="shared" si="112"/>
        <v/>
      </c>
      <c r="V65" s="92" t="str">
        <f t="shared" si="112"/>
        <v/>
      </c>
      <c r="W65" s="92" t="str">
        <f t="shared" si="112"/>
        <v/>
      </c>
      <c r="X65" s="92" t="str">
        <f t="shared" si="112"/>
        <v/>
      </c>
      <c r="Y65" s="92" t="str">
        <f t="shared" si="112"/>
        <v/>
      </c>
      <c r="Z65" s="92" t="str">
        <f t="shared" si="112"/>
        <v/>
      </c>
      <c r="AA65" s="92" t="str">
        <f t="shared" si="112"/>
        <v/>
      </c>
      <c r="AB65" s="92" t="str">
        <f t="shared" si="112"/>
        <v/>
      </c>
      <c r="AC65" s="92" t="str">
        <f t="shared" si="112"/>
        <v/>
      </c>
      <c r="AD65" s="92" t="str">
        <f t="shared" si="112"/>
        <v/>
      </c>
      <c r="AE65" s="92" t="str">
        <f t="shared" si="112"/>
        <v/>
      </c>
      <c r="AF65" s="92" t="str">
        <f t="shared" si="112"/>
        <v/>
      </c>
      <c r="AG65" s="92" t="str">
        <f t="shared" si="112"/>
        <v/>
      </c>
      <c r="AH65" s="92" t="str">
        <f t="shared" si="112"/>
        <v/>
      </c>
      <c r="AI65" s="92" t="str">
        <f t="shared" si="112"/>
        <v/>
      </c>
      <c r="AJ65" s="206"/>
      <c r="AK65" s="209"/>
      <c r="AL65" s="209"/>
      <c r="AM65" s="209"/>
      <c r="AN65" s="211"/>
      <c r="AO65" s="211"/>
      <c r="AP65" s="211"/>
      <c r="AQ65" s="209"/>
      <c r="AR65" s="210"/>
      <c r="CK65" s="58">
        <f>IF(DAY(INDEX('Сводный годовой график'!$BA$4:$BL$14,$C64,MONTH($B$64)))=E$3,1,0)</f>
        <v>0</v>
      </c>
      <c r="CL65" s="58">
        <f>IF(DAY(INDEX('Сводный годовой график'!$BA$4:$BL$14,$C64,MONTH($B$64)))=F$3,1,0)</f>
        <v>0</v>
      </c>
      <c r="CM65" s="58">
        <f>IF(DAY(INDEX('Сводный годовой график'!$BA$4:$BL$14,$C64,MONTH($B$64)))=G$3,1,0)</f>
        <v>0</v>
      </c>
      <c r="CN65" s="58">
        <f>IF(DAY(INDEX('Сводный годовой график'!$BA$4:$BL$14,$C64,MONTH($B$64)))=H$3,1,0)</f>
        <v>0</v>
      </c>
      <c r="CO65" s="58">
        <f>IF(DAY(INDEX('Сводный годовой график'!$BA$4:$BL$14,$C64,MONTH($B$64)))=I$3,1,0)</f>
        <v>0</v>
      </c>
      <c r="CP65" s="58">
        <f>IF(DAY(INDEX('Сводный годовой график'!$BA$4:$BL$14,$C64,MONTH($B$64)))=J$3,1,0)</f>
        <v>0</v>
      </c>
      <c r="CQ65" s="58">
        <f>IF(DAY(INDEX('Сводный годовой график'!$BA$4:$BL$14,$C64,MONTH($B$64)))=K$3,1,0)</f>
        <v>1</v>
      </c>
      <c r="CR65" s="58">
        <f>IF(DAY(INDEX('Сводный годовой график'!$BA$4:$BL$14,$C64,MONTH($B$64)))=L$3,1,0)</f>
        <v>0</v>
      </c>
      <c r="CS65" s="58">
        <f>IF(DAY(INDEX('Сводный годовой график'!$BA$4:$BL$14,$C64,MONTH($B$64)))=M$3,1,0)</f>
        <v>0</v>
      </c>
      <c r="CT65" s="58">
        <f>IF(DAY(INDEX('Сводный годовой график'!$BA$4:$BL$14,$C64,MONTH($B$64)))=N$3,1,0)</f>
        <v>0</v>
      </c>
      <c r="CU65" s="58">
        <f>IF(DAY(INDEX('Сводный годовой график'!$BA$4:$BL$14,$C64,MONTH($B$64)))=O$3,1,0)</f>
        <v>0</v>
      </c>
      <c r="CV65" s="58">
        <f>IF(DAY(INDEX('Сводный годовой график'!$BA$4:$BL$14,$C64,MONTH($B$64)))=P$3,1,0)</f>
        <v>0</v>
      </c>
      <c r="CW65" s="58">
        <f>IF(DAY(INDEX('Сводный годовой график'!$BA$4:$BL$14,$C64,MONTH($B$64)))=Q$3,1,0)</f>
        <v>0</v>
      </c>
      <c r="CX65" s="58">
        <f>IF(DAY(INDEX('Сводный годовой график'!$BA$4:$BL$14,$C64,MONTH($B$64)))=R$3,1,0)</f>
        <v>0</v>
      </c>
      <c r="CY65" s="58">
        <f>IF(DAY(INDEX('Сводный годовой график'!$BA$4:$BL$14,$C64,MONTH($B$64)))=S$3,1,0)</f>
        <v>0</v>
      </c>
      <c r="CZ65" s="58">
        <f>IF(DAY(INDEX('Сводный годовой график'!$BA$4:$BL$14,$C64,MONTH($B$64)))=T$3,1,0)</f>
        <v>0</v>
      </c>
      <c r="DA65" s="58">
        <f>IF(DAY(INDEX('Сводный годовой график'!$BA$4:$BL$14,$C64,MONTH($B$64)))=U$3,1,0)</f>
        <v>0</v>
      </c>
      <c r="DB65" s="58">
        <f>IF(DAY(INDEX('Сводный годовой график'!$BA$4:$BL$14,$C64,MONTH($B$64)))=V$3,1,0)</f>
        <v>0</v>
      </c>
      <c r="DC65" s="58">
        <f>IF(DAY(INDEX('Сводный годовой график'!$BA$4:$BL$14,$C64,MONTH($B$64)))=W$3,1,0)</f>
        <v>0</v>
      </c>
      <c r="DD65" s="58">
        <f>IF(DAY(INDEX('Сводный годовой график'!$BA$4:$BL$14,$C64,MONTH($B$64)))=X$3,1,0)</f>
        <v>0</v>
      </c>
      <c r="DE65" s="58">
        <f>IF(DAY(INDEX('Сводный годовой график'!$BA$4:$BL$14,$C64,MONTH($B$64)))=Y$3,1,0)</f>
        <v>0</v>
      </c>
      <c r="DF65" s="58">
        <f>IF(DAY(INDEX('Сводный годовой график'!$BA$4:$BL$14,$C64,MONTH($B$64)))=Z$3,1,0)</f>
        <v>0</v>
      </c>
      <c r="DG65" s="58">
        <f>IF(DAY(INDEX('Сводный годовой график'!$BA$4:$BL$14,$C64,MONTH($B$64)))=AA$3,1,0)</f>
        <v>0</v>
      </c>
      <c r="DH65" s="58">
        <f>IF(DAY(INDEX('Сводный годовой график'!$BA$4:$BL$14,$C64,MONTH($B$64)))=AB$3,1,0)</f>
        <v>0</v>
      </c>
      <c r="DI65" s="58">
        <f>IF(DAY(INDEX('Сводный годовой график'!$BA$4:$BL$14,$C64,MONTH($B$64)))=AC$3,1,0)</f>
        <v>0</v>
      </c>
      <c r="DJ65" s="58">
        <f>IF(DAY(INDEX('Сводный годовой график'!$BA$4:$BL$14,$C64,MONTH($B$64)))=AD$3,1,0)</f>
        <v>0</v>
      </c>
      <c r="DK65" s="58">
        <f>IF(DAY(INDEX('Сводный годовой график'!$BA$4:$BL$14,$C64,MONTH($B$64)))=AE$3,1,0)</f>
        <v>0</v>
      </c>
      <c r="DL65" s="58">
        <f>IF(DAY(INDEX('Сводный годовой график'!$BA$4:$BL$14,$C64,MONTH($B$64)))=AF$3,1,0)</f>
        <v>0</v>
      </c>
      <c r="DM65" s="58">
        <f>IF(DAY(INDEX('Сводный годовой график'!$BA$4:$BL$14,$C64,MONTH($B$64)))=AG$3,1,0)</f>
        <v>0</v>
      </c>
      <c r="DN65" s="58">
        <f>IF(DAY(INDEX('Сводный годовой график'!$BA$4:$BL$14,$C64,MONTH($B$64)))=AH$3,1,0)</f>
        <v>0</v>
      </c>
      <c r="DO65" s="58">
        <f>IF(DAY(INDEX('Сводный годовой график'!$BA$4:$BL$14,$C64,MONTH($B$64)))=AI$3,1,0)</f>
        <v>0</v>
      </c>
    </row>
    <row r="66" spans="2:119" ht="16.5" thickBot="1" x14ac:dyDescent="0.3">
      <c r="B66" s="201"/>
      <c r="C66" s="196">
        <v>2</v>
      </c>
      <c r="D66" s="81">
        <v>3</v>
      </c>
      <c r="E66" s="92" t="e">
        <f ca="1">IF(AND(INDEX('Сводный годовой график'!$C$1:$AR$4,MATCH($C$66,'Сводный годовой график'!$B$1:$B$4),MATCH(DATE($AV$1,MONTH($B$64),E$3),'Сводный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график'!$B$1:$B$4),MATCH(DATE($AV$1,MONTH($B$64),E$3),'Сводный годовой график'!$C$11:$AR$11)))</f>
        <v>#N/A</v>
      </c>
      <c r="F66" s="92" t="e">
        <f ca="1">IF(AND(INDEX('Сводный годовой график'!$C$1:$AR$4,MATCH($C$66,'Сводный годовой график'!$B$1:$B$4),MATCH(DATE($AV$1,MONTH($B$64),F$3),'Сводный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график'!$B$1:$B$4),MATCH(DATE($AV$1,MONTH($B$64),F$3),'Сводный годовой график'!$C$11:$AR$11)))</f>
        <v>#N/A</v>
      </c>
      <c r="G66" s="92" t="e">
        <f ca="1">IF(AND(INDEX('Сводный годовой график'!$C$1:$AR$4,MATCH($C$66,'Сводный годовой график'!$B$1:$B$4),MATCH(DATE($AV$1,MONTH($B$64),G$3),'Сводный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график'!$B$1:$B$4),MATCH(DATE($AV$1,MONTH($B$64),G$3),'Сводный годовой график'!$C$11:$AR$11)))</f>
        <v>#N/A</v>
      </c>
      <c r="H66" s="92" t="e">
        <f ca="1">IF(AND(INDEX('Сводный годовой график'!$C$1:$AR$4,MATCH($C$66,'Сводный годовой график'!$B$1:$B$4),MATCH(DATE($AV$1,MONTH($B$64),H$3),'Сводный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график'!$B$1:$B$4),MATCH(DATE($AV$1,MONTH($B$64),H$3),'Сводный годовой график'!$C$11:$AR$11)))</f>
        <v>#N/A</v>
      </c>
      <c r="I66" s="92" t="e">
        <f ca="1">IF(AND(INDEX('Сводный годовой график'!$C$1:$AR$4,MATCH($C$66,'Сводный годовой график'!$B$1:$B$4),MATCH(DATE($AV$1,MONTH($B$64),I$3),'Сводный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график'!$B$1:$B$4),MATCH(DATE($AV$1,MONTH($B$64),I$3),'Сводный годовой график'!$C$11:$AR$11)))</f>
        <v>#N/A</v>
      </c>
      <c r="J66" s="92" t="e">
        <f ca="1">IF(AND(INDEX('Сводный годовой график'!$C$1:$AR$4,MATCH($C$66,'Сводный годовой график'!$B$1:$B$4),MATCH(DATE($AV$1,MONTH($B$64),J$3),'Сводный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график'!$B$1:$B$4),MATCH(DATE($AV$1,MONTH($B$64),J$3),'Сводный годовой график'!$C$11:$AR$11)))</f>
        <v>#N/A</v>
      </c>
      <c r="K66" s="92" t="e">
        <f ca="1">IF(AND(INDEX('Сводный годовой график'!$C$1:$AR$4,MATCH($C$66,'Сводный годовой график'!$B$1:$B$4),MATCH(DATE($AV$1,MONTH($B$64),K$3),'Сводный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график'!$B$1:$B$4),MATCH(DATE($AV$1,MONTH($B$64),K$3),'Сводный годовой график'!$C$11:$AR$11)))</f>
        <v>#N/A</v>
      </c>
      <c r="L66" s="92" t="e">
        <f ca="1">IF(AND(INDEX('Сводный годовой график'!$C$1:$AR$4,MATCH($C$66,'Сводный годовой график'!$B$1:$B$4),MATCH(DATE($AV$1,MONTH($B$64),L$3),'Сводный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график'!$B$1:$B$4),MATCH(DATE($AV$1,MONTH($B$64),L$3),'Сводный годовой график'!$C$11:$AR$11)))</f>
        <v>#N/A</v>
      </c>
      <c r="M66" s="92" t="e">
        <f ca="1">IF(AND(INDEX('Сводный годовой график'!$C$1:$AR$4,MATCH($C$66,'Сводный годовой график'!$B$1:$B$4),MATCH(DATE($AV$1,MONTH($B$64),M$3),'Сводный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график'!$B$1:$B$4),MATCH(DATE($AV$1,MONTH($B$64),M$3),'Сводный годовой график'!$C$11:$AR$11)))</f>
        <v>#N/A</v>
      </c>
      <c r="N66" s="92" t="e">
        <f ca="1">IF(AND(INDEX('Сводный годовой график'!$C$1:$AR$4,MATCH($C$66,'Сводный годовой график'!$B$1:$B$4),MATCH(DATE($AV$1,MONTH($B$64),N$3),'Сводный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график'!$B$1:$B$4),MATCH(DATE($AV$1,MONTH($B$64),N$3),'Сводный годовой график'!$C$11:$AR$11)))</f>
        <v>#N/A</v>
      </c>
      <c r="O66" s="92" t="e">
        <f ca="1">IF(AND(INDEX('Сводный годовой график'!$C$1:$AR$4,MATCH($C$66,'Сводный годовой график'!$B$1:$B$4),MATCH(DATE($AV$1,MONTH($B$64),O$3),'Сводный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график'!$B$1:$B$4),MATCH(DATE($AV$1,MONTH($B$64),O$3),'Сводный годовой график'!$C$11:$AR$11)))</f>
        <v>#N/A</v>
      </c>
      <c r="P66" s="92" t="e">
        <f ca="1">IF(AND(INDEX('Сводный годовой график'!$C$1:$AR$4,MATCH($C$66,'Сводный годовой график'!$B$1:$B$4),MATCH(DATE($AV$1,MONTH($B$64),P$3),'Сводный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график'!$B$1:$B$4),MATCH(DATE($AV$1,MONTH($B$64),P$3),'Сводный годовой график'!$C$11:$AR$11)))</f>
        <v>#N/A</v>
      </c>
      <c r="Q66" s="92" t="e">
        <f ca="1">IF(AND(INDEX('Сводный годовой график'!$C$1:$AR$4,MATCH($C$66,'Сводный годовой график'!$B$1:$B$4),MATCH(DATE($AV$1,MONTH($B$64),Q$3),'Сводный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график'!$B$1:$B$4),MATCH(DATE($AV$1,MONTH($B$64),Q$3),'Сводный годовой график'!$C$11:$AR$11)))</f>
        <v>#N/A</v>
      </c>
      <c r="R66" s="92" t="e">
        <f ca="1">IF(AND(INDEX('Сводный годовой график'!$C$1:$AR$4,MATCH($C$66,'Сводный годовой график'!$B$1:$B$4),MATCH(DATE($AV$1,MONTH($B$64),R$3),'Сводный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график'!$B$1:$B$4),MATCH(DATE($AV$1,MONTH($B$64),R$3),'Сводный годовой график'!$C$11:$AR$11)))</f>
        <v>#N/A</v>
      </c>
      <c r="S66" s="92" t="e">
        <f ca="1">IF(AND(INDEX('Сводный годовой график'!$C$1:$AR$4,MATCH($C$66,'Сводный годовой график'!$B$1:$B$4),MATCH(DATE($AV$1,MONTH($B$64),S$3),'Сводный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график'!$B$1:$B$4),MATCH(DATE($AV$1,MONTH($B$64),S$3),'Сводный годовой график'!$C$11:$AR$11)))</f>
        <v>#N/A</v>
      </c>
      <c r="T66" s="92" t="e">
        <f ca="1">IF(AND(INDEX('Сводный годовой график'!$C$1:$AR$4,MATCH($C$66,'Сводный годовой график'!$B$1:$B$4),MATCH(DATE($AV$1,MONTH($B$64),T$3),'Сводный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график'!$B$1:$B$4),MATCH(DATE($AV$1,MONTH($B$64),T$3),'Сводный годовой график'!$C$11:$AR$11)))</f>
        <v>#N/A</v>
      </c>
      <c r="U66" s="92" t="e">
        <f ca="1">IF(AND(INDEX('Сводный годовой график'!$C$1:$AR$4,MATCH($C$66,'Сводный годовой график'!$B$1:$B$4),MATCH(DATE($AV$1,MONTH($B$64),U$3),'Сводный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график'!$B$1:$B$4),MATCH(DATE($AV$1,MONTH($B$64),U$3),'Сводный годовой график'!$C$11:$AR$11)))</f>
        <v>#N/A</v>
      </c>
      <c r="V66" s="92" t="e">
        <f ca="1">IF(AND(INDEX('Сводный годовой график'!$C$1:$AR$4,MATCH($C$66,'Сводный годовой график'!$B$1:$B$4),MATCH(DATE($AV$1,MONTH($B$64),V$3),'Сводный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график'!$B$1:$B$4),MATCH(DATE($AV$1,MONTH($B$64),V$3),'Сводный годовой график'!$C$11:$AR$11)))</f>
        <v>#N/A</v>
      </c>
      <c r="W66" s="92" t="e">
        <f ca="1">IF(AND(INDEX('Сводный годовой график'!$C$1:$AR$4,MATCH($C$66,'Сводный годовой график'!$B$1:$B$4),MATCH(DATE($AV$1,MONTH($B$64),W$3),'Сводный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график'!$B$1:$B$4),MATCH(DATE($AV$1,MONTH($B$64),W$3),'Сводный годовой график'!$C$11:$AR$11)))</f>
        <v>#N/A</v>
      </c>
      <c r="X66" s="92" t="e">
        <f ca="1">IF(AND(INDEX('Сводный годовой график'!$C$1:$AR$4,MATCH($C$66,'Сводный годовой график'!$B$1:$B$4),MATCH(DATE($AV$1,MONTH($B$64),X$3),'Сводный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график'!$B$1:$B$4),MATCH(DATE($AV$1,MONTH($B$64),X$3),'Сводный годовой график'!$C$11:$AR$11)))</f>
        <v>#N/A</v>
      </c>
      <c r="Y66" s="92" t="e">
        <f ca="1">IF(AND(INDEX('Сводный годовой график'!$C$1:$AR$4,MATCH($C$66,'Сводный годовой график'!$B$1:$B$4),MATCH(DATE($AV$1,MONTH($B$64),Y$3),'Сводный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график'!$B$1:$B$4),MATCH(DATE($AV$1,MONTH($B$64),Y$3),'Сводный годовой график'!$C$11:$AR$11)))</f>
        <v>#N/A</v>
      </c>
      <c r="Z66" s="92" t="e">
        <f ca="1">IF(AND(INDEX('Сводный годовой график'!$C$1:$AR$4,MATCH($C$66,'Сводный годовой график'!$B$1:$B$4),MATCH(DATE($AV$1,MONTH($B$64),Z$3),'Сводный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график'!$B$1:$B$4),MATCH(DATE($AV$1,MONTH($B$64),Z$3),'Сводный годовой график'!$C$11:$AR$11)))</f>
        <v>#N/A</v>
      </c>
      <c r="AA66" s="92" t="e">
        <f ca="1">IF(AND(INDEX('Сводный годовой график'!$C$1:$AR$4,MATCH($C$66,'Сводный годовой график'!$B$1:$B$4),MATCH(DATE($AV$1,MONTH($B$64),AA$3),'Сводный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график'!$B$1:$B$4),MATCH(DATE($AV$1,MONTH($B$64),AA$3),'Сводный годовой график'!$C$11:$AR$11)))</f>
        <v>#N/A</v>
      </c>
      <c r="AB66" s="92" t="e">
        <f ca="1">IF(AND(INDEX('Сводный годовой график'!$C$1:$AR$4,MATCH($C$66,'Сводный годовой график'!$B$1:$B$4),MATCH(DATE($AV$1,MONTH($B$64),AB$3),'Сводный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график'!$B$1:$B$4),MATCH(DATE($AV$1,MONTH($B$64),AB$3),'Сводный годовой график'!$C$11:$AR$11)))</f>
        <v>#N/A</v>
      </c>
      <c r="AC66" s="92" t="e">
        <f ca="1">IF(AND(INDEX('Сводный годовой график'!$C$1:$AR$4,MATCH($C$66,'Сводный годовой график'!$B$1:$B$4),MATCH(DATE($AV$1,MONTH($B$64),AC$3),'Сводный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график'!$B$1:$B$4),MATCH(DATE($AV$1,MONTH($B$64),AC$3),'Сводный годовой график'!$C$11:$AR$11)))</f>
        <v>#N/A</v>
      </c>
      <c r="AD66" s="92" t="e">
        <f ca="1">IF(AND(INDEX('Сводный годовой график'!$C$1:$AR$4,MATCH($C$66,'Сводный годовой график'!$B$1:$B$4),MATCH(DATE($AV$1,MONTH($B$64),AD$3),'Сводный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график'!$B$1:$B$4),MATCH(DATE($AV$1,MONTH($B$64),AD$3),'Сводный годовой график'!$C$11:$AR$11)))</f>
        <v>#N/A</v>
      </c>
      <c r="AE66" s="92" t="e">
        <f ca="1">IF(AND(INDEX('Сводный годовой график'!$C$1:$AR$4,MATCH($C$66,'Сводный годовой график'!$B$1:$B$4),MATCH(DATE($AV$1,MONTH($B$64),AE$3),'Сводный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график'!$B$1:$B$4),MATCH(DATE($AV$1,MONTH($B$64),AE$3),'Сводный годовой график'!$C$11:$AR$11)))</f>
        <v>#N/A</v>
      </c>
      <c r="AF66" s="92" t="e">
        <f ca="1">IF(AND(INDEX('Сводный годовой график'!$C$1:$AR$4,MATCH($C$66,'Сводный годовой график'!$B$1:$B$4),MATCH(DATE($AV$1,MONTH($B$64),AF$3),'Сводный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график'!$B$1:$B$4),MATCH(DATE($AV$1,MONTH($B$64),AF$3),'Сводный годовой график'!$C$11:$AR$11)))</f>
        <v>#N/A</v>
      </c>
      <c r="AG66" s="92" t="e">
        <f ca="1">IF(AND(INDEX('Сводный годовой график'!$C$1:$AR$4,MATCH($C$66,'Сводный годовой график'!$B$1:$B$4),MATCH(DATE($AV$1,MONTH($B$64),AG$3),'Сводный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график'!$B$1:$B$4),MATCH(DATE($AV$1,MONTH($B$64),AG$3),'Сводный годовой график'!$C$11:$AR$11)))</f>
        <v>#N/A</v>
      </c>
      <c r="AH66" s="92" t="e">
        <f ca="1">IF(AND(INDEX('Сводный годовой график'!$C$1:$AR$4,MATCH($C$66,'Сводный годовой график'!$B$1:$B$4),MATCH(DATE($AV$1,MONTH($B$64),AH$3),'Сводный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график'!$B$1:$B$4),MATCH(DATE($AV$1,MONTH($B$64),AH$3),'Сводный годовой график'!$C$11:$AR$11)))</f>
        <v>#N/A</v>
      </c>
      <c r="AI66" s="92" t="e">
        <f ca="1">IF(AND(INDEX('Сводный годовой график'!$C$1:$AR$4,MATCH($C$66,'Сводный годовой график'!$B$1:$B$4),MATCH(DATE($AV$1,MONTH($B$64),AI$3),'Сводный годовой график'!$C$11:$AR$11))&lt;&gt;12,INDIRECT(ADDRESS(ROW()+1,COLUMN()))="СП"),8,INDEX('Сводный годовой график'!$C$1:$AR$4,MATCH($C$66,'Сводный годовой график'!$B$1:$B$4),MATCH(DATE($AV$1,MONTH($B$64),AI$3),'Сводный годовой график'!$C$11:$AR$11)))</f>
        <v>#N/A</v>
      </c>
      <c r="AJ66" s="206"/>
      <c r="AK66" s="209">
        <f>$AJ$64-SUM(AY66:CC67)</f>
        <v>184</v>
      </c>
      <c r="AL66" s="209" t="e">
        <f t="shared" ref="AL66" ca="1" si="113">SUM(E66:AI67)</f>
        <v>#N/A</v>
      </c>
      <c r="AM66" s="209">
        <v>0</v>
      </c>
      <c r="AN66" s="211" t="e">
        <f t="shared" ref="AN66" ca="1" si="114">-AM66-AK66+AL66</f>
        <v>#N/A</v>
      </c>
      <c r="AO66" s="211">
        <v>0</v>
      </c>
      <c r="AP66" s="211" t="e">
        <f t="shared" ref="AP66" ca="1" si="115">AN66+AP56</f>
        <v>#N/A</v>
      </c>
      <c r="AQ66" s="209">
        <v>15</v>
      </c>
      <c r="AR66" s="210">
        <v>1</v>
      </c>
      <c r="CK66" s="59"/>
      <c r="CL66" s="59"/>
      <c r="CM66" s="59"/>
      <c r="CN66" s="59"/>
      <c r="CO66" s="59"/>
      <c r="CP66" s="59"/>
      <c r="CQ66" s="59"/>
      <c r="CR66" s="59"/>
      <c r="CS66" s="59"/>
      <c r="CT66" s="59"/>
      <c r="CU66" s="59"/>
      <c r="CV66" s="59"/>
      <c r="CW66" s="59"/>
      <c r="CX66" s="59"/>
      <c r="CY66" s="59"/>
      <c r="CZ66" s="59"/>
      <c r="DA66" s="59"/>
      <c r="DB66" s="59"/>
      <c r="DC66" s="59"/>
      <c r="DD66" s="59"/>
      <c r="DE66" s="59"/>
      <c r="DF66" s="59"/>
      <c r="DG66" s="59"/>
      <c r="DH66" s="59"/>
      <c r="DI66" s="59"/>
      <c r="DJ66" s="59"/>
      <c r="DK66" s="59"/>
      <c r="DL66" s="59"/>
      <c r="DM66" s="59"/>
      <c r="DN66" s="59"/>
      <c r="DO66" s="59"/>
    </row>
    <row r="67" spans="2:119" ht="16.5" thickBot="1" x14ac:dyDescent="0.3">
      <c r="B67" s="201"/>
      <c r="C67" s="197"/>
      <c r="D67" s="82">
        <v>4</v>
      </c>
      <c r="E67" s="92" t="str">
        <f t="shared" ref="E67:AI67" si="116">IF(INDEX($CK$4:$DO$123,ROW()-3,E$3)=0,"","СП")</f>
        <v/>
      </c>
      <c r="F67" s="92" t="str">
        <f t="shared" si="116"/>
        <v/>
      </c>
      <c r="G67" s="92" t="str">
        <f t="shared" si="116"/>
        <v/>
      </c>
      <c r="H67" s="92" t="str">
        <f t="shared" si="116"/>
        <v/>
      </c>
      <c r="I67" s="92" t="str">
        <f t="shared" si="116"/>
        <v/>
      </c>
      <c r="J67" s="92" t="str">
        <f t="shared" si="116"/>
        <v/>
      </c>
      <c r="K67" s="92" t="str">
        <f t="shared" si="116"/>
        <v/>
      </c>
      <c r="L67" s="92" t="str">
        <f t="shared" si="116"/>
        <v>СП</v>
      </c>
      <c r="M67" s="92" t="str">
        <f t="shared" si="116"/>
        <v/>
      </c>
      <c r="N67" s="92" t="str">
        <f t="shared" si="116"/>
        <v/>
      </c>
      <c r="O67" s="92" t="str">
        <f t="shared" si="116"/>
        <v/>
      </c>
      <c r="P67" s="92" t="str">
        <f t="shared" si="116"/>
        <v/>
      </c>
      <c r="Q67" s="92" t="str">
        <f t="shared" si="116"/>
        <v/>
      </c>
      <c r="R67" s="92" t="str">
        <f t="shared" si="116"/>
        <v/>
      </c>
      <c r="S67" s="92" t="str">
        <f t="shared" si="116"/>
        <v/>
      </c>
      <c r="T67" s="92" t="str">
        <f t="shared" si="116"/>
        <v/>
      </c>
      <c r="U67" s="92" t="str">
        <f t="shared" si="116"/>
        <v/>
      </c>
      <c r="V67" s="92" t="str">
        <f t="shared" si="116"/>
        <v/>
      </c>
      <c r="W67" s="92" t="str">
        <f t="shared" si="116"/>
        <v/>
      </c>
      <c r="X67" s="92" t="str">
        <f t="shared" si="116"/>
        <v/>
      </c>
      <c r="Y67" s="92" t="str">
        <f t="shared" si="116"/>
        <v/>
      </c>
      <c r="Z67" s="92" t="str">
        <f t="shared" si="116"/>
        <v/>
      </c>
      <c r="AA67" s="92" t="str">
        <f t="shared" si="116"/>
        <v/>
      </c>
      <c r="AB67" s="92" t="str">
        <f t="shared" si="116"/>
        <v/>
      </c>
      <c r="AC67" s="92" t="str">
        <f t="shared" si="116"/>
        <v/>
      </c>
      <c r="AD67" s="92" t="str">
        <f t="shared" si="116"/>
        <v/>
      </c>
      <c r="AE67" s="92" t="str">
        <f t="shared" si="116"/>
        <v/>
      </c>
      <c r="AF67" s="92" t="str">
        <f t="shared" si="116"/>
        <v/>
      </c>
      <c r="AG67" s="92" t="str">
        <f t="shared" si="116"/>
        <v/>
      </c>
      <c r="AH67" s="92" t="str">
        <f t="shared" si="116"/>
        <v/>
      </c>
      <c r="AI67" s="92" t="str">
        <f t="shared" si="116"/>
        <v/>
      </c>
      <c r="AJ67" s="206"/>
      <c r="AK67" s="209"/>
      <c r="AL67" s="209"/>
      <c r="AM67" s="209"/>
      <c r="AN67" s="211"/>
      <c r="AO67" s="211"/>
      <c r="AP67" s="211"/>
      <c r="AQ67" s="209"/>
      <c r="AR67" s="210"/>
      <c r="CK67" s="58">
        <f>IF(DAY(INDEX('Сводный годовой график'!$BA$4:$BL$14,$C66,MONTH($B$64)))=E$3,1,0)</f>
        <v>0</v>
      </c>
      <c r="CL67" s="58">
        <f>IF(DAY(INDEX('Сводный годовой график'!$BA$4:$BL$14,$C66,MONTH($B$64)))=F$3,1,0)</f>
        <v>0</v>
      </c>
      <c r="CM67" s="58">
        <f>IF(DAY(INDEX('Сводный годовой график'!$BA$4:$BL$14,$C66,MONTH($B$64)))=G$3,1,0)</f>
        <v>0</v>
      </c>
      <c r="CN67" s="58">
        <f>IF(DAY(INDEX('Сводный годовой график'!$BA$4:$BL$14,$C66,MONTH($B$64)))=H$3,1,0)</f>
        <v>0</v>
      </c>
      <c r="CO67" s="58">
        <f>IF(DAY(INDEX('Сводный годовой график'!$BA$4:$BL$14,$C66,MONTH($B$64)))=I$3,1,0)</f>
        <v>0</v>
      </c>
      <c r="CP67" s="58">
        <f>IF(DAY(INDEX('Сводный годовой график'!$BA$4:$BL$14,$C66,MONTH($B$64)))=J$3,1,0)</f>
        <v>0</v>
      </c>
      <c r="CQ67" s="58">
        <f>IF(DAY(INDEX('Сводный годовой график'!$BA$4:$BL$14,$C66,MONTH($B$64)))=K$3,1,0)</f>
        <v>0</v>
      </c>
      <c r="CR67" s="58">
        <f>IF(DAY(INDEX('Сводный годовой график'!$BA$4:$BL$14,$C66,MONTH($B$64)))=L$3,1,0)</f>
        <v>1</v>
      </c>
      <c r="CS67" s="58">
        <f>IF(DAY(INDEX('Сводный годовой график'!$BA$4:$BL$14,$C66,MONTH($B$64)))=M$3,1,0)</f>
        <v>0</v>
      </c>
      <c r="CT67" s="58">
        <f>IF(DAY(INDEX('Сводный годовой график'!$BA$4:$BL$14,$C66,MONTH($B$64)))=N$3,1,0)</f>
        <v>0</v>
      </c>
      <c r="CU67" s="58">
        <f>IF(DAY(INDEX('Сводный годовой график'!$BA$4:$BL$14,$C66,MONTH($B$64)))=O$3,1,0)</f>
        <v>0</v>
      </c>
      <c r="CV67" s="58">
        <f>IF(DAY(INDEX('Сводный годовой график'!$BA$4:$BL$14,$C66,MONTH($B$64)))=P$3,1,0)</f>
        <v>0</v>
      </c>
      <c r="CW67" s="58">
        <f>IF(DAY(INDEX('Сводный годовой график'!$BA$4:$BL$14,$C66,MONTH($B$64)))=Q$3,1,0)</f>
        <v>0</v>
      </c>
      <c r="CX67" s="58">
        <f>IF(DAY(INDEX('Сводный годовой график'!$BA$4:$BL$14,$C66,MONTH($B$64)))=R$3,1,0)</f>
        <v>0</v>
      </c>
      <c r="CY67" s="58">
        <f>IF(DAY(INDEX('Сводный годовой график'!$BA$4:$BL$14,$C66,MONTH($B$64)))=S$3,1,0)</f>
        <v>0</v>
      </c>
      <c r="CZ67" s="58">
        <f>IF(DAY(INDEX('Сводный годовой график'!$BA$4:$BL$14,$C66,MONTH($B$64)))=T$3,1,0)</f>
        <v>0</v>
      </c>
      <c r="DA67" s="58">
        <f>IF(DAY(INDEX('Сводный годовой график'!$BA$4:$BL$14,$C66,MONTH($B$64)))=U$3,1,0)</f>
        <v>0</v>
      </c>
      <c r="DB67" s="58">
        <f>IF(DAY(INDEX('Сводный годовой график'!$BA$4:$BL$14,$C66,MONTH($B$64)))=V$3,1,0)</f>
        <v>0</v>
      </c>
      <c r="DC67" s="58">
        <f>IF(DAY(INDEX('Сводный годовой график'!$BA$4:$BL$14,$C66,MONTH($B$64)))=W$3,1,0)</f>
        <v>0</v>
      </c>
      <c r="DD67" s="58">
        <f>IF(DAY(INDEX('Сводный годовой график'!$BA$4:$BL$14,$C66,MONTH($B$64)))=X$3,1,0)</f>
        <v>0</v>
      </c>
      <c r="DE67" s="58">
        <f>IF(DAY(INDEX('Сводный годовой график'!$BA$4:$BL$14,$C66,MONTH($B$64)))=Y$3,1,0)</f>
        <v>0</v>
      </c>
      <c r="DF67" s="58">
        <f>IF(DAY(INDEX('Сводный годовой график'!$BA$4:$BL$14,$C66,MONTH($B$64)))=Z$3,1,0)</f>
        <v>0</v>
      </c>
      <c r="DG67" s="58">
        <f>IF(DAY(INDEX('Сводный годовой график'!$BA$4:$BL$14,$C66,MONTH($B$64)))=AA$3,1,0)</f>
        <v>0</v>
      </c>
      <c r="DH67" s="58">
        <f>IF(DAY(INDEX('Сводный годовой график'!$BA$4:$BL$14,$C66,MONTH($B$64)))=AB$3,1,0)</f>
        <v>0</v>
      </c>
      <c r="DI67" s="58">
        <f>IF(DAY(INDEX('Сводный годовой график'!$BA$4:$BL$14,$C66,MONTH($B$64)))=AC$3,1,0)</f>
        <v>0</v>
      </c>
      <c r="DJ67" s="58">
        <f>IF(DAY(INDEX('Сводный годовой график'!$BA$4:$BL$14,$C66,MONTH($B$64)))=AD$3,1,0)</f>
        <v>0</v>
      </c>
      <c r="DK67" s="58">
        <f>IF(DAY(INDEX('Сводный годовой график'!$BA$4:$BL$14,$C66,MONTH($B$64)))=AE$3,1,0)</f>
        <v>0</v>
      </c>
      <c r="DL67" s="58">
        <f>IF(DAY(INDEX('Сводный годовой график'!$BA$4:$BL$14,$C66,MONTH($B$64)))=AF$3,1,0)</f>
        <v>0</v>
      </c>
      <c r="DM67" s="58">
        <f>IF(DAY(INDEX('Сводный годовой график'!$BA$4:$BL$14,$C66,MONTH($B$64)))=AG$3,1,0)</f>
        <v>0</v>
      </c>
      <c r="DN67" s="58">
        <f>IF(DAY(INDEX('Сводный годовой график'!$BA$4:$BL$14,$C66,MONTH($B$64)))=AH$3,1,0)</f>
        <v>0</v>
      </c>
      <c r="DO67" s="58">
        <f>IF(DAY(INDEX('Сводный годовой график'!$BA$4:$BL$14,$C66,MONTH($B$64)))=AI$3,1,0)</f>
        <v>0</v>
      </c>
    </row>
    <row r="68" spans="2:119" ht="16.5" thickBot="1" x14ac:dyDescent="0.3">
      <c r="B68" s="201"/>
      <c r="C68" s="196">
        <v>3</v>
      </c>
      <c r="D68" s="81">
        <v>5</v>
      </c>
      <c r="E68" s="92" t="e">
        <f ca="1">IF(AND(INDEX('Сводный годовой график'!$C$1:$AR$4,MATCH($C$68,'Сводный годовой график'!$B$1:$B$4),MATCH(DATE($AV$1,MONTH($B$64),E$3),'Сводный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график'!$B$1:$B$4),MATCH(DATE($AV$1,MONTH($B$64),E$3),'Сводный годовой график'!$C$11:$AR$11)))</f>
        <v>#N/A</v>
      </c>
      <c r="F68" s="92" t="e">
        <f ca="1">IF(AND(INDEX('Сводный годовой график'!$C$1:$AR$4,MATCH($C$68,'Сводный годовой график'!$B$1:$B$4),MATCH(DATE($AV$1,MONTH($B$64),F$3),'Сводный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график'!$B$1:$B$4),MATCH(DATE($AV$1,MONTH($B$64),F$3),'Сводный годовой график'!$C$11:$AR$11)))</f>
        <v>#N/A</v>
      </c>
      <c r="G68" s="92" t="e">
        <f ca="1">IF(AND(INDEX('Сводный годовой график'!$C$1:$AR$4,MATCH($C$68,'Сводный годовой график'!$B$1:$B$4),MATCH(DATE($AV$1,MONTH($B$64),G$3),'Сводный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график'!$B$1:$B$4),MATCH(DATE($AV$1,MONTH($B$64),G$3),'Сводный годовой график'!$C$11:$AR$11)))</f>
        <v>#N/A</v>
      </c>
      <c r="H68" s="92" t="e">
        <f ca="1">IF(AND(INDEX('Сводный годовой график'!$C$1:$AR$4,MATCH($C$68,'Сводный годовой график'!$B$1:$B$4),MATCH(DATE($AV$1,MONTH($B$64),H$3),'Сводный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график'!$B$1:$B$4),MATCH(DATE($AV$1,MONTH($B$64),H$3),'Сводный годовой график'!$C$11:$AR$11)))</f>
        <v>#N/A</v>
      </c>
      <c r="I68" s="92" t="e">
        <f ca="1">IF(AND(INDEX('Сводный годовой график'!$C$1:$AR$4,MATCH($C$68,'Сводный годовой график'!$B$1:$B$4),MATCH(DATE($AV$1,MONTH($B$64),I$3),'Сводный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график'!$B$1:$B$4),MATCH(DATE($AV$1,MONTH($B$64),I$3),'Сводный годовой график'!$C$11:$AR$11)))</f>
        <v>#N/A</v>
      </c>
      <c r="J68" s="92" t="e">
        <f ca="1">IF(AND(INDEX('Сводный годовой график'!$C$1:$AR$4,MATCH($C$68,'Сводный годовой график'!$B$1:$B$4),MATCH(DATE($AV$1,MONTH($B$64),J$3),'Сводный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график'!$B$1:$B$4),MATCH(DATE($AV$1,MONTH($B$64),J$3),'Сводный годовой график'!$C$11:$AR$11)))</f>
        <v>#N/A</v>
      </c>
      <c r="K68" s="92" t="e">
        <f ca="1">IF(AND(INDEX('Сводный годовой график'!$C$1:$AR$4,MATCH($C$68,'Сводный годовой график'!$B$1:$B$4),MATCH(DATE($AV$1,MONTH($B$64),K$3),'Сводный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график'!$B$1:$B$4),MATCH(DATE($AV$1,MONTH($B$64),K$3),'Сводный годовой график'!$C$11:$AR$11)))</f>
        <v>#N/A</v>
      </c>
      <c r="L68" s="92" t="e">
        <f ca="1">IF(AND(INDEX('Сводный годовой график'!$C$1:$AR$4,MATCH($C$68,'Сводный годовой график'!$B$1:$B$4),MATCH(DATE($AV$1,MONTH($B$64),L$3),'Сводный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график'!$B$1:$B$4),MATCH(DATE($AV$1,MONTH($B$64),L$3),'Сводный годовой график'!$C$11:$AR$11)))</f>
        <v>#N/A</v>
      </c>
      <c r="M68" s="92" t="e">
        <f ca="1">IF(AND(INDEX('Сводный годовой график'!$C$1:$AR$4,MATCH($C$68,'Сводный годовой график'!$B$1:$B$4),MATCH(DATE($AV$1,MONTH($B$64),M$3),'Сводный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график'!$B$1:$B$4),MATCH(DATE($AV$1,MONTH($B$64),M$3),'Сводный годовой график'!$C$11:$AR$11)))</f>
        <v>#N/A</v>
      </c>
      <c r="N68" s="92" t="e">
        <f ca="1">IF(AND(INDEX('Сводный годовой график'!$C$1:$AR$4,MATCH($C$68,'Сводный годовой график'!$B$1:$B$4),MATCH(DATE($AV$1,MONTH($B$64),N$3),'Сводный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график'!$B$1:$B$4),MATCH(DATE($AV$1,MONTH($B$64),N$3),'Сводный годовой график'!$C$11:$AR$11)))</f>
        <v>#N/A</v>
      </c>
      <c r="O68" s="92" t="e">
        <f ca="1">IF(AND(INDEX('Сводный годовой график'!$C$1:$AR$4,MATCH($C$68,'Сводный годовой график'!$B$1:$B$4),MATCH(DATE($AV$1,MONTH($B$64),O$3),'Сводный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график'!$B$1:$B$4),MATCH(DATE($AV$1,MONTH($B$64),O$3),'Сводный годовой график'!$C$11:$AR$11)))</f>
        <v>#N/A</v>
      </c>
      <c r="P68" s="92" t="e">
        <f ca="1">IF(AND(INDEX('Сводный годовой график'!$C$1:$AR$4,MATCH($C$68,'Сводный годовой график'!$B$1:$B$4),MATCH(DATE($AV$1,MONTH($B$64),P$3),'Сводный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график'!$B$1:$B$4),MATCH(DATE($AV$1,MONTH($B$64),P$3),'Сводный годовой график'!$C$11:$AR$11)))</f>
        <v>#N/A</v>
      </c>
      <c r="Q68" s="92" t="e">
        <f ca="1">IF(AND(INDEX('Сводный годовой график'!$C$1:$AR$4,MATCH($C$68,'Сводный годовой график'!$B$1:$B$4),MATCH(DATE($AV$1,MONTH($B$64),Q$3),'Сводный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график'!$B$1:$B$4),MATCH(DATE($AV$1,MONTH($B$64),Q$3),'Сводный годовой график'!$C$11:$AR$11)))</f>
        <v>#N/A</v>
      </c>
      <c r="R68" s="92" t="e">
        <f ca="1">IF(AND(INDEX('Сводный годовой график'!$C$1:$AR$4,MATCH($C$68,'Сводный годовой график'!$B$1:$B$4),MATCH(DATE($AV$1,MONTH($B$64),R$3),'Сводный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график'!$B$1:$B$4),MATCH(DATE($AV$1,MONTH($B$64),R$3),'Сводный годовой график'!$C$11:$AR$11)))</f>
        <v>#N/A</v>
      </c>
      <c r="S68" s="92" t="e">
        <f ca="1">IF(AND(INDEX('Сводный годовой график'!$C$1:$AR$4,MATCH($C$68,'Сводный годовой график'!$B$1:$B$4),MATCH(DATE($AV$1,MONTH($B$64),S$3),'Сводный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график'!$B$1:$B$4),MATCH(DATE($AV$1,MONTH($B$64),S$3),'Сводный годовой график'!$C$11:$AR$11)))</f>
        <v>#N/A</v>
      </c>
      <c r="T68" s="92" t="e">
        <f ca="1">IF(AND(INDEX('Сводный годовой график'!$C$1:$AR$4,MATCH($C$68,'Сводный годовой график'!$B$1:$B$4),MATCH(DATE($AV$1,MONTH($B$64),T$3),'Сводный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график'!$B$1:$B$4),MATCH(DATE($AV$1,MONTH($B$64),T$3),'Сводный годовой график'!$C$11:$AR$11)))</f>
        <v>#N/A</v>
      </c>
      <c r="U68" s="92" t="e">
        <f ca="1">IF(AND(INDEX('Сводный годовой график'!$C$1:$AR$4,MATCH($C$68,'Сводный годовой график'!$B$1:$B$4),MATCH(DATE($AV$1,MONTH($B$64),U$3),'Сводный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график'!$B$1:$B$4),MATCH(DATE($AV$1,MONTH($B$64),U$3),'Сводный годовой график'!$C$11:$AR$11)))</f>
        <v>#N/A</v>
      </c>
      <c r="V68" s="92" t="e">
        <f ca="1">IF(AND(INDEX('Сводный годовой график'!$C$1:$AR$4,MATCH($C$68,'Сводный годовой график'!$B$1:$B$4),MATCH(DATE($AV$1,MONTH($B$64),V$3),'Сводный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график'!$B$1:$B$4),MATCH(DATE($AV$1,MONTH($B$64),V$3),'Сводный годовой график'!$C$11:$AR$11)))</f>
        <v>#N/A</v>
      </c>
      <c r="W68" s="92" t="e">
        <f ca="1">IF(AND(INDEX('Сводный годовой график'!$C$1:$AR$4,MATCH($C$68,'Сводный годовой график'!$B$1:$B$4),MATCH(DATE($AV$1,MONTH($B$64),W$3),'Сводный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график'!$B$1:$B$4),MATCH(DATE($AV$1,MONTH($B$64),W$3),'Сводный годовой график'!$C$11:$AR$11)))</f>
        <v>#N/A</v>
      </c>
      <c r="X68" s="92" t="e">
        <f ca="1">IF(AND(INDEX('Сводный годовой график'!$C$1:$AR$4,MATCH($C$68,'Сводный годовой график'!$B$1:$B$4),MATCH(DATE($AV$1,MONTH($B$64),X$3),'Сводный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график'!$B$1:$B$4),MATCH(DATE($AV$1,MONTH($B$64),X$3),'Сводный годовой график'!$C$11:$AR$11)))</f>
        <v>#N/A</v>
      </c>
      <c r="Y68" s="92" t="e">
        <f ca="1">IF(AND(INDEX('Сводный годовой график'!$C$1:$AR$4,MATCH($C$68,'Сводный годовой график'!$B$1:$B$4),MATCH(DATE($AV$1,MONTH($B$64),Y$3),'Сводный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график'!$B$1:$B$4),MATCH(DATE($AV$1,MONTH($B$64),Y$3),'Сводный годовой график'!$C$11:$AR$11)))</f>
        <v>#N/A</v>
      </c>
      <c r="Z68" s="92" t="e">
        <f ca="1">IF(AND(INDEX('Сводный годовой график'!$C$1:$AR$4,MATCH($C$68,'Сводный годовой график'!$B$1:$B$4),MATCH(DATE($AV$1,MONTH($B$64),Z$3),'Сводный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график'!$B$1:$B$4),MATCH(DATE($AV$1,MONTH($B$64),Z$3),'Сводный годовой график'!$C$11:$AR$11)))</f>
        <v>#N/A</v>
      </c>
      <c r="AA68" s="92" t="e">
        <f ca="1">IF(AND(INDEX('Сводный годовой график'!$C$1:$AR$4,MATCH($C$68,'Сводный годовой график'!$B$1:$B$4),MATCH(DATE($AV$1,MONTH($B$64),AA$3),'Сводный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график'!$B$1:$B$4),MATCH(DATE($AV$1,MONTH($B$64),AA$3),'Сводный годовой график'!$C$11:$AR$11)))</f>
        <v>#N/A</v>
      </c>
      <c r="AB68" s="92" t="e">
        <f ca="1">IF(AND(INDEX('Сводный годовой график'!$C$1:$AR$4,MATCH($C$68,'Сводный годовой график'!$B$1:$B$4),MATCH(DATE($AV$1,MONTH($B$64),AB$3),'Сводный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график'!$B$1:$B$4),MATCH(DATE($AV$1,MONTH($B$64),AB$3),'Сводный годовой график'!$C$11:$AR$11)))</f>
        <v>#N/A</v>
      </c>
      <c r="AC68" s="92" t="e">
        <f ca="1">IF(AND(INDEX('Сводный годовой график'!$C$1:$AR$4,MATCH($C$68,'Сводный годовой график'!$B$1:$B$4),MATCH(DATE($AV$1,MONTH($B$64),AC$3),'Сводный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график'!$B$1:$B$4),MATCH(DATE($AV$1,MONTH($B$64),AC$3),'Сводный годовой график'!$C$11:$AR$11)))</f>
        <v>#N/A</v>
      </c>
      <c r="AD68" s="92" t="e">
        <f ca="1">IF(AND(INDEX('Сводный годовой график'!$C$1:$AR$4,MATCH($C$68,'Сводный годовой график'!$B$1:$B$4),MATCH(DATE($AV$1,MONTH($B$64),AD$3),'Сводный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график'!$B$1:$B$4),MATCH(DATE($AV$1,MONTH($B$64),AD$3),'Сводный годовой график'!$C$11:$AR$11)))</f>
        <v>#N/A</v>
      </c>
      <c r="AE68" s="92" t="e">
        <f ca="1">IF(AND(INDEX('Сводный годовой график'!$C$1:$AR$4,MATCH($C$68,'Сводный годовой график'!$B$1:$B$4),MATCH(DATE($AV$1,MONTH($B$64),AE$3),'Сводный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график'!$B$1:$B$4),MATCH(DATE($AV$1,MONTH($B$64),AE$3),'Сводный годовой график'!$C$11:$AR$11)))</f>
        <v>#N/A</v>
      </c>
      <c r="AF68" s="92" t="e">
        <f ca="1">IF(AND(INDEX('Сводный годовой график'!$C$1:$AR$4,MATCH($C$68,'Сводный годовой график'!$B$1:$B$4),MATCH(DATE($AV$1,MONTH($B$64),AF$3),'Сводный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график'!$B$1:$B$4),MATCH(DATE($AV$1,MONTH($B$64),AF$3),'Сводный годовой график'!$C$11:$AR$11)))</f>
        <v>#N/A</v>
      </c>
      <c r="AG68" s="92" t="e">
        <f ca="1">IF(AND(INDEX('Сводный годовой график'!$C$1:$AR$4,MATCH($C$68,'Сводный годовой график'!$B$1:$B$4),MATCH(DATE($AV$1,MONTH($B$64),AG$3),'Сводный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график'!$B$1:$B$4),MATCH(DATE($AV$1,MONTH($B$64),AG$3),'Сводный годовой график'!$C$11:$AR$11)))</f>
        <v>#N/A</v>
      </c>
      <c r="AH68" s="92" t="e">
        <f ca="1">IF(AND(INDEX('Сводный годовой график'!$C$1:$AR$4,MATCH($C$68,'Сводный годовой график'!$B$1:$B$4),MATCH(DATE($AV$1,MONTH($B$64),AH$3),'Сводный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график'!$B$1:$B$4),MATCH(DATE($AV$1,MONTH($B$64),AH$3),'Сводный годовой график'!$C$11:$AR$11)))</f>
        <v>#N/A</v>
      </c>
      <c r="AI68" s="92" t="e">
        <f ca="1">IF(AND(INDEX('Сводный годовой график'!$C$1:$AR$4,MATCH($C$68,'Сводный годовой график'!$B$1:$B$4),MATCH(DATE($AV$1,MONTH($B$64),AI$3),'Сводный годовой график'!$C$11:$AR$11))&lt;&gt;12,INDIRECT(ADDRESS(ROW()+1,COLUMN()))="СП"),8,INDEX('Сводный годовой график'!$C$1:$AR$4,MATCH($C$68,'Сводный годовой график'!$B$1:$B$4),MATCH(DATE($AV$1,MONTH($B$64),AI$3),'Сводный годовой график'!$C$11:$AR$11)))</f>
        <v>#N/A</v>
      </c>
      <c r="AJ68" s="206"/>
      <c r="AK68" s="209">
        <f>$AJ$64-SUM(AY68:CC69)</f>
        <v>184</v>
      </c>
      <c r="AL68" s="209" t="e">
        <f t="shared" ref="AL68" ca="1" si="117">SUM(E68:AI69)</f>
        <v>#N/A</v>
      </c>
      <c r="AM68" s="209">
        <v>0</v>
      </c>
      <c r="AN68" s="211" t="e">
        <f t="shared" ref="AN68" ca="1" si="118">-AM68-AK68+AL68</f>
        <v>#N/A</v>
      </c>
      <c r="AO68" s="211">
        <v>0</v>
      </c>
      <c r="AP68" s="211" t="e">
        <f ca="1">AN68+AP58-AO68</f>
        <v>#N/A</v>
      </c>
      <c r="AQ68" s="209">
        <v>0</v>
      </c>
      <c r="AR68" s="210">
        <v>1</v>
      </c>
      <c r="CK68" s="59"/>
      <c r="CL68" s="59"/>
      <c r="CM68" s="59"/>
      <c r="CN68" s="59"/>
      <c r="CO68" s="59"/>
      <c r="CP68" s="59"/>
      <c r="CQ68" s="59"/>
      <c r="CR68" s="59"/>
      <c r="CS68" s="59"/>
      <c r="CT68" s="59"/>
      <c r="CU68" s="59"/>
      <c r="CV68" s="59"/>
      <c r="CW68" s="59"/>
      <c r="CX68" s="59"/>
      <c r="CY68" s="59"/>
      <c r="CZ68" s="59"/>
      <c r="DA68" s="59"/>
      <c r="DB68" s="59"/>
      <c r="DC68" s="59"/>
      <c r="DD68" s="59"/>
      <c r="DE68" s="59"/>
      <c r="DF68" s="59"/>
      <c r="DG68" s="59"/>
      <c r="DH68" s="59"/>
      <c r="DI68" s="59"/>
      <c r="DJ68" s="59"/>
      <c r="DK68" s="59"/>
      <c r="DL68" s="59"/>
      <c r="DM68" s="59"/>
      <c r="DN68" s="59"/>
      <c r="DO68" s="59"/>
    </row>
    <row r="69" spans="2:119" ht="16.5" thickBot="1" x14ac:dyDescent="0.3">
      <c r="B69" s="201"/>
      <c r="C69" s="197"/>
      <c r="D69" s="82">
        <v>6</v>
      </c>
      <c r="E69" s="92" t="str">
        <f t="shared" ref="E69:AI69" si="119">IF(INDEX($CK$4:$DO$123,ROW()-3,E$3)=0,"","СП")</f>
        <v/>
      </c>
      <c r="F69" s="92" t="str">
        <f t="shared" si="119"/>
        <v/>
      </c>
      <c r="G69" s="92" t="str">
        <f t="shared" si="119"/>
        <v/>
      </c>
      <c r="H69" s="92" t="str">
        <f t="shared" si="119"/>
        <v/>
      </c>
      <c r="I69" s="92" t="str">
        <f t="shared" si="119"/>
        <v/>
      </c>
      <c r="J69" s="92" t="str">
        <f t="shared" si="119"/>
        <v/>
      </c>
      <c r="K69" s="92" t="str">
        <f t="shared" si="119"/>
        <v/>
      </c>
      <c r="L69" s="92" t="str">
        <f t="shared" si="119"/>
        <v/>
      </c>
      <c r="M69" s="92" t="str">
        <f t="shared" si="119"/>
        <v>СП</v>
      </c>
      <c r="N69" s="92" t="str">
        <f t="shared" si="119"/>
        <v/>
      </c>
      <c r="O69" s="92" t="str">
        <f t="shared" si="119"/>
        <v/>
      </c>
      <c r="P69" s="92" t="str">
        <f t="shared" si="119"/>
        <v/>
      </c>
      <c r="Q69" s="92" t="str">
        <f t="shared" si="119"/>
        <v/>
      </c>
      <c r="R69" s="92" t="str">
        <f t="shared" si="119"/>
        <v/>
      </c>
      <c r="S69" s="92" t="str">
        <f t="shared" si="119"/>
        <v/>
      </c>
      <c r="T69" s="92" t="str">
        <f t="shared" si="119"/>
        <v/>
      </c>
      <c r="U69" s="92" t="str">
        <f t="shared" si="119"/>
        <v/>
      </c>
      <c r="V69" s="92" t="str">
        <f t="shared" si="119"/>
        <v/>
      </c>
      <c r="W69" s="92" t="str">
        <f t="shared" si="119"/>
        <v/>
      </c>
      <c r="X69" s="92" t="str">
        <f t="shared" si="119"/>
        <v/>
      </c>
      <c r="Y69" s="92" t="str">
        <f t="shared" si="119"/>
        <v/>
      </c>
      <c r="Z69" s="92" t="str">
        <f t="shared" si="119"/>
        <v/>
      </c>
      <c r="AA69" s="92" t="str">
        <f t="shared" si="119"/>
        <v/>
      </c>
      <c r="AB69" s="92" t="str">
        <f t="shared" si="119"/>
        <v/>
      </c>
      <c r="AC69" s="92" t="str">
        <f t="shared" si="119"/>
        <v/>
      </c>
      <c r="AD69" s="92" t="str">
        <f t="shared" si="119"/>
        <v/>
      </c>
      <c r="AE69" s="92" t="str">
        <f t="shared" si="119"/>
        <v/>
      </c>
      <c r="AF69" s="92" t="str">
        <f t="shared" si="119"/>
        <v/>
      </c>
      <c r="AG69" s="92" t="str">
        <f t="shared" si="119"/>
        <v/>
      </c>
      <c r="AH69" s="92" t="str">
        <f t="shared" si="119"/>
        <v/>
      </c>
      <c r="AI69" s="92" t="str">
        <f t="shared" si="119"/>
        <v/>
      </c>
      <c r="AJ69" s="206"/>
      <c r="AK69" s="209"/>
      <c r="AL69" s="209"/>
      <c r="AM69" s="209"/>
      <c r="AN69" s="211"/>
      <c r="AO69" s="211"/>
      <c r="AP69" s="211"/>
      <c r="AQ69" s="209"/>
      <c r="AR69" s="210"/>
      <c r="CK69" s="58">
        <f>IF(DAY(INDEX('Сводный годовой график'!$BA$4:$BL$14,$C68,MONTH($B$64)))=E$3,1,0)</f>
        <v>0</v>
      </c>
      <c r="CL69" s="58">
        <f>IF(DAY(INDEX('Сводный годовой график'!$BA$4:$BL$14,$C68,MONTH($B$64)))=F$3,1,0)</f>
        <v>0</v>
      </c>
      <c r="CM69" s="58">
        <f>IF(DAY(INDEX('Сводный годовой график'!$BA$4:$BL$14,$C68,MONTH($B$64)))=G$3,1,0)</f>
        <v>0</v>
      </c>
      <c r="CN69" s="58">
        <f>IF(DAY(INDEX('Сводный годовой график'!$BA$4:$BL$14,$C68,MONTH($B$64)))=H$3,1,0)</f>
        <v>0</v>
      </c>
      <c r="CO69" s="58">
        <f>IF(DAY(INDEX('Сводный годовой график'!$BA$4:$BL$14,$C68,MONTH($B$64)))=I$3,1,0)</f>
        <v>0</v>
      </c>
      <c r="CP69" s="58">
        <f>IF(DAY(INDEX('Сводный годовой график'!$BA$4:$BL$14,$C68,MONTH($B$64)))=J$3,1,0)</f>
        <v>0</v>
      </c>
      <c r="CQ69" s="58">
        <f>IF(DAY(INDEX('Сводный годовой график'!$BA$4:$BL$14,$C68,MONTH($B$64)))=K$3,1,0)</f>
        <v>0</v>
      </c>
      <c r="CR69" s="58">
        <f>IF(DAY(INDEX('Сводный годовой график'!$BA$4:$BL$14,$C68,MONTH($B$64)))=L$3,1,0)</f>
        <v>0</v>
      </c>
      <c r="CS69" s="58">
        <f>IF(DAY(INDEX('Сводный годовой график'!$BA$4:$BL$14,$C68,MONTH($B$64)))=M$3,1,0)</f>
        <v>1</v>
      </c>
      <c r="CT69" s="58">
        <f>IF(DAY(INDEX('Сводный годовой график'!$BA$4:$BL$14,$C68,MONTH($B$64)))=N$3,1,0)</f>
        <v>0</v>
      </c>
      <c r="CU69" s="58">
        <f>IF(DAY(INDEX('Сводный годовой график'!$BA$4:$BL$14,$C68,MONTH($B$64)))=O$3,1,0)</f>
        <v>0</v>
      </c>
      <c r="CV69" s="58">
        <f>IF(DAY(INDEX('Сводный годовой график'!$BA$4:$BL$14,$C68,MONTH($B$64)))=P$3,1,0)</f>
        <v>0</v>
      </c>
      <c r="CW69" s="58">
        <f>IF(DAY(INDEX('Сводный годовой график'!$BA$4:$BL$14,$C68,MONTH($B$64)))=Q$3,1,0)</f>
        <v>0</v>
      </c>
      <c r="CX69" s="58">
        <f>IF(DAY(INDEX('Сводный годовой график'!$BA$4:$BL$14,$C68,MONTH($B$64)))=R$3,1,0)</f>
        <v>0</v>
      </c>
      <c r="CY69" s="58">
        <f>IF(DAY(INDEX('Сводный годовой график'!$BA$4:$BL$14,$C68,MONTH($B$64)))=S$3,1,0)</f>
        <v>0</v>
      </c>
      <c r="CZ69" s="58">
        <f>IF(DAY(INDEX('Сводный годовой график'!$BA$4:$BL$14,$C68,MONTH($B$64)))=T$3,1,0)</f>
        <v>0</v>
      </c>
      <c r="DA69" s="58">
        <f>IF(DAY(INDEX('Сводный годовой график'!$BA$4:$BL$14,$C68,MONTH($B$64)))=U$3,1,0)</f>
        <v>0</v>
      </c>
      <c r="DB69" s="58">
        <f>IF(DAY(INDEX('Сводный годовой график'!$BA$4:$BL$14,$C68,MONTH($B$64)))=V$3,1,0)</f>
        <v>0</v>
      </c>
      <c r="DC69" s="58">
        <f>IF(DAY(INDEX('Сводный годовой график'!$BA$4:$BL$14,$C68,MONTH($B$64)))=W$3,1,0)</f>
        <v>0</v>
      </c>
      <c r="DD69" s="58">
        <f>IF(DAY(INDEX('Сводный годовой график'!$BA$4:$BL$14,$C68,MONTH($B$64)))=X$3,1,0)</f>
        <v>0</v>
      </c>
      <c r="DE69" s="58">
        <f>IF(DAY(INDEX('Сводный годовой график'!$BA$4:$BL$14,$C68,MONTH($B$64)))=Y$3,1,0)</f>
        <v>0</v>
      </c>
      <c r="DF69" s="58">
        <f>IF(DAY(INDEX('Сводный годовой график'!$BA$4:$BL$14,$C68,MONTH($B$64)))=Z$3,1,0)</f>
        <v>0</v>
      </c>
      <c r="DG69" s="58">
        <f>IF(DAY(INDEX('Сводный годовой график'!$BA$4:$BL$14,$C68,MONTH($B$64)))=AA$3,1,0)</f>
        <v>0</v>
      </c>
      <c r="DH69" s="58">
        <f>IF(DAY(INDEX('Сводный годовой график'!$BA$4:$BL$14,$C68,MONTH($B$64)))=AB$3,1,0)</f>
        <v>0</v>
      </c>
      <c r="DI69" s="58">
        <f>IF(DAY(INDEX('Сводный годовой график'!$BA$4:$BL$14,$C68,MONTH($B$64)))=AC$3,1,0)</f>
        <v>0</v>
      </c>
      <c r="DJ69" s="58">
        <f>IF(DAY(INDEX('Сводный годовой график'!$BA$4:$BL$14,$C68,MONTH($B$64)))=AD$3,1,0)</f>
        <v>0</v>
      </c>
      <c r="DK69" s="58">
        <f>IF(DAY(INDEX('Сводный годовой график'!$BA$4:$BL$14,$C68,MONTH($B$64)))=AE$3,1,0)</f>
        <v>0</v>
      </c>
      <c r="DL69" s="58">
        <f>IF(DAY(INDEX('Сводный годовой график'!$BA$4:$BL$14,$C68,MONTH($B$64)))=AF$3,1,0)</f>
        <v>0</v>
      </c>
      <c r="DM69" s="58">
        <f>IF(DAY(INDEX('Сводный годовой график'!$BA$4:$BL$14,$C68,MONTH($B$64)))=AG$3,1,0)</f>
        <v>0</v>
      </c>
      <c r="DN69" s="58">
        <f>IF(DAY(INDEX('Сводный годовой график'!$BA$4:$BL$14,$C68,MONTH($B$64)))=AH$3,1,0)</f>
        <v>0</v>
      </c>
      <c r="DO69" s="58">
        <f>IF(DAY(INDEX('Сводный годовой график'!$BA$4:$BL$14,$C68,MONTH($B$64)))=AI$3,1,0)</f>
        <v>0</v>
      </c>
    </row>
    <row r="70" spans="2:119" ht="16.5" thickBot="1" x14ac:dyDescent="0.3">
      <c r="B70" s="201"/>
      <c r="C70" s="196">
        <v>4</v>
      </c>
      <c r="D70" s="81">
        <v>7</v>
      </c>
      <c r="E70" s="92" t="e">
        <f ca="1">IF(AND(INDEX('Сводный годовой график'!$C$1:$AR$4,MATCH($C$70,'Сводный годовой график'!$B$1:$B$4),MATCH(DATE($AV$1,MONTH($B$64),E$3),'Сводный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график'!$B$1:$B$4),MATCH(DATE($AV$1,MONTH($B$64),E$3),'Сводный годовой график'!$C$11:$AR$11)))</f>
        <v>#N/A</v>
      </c>
      <c r="F70" s="92" t="e">
        <f ca="1">IF(AND(INDEX('Сводный годовой график'!$C$1:$AR$4,MATCH($C$70,'Сводный годовой график'!$B$1:$B$4),MATCH(DATE($AV$1,MONTH($B$64),F$3),'Сводный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график'!$B$1:$B$4),MATCH(DATE($AV$1,MONTH($B$64),F$3),'Сводный годовой график'!$C$11:$AR$11)))</f>
        <v>#N/A</v>
      </c>
      <c r="G70" s="92" t="e">
        <f ca="1">IF(AND(INDEX('Сводный годовой график'!$C$1:$AR$4,MATCH($C$70,'Сводный годовой график'!$B$1:$B$4),MATCH(DATE($AV$1,MONTH($B$64),G$3),'Сводный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график'!$B$1:$B$4),MATCH(DATE($AV$1,MONTH($B$64),G$3),'Сводный годовой график'!$C$11:$AR$11)))</f>
        <v>#N/A</v>
      </c>
      <c r="H70" s="92" t="e">
        <f ca="1">IF(AND(INDEX('Сводный годовой график'!$C$1:$AR$4,MATCH($C$70,'Сводный годовой график'!$B$1:$B$4),MATCH(DATE($AV$1,MONTH($B$64),H$3),'Сводный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график'!$B$1:$B$4),MATCH(DATE($AV$1,MONTH($B$64),H$3),'Сводный годовой график'!$C$11:$AR$11)))</f>
        <v>#N/A</v>
      </c>
      <c r="I70" s="92" t="e">
        <f ca="1">IF(AND(INDEX('Сводный годовой график'!$C$1:$AR$4,MATCH($C$70,'Сводный годовой график'!$B$1:$B$4),MATCH(DATE($AV$1,MONTH($B$64),I$3),'Сводный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график'!$B$1:$B$4),MATCH(DATE($AV$1,MONTH($B$64),I$3),'Сводный годовой график'!$C$11:$AR$11)))</f>
        <v>#N/A</v>
      </c>
      <c r="J70" s="92" t="e">
        <f ca="1">IF(AND(INDEX('Сводный годовой график'!$C$1:$AR$4,MATCH($C$70,'Сводный годовой график'!$B$1:$B$4),MATCH(DATE($AV$1,MONTH($B$64),J$3),'Сводный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график'!$B$1:$B$4),MATCH(DATE($AV$1,MONTH($B$64),J$3),'Сводный годовой график'!$C$11:$AR$11)))</f>
        <v>#N/A</v>
      </c>
      <c r="K70" s="92" t="e">
        <f ca="1">IF(AND(INDEX('Сводный годовой график'!$C$1:$AR$4,MATCH($C$70,'Сводный годовой график'!$B$1:$B$4),MATCH(DATE($AV$1,MONTH($B$64),K$3),'Сводный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график'!$B$1:$B$4),MATCH(DATE($AV$1,MONTH($B$64),K$3),'Сводный годовой график'!$C$11:$AR$11)))</f>
        <v>#N/A</v>
      </c>
      <c r="L70" s="92" t="e">
        <f ca="1">IF(AND(INDEX('Сводный годовой график'!$C$1:$AR$4,MATCH($C$70,'Сводный годовой график'!$B$1:$B$4),MATCH(DATE($AV$1,MONTH($B$64),L$3),'Сводный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график'!$B$1:$B$4),MATCH(DATE($AV$1,MONTH($B$64),L$3),'Сводный годовой график'!$C$11:$AR$11)))</f>
        <v>#N/A</v>
      </c>
      <c r="M70" s="92" t="e">
        <f ca="1">IF(AND(INDEX('Сводный годовой график'!$C$1:$AR$4,MATCH($C$70,'Сводный годовой график'!$B$1:$B$4),MATCH(DATE($AV$1,MONTH($B$64),M$3),'Сводный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график'!$B$1:$B$4),MATCH(DATE($AV$1,MONTH($B$64),M$3),'Сводный годовой график'!$C$11:$AR$11)))</f>
        <v>#N/A</v>
      </c>
      <c r="N70" s="92" t="e">
        <f ca="1">IF(AND(INDEX('Сводный годовой график'!$C$1:$AR$4,MATCH($C$70,'Сводный годовой график'!$B$1:$B$4),MATCH(DATE($AV$1,MONTH($B$64),N$3),'Сводный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график'!$B$1:$B$4),MATCH(DATE($AV$1,MONTH($B$64),N$3),'Сводный годовой график'!$C$11:$AR$11)))</f>
        <v>#N/A</v>
      </c>
      <c r="O70" s="92" t="e">
        <f ca="1">IF(AND(INDEX('Сводный годовой график'!$C$1:$AR$4,MATCH($C$70,'Сводный годовой график'!$B$1:$B$4),MATCH(DATE($AV$1,MONTH($B$64),O$3),'Сводный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график'!$B$1:$B$4),MATCH(DATE($AV$1,MONTH($B$64),O$3),'Сводный годовой график'!$C$11:$AR$11)))</f>
        <v>#N/A</v>
      </c>
      <c r="P70" s="92" t="e">
        <f ca="1">IF(AND(INDEX('Сводный годовой график'!$C$1:$AR$4,MATCH($C$70,'Сводный годовой график'!$B$1:$B$4),MATCH(DATE($AV$1,MONTH($B$64),P$3),'Сводный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график'!$B$1:$B$4),MATCH(DATE($AV$1,MONTH($B$64),P$3),'Сводный годовой график'!$C$11:$AR$11)))</f>
        <v>#N/A</v>
      </c>
      <c r="Q70" s="92" t="e">
        <f ca="1">IF(AND(INDEX('Сводный годовой график'!$C$1:$AR$4,MATCH($C$70,'Сводный годовой график'!$B$1:$B$4),MATCH(DATE($AV$1,MONTH($B$64),Q$3),'Сводный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график'!$B$1:$B$4),MATCH(DATE($AV$1,MONTH($B$64),Q$3),'Сводный годовой график'!$C$11:$AR$11)))</f>
        <v>#N/A</v>
      </c>
      <c r="R70" s="92" t="e">
        <f ca="1">IF(AND(INDEX('Сводный годовой график'!$C$1:$AR$4,MATCH($C$70,'Сводный годовой график'!$B$1:$B$4),MATCH(DATE($AV$1,MONTH($B$64),R$3),'Сводный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график'!$B$1:$B$4),MATCH(DATE($AV$1,MONTH($B$64),R$3),'Сводный годовой график'!$C$11:$AR$11)))</f>
        <v>#N/A</v>
      </c>
      <c r="S70" s="92" t="e">
        <f ca="1">IF(AND(INDEX('Сводный годовой график'!$C$1:$AR$4,MATCH($C$70,'Сводный годовой график'!$B$1:$B$4),MATCH(DATE($AV$1,MONTH($B$64),S$3),'Сводный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график'!$B$1:$B$4),MATCH(DATE($AV$1,MONTH($B$64),S$3),'Сводный годовой график'!$C$11:$AR$11)))</f>
        <v>#N/A</v>
      </c>
      <c r="T70" s="92" t="e">
        <f ca="1">IF(AND(INDEX('Сводный годовой график'!$C$1:$AR$4,MATCH($C$70,'Сводный годовой график'!$B$1:$B$4),MATCH(DATE($AV$1,MONTH($B$64),T$3),'Сводный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график'!$B$1:$B$4),MATCH(DATE($AV$1,MONTH($B$64),T$3),'Сводный годовой график'!$C$11:$AR$11)))</f>
        <v>#N/A</v>
      </c>
      <c r="U70" s="92" t="e">
        <f ca="1">IF(AND(INDEX('Сводный годовой график'!$C$1:$AR$4,MATCH($C$70,'Сводный годовой график'!$B$1:$B$4),MATCH(DATE($AV$1,MONTH($B$64),U$3),'Сводный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график'!$B$1:$B$4),MATCH(DATE($AV$1,MONTH($B$64),U$3),'Сводный годовой график'!$C$11:$AR$11)))</f>
        <v>#N/A</v>
      </c>
      <c r="V70" s="92" t="e">
        <f ca="1">IF(AND(INDEX('Сводный годовой график'!$C$1:$AR$4,MATCH($C$70,'Сводный годовой график'!$B$1:$B$4),MATCH(DATE($AV$1,MONTH($B$64),V$3),'Сводный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график'!$B$1:$B$4),MATCH(DATE($AV$1,MONTH($B$64),V$3),'Сводный годовой график'!$C$11:$AR$11)))</f>
        <v>#N/A</v>
      </c>
      <c r="W70" s="92" t="e">
        <f ca="1">IF(AND(INDEX('Сводный годовой график'!$C$1:$AR$4,MATCH($C$70,'Сводный годовой график'!$B$1:$B$4),MATCH(DATE($AV$1,MONTH($B$64),W$3),'Сводный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график'!$B$1:$B$4),MATCH(DATE($AV$1,MONTH($B$64),W$3),'Сводный годовой график'!$C$11:$AR$11)))</f>
        <v>#N/A</v>
      </c>
      <c r="X70" s="92" t="e">
        <f ca="1">IF(AND(INDEX('Сводный годовой график'!$C$1:$AR$4,MATCH($C$70,'Сводный годовой график'!$B$1:$B$4),MATCH(DATE($AV$1,MONTH($B$64),X$3),'Сводный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график'!$B$1:$B$4),MATCH(DATE($AV$1,MONTH($B$64),X$3),'Сводный годовой график'!$C$11:$AR$11)))</f>
        <v>#N/A</v>
      </c>
      <c r="Y70" s="92" t="e">
        <f ca="1">IF(AND(INDEX('Сводный годовой график'!$C$1:$AR$4,MATCH($C$70,'Сводный годовой график'!$B$1:$B$4),MATCH(DATE($AV$1,MONTH($B$64),Y$3),'Сводный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график'!$B$1:$B$4),MATCH(DATE($AV$1,MONTH($B$64),Y$3),'Сводный годовой график'!$C$11:$AR$11)))</f>
        <v>#N/A</v>
      </c>
      <c r="Z70" s="92" t="e">
        <f ca="1">IF(AND(INDEX('Сводный годовой график'!$C$1:$AR$4,MATCH($C$70,'Сводный годовой график'!$B$1:$B$4),MATCH(DATE($AV$1,MONTH($B$64),Z$3),'Сводный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график'!$B$1:$B$4),MATCH(DATE($AV$1,MONTH($B$64),Z$3),'Сводный годовой график'!$C$11:$AR$11)))</f>
        <v>#N/A</v>
      </c>
      <c r="AA70" s="92" t="e">
        <f ca="1">IF(AND(INDEX('Сводный годовой график'!$C$1:$AR$4,MATCH($C$70,'Сводный годовой график'!$B$1:$B$4),MATCH(DATE($AV$1,MONTH($B$64),AA$3),'Сводный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график'!$B$1:$B$4),MATCH(DATE($AV$1,MONTH($B$64),AA$3),'Сводный годовой график'!$C$11:$AR$11)))</f>
        <v>#N/A</v>
      </c>
      <c r="AB70" s="92" t="e">
        <f ca="1">IF(AND(INDEX('Сводный годовой график'!$C$1:$AR$4,MATCH($C$70,'Сводный годовой график'!$B$1:$B$4),MATCH(DATE($AV$1,MONTH($B$64),AB$3),'Сводный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график'!$B$1:$B$4),MATCH(DATE($AV$1,MONTH($B$64),AB$3),'Сводный годовой график'!$C$11:$AR$11)))</f>
        <v>#N/A</v>
      </c>
      <c r="AC70" s="92" t="e">
        <f ca="1">IF(AND(INDEX('Сводный годовой график'!$C$1:$AR$4,MATCH($C$70,'Сводный годовой график'!$B$1:$B$4),MATCH(DATE($AV$1,MONTH($B$64),AC$3),'Сводный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график'!$B$1:$B$4),MATCH(DATE($AV$1,MONTH($B$64),AC$3),'Сводный годовой график'!$C$11:$AR$11)))</f>
        <v>#N/A</v>
      </c>
      <c r="AD70" s="92" t="e">
        <f ca="1">IF(AND(INDEX('Сводный годовой график'!$C$1:$AR$4,MATCH($C$70,'Сводный годовой график'!$B$1:$B$4),MATCH(DATE($AV$1,MONTH($B$64),AD$3),'Сводный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график'!$B$1:$B$4),MATCH(DATE($AV$1,MONTH($B$64),AD$3),'Сводный годовой график'!$C$11:$AR$11)))</f>
        <v>#N/A</v>
      </c>
      <c r="AE70" s="92" t="e">
        <f ca="1">IF(AND(INDEX('Сводный годовой график'!$C$1:$AR$4,MATCH($C$70,'Сводный годовой график'!$B$1:$B$4),MATCH(DATE($AV$1,MONTH($B$64),AE$3),'Сводный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график'!$B$1:$B$4),MATCH(DATE($AV$1,MONTH($B$64),AE$3),'Сводный годовой график'!$C$11:$AR$11)))</f>
        <v>#N/A</v>
      </c>
      <c r="AF70" s="92" t="e">
        <f ca="1">IF(AND(INDEX('Сводный годовой график'!$C$1:$AR$4,MATCH($C$70,'Сводный годовой график'!$B$1:$B$4),MATCH(DATE($AV$1,MONTH($B$64),AF$3),'Сводный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график'!$B$1:$B$4),MATCH(DATE($AV$1,MONTH($B$64),AF$3),'Сводный годовой график'!$C$11:$AR$11)))</f>
        <v>#N/A</v>
      </c>
      <c r="AG70" s="92" t="e">
        <f ca="1">IF(AND(INDEX('Сводный годовой график'!$C$1:$AR$4,MATCH($C$70,'Сводный годовой график'!$B$1:$B$4),MATCH(DATE($AV$1,MONTH($B$64),AG$3),'Сводный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график'!$B$1:$B$4),MATCH(DATE($AV$1,MONTH($B$64),AG$3),'Сводный годовой график'!$C$11:$AR$11)))</f>
        <v>#N/A</v>
      </c>
      <c r="AH70" s="92" t="e">
        <f ca="1">IF(AND(INDEX('Сводный годовой график'!$C$1:$AR$4,MATCH($C$70,'Сводный годовой график'!$B$1:$B$4),MATCH(DATE($AV$1,MONTH($B$64),AH$3),'Сводный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график'!$B$1:$B$4),MATCH(DATE($AV$1,MONTH($B$64),AH$3),'Сводный годовой график'!$C$11:$AR$11)))</f>
        <v>#N/A</v>
      </c>
      <c r="AI70" s="92" t="e">
        <f ca="1">IF(AND(INDEX('Сводный годовой график'!$C$1:$AR$4,MATCH($C$70,'Сводный годовой график'!$B$1:$B$4),MATCH(DATE($AV$1,MONTH($B$64),AI$3),'Сводный годовой график'!$C$11:$AR$11))&lt;&gt;12,INDIRECT(ADDRESS(ROW()+1,COLUMN()))="СП"),8,INDEX('Сводный годовой график'!$C$1:$AR$4,MATCH($C$70,'Сводный годовой график'!$B$1:$B$4),MATCH(DATE($AV$1,MONTH($B$64),AI$3),'Сводный годовой график'!$C$11:$AR$11)))</f>
        <v>#N/A</v>
      </c>
      <c r="AJ70" s="206"/>
      <c r="AK70" s="209">
        <f>$AJ$64-SUM(AY70:CC71)</f>
        <v>184</v>
      </c>
      <c r="AL70" s="209" t="e">
        <f t="shared" ref="AL70" ca="1" si="120">SUM(E70:AI71)</f>
        <v>#N/A</v>
      </c>
      <c r="AM70" s="209">
        <v>0</v>
      </c>
      <c r="AN70" s="211" t="e">
        <f t="shared" ref="AN70" ca="1" si="121">-AM70-AK70+AL70</f>
        <v>#N/A</v>
      </c>
      <c r="AO70" s="211">
        <v>0</v>
      </c>
      <c r="AP70" s="211" t="e">
        <f t="shared" ref="AP70" ca="1" si="122">AN70+AP60</f>
        <v>#N/A</v>
      </c>
      <c r="AQ70" s="209">
        <v>1</v>
      </c>
      <c r="AR70" s="210">
        <v>1</v>
      </c>
      <c r="CK70" s="59"/>
      <c r="CL70" s="59"/>
      <c r="CM70" s="59"/>
      <c r="CN70" s="59"/>
      <c r="CO70" s="59"/>
      <c r="CP70" s="59"/>
      <c r="CQ70" s="59"/>
      <c r="CR70" s="59"/>
      <c r="CS70" s="59"/>
      <c r="CT70" s="59"/>
      <c r="CU70" s="59"/>
      <c r="CV70" s="59"/>
      <c r="CW70" s="59"/>
      <c r="CX70" s="59"/>
      <c r="CY70" s="59"/>
      <c r="CZ70" s="59"/>
      <c r="DA70" s="59"/>
      <c r="DB70" s="59"/>
      <c r="DC70" s="59"/>
      <c r="DD70" s="59"/>
      <c r="DE70" s="59"/>
      <c r="DF70" s="59"/>
      <c r="DG70" s="59"/>
      <c r="DH70" s="59"/>
      <c r="DI70" s="59"/>
      <c r="DJ70" s="59"/>
      <c r="DK70" s="59"/>
      <c r="DL70" s="59"/>
      <c r="DM70" s="59"/>
      <c r="DN70" s="59"/>
      <c r="DO70" s="59"/>
    </row>
    <row r="71" spans="2:119" ht="16.5" thickBot="1" x14ac:dyDescent="0.3">
      <c r="B71" s="201"/>
      <c r="C71" s="197"/>
      <c r="D71" s="82">
        <v>8</v>
      </c>
      <c r="E71" s="92" t="str">
        <f t="shared" ref="E71:AI71" si="123">IF(INDEX($CK$4:$DO$123,ROW()-3,E$3)=0,"","СП")</f>
        <v/>
      </c>
      <c r="F71" s="92" t="str">
        <f t="shared" si="123"/>
        <v/>
      </c>
      <c r="G71" s="92" t="str">
        <f t="shared" si="123"/>
        <v/>
      </c>
      <c r="H71" s="92" t="str">
        <f t="shared" si="123"/>
        <v/>
      </c>
      <c r="I71" s="92" t="str">
        <f t="shared" si="123"/>
        <v/>
      </c>
      <c r="J71" s="92" t="str">
        <f t="shared" si="123"/>
        <v/>
      </c>
      <c r="K71" s="92" t="str">
        <f t="shared" si="123"/>
        <v/>
      </c>
      <c r="L71" s="92" t="str">
        <f t="shared" si="123"/>
        <v/>
      </c>
      <c r="M71" s="92" t="str">
        <f t="shared" si="123"/>
        <v/>
      </c>
      <c r="N71" s="92" t="str">
        <f t="shared" si="123"/>
        <v>СП</v>
      </c>
      <c r="O71" s="92" t="str">
        <f t="shared" si="123"/>
        <v/>
      </c>
      <c r="P71" s="92" t="str">
        <f t="shared" si="123"/>
        <v/>
      </c>
      <c r="Q71" s="92" t="str">
        <f t="shared" si="123"/>
        <v/>
      </c>
      <c r="R71" s="92" t="str">
        <f t="shared" si="123"/>
        <v/>
      </c>
      <c r="S71" s="92" t="str">
        <f t="shared" si="123"/>
        <v/>
      </c>
      <c r="T71" s="92" t="str">
        <f t="shared" si="123"/>
        <v/>
      </c>
      <c r="U71" s="92" t="str">
        <f t="shared" si="123"/>
        <v/>
      </c>
      <c r="V71" s="92" t="str">
        <f t="shared" si="123"/>
        <v/>
      </c>
      <c r="W71" s="92" t="str">
        <f t="shared" si="123"/>
        <v/>
      </c>
      <c r="X71" s="92" t="str">
        <f t="shared" si="123"/>
        <v/>
      </c>
      <c r="Y71" s="92" t="str">
        <f t="shared" si="123"/>
        <v/>
      </c>
      <c r="Z71" s="92" t="str">
        <f t="shared" si="123"/>
        <v/>
      </c>
      <c r="AA71" s="92" t="str">
        <f t="shared" si="123"/>
        <v/>
      </c>
      <c r="AB71" s="92" t="str">
        <f t="shared" si="123"/>
        <v/>
      </c>
      <c r="AC71" s="92" t="str">
        <f t="shared" si="123"/>
        <v/>
      </c>
      <c r="AD71" s="92" t="str">
        <f t="shared" si="123"/>
        <v/>
      </c>
      <c r="AE71" s="92" t="str">
        <f t="shared" si="123"/>
        <v/>
      </c>
      <c r="AF71" s="92" t="str">
        <f t="shared" si="123"/>
        <v/>
      </c>
      <c r="AG71" s="92" t="str">
        <f t="shared" si="123"/>
        <v/>
      </c>
      <c r="AH71" s="92" t="str">
        <f t="shared" si="123"/>
        <v/>
      </c>
      <c r="AI71" s="92" t="str">
        <f t="shared" si="123"/>
        <v/>
      </c>
      <c r="AJ71" s="206"/>
      <c r="AK71" s="209"/>
      <c r="AL71" s="209"/>
      <c r="AM71" s="209"/>
      <c r="AN71" s="211"/>
      <c r="AO71" s="211"/>
      <c r="AP71" s="211"/>
      <c r="AQ71" s="209"/>
      <c r="AR71" s="210"/>
      <c r="CK71" s="58">
        <f>IF(DAY(INDEX('Сводный годовой график'!$BA$4:$BL$14,$C70,MONTH($B$64)))=E$3,1,0)</f>
        <v>0</v>
      </c>
      <c r="CL71" s="58">
        <f>IF(DAY(INDEX('Сводный годовой график'!$BA$4:$BL$14,$C70,MONTH($B$64)))=F$3,1,0)</f>
        <v>0</v>
      </c>
      <c r="CM71" s="58">
        <f>IF(DAY(INDEX('Сводный годовой график'!$BA$4:$BL$14,$C70,MONTH($B$64)))=G$3,1,0)</f>
        <v>0</v>
      </c>
      <c r="CN71" s="58">
        <f>IF(DAY(INDEX('Сводный годовой график'!$BA$4:$BL$14,$C70,MONTH($B$64)))=H$3,1,0)</f>
        <v>0</v>
      </c>
      <c r="CO71" s="58">
        <f>IF(DAY(INDEX('Сводный годовой график'!$BA$4:$BL$14,$C70,MONTH($B$64)))=I$3,1,0)</f>
        <v>0</v>
      </c>
      <c r="CP71" s="58">
        <f>IF(DAY(INDEX('Сводный годовой график'!$BA$4:$BL$14,$C70,MONTH($B$64)))=J$3,1,0)</f>
        <v>0</v>
      </c>
      <c r="CQ71" s="58">
        <f>IF(DAY(INDEX('Сводный годовой график'!$BA$4:$BL$14,$C70,MONTH($B$64)))=K$3,1,0)</f>
        <v>0</v>
      </c>
      <c r="CR71" s="58">
        <f>IF(DAY(INDEX('Сводный годовой график'!$BA$4:$BL$14,$C70,MONTH($B$64)))=L$3,1,0)</f>
        <v>0</v>
      </c>
      <c r="CS71" s="58">
        <f>IF(DAY(INDEX('Сводный годовой график'!$BA$4:$BL$14,$C70,MONTH($B$64)))=M$3,1,0)</f>
        <v>0</v>
      </c>
      <c r="CT71" s="58">
        <f>IF(DAY(INDEX('Сводный годовой график'!$BA$4:$BL$14,$C70,MONTH($B$64)))=N$3,1,0)</f>
        <v>1</v>
      </c>
      <c r="CU71" s="58">
        <f>IF(DAY(INDEX('Сводный годовой график'!$BA$4:$BL$14,$C70,MONTH($B$64)))=O$3,1,0)</f>
        <v>0</v>
      </c>
      <c r="CV71" s="58">
        <f>IF(DAY(INDEX('Сводный годовой график'!$BA$4:$BL$14,$C70,MONTH($B$64)))=P$3,1,0)</f>
        <v>0</v>
      </c>
      <c r="CW71" s="58">
        <f>IF(DAY(INDEX('Сводный годовой график'!$BA$4:$BL$14,$C70,MONTH($B$64)))=Q$3,1,0)</f>
        <v>0</v>
      </c>
      <c r="CX71" s="58">
        <f>IF(DAY(INDEX('Сводный годовой график'!$BA$4:$BL$14,$C70,MONTH($B$64)))=R$3,1,0)</f>
        <v>0</v>
      </c>
      <c r="CY71" s="58">
        <f>IF(DAY(INDEX('Сводный годовой график'!$BA$4:$BL$14,$C70,MONTH($B$64)))=S$3,1,0)</f>
        <v>0</v>
      </c>
      <c r="CZ71" s="58">
        <f>IF(DAY(INDEX('Сводный годовой график'!$BA$4:$BL$14,$C70,MONTH($B$64)))=T$3,1,0)</f>
        <v>0</v>
      </c>
      <c r="DA71" s="58">
        <f>IF(DAY(INDEX('Сводный годовой график'!$BA$4:$BL$14,$C70,MONTH($B$64)))=U$3,1,0)</f>
        <v>0</v>
      </c>
      <c r="DB71" s="58">
        <f>IF(DAY(INDEX('Сводный годовой график'!$BA$4:$BL$14,$C70,MONTH($B$64)))=V$3,1,0)</f>
        <v>0</v>
      </c>
      <c r="DC71" s="58">
        <f>IF(DAY(INDEX('Сводный годовой график'!$BA$4:$BL$14,$C70,MONTH($B$64)))=W$3,1,0)</f>
        <v>0</v>
      </c>
      <c r="DD71" s="58">
        <f>IF(DAY(INDEX('Сводный годовой график'!$BA$4:$BL$14,$C70,MONTH($B$64)))=X$3,1,0)</f>
        <v>0</v>
      </c>
      <c r="DE71" s="58">
        <f>IF(DAY(INDEX('Сводный годовой график'!$BA$4:$BL$14,$C70,MONTH($B$64)))=Y$3,1,0)</f>
        <v>0</v>
      </c>
      <c r="DF71" s="58">
        <f>IF(DAY(INDEX('Сводный годовой график'!$BA$4:$BL$14,$C70,MONTH($B$64)))=Z$3,1,0)</f>
        <v>0</v>
      </c>
      <c r="DG71" s="58">
        <f>IF(DAY(INDEX('Сводный годовой график'!$BA$4:$BL$14,$C70,MONTH($B$64)))=AA$3,1,0)</f>
        <v>0</v>
      </c>
      <c r="DH71" s="58">
        <f>IF(DAY(INDEX('Сводный годовой график'!$BA$4:$BL$14,$C70,MONTH($B$64)))=AB$3,1,0)</f>
        <v>0</v>
      </c>
      <c r="DI71" s="58">
        <f>IF(DAY(INDEX('Сводный годовой график'!$BA$4:$BL$14,$C70,MONTH($B$64)))=AC$3,1,0)</f>
        <v>0</v>
      </c>
      <c r="DJ71" s="58">
        <f>IF(DAY(INDEX('Сводный годовой график'!$BA$4:$BL$14,$C70,MONTH($B$64)))=AD$3,1,0)</f>
        <v>0</v>
      </c>
      <c r="DK71" s="58">
        <f>IF(DAY(INDEX('Сводный годовой график'!$BA$4:$BL$14,$C70,MONTH($B$64)))=AE$3,1,0)</f>
        <v>0</v>
      </c>
      <c r="DL71" s="58">
        <f>IF(DAY(INDEX('Сводный годовой график'!$BA$4:$BL$14,$C70,MONTH($B$64)))=AF$3,1,0)</f>
        <v>0</v>
      </c>
      <c r="DM71" s="58">
        <f>IF(DAY(INDEX('Сводный годовой график'!$BA$4:$BL$14,$C70,MONTH($B$64)))=AG$3,1,0)</f>
        <v>0</v>
      </c>
      <c r="DN71" s="58">
        <f>IF(DAY(INDEX('Сводный годовой график'!$BA$4:$BL$14,$C70,MONTH($B$64)))=AH$3,1,0)</f>
        <v>0</v>
      </c>
      <c r="DO71" s="58">
        <f>IF(DAY(INDEX('Сводный годовой график'!$BA$4:$BL$14,$C70,MONTH($B$64)))=AI$3,1,0)</f>
        <v>0</v>
      </c>
    </row>
    <row r="72" spans="2:119" ht="16.5" thickBot="1" x14ac:dyDescent="0.3">
      <c r="B72" s="201"/>
      <c r="C72" s="196">
        <v>5</v>
      </c>
      <c r="D72" s="81">
        <v>9</v>
      </c>
      <c r="E72" s="92" t="s">
        <v>36</v>
      </c>
      <c r="F72" s="92" t="s">
        <v>36</v>
      </c>
      <c r="G72" s="92" t="s">
        <v>36</v>
      </c>
      <c r="H72" s="92" t="s">
        <v>36</v>
      </c>
      <c r="I72" s="92" t="s">
        <v>36</v>
      </c>
      <c r="J72" s="92" t="s">
        <v>36</v>
      </c>
      <c r="K72" s="92" t="s">
        <v>36</v>
      </c>
      <c r="L72" s="92" t="s">
        <v>36</v>
      </c>
      <c r="M72" s="92" t="s">
        <v>36</v>
      </c>
      <c r="N72" s="92" t="s">
        <v>36</v>
      </c>
      <c r="O72" s="92" t="s">
        <v>36</v>
      </c>
      <c r="P72" s="92" t="s">
        <v>36</v>
      </c>
      <c r="Q72" s="92" t="s">
        <v>36</v>
      </c>
      <c r="R72" s="92" t="s">
        <v>36</v>
      </c>
      <c r="S72" s="92" t="s">
        <v>36</v>
      </c>
      <c r="T72" s="92" t="s">
        <v>36</v>
      </c>
      <c r="U72" s="92" t="s">
        <v>36</v>
      </c>
      <c r="V72" s="92" t="s">
        <v>36</v>
      </c>
      <c r="W72" s="92" t="s">
        <v>36</v>
      </c>
      <c r="X72" s="92" t="s">
        <v>36</v>
      </c>
      <c r="Y72" s="92" t="s">
        <v>36</v>
      </c>
      <c r="Z72" s="92" t="s">
        <v>36</v>
      </c>
      <c r="AA72" s="92" t="s">
        <v>36</v>
      </c>
      <c r="AB72" s="92" t="s">
        <v>36</v>
      </c>
      <c r="AC72" s="92" t="s">
        <v>36</v>
      </c>
      <c r="AD72" s="92" t="s">
        <v>36</v>
      </c>
      <c r="AE72" s="92" t="s">
        <v>36</v>
      </c>
      <c r="AF72" s="92" t="s">
        <v>36</v>
      </c>
      <c r="AG72" s="92" t="s">
        <v>36</v>
      </c>
      <c r="AH72" s="92" t="s">
        <v>36</v>
      </c>
      <c r="AI72" s="92" t="s">
        <v>36</v>
      </c>
      <c r="AJ72" s="206"/>
      <c r="AK72" s="209">
        <f>$AJ$64-SUM(AY72:CC73)</f>
        <v>184</v>
      </c>
      <c r="AL72" s="209">
        <f t="shared" ref="AL72" si="124">SUM(E72:AI73)</f>
        <v>0</v>
      </c>
      <c r="AM72" s="209">
        <v>0</v>
      </c>
      <c r="AN72" s="211">
        <f t="shared" ref="AN72" si="125">-AM72-AK72+AL72</f>
        <v>-184</v>
      </c>
      <c r="AO72" s="211">
        <v>0</v>
      </c>
      <c r="AP72" s="211">
        <f t="shared" ref="AP72" si="126">AN72+AP62</f>
        <v>-1141</v>
      </c>
      <c r="AQ72" s="209">
        <v>9</v>
      </c>
      <c r="AR72" s="210">
        <v>0</v>
      </c>
      <c r="CK72" s="59"/>
      <c r="CL72" s="59"/>
      <c r="CM72" s="59"/>
      <c r="CN72" s="59"/>
      <c r="CO72" s="59"/>
      <c r="CP72" s="59"/>
      <c r="CQ72" s="59"/>
      <c r="CR72" s="59"/>
      <c r="CS72" s="59"/>
      <c r="CT72" s="59"/>
      <c r="CU72" s="59"/>
      <c r="CV72" s="59"/>
      <c r="CW72" s="59"/>
      <c r="CX72" s="59"/>
      <c r="CY72" s="59"/>
      <c r="CZ72" s="59"/>
      <c r="DA72" s="59"/>
      <c r="DB72" s="59"/>
      <c r="DC72" s="59"/>
      <c r="DD72" s="59"/>
      <c r="DE72" s="59"/>
      <c r="DF72" s="59"/>
      <c r="DG72" s="59"/>
      <c r="DH72" s="59"/>
      <c r="DI72" s="59"/>
      <c r="DJ72" s="59"/>
      <c r="DK72" s="59"/>
      <c r="DL72" s="59"/>
      <c r="DM72" s="59"/>
      <c r="DN72" s="59"/>
      <c r="DO72" s="59"/>
    </row>
    <row r="73" spans="2:119" ht="16.5" thickBot="1" x14ac:dyDescent="0.3">
      <c r="B73" s="202"/>
      <c r="C73" s="212"/>
      <c r="D73" s="99">
        <v>10</v>
      </c>
      <c r="E73" s="30" t="str">
        <f t="shared" ref="E73:AI73" si="127">IF(INDEX($CK$4:$DO$123,ROW()-3,E$3)=0,"","СП")</f>
        <v/>
      </c>
      <c r="F73" s="30" t="str">
        <f t="shared" si="127"/>
        <v/>
      </c>
      <c r="G73" s="30" t="str">
        <f t="shared" si="127"/>
        <v/>
      </c>
      <c r="H73" s="30" t="str">
        <f t="shared" si="127"/>
        <v/>
      </c>
      <c r="I73" s="30" t="str">
        <f t="shared" si="127"/>
        <v/>
      </c>
      <c r="J73" s="30" t="str">
        <f t="shared" si="127"/>
        <v/>
      </c>
      <c r="K73" s="30" t="str">
        <f t="shared" si="127"/>
        <v/>
      </c>
      <c r="L73" s="30" t="str">
        <f t="shared" si="127"/>
        <v/>
      </c>
      <c r="M73" s="30" t="str">
        <f t="shared" si="127"/>
        <v/>
      </c>
      <c r="N73" s="30" t="str">
        <f t="shared" si="127"/>
        <v/>
      </c>
      <c r="O73" s="30" t="str">
        <f t="shared" si="127"/>
        <v>СП</v>
      </c>
      <c r="P73" s="30" t="str">
        <f t="shared" si="127"/>
        <v/>
      </c>
      <c r="Q73" s="30" t="str">
        <f t="shared" si="127"/>
        <v/>
      </c>
      <c r="R73" s="30" t="str">
        <f t="shared" si="127"/>
        <v/>
      </c>
      <c r="S73" s="30" t="str">
        <f t="shared" si="127"/>
        <v/>
      </c>
      <c r="T73" s="30" t="str">
        <f t="shared" si="127"/>
        <v/>
      </c>
      <c r="U73" s="30" t="str">
        <f t="shared" si="127"/>
        <v/>
      </c>
      <c r="V73" s="30" t="str">
        <f t="shared" si="127"/>
        <v/>
      </c>
      <c r="W73" s="30" t="str">
        <f t="shared" si="127"/>
        <v/>
      </c>
      <c r="X73" s="30" t="str">
        <f t="shared" si="127"/>
        <v/>
      </c>
      <c r="Y73" s="30" t="str">
        <f t="shared" si="127"/>
        <v/>
      </c>
      <c r="Z73" s="30" t="str">
        <f t="shared" si="127"/>
        <v/>
      </c>
      <c r="AA73" s="30" t="str">
        <f t="shared" si="127"/>
        <v/>
      </c>
      <c r="AB73" s="30" t="str">
        <f t="shared" si="127"/>
        <v/>
      </c>
      <c r="AC73" s="30" t="str">
        <f t="shared" si="127"/>
        <v/>
      </c>
      <c r="AD73" s="30" t="str">
        <f t="shared" si="127"/>
        <v/>
      </c>
      <c r="AE73" s="30" t="str">
        <f t="shared" si="127"/>
        <v/>
      </c>
      <c r="AF73" s="30" t="str">
        <f t="shared" si="127"/>
        <v/>
      </c>
      <c r="AG73" s="30" t="str">
        <f t="shared" si="127"/>
        <v/>
      </c>
      <c r="AH73" s="30" t="str">
        <f t="shared" si="127"/>
        <v/>
      </c>
      <c r="AI73" s="30" t="str">
        <f t="shared" si="127"/>
        <v/>
      </c>
      <c r="AJ73" s="207"/>
      <c r="AK73" s="209"/>
      <c r="AL73" s="213"/>
      <c r="AM73" s="213"/>
      <c r="AN73" s="214"/>
      <c r="AO73" s="214"/>
      <c r="AP73" s="214"/>
      <c r="AQ73" s="213"/>
      <c r="AR73" s="215"/>
      <c r="CK73" s="58">
        <f>IF(DAY(INDEX('Сводный годовой график'!$BA$4:$BL$14,$C72,MONTH($B$64)))=E$3,1,0)</f>
        <v>0</v>
      </c>
      <c r="CL73" s="58">
        <f>IF(DAY(INDEX('Сводный годовой график'!$BA$4:$BL$14,$C72,MONTH($B$64)))=F$3,1,0)</f>
        <v>0</v>
      </c>
      <c r="CM73" s="58">
        <f>IF(DAY(INDEX('Сводный годовой график'!$BA$4:$BL$14,$C72,MONTH($B$64)))=G$3,1,0)</f>
        <v>0</v>
      </c>
      <c r="CN73" s="58">
        <f>IF(DAY(INDEX('Сводный годовой график'!$BA$4:$BL$14,$C72,MONTH($B$64)))=H$3,1,0)</f>
        <v>0</v>
      </c>
      <c r="CO73" s="58">
        <f>IF(DAY(INDEX('Сводный годовой график'!$BA$4:$BL$14,$C72,MONTH($B$64)))=I$3,1,0)</f>
        <v>0</v>
      </c>
      <c r="CP73" s="58">
        <f>IF(DAY(INDEX('Сводный годовой график'!$BA$4:$BL$14,$C72,MONTH($B$64)))=J$3,1,0)</f>
        <v>0</v>
      </c>
      <c r="CQ73" s="58">
        <f>IF(DAY(INDEX('Сводный годовой график'!$BA$4:$BL$14,$C72,MONTH($B$64)))=K$3,1,0)</f>
        <v>0</v>
      </c>
      <c r="CR73" s="58">
        <f>IF(DAY(INDEX('Сводный годовой график'!$BA$4:$BL$14,$C72,MONTH($B$64)))=L$3,1,0)</f>
        <v>0</v>
      </c>
      <c r="CS73" s="58">
        <f>IF(DAY(INDEX('Сводный годовой график'!$BA$4:$BL$14,$C72,MONTH($B$64)))=M$3,1,0)</f>
        <v>0</v>
      </c>
      <c r="CT73" s="58">
        <f>IF(DAY(INDEX('Сводный годовой график'!$BA$4:$BL$14,$C72,MONTH($B$64)))=N$3,1,0)</f>
        <v>0</v>
      </c>
      <c r="CU73" s="58">
        <f>IF(DAY(INDEX('Сводный годовой график'!$BA$4:$BL$14,$C72,MONTH($B$64)))=O$3,1,0)</f>
        <v>1</v>
      </c>
      <c r="CV73" s="58">
        <f>IF(DAY(INDEX('Сводный годовой график'!$BA$4:$BL$14,$C72,MONTH($B$64)))=P$3,1,0)</f>
        <v>0</v>
      </c>
      <c r="CW73" s="58">
        <f>IF(DAY(INDEX('Сводный годовой график'!$BA$4:$BL$14,$C72,MONTH($B$64)))=Q$3,1,0)</f>
        <v>0</v>
      </c>
      <c r="CX73" s="58">
        <f>IF(DAY(INDEX('Сводный годовой график'!$BA$4:$BL$14,$C72,MONTH($B$64)))=R$3,1,0)</f>
        <v>0</v>
      </c>
      <c r="CY73" s="58">
        <f>IF(DAY(INDEX('Сводный годовой график'!$BA$4:$BL$14,$C72,MONTH($B$64)))=S$3,1,0)</f>
        <v>0</v>
      </c>
      <c r="CZ73" s="58">
        <f>IF(DAY(INDEX('Сводный годовой график'!$BA$4:$BL$14,$C72,MONTH($B$64)))=T$3,1,0)</f>
        <v>0</v>
      </c>
      <c r="DA73" s="58">
        <f>IF(DAY(INDEX('Сводный годовой график'!$BA$4:$BL$14,$C72,MONTH($B$64)))=U$3,1,0)</f>
        <v>0</v>
      </c>
      <c r="DB73" s="58">
        <f>IF(DAY(INDEX('Сводный годовой график'!$BA$4:$BL$14,$C72,MONTH($B$64)))=V$3,1,0)</f>
        <v>0</v>
      </c>
      <c r="DC73" s="58">
        <f>IF(DAY(INDEX('Сводный годовой график'!$BA$4:$BL$14,$C72,MONTH($B$64)))=W$3,1,0)</f>
        <v>0</v>
      </c>
      <c r="DD73" s="58">
        <f>IF(DAY(INDEX('Сводный годовой график'!$BA$4:$BL$14,$C72,MONTH($B$64)))=X$3,1,0)</f>
        <v>0</v>
      </c>
      <c r="DE73" s="58">
        <f>IF(DAY(INDEX('Сводный годовой график'!$BA$4:$BL$14,$C72,MONTH($B$64)))=Y$3,1,0)</f>
        <v>0</v>
      </c>
      <c r="DF73" s="58">
        <f>IF(DAY(INDEX('Сводный годовой график'!$BA$4:$BL$14,$C72,MONTH($B$64)))=Z$3,1,0)</f>
        <v>0</v>
      </c>
      <c r="DG73" s="58">
        <f>IF(DAY(INDEX('Сводный годовой график'!$BA$4:$BL$14,$C72,MONTH($B$64)))=AA$3,1,0)</f>
        <v>0</v>
      </c>
      <c r="DH73" s="58">
        <f>IF(DAY(INDEX('Сводный годовой график'!$BA$4:$BL$14,$C72,MONTH($B$64)))=AB$3,1,0)</f>
        <v>0</v>
      </c>
      <c r="DI73" s="58">
        <f>IF(DAY(INDEX('Сводный годовой график'!$BA$4:$BL$14,$C72,MONTH($B$64)))=AC$3,1,0)</f>
        <v>0</v>
      </c>
      <c r="DJ73" s="58">
        <f>IF(DAY(INDEX('Сводный годовой график'!$BA$4:$BL$14,$C72,MONTH($B$64)))=AD$3,1,0)</f>
        <v>0</v>
      </c>
      <c r="DK73" s="58">
        <f>IF(DAY(INDEX('Сводный годовой график'!$BA$4:$BL$14,$C72,MONTH($B$64)))=AE$3,1,0)</f>
        <v>0</v>
      </c>
      <c r="DL73" s="58">
        <f>IF(DAY(INDEX('Сводный годовой график'!$BA$4:$BL$14,$C72,MONTH($B$64)))=AF$3,1,0)</f>
        <v>0</v>
      </c>
      <c r="DM73" s="58">
        <f>IF(DAY(INDEX('Сводный годовой график'!$BA$4:$BL$14,$C72,MONTH($B$64)))=AG$3,1,0)</f>
        <v>0</v>
      </c>
      <c r="DN73" s="58">
        <f>IF(DAY(INDEX('Сводный годовой график'!$BA$4:$BL$14,$C72,MONTH($B$64)))=AH$3,1,0)</f>
        <v>0</v>
      </c>
      <c r="DO73" s="58">
        <f>IF(DAY(INDEX('Сводный годовой график'!$BA$4:$BL$14,$C72,MONTH($B$64)))=AI$3,1,0)</f>
        <v>0</v>
      </c>
    </row>
    <row r="74" spans="2:119" ht="17.25" customHeight="1" thickTop="1" thickBot="1" x14ac:dyDescent="0.3">
      <c r="B74" s="200">
        <f>DATE($AV$1,8,1)</f>
        <v>45870</v>
      </c>
      <c r="C74" s="196">
        <v>1</v>
      </c>
      <c r="D74" s="81">
        <v>1</v>
      </c>
      <c r="E74" s="28" t="e">
        <f ca="1">IF(AND(INDEX('Сводный годовой график'!$C$1:$AR$4,MATCH($C$74,'Сводный годовой график'!$B$1:$B$4),MATCH(DATE($AV$1,MONTH($B$74),E$3),'Сводный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график'!$B$1:$B$4),MATCH(DATE($AV$1,MONTH($B$74),E$3),'Сводный годовой график'!$C$12:$AR$12)))</f>
        <v>#N/A</v>
      </c>
      <c r="F74" s="28" t="e">
        <f ca="1">IF(AND(INDEX('Сводный годовой график'!$C$1:$AR$4,MATCH($C$74,'Сводный годовой график'!$B$1:$B$4),MATCH(DATE($AV$1,MONTH($B$74),F$3),'Сводный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график'!$B$1:$B$4),MATCH(DATE($AV$1,MONTH($B$74),F$3),'Сводный годовой график'!$C$12:$AR$12)))</f>
        <v>#N/A</v>
      </c>
      <c r="G74" s="28" t="e">
        <f ca="1">IF(AND(INDEX('Сводный годовой график'!$C$1:$AR$4,MATCH($C$74,'Сводный годовой график'!$B$1:$B$4),MATCH(DATE($AV$1,MONTH($B$74),G$3),'Сводный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график'!$B$1:$B$4),MATCH(DATE($AV$1,MONTH($B$74),G$3),'Сводный годовой график'!$C$12:$AR$12)))</f>
        <v>#N/A</v>
      </c>
      <c r="H74" s="28" t="e">
        <f ca="1">IF(AND(INDEX('Сводный годовой график'!$C$1:$AR$4,MATCH($C$74,'Сводный годовой график'!$B$1:$B$4),MATCH(DATE($AV$1,MONTH($B$74),H$3),'Сводный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график'!$B$1:$B$4),MATCH(DATE($AV$1,MONTH($B$74),H$3),'Сводный годовой график'!$C$12:$AR$12)))</f>
        <v>#N/A</v>
      </c>
      <c r="I74" s="28" t="e">
        <f ca="1">IF(AND(INDEX('Сводный годовой график'!$C$1:$AR$4,MATCH($C$74,'Сводный годовой график'!$B$1:$B$4),MATCH(DATE($AV$1,MONTH($B$74),I$3),'Сводный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график'!$B$1:$B$4),MATCH(DATE($AV$1,MONTH($B$74),I$3),'Сводный годовой график'!$C$12:$AR$12)))</f>
        <v>#N/A</v>
      </c>
      <c r="J74" s="28" t="e">
        <f ca="1">IF(AND(INDEX('Сводный годовой график'!$C$1:$AR$4,MATCH($C$74,'Сводный годовой график'!$B$1:$B$4),MATCH(DATE($AV$1,MONTH($B$74),J$3),'Сводный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график'!$B$1:$B$4),MATCH(DATE($AV$1,MONTH($B$74),J$3),'Сводный годовой график'!$C$12:$AR$12)))</f>
        <v>#N/A</v>
      </c>
      <c r="K74" s="28" t="e">
        <f ca="1">IF(AND(INDEX('Сводный годовой график'!$C$1:$AR$4,MATCH($C$74,'Сводный годовой график'!$B$1:$B$4),MATCH(DATE($AV$1,MONTH($B$74),K$3),'Сводный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график'!$B$1:$B$4),MATCH(DATE($AV$1,MONTH($B$74),K$3),'Сводный годовой график'!$C$12:$AR$12)))</f>
        <v>#N/A</v>
      </c>
      <c r="L74" s="28" t="e">
        <f ca="1">IF(AND(INDEX('Сводный годовой график'!$C$1:$AR$4,MATCH($C$74,'Сводный годовой график'!$B$1:$B$4),MATCH(DATE($AV$1,MONTH($B$74),L$3),'Сводный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график'!$B$1:$B$4),MATCH(DATE($AV$1,MONTH($B$74),L$3),'Сводный годовой график'!$C$12:$AR$12)))</f>
        <v>#N/A</v>
      </c>
      <c r="M74" s="28" t="e">
        <f ca="1">IF(AND(INDEX('Сводный годовой график'!$C$1:$AR$4,MATCH($C$74,'Сводный годовой график'!$B$1:$B$4),MATCH(DATE($AV$1,MONTH($B$74),M$3),'Сводный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график'!$B$1:$B$4),MATCH(DATE($AV$1,MONTH($B$74),M$3),'Сводный годовой график'!$C$12:$AR$12)))</f>
        <v>#N/A</v>
      </c>
      <c r="N74" s="28" t="e">
        <f ca="1">IF(AND(INDEX('Сводный годовой график'!$C$1:$AR$4,MATCH($C$74,'Сводный годовой график'!$B$1:$B$4),MATCH(DATE($AV$1,MONTH($B$74),N$3),'Сводный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график'!$B$1:$B$4),MATCH(DATE($AV$1,MONTH($B$74),N$3),'Сводный годовой график'!$C$12:$AR$12)))</f>
        <v>#N/A</v>
      </c>
      <c r="O74" s="28" t="e">
        <f ca="1">IF(AND(INDEX('Сводный годовой график'!$C$1:$AR$4,MATCH($C$74,'Сводный годовой график'!$B$1:$B$4),MATCH(DATE($AV$1,MONTH($B$74),O$3),'Сводный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график'!$B$1:$B$4),MATCH(DATE($AV$1,MONTH($B$74),O$3),'Сводный годовой график'!$C$12:$AR$12)))</f>
        <v>#N/A</v>
      </c>
      <c r="P74" s="28" t="e">
        <f ca="1">IF(AND(INDEX('Сводный годовой график'!$C$1:$AR$4,MATCH($C$74,'Сводный годовой график'!$B$1:$B$4),MATCH(DATE($AV$1,MONTH($B$74),P$3),'Сводный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график'!$B$1:$B$4),MATCH(DATE($AV$1,MONTH($B$74),P$3),'Сводный годовой график'!$C$12:$AR$12)))</f>
        <v>#N/A</v>
      </c>
      <c r="Q74" s="28" t="e">
        <f ca="1">IF(AND(INDEX('Сводный годовой график'!$C$1:$AR$4,MATCH($C$74,'Сводный годовой график'!$B$1:$B$4),MATCH(DATE($AV$1,MONTH($B$74),Q$3),'Сводный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график'!$B$1:$B$4),MATCH(DATE($AV$1,MONTH($B$74),Q$3),'Сводный годовой график'!$C$12:$AR$12)))</f>
        <v>#N/A</v>
      </c>
      <c r="R74" s="28" t="e">
        <f ca="1">IF(AND(INDEX('Сводный годовой график'!$C$1:$AR$4,MATCH($C$74,'Сводный годовой график'!$B$1:$B$4),MATCH(DATE($AV$1,MONTH($B$74),R$3),'Сводный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график'!$B$1:$B$4),MATCH(DATE($AV$1,MONTH($B$74),R$3),'Сводный годовой график'!$C$12:$AR$12)))</f>
        <v>#N/A</v>
      </c>
      <c r="S74" s="28" t="e">
        <f ca="1">IF(AND(INDEX('Сводный годовой график'!$C$1:$AR$4,MATCH($C$74,'Сводный годовой график'!$B$1:$B$4),MATCH(DATE($AV$1,MONTH($B$74),S$3),'Сводный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график'!$B$1:$B$4),MATCH(DATE($AV$1,MONTH($B$74),S$3),'Сводный годовой график'!$C$12:$AR$12)))</f>
        <v>#N/A</v>
      </c>
      <c r="T74" s="28" t="e">
        <f ca="1">IF(AND(INDEX('Сводный годовой график'!$C$1:$AR$4,MATCH($C$74,'Сводный годовой график'!$B$1:$B$4),MATCH(DATE($AV$1,MONTH($B$74),T$3),'Сводный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график'!$B$1:$B$4),MATCH(DATE($AV$1,MONTH($B$74),T$3),'Сводный годовой график'!$C$12:$AR$12)))</f>
        <v>#N/A</v>
      </c>
      <c r="U74" s="28" t="e">
        <f ca="1">IF(AND(INDEX('Сводный годовой график'!$C$1:$AR$4,MATCH($C$74,'Сводный годовой график'!$B$1:$B$4),MATCH(DATE($AV$1,MONTH($B$74),U$3),'Сводный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график'!$B$1:$B$4),MATCH(DATE($AV$1,MONTH($B$74),U$3),'Сводный годовой график'!$C$12:$AR$12)))</f>
        <v>#N/A</v>
      </c>
      <c r="V74" s="28" t="e">
        <f ca="1">IF(AND(INDEX('Сводный годовой график'!$C$1:$AR$4,MATCH($C$74,'Сводный годовой график'!$B$1:$B$4),MATCH(DATE($AV$1,MONTH($B$74),V$3),'Сводный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график'!$B$1:$B$4),MATCH(DATE($AV$1,MONTH($B$74),V$3),'Сводный годовой график'!$C$12:$AR$12)))</f>
        <v>#N/A</v>
      </c>
      <c r="W74" s="28" t="e">
        <f ca="1">IF(AND(INDEX('Сводный годовой график'!$C$1:$AR$4,MATCH($C$74,'Сводный годовой график'!$B$1:$B$4),MATCH(DATE($AV$1,MONTH($B$74),W$3),'Сводный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график'!$B$1:$B$4),MATCH(DATE($AV$1,MONTH($B$74),W$3),'Сводный годовой график'!$C$12:$AR$12)))</f>
        <v>#N/A</v>
      </c>
      <c r="X74" s="28" t="e">
        <f ca="1">IF(AND(INDEX('Сводный годовой график'!$C$1:$AR$4,MATCH($C$74,'Сводный годовой график'!$B$1:$B$4),MATCH(DATE($AV$1,MONTH($B$74),X$3),'Сводный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график'!$B$1:$B$4),MATCH(DATE($AV$1,MONTH($B$74),X$3),'Сводный годовой график'!$C$12:$AR$12)))</f>
        <v>#N/A</v>
      </c>
      <c r="Y74" s="28" t="e">
        <f ca="1">IF(AND(INDEX('Сводный годовой график'!$C$1:$AR$4,MATCH($C$74,'Сводный годовой график'!$B$1:$B$4),MATCH(DATE($AV$1,MONTH($B$74),Y$3),'Сводный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график'!$B$1:$B$4),MATCH(DATE($AV$1,MONTH($B$74),Y$3),'Сводный годовой график'!$C$12:$AR$12)))</f>
        <v>#N/A</v>
      </c>
      <c r="Z74" s="28" t="e">
        <f ca="1">IF(AND(INDEX('Сводный годовой график'!$C$1:$AR$4,MATCH($C$74,'Сводный годовой график'!$B$1:$B$4),MATCH(DATE($AV$1,MONTH($B$74),Z$3),'Сводный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график'!$B$1:$B$4),MATCH(DATE($AV$1,MONTH($B$74),Z$3),'Сводный годовой график'!$C$12:$AR$12)))</f>
        <v>#N/A</v>
      </c>
      <c r="AA74" s="28" t="e">
        <f ca="1">IF(AND(INDEX('Сводный годовой график'!$C$1:$AR$4,MATCH($C$74,'Сводный годовой график'!$B$1:$B$4),MATCH(DATE($AV$1,MONTH($B$74),AA$3),'Сводный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график'!$B$1:$B$4),MATCH(DATE($AV$1,MONTH($B$74),AA$3),'Сводный годовой график'!$C$12:$AR$12)))</f>
        <v>#N/A</v>
      </c>
      <c r="AB74" s="28" t="e">
        <f ca="1">IF(AND(INDEX('Сводный годовой график'!$C$1:$AR$4,MATCH($C$74,'Сводный годовой график'!$B$1:$B$4),MATCH(DATE($AV$1,MONTH($B$74),AB$3),'Сводный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график'!$B$1:$B$4),MATCH(DATE($AV$1,MONTH($B$74),AB$3),'Сводный годовой график'!$C$12:$AR$12)))</f>
        <v>#N/A</v>
      </c>
      <c r="AC74" s="28" t="e">
        <f ca="1">IF(AND(INDEX('Сводный годовой график'!$C$1:$AR$4,MATCH($C$74,'Сводный годовой график'!$B$1:$B$4),MATCH(DATE($AV$1,MONTH($B$74),AC$3),'Сводный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график'!$B$1:$B$4),MATCH(DATE($AV$1,MONTH($B$74),AC$3),'Сводный годовой график'!$C$12:$AR$12)))</f>
        <v>#N/A</v>
      </c>
      <c r="AD74" s="28" t="e">
        <f ca="1">IF(AND(INDEX('Сводный годовой график'!$C$1:$AR$4,MATCH($C$74,'Сводный годовой график'!$B$1:$B$4),MATCH(DATE($AV$1,MONTH($B$74),AD$3),'Сводный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график'!$B$1:$B$4),MATCH(DATE($AV$1,MONTH($B$74),AD$3),'Сводный годовой график'!$C$12:$AR$12)))</f>
        <v>#N/A</v>
      </c>
      <c r="AE74" s="28" t="e">
        <f ca="1">IF(AND(INDEX('Сводный годовой график'!$C$1:$AR$4,MATCH($C$74,'Сводный годовой график'!$B$1:$B$4),MATCH(DATE($AV$1,MONTH($B$74),AE$3),'Сводный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график'!$B$1:$B$4),MATCH(DATE($AV$1,MONTH($B$74),AE$3),'Сводный годовой график'!$C$12:$AR$12)))</f>
        <v>#N/A</v>
      </c>
      <c r="AF74" s="28" t="e">
        <f ca="1">IF(AND(INDEX('Сводный годовой график'!$C$1:$AR$4,MATCH($C$74,'Сводный годовой график'!$B$1:$B$4),MATCH(DATE($AV$1,MONTH($B$74),AF$3),'Сводный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график'!$B$1:$B$4),MATCH(DATE($AV$1,MONTH($B$74),AF$3),'Сводный годовой график'!$C$12:$AR$12)))</f>
        <v>#N/A</v>
      </c>
      <c r="AG74" s="28" t="e">
        <f ca="1">IF(AND(INDEX('Сводный годовой график'!$C$1:$AR$4,MATCH($C$74,'Сводный годовой график'!$B$1:$B$4),MATCH(DATE($AV$1,MONTH($B$74),AG$3),'Сводный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график'!$B$1:$B$4),MATCH(DATE($AV$1,MONTH($B$74),AG$3),'Сводный годовой график'!$C$12:$AR$12)))</f>
        <v>#N/A</v>
      </c>
      <c r="AH74" s="28" t="e">
        <f ca="1">IF(AND(INDEX('Сводный годовой график'!$C$1:$AR$4,MATCH($C$74,'Сводный годовой график'!$B$1:$B$4),MATCH(DATE($AV$1,MONTH($B$74),AH$3),'Сводный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график'!$B$1:$B$4),MATCH(DATE($AV$1,MONTH($B$74),AH$3),'Сводный годовой график'!$C$12:$AR$12)))</f>
        <v>#N/A</v>
      </c>
      <c r="AI74" s="95" t="e">
        <f ca="1">IF(AND(INDEX('Сводный годовой график'!$C$1:$AR$4,MATCH($C$74,'Сводный годовой график'!$B$1:$B$4),MATCH(DATE($AV$1,MONTH($B$74),AI$3),'Сводный годовой график'!$C$12:$AR$12))&lt;&gt;12,INDIRECT(ADDRESS(ROW()+1,COLUMN()))="СП"),8,INDEX('Сводный годовой график'!$C$1:$AR$4,MATCH($C$74,'Сводный годовой график'!$B$1:$B$4),MATCH(DATE($AV$1,MONTH($B$74),AI$3),'Сводный годовой график'!$C$12:$AR$12)))</f>
        <v>#N/A</v>
      </c>
      <c r="AJ74" s="205">
        <f>INDEX(Подключения!$D$3:$H$14,MONTH(B74),5)</f>
        <v>168</v>
      </c>
      <c r="AK74" s="203">
        <f>$AJ$74-SUM(AY74:CC75)</f>
        <v>168</v>
      </c>
      <c r="AL74" s="203" t="e">
        <f t="shared" ref="AL74" ca="1" si="128">SUM(E74:AI75)</f>
        <v>#N/A</v>
      </c>
      <c r="AM74" s="203">
        <v>0</v>
      </c>
      <c r="AN74" s="208" t="e">
        <f t="shared" ref="AN74" ca="1" si="129">-AM74-AK74+AL74</f>
        <v>#N/A</v>
      </c>
      <c r="AO74" s="208">
        <v>30</v>
      </c>
      <c r="AP74" s="208" t="e">
        <f ca="1">AN74+AP64-AO74</f>
        <v>#N/A</v>
      </c>
      <c r="AQ74" s="203">
        <v>20</v>
      </c>
      <c r="AR74" s="204">
        <v>1</v>
      </c>
      <c r="CK74" s="59"/>
      <c r="CL74" s="59"/>
      <c r="CM74" s="59"/>
      <c r="CN74" s="59"/>
      <c r="CO74" s="59"/>
      <c r="CP74" s="59"/>
      <c r="CQ74" s="59"/>
      <c r="CR74" s="59"/>
      <c r="CS74" s="59"/>
      <c r="CT74" s="59"/>
      <c r="CU74" s="59"/>
      <c r="CV74" s="59"/>
      <c r="CW74" s="59"/>
      <c r="CX74" s="59"/>
      <c r="CY74" s="59"/>
      <c r="CZ74" s="59"/>
      <c r="DA74" s="59"/>
      <c r="DB74" s="59"/>
      <c r="DC74" s="59"/>
      <c r="DD74" s="59"/>
      <c r="DE74" s="59"/>
      <c r="DF74" s="59"/>
      <c r="DG74" s="59"/>
      <c r="DH74" s="59"/>
      <c r="DI74" s="59"/>
      <c r="DJ74" s="59"/>
      <c r="DK74" s="59"/>
      <c r="DL74" s="59"/>
      <c r="DM74" s="59"/>
      <c r="DN74" s="59"/>
      <c r="DO74" s="59"/>
    </row>
    <row r="75" spans="2:119" ht="16.5" thickBot="1" x14ac:dyDescent="0.3">
      <c r="B75" s="201"/>
      <c r="C75" s="197"/>
      <c r="D75" s="82">
        <v>2</v>
      </c>
      <c r="E75" s="92" t="str">
        <f t="shared" ref="E75:AI75" si="130">IF(INDEX($CK$4:$DO$123,ROW()-3,E$3)=0,"","СП")</f>
        <v/>
      </c>
      <c r="F75" s="92" t="str">
        <f t="shared" si="130"/>
        <v/>
      </c>
      <c r="G75" s="92" t="str">
        <f t="shared" si="130"/>
        <v/>
      </c>
      <c r="H75" s="92" t="str">
        <f t="shared" si="130"/>
        <v/>
      </c>
      <c r="I75" s="92" t="str">
        <f t="shared" si="130"/>
        <v/>
      </c>
      <c r="J75" s="92" t="str">
        <f t="shared" si="130"/>
        <v/>
      </c>
      <c r="K75" s="92" t="str">
        <f t="shared" si="130"/>
        <v/>
      </c>
      <c r="L75" s="92" t="str">
        <f t="shared" si="130"/>
        <v>СП</v>
      </c>
      <c r="M75" s="92" t="str">
        <f t="shared" si="130"/>
        <v/>
      </c>
      <c r="N75" s="92" t="str">
        <f t="shared" si="130"/>
        <v/>
      </c>
      <c r="O75" s="92" t="str">
        <f t="shared" si="130"/>
        <v/>
      </c>
      <c r="P75" s="92" t="str">
        <f t="shared" si="130"/>
        <v/>
      </c>
      <c r="Q75" s="92" t="str">
        <f t="shared" si="130"/>
        <v/>
      </c>
      <c r="R75" s="92" t="str">
        <f t="shared" si="130"/>
        <v/>
      </c>
      <c r="S75" s="92" t="str">
        <f t="shared" si="130"/>
        <v/>
      </c>
      <c r="T75" s="92" t="str">
        <f t="shared" si="130"/>
        <v/>
      </c>
      <c r="U75" s="92" t="str">
        <f t="shared" si="130"/>
        <v/>
      </c>
      <c r="V75" s="92" t="str">
        <f t="shared" si="130"/>
        <v/>
      </c>
      <c r="W75" s="92" t="str">
        <f t="shared" si="130"/>
        <v/>
      </c>
      <c r="X75" s="92" t="str">
        <f t="shared" si="130"/>
        <v/>
      </c>
      <c r="Y75" s="92" t="str">
        <f t="shared" si="130"/>
        <v/>
      </c>
      <c r="Z75" s="92" t="str">
        <f t="shared" si="130"/>
        <v/>
      </c>
      <c r="AA75" s="92" t="str">
        <f t="shared" si="130"/>
        <v/>
      </c>
      <c r="AB75" s="92" t="str">
        <f t="shared" si="130"/>
        <v/>
      </c>
      <c r="AC75" s="92" t="str">
        <f t="shared" si="130"/>
        <v/>
      </c>
      <c r="AD75" s="92" t="str">
        <f t="shared" si="130"/>
        <v/>
      </c>
      <c r="AE75" s="92" t="str">
        <f t="shared" si="130"/>
        <v/>
      </c>
      <c r="AF75" s="92" t="str">
        <f t="shared" si="130"/>
        <v/>
      </c>
      <c r="AG75" s="92" t="str">
        <f t="shared" si="130"/>
        <v/>
      </c>
      <c r="AH75" s="92" t="str">
        <f t="shared" si="130"/>
        <v/>
      </c>
      <c r="AI75" s="97" t="str">
        <f t="shared" si="130"/>
        <v/>
      </c>
      <c r="AJ75" s="206"/>
      <c r="AK75" s="177"/>
      <c r="AL75" s="177"/>
      <c r="AM75" s="177"/>
      <c r="AN75" s="198"/>
      <c r="AO75" s="198"/>
      <c r="AP75" s="198"/>
      <c r="AQ75" s="177"/>
      <c r="AR75" s="179"/>
      <c r="CK75" s="58">
        <f>IF(DAY(INDEX('Сводный годовой график'!$BA$4:$BL$14,$C74,MONTH($B$74)))=E$3,1,0)</f>
        <v>0</v>
      </c>
      <c r="CL75" s="58">
        <f>IF(DAY(INDEX('Сводный годовой график'!$BA$4:$BL$14,$C74,MONTH($B$74)))=F$3,1,0)</f>
        <v>0</v>
      </c>
      <c r="CM75" s="58">
        <f>IF(DAY(INDEX('Сводный годовой график'!$BA$4:$BL$14,$C74,MONTH($B$74)))=G$3,1,0)</f>
        <v>0</v>
      </c>
      <c r="CN75" s="58">
        <f>IF(DAY(INDEX('Сводный годовой график'!$BA$4:$BL$14,$C74,MONTH($B$74)))=H$3,1,0)</f>
        <v>0</v>
      </c>
      <c r="CO75" s="58">
        <f>IF(DAY(INDEX('Сводный годовой график'!$BA$4:$BL$14,$C74,MONTH($B$74)))=I$3,1,0)</f>
        <v>0</v>
      </c>
      <c r="CP75" s="58">
        <f>IF(DAY(INDEX('Сводный годовой график'!$BA$4:$BL$14,$C74,MONTH($B$74)))=J$3,1,0)</f>
        <v>0</v>
      </c>
      <c r="CQ75" s="58">
        <f>IF(DAY(INDEX('Сводный годовой график'!$BA$4:$BL$14,$C74,MONTH($B$74)))=K$3,1,0)</f>
        <v>0</v>
      </c>
      <c r="CR75" s="58">
        <f>IF(DAY(INDEX('Сводный годовой график'!$BA$4:$BL$14,$C74,MONTH($B$74)))=L$3,1,0)</f>
        <v>1</v>
      </c>
      <c r="CS75" s="58">
        <f>IF(DAY(INDEX('Сводный годовой график'!$BA$4:$BL$14,$C74,MONTH($B$74)))=M$3,1,0)</f>
        <v>0</v>
      </c>
      <c r="CT75" s="58">
        <f>IF(DAY(INDEX('Сводный годовой график'!$BA$4:$BL$14,$C74,MONTH($B$74)))=N$3,1,0)</f>
        <v>0</v>
      </c>
      <c r="CU75" s="58">
        <f>IF(DAY(INDEX('Сводный годовой график'!$BA$4:$BL$14,$C74,MONTH($B$74)))=O$3,1,0)</f>
        <v>0</v>
      </c>
      <c r="CV75" s="58">
        <f>IF(DAY(INDEX('Сводный годовой график'!$BA$4:$BL$14,$C74,MONTH($B$74)))=P$3,1,0)</f>
        <v>0</v>
      </c>
      <c r="CW75" s="58">
        <f>IF(DAY(INDEX('Сводный годовой график'!$BA$4:$BL$14,$C74,MONTH($B$74)))=Q$3,1,0)</f>
        <v>0</v>
      </c>
      <c r="CX75" s="58">
        <f>IF(DAY(INDEX('Сводный годовой график'!$BA$4:$BL$14,$C74,MONTH($B$74)))=R$3,1,0)</f>
        <v>0</v>
      </c>
      <c r="CY75" s="58">
        <f>IF(DAY(INDEX('Сводный годовой график'!$BA$4:$BL$14,$C74,MONTH($B$74)))=S$3,1,0)</f>
        <v>0</v>
      </c>
      <c r="CZ75" s="58">
        <f>IF(DAY(INDEX('Сводный годовой график'!$BA$4:$BL$14,$C74,MONTH($B$74)))=T$3,1,0)</f>
        <v>0</v>
      </c>
      <c r="DA75" s="58">
        <f>IF(DAY(INDEX('Сводный годовой график'!$BA$4:$BL$14,$C74,MONTH($B$74)))=U$3,1,0)</f>
        <v>0</v>
      </c>
      <c r="DB75" s="58">
        <f>IF(DAY(INDEX('Сводный годовой график'!$BA$4:$BL$14,$C74,MONTH($B$74)))=V$3,1,0)</f>
        <v>0</v>
      </c>
      <c r="DC75" s="58">
        <f>IF(DAY(INDEX('Сводный годовой график'!$BA$4:$BL$14,$C74,MONTH($B$74)))=W$3,1,0)</f>
        <v>0</v>
      </c>
      <c r="DD75" s="58">
        <f>IF(DAY(INDEX('Сводный годовой график'!$BA$4:$BL$14,$C74,MONTH($B$74)))=X$3,1,0)</f>
        <v>0</v>
      </c>
      <c r="DE75" s="58">
        <f>IF(DAY(INDEX('Сводный годовой график'!$BA$4:$BL$14,$C74,MONTH($B$74)))=Y$3,1,0)</f>
        <v>0</v>
      </c>
      <c r="DF75" s="58">
        <f>IF(DAY(INDEX('Сводный годовой график'!$BA$4:$BL$14,$C74,MONTH($B$74)))=Z$3,1,0)</f>
        <v>0</v>
      </c>
      <c r="DG75" s="58">
        <f>IF(DAY(INDEX('Сводный годовой график'!$BA$4:$BL$14,$C74,MONTH($B$74)))=AA$3,1,0)</f>
        <v>0</v>
      </c>
      <c r="DH75" s="58">
        <f>IF(DAY(INDEX('Сводный годовой график'!$BA$4:$BL$14,$C74,MONTH($B$74)))=AB$3,1,0)</f>
        <v>0</v>
      </c>
      <c r="DI75" s="58">
        <f>IF(DAY(INDEX('Сводный годовой график'!$BA$4:$BL$14,$C74,MONTH($B$74)))=AC$3,1,0)</f>
        <v>0</v>
      </c>
      <c r="DJ75" s="58">
        <f>IF(DAY(INDEX('Сводный годовой график'!$BA$4:$BL$14,$C74,MONTH($B$74)))=AD$3,1,0)</f>
        <v>0</v>
      </c>
      <c r="DK75" s="58">
        <f>IF(DAY(INDEX('Сводный годовой график'!$BA$4:$BL$14,$C74,MONTH($B$74)))=AE$3,1,0)</f>
        <v>0</v>
      </c>
      <c r="DL75" s="58">
        <f>IF(DAY(INDEX('Сводный годовой график'!$BA$4:$BL$14,$C74,MONTH($B$74)))=AF$3,1,0)</f>
        <v>0</v>
      </c>
      <c r="DM75" s="58">
        <f>IF(DAY(INDEX('Сводный годовой график'!$BA$4:$BL$14,$C74,MONTH($B$74)))=AG$3,1,0)</f>
        <v>0</v>
      </c>
      <c r="DN75" s="58">
        <f>IF(DAY(INDEX('Сводный годовой график'!$BA$4:$BL$14,$C74,MONTH($B$74)))=AH$3,1,0)</f>
        <v>0</v>
      </c>
      <c r="DO75" s="58">
        <f>IF(DAY(INDEX('Сводный годовой график'!$BA$4:$BL$14,$C74,MONTH($B$74)))=AI$3,1,0)</f>
        <v>0</v>
      </c>
    </row>
    <row r="76" spans="2:119" ht="16.5" thickBot="1" x14ac:dyDescent="0.3">
      <c r="B76" s="201"/>
      <c r="C76" s="196">
        <v>2</v>
      </c>
      <c r="D76" s="81">
        <v>3</v>
      </c>
      <c r="E76" s="92" t="e">
        <f ca="1">IF(AND(INDEX('Сводный годовой график'!$C$1:$AR$4,MATCH($C$76,'Сводный годовой график'!$B$1:$B$4),MATCH(DATE($AV$1,MONTH($B$74),E$3),'Сводный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график'!$B$1:$B$4),MATCH(DATE($AV$1,MONTH($B$74),E$3),'Сводный годовой график'!$C$12:$AR$12)))</f>
        <v>#N/A</v>
      </c>
      <c r="F76" s="92" t="e">
        <f ca="1">IF(AND(INDEX('Сводный годовой график'!$C$1:$AR$4,MATCH($C$76,'Сводный годовой график'!$B$1:$B$4),MATCH(DATE($AV$1,MONTH($B$74),F$3),'Сводный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график'!$B$1:$B$4),MATCH(DATE($AV$1,MONTH($B$74),F$3),'Сводный годовой график'!$C$12:$AR$12)))</f>
        <v>#N/A</v>
      </c>
      <c r="G76" s="92" t="e">
        <f ca="1">IF(AND(INDEX('Сводный годовой график'!$C$1:$AR$4,MATCH($C$76,'Сводный годовой график'!$B$1:$B$4),MATCH(DATE($AV$1,MONTH($B$74),G$3),'Сводный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график'!$B$1:$B$4),MATCH(DATE($AV$1,MONTH($B$74),G$3),'Сводный годовой график'!$C$12:$AR$12)))</f>
        <v>#N/A</v>
      </c>
      <c r="H76" s="92" t="e">
        <f ca="1">IF(AND(INDEX('Сводный годовой график'!$C$1:$AR$4,MATCH($C$76,'Сводный годовой график'!$B$1:$B$4),MATCH(DATE($AV$1,MONTH($B$74),H$3),'Сводный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график'!$B$1:$B$4),MATCH(DATE($AV$1,MONTH($B$74),H$3),'Сводный годовой график'!$C$12:$AR$12)))</f>
        <v>#N/A</v>
      </c>
      <c r="I76" s="92" t="e">
        <f ca="1">IF(AND(INDEX('Сводный годовой график'!$C$1:$AR$4,MATCH($C$76,'Сводный годовой график'!$B$1:$B$4),MATCH(DATE($AV$1,MONTH($B$74),I$3),'Сводный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график'!$B$1:$B$4),MATCH(DATE($AV$1,MONTH($B$74),I$3),'Сводный годовой график'!$C$12:$AR$12)))</f>
        <v>#N/A</v>
      </c>
      <c r="J76" s="92" t="e">
        <f ca="1">IF(AND(INDEX('Сводный годовой график'!$C$1:$AR$4,MATCH($C$76,'Сводный годовой график'!$B$1:$B$4),MATCH(DATE($AV$1,MONTH($B$74),J$3),'Сводный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график'!$B$1:$B$4),MATCH(DATE($AV$1,MONTH($B$74),J$3),'Сводный годовой график'!$C$12:$AR$12)))</f>
        <v>#N/A</v>
      </c>
      <c r="K76" s="92" t="e">
        <f ca="1">IF(AND(INDEX('Сводный годовой график'!$C$1:$AR$4,MATCH($C$76,'Сводный годовой график'!$B$1:$B$4),MATCH(DATE($AV$1,MONTH($B$74),K$3),'Сводный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график'!$B$1:$B$4),MATCH(DATE($AV$1,MONTH($B$74),K$3),'Сводный годовой график'!$C$12:$AR$12)))</f>
        <v>#N/A</v>
      </c>
      <c r="L76" s="92" t="e">
        <f ca="1">IF(AND(INDEX('Сводный годовой график'!$C$1:$AR$4,MATCH($C$76,'Сводный годовой график'!$B$1:$B$4),MATCH(DATE($AV$1,MONTH($B$74),L$3),'Сводный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график'!$B$1:$B$4),MATCH(DATE($AV$1,MONTH($B$74),L$3),'Сводный годовой график'!$C$12:$AR$12)))</f>
        <v>#N/A</v>
      </c>
      <c r="M76" s="92" t="e">
        <f ca="1">IF(AND(INDEX('Сводный годовой график'!$C$1:$AR$4,MATCH($C$76,'Сводный годовой график'!$B$1:$B$4),MATCH(DATE($AV$1,MONTH($B$74),M$3),'Сводный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график'!$B$1:$B$4),MATCH(DATE($AV$1,MONTH($B$74),M$3),'Сводный годовой график'!$C$12:$AR$12)))</f>
        <v>#N/A</v>
      </c>
      <c r="N76" s="92" t="e">
        <f ca="1">IF(AND(INDEX('Сводный годовой график'!$C$1:$AR$4,MATCH($C$76,'Сводный годовой график'!$B$1:$B$4),MATCH(DATE($AV$1,MONTH($B$74),N$3),'Сводный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график'!$B$1:$B$4),MATCH(DATE($AV$1,MONTH($B$74),N$3),'Сводный годовой график'!$C$12:$AR$12)))</f>
        <v>#N/A</v>
      </c>
      <c r="O76" s="92" t="e">
        <f ca="1">IF(AND(INDEX('Сводный годовой график'!$C$1:$AR$4,MATCH($C$76,'Сводный годовой график'!$B$1:$B$4),MATCH(DATE($AV$1,MONTH($B$74),O$3),'Сводный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график'!$B$1:$B$4),MATCH(DATE($AV$1,MONTH($B$74),O$3),'Сводный годовой график'!$C$12:$AR$12)))</f>
        <v>#N/A</v>
      </c>
      <c r="P76" s="92" t="e">
        <f ca="1">IF(AND(INDEX('Сводный годовой график'!$C$1:$AR$4,MATCH($C$76,'Сводный годовой график'!$B$1:$B$4),MATCH(DATE($AV$1,MONTH($B$74),P$3),'Сводный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график'!$B$1:$B$4),MATCH(DATE($AV$1,MONTH($B$74),P$3),'Сводный годовой график'!$C$12:$AR$12)))</f>
        <v>#N/A</v>
      </c>
      <c r="Q76" s="92" t="e">
        <f ca="1">IF(AND(INDEX('Сводный годовой график'!$C$1:$AR$4,MATCH($C$76,'Сводный годовой график'!$B$1:$B$4),MATCH(DATE($AV$1,MONTH($B$74),Q$3),'Сводный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график'!$B$1:$B$4),MATCH(DATE($AV$1,MONTH($B$74),Q$3),'Сводный годовой график'!$C$12:$AR$12)))</f>
        <v>#N/A</v>
      </c>
      <c r="R76" s="92" t="e">
        <f ca="1">IF(AND(INDEX('Сводный годовой график'!$C$1:$AR$4,MATCH($C$76,'Сводный годовой график'!$B$1:$B$4),MATCH(DATE($AV$1,MONTH($B$74),R$3),'Сводный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график'!$B$1:$B$4),MATCH(DATE($AV$1,MONTH($B$74),R$3),'Сводный годовой график'!$C$12:$AR$12)))</f>
        <v>#N/A</v>
      </c>
      <c r="S76" s="92" t="e">
        <f ca="1">IF(AND(INDEX('Сводный годовой график'!$C$1:$AR$4,MATCH($C$76,'Сводный годовой график'!$B$1:$B$4),MATCH(DATE($AV$1,MONTH($B$74),S$3),'Сводный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график'!$B$1:$B$4),MATCH(DATE($AV$1,MONTH($B$74),S$3),'Сводный годовой график'!$C$12:$AR$12)))</f>
        <v>#N/A</v>
      </c>
      <c r="T76" s="92" t="e">
        <f ca="1">IF(AND(INDEX('Сводный годовой график'!$C$1:$AR$4,MATCH($C$76,'Сводный годовой график'!$B$1:$B$4),MATCH(DATE($AV$1,MONTH($B$74),T$3),'Сводный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график'!$B$1:$B$4),MATCH(DATE($AV$1,MONTH($B$74),T$3),'Сводный годовой график'!$C$12:$AR$12)))</f>
        <v>#N/A</v>
      </c>
      <c r="U76" s="92" t="e">
        <f ca="1">IF(AND(INDEX('Сводный годовой график'!$C$1:$AR$4,MATCH($C$76,'Сводный годовой график'!$B$1:$B$4),MATCH(DATE($AV$1,MONTH($B$74),U$3),'Сводный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график'!$B$1:$B$4),MATCH(DATE($AV$1,MONTH($B$74),U$3),'Сводный годовой график'!$C$12:$AR$12)))</f>
        <v>#N/A</v>
      </c>
      <c r="V76" s="92" t="e">
        <f ca="1">IF(AND(INDEX('Сводный годовой график'!$C$1:$AR$4,MATCH($C$76,'Сводный годовой график'!$B$1:$B$4),MATCH(DATE($AV$1,MONTH($B$74),V$3),'Сводный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график'!$B$1:$B$4),MATCH(DATE($AV$1,MONTH($B$74),V$3),'Сводный годовой график'!$C$12:$AR$12)))</f>
        <v>#N/A</v>
      </c>
      <c r="W76" s="92" t="e">
        <f ca="1">IF(AND(INDEX('Сводный годовой график'!$C$1:$AR$4,MATCH($C$76,'Сводный годовой график'!$B$1:$B$4),MATCH(DATE($AV$1,MONTH($B$74),W$3),'Сводный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график'!$B$1:$B$4),MATCH(DATE($AV$1,MONTH($B$74),W$3),'Сводный годовой график'!$C$12:$AR$12)))</f>
        <v>#N/A</v>
      </c>
      <c r="X76" s="92" t="e">
        <f ca="1">IF(AND(INDEX('Сводный годовой график'!$C$1:$AR$4,MATCH($C$76,'Сводный годовой график'!$B$1:$B$4),MATCH(DATE($AV$1,MONTH($B$74),X$3),'Сводный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график'!$B$1:$B$4),MATCH(DATE($AV$1,MONTH($B$74),X$3),'Сводный годовой график'!$C$12:$AR$12)))</f>
        <v>#N/A</v>
      </c>
      <c r="Y76" s="92" t="e">
        <f ca="1">IF(AND(INDEX('Сводный годовой график'!$C$1:$AR$4,MATCH($C$76,'Сводный годовой график'!$B$1:$B$4),MATCH(DATE($AV$1,MONTH($B$74),Y$3),'Сводный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график'!$B$1:$B$4),MATCH(DATE($AV$1,MONTH($B$74),Y$3),'Сводный годовой график'!$C$12:$AR$12)))</f>
        <v>#N/A</v>
      </c>
      <c r="Z76" s="92" t="e">
        <f ca="1">IF(AND(INDEX('Сводный годовой график'!$C$1:$AR$4,MATCH($C$76,'Сводный годовой график'!$B$1:$B$4),MATCH(DATE($AV$1,MONTH($B$74),Z$3),'Сводный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график'!$B$1:$B$4),MATCH(DATE($AV$1,MONTH($B$74),Z$3),'Сводный годовой график'!$C$12:$AR$12)))</f>
        <v>#N/A</v>
      </c>
      <c r="AA76" s="92" t="e">
        <f ca="1">IF(AND(INDEX('Сводный годовой график'!$C$1:$AR$4,MATCH($C$76,'Сводный годовой график'!$B$1:$B$4),MATCH(DATE($AV$1,MONTH($B$74),AA$3),'Сводный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график'!$B$1:$B$4),MATCH(DATE($AV$1,MONTH($B$74),AA$3),'Сводный годовой график'!$C$12:$AR$12)))</f>
        <v>#N/A</v>
      </c>
      <c r="AB76" s="92" t="e">
        <f ca="1">IF(AND(INDEX('Сводный годовой график'!$C$1:$AR$4,MATCH($C$76,'Сводный годовой график'!$B$1:$B$4),MATCH(DATE($AV$1,MONTH($B$74),AB$3),'Сводный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график'!$B$1:$B$4),MATCH(DATE($AV$1,MONTH($B$74),AB$3),'Сводный годовой график'!$C$12:$AR$12)))</f>
        <v>#N/A</v>
      </c>
      <c r="AC76" s="92" t="e">
        <f ca="1">IF(AND(INDEX('Сводный годовой график'!$C$1:$AR$4,MATCH($C$76,'Сводный годовой график'!$B$1:$B$4),MATCH(DATE($AV$1,MONTH($B$74),AC$3),'Сводный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график'!$B$1:$B$4),MATCH(DATE($AV$1,MONTH($B$74),AC$3),'Сводный годовой график'!$C$12:$AR$12)))</f>
        <v>#N/A</v>
      </c>
      <c r="AD76" s="92" t="e">
        <f ca="1">IF(AND(INDEX('Сводный годовой график'!$C$1:$AR$4,MATCH($C$76,'Сводный годовой график'!$B$1:$B$4),MATCH(DATE($AV$1,MONTH($B$74),AD$3),'Сводный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график'!$B$1:$B$4),MATCH(DATE($AV$1,MONTH($B$74),AD$3),'Сводный годовой график'!$C$12:$AR$12)))</f>
        <v>#N/A</v>
      </c>
      <c r="AE76" s="92" t="e">
        <f ca="1">IF(AND(INDEX('Сводный годовой график'!$C$1:$AR$4,MATCH($C$76,'Сводный годовой график'!$B$1:$B$4),MATCH(DATE($AV$1,MONTH($B$74),AE$3),'Сводный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график'!$B$1:$B$4),MATCH(DATE($AV$1,MONTH($B$74),AE$3),'Сводный годовой график'!$C$12:$AR$12)))</f>
        <v>#N/A</v>
      </c>
      <c r="AF76" s="92" t="e">
        <f ca="1">IF(AND(INDEX('Сводный годовой график'!$C$1:$AR$4,MATCH($C$76,'Сводный годовой график'!$B$1:$B$4),MATCH(DATE($AV$1,MONTH($B$74),AF$3),'Сводный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график'!$B$1:$B$4),MATCH(DATE($AV$1,MONTH($B$74),AF$3),'Сводный годовой график'!$C$12:$AR$12)))</f>
        <v>#N/A</v>
      </c>
      <c r="AG76" s="92" t="e">
        <f ca="1">IF(AND(INDEX('Сводный годовой график'!$C$1:$AR$4,MATCH($C$76,'Сводный годовой график'!$B$1:$B$4),MATCH(DATE($AV$1,MONTH($B$74),AG$3),'Сводный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график'!$B$1:$B$4),MATCH(DATE($AV$1,MONTH($B$74),AG$3),'Сводный годовой график'!$C$12:$AR$12)))</f>
        <v>#N/A</v>
      </c>
      <c r="AH76" s="92" t="e">
        <f ca="1">IF(AND(INDEX('Сводный годовой график'!$C$1:$AR$4,MATCH($C$76,'Сводный годовой график'!$B$1:$B$4),MATCH(DATE($AV$1,MONTH($B$74),AH$3),'Сводный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график'!$B$1:$B$4),MATCH(DATE($AV$1,MONTH($B$74),AH$3),'Сводный годовой график'!$C$12:$AR$12)))</f>
        <v>#N/A</v>
      </c>
      <c r="AI76" s="97" t="e">
        <f ca="1">IF(AND(INDEX('Сводный годовой график'!$C$1:$AR$4,MATCH($C$76,'Сводный годовой график'!$B$1:$B$4),MATCH(DATE($AV$1,MONTH($B$74),AI$3),'Сводный годовой график'!$C$12:$AR$12))&lt;&gt;12,INDIRECT(ADDRESS(ROW()+1,COLUMN()))="СП"),8,INDEX('Сводный годовой график'!$C$1:$AR$4,MATCH($C$76,'Сводный годовой график'!$B$1:$B$4),MATCH(DATE($AV$1,MONTH($B$74),AI$3),'Сводный годовой график'!$C$12:$AR$12)))</f>
        <v>#N/A</v>
      </c>
      <c r="AJ76" s="206"/>
      <c r="AK76" s="177">
        <f>$AJ$74-SUM(AY76:CC77)</f>
        <v>168</v>
      </c>
      <c r="AL76" s="177" t="e">
        <f t="shared" ref="AL76" ca="1" si="131">SUM(E76:AI77)</f>
        <v>#N/A</v>
      </c>
      <c r="AM76" s="177">
        <v>0</v>
      </c>
      <c r="AN76" s="198" t="e">
        <f t="shared" ref="AN76" ca="1" si="132">-AM76-AK76+AL76</f>
        <v>#N/A</v>
      </c>
      <c r="AO76" s="198">
        <v>18</v>
      </c>
      <c r="AP76" s="198" t="e">
        <f ca="1">AN76+AP66-AO76</f>
        <v>#N/A</v>
      </c>
      <c r="AQ76" s="177">
        <v>8</v>
      </c>
      <c r="AR76" s="179">
        <v>1</v>
      </c>
      <c r="CK76" s="59"/>
      <c r="CL76" s="59"/>
      <c r="CM76" s="59"/>
      <c r="CN76" s="59"/>
      <c r="CO76" s="59"/>
      <c r="CP76" s="59"/>
      <c r="CQ76" s="59"/>
      <c r="CR76" s="59"/>
      <c r="CS76" s="59"/>
      <c r="CT76" s="59"/>
      <c r="CU76" s="59"/>
      <c r="CV76" s="59"/>
      <c r="CW76" s="59"/>
      <c r="CX76" s="59"/>
      <c r="CY76" s="59"/>
      <c r="CZ76" s="59"/>
      <c r="DA76" s="59"/>
      <c r="DB76" s="59"/>
      <c r="DC76" s="59"/>
      <c r="DD76" s="59"/>
      <c r="DE76" s="59"/>
      <c r="DF76" s="59"/>
      <c r="DG76" s="59"/>
      <c r="DH76" s="59"/>
      <c r="DI76" s="59"/>
      <c r="DJ76" s="59"/>
      <c r="DK76" s="59"/>
      <c r="DL76" s="59"/>
      <c r="DM76" s="59"/>
      <c r="DN76" s="59"/>
      <c r="DO76" s="59"/>
    </row>
    <row r="77" spans="2:119" ht="16.5" thickBot="1" x14ac:dyDescent="0.3">
      <c r="B77" s="201"/>
      <c r="C77" s="197"/>
      <c r="D77" s="82">
        <v>4</v>
      </c>
      <c r="E77" s="92" t="str">
        <f t="shared" ref="E77:AI77" si="133">IF(INDEX($CK$4:$DO$123,ROW()-3,E$3)=0,"","СП")</f>
        <v/>
      </c>
      <c r="F77" s="92" t="str">
        <f t="shared" si="133"/>
        <v/>
      </c>
      <c r="G77" s="92" t="str">
        <f t="shared" si="133"/>
        <v/>
      </c>
      <c r="H77" s="92" t="str">
        <f t="shared" si="133"/>
        <v/>
      </c>
      <c r="I77" s="92" t="str">
        <f t="shared" si="133"/>
        <v/>
      </c>
      <c r="J77" s="92" t="str">
        <f t="shared" si="133"/>
        <v/>
      </c>
      <c r="K77" s="92" t="str">
        <f t="shared" si="133"/>
        <v/>
      </c>
      <c r="L77" s="92" t="str">
        <f t="shared" si="133"/>
        <v/>
      </c>
      <c r="M77" s="92" t="str">
        <f t="shared" si="133"/>
        <v>СП</v>
      </c>
      <c r="N77" s="92" t="str">
        <f t="shared" si="133"/>
        <v/>
      </c>
      <c r="O77" s="92" t="str">
        <f t="shared" si="133"/>
        <v/>
      </c>
      <c r="P77" s="92" t="str">
        <f t="shared" si="133"/>
        <v/>
      </c>
      <c r="Q77" s="92" t="str">
        <f t="shared" si="133"/>
        <v/>
      </c>
      <c r="R77" s="92" t="str">
        <f t="shared" si="133"/>
        <v/>
      </c>
      <c r="S77" s="92" t="str">
        <f t="shared" si="133"/>
        <v/>
      </c>
      <c r="T77" s="92" t="str">
        <f t="shared" si="133"/>
        <v/>
      </c>
      <c r="U77" s="92" t="str">
        <f t="shared" si="133"/>
        <v/>
      </c>
      <c r="V77" s="92" t="str">
        <f t="shared" si="133"/>
        <v/>
      </c>
      <c r="W77" s="92" t="str">
        <f t="shared" si="133"/>
        <v/>
      </c>
      <c r="X77" s="92" t="str">
        <f t="shared" si="133"/>
        <v/>
      </c>
      <c r="Y77" s="92" t="str">
        <f t="shared" si="133"/>
        <v/>
      </c>
      <c r="Z77" s="92" t="str">
        <f t="shared" si="133"/>
        <v/>
      </c>
      <c r="AA77" s="92" t="str">
        <f t="shared" si="133"/>
        <v/>
      </c>
      <c r="AB77" s="92" t="str">
        <f t="shared" si="133"/>
        <v/>
      </c>
      <c r="AC77" s="92" t="str">
        <f t="shared" si="133"/>
        <v/>
      </c>
      <c r="AD77" s="92" t="str">
        <f t="shared" si="133"/>
        <v/>
      </c>
      <c r="AE77" s="92" t="str">
        <f t="shared" si="133"/>
        <v/>
      </c>
      <c r="AF77" s="92" t="str">
        <f t="shared" si="133"/>
        <v/>
      </c>
      <c r="AG77" s="92" t="str">
        <f t="shared" si="133"/>
        <v/>
      </c>
      <c r="AH77" s="92" t="str">
        <f t="shared" si="133"/>
        <v/>
      </c>
      <c r="AI77" s="97" t="str">
        <f t="shared" si="133"/>
        <v/>
      </c>
      <c r="AJ77" s="206"/>
      <c r="AK77" s="177"/>
      <c r="AL77" s="177"/>
      <c r="AM77" s="177"/>
      <c r="AN77" s="198"/>
      <c r="AO77" s="198"/>
      <c r="AP77" s="198"/>
      <c r="AQ77" s="177"/>
      <c r="AR77" s="179"/>
      <c r="CK77" s="58">
        <f>IF(DAY(INDEX('Сводный годовой график'!$BA$4:$BL$14,$C76,MONTH($B$74)))=E$3,1,0)</f>
        <v>0</v>
      </c>
      <c r="CL77" s="58">
        <f>IF(DAY(INDEX('Сводный годовой график'!$BA$4:$BL$14,$C76,MONTH($B$74)))=F$3,1,0)</f>
        <v>0</v>
      </c>
      <c r="CM77" s="58">
        <f>IF(DAY(INDEX('Сводный годовой график'!$BA$4:$BL$14,$C76,MONTH($B$74)))=G$3,1,0)</f>
        <v>0</v>
      </c>
      <c r="CN77" s="58">
        <f>IF(DAY(INDEX('Сводный годовой график'!$BA$4:$BL$14,$C76,MONTH($B$74)))=H$3,1,0)</f>
        <v>0</v>
      </c>
      <c r="CO77" s="58">
        <f>IF(DAY(INDEX('Сводный годовой график'!$BA$4:$BL$14,$C76,MONTH($B$74)))=I$3,1,0)</f>
        <v>0</v>
      </c>
      <c r="CP77" s="58">
        <f>IF(DAY(INDEX('Сводный годовой график'!$BA$4:$BL$14,$C76,MONTH($B$74)))=J$3,1,0)</f>
        <v>0</v>
      </c>
      <c r="CQ77" s="58">
        <f>IF(DAY(INDEX('Сводный годовой график'!$BA$4:$BL$14,$C76,MONTH($B$74)))=K$3,1,0)</f>
        <v>0</v>
      </c>
      <c r="CR77" s="58">
        <f>IF(DAY(INDEX('Сводный годовой график'!$BA$4:$BL$14,$C76,MONTH($B$74)))=L$3,1,0)</f>
        <v>0</v>
      </c>
      <c r="CS77" s="58">
        <f>IF(DAY(INDEX('Сводный годовой график'!$BA$4:$BL$14,$C76,MONTH($B$74)))=M$3,1,0)</f>
        <v>1</v>
      </c>
      <c r="CT77" s="58">
        <f>IF(DAY(INDEX('Сводный годовой график'!$BA$4:$BL$14,$C76,MONTH($B$74)))=N$3,1,0)</f>
        <v>0</v>
      </c>
      <c r="CU77" s="58">
        <f>IF(DAY(INDEX('Сводный годовой график'!$BA$4:$BL$14,$C76,MONTH($B$74)))=O$3,1,0)</f>
        <v>0</v>
      </c>
      <c r="CV77" s="58">
        <f>IF(DAY(INDEX('Сводный годовой график'!$BA$4:$BL$14,$C76,MONTH($B$74)))=P$3,1,0)</f>
        <v>0</v>
      </c>
      <c r="CW77" s="58">
        <f>IF(DAY(INDEX('Сводный годовой график'!$BA$4:$BL$14,$C76,MONTH($B$74)))=Q$3,1,0)</f>
        <v>0</v>
      </c>
      <c r="CX77" s="58">
        <f>IF(DAY(INDEX('Сводный годовой график'!$BA$4:$BL$14,$C76,MONTH($B$74)))=R$3,1,0)</f>
        <v>0</v>
      </c>
      <c r="CY77" s="58">
        <f>IF(DAY(INDEX('Сводный годовой график'!$BA$4:$BL$14,$C76,MONTH($B$74)))=S$3,1,0)</f>
        <v>0</v>
      </c>
      <c r="CZ77" s="58">
        <f>IF(DAY(INDEX('Сводный годовой график'!$BA$4:$BL$14,$C76,MONTH($B$74)))=T$3,1,0)</f>
        <v>0</v>
      </c>
      <c r="DA77" s="58">
        <f>IF(DAY(INDEX('Сводный годовой график'!$BA$4:$BL$14,$C76,MONTH($B$74)))=U$3,1,0)</f>
        <v>0</v>
      </c>
      <c r="DB77" s="58">
        <f>IF(DAY(INDEX('Сводный годовой график'!$BA$4:$BL$14,$C76,MONTH($B$74)))=V$3,1,0)</f>
        <v>0</v>
      </c>
      <c r="DC77" s="58">
        <f>IF(DAY(INDEX('Сводный годовой график'!$BA$4:$BL$14,$C76,MONTH($B$74)))=W$3,1,0)</f>
        <v>0</v>
      </c>
      <c r="DD77" s="58">
        <f>IF(DAY(INDEX('Сводный годовой график'!$BA$4:$BL$14,$C76,MONTH($B$74)))=X$3,1,0)</f>
        <v>0</v>
      </c>
      <c r="DE77" s="58">
        <f>IF(DAY(INDEX('Сводный годовой график'!$BA$4:$BL$14,$C76,MONTH($B$74)))=Y$3,1,0)</f>
        <v>0</v>
      </c>
      <c r="DF77" s="58">
        <f>IF(DAY(INDEX('Сводный годовой график'!$BA$4:$BL$14,$C76,MONTH($B$74)))=Z$3,1,0)</f>
        <v>0</v>
      </c>
      <c r="DG77" s="58">
        <f>IF(DAY(INDEX('Сводный годовой график'!$BA$4:$BL$14,$C76,MONTH($B$74)))=AA$3,1,0)</f>
        <v>0</v>
      </c>
      <c r="DH77" s="58">
        <f>IF(DAY(INDEX('Сводный годовой график'!$BA$4:$BL$14,$C76,MONTH($B$74)))=AB$3,1,0)</f>
        <v>0</v>
      </c>
      <c r="DI77" s="58">
        <f>IF(DAY(INDEX('Сводный годовой график'!$BA$4:$BL$14,$C76,MONTH($B$74)))=AC$3,1,0)</f>
        <v>0</v>
      </c>
      <c r="DJ77" s="58">
        <f>IF(DAY(INDEX('Сводный годовой график'!$BA$4:$BL$14,$C76,MONTH($B$74)))=AD$3,1,0)</f>
        <v>0</v>
      </c>
      <c r="DK77" s="58">
        <f>IF(DAY(INDEX('Сводный годовой график'!$BA$4:$BL$14,$C76,MONTH($B$74)))=AE$3,1,0)</f>
        <v>0</v>
      </c>
      <c r="DL77" s="58">
        <f>IF(DAY(INDEX('Сводный годовой график'!$BA$4:$BL$14,$C76,MONTH($B$74)))=AF$3,1,0)</f>
        <v>0</v>
      </c>
      <c r="DM77" s="58">
        <f>IF(DAY(INDEX('Сводный годовой график'!$BA$4:$BL$14,$C76,MONTH($B$74)))=AG$3,1,0)</f>
        <v>0</v>
      </c>
      <c r="DN77" s="58">
        <f>IF(DAY(INDEX('Сводный годовой график'!$BA$4:$BL$14,$C76,MONTH($B$74)))=AH$3,1,0)</f>
        <v>0</v>
      </c>
      <c r="DO77" s="58">
        <f>IF(DAY(INDEX('Сводный годовой график'!$BA$4:$BL$14,$C76,MONTH($B$74)))=AI$3,1,0)</f>
        <v>0</v>
      </c>
    </row>
    <row r="78" spans="2:119" ht="16.5" thickBot="1" x14ac:dyDescent="0.3">
      <c r="B78" s="201"/>
      <c r="C78" s="196">
        <v>3</v>
      </c>
      <c r="D78" s="81">
        <v>5</v>
      </c>
      <c r="E78" s="92" t="e">
        <f ca="1">IF(AND(INDEX('Сводный годовой график'!$C$1:$AR$4,MATCH($C$78,'Сводный годовой график'!$B$1:$B$4),MATCH(DATE($AV$1,MONTH($B$74),E$3),'Сводный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график'!$B$1:$B$4),MATCH(DATE($AV$1,MONTH($B$74),E$3),'Сводный годовой график'!$C$12:$AR$12)))</f>
        <v>#N/A</v>
      </c>
      <c r="F78" s="92" t="e">
        <f ca="1">IF(AND(INDEX('Сводный годовой график'!$C$1:$AR$4,MATCH($C$78,'Сводный годовой график'!$B$1:$B$4),MATCH(DATE($AV$1,MONTH($B$74),F$3),'Сводный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график'!$B$1:$B$4),MATCH(DATE($AV$1,MONTH($B$74),F$3),'Сводный годовой график'!$C$12:$AR$12)))</f>
        <v>#N/A</v>
      </c>
      <c r="G78" s="92" t="e">
        <f ca="1">IF(AND(INDEX('Сводный годовой график'!$C$1:$AR$4,MATCH($C$78,'Сводный годовой график'!$B$1:$B$4),MATCH(DATE($AV$1,MONTH($B$74),G$3),'Сводный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график'!$B$1:$B$4),MATCH(DATE($AV$1,MONTH($B$74),G$3),'Сводный годовой график'!$C$12:$AR$12)))</f>
        <v>#N/A</v>
      </c>
      <c r="H78" s="92" t="e">
        <f ca="1">IF(AND(INDEX('Сводный годовой график'!$C$1:$AR$4,MATCH($C$78,'Сводный годовой график'!$B$1:$B$4),MATCH(DATE($AV$1,MONTH($B$74),H$3),'Сводный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график'!$B$1:$B$4),MATCH(DATE($AV$1,MONTH($B$74),H$3),'Сводный годовой график'!$C$12:$AR$12)))</f>
        <v>#N/A</v>
      </c>
      <c r="I78" s="92" t="e">
        <f ca="1">IF(AND(INDEX('Сводный годовой график'!$C$1:$AR$4,MATCH($C$78,'Сводный годовой график'!$B$1:$B$4),MATCH(DATE($AV$1,MONTH($B$74),I$3),'Сводный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график'!$B$1:$B$4),MATCH(DATE($AV$1,MONTH($B$74),I$3),'Сводный годовой график'!$C$12:$AR$12)))</f>
        <v>#N/A</v>
      </c>
      <c r="J78" s="92" t="e">
        <f ca="1">IF(AND(INDEX('Сводный годовой график'!$C$1:$AR$4,MATCH($C$78,'Сводный годовой график'!$B$1:$B$4),MATCH(DATE($AV$1,MONTH($B$74),J$3),'Сводный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график'!$B$1:$B$4),MATCH(DATE($AV$1,MONTH($B$74),J$3),'Сводный годовой график'!$C$12:$AR$12)))</f>
        <v>#N/A</v>
      </c>
      <c r="K78" s="92" t="e">
        <f ca="1">IF(AND(INDEX('Сводный годовой график'!$C$1:$AR$4,MATCH($C$78,'Сводный годовой график'!$B$1:$B$4),MATCH(DATE($AV$1,MONTH($B$74),K$3),'Сводный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график'!$B$1:$B$4),MATCH(DATE($AV$1,MONTH($B$74),K$3),'Сводный годовой график'!$C$12:$AR$12)))</f>
        <v>#N/A</v>
      </c>
      <c r="L78" s="92" t="e">
        <f ca="1">IF(AND(INDEX('Сводный годовой график'!$C$1:$AR$4,MATCH($C$78,'Сводный годовой график'!$B$1:$B$4),MATCH(DATE($AV$1,MONTH($B$74),L$3),'Сводный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график'!$B$1:$B$4),MATCH(DATE($AV$1,MONTH($B$74),L$3),'Сводный годовой график'!$C$12:$AR$12)))</f>
        <v>#N/A</v>
      </c>
      <c r="M78" s="92" t="e">
        <f ca="1">IF(AND(INDEX('Сводный годовой график'!$C$1:$AR$4,MATCH($C$78,'Сводный годовой график'!$B$1:$B$4),MATCH(DATE($AV$1,MONTH($B$74),M$3),'Сводный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график'!$B$1:$B$4),MATCH(DATE($AV$1,MONTH($B$74),M$3),'Сводный годовой график'!$C$12:$AR$12)))</f>
        <v>#N/A</v>
      </c>
      <c r="N78" s="92" t="e">
        <f ca="1">IF(AND(INDEX('Сводный годовой график'!$C$1:$AR$4,MATCH($C$78,'Сводный годовой график'!$B$1:$B$4),MATCH(DATE($AV$1,MONTH($B$74),N$3),'Сводный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график'!$B$1:$B$4),MATCH(DATE($AV$1,MONTH($B$74),N$3),'Сводный годовой график'!$C$12:$AR$12)))</f>
        <v>#N/A</v>
      </c>
      <c r="O78" s="92" t="e">
        <f ca="1">IF(AND(INDEX('Сводный годовой график'!$C$1:$AR$4,MATCH($C$78,'Сводный годовой график'!$B$1:$B$4),MATCH(DATE($AV$1,MONTH($B$74),O$3),'Сводный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график'!$B$1:$B$4),MATCH(DATE($AV$1,MONTH($B$74),O$3),'Сводный годовой график'!$C$12:$AR$12)))</f>
        <v>#N/A</v>
      </c>
      <c r="P78" s="92" t="e">
        <f ca="1">IF(AND(INDEX('Сводный годовой график'!$C$1:$AR$4,MATCH($C$78,'Сводный годовой график'!$B$1:$B$4),MATCH(DATE($AV$1,MONTH($B$74),P$3),'Сводный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график'!$B$1:$B$4),MATCH(DATE($AV$1,MONTH($B$74),P$3),'Сводный годовой график'!$C$12:$AR$12)))</f>
        <v>#N/A</v>
      </c>
      <c r="Q78" s="92" t="e">
        <f ca="1">IF(AND(INDEX('Сводный годовой график'!$C$1:$AR$4,MATCH($C$78,'Сводный годовой график'!$B$1:$B$4),MATCH(DATE($AV$1,MONTH($B$74),Q$3),'Сводный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график'!$B$1:$B$4),MATCH(DATE($AV$1,MONTH($B$74),Q$3),'Сводный годовой график'!$C$12:$AR$12)))</f>
        <v>#N/A</v>
      </c>
      <c r="R78" s="92" t="e">
        <f ca="1">IF(AND(INDEX('Сводный годовой график'!$C$1:$AR$4,MATCH($C$78,'Сводный годовой график'!$B$1:$B$4),MATCH(DATE($AV$1,MONTH($B$74),R$3),'Сводный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график'!$B$1:$B$4),MATCH(DATE($AV$1,MONTH($B$74),R$3),'Сводный годовой график'!$C$12:$AR$12)))</f>
        <v>#N/A</v>
      </c>
      <c r="S78" s="92" t="e">
        <f ca="1">IF(AND(INDEX('Сводный годовой график'!$C$1:$AR$4,MATCH($C$78,'Сводный годовой график'!$B$1:$B$4),MATCH(DATE($AV$1,MONTH($B$74),S$3),'Сводный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график'!$B$1:$B$4),MATCH(DATE($AV$1,MONTH($B$74),S$3),'Сводный годовой график'!$C$12:$AR$12)))</f>
        <v>#N/A</v>
      </c>
      <c r="T78" s="92" t="e">
        <f ca="1">IF(AND(INDEX('Сводный годовой график'!$C$1:$AR$4,MATCH($C$78,'Сводный годовой график'!$B$1:$B$4),MATCH(DATE($AV$1,MONTH($B$74),T$3),'Сводный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график'!$B$1:$B$4),MATCH(DATE($AV$1,MONTH($B$74),T$3),'Сводный годовой график'!$C$12:$AR$12)))</f>
        <v>#N/A</v>
      </c>
      <c r="U78" s="92" t="e">
        <f ca="1">IF(AND(INDEX('Сводный годовой график'!$C$1:$AR$4,MATCH($C$78,'Сводный годовой график'!$B$1:$B$4),MATCH(DATE($AV$1,MONTH($B$74),U$3),'Сводный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график'!$B$1:$B$4),MATCH(DATE($AV$1,MONTH($B$74),U$3),'Сводный годовой график'!$C$12:$AR$12)))</f>
        <v>#N/A</v>
      </c>
      <c r="V78" s="92" t="e">
        <f ca="1">IF(AND(INDEX('Сводный годовой график'!$C$1:$AR$4,MATCH($C$78,'Сводный годовой график'!$B$1:$B$4),MATCH(DATE($AV$1,MONTH($B$74),V$3),'Сводный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график'!$B$1:$B$4),MATCH(DATE($AV$1,MONTH($B$74),V$3),'Сводный годовой график'!$C$12:$AR$12)))</f>
        <v>#N/A</v>
      </c>
      <c r="W78" s="92" t="e">
        <f ca="1">IF(AND(INDEX('Сводный годовой график'!$C$1:$AR$4,MATCH($C$78,'Сводный годовой график'!$B$1:$B$4),MATCH(DATE($AV$1,MONTH($B$74),W$3),'Сводный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график'!$B$1:$B$4),MATCH(DATE($AV$1,MONTH($B$74),W$3),'Сводный годовой график'!$C$12:$AR$12)))</f>
        <v>#N/A</v>
      </c>
      <c r="X78" s="92" t="e">
        <f ca="1">IF(AND(INDEX('Сводный годовой график'!$C$1:$AR$4,MATCH($C$78,'Сводный годовой график'!$B$1:$B$4),MATCH(DATE($AV$1,MONTH($B$74),X$3),'Сводный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график'!$B$1:$B$4),MATCH(DATE($AV$1,MONTH($B$74),X$3),'Сводный годовой график'!$C$12:$AR$12)))</f>
        <v>#N/A</v>
      </c>
      <c r="Y78" s="92" t="e">
        <f ca="1">IF(AND(INDEX('Сводный годовой график'!$C$1:$AR$4,MATCH($C$78,'Сводный годовой график'!$B$1:$B$4),MATCH(DATE($AV$1,MONTH($B$74),Y$3),'Сводный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график'!$B$1:$B$4),MATCH(DATE($AV$1,MONTH($B$74),Y$3),'Сводный годовой график'!$C$12:$AR$12)))</f>
        <v>#N/A</v>
      </c>
      <c r="Z78" s="92" t="e">
        <f ca="1">IF(AND(INDEX('Сводный годовой график'!$C$1:$AR$4,MATCH($C$78,'Сводный годовой график'!$B$1:$B$4),MATCH(DATE($AV$1,MONTH($B$74),Z$3),'Сводный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график'!$B$1:$B$4),MATCH(DATE($AV$1,MONTH($B$74),Z$3),'Сводный годовой график'!$C$12:$AR$12)))</f>
        <v>#N/A</v>
      </c>
      <c r="AA78" s="92" t="e">
        <f ca="1">IF(AND(INDEX('Сводный годовой график'!$C$1:$AR$4,MATCH($C$78,'Сводный годовой график'!$B$1:$B$4),MATCH(DATE($AV$1,MONTH($B$74),AA$3),'Сводный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график'!$B$1:$B$4),MATCH(DATE($AV$1,MONTH($B$74),AA$3),'Сводный годовой график'!$C$12:$AR$12)))</f>
        <v>#N/A</v>
      </c>
      <c r="AB78" s="92" t="e">
        <f ca="1">IF(AND(INDEX('Сводный годовой график'!$C$1:$AR$4,MATCH($C$78,'Сводный годовой график'!$B$1:$B$4),MATCH(DATE($AV$1,MONTH($B$74),AB$3),'Сводный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график'!$B$1:$B$4),MATCH(DATE($AV$1,MONTH($B$74),AB$3),'Сводный годовой график'!$C$12:$AR$12)))</f>
        <v>#N/A</v>
      </c>
      <c r="AC78" s="92" t="e">
        <f ca="1">IF(AND(INDEX('Сводный годовой график'!$C$1:$AR$4,MATCH($C$78,'Сводный годовой график'!$B$1:$B$4),MATCH(DATE($AV$1,MONTH($B$74),AC$3),'Сводный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график'!$B$1:$B$4),MATCH(DATE($AV$1,MONTH($B$74),AC$3),'Сводный годовой график'!$C$12:$AR$12)))</f>
        <v>#N/A</v>
      </c>
      <c r="AD78" s="92" t="e">
        <f ca="1">IF(AND(INDEX('Сводный годовой график'!$C$1:$AR$4,MATCH($C$78,'Сводный годовой график'!$B$1:$B$4),MATCH(DATE($AV$1,MONTH($B$74),AD$3),'Сводный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график'!$B$1:$B$4),MATCH(DATE($AV$1,MONTH($B$74),AD$3),'Сводный годовой график'!$C$12:$AR$12)))</f>
        <v>#N/A</v>
      </c>
      <c r="AE78" s="92" t="e">
        <f ca="1">IF(AND(INDEX('Сводный годовой график'!$C$1:$AR$4,MATCH($C$78,'Сводный годовой график'!$B$1:$B$4),MATCH(DATE($AV$1,MONTH($B$74),AE$3),'Сводный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график'!$B$1:$B$4),MATCH(DATE($AV$1,MONTH($B$74),AE$3),'Сводный годовой график'!$C$12:$AR$12)))</f>
        <v>#N/A</v>
      </c>
      <c r="AF78" s="92" t="e">
        <f ca="1">IF(AND(INDEX('Сводный годовой график'!$C$1:$AR$4,MATCH($C$78,'Сводный годовой график'!$B$1:$B$4),MATCH(DATE($AV$1,MONTH($B$74),AF$3),'Сводный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график'!$B$1:$B$4),MATCH(DATE($AV$1,MONTH($B$74),AF$3),'Сводный годовой график'!$C$12:$AR$12)))</f>
        <v>#N/A</v>
      </c>
      <c r="AG78" s="92" t="e">
        <f ca="1">IF(AND(INDEX('Сводный годовой график'!$C$1:$AR$4,MATCH($C$78,'Сводный годовой график'!$B$1:$B$4),MATCH(DATE($AV$1,MONTH($B$74),AG$3),'Сводный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график'!$B$1:$B$4),MATCH(DATE($AV$1,MONTH($B$74),AG$3),'Сводный годовой график'!$C$12:$AR$12)))</f>
        <v>#N/A</v>
      </c>
      <c r="AH78" s="92" t="e">
        <f ca="1">IF(AND(INDEX('Сводный годовой график'!$C$1:$AR$4,MATCH($C$78,'Сводный годовой график'!$B$1:$B$4),MATCH(DATE($AV$1,MONTH($B$74),AH$3),'Сводный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график'!$B$1:$B$4),MATCH(DATE($AV$1,MONTH($B$74),AH$3),'Сводный годовой график'!$C$12:$AR$12)))</f>
        <v>#N/A</v>
      </c>
      <c r="AI78" s="97" t="e">
        <f ca="1">IF(AND(INDEX('Сводный годовой график'!$C$1:$AR$4,MATCH($C$78,'Сводный годовой график'!$B$1:$B$4),MATCH(DATE($AV$1,MONTH($B$74),AI$3),'Сводный годовой график'!$C$12:$AR$12))&lt;&gt;12,INDIRECT(ADDRESS(ROW()+1,COLUMN()))="СП"),8,INDEX('Сводный годовой график'!$C$1:$AR$4,MATCH($C$78,'Сводный годовой график'!$B$1:$B$4),MATCH(DATE($AV$1,MONTH($B$74),AI$3),'Сводный годовой график'!$C$12:$AR$12)))</f>
        <v>#N/A</v>
      </c>
      <c r="AJ78" s="206"/>
      <c r="AK78" s="177">
        <f>$AJ$74-SUM(AY78:CC79)</f>
        <v>168</v>
      </c>
      <c r="AL78" s="177" t="e">
        <f t="shared" ref="AL78" ca="1" si="134">SUM(E78:AI79)</f>
        <v>#N/A</v>
      </c>
      <c r="AM78" s="177">
        <v>0</v>
      </c>
      <c r="AN78" s="198" t="e">
        <f t="shared" ref="AN78" ca="1" si="135">-AM78-AK78+AL78</f>
        <v>#N/A</v>
      </c>
      <c r="AO78" s="198">
        <v>18</v>
      </c>
      <c r="AP78" s="198" t="e">
        <f ca="1">AN78+AP68-AO78</f>
        <v>#N/A</v>
      </c>
      <c r="AQ78" s="177">
        <v>0</v>
      </c>
      <c r="AR78" s="179">
        <v>1</v>
      </c>
      <c r="CK78" s="59"/>
      <c r="CL78" s="59"/>
      <c r="CM78" s="59"/>
      <c r="CN78" s="59"/>
      <c r="CO78" s="59"/>
      <c r="CP78" s="59"/>
      <c r="CQ78" s="59"/>
      <c r="CR78" s="59"/>
      <c r="CS78" s="59"/>
      <c r="CT78" s="59"/>
      <c r="CU78" s="59"/>
      <c r="CV78" s="59"/>
      <c r="CW78" s="59"/>
      <c r="CX78" s="59"/>
      <c r="CY78" s="59"/>
      <c r="CZ78" s="59"/>
      <c r="DA78" s="59"/>
      <c r="DB78" s="59"/>
      <c r="DC78" s="59"/>
      <c r="DD78" s="59"/>
      <c r="DE78" s="59"/>
      <c r="DF78" s="59"/>
      <c r="DG78" s="59"/>
      <c r="DH78" s="59"/>
      <c r="DI78" s="59"/>
      <c r="DJ78" s="59"/>
      <c r="DK78" s="59"/>
      <c r="DL78" s="59"/>
      <c r="DM78" s="59"/>
      <c r="DN78" s="59"/>
      <c r="DO78" s="59"/>
    </row>
    <row r="79" spans="2:119" ht="16.5" thickBot="1" x14ac:dyDescent="0.3">
      <c r="B79" s="201"/>
      <c r="C79" s="197"/>
      <c r="D79" s="82">
        <v>6</v>
      </c>
      <c r="E79" s="92" t="str">
        <f t="shared" ref="E79:AI79" si="136">IF(INDEX($CK$4:$DO$123,ROW()-3,E$3)=0,"","СП")</f>
        <v/>
      </c>
      <c r="F79" s="92" t="str">
        <f t="shared" si="136"/>
        <v/>
      </c>
      <c r="G79" s="92" t="str">
        <f t="shared" si="136"/>
        <v/>
      </c>
      <c r="H79" s="92" t="str">
        <f t="shared" si="136"/>
        <v/>
      </c>
      <c r="I79" s="92" t="str">
        <f t="shared" si="136"/>
        <v/>
      </c>
      <c r="J79" s="92" t="str">
        <f t="shared" si="136"/>
        <v/>
      </c>
      <c r="K79" s="92" t="str">
        <f t="shared" si="136"/>
        <v/>
      </c>
      <c r="L79" s="92" t="str">
        <f t="shared" si="136"/>
        <v/>
      </c>
      <c r="M79" s="92" t="str">
        <f t="shared" si="136"/>
        <v/>
      </c>
      <c r="N79" s="92" t="str">
        <f t="shared" si="136"/>
        <v>СП</v>
      </c>
      <c r="O79" s="92" t="str">
        <f t="shared" si="136"/>
        <v/>
      </c>
      <c r="P79" s="92" t="str">
        <f t="shared" si="136"/>
        <v/>
      </c>
      <c r="Q79" s="92" t="str">
        <f t="shared" si="136"/>
        <v/>
      </c>
      <c r="R79" s="92" t="str">
        <f t="shared" si="136"/>
        <v/>
      </c>
      <c r="S79" s="92" t="str">
        <f t="shared" si="136"/>
        <v/>
      </c>
      <c r="T79" s="92" t="str">
        <f t="shared" si="136"/>
        <v/>
      </c>
      <c r="U79" s="92" t="str">
        <f t="shared" si="136"/>
        <v/>
      </c>
      <c r="V79" s="92" t="str">
        <f t="shared" si="136"/>
        <v/>
      </c>
      <c r="W79" s="92" t="str">
        <f t="shared" si="136"/>
        <v/>
      </c>
      <c r="X79" s="92" t="str">
        <f t="shared" si="136"/>
        <v/>
      </c>
      <c r="Y79" s="92" t="str">
        <f t="shared" si="136"/>
        <v/>
      </c>
      <c r="Z79" s="92" t="str">
        <f t="shared" si="136"/>
        <v/>
      </c>
      <c r="AA79" s="92" t="str">
        <f t="shared" si="136"/>
        <v/>
      </c>
      <c r="AB79" s="92" t="str">
        <f t="shared" si="136"/>
        <v/>
      </c>
      <c r="AC79" s="92" t="str">
        <f t="shared" si="136"/>
        <v/>
      </c>
      <c r="AD79" s="92" t="str">
        <f t="shared" si="136"/>
        <v/>
      </c>
      <c r="AE79" s="92" t="str">
        <f t="shared" si="136"/>
        <v/>
      </c>
      <c r="AF79" s="92" t="str">
        <f t="shared" si="136"/>
        <v/>
      </c>
      <c r="AG79" s="92" t="str">
        <f t="shared" si="136"/>
        <v/>
      </c>
      <c r="AH79" s="92" t="str">
        <f t="shared" si="136"/>
        <v/>
      </c>
      <c r="AI79" s="97" t="str">
        <f t="shared" si="136"/>
        <v/>
      </c>
      <c r="AJ79" s="206"/>
      <c r="AK79" s="177"/>
      <c r="AL79" s="177"/>
      <c r="AM79" s="177"/>
      <c r="AN79" s="198"/>
      <c r="AO79" s="198"/>
      <c r="AP79" s="198"/>
      <c r="AQ79" s="177"/>
      <c r="AR79" s="179"/>
      <c r="CK79" s="58">
        <f>IF(DAY(INDEX('Сводный годовой график'!$BA$4:$BL$14,$C78,MONTH($B$74)))=E$3,1,0)</f>
        <v>0</v>
      </c>
      <c r="CL79" s="58">
        <f>IF(DAY(INDEX('Сводный годовой график'!$BA$4:$BL$14,$C78,MONTH($B$74)))=F$3,1,0)</f>
        <v>0</v>
      </c>
      <c r="CM79" s="58">
        <f>IF(DAY(INDEX('Сводный годовой график'!$BA$4:$BL$14,$C78,MONTH($B$74)))=G$3,1,0)</f>
        <v>0</v>
      </c>
      <c r="CN79" s="58">
        <f>IF(DAY(INDEX('Сводный годовой график'!$BA$4:$BL$14,$C78,MONTH($B$74)))=H$3,1,0)</f>
        <v>0</v>
      </c>
      <c r="CO79" s="58">
        <f>IF(DAY(INDEX('Сводный годовой график'!$BA$4:$BL$14,$C78,MONTH($B$74)))=I$3,1,0)</f>
        <v>0</v>
      </c>
      <c r="CP79" s="58">
        <f>IF(DAY(INDEX('Сводный годовой график'!$BA$4:$BL$14,$C78,MONTH($B$74)))=J$3,1,0)</f>
        <v>0</v>
      </c>
      <c r="CQ79" s="58">
        <f>IF(DAY(INDEX('Сводный годовой график'!$BA$4:$BL$14,$C78,MONTH($B$74)))=K$3,1,0)</f>
        <v>0</v>
      </c>
      <c r="CR79" s="58">
        <f>IF(DAY(INDEX('Сводный годовой график'!$BA$4:$BL$14,$C78,MONTH($B$74)))=L$3,1,0)</f>
        <v>0</v>
      </c>
      <c r="CS79" s="58">
        <f>IF(DAY(INDEX('Сводный годовой график'!$BA$4:$BL$14,$C78,MONTH($B$74)))=M$3,1,0)</f>
        <v>0</v>
      </c>
      <c r="CT79" s="58">
        <f>IF(DAY(INDEX('Сводный годовой график'!$BA$4:$BL$14,$C78,MONTH($B$74)))=N$3,1,0)</f>
        <v>1</v>
      </c>
      <c r="CU79" s="58">
        <f>IF(DAY(INDEX('Сводный годовой график'!$BA$4:$BL$14,$C78,MONTH($B$74)))=O$3,1,0)</f>
        <v>0</v>
      </c>
      <c r="CV79" s="58">
        <f>IF(DAY(INDEX('Сводный годовой график'!$BA$4:$BL$14,$C78,MONTH($B$74)))=P$3,1,0)</f>
        <v>0</v>
      </c>
      <c r="CW79" s="58">
        <f>IF(DAY(INDEX('Сводный годовой график'!$BA$4:$BL$14,$C78,MONTH($B$74)))=Q$3,1,0)</f>
        <v>0</v>
      </c>
      <c r="CX79" s="58">
        <f>IF(DAY(INDEX('Сводный годовой график'!$BA$4:$BL$14,$C78,MONTH($B$74)))=R$3,1,0)</f>
        <v>0</v>
      </c>
      <c r="CY79" s="58">
        <f>IF(DAY(INDEX('Сводный годовой график'!$BA$4:$BL$14,$C78,MONTH($B$74)))=S$3,1,0)</f>
        <v>0</v>
      </c>
      <c r="CZ79" s="58">
        <f>IF(DAY(INDEX('Сводный годовой график'!$BA$4:$BL$14,$C78,MONTH($B$74)))=T$3,1,0)</f>
        <v>0</v>
      </c>
      <c r="DA79" s="58">
        <f>IF(DAY(INDEX('Сводный годовой график'!$BA$4:$BL$14,$C78,MONTH($B$74)))=U$3,1,0)</f>
        <v>0</v>
      </c>
      <c r="DB79" s="58">
        <f>IF(DAY(INDEX('Сводный годовой график'!$BA$4:$BL$14,$C78,MONTH($B$74)))=V$3,1,0)</f>
        <v>0</v>
      </c>
      <c r="DC79" s="58">
        <f>IF(DAY(INDEX('Сводный годовой график'!$BA$4:$BL$14,$C78,MONTH($B$74)))=W$3,1,0)</f>
        <v>0</v>
      </c>
      <c r="DD79" s="58">
        <f>IF(DAY(INDEX('Сводный годовой график'!$BA$4:$BL$14,$C78,MONTH($B$74)))=X$3,1,0)</f>
        <v>0</v>
      </c>
      <c r="DE79" s="58">
        <f>IF(DAY(INDEX('Сводный годовой график'!$BA$4:$BL$14,$C78,MONTH($B$74)))=Y$3,1,0)</f>
        <v>0</v>
      </c>
      <c r="DF79" s="58">
        <f>IF(DAY(INDEX('Сводный годовой график'!$BA$4:$BL$14,$C78,MONTH($B$74)))=Z$3,1,0)</f>
        <v>0</v>
      </c>
      <c r="DG79" s="58">
        <f>IF(DAY(INDEX('Сводный годовой график'!$BA$4:$BL$14,$C78,MONTH($B$74)))=AA$3,1,0)</f>
        <v>0</v>
      </c>
      <c r="DH79" s="58">
        <f>IF(DAY(INDEX('Сводный годовой график'!$BA$4:$BL$14,$C78,MONTH($B$74)))=AB$3,1,0)</f>
        <v>0</v>
      </c>
      <c r="DI79" s="58">
        <f>IF(DAY(INDEX('Сводный годовой график'!$BA$4:$BL$14,$C78,MONTH($B$74)))=AC$3,1,0)</f>
        <v>0</v>
      </c>
      <c r="DJ79" s="58">
        <f>IF(DAY(INDEX('Сводный годовой график'!$BA$4:$BL$14,$C78,MONTH($B$74)))=AD$3,1,0)</f>
        <v>0</v>
      </c>
      <c r="DK79" s="58">
        <f>IF(DAY(INDEX('Сводный годовой график'!$BA$4:$BL$14,$C78,MONTH($B$74)))=AE$3,1,0)</f>
        <v>0</v>
      </c>
      <c r="DL79" s="58">
        <f>IF(DAY(INDEX('Сводный годовой график'!$BA$4:$BL$14,$C78,MONTH($B$74)))=AF$3,1,0)</f>
        <v>0</v>
      </c>
      <c r="DM79" s="58">
        <f>IF(DAY(INDEX('Сводный годовой график'!$BA$4:$BL$14,$C78,MONTH($B$74)))=AG$3,1,0)</f>
        <v>0</v>
      </c>
      <c r="DN79" s="58">
        <f>IF(DAY(INDEX('Сводный годовой график'!$BA$4:$BL$14,$C78,MONTH($B$74)))=AH$3,1,0)</f>
        <v>0</v>
      </c>
      <c r="DO79" s="58">
        <f>IF(DAY(INDEX('Сводный годовой график'!$BA$4:$BL$14,$C78,MONTH($B$74)))=AI$3,1,0)</f>
        <v>0</v>
      </c>
    </row>
    <row r="80" spans="2:119" ht="16.5" thickBot="1" x14ac:dyDescent="0.3">
      <c r="B80" s="201"/>
      <c r="C80" s="196">
        <v>4</v>
      </c>
      <c r="D80" s="81">
        <v>7</v>
      </c>
      <c r="E80" s="92" t="e">
        <f ca="1">IF(AND(INDEX('Сводный годовой график'!$C$1:$AR$4,MATCH($C$80,'Сводный годовой график'!$B$1:$B$4),MATCH(DATE($AV$1,MONTH($B$74),E$3),'Сводный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график'!$B$1:$B$4),MATCH(DATE($AV$1,MONTH($B$74),E$3),'Сводный годовой график'!$C$12:$AR$12)))</f>
        <v>#N/A</v>
      </c>
      <c r="F80" s="92" t="e">
        <f ca="1">IF(AND(INDEX('Сводный годовой график'!$C$1:$AR$4,MATCH($C$80,'Сводный годовой график'!$B$1:$B$4),MATCH(DATE($AV$1,MONTH($B$74),F$3),'Сводный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график'!$B$1:$B$4),MATCH(DATE($AV$1,MONTH($B$74),F$3),'Сводный годовой график'!$C$12:$AR$12)))</f>
        <v>#N/A</v>
      </c>
      <c r="G80" s="92" t="e">
        <f ca="1">IF(AND(INDEX('Сводный годовой график'!$C$1:$AR$4,MATCH($C$80,'Сводный годовой график'!$B$1:$B$4),MATCH(DATE($AV$1,MONTH($B$74),G$3),'Сводный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график'!$B$1:$B$4),MATCH(DATE($AV$1,MONTH($B$74),G$3),'Сводный годовой график'!$C$12:$AR$12)))</f>
        <v>#N/A</v>
      </c>
      <c r="H80" s="92" t="e">
        <f ca="1">IF(AND(INDEX('Сводный годовой график'!$C$1:$AR$4,MATCH($C$80,'Сводный годовой график'!$B$1:$B$4),MATCH(DATE($AV$1,MONTH($B$74),H$3),'Сводный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график'!$B$1:$B$4),MATCH(DATE($AV$1,MONTH($B$74),H$3),'Сводный годовой график'!$C$12:$AR$12)))</f>
        <v>#N/A</v>
      </c>
      <c r="I80" s="92" t="e">
        <f ca="1">IF(AND(INDEX('Сводный годовой график'!$C$1:$AR$4,MATCH($C$80,'Сводный годовой график'!$B$1:$B$4),MATCH(DATE($AV$1,MONTH($B$74),I$3),'Сводный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график'!$B$1:$B$4),MATCH(DATE($AV$1,MONTH($B$74),I$3),'Сводный годовой график'!$C$12:$AR$12)))</f>
        <v>#N/A</v>
      </c>
      <c r="J80" s="92" t="e">
        <f ca="1">IF(AND(INDEX('Сводный годовой график'!$C$1:$AR$4,MATCH($C$80,'Сводный годовой график'!$B$1:$B$4),MATCH(DATE($AV$1,MONTH($B$74),J$3),'Сводный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график'!$B$1:$B$4),MATCH(DATE($AV$1,MONTH($B$74),J$3),'Сводный годовой график'!$C$12:$AR$12)))</f>
        <v>#N/A</v>
      </c>
      <c r="K80" s="92" t="e">
        <f ca="1">IF(AND(INDEX('Сводный годовой график'!$C$1:$AR$4,MATCH($C$80,'Сводный годовой график'!$B$1:$B$4),MATCH(DATE($AV$1,MONTH($B$74),K$3),'Сводный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график'!$B$1:$B$4),MATCH(DATE($AV$1,MONTH($B$74),K$3),'Сводный годовой график'!$C$12:$AR$12)))</f>
        <v>#N/A</v>
      </c>
      <c r="L80" s="92" t="e">
        <f ca="1">IF(AND(INDEX('Сводный годовой график'!$C$1:$AR$4,MATCH($C$80,'Сводный годовой график'!$B$1:$B$4),MATCH(DATE($AV$1,MONTH($B$74),L$3),'Сводный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график'!$B$1:$B$4),MATCH(DATE($AV$1,MONTH($B$74),L$3),'Сводный годовой график'!$C$12:$AR$12)))</f>
        <v>#N/A</v>
      </c>
      <c r="M80" s="92" t="e">
        <f ca="1">IF(AND(INDEX('Сводный годовой график'!$C$1:$AR$4,MATCH($C$80,'Сводный годовой график'!$B$1:$B$4),MATCH(DATE($AV$1,MONTH($B$74),M$3),'Сводный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график'!$B$1:$B$4),MATCH(DATE($AV$1,MONTH($B$74),M$3),'Сводный годовой график'!$C$12:$AR$12)))</f>
        <v>#N/A</v>
      </c>
      <c r="N80" s="92" t="e">
        <f ca="1">IF(AND(INDEX('Сводный годовой график'!$C$1:$AR$4,MATCH($C$80,'Сводный годовой график'!$B$1:$B$4),MATCH(DATE($AV$1,MONTH($B$74),N$3),'Сводный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график'!$B$1:$B$4),MATCH(DATE($AV$1,MONTH($B$74),N$3),'Сводный годовой график'!$C$12:$AR$12)))</f>
        <v>#N/A</v>
      </c>
      <c r="O80" s="92" t="e">
        <f ca="1">IF(AND(INDEX('Сводный годовой график'!$C$1:$AR$4,MATCH($C$80,'Сводный годовой график'!$B$1:$B$4),MATCH(DATE($AV$1,MONTH($B$74),O$3),'Сводный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график'!$B$1:$B$4),MATCH(DATE($AV$1,MONTH($B$74),O$3),'Сводный годовой график'!$C$12:$AR$12)))</f>
        <v>#N/A</v>
      </c>
      <c r="P80" s="92" t="e">
        <f ca="1">IF(AND(INDEX('Сводный годовой график'!$C$1:$AR$4,MATCH($C$80,'Сводный годовой график'!$B$1:$B$4),MATCH(DATE($AV$1,MONTH($B$74),P$3),'Сводный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график'!$B$1:$B$4),MATCH(DATE($AV$1,MONTH($B$74),P$3),'Сводный годовой график'!$C$12:$AR$12)))</f>
        <v>#N/A</v>
      </c>
      <c r="Q80" s="92" t="e">
        <f ca="1">IF(AND(INDEX('Сводный годовой график'!$C$1:$AR$4,MATCH($C$80,'Сводный годовой график'!$B$1:$B$4),MATCH(DATE($AV$1,MONTH($B$74),Q$3),'Сводный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график'!$B$1:$B$4),MATCH(DATE($AV$1,MONTH($B$74),Q$3),'Сводный годовой график'!$C$12:$AR$12)))</f>
        <v>#N/A</v>
      </c>
      <c r="R80" s="92" t="e">
        <f ca="1">IF(AND(INDEX('Сводный годовой график'!$C$1:$AR$4,MATCH($C$80,'Сводный годовой график'!$B$1:$B$4),MATCH(DATE($AV$1,MONTH($B$74),R$3),'Сводный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график'!$B$1:$B$4),MATCH(DATE($AV$1,MONTH($B$74),R$3),'Сводный годовой график'!$C$12:$AR$12)))</f>
        <v>#N/A</v>
      </c>
      <c r="S80" s="92" t="e">
        <f ca="1">IF(AND(INDEX('Сводный годовой график'!$C$1:$AR$4,MATCH($C$80,'Сводный годовой график'!$B$1:$B$4),MATCH(DATE($AV$1,MONTH($B$74),S$3),'Сводный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график'!$B$1:$B$4),MATCH(DATE($AV$1,MONTH($B$74),S$3),'Сводный годовой график'!$C$12:$AR$12)))</f>
        <v>#N/A</v>
      </c>
      <c r="T80" s="92" t="e">
        <f ca="1">IF(AND(INDEX('Сводный годовой график'!$C$1:$AR$4,MATCH($C$80,'Сводный годовой график'!$B$1:$B$4),MATCH(DATE($AV$1,MONTH($B$74),T$3),'Сводный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график'!$B$1:$B$4),MATCH(DATE($AV$1,MONTH($B$74),T$3),'Сводный годовой график'!$C$12:$AR$12)))</f>
        <v>#N/A</v>
      </c>
      <c r="U80" s="92" t="e">
        <f ca="1">IF(AND(INDEX('Сводный годовой график'!$C$1:$AR$4,MATCH($C$80,'Сводный годовой график'!$B$1:$B$4),MATCH(DATE($AV$1,MONTH($B$74),U$3),'Сводный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график'!$B$1:$B$4),MATCH(DATE($AV$1,MONTH($B$74),U$3),'Сводный годовой график'!$C$12:$AR$12)))</f>
        <v>#N/A</v>
      </c>
      <c r="V80" s="92" t="e">
        <f ca="1">IF(AND(INDEX('Сводный годовой график'!$C$1:$AR$4,MATCH($C$80,'Сводный годовой график'!$B$1:$B$4),MATCH(DATE($AV$1,MONTH($B$74),V$3),'Сводный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график'!$B$1:$B$4),MATCH(DATE($AV$1,MONTH($B$74),V$3),'Сводный годовой график'!$C$12:$AR$12)))</f>
        <v>#N/A</v>
      </c>
      <c r="W80" s="92" t="e">
        <f ca="1">IF(AND(INDEX('Сводный годовой график'!$C$1:$AR$4,MATCH($C$80,'Сводный годовой график'!$B$1:$B$4),MATCH(DATE($AV$1,MONTH($B$74),W$3),'Сводный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график'!$B$1:$B$4),MATCH(DATE($AV$1,MONTH($B$74),W$3),'Сводный годовой график'!$C$12:$AR$12)))</f>
        <v>#N/A</v>
      </c>
      <c r="X80" s="92" t="e">
        <f ca="1">IF(AND(INDEX('Сводный годовой график'!$C$1:$AR$4,MATCH($C$80,'Сводный годовой график'!$B$1:$B$4),MATCH(DATE($AV$1,MONTH($B$74),X$3),'Сводный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график'!$B$1:$B$4),MATCH(DATE($AV$1,MONTH($B$74),X$3),'Сводный годовой график'!$C$12:$AR$12)))</f>
        <v>#N/A</v>
      </c>
      <c r="Y80" s="92" t="e">
        <f ca="1">IF(AND(INDEX('Сводный годовой график'!$C$1:$AR$4,MATCH($C$80,'Сводный годовой график'!$B$1:$B$4),MATCH(DATE($AV$1,MONTH($B$74),Y$3),'Сводный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график'!$B$1:$B$4),MATCH(DATE($AV$1,MONTH($B$74),Y$3),'Сводный годовой график'!$C$12:$AR$12)))</f>
        <v>#N/A</v>
      </c>
      <c r="Z80" s="92" t="e">
        <f ca="1">IF(AND(INDEX('Сводный годовой график'!$C$1:$AR$4,MATCH($C$80,'Сводный годовой график'!$B$1:$B$4),MATCH(DATE($AV$1,MONTH($B$74),Z$3),'Сводный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график'!$B$1:$B$4),MATCH(DATE($AV$1,MONTH($B$74),Z$3),'Сводный годовой график'!$C$12:$AR$12)))</f>
        <v>#N/A</v>
      </c>
      <c r="AA80" s="92" t="e">
        <f ca="1">IF(AND(INDEX('Сводный годовой график'!$C$1:$AR$4,MATCH($C$80,'Сводный годовой график'!$B$1:$B$4),MATCH(DATE($AV$1,MONTH($B$74),AA$3),'Сводный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график'!$B$1:$B$4),MATCH(DATE($AV$1,MONTH($B$74),AA$3),'Сводный годовой график'!$C$12:$AR$12)))</f>
        <v>#N/A</v>
      </c>
      <c r="AB80" s="92" t="e">
        <f ca="1">IF(AND(INDEX('Сводный годовой график'!$C$1:$AR$4,MATCH($C$80,'Сводный годовой график'!$B$1:$B$4),MATCH(DATE($AV$1,MONTH($B$74),AB$3),'Сводный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график'!$B$1:$B$4),MATCH(DATE($AV$1,MONTH($B$74),AB$3),'Сводный годовой график'!$C$12:$AR$12)))</f>
        <v>#N/A</v>
      </c>
      <c r="AC80" s="92" t="e">
        <f ca="1">IF(AND(INDEX('Сводный годовой график'!$C$1:$AR$4,MATCH($C$80,'Сводный годовой график'!$B$1:$B$4),MATCH(DATE($AV$1,MONTH($B$74),AC$3),'Сводный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график'!$B$1:$B$4),MATCH(DATE($AV$1,MONTH($B$74),AC$3),'Сводный годовой график'!$C$12:$AR$12)))</f>
        <v>#N/A</v>
      </c>
      <c r="AD80" s="92" t="e">
        <f ca="1">IF(AND(INDEX('Сводный годовой график'!$C$1:$AR$4,MATCH($C$80,'Сводный годовой график'!$B$1:$B$4),MATCH(DATE($AV$1,MONTH($B$74),AD$3),'Сводный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график'!$B$1:$B$4),MATCH(DATE($AV$1,MONTH($B$74),AD$3),'Сводный годовой график'!$C$12:$AR$12)))</f>
        <v>#N/A</v>
      </c>
      <c r="AE80" s="92" t="e">
        <f ca="1">IF(AND(INDEX('Сводный годовой график'!$C$1:$AR$4,MATCH($C$80,'Сводный годовой график'!$B$1:$B$4),MATCH(DATE($AV$1,MONTH($B$74),AE$3),'Сводный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график'!$B$1:$B$4),MATCH(DATE($AV$1,MONTH($B$74),AE$3),'Сводный годовой график'!$C$12:$AR$12)))</f>
        <v>#N/A</v>
      </c>
      <c r="AF80" s="92" t="e">
        <f ca="1">IF(AND(INDEX('Сводный годовой график'!$C$1:$AR$4,MATCH($C$80,'Сводный годовой график'!$B$1:$B$4),MATCH(DATE($AV$1,MONTH($B$74),AF$3),'Сводный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график'!$B$1:$B$4),MATCH(DATE($AV$1,MONTH($B$74),AF$3),'Сводный годовой график'!$C$12:$AR$12)))</f>
        <v>#N/A</v>
      </c>
      <c r="AG80" s="92" t="e">
        <f ca="1">IF(AND(INDEX('Сводный годовой график'!$C$1:$AR$4,MATCH($C$80,'Сводный годовой график'!$B$1:$B$4),MATCH(DATE($AV$1,MONTH($B$74),AG$3),'Сводный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график'!$B$1:$B$4),MATCH(DATE($AV$1,MONTH($B$74),AG$3),'Сводный годовой график'!$C$12:$AR$12)))</f>
        <v>#N/A</v>
      </c>
      <c r="AH80" s="92" t="e">
        <f ca="1">IF(AND(INDEX('Сводный годовой график'!$C$1:$AR$4,MATCH($C$80,'Сводный годовой график'!$B$1:$B$4),MATCH(DATE($AV$1,MONTH($B$74),AH$3),'Сводный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график'!$B$1:$B$4),MATCH(DATE($AV$1,MONTH($B$74),AH$3),'Сводный годовой график'!$C$12:$AR$12)))</f>
        <v>#N/A</v>
      </c>
      <c r="AI80" s="97" t="e">
        <f ca="1">IF(AND(INDEX('Сводный годовой график'!$C$1:$AR$4,MATCH($C$80,'Сводный годовой график'!$B$1:$B$4),MATCH(DATE($AV$1,MONTH($B$74),AI$3),'Сводный годовой график'!$C$12:$AR$12))&lt;&gt;12,INDIRECT(ADDRESS(ROW()+1,COLUMN()))="СП"),8,INDEX('Сводный годовой график'!$C$1:$AR$4,MATCH($C$80,'Сводный годовой график'!$B$1:$B$4),MATCH(DATE($AV$1,MONTH($B$74),AI$3),'Сводный годовой график'!$C$12:$AR$12)))</f>
        <v>#N/A</v>
      </c>
      <c r="AJ80" s="206"/>
      <c r="AK80" s="177">
        <f>$AJ$74-SUM(AY80:CC81)</f>
        <v>168</v>
      </c>
      <c r="AL80" s="177" t="e">
        <f t="shared" ref="AL80" ca="1" si="137">SUM(E80:AI81)</f>
        <v>#N/A</v>
      </c>
      <c r="AM80" s="177">
        <v>0</v>
      </c>
      <c r="AN80" s="198" t="e">
        <f t="shared" ref="AN80" ca="1" si="138">-AM80-AK80+AL80</f>
        <v>#N/A</v>
      </c>
      <c r="AO80" s="198">
        <v>0</v>
      </c>
      <c r="AP80" s="198" t="e">
        <f t="shared" ref="AP80" ca="1" si="139">AN80+AP70</f>
        <v>#N/A</v>
      </c>
      <c r="AQ80" s="177">
        <v>0</v>
      </c>
      <c r="AR80" s="179">
        <v>1</v>
      </c>
      <c r="CK80" s="59"/>
      <c r="CL80" s="59"/>
      <c r="CM80" s="59"/>
      <c r="CN80" s="59"/>
      <c r="CO80" s="59"/>
      <c r="CP80" s="59"/>
      <c r="CQ80" s="59"/>
      <c r="CR80" s="59"/>
      <c r="CS80" s="59"/>
      <c r="CT80" s="59"/>
      <c r="CU80" s="59"/>
      <c r="CV80" s="59"/>
      <c r="CW80" s="59"/>
      <c r="CX80" s="59"/>
      <c r="CY80" s="59"/>
      <c r="CZ80" s="59"/>
      <c r="DA80" s="59"/>
      <c r="DB80" s="59"/>
      <c r="DC80" s="59"/>
      <c r="DD80" s="59"/>
      <c r="DE80" s="59"/>
      <c r="DF80" s="59"/>
      <c r="DG80" s="59"/>
      <c r="DH80" s="59"/>
      <c r="DI80" s="59"/>
      <c r="DJ80" s="59"/>
      <c r="DK80" s="59"/>
      <c r="DL80" s="59"/>
      <c r="DM80" s="59"/>
      <c r="DN80" s="59"/>
      <c r="DO80" s="59"/>
    </row>
    <row r="81" spans="2:119" ht="16.5" thickBot="1" x14ac:dyDescent="0.3">
      <c r="B81" s="201"/>
      <c r="C81" s="197"/>
      <c r="D81" s="82">
        <v>8</v>
      </c>
      <c r="E81" s="92" t="str">
        <f t="shared" ref="E81:AI81" si="140">IF(INDEX($CK$4:$DO$123,ROW()-3,E$3)=0,"","СП")</f>
        <v/>
      </c>
      <c r="F81" s="92" t="str">
        <f t="shared" si="140"/>
        <v/>
      </c>
      <c r="G81" s="92" t="str">
        <f t="shared" si="140"/>
        <v/>
      </c>
      <c r="H81" s="92" t="str">
        <f t="shared" si="140"/>
        <v/>
      </c>
      <c r="I81" s="92" t="str">
        <f t="shared" si="140"/>
        <v/>
      </c>
      <c r="J81" s="92" t="str">
        <f t="shared" si="140"/>
        <v/>
      </c>
      <c r="K81" s="92" t="str">
        <f t="shared" si="140"/>
        <v/>
      </c>
      <c r="L81" s="92" t="str">
        <f t="shared" si="140"/>
        <v/>
      </c>
      <c r="M81" s="92" t="str">
        <f t="shared" si="140"/>
        <v/>
      </c>
      <c r="N81" s="92" t="str">
        <f t="shared" si="140"/>
        <v/>
      </c>
      <c r="O81" s="92" t="str">
        <f t="shared" si="140"/>
        <v>СП</v>
      </c>
      <c r="P81" s="92" t="str">
        <f t="shared" si="140"/>
        <v/>
      </c>
      <c r="Q81" s="92" t="str">
        <f t="shared" si="140"/>
        <v/>
      </c>
      <c r="R81" s="92" t="str">
        <f t="shared" si="140"/>
        <v/>
      </c>
      <c r="S81" s="92" t="str">
        <f t="shared" si="140"/>
        <v/>
      </c>
      <c r="T81" s="92" t="str">
        <f t="shared" si="140"/>
        <v/>
      </c>
      <c r="U81" s="92" t="str">
        <f t="shared" si="140"/>
        <v/>
      </c>
      <c r="V81" s="92" t="str">
        <f t="shared" si="140"/>
        <v/>
      </c>
      <c r="W81" s="92" t="str">
        <f t="shared" si="140"/>
        <v/>
      </c>
      <c r="X81" s="92" t="str">
        <f t="shared" si="140"/>
        <v/>
      </c>
      <c r="Y81" s="92" t="str">
        <f t="shared" si="140"/>
        <v/>
      </c>
      <c r="Z81" s="92" t="str">
        <f t="shared" si="140"/>
        <v/>
      </c>
      <c r="AA81" s="92" t="str">
        <f t="shared" si="140"/>
        <v/>
      </c>
      <c r="AB81" s="92" t="str">
        <f t="shared" si="140"/>
        <v/>
      </c>
      <c r="AC81" s="92" t="str">
        <f t="shared" si="140"/>
        <v/>
      </c>
      <c r="AD81" s="92" t="str">
        <f t="shared" si="140"/>
        <v/>
      </c>
      <c r="AE81" s="92" t="str">
        <f t="shared" si="140"/>
        <v/>
      </c>
      <c r="AF81" s="92" t="str">
        <f t="shared" si="140"/>
        <v/>
      </c>
      <c r="AG81" s="92" t="str">
        <f t="shared" si="140"/>
        <v/>
      </c>
      <c r="AH81" s="92" t="str">
        <f t="shared" si="140"/>
        <v/>
      </c>
      <c r="AI81" s="97" t="str">
        <f t="shared" si="140"/>
        <v/>
      </c>
      <c r="AJ81" s="206"/>
      <c r="AK81" s="177"/>
      <c r="AL81" s="177"/>
      <c r="AM81" s="177"/>
      <c r="AN81" s="198"/>
      <c r="AO81" s="198"/>
      <c r="AP81" s="198"/>
      <c r="AQ81" s="177"/>
      <c r="AR81" s="179"/>
      <c r="CK81" s="58">
        <f>IF(DAY(INDEX('Сводный годовой график'!$BA$4:$BL$14,$C80,MONTH($B$74)))=E$3,1,0)</f>
        <v>0</v>
      </c>
      <c r="CL81" s="58">
        <f>IF(DAY(INDEX('Сводный годовой график'!$BA$4:$BL$14,$C80,MONTH($B$74)))=F$3,1,0)</f>
        <v>0</v>
      </c>
      <c r="CM81" s="58">
        <f>IF(DAY(INDEX('Сводный годовой график'!$BA$4:$BL$14,$C80,MONTH($B$74)))=G$3,1,0)</f>
        <v>0</v>
      </c>
      <c r="CN81" s="58">
        <f>IF(DAY(INDEX('Сводный годовой график'!$BA$4:$BL$14,$C80,MONTH($B$74)))=H$3,1,0)</f>
        <v>0</v>
      </c>
      <c r="CO81" s="58">
        <f>IF(DAY(INDEX('Сводный годовой график'!$BA$4:$BL$14,$C80,MONTH($B$74)))=I$3,1,0)</f>
        <v>0</v>
      </c>
      <c r="CP81" s="58">
        <f>IF(DAY(INDEX('Сводный годовой график'!$BA$4:$BL$14,$C80,MONTH($B$74)))=J$3,1,0)</f>
        <v>0</v>
      </c>
      <c r="CQ81" s="58">
        <f>IF(DAY(INDEX('Сводный годовой график'!$BA$4:$BL$14,$C80,MONTH($B$74)))=K$3,1,0)</f>
        <v>0</v>
      </c>
      <c r="CR81" s="58">
        <f>IF(DAY(INDEX('Сводный годовой график'!$BA$4:$BL$14,$C80,MONTH($B$74)))=L$3,1,0)</f>
        <v>0</v>
      </c>
      <c r="CS81" s="58">
        <f>IF(DAY(INDEX('Сводный годовой график'!$BA$4:$BL$14,$C80,MONTH($B$74)))=M$3,1,0)</f>
        <v>0</v>
      </c>
      <c r="CT81" s="58">
        <f>IF(DAY(INDEX('Сводный годовой график'!$BA$4:$BL$14,$C80,MONTH($B$74)))=N$3,1,0)</f>
        <v>0</v>
      </c>
      <c r="CU81" s="58">
        <f>IF(DAY(INDEX('Сводный годовой график'!$BA$4:$BL$14,$C80,MONTH($B$74)))=O$3,1,0)</f>
        <v>1</v>
      </c>
      <c r="CV81" s="58">
        <f>IF(DAY(INDEX('Сводный годовой график'!$BA$4:$BL$14,$C80,MONTH($B$74)))=P$3,1,0)</f>
        <v>0</v>
      </c>
      <c r="CW81" s="58">
        <f>IF(DAY(INDEX('Сводный годовой график'!$BA$4:$BL$14,$C80,MONTH($B$74)))=Q$3,1,0)</f>
        <v>0</v>
      </c>
      <c r="CX81" s="58">
        <f>IF(DAY(INDEX('Сводный годовой график'!$BA$4:$BL$14,$C80,MONTH($B$74)))=R$3,1,0)</f>
        <v>0</v>
      </c>
      <c r="CY81" s="58">
        <f>IF(DAY(INDEX('Сводный годовой график'!$BA$4:$BL$14,$C80,MONTH($B$74)))=S$3,1,0)</f>
        <v>0</v>
      </c>
      <c r="CZ81" s="58">
        <f>IF(DAY(INDEX('Сводный годовой график'!$BA$4:$BL$14,$C80,MONTH($B$74)))=T$3,1,0)</f>
        <v>0</v>
      </c>
      <c r="DA81" s="58">
        <f>IF(DAY(INDEX('Сводный годовой график'!$BA$4:$BL$14,$C80,MONTH($B$74)))=U$3,1,0)</f>
        <v>0</v>
      </c>
      <c r="DB81" s="58">
        <f>IF(DAY(INDEX('Сводный годовой график'!$BA$4:$BL$14,$C80,MONTH($B$74)))=V$3,1,0)</f>
        <v>0</v>
      </c>
      <c r="DC81" s="58">
        <f>IF(DAY(INDEX('Сводный годовой график'!$BA$4:$BL$14,$C80,MONTH($B$74)))=W$3,1,0)</f>
        <v>0</v>
      </c>
      <c r="DD81" s="58">
        <f>IF(DAY(INDEX('Сводный годовой график'!$BA$4:$BL$14,$C80,MONTH($B$74)))=X$3,1,0)</f>
        <v>0</v>
      </c>
      <c r="DE81" s="58">
        <f>IF(DAY(INDEX('Сводный годовой график'!$BA$4:$BL$14,$C80,MONTH($B$74)))=Y$3,1,0)</f>
        <v>0</v>
      </c>
      <c r="DF81" s="58">
        <f>IF(DAY(INDEX('Сводный годовой график'!$BA$4:$BL$14,$C80,MONTH($B$74)))=Z$3,1,0)</f>
        <v>0</v>
      </c>
      <c r="DG81" s="58">
        <f>IF(DAY(INDEX('Сводный годовой график'!$BA$4:$BL$14,$C80,MONTH($B$74)))=AA$3,1,0)</f>
        <v>0</v>
      </c>
      <c r="DH81" s="58">
        <f>IF(DAY(INDEX('Сводный годовой график'!$BA$4:$BL$14,$C80,MONTH($B$74)))=AB$3,1,0)</f>
        <v>0</v>
      </c>
      <c r="DI81" s="58">
        <f>IF(DAY(INDEX('Сводный годовой график'!$BA$4:$BL$14,$C80,MONTH($B$74)))=AC$3,1,0)</f>
        <v>0</v>
      </c>
      <c r="DJ81" s="58">
        <f>IF(DAY(INDEX('Сводный годовой график'!$BA$4:$BL$14,$C80,MONTH($B$74)))=AD$3,1,0)</f>
        <v>0</v>
      </c>
      <c r="DK81" s="58">
        <f>IF(DAY(INDEX('Сводный годовой график'!$BA$4:$BL$14,$C80,MONTH($B$74)))=AE$3,1,0)</f>
        <v>0</v>
      </c>
      <c r="DL81" s="58">
        <f>IF(DAY(INDEX('Сводный годовой график'!$BA$4:$BL$14,$C80,MONTH($B$74)))=AF$3,1,0)</f>
        <v>0</v>
      </c>
      <c r="DM81" s="58">
        <f>IF(DAY(INDEX('Сводный годовой график'!$BA$4:$BL$14,$C80,MONTH($B$74)))=AG$3,1,0)</f>
        <v>0</v>
      </c>
      <c r="DN81" s="58">
        <f>IF(DAY(INDEX('Сводный годовой график'!$BA$4:$BL$14,$C80,MONTH($B$74)))=AH$3,1,0)</f>
        <v>0</v>
      </c>
      <c r="DO81" s="58">
        <f>IF(DAY(INDEX('Сводный годовой график'!$BA$4:$BL$14,$C80,MONTH($B$74)))=AI$3,1,0)</f>
        <v>0</v>
      </c>
    </row>
    <row r="82" spans="2:119" ht="16.5" thickBot="1" x14ac:dyDescent="0.3">
      <c r="B82" s="201"/>
      <c r="C82" s="196">
        <v>5</v>
      </c>
      <c r="D82" s="81">
        <v>9</v>
      </c>
      <c r="E82" s="92" t="s">
        <v>36</v>
      </c>
      <c r="F82" s="92" t="s">
        <v>36</v>
      </c>
      <c r="G82" s="92" t="s">
        <v>36</v>
      </c>
      <c r="H82" s="92" t="s">
        <v>36</v>
      </c>
      <c r="I82" s="92" t="s">
        <v>36</v>
      </c>
      <c r="J82" s="92" t="s">
        <v>36</v>
      </c>
      <c r="K82" s="92" t="s">
        <v>36</v>
      </c>
      <c r="L82" s="92" t="s">
        <v>36</v>
      </c>
      <c r="M82" s="92" t="s">
        <v>36</v>
      </c>
      <c r="N82" s="92" t="s">
        <v>36</v>
      </c>
      <c r="O82" s="92" t="s">
        <v>36</v>
      </c>
      <c r="P82" s="92" t="s">
        <v>36</v>
      </c>
      <c r="Q82" s="92" t="s">
        <v>36</v>
      </c>
      <c r="R82" s="92" t="s">
        <v>36</v>
      </c>
      <c r="S82" s="92" t="s">
        <v>36</v>
      </c>
      <c r="T82" s="92" t="s">
        <v>36</v>
      </c>
      <c r="U82" s="92" t="s">
        <v>36</v>
      </c>
      <c r="V82" s="92" t="s">
        <v>36</v>
      </c>
      <c r="W82" s="92" t="s">
        <v>36</v>
      </c>
      <c r="X82" s="92" t="s">
        <v>36</v>
      </c>
      <c r="Y82" s="92" t="s">
        <v>36</v>
      </c>
      <c r="Z82" s="92" t="s">
        <v>36</v>
      </c>
      <c r="AA82" s="92" t="s">
        <v>36</v>
      </c>
      <c r="AB82" s="92" t="s">
        <v>36</v>
      </c>
      <c r="AC82" s="92" t="s">
        <v>36</v>
      </c>
      <c r="AD82" s="92" t="s">
        <v>36</v>
      </c>
      <c r="AE82" s="92" t="s">
        <v>36</v>
      </c>
      <c r="AF82" s="92" t="s">
        <v>36</v>
      </c>
      <c r="AG82" s="92" t="s">
        <v>36</v>
      </c>
      <c r="AH82" s="92" t="s">
        <v>36</v>
      </c>
      <c r="AI82" s="97" t="s">
        <v>36</v>
      </c>
      <c r="AJ82" s="206"/>
      <c r="AK82" s="177">
        <f>$AJ$74-SUM(AY82:CC83)</f>
        <v>168</v>
      </c>
      <c r="AL82" s="177">
        <f t="shared" ref="AL82" si="141">SUM(E82:AI83)</f>
        <v>0</v>
      </c>
      <c r="AM82" s="177">
        <v>0</v>
      </c>
      <c r="AN82" s="198">
        <f t="shared" ref="AN82" si="142">-AM82-AK82+AL82</f>
        <v>-168</v>
      </c>
      <c r="AO82" s="198">
        <v>48</v>
      </c>
      <c r="AP82" s="198">
        <f>AN82+AP72-AO82</f>
        <v>-1357</v>
      </c>
      <c r="AQ82" s="177">
        <v>0</v>
      </c>
      <c r="AR82" s="179">
        <v>1</v>
      </c>
      <c r="CK82" s="59"/>
      <c r="CL82" s="59"/>
      <c r="CM82" s="59"/>
      <c r="CN82" s="59"/>
      <c r="CO82" s="59"/>
      <c r="CP82" s="59"/>
      <c r="CQ82" s="59"/>
      <c r="CR82" s="59"/>
      <c r="CS82" s="59"/>
      <c r="CT82" s="59"/>
      <c r="CU82" s="59"/>
      <c r="CV82" s="59"/>
      <c r="CW82" s="59"/>
      <c r="CX82" s="59"/>
      <c r="CY82" s="59"/>
      <c r="CZ82" s="59"/>
      <c r="DA82" s="59"/>
      <c r="DB82" s="59"/>
      <c r="DC82" s="59"/>
      <c r="DD82" s="59"/>
      <c r="DE82" s="59"/>
      <c r="DF82" s="59"/>
      <c r="DG82" s="59"/>
      <c r="DH82" s="59"/>
      <c r="DI82" s="59"/>
      <c r="DJ82" s="59"/>
      <c r="DK82" s="59"/>
      <c r="DL82" s="59"/>
      <c r="DM82" s="59"/>
      <c r="DN82" s="59"/>
      <c r="DO82" s="59"/>
    </row>
    <row r="83" spans="2:119" ht="16.5" thickBot="1" x14ac:dyDescent="0.3">
      <c r="B83" s="202"/>
      <c r="C83" s="197"/>
      <c r="D83" s="82">
        <v>10</v>
      </c>
      <c r="E83" s="29" t="str">
        <f t="shared" ref="E83:AI83" si="143">IF(INDEX($CK$4:$DO$123,ROW()-3,E$3)=0,"","СП")</f>
        <v/>
      </c>
      <c r="F83" s="29" t="str">
        <f t="shared" si="143"/>
        <v/>
      </c>
      <c r="G83" s="29" t="str">
        <f t="shared" si="143"/>
        <v/>
      </c>
      <c r="H83" s="29" t="str">
        <f t="shared" si="143"/>
        <v/>
      </c>
      <c r="I83" s="29" t="str">
        <f t="shared" si="143"/>
        <v/>
      </c>
      <c r="J83" s="29" t="str">
        <f t="shared" si="143"/>
        <v/>
      </c>
      <c r="K83" s="29" t="str">
        <f t="shared" si="143"/>
        <v/>
      </c>
      <c r="L83" s="29" t="str">
        <f t="shared" si="143"/>
        <v/>
      </c>
      <c r="M83" s="29" t="str">
        <f t="shared" si="143"/>
        <v/>
      </c>
      <c r="N83" s="29" t="str">
        <f t="shared" si="143"/>
        <v/>
      </c>
      <c r="O83" s="29" t="str">
        <f t="shared" si="143"/>
        <v/>
      </c>
      <c r="P83" s="29" t="str">
        <f t="shared" si="143"/>
        <v>СП</v>
      </c>
      <c r="Q83" s="29" t="str">
        <f t="shared" si="143"/>
        <v/>
      </c>
      <c r="R83" s="29" t="str">
        <f t="shared" si="143"/>
        <v/>
      </c>
      <c r="S83" s="29" t="str">
        <f t="shared" si="143"/>
        <v/>
      </c>
      <c r="T83" s="29" t="str">
        <f t="shared" si="143"/>
        <v/>
      </c>
      <c r="U83" s="29" t="str">
        <f t="shared" si="143"/>
        <v/>
      </c>
      <c r="V83" s="29" t="str">
        <f t="shared" si="143"/>
        <v/>
      </c>
      <c r="W83" s="29" t="str">
        <f t="shared" si="143"/>
        <v/>
      </c>
      <c r="X83" s="29" t="str">
        <f t="shared" si="143"/>
        <v/>
      </c>
      <c r="Y83" s="29" t="str">
        <f t="shared" si="143"/>
        <v/>
      </c>
      <c r="Z83" s="29" t="str">
        <f t="shared" si="143"/>
        <v/>
      </c>
      <c r="AA83" s="29" t="str">
        <f t="shared" si="143"/>
        <v/>
      </c>
      <c r="AB83" s="29" t="str">
        <f t="shared" si="143"/>
        <v/>
      </c>
      <c r="AC83" s="29" t="str">
        <f t="shared" si="143"/>
        <v/>
      </c>
      <c r="AD83" s="29" t="str">
        <f t="shared" si="143"/>
        <v/>
      </c>
      <c r="AE83" s="29" t="str">
        <f t="shared" si="143"/>
        <v/>
      </c>
      <c r="AF83" s="29" t="str">
        <f t="shared" si="143"/>
        <v/>
      </c>
      <c r="AG83" s="29" t="str">
        <f t="shared" si="143"/>
        <v/>
      </c>
      <c r="AH83" s="29" t="str">
        <f t="shared" si="143"/>
        <v/>
      </c>
      <c r="AI83" s="85" t="str">
        <f t="shared" si="143"/>
        <v/>
      </c>
      <c r="AJ83" s="207"/>
      <c r="AK83" s="178"/>
      <c r="AL83" s="178"/>
      <c r="AM83" s="178"/>
      <c r="AN83" s="199"/>
      <c r="AO83" s="199"/>
      <c r="AP83" s="199"/>
      <c r="AQ83" s="178"/>
      <c r="AR83" s="180"/>
      <c r="CK83" s="58">
        <f>IF(DAY(INDEX('Сводный годовой график'!$BA$4:$BL$14,$C82,MONTH($B$74)))=E$3,1,0)</f>
        <v>0</v>
      </c>
      <c r="CL83" s="58">
        <f>IF(DAY(INDEX('Сводный годовой график'!$BA$4:$BL$14,$C82,MONTH($B$74)))=F$3,1,0)</f>
        <v>0</v>
      </c>
      <c r="CM83" s="58">
        <f>IF(DAY(INDEX('Сводный годовой график'!$BA$4:$BL$14,$C82,MONTH($B$74)))=G$3,1,0)</f>
        <v>0</v>
      </c>
      <c r="CN83" s="58">
        <f>IF(DAY(INDEX('Сводный годовой график'!$BA$4:$BL$14,$C82,MONTH($B$74)))=H$3,1,0)</f>
        <v>0</v>
      </c>
      <c r="CO83" s="58">
        <f>IF(DAY(INDEX('Сводный годовой график'!$BA$4:$BL$14,$C82,MONTH($B$74)))=I$3,1,0)</f>
        <v>0</v>
      </c>
      <c r="CP83" s="58">
        <f>IF(DAY(INDEX('Сводный годовой график'!$BA$4:$BL$14,$C82,MONTH($B$74)))=J$3,1,0)</f>
        <v>0</v>
      </c>
      <c r="CQ83" s="58">
        <f>IF(DAY(INDEX('Сводный годовой график'!$BA$4:$BL$14,$C82,MONTH($B$74)))=K$3,1,0)</f>
        <v>0</v>
      </c>
      <c r="CR83" s="58">
        <f>IF(DAY(INDEX('Сводный годовой график'!$BA$4:$BL$14,$C82,MONTH($B$74)))=L$3,1,0)</f>
        <v>0</v>
      </c>
      <c r="CS83" s="58">
        <f>IF(DAY(INDEX('Сводный годовой график'!$BA$4:$BL$14,$C82,MONTH($B$74)))=M$3,1,0)</f>
        <v>0</v>
      </c>
      <c r="CT83" s="58">
        <f>IF(DAY(INDEX('Сводный годовой график'!$BA$4:$BL$14,$C82,MONTH($B$74)))=N$3,1,0)</f>
        <v>0</v>
      </c>
      <c r="CU83" s="58">
        <f>IF(DAY(INDEX('Сводный годовой график'!$BA$4:$BL$14,$C82,MONTH($B$74)))=O$3,1,0)</f>
        <v>0</v>
      </c>
      <c r="CV83" s="58">
        <f>IF(DAY(INDEX('Сводный годовой график'!$BA$4:$BL$14,$C82,MONTH($B$74)))=P$3,1,0)</f>
        <v>1</v>
      </c>
      <c r="CW83" s="58">
        <f>IF(DAY(INDEX('Сводный годовой график'!$BA$4:$BL$14,$C82,MONTH($B$74)))=Q$3,1,0)</f>
        <v>0</v>
      </c>
      <c r="CX83" s="58">
        <f>IF(DAY(INDEX('Сводный годовой график'!$BA$4:$BL$14,$C82,MONTH($B$74)))=R$3,1,0)</f>
        <v>0</v>
      </c>
      <c r="CY83" s="58">
        <f>IF(DAY(INDEX('Сводный годовой график'!$BA$4:$BL$14,$C82,MONTH($B$74)))=S$3,1,0)</f>
        <v>0</v>
      </c>
      <c r="CZ83" s="58">
        <f>IF(DAY(INDEX('Сводный годовой график'!$BA$4:$BL$14,$C82,MONTH($B$74)))=T$3,1,0)</f>
        <v>0</v>
      </c>
      <c r="DA83" s="58">
        <f>IF(DAY(INDEX('Сводный годовой график'!$BA$4:$BL$14,$C82,MONTH($B$74)))=U$3,1,0)</f>
        <v>0</v>
      </c>
      <c r="DB83" s="58">
        <f>IF(DAY(INDEX('Сводный годовой график'!$BA$4:$BL$14,$C82,MONTH($B$74)))=V$3,1,0)</f>
        <v>0</v>
      </c>
      <c r="DC83" s="58">
        <f>IF(DAY(INDEX('Сводный годовой график'!$BA$4:$BL$14,$C82,MONTH($B$74)))=W$3,1,0)</f>
        <v>0</v>
      </c>
      <c r="DD83" s="58">
        <f>IF(DAY(INDEX('Сводный годовой график'!$BA$4:$BL$14,$C82,MONTH($B$74)))=X$3,1,0)</f>
        <v>0</v>
      </c>
      <c r="DE83" s="58">
        <f>IF(DAY(INDEX('Сводный годовой график'!$BA$4:$BL$14,$C82,MONTH($B$74)))=Y$3,1,0)</f>
        <v>0</v>
      </c>
      <c r="DF83" s="58">
        <f>IF(DAY(INDEX('Сводный годовой график'!$BA$4:$BL$14,$C82,MONTH($B$74)))=Z$3,1,0)</f>
        <v>0</v>
      </c>
      <c r="DG83" s="58">
        <f>IF(DAY(INDEX('Сводный годовой график'!$BA$4:$BL$14,$C82,MONTH($B$74)))=AA$3,1,0)</f>
        <v>0</v>
      </c>
      <c r="DH83" s="58">
        <f>IF(DAY(INDEX('Сводный годовой график'!$BA$4:$BL$14,$C82,MONTH($B$74)))=AB$3,1,0)</f>
        <v>0</v>
      </c>
      <c r="DI83" s="58">
        <f>IF(DAY(INDEX('Сводный годовой график'!$BA$4:$BL$14,$C82,MONTH($B$74)))=AC$3,1,0)</f>
        <v>0</v>
      </c>
      <c r="DJ83" s="58">
        <f>IF(DAY(INDEX('Сводный годовой график'!$BA$4:$BL$14,$C82,MONTH($B$74)))=AD$3,1,0)</f>
        <v>0</v>
      </c>
      <c r="DK83" s="58">
        <f>IF(DAY(INDEX('Сводный годовой график'!$BA$4:$BL$14,$C82,MONTH($B$74)))=AE$3,1,0)</f>
        <v>0</v>
      </c>
      <c r="DL83" s="58">
        <f>IF(DAY(INDEX('Сводный годовой график'!$BA$4:$BL$14,$C82,MONTH($B$74)))=AF$3,1,0)</f>
        <v>0</v>
      </c>
      <c r="DM83" s="58">
        <f>IF(DAY(INDEX('Сводный годовой график'!$BA$4:$BL$14,$C82,MONTH($B$74)))=AG$3,1,0)</f>
        <v>0</v>
      </c>
      <c r="DN83" s="58">
        <f>IF(DAY(INDEX('Сводный годовой график'!$BA$4:$BL$14,$C82,MONTH($B$74)))=AH$3,1,0)</f>
        <v>0</v>
      </c>
      <c r="DO83" s="58">
        <f>IF(DAY(INDEX('Сводный годовой график'!$BA$4:$BL$14,$C82,MONTH($B$74)))=AI$3,1,0)</f>
        <v>0</v>
      </c>
    </row>
    <row r="84" spans="2:119" ht="17.25" customHeight="1" thickTop="1" thickBot="1" x14ac:dyDescent="0.3">
      <c r="B84" s="200">
        <f>DATE($AV$1,9,1)</f>
        <v>45901</v>
      </c>
      <c r="C84" s="212">
        <v>1</v>
      </c>
      <c r="D84" s="99">
        <v>1</v>
      </c>
      <c r="E84" s="27" t="e">
        <f ca="1">IF(AND(INDEX('Сводный годовой график'!$C$1:$AR$4,MATCH($C$84,'Сводный годовой график'!$B$1:$B$4),MATCH(DATE($AV$1,MONTH($B$84),E$3),'Сводный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график'!$B$1:$B$4),MATCH(DATE($AV$1,MONTH($B$84),E$3),'Сводный годовой график'!$C$13:$AR$13)))</f>
        <v>#N/A</v>
      </c>
      <c r="F84" s="27" t="e">
        <f ca="1">IF(AND(INDEX('Сводный годовой график'!$C$1:$AR$4,MATCH($C$84,'Сводный годовой график'!$B$1:$B$4),MATCH(DATE($AV$1,MONTH($B$84),F$3),'Сводный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график'!$B$1:$B$4),MATCH(DATE($AV$1,MONTH($B$84),F$3),'Сводный годовой график'!$C$13:$AR$13)))</f>
        <v>#N/A</v>
      </c>
      <c r="G84" s="27" t="e">
        <f ca="1">IF(AND(INDEX('Сводный годовой график'!$C$1:$AR$4,MATCH($C$84,'Сводный годовой график'!$B$1:$B$4),MATCH(DATE($AV$1,MONTH($B$84),G$3),'Сводный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график'!$B$1:$B$4),MATCH(DATE($AV$1,MONTH($B$84),G$3),'Сводный годовой график'!$C$13:$AR$13)))</f>
        <v>#N/A</v>
      </c>
      <c r="H84" s="27" t="e">
        <f ca="1">IF(AND(INDEX('Сводный годовой график'!$C$1:$AR$4,MATCH($C$84,'Сводный годовой график'!$B$1:$B$4),MATCH(DATE($AV$1,MONTH($B$84),H$3),'Сводный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график'!$B$1:$B$4),MATCH(DATE($AV$1,MONTH($B$84),H$3),'Сводный годовой график'!$C$13:$AR$13)))</f>
        <v>#N/A</v>
      </c>
      <c r="I84" s="27" t="e">
        <f ca="1">IF(AND(INDEX('Сводный годовой график'!$C$1:$AR$4,MATCH($C$84,'Сводный годовой график'!$B$1:$B$4),MATCH(DATE($AV$1,MONTH($B$84),I$3),'Сводный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график'!$B$1:$B$4),MATCH(DATE($AV$1,MONTH($B$84),I$3),'Сводный годовой график'!$C$13:$AR$13)))</f>
        <v>#N/A</v>
      </c>
      <c r="J84" s="27" t="e">
        <f ca="1">IF(AND(INDEX('Сводный годовой график'!$C$1:$AR$4,MATCH($C$84,'Сводный годовой график'!$B$1:$B$4),MATCH(DATE($AV$1,MONTH($B$84),J$3),'Сводный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график'!$B$1:$B$4),MATCH(DATE($AV$1,MONTH($B$84),J$3),'Сводный годовой график'!$C$13:$AR$13)))</f>
        <v>#N/A</v>
      </c>
      <c r="K84" s="27" t="e">
        <f ca="1">IF(AND(INDEX('Сводный годовой график'!$C$1:$AR$4,MATCH($C$84,'Сводный годовой график'!$B$1:$B$4),MATCH(DATE($AV$1,MONTH($B$84),K$3),'Сводный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график'!$B$1:$B$4),MATCH(DATE($AV$1,MONTH($B$84),K$3),'Сводный годовой график'!$C$13:$AR$13)))</f>
        <v>#N/A</v>
      </c>
      <c r="L84" s="27" t="e">
        <f ca="1">IF(AND(INDEX('Сводный годовой график'!$C$1:$AR$4,MATCH($C$84,'Сводный годовой график'!$B$1:$B$4),MATCH(DATE($AV$1,MONTH($B$84),L$3),'Сводный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график'!$B$1:$B$4),MATCH(DATE($AV$1,MONTH($B$84),L$3),'Сводный годовой график'!$C$13:$AR$13)))</f>
        <v>#N/A</v>
      </c>
      <c r="M84" s="27" t="e">
        <f ca="1">IF(AND(INDEX('Сводный годовой график'!$C$1:$AR$4,MATCH($C$84,'Сводный годовой график'!$B$1:$B$4),MATCH(DATE($AV$1,MONTH($B$84),M$3),'Сводный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график'!$B$1:$B$4),MATCH(DATE($AV$1,MONTH($B$84),M$3),'Сводный годовой график'!$C$13:$AR$13)))</f>
        <v>#N/A</v>
      </c>
      <c r="N84" s="27" t="e">
        <f ca="1">IF(AND(INDEX('Сводный годовой график'!$C$1:$AR$4,MATCH($C$84,'Сводный годовой график'!$B$1:$B$4),MATCH(DATE($AV$1,MONTH($B$84),N$3),'Сводный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график'!$B$1:$B$4),MATCH(DATE($AV$1,MONTH($B$84),N$3),'Сводный годовой график'!$C$13:$AR$13)))</f>
        <v>#N/A</v>
      </c>
      <c r="O84" s="27" t="e">
        <f ca="1">IF(AND(INDEX('Сводный годовой график'!$C$1:$AR$4,MATCH($C$84,'Сводный годовой график'!$B$1:$B$4),MATCH(DATE($AV$1,MONTH($B$84),O$3),'Сводный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график'!$B$1:$B$4),MATCH(DATE($AV$1,MONTH($B$84),O$3),'Сводный годовой график'!$C$13:$AR$13)))</f>
        <v>#N/A</v>
      </c>
      <c r="P84" s="27" t="e">
        <f ca="1">IF(AND(INDEX('Сводный годовой график'!$C$1:$AR$4,MATCH($C$84,'Сводный годовой график'!$B$1:$B$4),MATCH(DATE($AV$1,MONTH($B$84),P$3),'Сводный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график'!$B$1:$B$4),MATCH(DATE($AV$1,MONTH($B$84),P$3),'Сводный годовой график'!$C$13:$AR$13)))</f>
        <v>#N/A</v>
      </c>
      <c r="Q84" s="27" t="e">
        <f ca="1">IF(AND(INDEX('Сводный годовой график'!$C$1:$AR$4,MATCH($C$84,'Сводный годовой график'!$B$1:$B$4),MATCH(DATE($AV$1,MONTH($B$84),Q$3),'Сводный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график'!$B$1:$B$4),MATCH(DATE($AV$1,MONTH($B$84),Q$3),'Сводный годовой график'!$C$13:$AR$13)))</f>
        <v>#N/A</v>
      </c>
      <c r="R84" s="27" t="e">
        <f ca="1">IF(AND(INDEX('Сводный годовой график'!$C$1:$AR$4,MATCH($C$84,'Сводный годовой график'!$B$1:$B$4),MATCH(DATE($AV$1,MONTH($B$84),R$3),'Сводный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график'!$B$1:$B$4),MATCH(DATE($AV$1,MONTH($B$84),R$3),'Сводный годовой график'!$C$13:$AR$13)))</f>
        <v>#N/A</v>
      </c>
      <c r="S84" s="27" t="e">
        <f ca="1">IF(AND(INDEX('Сводный годовой график'!$C$1:$AR$4,MATCH($C$84,'Сводный годовой график'!$B$1:$B$4),MATCH(DATE($AV$1,MONTH($B$84),S$3),'Сводный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график'!$B$1:$B$4),MATCH(DATE($AV$1,MONTH($B$84),S$3),'Сводный годовой график'!$C$13:$AR$13)))</f>
        <v>#N/A</v>
      </c>
      <c r="T84" s="27" t="e">
        <f ca="1">IF(AND(INDEX('Сводный годовой график'!$C$1:$AR$4,MATCH($C$84,'Сводный годовой график'!$B$1:$B$4),MATCH(DATE($AV$1,MONTH($B$84),T$3),'Сводный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график'!$B$1:$B$4),MATCH(DATE($AV$1,MONTH($B$84),T$3),'Сводный годовой график'!$C$13:$AR$13)))</f>
        <v>#N/A</v>
      </c>
      <c r="U84" s="27" t="e">
        <f ca="1">IF(AND(INDEX('Сводный годовой график'!$C$1:$AR$4,MATCH($C$84,'Сводный годовой график'!$B$1:$B$4),MATCH(DATE($AV$1,MONTH($B$84),U$3),'Сводный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график'!$B$1:$B$4),MATCH(DATE($AV$1,MONTH($B$84),U$3),'Сводный годовой график'!$C$13:$AR$13)))</f>
        <v>#N/A</v>
      </c>
      <c r="V84" s="27" t="e">
        <f ca="1">IF(AND(INDEX('Сводный годовой график'!$C$1:$AR$4,MATCH($C$84,'Сводный годовой график'!$B$1:$B$4),MATCH(DATE($AV$1,MONTH($B$84),V$3),'Сводный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график'!$B$1:$B$4),MATCH(DATE($AV$1,MONTH($B$84),V$3),'Сводный годовой график'!$C$13:$AR$13)))</f>
        <v>#N/A</v>
      </c>
      <c r="W84" s="27" t="e">
        <f ca="1">IF(AND(INDEX('Сводный годовой график'!$C$1:$AR$4,MATCH($C$84,'Сводный годовой график'!$B$1:$B$4),MATCH(DATE($AV$1,MONTH($B$84),W$3),'Сводный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график'!$B$1:$B$4),MATCH(DATE($AV$1,MONTH($B$84),W$3),'Сводный годовой график'!$C$13:$AR$13)))</f>
        <v>#N/A</v>
      </c>
      <c r="X84" s="27" t="e">
        <f ca="1">IF(AND(INDEX('Сводный годовой график'!$C$1:$AR$4,MATCH($C$84,'Сводный годовой график'!$B$1:$B$4),MATCH(DATE($AV$1,MONTH($B$84),X$3),'Сводный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график'!$B$1:$B$4),MATCH(DATE($AV$1,MONTH($B$84),X$3),'Сводный годовой график'!$C$13:$AR$13)))</f>
        <v>#N/A</v>
      </c>
      <c r="Y84" s="27" t="e">
        <f ca="1">IF(AND(INDEX('Сводный годовой график'!$C$1:$AR$4,MATCH($C$84,'Сводный годовой график'!$B$1:$B$4),MATCH(DATE($AV$1,MONTH($B$84),Y$3),'Сводный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график'!$B$1:$B$4),MATCH(DATE($AV$1,MONTH($B$84),Y$3),'Сводный годовой график'!$C$13:$AR$13)))</f>
        <v>#N/A</v>
      </c>
      <c r="Z84" s="27" t="e">
        <f ca="1">IF(AND(INDEX('Сводный годовой график'!$C$1:$AR$4,MATCH($C$84,'Сводный годовой график'!$B$1:$B$4),MATCH(DATE($AV$1,MONTH($B$84),Z$3),'Сводный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график'!$B$1:$B$4),MATCH(DATE($AV$1,MONTH($B$84),Z$3),'Сводный годовой график'!$C$13:$AR$13)))</f>
        <v>#N/A</v>
      </c>
      <c r="AA84" s="27" t="e">
        <f ca="1">IF(AND(INDEX('Сводный годовой график'!$C$1:$AR$4,MATCH($C$84,'Сводный годовой график'!$B$1:$B$4),MATCH(DATE($AV$1,MONTH($B$84),AA$3),'Сводный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график'!$B$1:$B$4),MATCH(DATE($AV$1,MONTH($B$84),AA$3),'Сводный годовой график'!$C$13:$AR$13)))</f>
        <v>#N/A</v>
      </c>
      <c r="AB84" s="27" t="e">
        <f ca="1">IF(AND(INDEX('Сводный годовой график'!$C$1:$AR$4,MATCH($C$84,'Сводный годовой график'!$B$1:$B$4),MATCH(DATE($AV$1,MONTH($B$84),AB$3),'Сводный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график'!$B$1:$B$4),MATCH(DATE($AV$1,MONTH($B$84),AB$3),'Сводный годовой график'!$C$13:$AR$13)))</f>
        <v>#N/A</v>
      </c>
      <c r="AC84" s="27" t="e">
        <f ca="1">IF(AND(INDEX('Сводный годовой график'!$C$1:$AR$4,MATCH($C$84,'Сводный годовой график'!$B$1:$B$4),MATCH(DATE($AV$1,MONTH($B$84),AC$3),'Сводный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график'!$B$1:$B$4),MATCH(DATE($AV$1,MONTH($B$84),AC$3),'Сводный годовой график'!$C$13:$AR$13)))</f>
        <v>#N/A</v>
      </c>
      <c r="AD84" s="27" t="e">
        <f ca="1">IF(AND(INDEX('Сводный годовой график'!$C$1:$AR$4,MATCH($C$84,'Сводный годовой график'!$B$1:$B$4),MATCH(DATE($AV$1,MONTH($B$84),AD$3),'Сводный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график'!$B$1:$B$4),MATCH(DATE($AV$1,MONTH($B$84),AD$3),'Сводный годовой график'!$C$13:$AR$13)))</f>
        <v>#N/A</v>
      </c>
      <c r="AE84" s="27" t="e">
        <f ca="1">IF(AND(INDEX('Сводный годовой график'!$C$1:$AR$4,MATCH($C$84,'Сводный годовой график'!$B$1:$B$4),MATCH(DATE($AV$1,MONTH($B$84),AE$3),'Сводный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график'!$B$1:$B$4),MATCH(DATE($AV$1,MONTH($B$84),AE$3),'Сводный годовой график'!$C$13:$AR$13)))</f>
        <v>#N/A</v>
      </c>
      <c r="AF84" s="27" t="e">
        <f ca="1">IF(AND(INDEX('Сводный годовой график'!$C$1:$AR$4,MATCH($C$84,'Сводный годовой график'!$B$1:$B$4),MATCH(DATE($AV$1,MONTH($B$84),AF$3),'Сводный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график'!$B$1:$B$4),MATCH(DATE($AV$1,MONTH($B$84),AF$3),'Сводный годовой график'!$C$13:$AR$13)))</f>
        <v>#N/A</v>
      </c>
      <c r="AG84" s="27" t="e">
        <f ca="1">IF(AND(INDEX('Сводный годовой график'!$C$1:$AR$4,MATCH($C$84,'Сводный годовой график'!$B$1:$B$4),MATCH(DATE($AV$1,MONTH($B$84),AG$3),'Сводный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график'!$B$1:$B$4),MATCH(DATE($AV$1,MONTH($B$84),AG$3),'Сводный годовой график'!$C$13:$AR$13)))</f>
        <v>#N/A</v>
      </c>
      <c r="AH84" s="27" t="e">
        <f ca="1">IF(AND(INDEX('Сводный годовой график'!$C$1:$AR$4,MATCH($C$84,'Сводный годовой график'!$B$1:$B$4),MATCH(DATE($AV$1,MONTH($B$84),AH$3),'Сводный годовой график'!$C$13:$AR$13))&lt;&gt;12,INDIRECT(ADDRESS(ROW()+1,COLUMN()))="СП"),8,INDEX('Сводный годовой график'!$C$1:$AR$4,MATCH($C$84,'Сводный годовой график'!$B$1:$B$4),MATCH(DATE($AV$1,MONTH($B$84),AH$3),'Сводный годовой график'!$C$13:$AR$13)))</f>
        <v>#N/A</v>
      </c>
      <c r="AI84" s="118"/>
      <c r="AJ84" s="205">
        <f>INDEX(Подключения!$D$3:$H$14,MONTH(B84),5)</f>
        <v>176</v>
      </c>
      <c r="AK84" s="216">
        <f>$AJ$84-SUM(AY84:CC85)</f>
        <v>176</v>
      </c>
      <c r="AL84" s="216" t="e">
        <f t="shared" ref="AL84" ca="1" si="144">SUM(E84:AI85)</f>
        <v>#N/A</v>
      </c>
      <c r="AM84" s="216">
        <v>0</v>
      </c>
      <c r="AN84" s="218" t="e">
        <f t="shared" ref="AN84" ca="1" si="145">-AM84-AK84+AL84</f>
        <v>#N/A</v>
      </c>
      <c r="AO84" s="218">
        <v>0</v>
      </c>
      <c r="AP84" s="218" t="e">
        <f ca="1">AN84+AP74-AO84</f>
        <v>#N/A</v>
      </c>
      <c r="AQ84" s="216">
        <v>10</v>
      </c>
      <c r="AR84" s="217">
        <v>1</v>
      </c>
      <c r="CK84" s="59"/>
      <c r="CL84" s="59"/>
      <c r="CM84" s="59"/>
      <c r="CN84" s="59"/>
      <c r="CO84" s="59"/>
      <c r="CP84" s="59"/>
      <c r="CQ84" s="59"/>
      <c r="CR84" s="59"/>
      <c r="CS84" s="59"/>
      <c r="CT84" s="59"/>
      <c r="CU84" s="59"/>
      <c r="CV84" s="59"/>
      <c r="CW84" s="59"/>
      <c r="CX84" s="59"/>
      <c r="CY84" s="59"/>
      <c r="CZ84" s="59"/>
      <c r="DA84" s="59"/>
      <c r="DB84" s="59"/>
      <c r="DC84" s="59"/>
      <c r="DD84" s="59"/>
      <c r="DE84" s="59"/>
      <c r="DF84" s="59"/>
      <c r="DG84" s="59"/>
      <c r="DH84" s="59"/>
      <c r="DI84" s="59"/>
      <c r="DJ84" s="59"/>
      <c r="DK84" s="59"/>
      <c r="DL84" s="59"/>
      <c r="DM84" s="59"/>
      <c r="DN84" s="59"/>
      <c r="DO84" s="59"/>
    </row>
    <row r="85" spans="2:119" ht="16.5" thickBot="1" x14ac:dyDescent="0.3">
      <c r="B85" s="201"/>
      <c r="C85" s="197"/>
      <c r="D85" s="82">
        <v>2</v>
      </c>
      <c r="E85" s="92" t="str">
        <f t="shared" ref="E85:AH85" si="146">IF(INDEX($CK$4:$DO$123,ROW()-3,E$3)=0,"","СП")</f>
        <v/>
      </c>
      <c r="F85" s="92" t="str">
        <f t="shared" si="146"/>
        <v/>
      </c>
      <c r="G85" s="92" t="str">
        <f t="shared" si="146"/>
        <v/>
      </c>
      <c r="H85" s="92" t="str">
        <f t="shared" si="146"/>
        <v/>
      </c>
      <c r="I85" s="92" t="str">
        <f t="shared" si="146"/>
        <v/>
      </c>
      <c r="J85" s="92" t="str">
        <f t="shared" si="146"/>
        <v/>
      </c>
      <c r="K85" s="92" t="str">
        <f t="shared" si="146"/>
        <v/>
      </c>
      <c r="L85" s="92" t="str">
        <f t="shared" si="146"/>
        <v/>
      </c>
      <c r="M85" s="92" t="str">
        <f t="shared" si="146"/>
        <v>СП</v>
      </c>
      <c r="N85" s="92" t="str">
        <f t="shared" si="146"/>
        <v/>
      </c>
      <c r="O85" s="92" t="str">
        <f t="shared" si="146"/>
        <v/>
      </c>
      <c r="P85" s="92" t="str">
        <f t="shared" si="146"/>
        <v/>
      </c>
      <c r="Q85" s="92" t="str">
        <f t="shared" si="146"/>
        <v/>
      </c>
      <c r="R85" s="92" t="str">
        <f t="shared" si="146"/>
        <v/>
      </c>
      <c r="S85" s="92" t="str">
        <f t="shared" si="146"/>
        <v/>
      </c>
      <c r="T85" s="92" t="str">
        <f t="shared" si="146"/>
        <v/>
      </c>
      <c r="U85" s="92" t="str">
        <f t="shared" si="146"/>
        <v/>
      </c>
      <c r="V85" s="92" t="str">
        <f t="shared" si="146"/>
        <v/>
      </c>
      <c r="W85" s="92" t="str">
        <f t="shared" si="146"/>
        <v/>
      </c>
      <c r="X85" s="92" t="str">
        <f t="shared" si="146"/>
        <v/>
      </c>
      <c r="Y85" s="92" t="str">
        <f t="shared" si="146"/>
        <v/>
      </c>
      <c r="Z85" s="92" t="str">
        <f t="shared" si="146"/>
        <v/>
      </c>
      <c r="AA85" s="92" t="str">
        <f t="shared" si="146"/>
        <v/>
      </c>
      <c r="AB85" s="92" t="str">
        <f t="shared" si="146"/>
        <v/>
      </c>
      <c r="AC85" s="92" t="str">
        <f t="shared" si="146"/>
        <v/>
      </c>
      <c r="AD85" s="92" t="str">
        <f t="shared" si="146"/>
        <v/>
      </c>
      <c r="AE85" s="92" t="str">
        <f t="shared" si="146"/>
        <v/>
      </c>
      <c r="AF85" s="92" t="str">
        <f t="shared" si="146"/>
        <v/>
      </c>
      <c r="AG85" s="92" t="str">
        <f t="shared" si="146"/>
        <v/>
      </c>
      <c r="AH85" s="92" t="str">
        <f t="shared" si="146"/>
        <v/>
      </c>
      <c r="AI85" s="119"/>
      <c r="AJ85" s="206"/>
      <c r="AK85" s="209"/>
      <c r="AL85" s="209"/>
      <c r="AM85" s="209"/>
      <c r="AN85" s="211"/>
      <c r="AO85" s="211"/>
      <c r="AP85" s="211"/>
      <c r="AQ85" s="209"/>
      <c r="AR85" s="210"/>
      <c r="CK85" s="58">
        <f>IF(DAY(INDEX('Сводный годовой график'!$BA$4:$BL$14,$C84,MONTH($B$84)))=E$3,1,0)</f>
        <v>0</v>
      </c>
      <c r="CL85" s="58">
        <f>IF(DAY(INDEX('Сводный годовой график'!$BA$4:$BL$14,$C84,MONTH($B$84)))=F$3,1,0)</f>
        <v>0</v>
      </c>
      <c r="CM85" s="58">
        <f>IF(DAY(INDEX('Сводный годовой график'!$BA$4:$BL$14,$C84,MONTH($B$84)))=G$3,1,0)</f>
        <v>0</v>
      </c>
      <c r="CN85" s="58">
        <f>IF(DAY(INDEX('Сводный годовой график'!$BA$4:$BL$14,$C84,MONTH($B$84)))=H$3,1,0)</f>
        <v>0</v>
      </c>
      <c r="CO85" s="58">
        <f>IF(DAY(INDEX('Сводный годовой график'!$BA$4:$BL$14,$C84,MONTH($B$84)))=I$3,1,0)</f>
        <v>0</v>
      </c>
      <c r="CP85" s="58">
        <f>IF(DAY(INDEX('Сводный годовой график'!$BA$4:$BL$14,$C84,MONTH($B$84)))=J$3,1,0)</f>
        <v>0</v>
      </c>
      <c r="CQ85" s="58">
        <f>IF(DAY(INDEX('Сводный годовой график'!$BA$4:$BL$14,$C84,MONTH($B$84)))=K$3,1,0)</f>
        <v>0</v>
      </c>
      <c r="CR85" s="58">
        <f>IF(DAY(INDEX('Сводный годовой график'!$BA$4:$BL$14,$C84,MONTH($B$84)))=L$3,1,0)</f>
        <v>0</v>
      </c>
      <c r="CS85" s="58">
        <f>IF(DAY(INDEX('Сводный годовой график'!$BA$4:$BL$14,$C84,MONTH($B$84)))=M$3,1,0)</f>
        <v>1</v>
      </c>
      <c r="CT85" s="58">
        <f>IF(DAY(INDEX('Сводный годовой график'!$BA$4:$BL$14,$C84,MONTH($B$84)))=N$3,1,0)</f>
        <v>0</v>
      </c>
      <c r="CU85" s="58">
        <f>IF(DAY(INDEX('Сводный годовой график'!$BA$4:$BL$14,$C84,MONTH($B$84)))=O$3,1,0)</f>
        <v>0</v>
      </c>
      <c r="CV85" s="58">
        <f>IF(DAY(INDEX('Сводный годовой график'!$BA$4:$BL$14,$C84,MONTH($B$84)))=P$3,1,0)</f>
        <v>0</v>
      </c>
      <c r="CW85" s="58">
        <f>IF(DAY(INDEX('Сводный годовой график'!$BA$4:$BL$14,$C84,MONTH($B$84)))=Q$3,1,0)</f>
        <v>0</v>
      </c>
      <c r="CX85" s="58">
        <f>IF(DAY(INDEX('Сводный годовой график'!$BA$4:$BL$14,$C84,MONTH($B$84)))=R$3,1,0)</f>
        <v>0</v>
      </c>
      <c r="CY85" s="58">
        <f>IF(DAY(INDEX('Сводный годовой график'!$BA$4:$BL$14,$C84,MONTH($B$84)))=S$3,1,0)</f>
        <v>0</v>
      </c>
      <c r="CZ85" s="58">
        <f>IF(DAY(INDEX('Сводный годовой график'!$BA$4:$BL$14,$C84,MONTH($B$84)))=T$3,1,0)</f>
        <v>0</v>
      </c>
      <c r="DA85" s="58">
        <f>IF(DAY(INDEX('Сводный годовой график'!$BA$4:$BL$14,$C84,MONTH($B$84)))=U$3,1,0)</f>
        <v>0</v>
      </c>
      <c r="DB85" s="58">
        <f>IF(DAY(INDEX('Сводный годовой график'!$BA$4:$BL$14,$C84,MONTH($B$84)))=V$3,1,0)</f>
        <v>0</v>
      </c>
      <c r="DC85" s="58">
        <f>IF(DAY(INDEX('Сводный годовой график'!$BA$4:$BL$14,$C84,MONTH($B$84)))=W$3,1,0)</f>
        <v>0</v>
      </c>
      <c r="DD85" s="58">
        <f>IF(DAY(INDEX('Сводный годовой график'!$BA$4:$BL$14,$C84,MONTH($B$84)))=X$3,1,0)</f>
        <v>0</v>
      </c>
      <c r="DE85" s="58">
        <f>IF(DAY(INDEX('Сводный годовой график'!$BA$4:$BL$14,$C84,MONTH($B$84)))=Y$3,1,0)</f>
        <v>0</v>
      </c>
      <c r="DF85" s="58">
        <f>IF(DAY(INDEX('Сводный годовой график'!$BA$4:$BL$14,$C84,MONTH($B$84)))=Z$3,1,0)</f>
        <v>0</v>
      </c>
      <c r="DG85" s="58">
        <f>IF(DAY(INDEX('Сводный годовой график'!$BA$4:$BL$14,$C84,MONTH($B$84)))=AA$3,1,0)</f>
        <v>0</v>
      </c>
      <c r="DH85" s="58">
        <f>IF(DAY(INDEX('Сводный годовой график'!$BA$4:$BL$14,$C84,MONTH($B$84)))=AB$3,1,0)</f>
        <v>0</v>
      </c>
      <c r="DI85" s="58">
        <f>IF(DAY(INDEX('Сводный годовой график'!$BA$4:$BL$14,$C84,MONTH($B$84)))=AC$3,1,0)</f>
        <v>0</v>
      </c>
      <c r="DJ85" s="58">
        <f>IF(DAY(INDEX('Сводный годовой график'!$BA$4:$BL$14,$C84,MONTH($B$84)))=AD$3,1,0)</f>
        <v>0</v>
      </c>
      <c r="DK85" s="58">
        <f>IF(DAY(INDEX('Сводный годовой график'!$BA$4:$BL$14,$C84,MONTH($B$84)))=AE$3,1,0)</f>
        <v>0</v>
      </c>
      <c r="DL85" s="58">
        <f>IF(DAY(INDEX('Сводный годовой график'!$BA$4:$BL$14,$C84,MONTH($B$84)))=AF$3,1,0)</f>
        <v>0</v>
      </c>
      <c r="DM85" s="58">
        <f>IF(DAY(INDEX('Сводный годовой график'!$BA$4:$BL$14,$C84,MONTH($B$84)))=AG$3,1,0)</f>
        <v>0</v>
      </c>
      <c r="DN85" s="58">
        <f>IF(DAY(INDEX('Сводный годовой график'!$BA$4:$BL$14,$C84,MONTH($B$84)))=AH$3,1,0)</f>
        <v>0</v>
      </c>
      <c r="DO85" s="58">
        <f>IF(DAY(INDEX('Сводный годовой график'!$BA$4:$BL$14,$C84,MONTH($B$84)))=AI$3,1,0)</f>
        <v>0</v>
      </c>
    </row>
    <row r="86" spans="2:119" ht="17.25" thickTop="1" thickBot="1" x14ac:dyDescent="0.3">
      <c r="B86" s="201"/>
      <c r="C86" s="196">
        <v>2</v>
      </c>
      <c r="D86" s="81">
        <v>3</v>
      </c>
      <c r="E86" s="92" t="e">
        <f ca="1">IF(AND(INDEX('Сводный годовой график'!$C$1:$AR$4,MATCH($C$86,'Сводный годовой график'!$B$1:$B$4),MATCH(DATE($AV$1,MONTH($B$84),E$3),'Сводный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график'!$B$1:$B$4),MATCH(DATE($AV$1,MONTH($B$84),E$3),'Сводный годовой график'!$C$13:$AR$13)))</f>
        <v>#N/A</v>
      </c>
      <c r="F86" s="92" t="e">
        <f ca="1">IF(AND(INDEX('Сводный годовой график'!$C$1:$AR$4,MATCH($C$86,'Сводный годовой график'!$B$1:$B$4),MATCH(DATE($AV$1,MONTH($B$84),F$3),'Сводный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график'!$B$1:$B$4),MATCH(DATE($AV$1,MONTH($B$84),F$3),'Сводный годовой график'!$C$13:$AR$13)))</f>
        <v>#N/A</v>
      </c>
      <c r="G86" s="92" t="e">
        <f ca="1">IF(AND(INDEX('Сводный годовой график'!$C$1:$AR$4,MATCH($C$86,'Сводный годовой график'!$B$1:$B$4),MATCH(DATE($AV$1,MONTH($B$84),G$3),'Сводный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график'!$B$1:$B$4),MATCH(DATE($AV$1,MONTH($B$84),G$3),'Сводный годовой график'!$C$13:$AR$13)))</f>
        <v>#N/A</v>
      </c>
      <c r="H86" s="92" t="e">
        <f ca="1">IF(AND(INDEX('Сводный годовой график'!$C$1:$AR$4,MATCH($C$86,'Сводный годовой график'!$B$1:$B$4),MATCH(DATE($AV$1,MONTH($B$84),H$3),'Сводный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график'!$B$1:$B$4),MATCH(DATE($AV$1,MONTH($B$84),H$3),'Сводный годовой график'!$C$13:$AR$13)))</f>
        <v>#N/A</v>
      </c>
      <c r="I86" s="92" t="e">
        <f ca="1">IF(AND(INDEX('Сводный годовой график'!$C$1:$AR$4,MATCH($C$86,'Сводный годовой график'!$B$1:$B$4),MATCH(DATE($AV$1,MONTH($B$84),I$3),'Сводный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график'!$B$1:$B$4),MATCH(DATE($AV$1,MONTH($B$84),I$3),'Сводный годовой график'!$C$13:$AR$13)))</f>
        <v>#N/A</v>
      </c>
      <c r="J86" s="92" t="e">
        <f ca="1">IF(AND(INDEX('Сводный годовой график'!$C$1:$AR$4,MATCH($C$86,'Сводный годовой график'!$B$1:$B$4),MATCH(DATE($AV$1,MONTH($B$84),J$3),'Сводный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график'!$B$1:$B$4),MATCH(DATE($AV$1,MONTH($B$84),J$3),'Сводный годовой график'!$C$13:$AR$13)))</f>
        <v>#N/A</v>
      </c>
      <c r="K86" s="92" t="e">
        <f ca="1">IF(AND(INDEX('Сводный годовой график'!$C$1:$AR$4,MATCH($C$86,'Сводный годовой график'!$B$1:$B$4),MATCH(DATE($AV$1,MONTH($B$84),K$3),'Сводный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график'!$B$1:$B$4),MATCH(DATE($AV$1,MONTH($B$84),K$3),'Сводный годовой график'!$C$13:$AR$13)))</f>
        <v>#N/A</v>
      </c>
      <c r="L86" s="92" t="e">
        <f ca="1">IF(AND(INDEX('Сводный годовой график'!$C$1:$AR$4,MATCH($C$86,'Сводный годовой график'!$B$1:$B$4),MATCH(DATE($AV$1,MONTH($B$84),L$3),'Сводный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график'!$B$1:$B$4),MATCH(DATE($AV$1,MONTH($B$84),L$3),'Сводный годовой график'!$C$13:$AR$13)))</f>
        <v>#N/A</v>
      </c>
      <c r="M86" s="92" t="e">
        <f ca="1">IF(AND(INDEX('Сводный годовой график'!$C$1:$AR$4,MATCH($C$86,'Сводный годовой график'!$B$1:$B$4),MATCH(DATE($AV$1,MONTH($B$84),M$3),'Сводный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график'!$B$1:$B$4),MATCH(DATE($AV$1,MONTH($B$84),M$3),'Сводный годовой график'!$C$13:$AR$13)))</f>
        <v>#N/A</v>
      </c>
      <c r="N86" s="92" t="e">
        <f ca="1">IF(AND(INDEX('Сводный годовой график'!$C$1:$AR$4,MATCH($C$86,'Сводный годовой график'!$B$1:$B$4),MATCH(DATE($AV$1,MONTH($B$84),N$3),'Сводный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график'!$B$1:$B$4),MATCH(DATE($AV$1,MONTH($B$84),N$3),'Сводный годовой график'!$C$13:$AR$13)))</f>
        <v>#N/A</v>
      </c>
      <c r="O86" s="92" t="e">
        <f ca="1">IF(AND(INDEX('Сводный годовой график'!$C$1:$AR$4,MATCH($C$86,'Сводный годовой график'!$B$1:$B$4),MATCH(DATE($AV$1,MONTH($B$84),O$3),'Сводный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график'!$B$1:$B$4),MATCH(DATE($AV$1,MONTH($B$84),O$3),'Сводный годовой график'!$C$13:$AR$13)))</f>
        <v>#N/A</v>
      </c>
      <c r="P86" s="92" t="e">
        <f ca="1">IF(AND(INDEX('Сводный годовой график'!$C$1:$AR$4,MATCH($C$86,'Сводный годовой график'!$B$1:$B$4),MATCH(DATE($AV$1,MONTH($B$84),P$3),'Сводный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график'!$B$1:$B$4),MATCH(DATE($AV$1,MONTH($B$84),P$3),'Сводный годовой график'!$C$13:$AR$13)))</f>
        <v>#N/A</v>
      </c>
      <c r="Q86" s="92" t="e">
        <f ca="1">IF(AND(INDEX('Сводный годовой график'!$C$1:$AR$4,MATCH($C$86,'Сводный годовой график'!$B$1:$B$4),MATCH(DATE($AV$1,MONTH($B$84),Q$3),'Сводный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график'!$B$1:$B$4),MATCH(DATE($AV$1,MONTH($B$84),Q$3),'Сводный годовой график'!$C$13:$AR$13)))</f>
        <v>#N/A</v>
      </c>
      <c r="R86" s="92" t="e">
        <f ca="1">IF(AND(INDEX('Сводный годовой график'!$C$1:$AR$4,MATCH($C$86,'Сводный годовой график'!$B$1:$B$4),MATCH(DATE($AV$1,MONTH($B$84),R$3),'Сводный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график'!$B$1:$B$4),MATCH(DATE($AV$1,MONTH($B$84),R$3),'Сводный годовой график'!$C$13:$AR$13)))</f>
        <v>#N/A</v>
      </c>
      <c r="S86" s="92" t="e">
        <f ca="1">IF(AND(INDEX('Сводный годовой график'!$C$1:$AR$4,MATCH($C$86,'Сводный годовой график'!$B$1:$B$4),MATCH(DATE($AV$1,MONTH($B$84),S$3),'Сводный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график'!$B$1:$B$4),MATCH(DATE($AV$1,MONTH($B$84),S$3),'Сводный годовой график'!$C$13:$AR$13)))</f>
        <v>#N/A</v>
      </c>
      <c r="T86" s="92" t="e">
        <f ca="1">IF(AND(INDEX('Сводный годовой график'!$C$1:$AR$4,MATCH($C$86,'Сводный годовой график'!$B$1:$B$4),MATCH(DATE($AV$1,MONTH($B$84),T$3),'Сводный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график'!$B$1:$B$4),MATCH(DATE($AV$1,MONTH($B$84),T$3),'Сводный годовой график'!$C$13:$AR$13)))</f>
        <v>#N/A</v>
      </c>
      <c r="U86" s="92" t="e">
        <f ca="1">IF(AND(INDEX('Сводный годовой график'!$C$1:$AR$4,MATCH($C$86,'Сводный годовой график'!$B$1:$B$4),MATCH(DATE($AV$1,MONTH($B$84),U$3),'Сводный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график'!$B$1:$B$4),MATCH(DATE($AV$1,MONTH($B$84),U$3),'Сводный годовой график'!$C$13:$AR$13)))</f>
        <v>#N/A</v>
      </c>
      <c r="V86" s="92" t="e">
        <f ca="1">IF(AND(INDEX('Сводный годовой график'!$C$1:$AR$4,MATCH($C$86,'Сводный годовой график'!$B$1:$B$4),MATCH(DATE($AV$1,MONTH($B$84),V$3),'Сводный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график'!$B$1:$B$4),MATCH(DATE($AV$1,MONTH($B$84),V$3),'Сводный годовой график'!$C$13:$AR$13)))</f>
        <v>#N/A</v>
      </c>
      <c r="W86" s="92" t="e">
        <f ca="1">IF(AND(INDEX('Сводный годовой график'!$C$1:$AR$4,MATCH($C$86,'Сводный годовой график'!$B$1:$B$4),MATCH(DATE($AV$1,MONTH($B$84),W$3),'Сводный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график'!$B$1:$B$4),MATCH(DATE($AV$1,MONTH($B$84),W$3),'Сводный годовой график'!$C$13:$AR$13)))</f>
        <v>#N/A</v>
      </c>
      <c r="X86" s="92" t="e">
        <f ca="1">IF(AND(INDEX('Сводный годовой график'!$C$1:$AR$4,MATCH($C$86,'Сводный годовой график'!$B$1:$B$4),MATCH(DATE($AV$1,MONTH($B$84),X$3),'Сводный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график'!$B$1:$B$4),MATCH(DATE($AV$1,MONTH($B$84),X$3),'Сводный годовой график'!$C$13:$AR$13)))</f>
        <v>#N/A</v>
      </c>
      <c r="Y86" s="92" t="e">
        <f ca="1">IF(AND(INDEX('Сводный годовой график'!$C$1:$AR$4,MATCH($C$86,'Сводный годовой график'!$B$1:$B$4),MATCH(DATE($AV$1,MONTH($B$84),Y$3),'Сводный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график'!$B$1:$B$4),MATCH(DATE($AV$1,MONTH($B$84),Y$3),'Сводный годовой график'!$C$13:$AR$13)))</f>
        <v>#N/A</v>
      </c>
      <c r="Z86" s="92" t="e">
        <f ca="1">IF(AND(INDEX('Сводный годовой график'!$C$1:$AR$4,MATCH($C$86,'Сводный годовой график'!$B$1:$B$4),MATCH(DATE($AV$1,MONTH($B$84),Z$3),'Сводный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график'!$B$1:$B$4),MATCH(DATE($AV$1,MONTH($B$84),Z$3),'Сводный годовой график'!$C$13:$AR$13)))</f>
        <v>#N/A</v>
      </c>
      <c r="AA86" s="92" t="e">
        <f ca="1">IF(AND(INDEX('Сводный годовой график'!$C$1:$AR$4,MATCH($C$86,'Сводный годовой график'!$B$1:$B$4),MATCH(DATE($AV$1,MONTH($B$84),AA$3),'Сводный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график'!$B$1:$B$4),MATCH(DATE($AV$1,MONTH($B$84),AA$3),'Сводный годовой график'!$C$13:$AR$13)))</f>
        <v>#N/A</v>
      </c>
      <c r="AB86" s="92" t="e">
        <f ca="1">IF(AND(INDEX('Сводный годовой график'!$C$1:$AR$4,MATCH($C$86,'Сводный годовой график'!$B$1:$B$4),MATCH(DATE($AV$1,MONTH($B$84),AB$3),'Сводный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график'!$B$1:$B$4),MATCH(DATE($AV$1,MONTH($B$84),AB$3),'Сводный годовой график'!$C$13:$AR$13)))</f>
        <v>#N/A</v>
      </c>
      <c r="AC86" s="92" t="e">
        <f ca="1">IF(AND(INDEX('Сводный годовой график'!$C$1:$AR$4,MATCH($C$86,'Сводный годовой график'!$B$1:$B$4),MATCH(DATE($AV$1,MONTH($B$84),AC$3),'Сводный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график'!$B$1:$B$4),MATCH(DATE($AV$1,MONTH($B$84),AC$3),'Сводный годовой график'!$C$13:$AR$13)))</f>
        <v>#N/A</v>
      </c>
      <c r="AD86" s="92" t="e">
        <f ca="1">IF(AND(INDEX('Сводный годовой график'!$C$1:$AR$4,MATCH($C$86,'Сводный годовой график'!$B$1:$B$4),MATCH(DATE($AV$1,MONTH($B$84),AD$3),'Сводный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график'!$B$1:$B$4),MATCH(DATE($AV$1,MONTH($B$84),AD$3),'Сводный годовой график'!$C$13:$AR$13)))</f>
        <v>#N/A</v>
      </c>
      <c r="AE86" s="92" t="e">
        <f ca="1">IF(AND(INDEX('Сводный годовой график'!$C$1:$AR$4,MATCH($C$86,'Сводный годовой график'!$B$1:$B$4),MATCH(DATE($AV$1,MONTH($B$84),AE$3),'Сводный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график'!$B$1:$B$4),MATCH(DATE($AV$1,MONTH($B$84),AE$3),'Сводный годовой график'!$C$13:$AR$13)))</f>
        <v>#N/A</v>
      </c>
      <c r="AF86" s="92" t="e">
        <f ca="1">IF(AND(INDEX('Сводный годовой график'!$C$1:$AR$4,MATCH($C$86,'Сводный годовой график'!$B$1:$B$4),MATCH(DATE($AV$1,MONTH($B$84),AF$3),'Сводный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график'!$B$1:$B$4),MATCH(DATE($AV$1,MONTH($B$84),AF$3),'Сводный годовой график'!$C$13:$AR$13)))</f>
        <v>#N/A</v>
      </c>
      <c r="AG86" s="92" t="e">
        <f ca="1">IF(AND(INDEX('Сводный годовой график'!$C$1:$AR$4,MATCH($C$86,'Сводный годовой график'!$B$1:$B$4),MATCH(DATE($AV$1,MONTH($B$84),AG$3),'Сводный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график'!$B$1:$B$4),MATCH(DATE($AV$1,MONTH($B$84),AG$3),'Сводный годовой график'!$C$13:$AR$13)))</f>
        <v>#N/A</v>
      </c>
      <c r="AH86" s="92" t="e">
        <f ca="1">IF(AND(INDEX('Сводный годовой график'!$C$1:$AR$4,MATCH($C$86,'Сводный годовой график'!$B$1:$B$4),MATCH(DATE($AV$1,MONTH($B$84),AH$3),'Сводный годовой график'!$C$13:$AR$13))&lt;&gt;12,INDIRECT(ADDRESS(ROW()+1,COLUMN()))="СП"),8,INDEX('Сводный годовой график'!$C$1:$AR$4,MATCH($C$86,'Сводный годовой график'!$B$1:$B$4),MATCH(DATE($AV$1,MONTH($B$84),AH$3),'Сводный годовой график'!$C$13:$AR$13)))</f>
        <v>#N/A</v>
      </c>
      <c r="AI86" s="119"/>
      <c r="AJ86" s="206"/>
      <c r="AK86" s="216">
        <f>$AJ$84-SUM(AY86:CC87)</f>
        <v>176</v>
      </c>
      <c r="AL86" s="209" t="e">
        <f t="shared" ref="AL86" ca="1" si="147">SUM(E86:AI87)</f>
        <v>#N/A</v>
      </c>
      <c r="AM86" s="209">
        <v>0</v>
      </c>
      <c r="AN86" s="211" t="e">
        <f t="shared" ref="AN86" ca="1" si="148">-AM86-AK86+AL86</f>
        <v>#N/A</v>
      </c>
      <c r="AO86" s="211">
        <v>0</v>
      </c>
      <c r="AP86" s="211" t="e">
        <f ca="1">AN86+AP76-AO86</f>
        <v>#N/A</v>
      </c>
      <c r="AQ86" s="209">
        <v>0</v>
      </c>
      <c r="AR86" s="210">
        <v>1</v>
      </c>
      <c r="CK86" s="59"/>
      <c r="CL86" s="59"/>
      <c r="CM86" s="59"/>
      <c r="CN86" s="59"/>
      <c r="CO86" s="59"/>
      <c r="CP86" s="59"/>
      <c r="CQ86" s="59"/>
      <c r="CR86" s="59"/>
      <c r="CS86" s="59"/>
      <c r="CT86" s="59"/>
      <c r="CU86" s="59"/>
      <c r="CV86" s="59"/>
      <c r="CW86" s="59"/>
      <c r="CX86" s="59"/>
      <c r="CY86" s="59"/>
      <c r="CZ86" s="59"/>
      <c r="DA86" s="59"/>
      <c r="DB86" s="59"/>
      <c r="DC86" s="59"/>
      <c r="DD86" s="59"/>
      <c r="DE86" s="59"/>
      <c r="DF86" s="59"/>
      <c r="DG86" s="59"/>
      <c r="DH86" s="59"/>
      <c r="DI86" s="59"/>
      <c r="DJ86" s="59"/>
      <c r="DK86" s="59"/>
      <c r="DL86" s="59"/>
      <c r="DM86" s="59"/>
      <c r="DN86" s="59"/>
      <c r="DO86" s="59"/>
    </row>
    <row r="87" spans="2:119" ht="16.5" thickBot="1" x14ac:dyDescent="0.3">
      <c r="B87" s="201"/>
      <c r="C87" s="197"/>
      <c r="D87" s="82">
        <v>4</v>
      </c>
      <c r="E87" s="92" t="str">
        <f t="shared" ref="E87:AH87" si="149">IF(INDEX($CK$4:$DO$123,ROW()-3,E$3)=0,"","СП")</f>
        <v/>
      </c>
      <c r="F87" s="92" t="str">
        <f t="shared" si="149"/>
        <v/>
      </c>
      <c r="G87" s="92" t="str">
        <f t="shared" si="149"/>
        <v/>
      </c>
      <c r="H87" s="92" t="str">
        <f t="shared" si="149"/>
        <v/>
      </c>
      <c r="I87" s="92" t="str">
        <f t="shared" si="149"/>
        <v/>
      </c>
      <c r="J87" s="92" t="str">
        <f t="shared" si="149"/>
        <v/>
      </c>
      <c r="K87" s="92" t="str">
        <f t="shared" si="149"/>
        <v/>
      </c>
      <c r="L87" s="92" t="str">
        <f t="shared" si="149"/>
        <v/>
      </c>
      <c r="M87" s="92" t="str">
        <f t="shared" si="149"/>
        <v/>
      </c>
      <c r="N87" s="92" t="str">
        <f t="shared" si="149"/>
        <v>СП</v>
      </c>
      <c r="O87" s="92" t="str">
        <f t="shared" si="149"/>
        <v/>
      </c>
      <c r="P87" s="92" t="str">
        <f t="shared" si="149"/>
        <v/>
      </c>
      <c r="Q87" s="92" t="str">
        <f t="shared" si="149"/>
        <v/>
      </c>
      <c r="R87" s="92" t="str">
        <f t="shared" si="149"/>
        <v/>
      </c>
      <c r="S87" s="92" t="str">
        <f t="shared" si="149"/>
        <v/>
      </c>
      <c r="T87" s="92" t="str">
        <f t="shared" si="149"/>
        <v/>
      </c>
      <c r="U87" s="92" t="str">
        <f t="shared" si="149"/>
        <v/>
      </c>
      <c r="V87" s="92" t="str">
        <f t="shared" si="149"/>
        <v/>
      </c>
      <c r="W87" s="92" t="str">
        <f t="shared" si="149"/>
        <v/>
      </c>
      <c r="X87" s="92" t="str">
        <f t="shared" si="149"/>
        <v/>
      </c>
      <c r="Y87" s="92" t="str">
        <f t="shared" si="149"/>
        <v/>
      </c>
      <c r="Z87" s="92" t="str">
        <f t="shared" si="149"/>
        <v/>
      </c>
      <c r="AA87" s="92" t="str">
        <f t="shared" si="149"/>
        <v/>
      </c>
      <c r="AB87" s="92" t="str">
        <f t="shared" si="149"/>
        <v/>
      </c>
      <c r="AC87" s="92" t="str">
        <f t="shared" si="149"/>
        <v/>
      </c>
      <c r="AD87" s="92" t="str">
        <f t="shared" si="149"/>
        <v/>
      </c>
      <c r="AE87" s="92" t="str">
        <f t="shared" si="149"/>
        <v/>
      </c>
      <c r="AF87" s="92" t="str">
        <f t="shared" si="149"/>
        <v/>
      </c>
      <c r="AG87" s="92" t="str">
        <f t="shared" si="149"/>
        <v/>
      </c>
      <c r="AH87" s="92" t="str">
        <f t="shared" si="149"/>
        <v/>
      </c>
      <c r="AI87" s="119"/>
      <c r="AJ87" s="206"/>
      <c r="AK87" s="209"/>
      <c r="AL87" s="209"/>
      <c r="AM87" s="209"/>
      <c r="AN87" s="211"/>
      <c r="AO87" s="211"/>
      <c r="AP87" s="211"/>
      <c r="AQ87" s="209"/>
      <c r="AR87" s="210"/>
      <c r="CK87" s="58">
        <f>IF(DAY(INDEX('Сводный годовой график'!$BA$4:$BL$14,$C86,MONTH($B$84)))=E$3,1,0)</f>
        <v>0</v>
      </c>
      <c r="CL87" s="58">
        <f>IF(DAY(INDEX('Сводный годовой график'!$BA$4:$BL$14,$C86,MONTH($B$84)))=F$3,1,0)</f>
        <v>0</v>
      </c>
      <c r="CM87" s="58">
        <f>IF(DAY(INDEX('Сводный годовой график'!$BA$4:$BL$14,$C86,MONTH($B$84)))=G$3,1,0)</f>
        <v>0</v>
      </c>
      <c r="CN87" s="58">
        <f>IF(DAY(INDEX('Сводный годовой график'!$BA$4:$BL$14,$C86,MONTH($B$84)))=H$3,1,0)</f>
        <v>0</v>
      </c>
      <c r="CO87" s="58">
        <f>IF(DAY(INDEX('Сводный годовой график'!$BA$4:$BL$14,$C86,MONTH($B$84)))=I$3,1,0)</f>
        <v>0</v>
      </c>
      <c r="CP87" s="58">
        <f>IF(DAY(INDEX('Сводный годовой график'!$BA$4:$BL$14,$C86,MONTH($B$84)))=J$3,1,0)</f>
        <v>0</v>
      </c>
      <c r="CQ87" s="58">
        <f>IF(DAY(INDEX('Сводный годовой график'!$BA$4:$BL$14,$C86,MONTH($B$84)))=K$3,1,0)</f>
        <v>0</v>
      </c>
      <c r="CR87" s="58">
        <f>IF(DAY(INDEX('Сводный годовой график'!$BA$4:$BL$14,$C86,MONTH($B$84)))=L$3,1,0)</f>
        <v>0</v>
      </c>
      <c r="CS87" s="58">
        <f>IF(DAY(INDEX('Сводный годовой график'!$BA$4:$BL$14,$C86,MONTH($B$84)))=M$3,1,0)</f>
        <v>0</v>
      </c>
      <c r="CT87" s="58">
        <f>IF(DAY(INDEX('Сводный годовой график'!$BA$4:$BL$14,$C86,MONTH($B$84)))=N$3,1,0)</f>
        <v>1</v>
      </c>
      <c r="CU87" s="58">
        <f>IF(DAY(INDEX('Сводный годовой график'!$BA$4:$BL$14,$C86,MONTH($B$84)))=O$3,1,0)</f>
        <v>0</v>
      </c>
      <c r="CV87" s="58">
        <f>IF(DAY(INDEX('Сводный годовой график'!$BA$4:$BL$14,$C86,MONTH($B$84)))=P$3,1,0)</f>
        <v>0</v>
      </c>
      <c r="CW87" s="58">
        <f>IF(DAY(INDEX('Сводный годовой график'!$BA$4:$BL$14,$C86,MONTH($B$84)))=Q$3,1,0)</f>
        <v>0</v>
      </c>
      <c r="CX87" s="58">
        <f>IF(DAY(INDEX('Сводный годовой график'!$BA$4:$BL$14,$C86,MONTH($B$84)))=R$3,1,0)</f>
        <v>0</v>
      </c>
      <c r="CY87" s="58">
        <f>IF(DAY(INDEX('Сводный годовой график'!$BA$4:$BL$14,$C86,MONTH($B$84)))=S$3,1,0)</f>
        <v>0</v>
      </c>
      <c r="CZ87" s="58">
        <f>IF(DAY(INDEX('Сводный годовой график'!$BA$4:$BL$14,$C86,MONTH($B$84)))=T$3,1,0)</f>
        <v>0</v>
      </c>
      <c r="DA87" s="58">
        <f>IF(DAY(INDEX('Сводный годовой график'!$BA$4:$BL$14,$C86,MONTH($B$84)))=U$3,1,0)</f>
        <v>0</v>
      </c>
      <c r="DB87" s="58">
        <f>IF(DAY(INDEX('Сводный годовой график'!$BA$4:$BL$14,$C86,MONTH($B$84)))=V$3,1,0)</f>
        <v>0</v>
      </c>
      <c r="DC87" s="58">
        <f>IF(DAY(INDEX('Сводный годовой график'!$BA$4:$BL$14,$C86,MONTH($B$84)))=W$3,1,0)</f>
        <v>0</v>
      </c>
      <c r="DD87" s="58">
        <f>IF(DAY(INDEX('Сводный годовой график'!$BA$4:$BL$14,$C86,MONTH($B$84)))=X$3,1,0)</f>
        <v>0</v>
      </c>
      <c r="DE87" s="58">
        <f>IF(DAY(INDEX('Сводный годовой график'!$BA$4:$BL$14,$C86,MONTH($B$84)))=Y$3,1,0)</f>
        <v>0</v>
      </c>
      <c r="DF87" s="58">
        <f>IF(DAY(INDEX('Сводный годовой график'!$BA$4:$BL$14,$C86,MONTH($B$84)))=Z$3,1,0)</f>
        <v>0</v>
      </c>
      <c r="DG87" s="58">
        <f>IF(DAY(INDEX('Сводный годовой график'!$BA$4:$BL$14,$C86,MONTH($B$84)))=AA$3,1,0)</f>
        <v>0</v>
      </c>
      <c r="DH87" s="58">
        <f>IF(DAY(INDEX('Сводный годовой график'!$BA$4:$BL$14,$C86,MONTH($B$84)))=AB$3,1,0)</f>
        <v>0</v>
      </c>
      <c r="DI87" s="58">
        <f>IF(DAY(INDEX('Сводный годовой график'!$BA$4:$BL$14,$C86,MONTH($B$84)))=AC$3,1,0)</f>
        <v>0</v>
      </c>
      <c r="DJ87" s="58">
        <f>IF(DAY(INDEX('Сводный годовой график'!$BA$4:$BL$14,$C86,MONTH($B$84)))=AD$3,1,0)</f>
        <v>0</v>
      </c>
      <c r="DK87" s="58">
        <f>IF(DAY(INDEX('Сводный годовой график'!$BA$4:$BL$14,$C86,MONTH($B$84)))=AE$3,1,0)</f>
        <v>0</v>
      </c>
      <c r="DL87" s="58">
        <f>IF(DAY(INDEX('Сводный годовой график'!$BA$4:$BL$14,$C86,MONTH($B$84)))=AF$3,1,0)</f>
        <v>0</v>
      </c>
      <c r="DM87" s="58">
        <f>IF(DAY(INDEX('Сводный годовой график'!$BA$4:$BL$14,$C86,MONTH($B$84)))=AG$3,1,0)</f>
        <v>0</v>
      </c>
      <c r="DN87" s="58">
        <f>IF(DAY(INDEX('Сводный годовой график'!$BA$4:$BL$14,$C86,MONTH($B$84)))=AH$3,1,0)</f>
        <v>0</v>
      </c>
      <c r="DO87" s="58">
        <f>IF(DAY(INDEX('Сводный годовой график'!$BA$4:$BL$14,$C86,MONTH($B$84)))=AI$3,1,0)</f>
        <v>0</v>
      </c>
    </row>
    <row r="88" spans="2:119" ht="17.25" thickTop="1" thickBot="1" x14ac:dyDescent="0.3">
      <c r="B88" s="201"/>
      <c r="C88" s="196">
        <v>3</v>
      </c>
      <c r="D88" s="81">
        <v>5</v>
      </c>
      <c r="E88" s="92" t="e">
        <f ca="1">IF(AND(INDEX('Сводный годовой график'!$C$1:$AR$4,MATCH($C$88,'Сводный годовой график'!$B$1:$B$4),MATCH(DATE($AV$1,MONTH($B$84),E$3),'Сводный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график'!$B$1:$B$4),MATCH(DATE($AV$1,MONTH($B$84),E$3),'Сводный годовой график'!$C$13:$AR$13)))</f>
        <v>#N/A</v>
      </c>
      <c r="F88" s="92" t="e">
        <f ca="1">IF(AND(INDEX('Сводный годовой график'!$C$1:$AR$4,MATCH($C$88,'Сводный годовой график'!$B$1:$B$4),MATCH(DATE($AV$1,MONTH($B$84),F$3),'Сводный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график'!$B$1:$B$4),MATCH(DATE($AV$1,MONTH($B$84),F$3),'Сводный годовой график'!$C$13:$AR$13)))</f>
        <v>#N/A</v>
      </c>
      <c r="G88" s="92" t="e">
        <f ca="1">IF(AND(INDEX('Сводный годовой график'!$C$1:$AR$4,MATCH($C$88,'Сводный годовой график'!$B$1:$B$4),MATCH(DATE($AV$1,MONTH($B$84),G$3),'Сводный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график'!$B$1:$B$4),MATCH(DATE($AV$1,MONTH($B$84),G$3),'Сводный годовой график'!$C$13:$AR$13)))</f>
        <v>#N/A</v>
      </c>
      <c r="H88" s="92" t="e">
        <f ca="1">IF(AND(INDEX('Сводный годовой график'!$C$1:$AR$4,MATCH($C$88,'Сводный годовой график'!$B$1:$B$4),MATCH(DATE($AV$1,MONTH($B$84),H$3),'Сводный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график'!$B$1:$B$4),MATCH(DATE($AV$1,MONTH($B$84),H$3),'Сводный годовой график'!$C$13:$AR$13)))</f>
        <v>#N/A</v>
      </c>
      <c r="I88" s="92" t="e">
        <f ca="1">IF(AND(INDEX('Сводный годовой график'!$C$1:$AR$4,MATCH($C$88,'Сводный годовой график'!$B$1:$B$4),MATCH(DATE($AV$1,MONTH($B$84),I$3),'Сводный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график'!$B$1:$B$4),MATCH(DATE($AV$1,MONTH($B$84),I$3),'Сводный годовой график'!$C$13:$AR$13)))</f>
        <v>#N/A</v>
      </c>
      <c r="J88" s="92" t="e">
        <f ca="1">IF(AND(INDEX('Сводный годовой график'!$C$1:$AR$4,MATCH($C$88,'Сводный годовой график'!$B$1:$B$4),MATCH(DATE($AV$1,MONTH($B$84),J$3),'Сводный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график'!$B$1:$B$4),MATCH(DATE($AV$1,MONTH($B$84),J$3),'Сводный годовой график'!$C$13:$AR$13)))</f>
        <v>#N/A</v>
      </c>
      <c r="K88" s="92" t="e">
        <f ca="1">IF(AND(INDEX('Сводный годовой график'!$C$1:$AR$4,MATCH($C$88,'Сводный годовой график'!$B$1:$B$4),MATCH(DATE($AV$1,MONTH($B$84),K$3),'Сводный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график'!$B$1:$B$4),MATCH(DATE($AV$1,MONTH($B$84),K$3),'Сводный годовой график'!$C$13:$AR$13)))</f>
        <v>#N/A</v>
      </c>
      <c r="L88" s="92" t="e">
        <f ca="1">IF(AND(INDEX('Сводный годовой график'!$C$1:$AR$4,MATCH($C$88,'Сводный годовой график'!$B$1:$B$4),MATCH(DATE($AV$1,MONTH($B$84),L$3),'Сводный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график'!$B$1:$B$4),MATCH(DATE($AV$1,MONTH($B$84),L$3),'Сводный годовой график'!$C$13:$AR$13)))</f>
        <v>#N/A</v>
      </c>
      <c r="M88" s="92" t="e">
        <f ca="1">IF(AND(INDEX('Сводный годовой график'!$C$1:$AR$4,MATCH($C$88,'Сводный годовой график'!$B$1:$B$4),MATCH(DATE($AV$1,MONTH($B$84),M$3),'Сводный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график'!$B$1:$B$4),MATCH(DATE($AV$1,MONTH($B$84),M$3),'Сводный годовой график'!$C$13:$AR$13)))</f>
        <v>#N/A</v>
      </c>
      <c r="N88" s="92" t="e">
        <f ca="1">IF(AND(INDEX('Сводный годовой график'!$C$1:$AR$4,MATCH($C$88,'Сводный годовой график'!$B$1:$B$4),MATCH(DATE($AV$1,MONTH($B$84),N$3),'Сводный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график'!$B$1:$B$4),MATCH(DATE($AV$1,MONTH($B$84),N$3),'Сводный годовой график'!$C$13:$AR$13)))</f>
        <v>#N/A</v>
      </c>
      <c r="O88" s="92" t="e">
        <f ca="1">IF(AND(INDEX('Сводный годовой график'!$C$1:$AR$4,MATCH($C$88,'Сводный годовой график'!$B$1:$B$4),MATCH(DATE($AV$1,MONTH($B$84),O$3),'Сводный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график'!$B$1:$B$4),MATCH(DATE($AV$1,MONTH($B$84),O$3),'Сводный годовой график'!$C$13:$AR$13)))</f>
        <v>#N/A</v>
      </c>
      <c r="P88" s="92" t="e">
        <f ca="1">IF(AND(INDEX('Сводный годовой график'!$C$1:$AR$4,MATCH($C$88,'Сводный годовой график'!$B$1:$B$4),MATCH(DATE($AV$1,MONTH($B$84),P$3),'Сводный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график'!$B$1:$B$4),MATCH(DATE($AV$1,MONTH($B$84),P$3),'Сводный годовой график'!$C$13:$AR$13)))</f>
        <v>#N/A</v>
      </c>
      <c r="Q88" s="92" t="e">
        <f ca="1">IF(AND(INDEX('Сводный годовой график'!$C$1:$AR$4,MATCH($C$88,'Сводный годовой график'!$B$1:$B$4),MATCH(DATE($AV$1,MONTH($B$84),Q$3),'Сводный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график'!$B$1:$B$4),MATCH(DATE($AV$1,MONTH($B$84),Q$3),'Сводный годовой график'!$C$13:$AR$13)))</f>
        <v>#N/A</v>
      </c>
      <c r="R88" s="92" t="e">
        <f ca="1">IF(AND(INDEX('Сводный годовой график'!$C$1:$AR$4,MATCH($C$88,'Сводный годовой график'!$B$1:$B$4),MATCH(DATE($AV$1,MONTH($B$84),R$3),'Сводный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график'!$B$1:$B$4),MATCH(DATE($AV$1,MONTH($B$84),R$3),'Сводный годовой график'!$C$13:$AR$13)))</f>
        <v>#N/A</v>
      </c>
      <c r="S88" s="92" t="e">
        <f ca="1">IF(AND(INDEX('Сводный годовой график'!$C$1:$AR$4,MATCH($C$88,'Сводный годовой график'!$B$1:$B$4),MATCH(DATE($AV$1,MONTH($B$84),S$3),'Сводный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график'!$B$1:$B$4),MATCH(DATE($AV$1,MONTH($B$84),S$3),'Сводный годовой график'!$C$13:$AR$13)))</f>
        <v>#N/A</v>
      </c>
      <c r="T88" s="92" t="e">
        <f ca="1">IF(AND(INDEX('Сводный годовой график'!$C$1:$AR$4,MATCH($C$88,'Сводный годовой график'!$B$1:$B$4),MATCH(DATE($AV$1,MONTH($B$84),T$3),'Сводный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график'!$B$1:$B$4),MATCH(DATE($AV$1,MONTH($B$84),T$3),'Сводный годовой график'!$C$13:$AR$13)))</f>
        <v>#N/A</v>
      </c>
      <c r="U88" s="92" t="e">
        <f ca="1">IF(AND(INDEX('Сводный годовой график'!$C$1:$AR$4,MATCH($C$88,'Сводный годовой график'!$B$1:$B$4),MATCH(DATE($AV$1,MONTH($B$84),U$3),'Сводный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график'!$B$1:$B$4),MATCH(DATE($AV$1,MONTH($B$84),U$3),'Сводный годовой график'!$C$13:$AR$13)))</f>
        <v>#N/A</v>
      </c>
      <c r="V88" s="92" t="e">
        <f ca="1">IF(AND(INDEX('Сводный годовой график'!$C$1:$AR$4,MATCH($C$88,'Сводный годовой график'!$B$1:$B$4),MATCH(DATE($AV$1,MONTH($B$84),V$3),'Сводный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график'!$B$1:$B$4),MATCH(DATE($AV$1,MONTH($B$84),V$3),'Сводный годовой график'!$C$13:$AR$13)))</f>
        <v>#N/A</v>
      </c>
      <c r="W88" s="92" t="e">
        <f ca="1">IF(AND(INDEX('Сводный годовой график'!$C$1:$AR$4,MATCH($C$88,'Сводный годовой график'!$B$1:$B$4),MATCH(DATE($AV$1,MONTH($B$84),W$3),'Сводный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график'!$B$1:$B$4),MATCH(DATE($AV$1,MONTH($B$84),W$3),'Сводный годовой график'!$C$13:$AR$13)))</f>
        <v>#N/A</v>
      </c>
      <c r="X88" s="92" t="e">
        <f ca="1">IF(AND(INDEX('Сводный годовой график'!$C$1:$AR$4,MATCH($C$88,'Сводный годовой график'!$B$1:$B$4),MATCH(DATE($AV$1,MONTH($B$84),X$3),'Сводный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график'!$B$1:$B$4),MATCH(DATE($AV$1,MONTH($B$84),X$3),'Сводный годовой график'!$C$13:$AR$13)))</f>
        <v>#N/A</v>
      </c>
      <c r="Y88" s="92" t="e">
        <f ca="1">IF(AND(INDEX('Сводный годовой график'!$C$1:$AR$4,MATCH($C$88,'Сводный годовой график'!$B$1:$B$4),MATCH(DATE($AV$1,MONTH($B$84),Y$3),'Сводный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график'!$B$1:$B$4),MATCH(DATE($AV$1,MONTH($B$84),Y$3),'Сводный годовой график'!$C$13:$AR$13)))</f>
        <v>#N/A</v>
      </c>
      <c r="Z88" s="92" t="e">
        <f ca="1">IF(AND(INDEX('Сводный годовой график'!$C$1:$AR$4,MATCH($C$88,'Сводный годовой график'!$B$1:$B$4),MATCH(DATE($AV$1,MONTH($B$84),Z$3),'Сводный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график'!$B$1:$B$4),MATCH(DATE($AV$1,MONTH($B$84),Z$3),'Сводный годовой график'!$C$13:$AR$13)))</f>
        <v>#N/A</v>
      </c>
      <c r="AA88" s="92" t="e">
        <f ca="1">IF(AND(INDEX('Сводный годовой график'!$C$1:$AR$4,MATCH($C$88,'Сводный годовой график'!$B$1:$B$4),MATCH(DATE($AV$1,MONTH($B$84),AA$3),'Сводный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график'!$B$1:$B$4),MATCH(DATE($AV$1,MONTH($B$84),AA$3),'Сводный годовой график'!$C$13:$AR$13)))</f>
        <v>#N/A</v>
      </c>
      <c r="AB88" s="92" t="e">
        <f ca="1">IF(AND(INDEX('Сводный годовой график'!$C$1:$AR$4,MATCH($C$88,'Сводный годовой график'!$B$1:$B$4),MATCH(DATE($AV$1,MONTH($B$84),AB$3),'Сводный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график'!$B$1:$B$4),MATCH(DATE($AV$1,MONTH($B$84),AB$3),'Сводный годовой график'!$C$13:$AR$13)))</f>
        <v>#N/A</v>
      </c>
      <c r="AC88" s="92" t="e">
        <f ca="1">IF(AND(INDEX('Сводный годовой график'!$C$1:$AR$4,MATCH($C$88,'Сводный годовой график'!$B$1:$B$4),MATCH(DATE($AV$1,MONTH($B$84),AC$3),'Сводный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график'!$B$1:$B$4),MATCH(DATE($AV$1,MONTH($B$84),AC$3),'Сводный годовой график'!$C$13:$AR$13)))</f>
        <v>#N/A</v>
      </c>
      <c r="AD88" s="92" t="e">
        <f ca="1">IF(AND(INDEX('Сводный годовой график'!$C$1:$AR$4,MATCH($C$88,'Сводный годовой график'!$B$1:$B$4),MATCH(DATE($AV$1,MONTH($B$84),AD$3),'Сводный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график'!$B$1:$B$4),MATCH(DATE($AV$1,MONTH($B$84),AD$3),'Сводный годовой график'!$C$13:$AR$13)))</f>
        <v>#N/A</v>
      </c>
      <c r="AE88" s="92" t="e">
        <f ca="1">IF(AND(INDEX('Сводный годовой график'!$C$1:$AR$4,MATCH($C$88,'Сводный годовой график'!$B$1:$B$4),MATCH(DATE($AV$1,MONTH($B$84),AE$3),'Сводный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график'!$B$1:$B$4),MATCH(DATE($AV$1,MONTH($B$84),AE$3),'Сводный годовой график'!$C$13:$AR$13)))</f>
        <v>#N/A</v>
      </c>
      <c r="AF88" s="92" t="e">
        <f ca="1">IF(AND(INDEX('Сводный годовой график'!$C$1:$AR$4,MATCH($C$88,'Сводный годовой график'!$B$1:$B$4),MATCH(DATE($AV$1,MONTH($B$84),AF$3),'Сводный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график'!$B$1:$B$4),MATCH(DATE($AV$1,MONTH($B$84),AF$3),'Сводный годовой график'!$C$13:$AR$13)))</f>
        <v>#N/A</v>
      </c>
      <c r="AG88" s="92" t="e">
        <f ca="1">IF(AND(INDEX('Сводный годовой график'!$C$1:$AR$4,MATCH($C$88,'Сводный годовой график'!$B$1:$B$4),MATCH(DATE($AV$1,MONTH($B$84),AG$3),'Сводный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график'!$B$1:$B$4),MATCH(DATE($AV$1,MONTH($B$84),AG$3),'Сводный годовой график'!$C$13:$AR$13)))</f>
        <v>#N/A</v>
      </c>
      <c r="AH88" s="92" t="e">
        <f ca="1">IF(AND(INDEX('Сводный годовой график'!$C$1:$AR$4,MATCH($C$88,'Сводный годовой график'!$B$1:$B$4),MATCH(DATE($AV$1,MONTH($B$84),AH$3),'Сводный годовой график'!$C$13:$AR$13))&lt;&gt;12,INDIRECT(ADDRESS(ROW()+1,COLUMN()))="СП"),8,INDEX('Сводный годовой график'!$C$1:$AR$4,MATCH($C$88,'Сводный годовой график'!$B$1:$B$4),MATCH(DATE($AV$1,MONTH($B$84),AH$3),'Сводный годовой график'!$C$13:$AR$13)))</f>
        <v>#N/A</v>
      </c>
      <c r="AI88" s="119"/>
      <c r="AJ88" s="206"/>
      <c r="AK88" s="216">
        <f>$AJ$84-SUM(AY88:CC89)</f>
        <v>176</v>
      </c>
      <c r="AL88" s="209" t="e">
        <f t="shared" ref="AL88" ca="1" si="150">SUM(E88:AI89)</f>
        <v>#N/A</v>
      </c>
      <c r="AM88" s="209">
        <v>0</v>
      </c>
      <c r="AN88" s="211" t="e">
        <f t="shared" ref="AN88" ca="1" si="151">-AM88-AK88+AL88</f>
        <v>#N/A</v>
      </c>
      <c r="AO88" s="211">
        <v>0</v>
      </c>
      <c r="AP88" s="211" t="e">
        <f ca="1">AN88+AP78-AO88</f>
        <v>#N/A</v>
      </c>
      <c r="AQ88" s="209">
        <v>16</v>
      </c>
      <c r="AR88" s="210">
        <v>1</v>
      </c>
      <c r="CK88" s="59"/>
      <c r="CL88" s="59"/>
      <c r="CM88" s="59"/>
      <c r="CN88" s="59"/>
      <c r="CO88" s="59"/>
      <c r="CP88" s="59"/>
      <c r="CQ88" s="59"/>
      <c r="CR88" s="59"/>
      <c r="CS88" s="59"/>
      <c r="CT88" s="59"/>
      <c r="CU88" s="59"/>
      <c r="CV88" s="59"/>
      <c r="CW88" s="59"/>
      <c r="CX88" s="59"/>
      <c r="CY88" s="59"/>
      <c r="CZ88" s="59"/>
      <c r="DA88" s="59"/>
      <c r="DB88" s="59"/>
      <c r="DC88" s="59"/>
      <c r="DD88" s="59"/>
      <c r="DE88" s="59"/>
      <c r="DF88" s="59"/>
      <c r="DG88" s="59"/>
      <c r="DH88" s="59"/>
      <c r="DI88" s="59"/>
      <c r="DJ88" s="59"/>
      <c r="DK88" s="59"/>
      <c r="DL88" s="59"/>
      <c r="DM88" s="59"/>
      <c r="DN88" s="59"/>
      <c r="DO88" s="59"/>
    </row>
    <row r="89" spans="2:119" ht="16.5" thickBot="1" x14ac:dyDescent="0.3">
      <c r="B89" s="201"/>
      <c r="C89" s="197"/>
      <c r="D89" s="82">
        <v>6</v>
      </c>
      <c r="E89" s="92" t="str">
        <f t="shared" ref="E89:AH89" si="152">IF(INDEX($CK$4:$DO$123,ROW()-3,E$3)=0,"","СП")</f>
        <v/>
      </c>
      <c r="F89" s="92" t="str">
        <f t="shared" si="152"/>
        <v/>
      </c>
      <c r="G89" s="92" t="str">
        <f t="shared" si="152"/>
        <v/>
      </c>
      <c r="H89" s="92" t="str">
        <f t="shared" si="152"/>
        <v/>
      </c>
      <c r="I89" s="92" t="str">
        <f t="shared" si="152"/>
        <v/>
      </c>
      <c r="J89" s="92" t="str">
        <f t="shared" si="152"/>
        <v/>
      </c>
      <c r="K89" s="92" t="str">
        <f t="shared" si="152"/>
        <v/>
      </c>
      <c r="L89" s="92" t="str">
        <f t="shared" si="152"/>
        <v/>
      </c>
      <c r="M89" s="92" t="str">
        <f t="shared" si="152"/>
        <v/>
      </c>
      <c r="N89" s="92" t="str">
        <f t="shared" si="152"/>
        <v/>
      </c>
      <c r="O89" s="92" t="str">
        <f t="shared" si="152"/>
        <v>СП</v>
      </c>
      <c r="P89" s="92" t="str">
        <f t="shared" si="152"/>
        <v/>
      </c>
      <c r="Q89" s="92" t="str">
        <f t="shared" si="152"/>
        <v/>
      </c>
      <c r="R89" s="92" t="str">
        <f t="shared" si="152"/>
        <v/>
      </c>
      <c r="S89" s="92" t="str">
        <f t="shared" si="152"/>
        <v/>
      </c>
      <c r="T89" s="92" t="str">
        <f t="shared" si="152"/>
        <v/>
      </c>
      <c r="U89" s="92" t="str">
        <f t="shared" si="152"/>
        <v/>
      </c>
      <c r="V89" s="92" t="str">
        <f t="shared" si="152"/>
        <v/>
      </c>
      <c r="W89" s="92" t="str">
        <f t="shared" si="152"/>
        <v/>
      </c>
      <c r="X89" s="92" t="str">
        <f t="shared" si="152"/>
        <v/>
      </c>
      <c r="Y89" s="92" t="str">
        <f t="shared" si="152"/>
        <v/>
      </c>
      <c r="Z89" s="92" t="str">
        <f t="shared" si="152"/>
        <v/>
      </c>
      <c r="AA89" s="92" t="str">
        <f t="shared" si="152"/>
        <v/>
      </c>
      <c r="AB89" s="92" t="str">
        <f t="shared" si="152"/>
        <v/>
      </c>
      <c r="AC89" s="92" t="str">
        <f t="shared" si="152"/>
        <v/>
      </c>
      <c r="AD89" s="92" t="str">
        <f t="shared" si="152"/>
        <v/>
      </c>
      <c r="AE89" s="92" t="str">
        <f t="shared" si="152"/>
        <v/>
      </c>
      <c r="AF89" s="92" t="str">
        <f t="shared" si="152"/>
        <v/>
      </c>
      <c r="AG89" s="92" t="str">
        <f t="shared" si="152"/>
        <v/>
      </c>
      <c r="AH89" s="92" t="str">
        <f t="shared" si="152"/>
        <v/>
      </c>
      <c r="AI89" s="119"/>
      <c r="AJ89" s="206"/>
      <c r="AK89" s="209"/>
      <c r="AL89" s="209"/>
      <c r="AM89" s="209"/>
      <c r="AN89" s="211"/>
      <c r="AO89" s="211"/>
      <c r="AP89" s="211"/>
      <c r="AQ89" s="209"/>
      <c r="AR89" s="210"/>
      <c r="CK89" s="58">
        <f>IF(DAY(INDEX('Сводный годовой график'!$BA$4:$BL$14,$C88,MONTH($B$84)))=E$3,1,0)</f>
        <v>0</v>
      </c>
      <c r="CL89" s="58">
        <f>IF(DAY(INDEX('Сводный годовой график'!$BA$4:$BL$14,$C88,MONTH($B$84)))=F$3,1,0)</f>
        <v>0</v>
      </c>
      <c r="CM89" s="58">
        <f>IF(DAY(INDEX('Сводный годовой график'!$BA$4:$BL$14,$C88,MONTH($B$84)))=G$3,1,0)</f>
        <v>0</v>
      </c>
      <c r="CN89" s="58">
        <f>IF(DAY(INDEX('Сводный годовой график'!$BA$4:$BL$14,$C88,MONTH($B$84)))=H$3,1,0)</f>
        <v>0</v>
      </c>
      <c r="CO89" s="58">
        <f>IF(DAY(INDEX('Сводный годовой график'!$BA$4:$BL$14,$C88,MONTH($B$84)))=I$3,1,0)</f>
        <v>0</v>
      </c>
      <c r="CP89" s="58">
        <f>IF(DAY(INDEX('Сводный годовой график'!$BA$4:$BL$14,$C88,MONTH($B$84)))=J$3,1,0)</f>
        <v>0</v>
      </c>
      <c r="CQ89" s="58">
        <f>IF(DAY(INDEX('Сводный годовой график'!$BA$4:$BL$14,$C88,MONTH($B$84)))=K$3,1,0)</f>
        <v>0</v>
      </c>
      <c r="CR89" s="58">
        <f>IF(DAY(INDEX('Сводный годовой график'!$BA$4:$BL$14,$C88,MONTH($B$84)))=L$3,1,0)</f>
        <v>0</v>
      </c>
      <c r="CS89" s="58">
        <f>IF(DAY(INDEX('Сводный годовой график'!$BA$4:$BL$14,$C88,MONTH($B$84)))=M$3,1,0)</f>
        <v>0</v>
      </c>
      <c r="CT89" s="58">
        <f>IF(DAY(INDEX('Сводный годовой график'!$BA$4:$BL$14,$C88,MONTH($B$84)))=N$3,1,0)</f>
        <v>0</v>
      </c>
      <c r="CU89" s="58">
        <f>IF(DAY(INDEX('Сводный годовой график'!$BA$4:$BL$14,$C88,MONTH($B$84)))=O$3,1,0)</f>
        <v>1</v>
      </c>
      <c r="CV89" s="58">
        <f>IF(DAY(INDEX('Сводный годовой график'!$BA$4:$BL$14,$C88,MONTH($B$84)))=P$3,1,0)</f>
        <v>0</v>
      </c>
      <c r="CW89" s="58">
        <f>IF(DAY(INDEX('Сводный годовой график'!$BA$4:$BL$14,$C88,MONTH($B$84)))=Q$3,1,0)</f>
        <v>0</v>
      </c>
      <c r="CX89" s="58">
        <f>IF(DAY(INDEX('Сводный годовой график'!$BA$4:$BL$14,$C88,MONTH($B$84)))=R$3,1,0)</f>
        <v>0</v>
      </c>
      <c r="CY89" s="58">
        <f>IF(DAY(INDEX('Сводный годовой график'!$BA$4:$BL$14,$C88,MONTH($B$84)))=S$3,1,0)</f>
        <v>0</v>
      </c>
      <c r="CZ89" s="58">
        <f>IF(DAY(INDEX('Сводный годовой график'!$BA$4:$BL$14,$C88,MONTH($B$84)))=T$3,1,0)</f>
        <v>0</v>
      </c>
      <c r="DA89" s="58">
        <f>IF(DAY(INDEX('Сводный годовой график'!$BA$4:$BL$14,$C88,MONTH($B$84)))=U$3,1,0)</f>
        <v>0</v>
      </c>
      <c r="DB89" s="58">
        <f>IF(DAY(INDEX('Сводный годовой график'!$BA$4:$BL$14,$C88,MONTH($B$84)))=V$3,1,0)</f>
        <v>0</v>
      </c>
      <c r="DC89" s="58">
        <f>IF(DAY(INDEX('Сводный годовой график'!$BA$4:$BL$14,$C88,MONTH($B$84)))=W$3,1,0)</f>
        <v>0</v>
      </c>
      <c r="DD89" s="58">
        <f>IF(DAY(INDEX('Сводный годовой график'!$BA$4:$BL$14,$C88,MONTH($B$84)))=X$3,1,0)</f>
        <v>0</v>
      </c>
      <c r="DE89" s="58">
        <f>IF(DAY(INDEX('Сводный годовой график'!$BA$4:$BL$14,$C88,MONTH($B$84)))=Y$3,1,0)</f>
        <v>0</v>
      </c>
      <c r="DF89" s="58">
        <f>IF(DAY(INDEX('Сводный годовой график'!$BA$4:$BL$14,$C88,MONTH($B$84)))=Z$3,1,0)</f>
        <v>0</v>
      </c>
      <c r="DG89" s="58">
        <f>IF(DAY(INDEX('Сводный годовой график'!$BA$4:$BL$14,$C88,MONTH($B$84)))=AA$3,1,0)</f>
        <v>0</v>
      </c>
      <c r="DH89" s="58">
        <f>IF(DAY(INDEX('Сводный годовой график'!$BA$4:$BL$14,$C88,MONTH($B$84)))=AB$3,1,0)</f>
        <v>0</v>
      </c>
      <c r="DI89" s="58">
        <f>IF(DAY(INDEX('Сводный годовой график'!$BA$4:$BL$14,$C88,MONTH($B$84)))=AC$3,1,0)</f>
        <v>0</v>
      </c>
      <c r="DJ89" s="58">
        <f>IF(DAY(INDEX('Сводный годовой график'!$BA$4:$BL$14,$C88,MONTH($B$84)))=AD$3,1,0)</f>
        <v>0</v>
      </c>
      <c r="DK89" s="58">
        <f>IF(DAY(INDEX('Сводный годовой график'!$BA$4:$BL$14,$C88,MONTH($B$84)))=AE$3,1,0)</f>
        <v>0</v>
      </c>
      <c r="DL89" s="58">
        <f>IF(DAY(INDEX('Сводный годовой график'!$BA$4:$BL$14,$C88,MONTH($B$84)))=AF$3,1,0)</f>
        <v>0</v>
      </c>
      <c r="DM89" s="58">
        <f>IF(DAY(INDEX('Сводный годовой график'!$BA$4:$BL$14,$C88,MONTH($B$84)))=AG$3,1,0)</f>
        <v>0</v>
      </c>
      <c r="DN89" s="58">
        <f>IF(DAY(INDEX('Сводный годовой график'!$BA$4:$BL$14,$C88,MONTH($B$84)))=AH$3,1,0)</f>
        <v>0</v>
      </c>
      <c r="DO89" s="58">
        <f>IF(DAY(INDEX('Сводный годовой график'!$BA$4:$BL$14,$C88,MONTH($B$84)))=AI$3,1,0)</f>
        <v>0</v>
      </c>
    </row>
    <row r="90" spans="2:119" ht="16.5" thickBot="1" x14ac:dyDescent="0.3">
      <c r="B90" s="201"/>
      <c r="C90" s="196">
        <v>4</v>
      </c>
      <c r="D90" s="81">
        <v>7</v>
      </c>
      <c r="E90" s="92" t="e">
        <f ca="1">IF(AND(INDEX('Сводный годовой график'!$C$1:$AR$4,MATCH($C$90,'Сводный годовой график'!$B$1:$B$4),MATCH(DATE($AV$1,MONTH($B$84),E$3),'Сводный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график'!$B$1:$B$4),MATCH(DATE($AV$1,MONTH($B$84),E$3),'Сводный годовой график'!$C$13:$AR$13)))</f>
        <v>#N/A</v>
      </c>
      <c r="F90" s="92" t="e">
        <f ca="1">IF(AND(INDEX('Сводный годовой график'!$C$1:$AR$4,MATCH($C$90,'Сводный годовой график'!$B$1:$B$4),MATCH(DATE($AV$1,MONTH($B$84),F$3),'Сводный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график'!$B$1:$B$4),MATCH(DATE($AV$1,MONTH($B$84),F$3),'Сводный годовой график'!$C$13:$AR$13)))</f>
        <v>#N/A</v>
      </c>
      <c r="G90" s="92" t="e">
        <f ca="1">IF(AND(INDEX('Сводный годовой график'!$C$1:$AR$4,MATCH($C$90,'Сводный годовой график'!$B$1:$B$4),MATCH(DATE($AV$1,MONTH($B$84),G$3),'Сводный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график'!$B$1:$B$4),MATCH(DATE($AV$1,MONTH($B$84),G$3),'Сводный годовой график'!$C$13:$AR$13)))</f>
        <v>#N/A</v>
      </c>
      <c r="H90" s="92" t="e">
        <f ca="1">IF(AND(INDEX('Сводный годовой график'!$C$1:$AR$4,MATCH($C$90,'Сводный годовой график'!$B$1:$B$4),MATCH(DATE($AV$1,MONTH($B$84),H$3),'Сводный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график'!$B$1:$B$4),MATCH(DATE($AV$1,MONTH($B$84),H$3),'Сводный годовой график'!$C$13:$AR$13)))</f>
        <v>#N/A</v>
      </c>
      <c r="I90" s="92" t="e">
        <f ca="1">IF(AND(INDEX('Сводный годовой график'!$C$1:$AR$4,MATCH($C$90,'Сводный годовой график'!$B$1:$B$4),MATCH(DATE($AV$1,MONTH($B$84),I$3),'Сводный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график'!$B$1:$B$4),MATCH(DATE($AV$1,MONTH($B$84),I$3),'Сводный годовой график'!$C$13:$AR$13)))</f>
        <v>#N/A</v>
      </c>
      <c r="J90" s="92" t="e">
        <f ca="1">IF(AND(INDEX('Сводный годовой график'!$C$1:$AR$4,MATCH($C$90,'Сводный годовой график'!$B$1:$B$4),MATCH(DATE($AV$1,MONTH($B$84),J$3),'Сводный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график'!$B$1:$B$4),MATCH(DATE($AV$1,MONTH($B$84),J$3),'Сводный годовой график'!$C$13:$AR$13)))</f>
        <v>#N/A</v>
      </c>
      <c r="K90" s="92" t="e">
        <f ca="1">IF(AND(INDEX('Сводный годовой график'!$C$1:$AR$4,MATCH($C$90,'Сводный годовой график'!$B$1:$B$4),MATCH(DATE($AV$1,MONTH($B$84),K$3),'Сводный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график'!$B$1:$B$4),MATCH(DATE($AV$1,MONTH($B$84),K$3),'Сводный годовой график'!$C$13:$AR$13)))</f>
        <v>#N/A</v>
      </c>
      <c r="L90" s="92" t="e">
        <f ca="1">IF(AND(INDEX('Сводный годовой график'!$C$1:$AR$4,MATCH($C$90,'Сводный годовой график'!$B$1:$B$4),MATCH(DATE($AV$1,MONTH($B$84),L$3),'Сводный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график'!$B$1:$B$4),MATCH(DATE($AV$1,MONTH($B$84),L$3),'Сводный годовой график'!$C$13:$AR$13)))</f>
        <v>#N/A</v>
      </c>
      <c r="M90" s="92" t="e">
        <f ca="1">IF(AND(INDEX('Сводный годовой график'!$C$1:$AR$4,MATCH($C$90,'Сводный годовой график'!$B$1:$B$4),MATCH(DATE($AV$1,MONTH($B$84),M$3),'Сводный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график'!$B$1:$B$4),MATCH(DATE($AV$1,MONTH($B$84),M$3),'Сводный годовой график'!$C$13:$AR$13)))</f>
        <v>#N/A</v>
      </c>
      <c r="N90" s="92" t="e">
        <f ca="1">IF(AND(INDEX('Сводный годовой график'!$C$1:$AR$4,MATCH($C$90,'Сводный годовой график'!$B$1:$B$4),MATCH(DATE($AV$1,MONTH($B$84),N$3),'Сводный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график'!$B$1:$B$4),MATCH(DATE($AV$1,MONTH($B$84),N$3),'Сводный годовой график'!$C$13:$AR$13)))</f>
        <v>#N/A</v>
      </c>
      <c r="O90" s="92" t="e">
        <f ca="1">IF(AND(INDEX('Сводный годовой график'!$C$1:$AR$4,MATCH($C$90,'Сводный годовой график'!$B$1:$B$4),MATCH(DATE($AV$1,MONTH($B$84),O$3),'Сводный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график'!$B$1:$B$4),MATCH(DATE($AV$1,MONTH($B$84),O$3),'Сводный годовой график'!$C$13:$AR$13)))</f>
        <v>#N/A</v>
      </c>
      <c r="P90" s="92" t="e">
        <f ca="1">IF(AND(INDEX('Сводный годовой график'!$C$1:$AR$4,MATCH($C$90,'Сводный годовой график'!$B$1:$B$4),MATCH(DATE($AV$1,MONTH($B$84),P$3),'Сводный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график'!$B$1:$B$4),MATCH(DATE($AV$1,MONTH($B$84),P$3),'Сводный годовой график'!$C$13:$AR$13)))</f>
        <v>#N/A</v>
      </c>
      <c r="Q90" s="92" t="e">
        <f ca="1">IF(AND(INDEX('Сводный годовой график'!$C$1:$AR$4,MATCH($C$90,'Сводный годовой график'!$B$1:$B$4),MATCH(DATE($AV$1,MONTH($B$84),Q$3),'Сводный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график'!$B$1:$B$4),MATCH(DATE($AV$1,MONTH($B$84),Q$3),'Сводный годовой график'!$C$13:$AR$13)))</f>
        <v>#N/A</v>
      </c>
      <c r="R90" s="92" t="e">
        <f ca="1">IF(AND(INDEX('Сводный годовой график'!$C$1:$AR$4,MATCH($C$90,'Сводный годовой график'!$B$1:$B$4),MATCH(DATE($AV$1,MONTH($B$84),R$3),'Сводный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график'!$B$1:$B$4),MATCH(DATE($AV$1,MONTH($B$84),R$3),'Сводный годовой график'!$C$13:$AR$13)))</f>
        <v>#N/A</v>
      </c>
      <c r="S90" s="92" t="e">
        <f ca="1">IF(AND(INDEX('Сводный годовой график'!$C$1:$AR$4,MATCH($C$90,'Сводный годовой график'!$B$1:$B$4),MATCH(DATE($AV$1,MONTH($B$84),S$3),'Сводный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график'!$B$1:$B$4),MATCH(DATE($AV$1,MONTH($B$84),S$3),'Сводный годовой график'!$C$13:$AR$13)))</f>
        <v>#N/A</v>
      </c>
      <c r="T90" s="92" t="e">
        <f ca="1">IF(AND(INDEX('Сводный годовой график'!$C$1:$AR$4,MATCH($C$90,'Сводный годовой график'!$B$1:$B$4),MATCH(DATE($AV$1,MONTH($B$84),T$3),'Сводный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график'!$B$1:$B$4),MATCH(DATE($AV$1,MONTH($B$84),T$3),'Сводный годовой график'!$C$13:$AR$13)))</f>
        <v>#N/A</v>
      </c>
      <c r="U90" s="92" t="e">
        <f ca="1">IF(AND(INDEX('Сводный годовой график'!$C$1:$AR$4,MATCH($C$90,'Сводный годовой график'!$B$1:$B$4),MATCH(DATE($AV$1,MONTH($B$84),U$3),'Сводный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график'!$B$1:$B$4),MATCH(DATE($AV$1,MONTH($B$84),U$3),'Сводный годовой график'!$C$13:$AR$13)))</f>
        <v>#N/A</v>
      </c>
      <c r="V90" s="92" t="e">
        <f ca="1">IF(AND(INDEX('Сводный годовой график'!$C$1:$AR$4,MATCH($C$90,'Сводный годовой график'!$B$1:$B$4),MATCH(DATE($AV$1,MONTH($B$84),V$3),'Сводный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график'!$B$1:$B$4),MATCH(DATE($AV$1,MONTH($B$84),V$3),'Сводный годовой график'!$C$13:$AR$13)))</f>
        <v>#N/A</v>
      </c>
      <c r="W90" s="92" t="e">
        <f ca="1">IF(AND(INDEX('Сводный годовой график'!$C$1:$AR$4,MATCH($C$90,'Сводный годовой график'!$B$1:$B$4),MATCH(DATE($AV$1,MONTH($B$84),W$3),'Сводный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график'!$B$1:$B$4),MATCH(DATE($AV$1,MONTH($B$84),W$3),'Сводный годовой график'!$C$13:$AR$13)))</f>
        <v>#N/A</v>
      </c>
      <c r="X90" s="92" t="e">
        <f ca="1">IF(AND(INDEX('Сводный годовой график'!$C$1:$AR$4,MATCH($C$90,'Сводный годовой график'!$B$1:$B$4),MATCH(DATE($AV$1,MONTH($B$84),X$3),'Сводный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график'!$B$1:$B$4),MATCH(DATE($AV$1,MONTH($B$84),X$3),'Сводный годовой график'!$C$13:$AR$13)))</f>
        <v>#N/A</v>
      </c>
      <c r="Y90" s="92" t="e">
        <f ca="1">IF(AND(INDEX('Сводный годовой график'!$C$1:$AR$4,MATCH($C$90,'Сводный годовой график'!$B$1:$B$4),MATCH(DATE($AV$1,MONTH($B$84),Y$3),'Сводный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график'!$B$1:$B$4),MATCH(DATE($AV$1,MONTH($B$84),Y$3),'Сводный годовой график'!$C$13:$AR$13)))</f>
        <v>#N/A</v>
      </c>
      <c r="Z90" s="92" t="e">
        <f ca="1">IF(AND(INDEX('Сводный годовой график'!$C$1:$AR$4,MATCH($C$90,'Сводный годовой график'!$B$1:$B$4),MATCH(DATE($AV$1,MONTH($B$84),Z$3),'Сводный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график'!$B$1:$B$4),MATCH(DATE($AV$1,MONTH($B$84),Z$3),'Сводный годовой график'!$C$13:$AR$13)))</f>
        <v>#N/A</v>
      </c>
      <c r="AA90" s="92" t="e">
        <f ca="1">IF(AND(INDEX('Сводный годовой график'!$C$1:$AR$4,MATCH($C$90,'Сводный годовой график'!$B$1:$B$4),MATCH(DATE($AV$1,MONTH($B$84),AA$3),'Сводный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график'!$B$1:$B$4),MATCH(DATE($AV$1,MONTH($B$84),AA$3),'Сводный годовой график'!$C$13:$AR$13)))</f>
        <v>#N/A</v>
      </c>
      <c r="AB90" s="92" t="e">
        <f ca="1">IF(AND(INDEX('Сводный годовой график'!$C$1:$AR$4,MATCH($C$90,'Сводный годовой график'!$B$1:$B$4),MATCH(DATE($AV$1,MONTH($B$84),AB$3),'Сводный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график'!$B$1:$B$4),MATCH(DATE($AV$1,MONTH($B$84),AB$3),'Сводный годовой график'!$C$13:$AR$13)))</f>
        <v>#N/A</v>
      </c>
      <c r="AC90" s="92" t="e">
        <f ca="1">IF(AND(INDEX('Сводный годовой график'!$C$1:$AR$4,MATCH($C$90,'Сводный годовой график'!$B$1:$B$4),MATCH(DATE($AV$1,MONTH($B$84),AC$3),'Сводный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график'!$B$1:$B$4),MATCH(DATE($AV$1,MONTH($B$84),AC$3),'Сводный годовой график'!$C$13:$AR$13)))</f>
        <v>#N/A</v>
      </c>
      <c r="AD90" s="92" t="e">
        <f ca="1">IF(AND(INDEX('Сводный годовой график'!$C$1:$AR$4,MATCH($C$90,'Сводный годовой график'!$B$1:$B$4),MATCH(DATE($AV$1,MONTH($B$84),AD$3),'Сводный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график'!$B$1:$B$4),MATCH(DATE($AV$1,MONTH($B$84),AD$3),'Сводный годовой график'!$C$13:$AR$13)))</f>
        <v>#N/A</v>
      </c>
      <c r="AE90" s="92" t="e">
        <f ca="1">IF(AND(INDEX('Сводный годовой график'!$C$1:$AR$4,MATCH($C$90,'Сводный годовой график'!$B$1:$B$4),MATCH(DATE($AV$1,MONTH($B$84),AE$3),'Сводный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график'!$B$1:$B$4),MATCH(DATE($AV$1,MONTH($B$84),AE$3),'Сводный годовой график'!$C$13:$AR$13)))</f>
        <v>#N/A</v>
      </c>
      <c r="AF90" s="92" t="e">
        <f ca="1">IF(AND(INDEX('Сводный годовой график'!$C$1:$AR$4,MATCH($C$90,'Сводный годовой график'!$B$1:$B$4),MATCH(DATE($AV$1,MONTH($B$84),AF$3),'Сводный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график'!$B$1:$B$4),MATCH(DATE($AV$1,MONTH($B$84),AF$3),'Сводный годовой график'!$C$13:$AR$13)))</f>
        <v>#N/A</v>
      </c>
      <c r="AG90" s="92" t="e">
        <f ca="1">IF(AND(INDEX('Сводный годовой график'!$C$1:$AR$4,MATCH($C$90,'Сводный годовой график'!$B$1:$B$4),MATCH(DATE($AV$1,MONTH($B$84),AG$3),'Сводный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график'!$B$1:$B$4),MATCH(DATE($AV$1,MONTH($B$84),AG$3),'Сводный годовой график'!$C$13:$AR$13)))</f>
        <v>#N/A</v>
      </c>
      <c r="AH90" s="92" t="e">
        <f ca="1">IF(AND(INDEX('Сводный годовой график'!$C$1:$AR$4,MATCH($C$90,'Сводный годовой график'!$B$1:$B$4),MATCH(DATE($AV$1,MONTH($B$84),AH$3),'Сводный годовой график'!$C$13:$AR$13))&lt;&gt;12,INDIRECT(ADDRESS(ROW()+1,COLUMN()))="СП"),8,INDEX('Сводный годовой график'!$C$1:$AR$4,MATCH($C$90,'Сводный годовой график'!$B$1:$B$4),MATCH(DATE($AV$1,MONTH($B$84),AH$3),'Сводный годовой график'!$C$13:$AR$13)))</f>
        <v>#N/A</v>
      </c>
      <c r="AI90" s="119"/>
      <c r="AJ90" s="206"/>
      <c r="AK90" s="209">
        <f>$AJ$84-SUM(AY90:CC91)</f>
        <v>176</v>
      </c>
      <c r="AL90" s="209" t="e">
        <f t="shared" ref="AL90" ca="1" si="153">SUM(E90:AI91)</f>
        <v>#N/A</v>
      </c>
      <c r="AM90" s="209">
        <v>0</v>
      </c>
      <c r="AN90" s="211" t="e">
        <f t="shared" ref="AN90" ca="1" si="154">-AM90-AK90+AL90</f>
        <v>#N/A</v>
      </c>
      <c r="AO90" s="211">
        <v>0</v>
      </c>
      <c r="AP90" s="211" t="e">
        <f t="shared" ref="AP90" ca="1" si="155">AN90+AP80</f>
        <v>#N/A</v>
      </c>
      <c r="AQ90" s="209">
        <v>0</v>
      </c>
      <c r="AR90" s="210">
        <v>1</v>
      </c>
      <c r="CK90" s="59"/>
      <c r="CL90" s="59"/>
      <c r="CM90" s="59"/>
      <c r="CN90" s="59"/>
      <c r="CO90" s="59"/>
      <c r="CP90" s="59"/>
      <c r="CQ90" s="59"/>
      <c r="CR90" s="59"/>
      <c r="CS90" s="59"/>
      <c r="CT90" s="59"/>
      <c r="CU90" s="59"/>
      <c r="CV90" s="59"/>
      <c r="CW90" s="59"/>
      <c r="CX90" s="59"/>
      <c r="CY90" s="59"/>
      <c r="CZ90" s="59"/>
      <c r="DA90" s="59"/>
      <c r="DB90" s="59"/>
      <c r="DC90" s="59"/>
      <c r="DD90" s="59"/>
      <c r="DE90" s="59"/>
      <c r="DF90" s="59"/>
      <c r="DG90" s="59"/>
      <c r="DH90" s="59"/>
      <c r="DI90" s="59"/>
      <c r="DJ90" s="59"/>
      <c r="DK90" s="59"/>
      <c r="DL90" s="59"/>
      <c r="DM90" s="59"/>
      <c r="DN90" s="59"/>
      <c r="DO90" s="59"/>
    </row>
    <row r="91" spans="2:119" ht="16.5" thickBot="1" x14ac:dyDescent="0.3">
      <c r="B91" s="201"/>
      <c r="C91" s="197"/>
      <c r="D91" s="82">
        <v>8</v>
      </c>
      <c r="E91" s="92" t="str">
        <f t="shared" ref="E91:AH91" si="156">IF(INDEX($CK$4:$DO$123,ROW()-3,E$3)=0,"","СП")</f>
        <v/>
      </c>
      <c r="F91" s="92" t="str">
        <f t="shared" si="156"/>
        <v/>
      </c>
      <c r="G91" s="92" t="str">
        <f t="shared" si="156"/>
        <v/>
      </c>
      <c r="H91" s="92" t="str">
        <f t="shared" si="156"/>
        <v/>
      </c>
      <c r="I91" s="92" t="str">
        <f t="shared" si="156"/>
        <v/>
      </c>
      <c r="J91" s="92" t="str">
        <f t="shared" si="156"/>
        <v/>
      </c>
      <c r="K91" s="92" t="str">
        <f t="shared" si="156"/>
        <v/>
      </c>
      <c r="L91" s="92" t="str">
        <f t="shared" si="156"/>
        <v/>
      </c>
      <c r="M91" s="92" t="str">
        <f t="shared" si="156"/>
        <v/>
      </c>
      <c r="N91" s="92" t="str">
        <f t="shared" si="156"/>
        <v/>
      </c>
      <c r="O91" s="92" t="str">
        <f t="shared" si="156"/>
        <v/>
      </c>
      <c r="P91" s="92" t="str">
        <f t="shared" si="156"/>
        <v>СП</v>
      </c>
      <c r="Q91" s="92" t="str">
        <f t="shared" si="156"/>
        <v/>
      </c>
      <c r="R91" s="92" t="str">
        <f t="shared" si="156"/>
        <v/>
      </c>
      <c r="S91" s="92" t="str">
        <f t="shared" si="156"/>
        <v/>
      </c>
      <c r="T91" s="92" t="str">
        <f t="shared" si="156"/>
        <v/>
      </c>
      <c r="U91" s="92" t="str">
        <f t="shared" si="156"/>
        <v/>
      </c>
      <c r="V91" s="92" t="str">
        <f t="shared" si="156"/>
        <v/>
      </c>
      <c r="W91" s="92" t="str">
        <f t="shared" si="156"/>
        <v/>
      </c>
      <c r="X91" s="92" t="str">
        <f t="shared" si="156"/>
        <v/>
      </c>
      <c r="Y91" s="92" t="str">
        <f t="shared" si="156"/>
        <v/>
      </c>
      <c r="Z91" s="92" t="str">
        <f t="shared" si="156"/>
        <v/>
      </c>
      <c r="AA91" s="92" t="str">
        <f t="shared" si="156"/>
        <v/>
      </c>
      <c r="AB91" s="92" t="str">
        <f t="shared" si="156"/>
        <v/>
      </c>
      <c r="AC91" s="92" t="str">
        <f t="shared" si="156"/>
        <v/>
      </c>
      <c r="AD91" s="92" t="str">
        <f t="shared" si="156"/>
        <v/>
      </c>
      <c r="AE91" s="92" t="str">
        <f t="shared" si="156"/>
        <v/>
      </c>
      <c r="AF91" s="92" t="str">
        <f t="shared" si="156"/>
        <v/>
      </c>
      <c r="AG91" s="92" t="str">
        <f t="shared" si="156"/>
        <v/>
      </c>
      <c r="AH91" s="92" t="str">
        <f t="shared" si="156"/>
        <v/>
      </c>
      <c r="AI91" s="119"/>
      <c r="AJ91" s="206"/>
      <c r="AK91" s="209"/>
      <c r="AL91" s="209"/>
      <c r="AM91" s="209"/>
      <c r="AN91" s="211"/>
      <c r="AO91" s="211"/>
      <c r="AP91" s="211"/>
      <c r="AQ91" s="209"/>
      <c r="AR91" s="210"/>
      <c r="CK91" s="58">
        <f>IF(DAY(INDEX('Сводный годовой график'!$BA$4:$BL$14,$C90,MONTH($B$84)))=E$3,1,0)</f>
        <v>0</v>
      </c>
      <c r="CL91" s="58">
        <f>IF(DAY(INDEX('Сводный годовой график'!$BA$4:$BL$14,$C90,MONTH($B$84)))=F$3,1,0)</f>
        <v>0</v>
      </c>
      <c r="CM91" s="58">
        <f>IF(DAY(INDEX('Сводный годовой график'!$BA$4:$BL$14,$C90,MONTH($B$84)))=G$3,1,0)</f>
        <v>0</v>
      </c>
      <c r="CN91" s="58">
        <f>IF(DAY(INDEX('Сводный годовой график'!$BA$4:$BL$14,$C90,MONTH($B$84)))=H$3,1,0)</f>
        <v>0</v>
      </c>
      <c r="CO91" s="58">
        <f>IF(DAY(INDEX('Сводный годовой график'!$BA$4:$BL$14,$C90,MONTH($B$84)))=I$3,1,0)</f>
        <v>0</v>
      </c>
      <c r="CP91" s="58">
        <f>IF(DAY(INDEX('Сводный годовой график'!$BA$4:$BL$14,$C90,MONTH($B$84)))=J$3,1,0)</f>
        <v>0</v>
      </c>
      <c r="CQ91" s="58">
        <f>IF(DAY(INDEX('Сводный годовой график'!$BA$4:$BL$14,$C90,MONTH($B$84)))=K$3,1,0)</f>
        <v>0</v>
      </c>
      <c r="CR91" s="58">
        <f>IF(DAY(INDEX('Сводный годовой график'!$BA$4:$BL$14,$C90,MONTH($B$84)))=L$3,1,0)</f>
        <v>0</v>
      </c>
      <c r="CS91" s="58">
        <f>IF(DAY(INDEX('Сводный годовой график'!$BA$4:$BL$14,$C90,MONTH($B$84)))=M$3,1,0)</f>
        <v>0</v>
      </c>
      <c r="CT91" s="58">
        <f>IF(DAY(INDEX('Сводный годовой график'!$BA$4:$BL$14,$C90,MONTH($B$84)))=N$3,1,0)</f>
        <v>0</v>
      </c>
      <c r="CU91" s="58">
        <f>IF(DAY(INDEX('Сводный годовой график'!$BA$4:$BL$14,$C90,MONTH($B$84)))=O$3,1,0)</f>
        <v>0</v>
      </c>
      <c r="CV91" s="58">
        <f>IF(DAY(INDEX('Сводный годовой график'!$BA$4:$BL$14,$C90,MONTH($B$84)))=P$3,1,0)</f>
        <v>1</v>
      </c>
      <c r="CW91" s="58">
        <f>IF(DAY(INDEX('Сводный годовой график'!$BA$4:$BL$14,$C90,MONTH($B$84)))=Q$3,1,0)</f>
        <v>0</v>
      </c>
      <c r="CX91" s="58">
        <f>IF(DAY(INDEX('Сводный годовой график'!$BA$4:$BL$14,$C90,MONTH($B$84)))=R$3,1,0)</f>
        <v>0</v>
      </c>
      <c r="CY91" s="58">
        <f>IF(DAY(INDEX('Сводный годовой график'!$BA$4:$BL$14,$C90,MONTH($B$84)))=S$3,1,0)</f>
        <v>0</v>
      </c>
      <c r="CZ91" s="58">
        <f>IF(DAY(INDEX('Сводный годовой график'!$BA$4:$BL$14,$C90,MONTH($B$84)))=T$3,1,0)</f>
        <v>0</v>
      </c>
      <c r="DA91" s="58">
        <f>IF(DAY(INDEX('Сводный годовой график'!$BA$4:$BL$14,$C90,MONTH($B$84)))=U$3,1,0)</f>
        <v>0</v>
      </c>
      <c r="DB91" s="58">
        <f>IF(DAY(INDEX('Сводный годовой график'!$BA$4:$BL$14,$C90,MONTH($B$84)))=V$3,1,0)</f>
        <v>0</v>
      </c>
      <c r="DC91" s="58">
        <f>IF(DAY(INDEX('Сводный годовой график'!$BA$4:$BL$14,$C90,MONTH($B$84)))=W$3,1,0)</f>
        <v>0</v>
      </c>
      <c r="DD91" s="58">
        <f>IF(DAY(INDEX('Сводный годовой график'!$BA$4:$BL$14,$C90,MONTH($B$84)))=X$3,1,0)</f>
        <v>0</v>
      </c>
      <c r="DE91" s="58">
        <f>IF(DAY(INDEX('Сводный годовой график'!$BA$4:$BL$14,$C90,MONTH($B$84)))=Y$3,1,0)</f>
        <v>0</v>
      </c>
      <c r="DF91" s="58">
        <f>IF(DAY(INDEX('Сводный годовой график'!$BA$4:$BL$14,$C90,MONTH($B$84)))=Z$3,1,0)</f>
        <v>0</v>
      </c>
      <c r="DG91" s="58">
        <f>IF(DAY(INDEX('Сводный годовой график'!$BA$4:$BL$14,$C90,MONTH($B$84)))=AA$3,1,0)</f>
        <v>0</v>
      </c>
      <c r="DH91" s="58">
        <f>IF(DAY(INDEX('Сводный годовой график'!$BA$4:$BL$14,$C90,MONTH($B$84)))=AB$3,1,0)</f>
        <v>0</v>
      </c>
      <c r="DI91" s="58">
        <f>IF(DAY(INDEX('Сводный годовой график'!$BA$4:$BL$14,$C90,MONTH($B$84)))=AC$3,1,0)</f>
        <v>0</v>
      </c>
      <c r="DJ91" s="58">
        <f>IF(DAY(INDEX('Сводный годовой график'!$BA$4:$BL$14,$C90,MONTH($B$84)))=AD$3,1,0)</f>
        <v>0</v>
      </c>
      <c r="DK91" s="58">
        <f>IF(DAY(INDEX('Сводный годовой график'!$BA$4:$BL$14,$C90,MONTH($B$84)))=AE$3,1,0)</f>
        <v>0</v>
      </c>
      <c r="DL91" s="58">
        <f>IF(DAY(INDEX('Сводный годовой график'!$BA$4:$BL$14,$C90,MONTH($B$84)))=AF$3,1,0)</f>
        <v>0</v>
      </c>
      <c r="DM91" s="58">
        <f>IF(DAY(INDEX('Сводный годовой график'!$BA$4:$BL$14,$C90,MONTH($B$84)))=AG$3,1,0)</f>
        <v>0</v>
      </c>
      <c r="DN91" s="58">
        <f>IF(DAY(INDEX('Сводный годовой график'!$BA$4:$BL$14,$C90,MONTH($B$84)))=AH$3,1,0)</f>
        <v>0</v>
      </c>
      <c r="DO91" s="58">
        <f>IF(DAY(INDEX('Сводный годовой график'!$BA$4:$BL$14,$C90,MONTH($B$84)))=AI$3,1,0)</f>
        <v>0</v>
      </c>
    </row>
    <row r="92" spans="2:119" ht="16.5" thickBot="1" x14ac:dyDescent="0.3">
      <c r="B92" s="201"/>
      <c r="C92" s="196">
        <v>5</v>
      </c>
      <c r="D92" s="81">
        <v>9</v>
      </c>
      <c r="E92" s="92" t="s">
        <v>36</v>
      </c>
      <c r="F92" s="92" t="s">
        <v>36</v>
      </c>
      <c r="G92" s="92" t="s">
        <v>36</v>
      </c>
      <c r="H92" s="92" t="s">
        <v>36</v>
      </c>
      <c r="I92" s="92" t="s">
        <v>36</v>
      </c>
      <c r="J92" s="92" t="s">
        <v>36</v>
      </c>
      <c r="K92" s="92" t="s">
        <v>36</v>
      </c>
      <c r="L92" s="92" t="s">
        <v>36</v>
      </c>
      <c r="M92" s="92" t="s">
        <v>36</v>
      </c>
      <c r="N92" s="92" t="s">
        <v>36</v>
      </c>
      <c r="O92" s="92" t="s">
        <v>36</v>
      </c>
      <c r="P92" s="92" t="s">
        <v>36</v>
      </c>
      <c r="Q92" s="92" t="s">
        <v>36</v>
      </c>
      <c r="R92" s="92" t="s">
        <v>36</v>
      </c>
      <c r="S92" s="92" t="s">
        <v>36</v>
      </c>
      <c r="T92" s="92" t="s">
        <v>36</v>
      </c>
      <c r="U92" s="92" t="s">
        <v>36</v>
      </c>
      <c r="V92" s="92" t="s">
        <v>36</v>
      </c>
      <c r="W92" s="92" t="s">
        <v>36</v>
      </c>
      <c r="X92" s="92" t="s">
        <v>36</v>
      </c>
      <c r="Y92" s="92" t="s">
        <v>36</v>
      </c>
      <c r="Z92" s="92" t="s">
        <v>36</v>
      </c>
      <c r="AA92" s="92" t="s">
        <v>36</v>
      </c>
      <c r="AB92" s="92" t="s">
        <v>36</v>
      </c>
      <c r="AC92" s="92" t="s">
        <v>36</v>
      </c>
      <c r="AD92" s="92" t="s">
        <v>36</v>
      </c>
      <c r="AE92" s="92" t="s">
        <v>36</v>
      </c>
      <c r="AF92" s="92" t="s">
        <v>36</v>
      </c>
      <c r="AG92" s="92" t="s">
        <v>36</v>
      </c>
      <c r="AH92" s="92" t="s">
        <v>36</v>
      </c>
      <c r="AI92" s="119"/>
      <c r="AJ92" s="206"/>
      <c r="AK92" s="209">
        <f>$AJ$84-SUM(AY92:CC93)</f>
        <v>176</v>
      </c>
      <c r="AL92" s="209">
        <f t="shared" ref="AL92" si="157">SUM(E92:AI93)</f>
        <v>0</v>
      </c>
      <c r="AM92" s="209">
        <v>0</v>
      </c>
      <c r="AN92" s="211">
        <f t="shared" ref="AN92" si="158">-AM92-AK92+AL92</f>
        <v>-176</v>
      </c>
      <c r="AO92" s="211">
        <v>0</v>
      </c>
      <c r="AP92" s="211">
        <f>AN92+AP82-AO92</f>
        <v>-1533</v>
      </c>
      <c r="AQ92" s="209">
        <v>0</v>
      </c>
      <c r="AR92" s="210">
        <v>1</v>
      </c>
      <c r="CK92" s="59"/>
      <c r="CL92" s="59"/>
      <c r="CM92" s="59"/>
      <c r="CN92" s="59"/>
      <c r="CO92" s="59"/>
      <c r="CP92" s="59"/>
      <c r="CQ92" s="59"/>
      <c r="CR92" s="59"/>
      <c r="CS92" s="59"/>
      <c r="CT92" s="59"/>
      <c r="CU92" s="59"/>
      <c r="CV92" s="59"/>
      <c r="CW92" s="59"/>
      <c r="CX92" s="59"/>
      <c r="CY92" s="59"/>
      <c r="CZ92" s="59"/>
      <c r="DA92" s="59"/>
      <c r="DB92" s="59"/>
      <c r="DC92" s="59"/>
      <c r="DD92" s="59"/>
      <c r="DE92" s="59"/>
      <c r="DF92" s="59"/>
      <c r="DG92" s="59"/>
      <c r="DH92" s="59"/>
      <c r="DI92" s="59"/>
      <c r="DJ92" s="59"/>
      <c r="DK92" s="59"/>
      <c r="DL92" s="59"/>
      <c r="DM92" s="59"/>
      <c r="DN92" s="59"/>
      <c r="DO92" s="59"/>
    </row>
    <row r="93" spans="2:119" ht="16.5" thickBot="1" x14ac:dyDescent="0.3">
      <c r="B93" s="202"/>
      <c r="C93" s="212"/>
      <c r="D93" s="99">
        <v>10</v>
      </c>
      <c r="E93" s="30" t="str">
        <f t="shared" ref="E93:AH93" si="159">IF(INDEX($CK$4:$DO$123,ROW()-3,E$3)=0,"","СП")</f>
        <v/>
      </c>
      <c r="F93" s="30" t="str">
        <f t="shared" si="159"/>
        <v/>
      </c>
      <c r="G93" s="30" t="str">
        <f t="shared" si="159"/>
        <v/>
      </c>
      <c r="H93" s="30" t="str">
        <f t="shared" si="159"/>
        <v/>
      </c>
      <c r="I93" s="30" t="str">
        <f t="shared" si="159"/>
        <v/>
      </c>
      <c r="J93" s="30" t="str">
        <f t="shared" si="159"/>
        <v/>
      </c>
      <c r="K93" s="30" t="str">
        <f t="shared" si="159"/>
        <v/>
      </c>
      <c r="L93" s="30" t="str">
        <f t="shared" si="159"/>
        <v/>
      </c>
      <c r="M93" s="30" t="str">
        <f t="shared" si="159"/>
        <v/>
      </c>
      <c r="N93" s="30" t="str">
        <f t="shared" si="159"/>
        <v/>
      </c>
      <c r="O93" s="30" t="str">
        <f t="shared" si="159"/>
        <v/>
      </c>
      <c r="P93" s="30" t="str">
        <f t="shared" si="159"/>
        <v/>
      </c>
      <c r="Q93" s="30" t="str">
        <f t="shared" si="159"/>
        <v>СП</v>
      </c>
      <c r="R93" s="30" t="str">
        <f t="shared" si="159"/>
        <v/>
      </c>
      <c r="S93" s="30" t="str">
        <f t="shared" si="159"/>
        <v/>
      </c>
      <c r="T93" s="30" t="str">
        <f t="shared" si="159"/>
        <v/>
      </c>
      <c r="U93" s="30" t="str">
        <f t="shared" si="159"/>
        <v/>
      </c>
      <c r="V93" s="30" t="str">
        <f t="shared" si="159"/>
        <v/>
      </c>
      <c r="W93" s="30" t="str">
        <f t="shared" si="159"/>
        <v/>
      </c>
      <c r="X93" s="30" t="str">
        <f t="shared" si="159"/>
        <v/>
      </c>
      <c r="Y93" s="30" t="str">
        <f t="shared" si="159"/>
        <v/>
      </c>
      <c r="Z93" s="30" t="str">
        <f t="shared" si="159"/>
        <v/>
      </c>
      <c r="AA93" s="30" t="str">
        <f t="shared" si="159"/>
        <v/>
      </c>
      <c r="AB93" s="30" t="str">
        <f t="shared" si="159"/>
        <v/>
      </c>
      <c r="AC93" s="30" t="str">
        <f t="shared" si="159"/>
        <v/>
      </c>
      <c r="AD93" s="30" t="str">
        <f t="shared" si="159"/>
        <v/>
      </c>
      <c r="AE93" s="30" t="str">
        <f t="shared" si="159"/>
        <v/>
      </c>
      <c r="AF93" s="30" t="str">
        <f t="shared" si="159"/>
        <v/>
      </c>
      <c r="AG93" s="30" t="str">
        <f t="shared" si="159"/>
        <v/>
      </c>
      <c r="AH93" s="30" t="str">
        <f t="shared" si="159"/>
        <v/>
      </c>
      <c r="AI93" s="120"/>
      <c r="AJ93" s="207"/>
      <c r="AK93" s="213"/>
      <c r="AL93" s="213"/>
      <c r="AM93" s="213"/>
      <c r="AN93" s="214"/>
      <c r="AO93" s="214"/>
      <c r="AP93" s="214"/>
      <c r="AQ93" s="213"/>
      <c r="AR93" s="215"/>
      <c r="CK93" s="58">
        <f>IF(DAY(INDEX('Сводный годовой график'!$BA$4:$BL$14,$C92,MONTH($B$84)))=E$3,1,0)</f>
        <v>0</v>
      </c>
      <c r="CL93" s="58">
        <f>IF(DAY(INDEX('Сводный годовой график'!$BA$4:$BL$14,$C92,MONTH($B$84)))=F$3,1,0)</f>
        <v>0</v>
      </c>
      <c r="CM93" s="58">
        <f>IF(DAY(INDEX('Сводный годовой график'!$BA$4:$BL$14,$C92,MONTH($B$84)))=G$3,1,0)</f>
        <v>0</v>
      </c>
      <c r="CN93" s="58">
        <f>IF(DAY(INDEX('Сводный годовой график'!$BA$4:$BL$14,$C92,MONTH($B$84)))=H$3,1,0)</f>
        <v>0</v>
      </c>
      <c r="CO93" s="58">
        <f>IF(DAY(INDEX('Сводный годовой график'!$BA$4:$BL$14,$C92,MONTH($B$84)))=I$3,1,0)</f>
        <v>0</v>
      </c>
      <c r="CP93" s="58">
        <f>IF(DAY(INDEX('Сводный годовой график'!$BA$4:$BL$14,$C92,MONTH($B$84)))=J$3,1,0)</f>
        <v>0</v>
      </c>
      <c r="CQ93" s="58">
        <f>IF(DAY(INDEX('Сводный годовой график'!$BA$4:$BL$14,$C92,MONTH($B$84)))=K$3,1,0)</f>
        <v>0</v>
      </c>
      <c r="CR93" s="58">
        <f>IF(DAY(INDEX('Сводный годовой график'!$BA$4:$BL$14,$C92,MONTH($B$84)))=L$3,1,0)</f>
        <v>0</v>
      </c>
      <c r="CS93" s="58">
        <f>IF(DAY(INDEX('Сводный годовой график'!$BA$4:$BL$14,$C92,MONTH($B$84)))=M$3,1,0)</f>
        <v>0</v>
      </c>
      <c r="CT93" s="58">
        <f>IF(DAY(INDEX('Сводный годовой график'!$BA$4:$BL$14,$C92,MONTH($B$84)))=N$3,1,0)</f>
        <v>0</v>
      </c>
      <c r="CU93" s="58">
        <f>IF(DAY(INDEX('Сводный годовой график'!$BA$4:$BL$14,$C92,MONTH($B$84)))=O$3,1,0)</f>
        <v>0</v>
      </c>
      <c r="CV93" s="58">
        <f>IF(DAY(INDEX('Сводный годовой график'!$BA$4:$BL$14,$C92,MONTH($B$84)))=P$3,1,0)</f>
        <v>0</v>
      </c>
      <c r="CW93" s="58">
        <f>IF(DAY(INDEX('Сводный годовой график'!$BA$4:$BL$14,$C92,MONTH($B$84)))=Q$3,1,0)</f>
        <v>1</v>
      </c>
      <c r="CX93" s="58">
        <f>IF(DAY(INDEX('Сводный годовой график'!$BA$4:$BL$14,$C92,MONTH($B$84)))=R$3,1,0)</f>
        <v>0</v>
      </c>
      <c r="CY93" s="58">
        <f>IF(DAY(INDEX('Сводный годовой график'!$BA$4:$BL$14,$C92,MONTH($B$84)))=S$3,1,0)</f>
        <v>0</v>
      </c>
      <c r="CZ93" s="58">
        <f>IF(DAY(INDEX('Сводный годовой график'!$BA$4:$BL$14,$C92,MONTH($B$84)))=T$3,1,0)</f>
        <v>0</v>
      </c>
      <c r="DA93" s="58">
        <f>IF(DAY(INDEX('Сводный годовой график'!$BA$4:$BL$14,$C92,MONTH($B$84)))=U$3,1,0)</f>
        <v>0</v>
      </c>
      <c r="DB93" s="58">
        <f>IF(DAY(INDEX('Сводный годовой график'!$BA$4:$BL$14,$C92,MONTH($B$84)))=V$3,1,0)</f>
        <v>0</v>
      </c>
      <c r="DC93" s="58">
        <f>IF(DAY(INDEX('Сводный годовой график'!$BA$4:$BL$14,$C92,MONTH($B$84)))=W$3,1,0)</f>
        <v>0</v>
      </c>
      <c r="DD93" s="58">
        <f>IF(DAY(INDEX('Сводный годовой график'!$BA$4:$BL$14,$C92,MONTH($B$84)))=X$3,1,0)</f>
        <v>0</v>
      </c>
      <c r="DE93" s="58">
        <f>IF(DAY(INDEX('Сводный годовой график'!$BA$4:$BL$14,$C92,MONTH($B$84)))=Y$3,1,0)</f>
        <v>0</v>
      </c>
      <c r="DF93" s="58">
        <f>IF(DAY(INDEX('Сводный годовой график'!$BA$4:$BL$14,$C92,MONTH($B$84)))=Z$3,1,0)</f>
        <v>0</v>
      </c>
      <c r="DG93" s="58">
        <f>IF(DAY(INDEX('Сводный годовой график'!$BA$4:$BL$14,$C92,MONTH($B$84)))=AA$3,1,0)</f>
        <v>0</v>
      </c>
      <c r="DH93" s="58">
        <f>IF(DAY(INDEX('Сводный годовой график'!$BA$4:$BL$14,$C92,MONTH($B$84)))=AB$3,1,0)</f>
        <v>0</v>
      </c>
      <c r="DI93" s="58">
        <f>IF(DAY(INDEX('Сводный годовой график'!$BA$4:$BL$14,$C92,MONTH($B$84)))=AC$3,1,0)</f>
        <v>0</v>
      </c>
      <c r="DJ93" s="58">
        <f>IF(DAY(INDEX('Сводный годовой график'!$BA$4:$BL$14,$C92,MONTH($B$84)))=AD$3,1,0)</f>
        <v>0</v>
      </c>
      <c r="DK93" s="58">
        <f>IF(DAY(INDEX('Сводный годовой график'!$BA$4:$BL$14,$C92,MONTH($B$84)))=AE$3,1,0)</f>
        <v>0</v>
      </c>
      <c r="DL93" s="58">
        <f>IF(DAY(INDEX('Сводный годовой график'!$BA$4:$BL$14,$C92,MONTH($B$84)))=AF$3,1,0)</f>
        <v>0</v>
      </c>
      <c r="DM93" s="58">
        <f>IF(DAY(INDEX('Сводный годовой график'!$BA$4:$BL$14,$C92,MONTH($B$84)))=AG$3,1,0)</f>
        <v>0</v>
      </c>
      <c r="DN93" s="58">
        <f>IF(DAY(INDEX('Сводный годовой график'!$BA$4:$BL$14,$C92,MONTH($B$84)))=AH$3,1,0)</f>
        <v>0</v>
      </c>
      <c r="DO93" s="58">
        <f>IF(DAY(INDEX('Сводный годовой график'!$BA$4:$BL$14,$C92,MONTH($B$84)))=AI$3,1,0)</f>
        <v>0</v>
      </c>
    </row>
    <row r="94" spans="2:119" ht="17.25" customHeight="1" thickTop="1" thickBot="1" x14ac:dyDescent="0.3">
      <c r="B94" s="200">
        <f>DATE($AV$1,10,1)</f>
        <v>45931</v>
      </c>
      <c r="C94" s="196">
        <v>1</v>
      </c>
      <c r="D94" s="81">
        <v>1</v>
      </c>
      <c r="E94" s="28" t="e">
        <f ca="1">IF(AND(INDEX('Сводный годовой график'!$C$1:$AR$4,MATCH($C$94,'Сводный годовой график'!$B$1:$B$4),MATCH(DATE($AV$1,MONTH($B$94),E$3),'Сводный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график'!$B$1:$B$4),MATCH(DATE($AV$1,MONTH($B$94),E$3),'Сводный годовой график'!$C$14:$AR$14)))</f>
        <v>#N/A</v>
      </c>
      <c r="F94" s="28" t="e">
        <f ca="1">IF(AND(INDEX('Сводный годовой график'!$C$1:$AR$4,MATCH($C$94,'Сводный годовой график'!$B$1:$B$4),MATCH(DATE($AV$1,MONTH($B$94),F$3),'Сводный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график'!$B$1:$B$4),MATCH(DATE($AV$1,MONTH($B$94),F$3),'Сводный годовой график'!$C$14:$AR$14)))</f>
        <v>#N/A</v>
      </c>
      <c r="G94" s="28" t="e">
        <f ca="1">IF(AND(INDEX('Сводный годовой график'!$C$1:$AR$4,MATCH($C$94,'Сводный годовой график'!$B$1:$B$4),MATCH(DATE($AV$1,MONTH($B$94),G$3),'Сводный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график'!$B$1:$B$4),MATCH(DATE($AV$1,MONTH($B$94),G$3),'Сводный годовой график'!$C$14:$AR$14)))</f>
        <v>#N/A</v>
      </c>
      <c r="H94" s="28" t="e">
        <f ca="1">IF(AND(INDEX('Сводный годовой график'!$C$1:$AR$4,MATCH($C$94,'Сводный годовой график'!$B$1:$B$4),MATCH(DATE($AV$1,MONTH($B$94),H$3),'Сводный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график'!$B$1:$B$4),MATCH(DATE($AV$1,MONTH($B$94),H$3),'Сводный годовой график'!$C$14:$AR$14)))</f>
        <v>#N/A</v>
      </c>
      <c r="I94" s="28" t="e">
        <f ca="1">IF(AND(INDEX('Сводный годовой график'!$C$1:$AR$4,MATCH($C$94,'Сводный годовой график'!$B$1:$B$4),MATCH(DATE($AV$1,MONTH($B$94),I$3),'Сводный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график'!$B$1:$B$4),MATCH(DATE($AV$1,MONTH($B$94),I$3),'Сводный годовой график'!$C$14:$AR$14)))</f>
        <v>#N/A</v>
      </c>
      <c r="J94" s="28" t="e">
        <f ca="1">IF(AND(INDEX('Сводный годовой график'!$C$1:$AR$4,MATCH($C$94,'Сводный годовой график'!$B$1:$B$4),MATCH(DATE($AV$1,MONTH($B$94),J$3),'Сводный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график'!$B$1:$B$4),MATCH(DATE($AV$1,MONTH($B$94),J$3),'Сводный годовой график'!$C$14:$AR$14)))</f>
        <v>#N/A</v>
      </c>
      <c r="K94" s="28" t="e">
        <f ca="1">IF(AND(INDEX('Сводный годовой график'!$C$1:$AR$4,MATCH($C$94,'Сводный годовой график'!$B$1:$B$4),MATCH(DATE($AV$1,MONTH($B$94),K$3),'Сводный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график'!$B$1:$B$4),MATCH(DATE($AV$1,MONTH($B$94),K$3),'Сводный годовой график'!$C$14:$AR$14)))</f>
        <v>#N/A</v>
      </c>
      <c r="L94" s="28" t="e">
        <f ca="1">IF(AND(INDEX('Сводный годовой график'!$C$1:$AR$4,MATCH($C$94,'Сводный годовой график'!$B$1:$B$4),MATCH(DATE($AV$1,MONTH($B$94),L$3),'Сводный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график'!$B$1:$B$4),MATCH(DATE($AV$1,MONTH($B$94),L$3),'Сводный годовой график'!$C$14:$AR$14)))</f>
        <v>#N/A</v>
      </c>
      <c r="M94" s="28" t="e">
        <f ca="1">IF(AND(INDEX('Сводный годовой график'!$C$1:$AR$4,MATCH($C$94,'Сводный годовой график'!$B$1:$B$4),MATCH(DATE($AV$1,MONTH($B$94),M$3),'Сводный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график'!$B$1:$B$4),MATCH(DATE($AV$1,MONTH($B$94),M$3),'Сводный годовой график'!$C$14:$AR$14)))</f>
        <v>#N/A</v>
      </c>
      <c r="N94" s="28" t="e">
        <f ca="1">IF(AND(INDEX('Сводный годовой график'!$C$1:$AR$4,MATCH($C$94,'Сводный годовой график'!$B$1:$B$4),MATCH(DATE($AV$1,MONTH($B$94),N$3),'Сводный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график'!$B$1:$B$4),MATCH(DATE($AV$1,MONTH($B$94),N$3),'Сводный годовой график'!$C$14:$AR$14)))</f>
        <v>#N/A</v>
      </c>
      <c r="O94" s="28" t="e">
        <f ca="1">IF(AND(INDEX('Сводный годовой график'!$C$1:$AR$4,MATCH($C$94,'Сводный годовой график'!$B$1:$B$4),MATCH(DATE($AV$1,MONTH($B$94),O$3),'Сводный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график'!$B$1:$B$4),MATCH(DATE($AV$1,MONTH($B$94),O$3),'Сводный годовой график'!$C$14:$AR$14)))</f>
        <v>#N/A</v>
      </c>
      <c r="P94" s="28" t="e">
        <f ca="1">IF(AND(INDEX('Сводный годовой график'!$C$1:$AR$4,MATCH($C$94,'Сводный годовой график'!$B$1:$B$4),MATCH(DATE($AV$1,MONTH($B$94),P$3),'Сводный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график'!$B$1:$B$4),MATCH(DATE($AV$1,MONTH($B$94),P$3),'Сводный годовой график'!$C$14:$AR$14)))</f>
        <v>#N/A</v>
      </c>
      <c r="Q94" s="28" t="e">
        <f ca="1">IF(AND(INDEX('Сводный годовой график'!$C$1:$AR$4,MATCH($C$94,'Сводный годовой график'!$B$1:$B$4),MATCH(DATE($AV$1,MONTH($B$94),Q$3),'Сводный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график'!$B$1:$B$4),MATCH(DATE($AV$1,MONTH($B$94),Q$3),'Сводный годовой график'!$C$14:$AR$14)))</f>
        <v>#N/A</v>
      </c>
      <c r="R94" s="28" t="e">
        <f ca="1">IF(AND(INDEX('Сводный годовой график'!$C$1:$AR$4,MATCH($C$94,'Сводный годовой график'!$B$1:$B$4),MATCH(DATE($AV$1,MONTH($B$94),R$3),'Сводный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график'!$B$1:$B$4),MATCH(DATE($AV$1,MONTH($B$94),R$3),'Сводный годовой график'!$C$14:$AR$14)))</f>
        <v>#N/A</v>
      </c>
      <c r="S94" s="28" t="e">
        <f ca="1">IF(AND(INDEX('Сводный годовой график'!$C$1:$AR$4,MATCH($C$94,'Сводный годовой график'!$B$1:$B$4),MATCH(DATE($AV$1,MONTH($B$94),S$3),'Сводный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график'!$B$1:$B$4),MATCH(DATE($AV$1,MONTH($B$94),S$3),'Сводный годовой график'!$C$14:$AR$14)))</f>
        <v>#N/A</v>
      </c>
      <c r="T94" s="28" t="e">
        <f ca="1">IF(AND(INDEX('Сводный годовой график'!$C$1:$AR$4,MATCH($C$94,'Сводный годовой график'!$B$1:$B$4),MATCH(DATE($AV$1,MONTH($B$94),T$3),'Сводный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график'!$B$1:$B$4),MATCH(DATE($AV$1,MONTH($B$94),T$3),'Сводный годовой график'!$C$14:$AR$14)))</f>
        <v>#N/A</v>
      </c>
      <c r="U94" s="28" t="e">
        <f ca="1">IF(AND(INDEX('Сводный годовой график'!$C$1:$AR$4,MATCH($C$94,'Сводный годовой график'!$B$1:$B$4),MATCH(DATE($AV$1,MONTH($B$94),U$3),'Сводный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график'!$B$1:$B$4),MATCH(DATE($AV$1,MONTH($B$94),U$3),'Сводный годовой график'!$C$14:$AR$14)))</f>
        <v>#N/A</v>
      </c>
      <c r="V94" s="28" t="e">
        <f ca="1">IF(AND(INDEX('Сводный годовой график'!$C$1:$AR$4,MATCH($C$94,'Сводный годовой график'!$B$1:$B$4),MATCH(DATE($AV$1,MONTH($B$94),V$3),'Сводный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график'!$B$1:$B$4),MATCH(DATE($AV$1,MONTH($B$94),V$3),'Сводный годовой график'!$C$14:$AR$14)))</f>
        <v>#N/A</v>
      </c>
      <c r="W94" s="28" t="e">
        <f ca="1">IF(AND(INDEX('Сводный годовой график'!$C$1:$AR$4,MATCH($C$94,'Сводный годовой график'!$B$1:$B$4),MATCH(DATE($AV$1,MONTH($B$94),W$3),'Сводный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график'!$B$1:$B$4),MATCH(DATE($AV$1,MONTH($B$94),W$3),'Сводный годовой график'!$C$14:$AR$14)))</f>
        <v>#N/A</v>
      </c>
      <c r="X94" s="28" t="e">
        <f ca="1">IF(AND(INDEX('Сводный годовой график'!$C$1:$AR$4,MATCH($C$94,'Сводный годовой график'!$B$1:$B$4),MATCH(DATE($AV$1,MONTH($B$94),X$3),'Сводный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график'!$B$1:$B$4),MATCH(DATE($AV$1,MONTH($B$94),X$3),'Сводный годовой график'!$C$14:$AR$14)))</f>
        <v>#N/A</v>
      </c>
      <c r="Y94" s="28" t="e">
        <f ca="1">IF(AND(INDEX('Сводный годовой график'!$C$1:$AR$4,MATCH($C$94,'Сводный годовой график'!$B$1:$B$4),MATCH(DATE($AV$1,MONTH($B$94),Y$3),'Сводный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график'!$B$1:$B$4),MATCH(DATE($AV$1,MONTH($B$94),Y$3),'Сводный годовой график'!$C$14:$AR$14)))</f>
        <v>#N/A</v>
      </c>
      <c r="Z94" s="28" t="e">
        <f ca="1">IF(AND(INDEX('Сводный годовой график'!$C$1:$AR$4,MATCH($C$94,'Сводный годовой график'!$B$1:$B$4),MATCH(DATE($AV$1,MONTH($B$94),Z$3),'Сводный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график'!$B$1:$B$4),MATCH(DATE($AV$1,MONTH($B$94),Z$3),'Сводный годовой график'!$C$14:$AR$14)))</f>
        <v>#N/A</v>
      </c>
      <c r="AA94" s="28" t="e">
        <f ca="1">IF(AND(INDEX('Сводный годовой график'!$C$1:$AR$4,MATCH($C$94,'Сводный годовой график'!$B$1:$B$4),MATCH(DATE($AV$1,MONTH($B$94),AA$3),'Сводный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график'!$B$1:$B$4),MATCH(DATE($AV$1,MONTH($B$94),AA$3),'Сводный годовой график'!$C$14:$AR$14)))</f>
        <v>#N/A</v>
      </c>
      <c r="AB94" s="28" t="e">
        <f ca="1">IF(AND(INDEX('Сводный годовой график'!$C$1:$AR$4,MATCH($C$94,'Сводный годовой график'!$B$1:$B$4),MATCH(DATE($AV$1,MONTH($B$94),AB$3),'Сводный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график'!$B$1:$B$4),MATCH(DATE($AV$1,MONTH($B$94),AB$3),'Сводный годовой график'!$C$14:$AR$14)))</f>
        <v>#N/A</v>
      </c>
      <c r="AC94" s="28" t="e">
        <f ca="1">IF(AND(INDEX('Сводный годовой график'!$C$1:$AR$4,MATCH($C$94,'Сводный годовой график'!$B$1:$B$4),MATCH(DATE($AV$1,MONTH($B$94),AC$3),'Сводный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график'!$B$1:$B$4),MATCH(DATE($AV$1,MONTH($B$94),AC$3),'Сводный годовой график'!$C$14:$AR$14)))</f>
        <v>#N/A</v>
      </c>
      <c r="AD94" s="28" t="e">
        <f ca="1">IF(AND(INDEX('Сводный годовой график'!$C$1:$AR$4,MATCH($C$94,'Сводный годовой график'!$B$1:$B$4),MATCH(DATE($AV$1,MONTH($B$94),AD$3),'Сводный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график'!$B$1:$B$4),MATCH(DATE($AV$1,MONTH($B$94),AD$3),'Сводный годовой график'!$C$14:$AR$14)))</f>
        <v>#N/A</v>
      </c>
      <c r="AE94" s="28" t="e">
        <f ca="1">IF(AND(INDEX('Сводный годовой график'!$C$1:$AR$4,MATCH($C$94,'Сводный годовой график'!$B$1:$B$4),MATCH(DATE($AV$1,MONTH($B$94),AE$3),'Сводный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график'!$B$1:$B$4),MATCH(DATE($AV$1,MONTH($B$94),AE$3),'Сводный годовой график'!$C$14:$AR$14)))</f>
        <v>#N/A</v>
      </c>
      <c r="AF94" s="28" t="e">
        <f ca="1">IF(AND(INDEX('Сводный годовой график'!$C$1:$AR$4,MATCH($C$94,'Сводный годовой график'!$B$1:$B$4),MATCH(DATE($AV$1,MONTH($B$94),AF$3),'Сводный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график'!$B$1:$B$4),MATCH(DATE($AV$1,MONTH($B$94),AF$3),'Сводный годовой график'!$C$14:$AR$14)))</f>
        <v>#N/A</v>
      </c>
      <c r="AG94" s="28" t="e">
        <f ca="1">IF(AND(INDEX('Сводный годовой график'!$C$1:$AR$4,MATCH($C$94,'Сводный годовой график'!$B$1:$B$4),MATCH(DATE($AV$1,MONTH($B$94),AG$3),'Сводный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график'!$B$1:$B$4),MATCH(DATE($AV$1,MONTH($B$94),AG$3),'Сводный годовой график'!$C$14:$AR$14)))</f>
        <v>#N/A</v>
      </c>
      <c r="AH94" s="28" t="e">
        <f ca="1">IF(AND(INDEX('Сводный годовой график'!$C$1:$AR$4,MATCH($C$94,'Сводный годовой график'!$B$1:$B$4),MATCH(DATE($AV$1,MONTH($B$94),AH$3),'Сводный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график'!$B$1:$B$4),MATCH(DATE($AV$1,MONTH($B$94),AH$3),'Сводный годовой график'!$C$14:$AR$14)))</f>
        <v>#N/A</v>
      </c>
      <c r="AI94" s="95" t="e">
        <f ca="1">IF(AND(INDEX('Сводный годовой график'!$C$1:$AR$4,MATCH($C$94,'Сводный годовой график'!$B$1:$B$4),MATCH(DATE($AV$1,MONTH($B$94),AI$3),'Сводный годовой график'!$C$14:$AR$14))&lt;&gt;12,INDIRECT(ADDRESS(ROW()+1,COLUMN()))="СП"),8,INDEX('Сводный годовой график'!$C$1:$AR$4,MATCH($C$94,'Сводный годовой график'!$B$1:$B$4),MATCH(DATE($AV$1,MONTH($B$94),AI$3),'Сводный годовой график'!$C$14:$AR$14)))</f>
        <v>#N/A</v>
      </c>
      <c r="AJ94" s="205">
        <f>INDEX(Подключения!$D$3:$H$14,MONTH(B94),5)</f>
        <v>184</v>
      </c>
      <c r="AK94" s="203">
        <f>$AJ$94-SUM(AY94:CC95)</f>
        <v>184</v>
      </c>
      <c r="AL94" s="203" t="e">
        <f ca="1">SUM(E94:AI95)</f>
        <v>#N/A</v>
      </c>
      <c r="AM94" s="203">
        <v>0</v>
      </c>
      <c r="AN94" s="208" t="e">
        <f t="shared" ref="AN94" ca="1" si="160">-AM94-AK94+AL94</f>
        <v>#N/A</v>
      </c>
      <c r="AO94" s="208">
        <v>0</v>
      </c>
      <c r="AP94" s="208" t="e">
        <f t="shared" ref="AP94" ca="1" si="161">AN94+AP84</f>
        <v>#N/A</v>
      </c>
      <c r="AQ94" s="203">
        <v>0</v>
      </c>
      <c r="AR94" s="204">
        <v>1</v>
      </c>
      <c r="CK94" s="59"/>
      <c r="CL94" s="59"/>
      <c r="CM94" s="59"/>
      <c r="CN94" s="59"/>
      <c r="CO94" s="59"/>
      <c r="CP94" s="59"/>
      <c r="CQ94" s="59"/>
      <c r="CR94" s="59"/>
      <c r="CS94" s="59"/>
      <c r="CT94" s="59"/>
      <c r="CU94" s="59"/>
      <c r="CV94" s="59"/>
      <c r="CW94" s="59"/>
      <c r="CX94" s="59"/>
      <c r="CY94" s="59"/>
      <c r="CZ94" s="59"/>
      <c r="DA94" s="59"/>
      <c r="DB94" s="59"/>
      <c r="DC94" s="59"/>
      <c r="DD94" s="59"/>
      <c r="DE94" s="59"/>
      <c r="DF94" s="59"/>
      <c r="DG94" s="59"/>
      <c r="DH94" s="59"/>
      <c r="DI94" s="59"/>
      <c r="DJ94" s="59"/>
      <c r="DK94" s="59"/>
      <c r="DL94" s="59"/>
      <c r="DM94" s="59"/>
      <c r="DN94" s="59"/>
      <c r="DO94" s="59"/>
    </row>
    <row r="95" spans="2:119" ht="16.5" thickBot="1" x14ac:dyDescent="0.3">
      <c r="B95" s="201"/>
      <c r="C95" s="197"/>
      <c r="D95" s="82">
        <v>2</v>
      </c>
      <c r="E95" s="92" t="str">
        <f t="shared" ref="E95:AI95" si="162">IF(INDEX($CK$4:$DO$123,ROW()-3,E$3)=0,"","СП")</f>
        <v/>
      </c>
      <c r="F95" s="92" t="str">
        <f t="shared" si="162"/>
        <v/>
      </c>
      <c r="G95" s="92" t="str">
        <f t="shared" si="162"/>
        <v/>
      </c>
      <c r="H95" s="92" t="str">
        <f t="shared" si="162"/>
        <v/>
      </c>
      <c r="I95" s="92" t="str">
        <f t="shared" si="162"/>
        <v/>
      </c>
      <c r="J95" s="92" t="str">
        <f t="shared" si="162"/>
        <v/>
      </c>
      <c r="K95" s="92" t="str">
        <f t="shared" si="162"/>
        <v/>
      </c>
      <c r="L95" s="92" t="str">
        <f t="shared" si="162"/>
        <v/>
      </c>
      <c r="M95" s="92" t="str">
        <f t="shared" si="162"/>
        <v/>
      </c>
      <c r="N95" s="92" t="str">
        <f t="shared" si="162"/>
        <v>СП</v>
      </c>
      <c r="O95" s="92" t="str">
        <f t="shared" si="162"/>
        <v/>
      </c>
      <c r="P95" s="92" t="str">
        <f t="shared" si="162"/>
        <v/>
      </c>
      <c r="Q95" s="92" t="str">
        <f t="shared" si="162"/>
        <v/>
      </c>
      <c r="R95" s="92" t="str">
        <f t="shared" si="162"/>
        <v/>
      </c>
      <c r="S95" s="92" t="str">
        <f t="shared" si="162"/>
        <v/>
      </c>
      <c r="T95" s="92" t="str">
        <f t="shared" si="162"/>
        <v/>
      </c>
      <c r="U95" s="92" t="str">
        <f t="shared" si="162"/>
        <v/>
      </c>
      <c r="V95" s="92" t="str">
        <f t="shared" si="162"/>
        <v/>
      </c>
      <c r="W95" s="92" t="str">
        <f t="shared" si="162"/>
        <v/>
      </c>
      <c r="X95" s="92" t="str">
        <f t="shared" si="162"/>
        <v/>
      </c>
      <c r="Y95" s="92" t="str">
        <f t="shared" si="162"/>
        <v/>
      </c>
      <c r="Z95" s="92" t="str">
        <f t="shared" si="162"/>
        <v/>
      </c>
      <c r="AA95" s="92" t="str">
        <f t="shared" si="162"/>
        <v/>
      </c>
      <c r="AB95" s="92" t="str">
        <f t="shared" si="162"/>
        <v/>
      </c>
      <c r="AC95" s="92" t="str">
        <f t="shared" si="162"/>
        <v/>
      </c>
      <c r="AD95" s="92" t="str">
        <f t="shared" si="162"/>
        <v/>
      </c>
      <c r="AE95" s="92" t="str">
        <f t="shared" si="162"/>
        <v/>
      </c>
      <c r="AF95" s="92" t="str">
        <f t="shared" si="162"/>
        <v/>
      </c>
      <c r="AG95" s="92" t="str">
        <f t="shared" si="162"/>
        <v/>
      </c>
      <c r="AH95" s="92" t="str">
        <f t="shared" si="162"/>
        <v/>
      </c>
      <c r="AI95" s="97" t="str">
        <f t="shared" si="162"/>
        <v/>
      </c>
      <c r="AJ95" s="206"/>
      <c r="AK95" s="177"/>
      <c r="AL95" s="177"/>
      <c r="AM95" s="177"/>
      <c r="AN95" s="198"/>
      <c r="AO95" s="198"/>
      <c r="AP95" s="198"/>
      <c r="AQ95" s="177"/>
      <c r="AR95" s="179"/>
      <c r="CK95" s="58">
        <f>IF(DAY(INDEX('Сводный годовой график'!$BA$4:$BL$14,$C94,MONTH($B$94)))=E$3,1,0)</f>
        <v>0</v>
      </c>
      <c r="CL95" s="58">
        <f>IF(DAY(INDEX('Сводный годовой график'!$BA$4:$BL$14,$C94,MONTH($B$94)))=F$3,1,0)</f>
        <v>0</v>
      </c>
      <c r="CM95" s="58">
        <f>IF(DAY(INDEX('Сводный годовой график'!$BA$4:$BL$14,$C94,MONTH($B$94)))=G$3,1,0)</f>
        <v>0</v>
      </c>
      <c r="CN95" s="58">
        <f>IF(DAY(INDEX('Сводный годовой график'!$BA$4:$BL$14,$C94,MONTH($B$94)))=H$3,1,0)</f>
        <v>0</v>
      </c>
      <c r="CO95" s="58">
        <f>IF(DAY(INDEX('Сводный годовой график'!$BA$4:$BL$14,$C94,MONTH($B$94)))=I$3,1,0)</f>
        <v>0</v>
      </c>
      <c r="CP95" s="58">
        <f>IF(DAY(INDEX('Сводный годовой график'!$BA$4:$BL$14,$C94,MONTH($B$94)))=J$3,1,0)</f>
        <v>0</v>
      </c>
      <c r="CQ95" s="58">
        <f>IF(DAY(INDEX('Сводный годовой график'!$BA$4:$BL$14,$C94,MONTH($B$94)))=K$3,1,0)</f>
        <v>0</v>
      </c>
      <c r="CR95" s="58">
        <f>IF(DAY(INDEX('Сводный годовой график'!$BA$4:$BL$14,$C94,MONTH($B$94)))=L$3,1,0)</f>
        <v>0</v>
      </c>
      <c r="CS95" s="58">
        <f>IF(DAY(INDEX('Сводный годовой график'!$BA$4:$BL$14,$C94,MONTH($B$94)))=M$3,1,0)</f>
        <v>0</v>
      </c>
      <c r="CT95" s="58">
        <f>IF(DAY(INDEX('Сводный годовой график'!$BA$4:$BL$14,$C94,MONTH($B$94)))=N$3,1,0)</f>
        <v>1</v>
      </c>
      <c r="CU95" s="58">
        <f>IF(DAY(INDEX('Сводный годовой график'!$BA$4:$BL$14,$C94,MONTH($B$94)))=O$3,1,0)</f>
        <v>0</v>
      </c>
      <c r="CV95" s="58">
        <f>IF(DAY(INDEX('Сводный годовой график'!$BA$4:$BL$14,$C94,MONTH($B$94)))=P$3,1,0)</f>
        <v>0</v>
      </c>
      <c r="CW95" s="58">
        <f>IF(DAY(INDEX('Сводный годовой график'!$BA$4:$BL$14,$C94,MONTH($B$94)))=Q$3,1,0)</f>
        <v>0</v>
      </c>
      <c r="CX95" s="58">
        <f>IF(DAY(INDEX('Сводный годовой график'!$BA$4:$BL$14,$C94,MONTH($B$94)))=R$3,1,0)</f>
        <v>0</v>
      </c>
      <c r="CY95" s="58">
        <f>IF(DAY(INDEX('Сводный годовой график'!$BA$4:$BL$14,$C94,MONTH($B$94)))=S$3,1,0)</f>
        <v>0</v>
      </c>
      <c r="CZ95" s="58">
        <f>IF(DAY(INDEX('Сводный годовой график'!$BA$4:$BL$14,$C94,MONTH($B$94)))=T$3,1,0)</f>
        <v>0</v>
      </c>
      <c r="DA95" s="58">
        <f>IF(DAY(INDEX('Сводный годовой график'!$BA$4:$BL$14,$C94,MONTH($B$94)))=U$3,1,0)</f>
        <v>0</v>
      </c>
      <c r="DB95" s="58">
        <f>IF(DAY(INDEX('Сводный годовой график'!$BA$4:$BL$14,$C94,MONTH($B$94)))=V$3,1,0)</f>
        <v>0</v>
      </c>
      <c r="DC95" s="58">
        <f>IF(DAY(INDEX('Сводный годовой график'!$BA$4:$BL$14,$C94,MONTH($B$94)))=W$3,1,0)</f>
        <v>0</v>
      </c>
      <c r="DD95" s="58">
        <f>IF(DAY(INDEX('Сводный годовой график'!$BA$4:$BL$14,$C94,MONTH($B$94)))=X$3,1,0)</f>
        <v>0</v>
      </c>
      <c r="DE95" s="58">
        <f>IF(DAY(INDEX('Сводный годовой график'!$BA$4:$BL$14,$C94,MONTH($B$94)))=Y$3,1,0)</f>
        <v>0</v>
      </c>
      <c r="DF95" s="58">
        <f>IF(DAY(INDEX('Сводный годовой график'!$BA$4:$BL$14,$C94,MONTH($B$94)))=Z$3,1,0)</f>
        <v>0</v>
      </c>
      <c r="DG95" s="58">
        <f>IF(DAY(INDEX('Сводный годовой график'!$BA$4:$BL$14,$C94,MONTH($B$94)))=AA$3,1,0)</f>
        <v>0</v>
      </c>
      <c r="DH95" s="58">
        <f>IF(DAY(INDEX('Сводный годовой график'!$BA$4:$BL$14,$C94,MONTH($B$94)))=AB$3,1,0)</f>
        <v>0</v>
      </c>
      <c r="DI95" s="58">
        <f>IF(DAY(INDEX('Сводный годовой график'!$BA$4:$BL$14,$C94,MONTH($B$94)))=AC$3,1,0)</f>
        <v>0</v>
      </c>
      <c r="DJ95" s="58">
        <f>IF(DAY(INDEX('Сводный годовой график'!$BA$4:$BL$14,$C94,MONTH($B$94)))=AD$3,1,0)</f>
        <v>0</v>
      </c>
      <c r="DK95" s="58">
        <f>IF(DAY(INDEX('Сводный годовой график'!$BA$4:$BL$14,$C94,MONTH($B$94)))=AE$3,1,0)</f>
        <v>0</v>
      </c>
      <c r="DL95" s="58">
        <f>IF(DAY(INDEX('Сводный годовой график'!$BA$4:$BL$14,$C94,MONTH($B$94)))=AF$3,1,0)</f>
        <v>0</v>
      </c>
      <c r="DM95" s="58">
        <f>IF(DAY(INDEX('Сводный годовой график'!$BA$4:$BL$14,$C94,MONTH($B$94)))=AG$3,1,0)</f>
        <v>0</v>
      </c>
      <c r="DN95" s="58">
        <f>IF(DAY(INDEX('Сводный годовой график'!$BA$4:$BL$14,$C94,MONTH($B$94)))=AH$3,1,0)</f>
        <v>0</v>
      </c>
      <c r="DO95" s="58">
        <f>IF(DAY(INDEX('Сводный годовой график'!$BA$4:$BL$14,$C94,MONTH($B$94)))=AI$3,1,0)</f>
        <v>0</v>
      </c>
    </row>
    <row r="96" spans="2:119" ht="16.5" thickBot="1" x14ac:dyDescent="0.3">
      <c r="B96" s="201"/>
      <c r="C96" s="196">
        <v>2</v>
      </c>
      <c r="D96" s="81">
        <v>3</v>
      </c>
      <c r="E96" s="92" t="e">
        <f ca="1">IF(AND(INDEX('Сводный годовой график'!$C$1:$AR$4,MATCH($C$96,'Сводный годовой график'!$B$1:$B$4),MATCH(DATE($AV$1,MONTH($B$94),E$3),'Сводный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график'!$B$1:$B$4),MATCH(DATE($AV$1,MONTH($B$94),E$3),'Сводный годовой график'!$C$14:$AR$14)))</f>
        <v>#N/A</v>
      </c>
      <c r="F96" s="92" t="e">
        <f ca="1">IF(AND(INDEX('Сводный годовой график'!$C$1:$AR$4,MATCH($C$96,'Сводный годовой график'!$B$1:$B$4),MATCH(DATE($AV$1,MONTH($B$94),F$3),'Сводный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график'!$B$1:$B$4),MATCH(DATE($AV$1,MONTH($B$94),F$3),'Сводный годовой график'!$C$14:$AR$14)))</f>
        <v>#N/A</v>
      </c>
      <c r="G96" s="92" t="e">
        <f ca="1">IF(AND(INDEX('Сводный годовой график'!$C$1:$AR$4,MATCH($C$96,'Сводный годовой график'!$B$1:$B$4),MATCH(DATE($AV$1,MONTH($B$94),G$3),'Сводный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график'!$B$1:$B$4),MATCH(DATE($AV$1,MONTH($B$94),G$3),'Сводный годовой график'!$C$14:$AR$14)))</f>
        <v>#N/A</v>
      </c>
      <c r="H96" s="92" t="e">
        <f ca="1">IF(AND(INDEX('Сводный годовой график'!$C$1:$AR$4,MATCH($C$96,'Сводный годовой график'!$B$1:$B$4),MATCH(DATE($AV$1,MONTH($B$94),H$3),'Сводный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график'!$B$1:$B$4),MATCH(DATE($AV$1,MONTH($B$94),H$3),'Сводный годовой график'!$C$14:$AR$14)))</f>
        <v>#N/A</v>
      </c>
      <c r="I96" s="92" t="e">
        <f ca="1">IF(AND(INDEX('Сводный годовой график'!$C$1:$AR$4,MATCH($C$96,'Сводный годовой график'!$B$1:$B$4),MATCH(DATE($AV$1,MONTH($B$94),I$3),'Сводный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график'!$B$1:$B$4),MATCH(DATE($AV$1,MONTH($B$94),I$3),'Сводный годовой график'!$C$14:$AR$14)))</f>
        <v>#N/A</v>
      </c>
      <c r="J96" s="92" t="e">
        <f ca="1">IF(AND(INDEX('Сводный годовой график'!$C$1:$AR$4,MATCH($C$96,'Сводный годовой график'!$B$1:$B$4),MATCH(DATE($AV$1,MONTH($B$94),J$3),'Сводный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график'!$B$1:$B$4),MATCH(DATE($AV$1,MONTH($B$94),J$3),'Сводный годовой график'!$C$14:$AR$14)))</f>
        <v>#N/A</v>
      </c>
      <c r="K96" s="92" t="e">
        <f ca="1">IF(AND(INDEX('Сводный годовой график'!$C$1:$AR$4,MATCH($C$96,'Сводный годовой график'!$B$1:$B$4),MATCH(DATE($AV$1,MONTH($B$94),K$3),'Сводный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график'!$B$1:$B$4),MATCH(DATE($AV$1,MONTH($B$94),K$3),'Сводный годовой график'!$C$14:$AR$14)))</f>
        <v>#N/A</v>
      </c>
      <c r="L96" s="92" t="e">
        <f ca="1">IF(AND(INDEX('Сводный годовой график'!$C$1:$AR$4,MATCH($C$96,'Сводный годовой график'!$B$1:$B$4),MATCH(DATE($AV$1,MONTH($B$94),L$3),'Сводный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график'!$B$1:$B$4),MATCH(DATE($AV$1,MONTH($B$94),L$3),'Сводный годовой график'!$C$14:$AR$14)))</f>
        <v>#N/A</v>
      </c>
      <c r="M96" s="92" t="e">
        <f ca="1">IF(AND(INDEX('Сводный годовой график'!$C$1:$AR$4,MATCH($C$96,'Сводный годовой график'!$B$1:$B$4),MATCH(DATE($AV$1,MONTH($B$94),M$3),'Сводный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график'!$B$1:$B$4),MATCH(DATE($AV$1,MONTH($B$94),M$3),'Сводный годовой график'!$C$14:$AR$14)))</f>
        <v>#N/A</v>
      </c>
      <c r="N96" s="92" t="e">
        <f ca="1">IF(AND(INDEX('Сводный годовой график'!$C$1:$AR$4,MATCH($C$96,'Сводный годовой график'!$B$1:$B$4),MATCH(DATE($AV$1,MONTH($B$94),N$3),'Сводный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график'!$B$1:$B$4),MATCH(DATE($AV$1,MONTH($B$94),N$3),'Сводный годовой график'!$C$14:$AR$14)))</f>
        <v>#N/A</v>
      </c>
      <c r="O96" s="92" t="e">
        <f ca="1">IF(AND(INDEX('Сводный годовой график'!$C$1:$AR$4,MATCH($C$96,'Сводный годовой график'!$B$1:$B$4),MATCH(DATE($AV$1,MONTH($B$94),O$3),'Сводный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график'!$B$1:$B$4),MATCH(DATE($AV$1,MONTH($B$94),O$3),'Сводный годовой график'!$C$14:$AR$14)))</f>
        <v>#N/A</v>
      </c>
      <c r="P96" s="92" t="e">
        <f ca="1">IF(AND(INDEX('Сводный годовой график'!$C$1:$AR$4,MATCH($C$96,'Сводный годовой график'!$B$1:$B$4),MATCH(DATE($AV$1,MONTH($B$94),P$3),'Сводный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график'!$B$1:$B$4),MATCH(DATE($AV$1,MONTH($B$94),P$3),'Сводный годовой график'!$C$14:$AR$14)))</f>
        <v>#N/A</v>
      </c>
      <c r="Q96" s="92" t="e">
        <f ca="1">IF(AND(INDEX('Сводный годовой график'!$C$1:$AR$4,MATCH($C$96,'Сводный годовой график'!$B$1:$B$4),MATCH(DATE($AV$1,MONTH($B$94),Q$3),'Сводный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график'!$B$1:$B$4),MATCH(DATE($AV$1,MONTH($B$94),Q$3),'Сводный годовой график'!$C$14:$AR$14)))</f>
        <v>#N/A</v>
      </c>
      <c r="R96" s="92" t="e">
        <f ca="1">IF(AND(INDEX('Сводный годовой график'!$C$1:$AR$4,MATCH($C$96,'Сводный годовой график'!$B$1:$B$4),MATCH(DATE($AV$1,MONTH($B$94),R$3),'Сводный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график'!$B$1:$B$4),MATCH(DATE($AV$1,MONTH($B$94),R$3),'Сводный годовой график'!$C$14:$AR$14)))</f>
        <v>#N/A</v>
      </c>
      <c r="S96" s="92" t="e">
        <f ca="1">IF(AND(INDEX('Сводный годовой график'!$C$1:$AR$4,MATCH($C$96,'Сводный годовой график'!$B$1:$B$4),MATCH(DATE($AV$1,MONTH($B$94),S$3),'Сводный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график'!$B$1:$B$4),MATCH(DATE($AV$1,MONTH($B$94),S$3),'Сводный годовой график'!$C$14:$AR$14)))</f>
        <v>#N/A</v>
      </c>
      <c r="T96" s="92" t="e">
        <f ca="1">IF(AND(INDEX('Сводный годовой график'!$C$1:$AR$4,MATCH($C$96,'Сводный годовой график'!$B$1:$B$4),MATCH(DATE($AV$1,MONTH($B$94),T$3),'Сводный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график'!$B$1:$B$4),MATCH(DATE($AV$1,MONTH($B$94),T$3),'Сводный годовой график'!$C$14:$AR$14)))</f>
        <v>#N/A</v>
      </c>
      <c r="U96" s="92" t="e">
        <f ca="1">IF(AND(INDEX('Сводный годовой график'!$C$1:$AR$4,MATCH($C$96,'Сводный годовой график'!$B$1:$B$4),MATCH(DATE($AV$1,MONTH($B$94),U$3),'Сводный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график'!$B$1:$B$4),MATCH(DATE($AV$1,MONTH($B$94),U$3),'Сводный годовой график'!$C$14:$AR$14)))</f>
        <v>#N/A</v>
      </c>
      <c r="V96" s="92" t="e">
        <f ca="1">IF(AND(INDEX('Сводный годовой график'!$C$1:$AR$4,MATCH($C$96,'Сводный годовой график'!$B$1:$B$4),MATCH(DATE($AV$1,MONTH($B$94),V$3),'Сводный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график'!$B$1:$B$4),MATCH(DATE($AV$1,MONTH($B$94),V$3),'Сводный годовой график'!$C$14:$AR$14)))</f>
        <v>#N/A</v>
      </c>
      <c r="W96" s="92" t="e">
        <f ca="1">IF(AND(INDEX('Сводный годовой график'!$C$1:$AR$4,MATCH($C$96,'Сводный годовой график'!$B$1:$B$4),MATCH(DATE($AV$1,MONTH($B$94),W$3),'Сводный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график'!$B$1:$B$4),MATCH(DATE($AV$1,MONTH($B$94),W$3),'Сводный годовой график'!$C$14:$AR$14)))</f>
        <v>#N/A</v>
      </c>
      <c r="X96" s="92" t="e">
        <f ca="1">IF(AND(INDEX('Сводный годовой график'!$C$1:$AR$4,MATCH($C$96,'Сводный годовой график'!$B$1:$B$4),MATCH(DATE($AV$1,MONTH($B$94),X$3),'Сводный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график'!$B$1:$B$4),MATCH(DATE($AV$1,MONTH($B$94),X$3),'Сводный годовой график'!$C$14:$AR$14)))</f>
        <v>#N/A</v>
      </c>
      <c r="Y96" s="92" t="e">
        <f ca="1">IF(AND(INDEX('Сводный годовой график'!$C$1:$AR$4,MATCH($C$96,'Сводный годовой график'!$B$1:$B$4),MATCH(DATE($AV$1,MONTH($B$94),Y$3),'Сводный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график'!$B$1:$B$4),MATCH(DATE($AV$1,MONTH($B$94),Y$3),'Сводный годовой график'!$C$14:$AR$14)))</f>
        <v>#N/A</v>
      </c>
      <c r="Z96" s="92" t="e">
        <f ca="1">IF(AND(INDEX('Сводный годовой график'!$C$1:$AR$4,MATCH($C$96,'Сводный годовой график'!$B$1:$B$4),MATCH(DATE($AV$1,MONTH($B$94),Z$3),'Сводный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график'!$B$1:$B$4),MATCH(DATE($AV$1,MONTH($B$94),Z$3),'Сводный годовой график'!$C$14:$AR$14)))</f>
        <v>#N/A</v>
      </c>
      <c r="AA96" s="92" t="e">
        <f ca="1">IF(AND(INDEX('Сводный годовой график'!$C$1:$AR$4,MATCH($C$96,'Сводный годовой график'!$B$1:$B$4),MATCH(DATE($AV$1,MONTH($B$94),AA$3),'Сводный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график'!$B$1:$B$4),MATCH(DATE($AV$1,MONTH($B$94),AA$3),'Сводный годовой график'!$C$14:$AR$14)))</f>
        <v>#N/A</v>
      </c>
      <c r="AB96" s="92" t="e">
        <f ca="1">IF(AND(INDEX('Сводный годовой график'!$C$1:$AR$4,MATCH($C$96,'Сводный годовой график'!$B$1:$B$4),MATCH(DATE($AV$1,MONTH($B$94),AB$3),'Сводный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график'!$B$1:$B$4),MATCH(DATE($AV$1,MONTH($B$94),AB$3),'Сводный годовой график'!$C$14:$AR$14)))</f>
        <v>#N/A</v>
      </c>
      <c r="AC96" s="92" t="e">
        <f ca="1">IF(AND(INDEX('Сводный годовой график'!$C$1:$AR$4,MATCH($C$96,'Сводный годовой график'!$B$1:$B$4),MATCH(DATE($AV$1,MONTH($B$94),AC$3),'Сводный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график'!$B$1:$B$4),MATCH(DATE($AV$1,MONTH($B$94),AC$3),'Сводный годовой график'!$C$14:$AR$14)))</f>
        <v>#N/A</v>
      </c>
      <c r="AD96" s="92" t="e">
        <f ca="1">IF(AND(INDEX('Сводный годовой график'!$C$1:$AR$4,MATCH($C$96,'Сводный годовой график'!$B$1:$B$4),MATCH(DATE($AV$1,MONTH($B$94),AD$3),'Сводный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график'!$B$1:$B$4),MATCH(DATE($AV$1,MONTH($B$94),AD$3),'Сводный годовой график'!$C$14:$AR$14)))</f>
        <v>#N/A</v>
      </c>
      <c r="AE96" s="92" t="e">
        <f ca="1">IF(AND(INDEX('Сводный годовой график'!$C$1:$AR$4,MATCH($C$96,'Сводный годовой график'!$B$1:$B$4),MATCH(DATE($AV$1,MONTH($B$94),AE$3),'Сводный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график'!$B$1:$B$4),MATCH(DATE($AV$1,MONTH($B$94),AE$3),'Сводный годовой график'!$C$14:$AR$14)))</f>
        <v>#N/A</v>
      </c>
      <c r="AF96" s="92" t="e">
        <f ca="1">IF(AND(INDEX('Сводный годовой график'!$C$1:$AR$4,MATCH($C$96,'Сводный годовой график'!$B$1:$B$4),MATCH(DATE($AV$1,MONTH($B$94),AF$3),'Сводный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график'!$B$1:$B$4),MATCH(DATE($AV$1,MONTH($B$94),AF$3),'Сводный годовой график'!$C$14:$AR$14)))</f>
        <v>#N/A</v>
      </c>
      <c r="AG96" s="92" t="e">
        <f ca="1">IF(AND(INDEX('Сводный годовой график'!$C$1:$AR$4,MATCH($C$96,'Сводный годовой график'!$B$1:$B$4),MATCH(DATE($AV$1,MONTH($B$94),AG$3),'Сводный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график'!$B$1:$B$4),MATCH(DATE($AV$1,MONTH($B$94),AG$3),'Сводный годовой график'!$C$14:$AR$14)))</f>
        <v>#N/A</v>
      </c>
      <c r="AH96" s="92" t="e">
        <f ca="1">IF(AND(INDEX('Сводный годовой график'!$C$1:$AR$4,MATCH($C$96,'Сводный годовой график'!$B$1:$B$4),MATCH(DATE($AV$1,MONTH($B$94),AH$3),'Сводный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график'!$B$1:$B$4),MATCH(DATE($AV$1,MONTH($B$94),AH$3),'Сводный годовой график'!$C$14:$AR$14)))</f>
        <v>#N/A</v>
      </c>
      <c r="AI96" s="97" t="e">
        <f ca="1">IF(AND(INDEX('Сводный годовой график'!$C$1:$AR$4,MATCH($C$96,'Сводный годовой график'!$B$1:$B$4),MATCH(DATE($AV$1,MONTH($B$94),AI$3),'Сводный годовой график'!$C$14:$AR$14))&lt;&gt;12,INDIRECT(ADDRESS(ROW()+1,COLUMN()))="СП"),8,INDEX('Сводный годовой график'!$C$1:$AR$4,MATCH($C$96,'Сводный годовой график'!$B$1:$B$4),MATCH(DATE($AV$1,MONTH($B$94),AI$3),'Сводный годовой график'!$C$14:$AR$14)))</f>
        <v>#N/A</v>
      </c>
      <c r="AJ96" s="206"/>
      <c r="AK96" s="177">
        <f>$AJ$94-SUM(AY96:CC97)</f>
        <v>184</v>
      </c>
      <c r="AL96" s="177" t="e">
        <f t="shared" ref="AL96" ca="1" si="163">SUM(E96:AI97)</f>
        <v>#N/A</v>
      </c>
      <c r="AM96" s="177">
        <v>0</v>
      </c>
      <c r="AN96" s="198" t="e">
        <f t="shared" ref="AN96" ca="1" si="164">-AM96-AK96+AL96</f>
        <v>#N/A</v>
      </c>
      <c r="AO96" s="198">
        <v>0</v>
      </c>
      <c r="AP96" s="198" t="e">
        <f t="shared" ref="AP96" ca="1" si="165">AN96+AP86</f>
        <v>#N/A</v>
      </c>
      <c r="AQ96" s="177">
        <v>0</v>
      </c>
      <c r="AR96" s="179">
        <v>1</v>
      </c>
      <c r="CK96" s="59"/>
      <c r="CL96" s="59"/>
      <c r="CM96" s="59"/>
      <c r="CN96" s="59"/>
      <c r="CO96" s="59"/>
      <c r="CP96" s="59"/>
      <c r="CQ96" s="59"/>
      <c r="CR96" s="59"/>
      <c r="CS96" s="59"/>
      <c r="CT96" s="59"/>
      <c r="CU96" s="59"/>
      <c r="CV96" s="59"/>
      <c r="CW96" s="59"/>
      <c r="CX96" s="59"/>
      <c r="CY96" s="59"/>
      <c r="CZ96" s="59"/>
      <c r="DA96" s="59"/>
      <c r="DB96" s="59"/>
      <c r="DC96" s="59"/>
      <c r="DD96" s="59"/>
      <c r="DE96" s="59"/>
      <c r="DF96" s="59"/>
      <c r="DG96" s="59"/>
      <c r="DH96" s="59"/>
      <c r="DI96" s="59"/>
      <c r="DJ96" s="59"/>
      <c r="DK96" s="59"/>
      <c r="DL96" s="59"/>
      <c r="DM96" s="59"/>
      <c r="DN96" s="59"/>
      <c r="DO96" s="59"/>
    </row>
    <row r="97" spans="2:119" ht="16.5" thickBot="1" x14ac:dyDescent="0.3">
      <c r="B97" s="201"/>
      <c r="C97" s="197"/>
      <c r="D97" s="82">
        <v>4</v>
      </c>
      <c r="E97" s="92" t="str">
        <f t="shared" ref="E97:AI97" si="166">IF(INDEX($CK$4:$DO$123,ROW()-3,E$3)=0,"","СП")</f>
        <v/>
      </c>
      <c r="F97" s="92" t="str">
        <f t="shared" si="166"/>
        <v/>
      </c>
      <c r="G97" s="92" t="str">
        <f t="shared" si="166"/>
        <v/>
      </c>
      <c r="H97" s="92" t="str">
        <f t="shared" si="166"/>
        <v/>
      </c>
      <c r="I97" s="92" t="str">
        <f t="shared" si="166"/>
        <v/>
      </c>
      <c r="J97" s="92" t="str">
        <f t="shared" si="166"/>
        <v/>
      </c>
      <c r="K97" s="92" t="str">
        <f t="shared" si="166"/>
        <v/>
      </c>
      <c r="L97" s="92" t="str">
        <f t="shared" si="166"/>
        <v/>
      </c>
      <c r="M97" s="92" t="str">
        <f t="shared" si="166"/>
        <v/>
      </c>
      <c r="N97" s="92" t="str">
        <f t="shared" si="166"/>
        <v/>
      </c>
      <c r="O97" s="92" t="str">
        <f t="shared" si="166"/>
        <v>СП</v>
      </c>
      <c r="P97" s="92" t="str">
        <f t="shared" si="166"/>
        <v/>
      </c>
      <c r="Q97" s="92" t="str">
        <f t="shared" si="166"/>
        <v/>
      </c>
      <c r="R97" s="92" t="str">
        <f t="shared" si="166"/>
        <v/>
      </c>
      <c r="S97" s="92" t="str">
        <f t="shared" si="166"/>
        <v/>
      </c>
      <c r="T97" s="92" t="str">
        <f t="shared" si="166"/>
        <v/>
      </c>
      <c r="U97" s="92" t="str">
        <f t="shared" si="166"/>
        <v/>
      </c>
      <c r="V97" s="92" t="str">
        <f t="shared" si="166"/>
        <v/>
      </c>
      <c r="W97" s="92" t="str">
        <f t="shared" si="166"/>
        <v/>
      </c>
      <c r="X97" s="92" t="str">
        <f t="shared" si="166"/>
        <v/>
      </c>
      <c r="Y97" s="92" t="str">
        <f t="shared" si="166"/>
        <v/>
      </c>
      <c r="Z97" s="92" t="str">
        <f t="shared" si="166"/>
        <v/>
      </c>
      <c r="AA97" s="92" t="str">
        <f t="shared" si="166"/>
        <v/>
      </c>
      <c r="AB97" s="92" t="str">
        <f t="shared" si="166"/>
        <v/>
      </c>
      <c r="AC97" s="92" t="str">
        <f t="shared" si="166"/>
        <v/>
      </c>
      <c r="AD97" s="92" t="str">
        <f t="shared" si="166"/>
        <v/>
      </c>
      <c r="AE97" s="92" t="str">
        <f t="shared" si="166"/>
        <v/>
      </c>
      <c r="AF97" s="92" t="str">
        <f t="shared" si="166"/>
        <v/>
      </c>
      <c r="AG97" s="92" t="str">
        <f t="shared" si="166"/>
        <v/>
      </c>
      <c r="AH97" s="92" t="str">
        <f t="shared" si="166"/>
        <v/>
      </c>
      <c r="AI97" s="97" t="str">
        <f t="shared" si="166"/>
        <v/>
      </c>
      <c r="AJ97" s="206"/>
      <c r="AK97" s="177"/>
      <c r="AL97" s="177"/>
      <c r="AM97" s="177"/>
      <c r="AN97" s="198"/>
      <c r="AO97" s="198"/>
      <c r="AP97" s="198"/>
      <c r="AQ97" s="177"/>
      <c r="AR97" s="179"/>
      <c r="CK97" s="58">
        <f>IF(DAY(INDEX('Сводный годовой график'!$BA$4:$BL$14,$C96,MONTH($B$94)))=E$3,1,0)</f>
        <v>0</v>
      </c>
      <c r="CL97" s="58">
        <f>IF(DAY(INDEX('Сводный годовой график'!$BA$4:$BL$14,$C96,MONTH($B$94)))=F$3,1,0)</f>
        <v>0</v>
      </c>
      <c r="CM97" s="58">
        <f>IF(DAY(INDEX('Сводный годовой график'!$BA$4:$BL$14,$C96,MONTH($B$94)))=G$3,1,0)</f>
        <v>0</v>
      </c>
      <c r="CN97" s="58">
        <f>IF(DAY(INDEX('Сводный годовой график'!$BA$4:$BL$14,$C96,MONTH($B$94)))=H$3,1,0)</f>
        <v>0</v>
      </c>
      <c r="CO97" s="58">
        <f>IF(DAY(INDEX('Сводный годовой график'!$BA$4:$BL$14,$C96,MONTH($B$94)))=I$3,1,0)</f>
        <v>0</v>
      </c>
      <c r="CP97" s="58">
        <f>IF(DAY(INDEX('Сводный годовой график'!$BA$4:$BL$14,$C96,MONTH($B$94)))=J$3,1,0)</f>
        <v>0</v>
      </c>
      <c r="CQ97" s="58">
        <f>IF(DAY(INDEX('Сводный годовой график'!$BA$4:$BL$14,$C96,MONTH($B$94)))=K$3,1,0)</f>
        <v>0</v>
      </c>
      <c r="CR97" s="58">
        <f>IF(DAY(INDEX('Сводный годовой график'!$BA$4:$BL$14,$C96,MONTH($B$94)))=L$3,1,0)</f>
        <v>0</v>
      </c>
      <c r="CS97" s="58">
        <f>IF(DAY(INDEX('Сводный годовой график'!$BA$4:$BL$14,$C96,MONTH($B$94)))=M$3,1,0)</f>
        <v>0</v>
      </c>
      <c r="CT97" s="58">
        <f>IF(DAY(INDEX('Сводный годовой график'!$BA$4:$BL$14,$C96,MONTH($B$94)))=N$3,1,0)</f>
        <v>0</v>
      </c>
      <c r="CU97" s="58">
        <f>IF(DAY(INDEX('Сводный годовой график'!$BA$4:$BL$14,$C96,MONTH($B$94)))=O$3,1,0)</f>
        <v>1</v>
      </c>
      <c r="CV97" s="58">
        <f>IF(DAY(INDEX('Сводный годовой график'!$BA$4:$BL$14,$C96,MONTH($B$94)))=P$3,1,0)</f>
        <v>0</v>
      </c>
      <c r="CW97" s="58">
        <f>IF(DAY(INDEX('Сводный годовой график'!$BA$4:$BL$14,$C96,MONTH($B$94)))=Q$3,1,0)</f>
        <v>0</v>
      </c>
      <c r="CX97" s="58">
        <f>IF(DAY(INDEX('Сводный годовой график'!$BA$4:$BL$14,$C96,MONTH($B$94)))=R$3,1,0)</f>
        <v>0</v>
      </c>
      <c r="CY97" s="58">
        <f>IF(DAY(INDEX('Сводный годовой график'!$BA$4:$BL$14,$C96,MONTH($B$94)))=S$3,1,0)</f>
        <v>0</v>
      </c>
      <c r="CZ97" s="58">
        <f>IF(DAY(INDEX('Сводный годовой график'!$BA$4:$BL$14,$C96,MONTH($B$94)))=T$3,1,0)</f>
        <v>0</v>
      </c>
      <c r="DA97" s="58">
        <f>IF(DAY(INDEX('Сводный годовой график'!$BA$4:$BL$14,$C96,MONTH($B$94)))=U$3,1,0)</f>
        <v>0</v>
      </c>
      <c r="DB97" s="58">
        <f>IF(DAY(INDEX('Сводный годовой график'!$BA$4:$BL$14,$C96,MONTH($B$94)))=V$3,1,0)</f>
        <v>0</v>
      </c>
      <c r="DC97" s="58">
        <f>IF(DAY(INDEX('Сводный годовой график'!$BA$4:$BL$14,$C96,MONTH($B$94)))=W$3,1,0)</f>
        <v>0</v>
      </c>
      <c r="DD97" s="58">
        <f>IF(DAY(INDEX('Сводный годовой график'!$BA$4:$BL$14,$C96,MONTH($B$94)))=X$3,1,0)</f>
        <v>0</v>
      </c>
      <c r="DE97" s="58">
        <f>IF(DAY(INDEX('Сводный годовой график'!$BA$4:$BL$14,$C96,MONTH($B$94)))=Y$3,1,0)</f>
        <v>0</v>
      </c>
      <c r="DF97" s="58">
        <f>IF(DAY(INDEX('Сводный годовой график'!$BA$4:$BL$14,$C96,MONTH($B$94)))=Z$3,1,0)</f>
        <v>0</v>
      </c>
      <c r="DG97" s="58">
        <f>IF(DAY(INDEX('Сводный годовой график'!$BA$4:$BL$14,$C96,MONTH($B$94)))=AA$3,1,0)</f>
        <v>0</v>
      </c>
      <c r="DH97" s="58">
        <f>IF(DAY(INDEX('Сводный годовой график'!$BA$4:$BL$14,$C96,MONTH($B$94)))=AB$3,1,0)</f>
        <v>0</v>
      </c>
      <c r="DI97" s="58">
        <f>IF(DAY(INDEX('Сводный годовой график'!$BA$4:$BL$14,$C96,MONTH($B$94)))=AC$3,1,0)</f>
        <v>0</v>
      </c>
      <c r="DJ97" s="58">
        <f>IF(DAY(INDEX('Сводный годовой график'!$BA$4:$BL$14,$C96,MONTH($B$94)))=AD$3,1,0)</f>
        <v>0</v>
      </c>
      <c r="DK97" s="58">
        <f>IF(DAY(INDEX('Сводный годовой график'!$BA$4:$BL$14,$C96,MONTH($B$94)))=AE$3,1,0)</f>
        <v>0</v>
      </c>
      <c r="DL97" s="58">
        <f>IF(DAY(INDEX('Сводный годовой график'!$BA$4:$BL$14,$C96,MONTH($B$94)))=AF$3,1,0)</f>
        <v>0</v>
      </c>
      <c r="DM97" s="58">
        <f>IF(DAY(INDEX('Сводный годовой график'!$BA$4:$BL$14,$C96,MONTH($B$94)))=AG$3,1,0)</f>
        <v>0</v>
      </c>
      <c r="DN97" s="58">
        <f>IF(DAY(INDEX('Сводный годовой график'!$BA$4:$BL$14,$C96,MONTH($B$94)))=AH$3,1,0)</f>
        <v>0</v>
      </c>
      <c r="DO97" s="58">
        <f>IF(DAY(INDEX('Сводный годовой график'!$BA$4:$BL$14,$C96,MONTH($B$94)))=AI$3,1,0)</f>
        <v>0</v>
      </c>
    </row>
    <row r="98" spans="2:119" ht="16.5" thickBot="1" x14ac:dyDescent="0.3">
      <c r="B98" s="201"/>
      <c r="C98" s="196">
        <v>3</v>
      </c>
      <c r="D98" s="81">
        <v>5</v>
      </c>
      <c r="E98" s="92" t="e">
        <f ca="1">IF(AND(INDEX('Сводный годовой график'!$C$1:$AR$4,MATCH($C$98,'Сводный годовой график'!$B$1:$B$4),MATCH(DATE($AV$1,MONTH($B$94),E$3),'Сводный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график'!$B$1:$B$4),MATCH(DATE($AV$1,MONTH($B$94),E$3),'Сводный годовой график'!$C$14:$AR$14)))</f>
        <v>#N/A</v>
      </c>
      <c r="F98" s="92" t="e">
        <f ca="1">IF(AND(INDEX('Сводный годовой график'!$C$1:$AR$4,MATCH($C$98,'Сводный годовой график'!$B$1:$B$4),MATCH(DATE($AV$1,MONTH($B$94),F$3),'Сводный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график'!$B$1:$B$4),MATCH(DATE($AV$1,MONTH($B$94),F$3),'Сводный годовой график'!$C$14:$AR$14)))</f>
        <v>#N/A</v>
      </c>
      <c r="G98" s="92" t="e">
        <f ca="1">IF(AND(INDEX('Сводный годовой график'!$C$1:$AR$4,MATCH($C$98,'Сводный годовой график'!$B$1:$B$4),MATCH(DATE($AV$1,MONTH($B$94),G$3),'Сводный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график'!$B$1:$B$4),MATCH(DATE($AV$1,MONTH($B$94),G$3),'Сводный годовой график'!$C$14:$AR$14)))</f>
        <v>#N/A</v>
      </c>
      <c r="H98" s="92" t="e">
        <f ca="1">IF(AND(INDEX('Сводный годовой график'!$C$1:$AR$4,MATCH($C$98,'Сводный годовой график'!$B$1:$B$4),MATCH(DATE($AV$1,MONTH($B$94),H$3),'Сводный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график'!$B$1:$B$4),MATCH(DATE($AV$1,MONTH($B$94),H$3),'Сводный годовой график'!$C$14:$AR$14)))</f>
        <v>#N/A</v>
      </c>
      <c r="I98" s="92" t="e">
        <f ca="1">IF(AND(INDEX('Сводный годовой график'!$C$1:$AR$4,MATCH($C$98,'Сводный годовой график'!$B$1:$B$4),MATCH(DATE($AV$1,MONTH($B$94),I$3),'Сводный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график'!$B$1:$B$4),MATCH(DATE($AV$1,MONTH($B$94),I$3),'Сводный годовой график'!$C$14:$AR$14)))</f>
        <v>#N/A</v>
      </c>
      <c r="J98" s="92" t="e">
        <f ca="1">IF(AND(INDEX('Сводный годовой график'!$C$1:$AR$4,MATCH($C$98,'Сводный годовой график'!$B$1:$B$4),MATCH(DATE($AV$1,MONTH($B$94),J$3),'Сводный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график'!$B$1:$B$4),MATCH(DATE($AV$1,MONTH($B$94),J$3),'Сводный годовой график'!$C$14:$AR$14)))</f>
        <v>#N/A</v>
      </c>
      <c r="K98" s="92" t="e">
        <f ca="1">IF(AND(INDEX('Сводный годовой график'!$C$1:$AR$4,MATCH($C$98,'Сводный годовой график'!$B$1:$B$4),MATCH(DATE($AV$1,MONTH($B$94),K$3),'Сводный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график'!$B$1:$B$4),MATCH(DATE($AV$1,MONTH($B$94),K$3),'Сводный годовой график'!$C$14:$AR$14)))</f>
        <v>#N/A</v>
      </c>
      <c r="L98" s="92" t="e">
        <f ca="1">IF(AND(INDEX('Сводный годовой график'!$C$1:$AR$4,MATCH($C$98,'Сводный годовой график'!$B$1:$B$4),MATCH(DATE($AV$1,MONTH($B$94),L$3),'Сводный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график'!$B$1:$B$4),MATCH(DATE($AV$1,MONTH($B$94),L$3),'Сводный годовой график'!$C$14:$AR$14)))</f>
        <v>#N/A</v>
      </c>
      <c r="M98" s="92" t="e">
        <f ca="1">IF(AND(INDEX('Сводный годовой график'!$C$1:$AR$4,MATCH($C$98,'Сводный годовой график'!$B$1:$B$4),MATCH(DATE($AV$1,MONTH($B$94),M$3),'Сводный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график'!$B$1:$B$4),MATCH(DATE($AV$1,MONTH($B$94),M$3),'Сводный годовой график'!$C$14:$AR$14)))</f>
        <v>#N/A</v>
      </c>
      <c r="N98" s="92" t="e">
        <f ca="1">IF(AND(INDEX('Сводный годовой график'!$C$1:$AR$4,MATCH($C$98,'Сводный годовой график'!$B$1:$B$4),MATCH(DATE($AV$1,MONTH($B$94),N$3),'Сводный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график'!$B$1:$B$4),MATCH(DATE($AV$1,MONTH($B$94),N$3),'Сводный годовой график'!$C$14:$AR$14)))</f>
        <v>#N/A</v>
      </c>
      <c r="O98" s="92" t="e">
        <f ca="1">IF(AND(INDEX('Сводный годовой график'!$C$1:$AR$4,MATCH($C$98,'Сводный годовой график'!$B$1:$B$4),MATCH(DATE($AV$1,MONTH($B$94),O$3),'Сводный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график'!$B$1:$B$4),MATCH(DATE($AV$1,MONTH($B$94),O$3),'Сводный годовой график'!$C$14:$AR$14)))</f>
        <v>#N/A</v>
      </c>
      <c r="P98" s="92" t="e">
        <f ca="1">IF(AND(INDEX('Сводный годовой график'!$C$1:$AR$4,MATCH($C$98,'Сводный годовой график'!$B$1:$B$4),MATCH(DATE($AV$1,MONTH($B$94),P$3),'Сводный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график'!$B$1:$B$4),MATCH(DATE($AV$1,MONTH($B$94),P$3),'Сводный годовой график'!$C$14:$AR$14)))</f>
        <v>#N/A</v>
      </c>
      <c r="Q98" s="92" t="e">
        <f ca="1">IF(AND(INDEX('Сводный годовой график'!$C$1:$AR$4,MATCH($C$98,'Сводный годовой график'!$B$1:$B$4),MATCH(DATE($AV$1,MONTH($B$94),Q$3),'Сводный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график'!$B$1:$B$4),MATCH(DATE($AV$1,MONTH($B$94),Q$3),'Сводный годовой график'!$C$14:$AR$14)))</f>
        <v>#N/A</v>
      </c>
      <c r="R98" s="92" t="e">
        <f ca="1">IF(AND(INDEX('Сводный годовой график'!$C$1:$AR$4,MATCH($C$98,'Сводный годовой график'!$B$1:$B$4),MATCH(DATE($AV$1,MONTH($B$94),R$3),'Сводный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график'!$B$1:$B$4),MATCH(DATE($AV$1,MONTH($B$94),R$3),'Сводный годовой график'!$C$14:$AR$14)))</f>
        <v>#N/A</v>
      </c>
      <c r="S98" s="92" t="e">
        <f ca="1">IF(AND(INDEX('Сводный годовой график'!$C$1:$AR$4,MATCH($C$98,'Сводный годовой график'!$B$1:$B$4),MATCH(DATE($AV$1,MONTH($B$94),S$3),'Сводный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график'!$B$1:$B$4),MATCH(DATE($AV$1,MONTH($B$94),S$3),'Сводный годовой график'!$C$14:$AR$14)))</f>
        <v>#N/A</v>
      </c>
      <c r="T98" s="92" t="e">
        <f ca="1">IF(AND(INDEX('Сводный годовой график'!$C$1:$AR$4,MATCH($C$98,'Сводный годовой график'!$B$1:$B$4),MATCH(DATE($AV$1,MONTH($B$94),T$3),'Сводный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график'!$B$1:$B$4),MATCH(DATE($AV$1,MONTH($B$94),T$3),'Сводный годовой график'!$C$14:$AR$14)))</f>
        <v>#N/A</v>
      </c>
      <c r="U98" s="92" t="e">
        <f ca="1">IF(AND(INDEX('Сводный годовой график'!$C$1:$AR$4,MATCH($C$98,'Сводный годовой график'!$B$1:$B$4),MATCH(DATE($AV$1,MONTH($B$94),U$3),'Сводный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график'!$B$1:$B$4),MATCH(DATE($AV$1,MONTH($B$94),U$3),'Сводный годовой график'!$C$14:$AR$14)))</f>
        <v>#N/A</v>
      </c>
      <c r="V98" s="92" t="e">
        <f ca="1">IF(AND(INDEX('Сводный годовой график'!$C$1:$AR$4,MATCH($C$98,'Сводный годовой график'!$B$1:$B$4),MATCH(DATE($AV$1,MONTH($B$94),V$3),'Сводный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график'!$B$1:$B$4),MATCH(DATE($AV$1,MONTH($B$94),V$3),'Сводный годовой график'!$C$14:$AR$14)))</f>
        <v>#N/A</v>
      </c>
      <c r="W98" s="92" t="e">
        <f ca="1">IF(AND(INDEX('Сводный годовой график'!$C$1:$AR$4,MATCH($C$98,'Сводный годовой график'!$B$1:$B$4),MATCH(DATE($AV$1,MONTH($B$94),W$3),'Сводный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график'!$B$1:$B$4),MATCH(DATE($AV$1,MONTH($B$94),W$3),'Сводный годовой график'!$C$14:$AR$14)))</f>
        <v>#N/A</v>
      </c>
      <c r="X98" s="92" t="e">
        <f ca="1">IF(AND(INDEX('Сводный годовой график'!$C$1:$AR$4,MATCH($C$98,'Сводный годовой график'!$B$1:$B$4),MATCH(DATE($AV$1,MONTH($B$94),X$3),'Сводный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график'!$B$1:$B$4),MATCH(DATE($AV$1,MONTH($B$94),X$3),'Сводный годовой график'!$C$14:$AR$14)))</f>
        <v>#N/A</v>
      </c>
      <c r="Y98" s="92" t="e">
        <f ca="1">IF(AND(INDEX('Сводный годовой график'!$C$1:$AR$4,MATCH($C$98,'Сводный годовой график'!$B$1:$B$4),MATCH(DATE($AV$1,MONTH($B$94),Y$3),'Сводный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график'!$B$1:$B$4),MATCH(DATE($AV$1,MONTH($B$94),Y$3),'Сводный годовой график'!$C$14:$AR$14)))</f>
        <v>#N/A</v>
      </c>
      <c r="Z98" s="92" t="e">
        <f ca="1">IF(AND(INDEX('Сводный годовой график'!$C$1:$AR$4,MATCH($C$98,'Сводный годовой график'!$B$1:$B$4),MATCH(DATE($AV$1,MONTH($B$94),Z$3),'Сводный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график'!$B$1:$B$4),MATCH(DATE($AV$1,MONTH($B$94),Z$3),'Сводный годовой график'!$C$14:$AR$14)))</f>
        <v>#N/A</v>
      </c>
      <c r="AA98" s="92" t="e">
        <f ca="1">IF(AND(INDEX('Сводный годовой график'!$C$1:$AR$4,MATCH($C$98,'Сводный годовой график'!$B$1:$B$4),MATCH(DATE($AV$1,MONTH($B$94),AA$3),'Сводный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график'!$B$1:$B$4),MATCH(DATE($AV$1,MONTH($B$94),AA$3),'Сводный годовой график'!$C$14:$AR$14)))</f>
        <v>#N/A</v>
      </c>
      <c r="AB98" s="92" t="e">
        <f ca="1">IF(AND(INDEX('Сводный годовой график'!$C$1:$AR$4,MATCH($C$98,'Сводный годовой график'!$B$1:$B$4),MATCH(DATE($AV$1,MONTH($B$94),AB$3),'Сводный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график'!$B$1:$B$4),MATCH(DATE($AV$1,MONTH($B$94),AB$3),'Сводный годовой график'!$C$14:$AR$14)))</f>
        <v>#N/A</v>
      </c>
      <c r="AC98" s="92" t="e">
        <f ca="1">IF(AND(INDEX('Сводный годовой график'!$C$1:$AR$4,MATCH($C$98,'Сводный годовой график'!$B$1:$B$4),MATCH(DATE($AV$1,MONTH($B$94),AC$3),'Сводный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график'!$B$1:$B$4),MATCH(DATE($AV$1,MONTH($B$94),AC$3),'Сводный годовой график'!$C$14:$AR$14)))</f>
        <v>#N/A</v>
      </c>
      <c r="AD98" s="92" t="e">
        <f ca="1">IF(AND(INDEX('Сводный годовой график'!$C$1:$AR$4,MATCH($C$98,'Сводный годовой график'!$B$1:$B$4),MATCH(DATE($AV$1,MONTH($B$94),AD$3),'Сводный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график'!$B$1:$B$4),MATCH(DATE($AV$1,MONTH($B$94),AD$3),'Сводный годовой график'!$C$14:$AR$14)))</f>
        <v>#N/A</v>
      </c>
      <c r="AE98" s="92" t="e">
        <f ca="1">IF(AND(INDEX('Сводный годовой график'!$C$1:$AR$4,MATCH($C$98,'Сводный годовой график'!$B$1:$B$4),MATCH(DATE($AV$1,MONTH($B$94),AE$3),'Сводный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график'!$B$1:$B$4),MATCH(DATE($AV$1,MONTH($B$94),AE$3),'Сводный годовой график'!$C$14:$AR$14)))</f>
        <v>#N/A</v>
      </c>
      <c r="AF98" s="92" t="e">
        <f ca="1">IF(AND(INDEX('Сводный годовой график'!$C$1:$AR$4,MATCH($C$98,'Сводный годовой график'!$B$1:$B$4),MATCH(DATE($AV$1,MONTH($B$94),AF$3),'Сводный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график'!$B$1:$B$4),MATCH(DATE($AV$1,MONTH($B$94),AF$3),'Сводный годовой график'!$C$14:$AR$14)))</f>
        <v>#N/A</v>
      </c>
      <c r="AG98" s="92" t="e">
        <f ca="1">IF(AND(INDEX('Сводный годовой график'!$C$1:$AR$4,MATCH($C$98,'Сводный годовой график'!$B$1:$B$4),MATCH(DATE($AV$1,MONTH($B$94),AG$3),'Сводный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график'!$B$1:$B$4),MATCH(DATE($AV$1,MONTH($B$94),AG$3),'Сводный годовой график'!$C$14:$AR$14)))</f>
        <v>#N/A</v>
      </c>
      <c r="AH98" s="92" t="e">
        <f ca="1">IF(AND(INDEX('Сводный годовой график'!$C$1:$AR$4,MATCH($C$98,'Сводный годовой график'!$B$1:$B$4),MATCH(DATE($AV$1,MONTH($B$94),AH$3),'Сводный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график'!$B$1:$B$4),MATCH(DATE($AV$1,MONTH($B$94),AH$3),'Сводный годовой график'!$C$14:$AR$14)))</f>
        <v>#N/A</v>
      </c>
      <c r="AI98" s="97" t="e">
        <f ca="1">IF(AND(INDEX('Сводный годовой график'!$C$1:$AR$4,MATCH($C$98,'Сводный годовой график'!$B$1:$B$4),MATCH(DATE($AV$1,MONTH($B$94),AI$3),'Сводный годовой график'!$C$14:$AR$14))&lt;&gt;12,INDIRECT(ADDRESS(ROW()+1,COLUMN()))="СП"),8,INDEX('Сводный годовой график'!$C$1:$AR$4,MATCH($C$98,'Сводный годовой график'!$B$1:$B$4),MATCH(DATE($AV$1,MONTH($B$94),AI$3),'Сводный годовой график'!$C$14:$AR$14)))</f>
        <v>#N/A</v>
      </c>
      <c r="AJ98" s="206"/>
      <c r="AK98" s="177">
        <f>$AJ$94-SUM(AY98:CC99)</f>
        <v>184</v>
      </c>
      <c r="AL98" s="177" t="e">
        <f t="shared" ref="AL98" ca="1" si="167">SUM(E98:AI99)</f>
        <v>#N/A</v>
      </c>
      <c r="AM98" s="177">
        <v>0</v>
      </c>
      <c r="AN98" s="198" t="e">
        <f t="shared" ref="AN98" ca="1" si="168">-AM98-AK98+AL98</f>
        <v>#N/A</v>
      </c>
      <c r="AO98" s="198">
        <v>0</v>
      </c>
      <c r="AP98" s="198" t="e">
        <f t="shared" ref="AP98" ca="1" si="169">AN98+AP88</f>
        <v>#N/A</v>
      </c>
      <c r="AQ98" s="177">
        <v>14</v>
      </c>
      <c r="AR98" s="179">
        <v>0</v>
      </c>
      <c r="CK98" s="59"/>
      <c r="CL98" s="59"/>
      <c r="CM98" s="59"/>
      <c r="CN98" s="59"/>
      <c r="CO98" s="59"/>
      <c r="CP98" s="59"/>
      <c r="CQ98" s="59"/>
      <c r="CR98" s="59"/>
      <c r="CS98" s="59"/>
      <c r="CT98" s="59"/>
      <c r="CU98" s="59"/>
      <c r="CV98" s="59"/>
      <c r="CW98" s="59"/>
      <c r="CX98" s="59"/>
      <c r="CY98" s="59"/>
      <c r="CZ98" s="59"/>
      <c r="DA98" s="59"/>
      <c r="DB98" s="59"/>
      <c r="DC98" s="59"/>
      <c r="DD98" s="59"/>
      <c r="DE98" s="59"/>
      <c r="DF98" s="59"/>
      <c r="DG98" s="59"/>
      <c r="DH98" s="59"/>
      <c r="DI98" s="59"/>
      <c r="DJ98" s="59"/>
      <c r="DK98" s="59"/>
      <c r="DL98" s="59"/>
      <c r="DM98" s="59"/>
      <c r="DN98" s="59"/>
      <c r="DO98" s="59"/>
    </row>
    <row r="99" spans="2:119" ht="16.5" thickBot="1" x14ac:dyDescent="0.3">
      <c r="B99" s="201"/>
      <c r="C99" s="197"/>
      <c r="D99" s="82">
        <v>6</v>
      </c>
      <c r="E99" s="92" t="str">
        <f t="shared" ref="E99:AI99" si="170">IF(INDEX($CK$4:$DO$123,ROW()-3,E$3)=0,"","СП")</f>
        <v/>
      </c>
      <c r="F99" s="92" t="str">
        <f t="shared" si="170"/>
        <v/>
      </c>
      <c r="G99" s="92" t="str">
        <f t="shared" si="170"/>
        <v/>
      </c>
      <c r="H99" s="92" t="str">
        <f t="shared" si="170"/>
        <v/>
      </c>
      <c r="I99" s="92" t="str">
        <f t="shared" si="170"/>
        <v/>
      </c>
      <c r="J99" s="92" t="str">
        <f t="shared" si="170"/>
        <v/>
      </c>
      <c r="K99" s="92" t="str">
        <f t="shared" si="170"/>
        <v/>
      </c>
      <c r="L99" s="92" t="str">
        <f t="shared" si="170"/>
        <v/>
      </c>
      <c r="M99" s="92" t="str">
        <f t="shared" si="170"/>
        <v/>
      </c>
      <c r="N99" s="92" t="str">
        <f t="shared" si="170"/>
        <v/>
      </c>
      <c r="O99" s="92" t="str">
        <f t="shared" si="170"/>
        <v/>
      </c>
      <c r="P99" s="92" t="str">
        <f t="shared" si="170"/>
        <v>СП</v>
      </c>
      <c r="Q99" s="92" t="str">
        <f t="shared" si="170"/>
        <v/>
      </c>
      <c r="R99" s="92" t="str">
        <f t="shared" si="170"/>
        <v/>
      </c>
      <c r="S99" s="92" t="str">
        <f t="shared" si="170"/>
        <v/>
      </c>
      <c r="T99" s="92" t="str">
        <f t="shared" si="170"/>
        <v/>
      </c>
      <c r="U99" s="92" t="str">
        <f t="shared" si="170"/>
        <v/>
      </c>
      <c r="V99" s="92" t="str">
        <f t="shared" si="170"/>
        <v/>
      </c>
      <c r="W99" s="92" t="str">
        <f t="shared" si="170"/>
        <v/>
      </c>
      <c r="X99" s="92" t="str">
        <f t="shared" si="170"/>
        <v/>
      </c>
      <c r="Y99" s="92" t="str">
        <f t="shared" si="170"/>
        <v/>
      </c>
      <c r="Z99" s="92" t="str">
        <f t="shared" si="170"/>
        <v/>
      </c>
      <c r="AA99" s="92" t="str">
        <f t="shared" si="170"/>
        <v/>
      </c>
      <c r="AB99" s="92" t="str">
        <f t="shared" si="170"/>
        <v/>
      </c>
      <c r="AC99" s="92" t="str">
        <f t="shared" si="170"/>
        <v/>
      </c>
      <c r="AD99" s="92" t="str">
        <f t="shared" si="170"/>
        <v/>
      </c>
      <c r="AE99" s="92" t="str">
        <f t="shared" si="170"/>
        <v/>
      </c>
      <c r="AF99" s="92" t="str">
        <f t="shared" si="170"/>
        <v/>
      </c>
      <c r="AG99" s="92" t="str">
        <f t="shared" si="170"/>
        <v/>
      </c>
      <c r="AH99" s="92" t="str">
        <f t="shared" si="170"/>
        <v/>
      </c>
      <c r="AI99" s="97" t="str">
        <f t="shared" si="170"/>
        <v/>
      </c>
      <c r="AJ99" s="206"/>
      <c r="AK99" s="177"/>
      <c r="AL99" s="177"/>
      <c r="AM99" s="177"/>
      <c r="AN99" s="198"/>
      <c r="AO99" s="198"/>
      <c r="AP99" s="198"/>
      <c r="AQ99" s="177"/>
      <c r="AR99" s="179"/>
      <c r="CK99" s="58">
        <f>IF(DAY(INDEX('Сводный годовой график'!$BA$4:$BL$14,$C98,MONTH($B$94)))=E$3,1,0)</f>
        <v>0</v>
      </c>
      <c r="CL99" s="58">
        <f>IF(DAY(INDEX('Сводный годовой график'!$BA$4:$BL$14,$C98,MONTH($B$94)))=F$3,1,0)</f>
        <v>0</v>
      </c>
      <c r="CM99" s="58">
        <f>IF(DAY(INDEX('Сводный годовой график'!$BA$4:$BL$14,$C98,MONTH($B$94)))=G$3,1,0)</f>
        <v>0</v>
      </c>
      <c r="CN99" s="58">
        <f>IF(DAY(INDEX('Сводный годовой график'!$BA$4:$BL$14,$C98,MONTH($B$94)))=H$3,1,0)</f>
        <v>0</v>
      </c>
      <c r="CO99" s="58">
        <f>IF(DAY(INDEX('Сводный годовой график'!$BA$4:$BL$14,$C98,MONTH($B$94)))=I$3,1,0)</f>
        <v>0</v>
      </c>
      <c r="CP99" s="58">
        <f>IF(DAY(INDEX('Сводный годовой график'!$BA$4:$BL$14,$C98,MONTH($B$94)))=J$3,1,0)</f>
        <v>0</v>
      </c>
      <c r="CQ99" s="58">
        <f>IF(DAY(INDEX('Сводный годовой график'!$BA$4:$BL$14,$C98,MONTH($B$94)))=K$3,1,0)</f>
        <v>0</v>
      </c>
      <c r="CR99" s="58">
        <f>IF(DAY(INDEX('Сводный годовой график'!$BA$4:$BL$14,$C98,MONTH($B$94)))=L$3,1,0)</f>
        <v>0</v>
      </c>
      <c r="CS99" s="58">
        <f>IF(DAY(INDEX('Сводный годовой график'!$BA$4:$BL$14,$C98,MONTH($B$94)))=M$3,1,0)</f>
        <v>0</v>
      </c>
      <c r="CT99" s="58">
        <f>IF(DAY(INDEX('Сводный годовой график'!$BA$4:$BL$14,$C98,MONTH($B$94)))=N$3,1,0)</f>
        <v>0</v>
      </c>
      <c r="CU99" s="58">
        <f>IF(DAY(INDEX('Сводный годовой график'!$BA$4:$BL$14,$C98,MONTH($B$94)))=O$3,1,0)</f>
        <v>0</v>
      </c>
      <c r="CV99" s="58">
        <f>IF(DAY(INDEX('Сводный годовой график'!$BA$4:$BL$14,$C98,MONTH($B$94)))=P$3,1,0)</f>
        <v>1</v>
      </c>
      <c r="CW99" s="58">
        <f>IF(DAY(INDEX('Сводный годовой график'!$BA$4:$BL$14,$C98,MONTH($B$94)))=Q$3,1,0)</f>
        <v>0</v>
      </c>
      <c r="CX99" s="58">
        <f>IF(DAY(INDEX('Сводный годовой график'!$BA$4:$BL$14,$C98,MONTH($B$94)))=R$3,1,0)</f>
        <v>0</v>
      </c>
      <c r="CY99" s="58">
        <f>IF(DAY(INDEX('Сводный годовой график'!$BA$4:$BL$14,$C98,MONTH($B$94)))=S$3,1,0)</f>
        <v>0</v>
      </c>
      <c r="CZ99" s="58">
        <f>IF(DAY(INDEX('Сводный годовой график'!$BA$4:$BL$14,$C98,MONTH($B$94)))=T$3,1,0)</f>
        <v>0</v>
      </c>
      <c r="DA99" s="58">
        <f>IF(DAY(INDEX('Сводный годовой график'!$BA$4:$BL$14,$C98,MONTH($B$94)))=U$3,1,0)</f>
        <v>0</v>
      </c>
      <c r="DB99" s="58">
        <f>IF(DAY(INDEX('Сводный годовой график'!$BA$4:$BL$14,$C98,MONTH($B$94)))=V$3,1,0)</f>
        <v>0</v>
      </c>
      <c r="DC99" s="58">
        <f>IF(DAY(INDEX('Сводный годовой график'!$BA$4:$BL$14,$C98,MONTH($B$94)))=W$3,1,0)</f>
        <v>0</v>
      </c>
      <c r="DD99" s="58">
        <f>IF(DAY(INDEX('Сводный годовой график'!$BA$4:$BL$14,$C98,MONTH($B$94)))=X$3,1,0)</f>
        <v>0</v>
      </c>
      <c r="DE99" s="58">
        <f>IF(DAY(INDEX('Сводный годовой график'!$BA$4:$BL$14,$C98,MONTH($B$94)))=Y$3,1,0)</f>
        <v>0</v>
      </c>
      <c r="DF99" s="58">
        <f>IF(DAY(INDEX('Сводный годовой график'!$BA$4:$BL$14,$C98,MONTH($B$94)))=Z$3,1,0)</f>
        <v>0</v>
      </c>
      <c r="DG99" s="58">
        <f>IF(DAY(INDEX('Сводный годовой график'!$BA$4:$BL$14,$C98,MONTH($B$94)))=AA$3,1,0)</f>
        <v>0</v>
      </c>
      <c r="DH99" s="58">
        <f>IF(DAY(INDEX('Сводный годовой график'!$BA$4:$BL$14,$C98,MONTH($B$94)))=AB$3,1,0)</f>
        <v>0</v>
      </c>
      <c r="DI99" s="58">
        <f>IF(DAY(INDEX('Сводный годовой график'!$BA$4:$BL$14,$C98,MONTH($B$94)))=AC$3,1,0)</f>
        <v>0</v>
      </c>
      <c r="DJ99" s="58">
        <f>IF(DAY(INDEX('Сводный годовой график'!$BA$4:$BL$14,$C98,MONTH($B$94)))=AD$3,1,0)</f>
        <v>0</v>
      </c>
      <c r="DK99" s="58">
        <f>IF(DAY(INDEX('Сводный годовой график'!$BA$4:$BL$14,$C98,MONTH($B$94)))=AE$3,1,0)</f>
        <v>0</v>
      </c>
      <c r="DL99" s="58">
        <f>IF(DAY(INDEX('Сводный годовой график'!$BA$4:$BL$14,$C98,MONTH($B$94)))=AF$3,1,0)</f>
        <v>0</v>
      </c>
      <c r="DM99" s="58">
        <f>IF(DAY(INDEX('Сводный годовой график'!$BA$4:$BL$14,$C98,MONTH($B$94)))=AG$3,1,0)</f>
        <v>0</v>
      </c>
      <c r="DN99" s="58">
        <f>IF(DAY(INDEX('Сводный годовой график'!$BA$4:$BL$14,$C98,MONTH($B$94)))=AH$3,1,0)</f>
        <v>0</v>
      </c>
      <c r="DO99" s="58">
        <f>IF(DAY(INDEX('Сводный годовой график'!$BA$4:$BL$14,$C98,MONTH($B$94)))=AI$3,1,0)</f>
        <v>0</v>
      </c>
    </row>
    <row r="100" spans="2:119" ht="16.5" thickBot="1" x14ac:dyDescent="0.3">
      <c r="B100" s="201"/>
      <c r="C100" s="196">
        <v>4</v>
      </c>
      <c r="D100" s="81">
        <v>7</v>
      </c>
      <c r="E100" s="92" t="e">
        <f ca="1">IF(AND(INDEX('Сводный годовой график'!$C$1:$AR$4,MATCH($C$100,'Сводный годовой график'!$B$1:$B$4),MATCH(DATE($AV$1,MONTH($B$94),E$3),'Сводный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график'!$B$1:$B$4),MATCH(DATE($AV$1,MONTH($B$94),E$3),'Сводный годовой график'!$C$14:$AR$14)))</f>
        <v>#N/A</v>
      </c>
      <c r="F100" s="92" t="e">
        <f ca="1">IF(AND(INDEX('Сводный годовой график'!$C$1:$AR$4,MATCH($C$100,'Сводный годовой график'!$B$1:$B$4),MATCH(DATE($AV$1,MONTH($B$94),F$3),'Сводный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график'!$B$1:$B$4),MATCH(DATE($AV$1,MONTH($B$94),F$3),'Сводный годовой график'!$C$14:$AR$14)))</f>
        <v>#N/A</v>
      </c>
      <c r="G100" s="92" t="e">
        <f ca="1">IF(AND(INDEX('Сводный годовой график'!$C$1:$AR$4,MATCH($C$100,'Сводный годовой график'!$B$1:$B$4),MATCH(DATE($AV$1,MONTH($B$94),G$3),'Сводный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график'!$B$1:$B$4),MATCH(DATE($AV$1,MONTH($B$94),G$3),'Сводный годовой график'!$C$14:$AR$14)))</f>
        <v>#N/A</v>
      </c>
      <c r="H100" s="92" t="e">
        <f ca="1">IF(AND(INDEX('Сводный годовой график'!$C$1:$AR$4,MATCH($C$100,'Сводный годовой график'!$B$1:$B$4),MATCH(DATE($AV$1,MONTH($B$94),H$3),'Сводный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график'!$B$1:$B$4),MATCH(DATE($AV$1,MONTH($B$94),H$3),'Сводный годовой график'!$C$14:$AR$14)))</f>
        <v>#N/A</v>
      </c>
      <c r="I100" s="92" t="e">
        <f ca="1">IF(AND(INDEX('Сводный годовой график'!$C$1:$AR$4,MATCH($C$100,'Сводный годовой график'!$B$1:$B$4),MATCH(DATE($AV$1,MONTH($B$94),I$3),'Сводный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график'!$B$1:$B$4),MATCH(DATE($AV$1,MONTH($B$94),I$3),'Сводный годовой график'!$C$14:$AR$14)))</f>
        <v>#N/A</v>
      </c>
      <c r="J100" s="92" t="e">
        <f ca="1">IF(AND(INDEX('Сводный годовой график'!$C$1:$AR$4,MATCH($C$100,'Сводный годовой график'!$B$1:$B$4),MATCH(DATE($AV$1,MONTH($B$94),J$3),'Сводный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график'!$B$1:$B$4),MATCH(DATE($AV$1,MONTH($B$94),J$3),'Сводный годовой график'!$C$14:$AR$14)))</f>
        <v>#N/A</v>
      </c>
      <c r="K100" s="92" t="e">
        <f ca="1">IF(AND(INDEX('Сводный годовой график'!$C$1:$AR$4,MATCH($C$100,'Сводный годовой график'!$B$1:$B$4),MATCH(DATE($AV$1,MONTH($B$94),K$3),'Сводный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график'!$B$1:$B$4),MATCH(DATE($AV$1,MONTH($B$94),K$3),'Сводный годовой график'!$C$14:$AR$14)))</f>
        <v>#N/A</v>
      </c>
      <c r="L100" s="92" t="e">
        <f ca="1">IF(AND(INDEX('Сводный годовой график'!$C$1:$AR$4,MATCH($C$100,'Сводный годовой график'!$B$1:$B$4),MATCH(DATE($AV$1,MONTH($B$94),L$3),'Сводный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график'!$B$1:$B$4),MATCH(DATE($AV$1,MONTH($B$94),L$3),'Сводный годовой график'!$C$14:$AR$14)))</f>
        <v>#N/A</v>
      </c>
      <c r="M100" s="92" t="e">
        <f ca="1">IF(AND(INDEX('Сводный годовой график'!$C$1:$AR$4,MATCH($C$100,'Сводный годовой график'!$B$1:$B$4),MATCH(DATE($AV$1,MONTH($B$94),M$3),'Сводный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график'!$B$1:$B$4),MATCH(DATE($AV$1,MONTH($B$94),M$3),'Сводный годовой график'!$C$14:$AR$14)))</f>
        <v>#N/A</v>
      </c>
      <c r="N100" s="92" t="e">
        <f ca="1">IF(AND(INDEX('Сводный годовой график'!$C$1:$AR$4,MATCH($C$100,'Сводный годовой график'!$B$1:$B$4),MATCH(DATE($AV$1,MONTH($B$94),N$3),'Сводный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график'!$B$1:$B$4),MATCH(DATE($AV$1,MONTH($B$94),N$3),'Сводный годовой график'!$C$14:$AR$14)))</f>
        <v>#N/A</v>
      </c>
      <c r="O100" s="92" t="e">
        <f ca="1">IF(AND(INDEX('Сводный годовой график'!$C$1:$AR$4,MATCH($C$100,'Сводный годовой график'!$B$1:$B$4),MATCH(DATE($AV$1,MONTH($B$94),O$3),'Сводный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график'!$B$1:$B$4),MATCH(DATE($AV$1,MONTH($B$94),O$3),'Сводный годовой график'!$C$14:$AR$14)))</f>
        <v>#N/A</v>
      </c>
      <c r="P100" s="92" t="e">
        <f ca="1">IF(AND(INDEX('Сводный годовой график'!$C$1:$AR$4,MATCH($C$100,'Сводный годовой график'!$B$1:$B$4),MATCH(DATE($AV$1,MONTH($B$94),P$3),'Сводный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график'!$B$1:$B$4),MATCH(DATE($AV$1,MONTH($B$94),P$3),'Сводный годовой график'!$C$14:$AR$14)))</f>
        <v>#N/A</v>
      </c>
      <c r="Q100" s="92" t="e">
        <f ca="1">IF(AND(INDEX('Сводный годовой график'!$C$1:$AR$4,MATCH($C$100,'Сводный годовой график'!$B$1:$B$4),MATCH(DATE($AV$1,MONTH($B$94),Q$3),'Сводный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график'!$B$1:$B$4),MATCH(DATE($AV$1,MONTH($B$94),Q$3),'Сводный годовой график'!$C$14:$AR$14)))</f>
        <v>#N/A</v>
      </c>
      <c r="R100" s="92" t="e">
        <f ca="1">IF(AND(INDEX('Сводный годовой график'!$C$1:$AR$4,MATCH($C$100,'Сводный годовой график'!$B$1:$B$4),MATCH(DATE($AV$1,MONTH($B$94),R$3),'Сводный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график'!$B$1:$B$4),MATCH(DATE($AV$1,MONTH($B$94),R$3),'Сводный годовой график'!$C$14:$AR$14)))</f>
        <v>#N/A</v>
      </c>
      <c r="S100" s="92" t="e">
        <f ca="1">IF(AND(INDEX('Сводный годовой график'!$C$1:$AR$4,MATCH($C$100,'Сводный годовой график'!$B$1:$B$4),MATCH(DATE($AV$1,MONTH($B$94),S$3),'Сводный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график'!$B$1:$B$4),MATCH(DATE($AV$1,MONTH($B$94),S$3),'Сводный годовой график'!$C$14:$AR$14)))</f>
        <v>#N/A</v>
      </c>
      <c r="T100" s="92" t="e">
        <f ca="1">IF(AND(INDEX('Сводный годовой график'!$C$1:$AR$4,MATCH($C$100,'Сводный годовой график'!$B$1:$B$4),MATCH(DATE($AV$1,MONTH($B$94),T$3),'Сводный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график'!$B$1:$B$4),MATCH(DATE($AV$1,MONTH($B$94),T$3),'Сводный годовой график'!$C$14:$AR$14)))</f>
        <v>#N/A</v>
      </c>
      <c r="U100" s="92" t="e">
        <f ca="1">IF(AND(INDEX('Сводный годовой график'!$C$1:$AR$4,MATCH($C$100,'Сводный годовой график'!$B$1:$B$4),MATCH(DATE($AV$1,MONTH($B$94),U$3),'Сводный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график'!$B$1:$B$4),MATCH(DATE($AV$1,MONTH($B$94),U$3),'Сводный годовой график'!$C$14:$AR$14)))</f>
        <v>#N/A</v>
      </c>
      <c r="V100" s="92" t="e">
        <f ca="1">IF(AND(INDEX('Сводный годовой график'!$C$1:$AR$4,MATCH($C$100,'Сводный годовой график'!$B$1:$B$4),MATCH(DATE($AV$1,MONTH($B$94),V$3),'Сводный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график'!$B$1:$B$4),MATCH(DATE($AV$1,MONTH($B$94),V$3),'Сводный годовой график'!$C$14:$AR$14)))</f>
        <v>#N/A</v>
      </c>
      <c r="W100" s="92" t="e">
        <f ca="1">IF(AND(INDEX('Сводный годовой график'!$C$1:$AR$4,MATCH($C$100,'Сводный годовой график'!$B$1:$B$4),MATCH(DATE($AV$1,MONTH($B$94),W$3),'Сводный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график'!$B$1:$B$4),MATCH(DATE($AV$1,MONTH($B$94),W$3),'Сводный годовой график'!$C$14:$AR$14)))</f>
        <v>#N/A</v>
      </c>
      <c r="X100" s="92" t="e">
        <f ca="1">IF(AND(INDEX('Сводный годовой график'!$C$1:$AR$4,MATCH($C$100,'Сводный годовой график'!$B$1:$B$4),MATCH(DATE($AV$1,MONTH($B$94),X$3),'Сводный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график'!$B$1:$B$4),MATCH(DATE($AV$1,MONTH($B$94),X$3),'Сводный годовой график'!$C$14:$AR$14)))</f>
        <v>#N/A</v>
      </c>
      <c r="Y100" s="92" t="e">
        <f ca="1">IF(AND(INDEX('Сводный годовой график'!$C$1:$AR$4,MATCH($C$100,'Сводный годовой график'!$B$1:$B$4),MATCH(DATE($AV$1,MONTH($B$94),Y$3),'Сводный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график'!$B$1:$B$4),MATCH(DATE($AV$1,MONTH($B$94),Y$3),'Сводный годовой график'!$C$14:$AR$14)))</f>
        <v>#N/A</v>
      </c>
      <c r="Z100" s="92" t="e">
        <f ca="1">IF(AND(INDEX('Сводный годовой график'!$C$1:$AR$4,MATCH($C$100,'Сводный годовой график'!$B$1:$B$4),MATCH(DATE($AV$1,MONTH($B$94),Z$3),'Сводный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график'!$B$1:$B$4),MATCH(DATE($AV$1,MONTH($B$94),Z$3),'Сводный годовой график'!$C$14:$AR$14)))</f>
        <v>#N/A</v>
      </c>
      <c r="AA100" s="92" t="e">
        <f ca="1">IF(AND(INDEX('Сводный годовой график'!$C$1:$AR$4,MATCH($C$100,'Сводный годовой график'!$B$1:$B$4),MATCH(DATE($AV$1,MONTH($B$94),AA$3),'Сводный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график'!$B$1:$B$4),MATCH(DATE($AV$1,MONTH($B$94),AA$3),'Сводный годовой график'!$C$14:$AR$14)))</f>
        <v>#N/A</v>
      </c>
      <c r="AB100" s="92" t="e">
        <f ca="1">IF(AND(INDEX('Сводный годовой график'!$C$1:$AR$4,MATCH($C$100,'Сводный годовой график'!$B$1:$B$4),MATCH(DATE($AV$1,MONTH($B$94),AB$3),'Сводный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график'!$B$1:$B$4),MATCH(DATE($AV$1,MONTH($B$94),AB$3),'Сводный годовой график'!$C$14:$AR$14)))</f>
        <v>#N/A</v>
      </c>
      <c r="AC100" s="92" t="e">
        <f ca="1">IF(AND(INDEX('Сводный годовой график'!$C$1:$AR$4,MATCH($C$100,'Сводный годовой график'!$B$1:$B$4),MATCH(DATE($AV$1,MONTH($B$94),AC$3),'Сводный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график'!$B$1:$B$4),MATCH(DATE($AV$1,MONTH($B$94),AC$3),'Сводный годовой график'!$C$14:$AR$14)))</f>
        <v>#N/A</v>
      </c>
      <c r="AD100" s="92" t="e">
        <f ca="1">IF(AND(INDEX('Сводный годовой график'!$C$1:$AR$4,MATCH($C$100,'Сводный годовой график'!$B$1:$B$4),MATCH(DATE($AV$1,MONTH($B$94),AD$3),'Сводный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график'!$B$1:$B$4),MATCH(DATE($AV$1,MONTH($B$94),AD$3),'Сводный годовой график'!$C$14:$AR$14)))</f>
        <v>#N/A</v>
      </c>
      <c r="AE100" s="92" t="e">
        <f ca="1">IF(AND(INDEX('Сводный годовой график'!$C$1:$AR$4,MATCH($C$100,'Сводный годовой график'!$B$1:$B$4),MATCH(DATE($AV$1,MONTH($B$94),AE$3),'Сводный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график'!$B$1:$B$4),MATCH(DATE($AV$1,MONTH($B$94),AE$3),'Сводный годовой график'!$C$14:$AR$14)))</f>
        <v>#N/A</v>
      </c>
      <c r="AF100" s="92" t="e">
        <f ca="1">IF(AND(INDEX('Сводный годовой график'!$C$1:$AR$4,MATCH($C$100,'Сводный годовой график'!$B$1:$B$4),MATCH(DATE($AV$1,MONTH($B$94),AF$3),'Сводный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график'!$B$1:$B$4),MATCH(DATE($AV$1,MONTH($B$94),AF$3),'Сводный годовой график'!$C$14:$AR$14)))</f>
        <v>#N/A</v>
      </c>
      <c r="AG100" s="92" t="e">
        <f ca="1">IF(AND(INDEX('Сводный годовой график'!$C$1:$AR$4,MATCH($C$100,'Сводный годовой график'!$B$1:$B$4),MATCH(DATE($AV$1,MONTH($B$94),AG$3),'Сводный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график'!$B$1:$B$4),MATCH(DATE($AV$1,MONTH($B$94),AG$3),'Сводный годовой график'!$C$14:$AR$14)))</f>
        <v>#N/A</v>
      </c>
      <c r="AH100" s="92" t="e">
        <f ca="1">IF(AND(INDEX('Сводный годовой график'!$C$1:$AR$4,MATCH($C$100,'Сводный годовой график'!$B$1:$B$4),MATCH(DATE($AV$1,MONTH($B$94),AH$3),'Сводный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график'!$B$1:$B$4),MATCH(DATE($AV$1,MONTH($B$94),AH$3),'Сводный годовой график'!$C$14:$AR$14)))</f>
        <v>#N/A</v>
      </c>
      <c r="AI100" s="97" t="e">
        <f ca="1">IF(AND(INDEX('Сводный годовой график'!$C$1:$AR$4,MATCH($C$100,'Сводный годовой график'!$B$1:$B$4),MATCH(DATE($AV$1,MONTH($B$94),AI$3),'Сводный годовой график'!$C$14:$AR$14))&lt;&gt;12,INDIRECT(ADDRESS(ROW()+1,COLUMN()))="СП"),8,INDEX('Сводный годовой график'!$C$1:$AR$4,MATCH($C$100,'Сводный годовой график'!$B$1:$B$4),MATCH(DATE($AV$1,MONTH($B$94),AI$3),'Сводный годовой график'!$C$14:$AR$14)))</f>
        <v>#N/A</v>
      </c>
      <c r="AJ100" s="206"/>
      <c r="AK100" s="177">
        <f>$AJ$94-SUM(AY100:CC101)</f>
        <v>184</v>
      </c>
      <c r="AL100" s="177" t="e">
        <f t="shared" ref="AL100" ca="1" si="171">SUM(E100:AI101)</f>
        <v>#N/A</v>
      </c>
      <c r="AM100" s="177">
        <v>0</v>
      </c>
      <c r="AN100" s="198" t="e">
        <f t="shared" ref="AN100" ca="1" si="172">-AM100-AK100+AL100</f>
        <v>#N/A</v>
      </c>
      <c r="AO100" s="198">
        <v>0</v>
      </c>
      <c r="AP100" s="198" t="e">
        <f t="shared" ref="AP100" ca="1" si="173">AN100+AP90</f>
        <v>#N/A</v>
      </c>
      <c r="AQ100" s="177">
        <v>0</v>
      </c>
      <c r="AR100" s="179">
        <v>1</v>
      </c>
      <c r="CK100" s="59"/>
      <c r="CL100" s="59"/>
      <c r="CM100" s="59"/>
      <c r="CN100" s="59"/>
      <c r="CO100" s="59"/>
      <c r="CP100" s="59"/>
      <c r="CQ100" s="59"/>
      <c r="CR100" s="59"/>
      <c r="CS100" s="59"/>
      <c r="CT100" s="59"/>
      <c r="CU100" s="59"/>
      <c r="CV100" s="59"/>
      <c r="CW100" s="59"/>
      <c r="CX100" s="59"/>
      <c r="CY100" s="59"/>
      <c r="CZ100" s="59"/>
      <c r="DA100" s="59"/>
      <c r="DB100" s="59"/>
      <c r="DC100" s="59"/>
      <c r="DD100" s="59"/>
      <c r="DE100" s="59"/>
      <c r="DF100" s="59"/>
      <c r="DG100" s="59"/>
      <c r="DH100" s="59"/>
      <c r="DI100" s="59"/>
      <c r="DJ100" s="59"/>
      <c r="DK100" s="59"/>
      <c r="DL100" s="59"/>
      <c r="DM100" s="59"/>
      <c r="DN100" s="59"/>
      <c r="DO100" s="59"/>
    </row>
    <row r="101" spans="2:119" ht="16.5" thickBot="1" x14ac:dyDescent="0.3">
      <c r="B101" s="201"/>
      <c r="C101" s="197"/>
      <c r="D101" s="82">
        <v>8</v>
      </c>
      <c r="E101" s="92" t="str">
        <f t="shared" ref="E101:AI101" si="174">IF(INDEX($CK$4:$DO$123,ROW()-3,E$3)=0,"","СП")</f>
        <v/>
      </c>
      <c r="F101" s="92" t="str">
        <f t="shared" si="174"/>
        <v/>
      </c>
      <c r="G101" s="92" t="str">
        <f t="shared" si="174"/>
        <v/>
      </c>
      <c r="H101" s="92" t="str">
        <f t="shared" si="174"/>
        <v/>
      </c>
      <c r="I101" s="92" t="str">
        <f t="shared" si="174"/>
        <v/>
      </c>
      <c r="J101" s="92" t="str">
        <f t="shared" si="174"/>
        <v/>
      </c>
      <c r="K101" s="92" t="str">
        <f t="shared" si="174"/>
        <v/>
      </c>
      <c r="L101" s="92" t="str">
        <f t="shared" si="174"/>
        <v/>
      </c>
      <c r="M101" s="92" t="str">
        <f t="shared" si="174"/>
        <v/>
      </c>
      <c r="N101" s="92" t="str">
        <f t="shared" si="174"/>
        <v/>
      </c>
      <c r="O101" s="92" t="str">
        <f t="shared" si="174"/>
        <v/>
      </c>
      <c r="P101" s="92" t="str">
        <f t="shared" si="174"/>
        <v/>
      </c>
      <c r="Q101" s="92" t="str">
        <f t="shared" si="174"/>
        <v>СП</v>
      </c>
      <c r="R101" s="92" t="str">
        <f t="shared" si="174"/>
        <v/>
      </c>
      <c r="S101" s="92" t="str">
        <f t="shared" si="174"/>
        <v/>
      </c>
      <c r="T101" s="92" t="str">
        <f t="shared" si="174"/>
        <v/>
      </c>
      <c r="U101" s="92" t="str">
        <f t="shared" si="174"/>
        <v/>
      </c>
      <c r="V101" s="92" t="str">
        <f t="shared" si="174"/>
        <v/>
      </c>
      <c r="W101" s="92" t="str">
        <f t="shared" si="174"/>
        <v/>
      </c>
      <c r="X101" s="92" t="str">
        <f t="shared" si="174"/>
        <v/>
      </c>
      <c r="Y101" s="92" t="str">
        <f t="shared" si="174"/>
        <v/>
      </c>
      <c r="Z101" s="92" t="str">
        <f t="shared" si="174"/>
        <v/>
      </c>
      <c r="AA101" s="92" t="str">
        <f t="shared" si="174"/>
        <v/>
      </c>
      <c r="AB101" s="92" t="str">
        <f t="shared" si="174"/>
        <v/>
      </c>
      <c r="AC101" s="92" t="str">
        <f t="shared" si="174"/>
        <v/>
      </c>
      <c r="AD101" s="92" t="str">
        <f t="shared" si="174"/>
        <v/>
      </c>
      <c r="AE101" s="92" t="str">
        <f t="shared" si="174"/>
        <v/>
      </c>
      <c r="AF101" s="92" t="str">
        <f t="shared" si="174"/>
        <v/>
      </c>
      <c r="AG101" s="92" t="str">
        <f t="shared" si="174"/>
        <v/>
      </c>
      <c r="AH101" s="92" t="str">
        <f t="shared" si="174"/>
        <v/>
      </c>
      <c r="AI101" s="97" t="str">
        <f t="shared" si="174"/>
        <v/>
      </c>
      <c r="AJ101" s="206"/>
      <c r="AK101" s="177"/>
      <c r="AL101" s="177"/>
      <c r="AM101" s="177"/>
      <c r="AN101" s="198"/>
      <c r="AO101" s="198"/>
      <c r="AP101" s="198"/>
      <c r="AQ101" s="177"/>
      <c r="AR101" s="179"/>
      <c r="CK101" s="58">
        <f>IF(DAY(INDEX('Сводный годовой график'!$BA$4:$BL$14,$C100,MONTH($B$94)))=E$3,1,0)</f>
        <v>0</v>
      </c>
      <c r="CL101" s="58">
        <f>IF(DAY(INDEX('Сводный годовой график'!$BA$4:$BL$14,$C100,MONTH($B$94)))=F$3,1,0)</f>
        <v>0</v>
      </c>
      <c r="CM101" s="58">
        <f>IF(DAY(INDEX('Сводный годовой график'!$BA$4:$BL$14,$C100,MONTH($B$94)))=G$3,1,0)</f>
        <v>0</v>
      </c>
      <c r="CN101" s="58">
        <f>IF(DAY(INDEX('Сводный годовой график'!$BA$4:$BL$14,$C100,MONTH($B$94)))=H$3,1,0)</f>
        <v>0</v>
      </c>
      <c r="CO101" s="58">
        <f>IF(DAY(INDEX('Сводный годовой график'!$BA$4:$BL$14,$C100,MONTH($B$94)))=I$3,1,0)</f>
        <v>0</v>
      </c>
      <c r="CP101" s="58">
        <f>IF(DAY(INDEX('Сводный годовой график'!$BA$4:$BL$14,$C100,MONTH($B$94)))=J$3,1,0)</f>
        <v>0</v>
      </c>
      <c r="CQ101" s="58">
        <f>IF(DAY(INDEX('Сводный годовой график'!$BA$4:$BL$14,$C100,MONTH($B$94)))=K$3,1,0)</f>
        <v>0</v>
      </c>
      <c r="CR101" s="58">
        <f>IF(DAY(INDEX('Сводный годовой график'!$BA$4:$BL$14,$C100,MONTH($B$94)))=L$3,1,0)</f>
        <v>0</v>
      </c>
      <c r="CS101" s="58">
        <f>IF(DAY(INDEX('Сводный годовой график'!$BA$4:$BL$14,$C100,MONTH($B$94)))=M$3,1,0)</f>
        <v>0</v>
      </c>
      <c r="CT101" s="58">
        <f>IF(DAY(INDEX('Сводный годовой график'!$BA$4:$BL$14,$C100,MONTH($B$94)))=N$3,1,0)</f>
        <v>0</v>
      </c>
      <c r="CU101" s="58">
        <f>IF(DAY(INDEX('Сводный годовой график'!$BA$4:$BL$14,$C100,MONTH($B$94)))=O$3,1,0)</f>
        <v>0</v>
      </c>
      <c r="CV101" s="58">
        <f>IF(DAY(INDEX('Сводный годовой график'!$BA$4:$BL$14,$C100,MONTH($B$94)))=P$3,1,0)</f>
        <v>0</v>
      </c>
      <c r="CW101" s="58">
        <f>IF(DAY(INDEX('Сводный годовой график'!$BA$4:$BL$14,$C100,MONTH($B$94)))=Q$3,1,0)</f>
        <v>1</v>
      </c>
      <c r="CX101" s="58">
        <f>IF(DAY(INDEX('Сводный годовой график'!$BA$4:$BL$14,$C100,MONTH($B$94)))=R$3,1,0)</f>
        <v>0</v>
      </c>
      <c r="CY101" s="58">
        <f>IF(DAY(INDEX('Сводный годовой график'!$BA$4:$BL$14,$C100,MONTH($B$94)))=S$3,1,0)</f>
        <v>0</v>
      </c>
      <c r="CZ101" s="58">
        <f>IF(DAY(INDEX('Сводный годовой график'!$BA$4:$BL$14,$C100,MONTH($B$94)))=T$3,1,0)</f>
        <v>0</v>
      </c>
      <c r="DA101" s="58">
        <f>IF(DAY(INDEX('Сводный годовой график'!$BA$4:$BL$14,$C100,MONTH($B$94)))=U$3,1,0)</f>
        <v>0</v>
      </c>
      <c r="DB101" s="58">
        <f>IF(DAY(INDEX('Сводный годовой график'!$BA$4:$BL$14,$C100,MONTH($B$94)))=V$3,1,0)</f>
        <v>0</v>
      </c>
      <c r="DC101" s="58">
        <f>IF(DAY(INDEX('Сводный годовой график'!$BA$4:$BL$14,$C100,MONTH($B$94)))=W$3,1,0)</f>
        <v>0</v>
      </c>
      <c r="DD101" s="58">
        <f>IF(DAY(INDEX('Сводный годовой график'!$BA$4:$BL$14,$C100,MONTH($B$94)))=X$3,1,0)</f>
        <v>0</v>
      </c>
      <c r="DE101" s="58">
        <f>IF(DAY(INDEX('Сводный годовой график'!$BA$4:$BL$14,$C100,MONTH($B$94)))=Y$3,1,0)</f>
        <v>0</v>
      </c>
      <c r="DF101" s="58">
        <f>IF(DAY(INDEX('Сводный годовой график'!$BA$4:$BL$14,$C100,MONTH($B$94)))=Z$3,1,0)</f>
        <v>0</v>
      </c>
      <c r="DG101" s="58">
        <f>IF(DAY(INDEX('Сводный годовой график'!$BA$4:$BL$14,$C100,MONTH($B$94)))=AA$3,1,0)</f>
        <v>0</v>
      </c>
      <c r="DH101" s="58">
        <f>IF(DAY(INDEX('Сводный годовой график'!$BA$4:$BL$14,$C100,MONTH($B$94)))=AB$3,1,0)</f>
        <v>0</v>
      </c>
      <c r="DI101" s="58">
        <f>IF(DAY(INDEX('Сводный годовой график'!$BA$4:$BL$14,$C100,MONTH($B$94)))=AC$3,1,0)</f>
        <v>0</v>
      </c>
      <c r="DJ101" s="58">
        <f>IF(DAY(INDEX('Сводный годовой график'!$BA$4:$BL$14,$C100,MONTH($B$94)))=AD$3,1,0)</f>
        <v>0</v>
      </c>
      <c r="DK101" s="58">
        <f>IF(DAY(INDEX('Сводный годовой график'!$BA$4:$BL$14,$C100,MONTH($B$94)))=AE$3,1,0)</f>
        <v>0</v>
      </c>
      <c r="DL101" s="58">
        <f>IF(DAY(INDEX('Сводный годовой график'!$BA$4:$BL$14,$C100,MONTH($B$94)))=AF$3,1,0)</f>
        <v>0</v>
      </c>
      <c r="DM101" s="58">
        <f>IF(DAY(INDEX('Сводный годовой график'!$BA$4:$BL$14,$C100,MONTH($B$94)))=AG$3,1,0)</f>
        <v>0</v>
      </c>
      <c r="DN101" s="58">
        <f>IF(DAY(INDEX('Сводный годовой график'!$BA$4:$BL$14,$C100,MONTH($B$94)))=AH$3,1,0)</f>
        <v>0</v>
      </c>
      <c r="DO101" s="58">
        <f>IF(DAY(INDEX('Сводный годовой график'!$BA$4:$BL$14,$C100,MONTH($B$94)))=AI$3,1,0)</f>
        <v>0</v>
      </c>
    </row>
    <row r="102" spans="2:119" ht="16.5" thickBot="1" x14ac:dyDescent="0.3">
      <c r="B102" s="201"/>
      <c r="C102" s="196">
        <v>5</v>
      </c>
      <c r="D102" s="81">
        <v>9</v>
      </c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7"/>
      <c r="AJ102" s="206"/>
      <c r="AK102" s="177">
        <f>$AJ$94-SUM(AY102:CC103)</f>
        <v>184</v>
      </c>
      <c r="AL102" s="177">
        <f t="shared" ref="AL102" si="175">SUM(E102:AI103)</f>
        <v>0</v>
      </c>
      <c r="AM102" s="177">
        <v>0</v>
      </c>
      <c r="AN102" s="198">
        <f t="shared" ref="AN102" si="176">-AM102-AK102+AL102</f>
        <v>-184</v>
      </c>
      <c r="AO102" s="198">
        <v>0</v>
      </c>
      <c r="AP102" s="198">
        <f t="shared" ref="AP102" si="177">AN102+AP92</f>
        <v>-1717</v>
      </c>
      <c r="AQ102" s="177">
        <v>0</v>
      </c>
      <c r="AR102" s="179">
        <v>1</v>
      </c>
      <c r="CK102" s="59"/>
      <c r="CL102" s="59"/>
      <c r="CM102" s="59"/>
      <c r="CN102" s="59"/>
      <c r="CO102" s="59"/>
      <c r="CP102" s="59"/>
      <c r="CQ102" s="59"/>
      <c r="CR102" s="59"/>
      <c r="CS102" s="59"/>
      <c r="CT102" s="59"/>
      <c r="CU102" s="59"/>
      <c r="CV102" s="59"/>
      <c r="CW102" s="59"/>
      <c r="CX102" s="59"/>
      <c r="CY102" s="59"/>
      <c r="CZ102" s="59"/>
      <c r="DA102" s="59"/>
      <c r="DB102" s="59"/>
      <c r="DC102" s="59"/>
      <c r="DD102" s="59"/>
      <c r="DE102" s="59"/>
      <c r="DF102" s="59"/>
      <c r="DG102" s="59"/>
      <c r="DH102" s="59"/>
      <c r="DI102" s="59"/>
      <c r="DJ102" s="59"/>
      <c r="DK102" s="59"/>
      <c r="DL102" s="59"/>
      <c r="DM102" s="59"/>
      <c r="DN102" s="59"/>
      <c r="DO102" s="59"/>
    </row>
    <row r="103" spans="2:119" ht="16.5" thickBot="1" x14ac:dyDescent="0.3">
      <c r="B103" s="202"/>
      <c r="C103" s="197"/>
      <c r="D103" s="82">
        <v>10</v>
      </c>
      <c r="E103" s="29" t="str">
        <f t="shared" ref="E103:AI103" si="178">IF(INDEX($CK$4:$DO$123,ROW()-3,E$3)=0,"","СП")</f>
        <v/>
      </c>
      <c r="F103" s="29" t="str">
        <f t="shared" si="178"/>
        <v/>
      </c>
      <c r="G103" s="29" t="str">
        <f t="shared" si="178"/>
        <v/>
      </c>
      <c r="H103" s="29" t="str">
        <f t="shared" si="178"/>
        <v/>
      </c>
      <c r="I103" s="29" t="str">
        <f t="shared" si="178"/>
        <v/>
      </c>
      <c r="J103" s="29" t="str">
        <f t="shared" si="178"/>
        <v/>
      </c>
      <c r="K103" s="29" t="str">
        <f t="shared" si="178"/>
        <v/>
      </c>
      <c r="L103" s="29" t="str">
        <f t="shared" si="178"/>
        <v/>
      </c>
      <c r="M103" s="29" t="str">
        <f t="shared" si="178"/>
        <v/>
      </c>
      <c r="N103" s="29" t="str">
        <f t="shared" si="178"/>
        <v/>
      </c>
      <c r="O103" s="29" t="str">
        <f t="shared" si="178"/>
        <v/>
      </c>
      <c r="P103" s="29" t="str">
        <f t="shared" si="178"/>
        <v/>
      </c>
      <c r="Q103" s="29" t="str">
        <f t="shared" si="178"/>
        <v/>
      </c>
      <c r="R103" s="29" t="str">
        <f t="shared" si="178"/>
        <v>СП</v>
      </c>
      <c r="S103" s="29" t="str">
        <f t="shared" si="178"/>
        <v/>
      </c>
      <c r="T103" s="29" t="str">
        <f t="shared" si="178"/>
        <v/>
      </c>
      <c r="U103" s="29" t="str">
        <f t="shared" si="178"/>
        <v/>
      </c>
      <c r="V103" s="29" t="str">
        <f t="shared" si="178"/>
        <v/>
      </c>
      <c r="W103" s="29" t="str">
        <f t="shared" si="178"/>
        <v/>
      </c>
      <c r="X103" s="29" t="str">
        <f t="shared" si="178"/>
        <v/>
      </c>
      <c r="Y103" s="29" t="str">
        <f t="shared" si="178"/>
        <v/>
      </c>
      <c r="Z103" s="29" t="str">
        <f t="shared" si="178"/>
        <v/>
      </c>
      <c r="AA103" s="29" t="str">
        <f t="shared" si="178"/>
        <v/>
      </c>
      <c r="AB103" s="29" t="str">
        <f t="shared" si="178"/>
        <v/>
      </c>
      <c r="AC103" s="29" t="str">
        <f t="shared" si="178"/>
        <v/>
      </c>
      <c r="AD103" s="29" t="str">
        <f t="shared" si="178"/>
        <v/>
      </c>
      <c r="AE103" s="29" t="str">
        <f t="shared" si="178"/>
        <v/>
      </c>
      <c r="AF103" s="29" t="str">
        <f t="shared" si="178"/>
        <v/>
      </c>
      <c r="AG103" s="29" t="str">
        <f t="shared" si="178"/>
        <v/>
      </c>
      <c r="AH103" s="29" t="str">
        <f t="shared" si="178"/>
        <v/>
      </c>
      <c r="AI103" s="85" t="str">
        <f t="shared" si="178"/>
        <v/>
      </c>
      <c r="AJ103" s="207"/>
      <c r="AK103" s="178"/>
      <c r="AL103" s="178"/>
      <c r="AM103" s="178"/>
      <c r="AN103" s="199"/>
      <c r="AO103" s="199"/>
      <c r="AP103" s="199"/>
      <c r="AQ103" s="178"/>
      <c r="AR103" s="180"/>
      <c r="CK103" s="58">
        <f>IF(DAY(INDEX('Сводный годовой график'!$BA$4:$BL$14,$C102,MONTH($B$94)))=E$3,1,0)</f>
        <v>0</v>
      </c>
      <c r="CL103" s="58">
        <f>IF(DAY(INDEX('Сводный годовой график'!$BA$4:$BL$14,$C102,MONTH($B$94)))=F$3,1,0)</f>
        <v>0</v>
      </c>
      <c r="CM103" s="58">
        <f>IF(DAY(INDEX('Сводный годовой график'!$BA$4:$BL$14,$C102,MONTH($B$94)))=G$3,1,0)</f>
        <v>0</v>
      </c>
      <c r="CN103" s="58">
        <f>IF(DAY(INDEX('Сводный годовой график'!$BA$4:$BL$14,$C102,MONTH($B$94)))=H$3,1,0)</f>
        <v>0</v>
      </c>
      <c r="CO103" s="58">
        <f>IF(DAY(INDEX('Сводный годовой график'!$BA$4:$BL$14,$C102,MONTH($B$94)))=I$3,1,0)</f>
        <v>0</v>
      </c>
      <c r="CP103" s="58">
        <f>IF(DAY(INDEX('Сводный годовой график'!$BA$4:$BL$14,$C102,MONTH($B$94)))=J$3,1,0)</f>
        <v>0</v>
      </c>
      <c r="CQ103" s="58">
        <f>IF(DAY(INDEX('Сводный годовой график'!$BA$4:$BL$14,$C102,MONTH($B$94)))=K$3,1,0)</f>
        <v>0</v>
      </c>
      <c r="CR103" s="58">
        <f>IF(DAY(INDEX('Сводный годовой график'!$BA$4:$BL$14,$C102,MONTH($B$94)))=L$3,1,0)</f>
        <v>0</v>
      </c>
      <c r="CS103" s="58">
        <f>IF(DAY(INDEX('Сводный годовой график'!$BA$4:$BL$14,$C102,MONTH($B$94)))=M$3,1,0)</f>
        <v>0</v>
      </c>
      <c r="CT103" s="58">
        <f>IF(DAY(INDEX('Сводный годовой график'!$BA$4:$BL$14,$C102,MONTH($B$94)))=N$3,1,0)</f>
        <v>0</v>
      </c>
      <c r="CU103" s="58">
        <f>IF(DAY(INDEX('Сводный годовой график'!$BA$4:$BL$14,$C102,MONTH($B$94)))=O$3,1,0)</f>
        <v>0</v>
      </c>
      <c r="CV103" s="58">
        <f>IF(DAY(INDEX('Сводный годовой график'!$BA$4:$BL$14,$C102,MONTH($B$94)))=P$3,1,0)</f>
        <v>0</v>
      </c>
      <c r="CW103" s="58">
        <f>IF(DAY(INDEX('Сводный годовой график'!$BA$4:$BL$14,$C102,MONTH($B$94)))=Q$3,1,0)</f>
        <v>0</v>
      </c>
      <c r="CX103" s="58">
        <f>IF(DAY(INDEX('Сводный годовой график'!$BA$4:$BL$14,$C102,MONTH($B$94)))=R$3,1,0)</f>
        <v>1</v>
      </c>
      <c r="CY103" s="58">
        <f>IF(DAY(INDEX('Сводный годовой график'!$BA$4:$BL$14,$C102,MONTH($B$94)))=S$3,1,0)</f>
        <v>0</v>
      </c>
      <c r="CZ103" s="58">
        <f>IF(DAY(INDEX('Сводный годовой график'!$BA$4:$BL$14,$C102,MONTH($B$94)))=T$3,1,0)</f>
        <v>0</v>
      </c>
      <c r="DA103" s="58">
        <f>IF(DAY(INDEX('Сводный годовой график'!$BA$4:$BL$14,$C102,MONTH($B$94)))=U$3,1,0)</f>
        <v>0</v>
      </c>
      <c r="DB103" s="58">
        <f>IF(DAY(INDEX('Сводный годовой график'!$BA$4:$BL$14,$C102,MONTH($B$94)))=V$3,1,0)</f>
        <v>0</v>
      </c>
      <c r="DC103" s="58">
        <f>IF(DAY(INDEX('Сводный годовой график'!$BA$4:$BL$14,$C102,MONTH($B$94)))=W$3,1,0)</f>
        <v>0</v>
      </c>
      <c r="DD103" s="58">
        <f>IF(DAY(INDEX('Сводный годовой график'!$BA$4:$BL$14,$C102,MONTH($B$94)))=X$3,1,0)</f>
        <v>0</v>
      </c>
      <c r="DE103" s="58">
        <f>IF(DAY(INDEX('Сводный годовой график'!$BA$4:$BL$14,$C102,MONTH($B$94)))=Y$3,1,0)</f>
        <v>0</v>
      </c>
      <c r="DF103" s="58">
        <f>IF(DAY(INDEX('Сводный годовой график'!$BA$4:$BL$14,$C102,MONTH($B$94)))=Z$3,1,0)</f>
        <v>0</v>
      </c>
      <c r="DG103" s="58">
        <f>IF(DAY(INDEX('Сводный годовой график'!$BA$4:$BL$14,$C102,MONTH($B$94)))=AA$3,1,0)</f>
        <v>0</v>
      </c>
      <c r="DH103" s="58">
        <f>IF(DAY(INDEX('Сводный годовой график'!$BA$4:$BL$14,$C102,MONTH($B$94)))=AB$3,1,0)</f>
        <v>0</v>
      </c>
      <c r="DI103" s="58">
        <f>IF(DAY(INDEX('Сводный годовой график'!$BA$4:$BL$14,$C102,MONTH($B$94)))=AC$3,1,0)</f>
        <v>0</v>
      </c>
      <c r="DJ103" s="58">
        <f>IF(DAY(INDEX('Сводный годовой график'!$BA$4:$BL$14,$C102,MONTH($B$94)))=AD$3,1,0)</f>
        <v>0</v>
      </c>
      <c r="DK103" s="58">
        <f>IF(DAY(INDEX('Сводный годовой график'!$BA$4:$BL$14,$C102,MONTH($B$94)))=AE$3,1,0)</f>
        <v>0</v>
      </c>
      <c r="DL103" s="58">
        <f>IF(DAY(INDEX('Сводный годовой график'!$BA$4:$BL$14,$C102,MONTH($B$94)))=AF$3,1,0)</f>
        <v>0</v>
      </c>
      <c r="DM103" s="58">
        <f>IF(DAY(INDEX('Сводный годовой график'!$BA$4:$BL$14,$C102,MONTH($B$94)))=AG$3,1,0)</f>
        <v>0</v>
      </c>
      <c r="DN103" s="58">
        <f>IF(DAY(INDEX('Сводный годовой график'!$BA$4:$BL$14,$C102,MONTH($B$94)))=AH$3,1,0)</f>
        <v>0</v>
      </c>
      <c r="DO103" s="58">
        <f>IF(DAY(INDEX('Сводный годовой график'!$BA$4:$BL$14,$C102,MONTH($B$94)))=AI$3,1,0)</f>
        <v>0</v>
      </c>
    </row>
    <row r="104" spans="2:119" ht="17.25" customHeight="1" thickTop="1" thickBot="1" x14ac:dyDescent="0.3">
      <c r="B104" s="200">
        <f>DATE($AV$1,11,1)</f>
        <v>45962</v>
      </c>
      <c r="C104" s="212">
        <v>1</v>
      </c>
      <c r="D104" s="99">
        <v>1</v>
      </c>
      <c r="E104" s="27" t="e">
        <f ca="1">IF(AND(INDEX('Сводный годовой график'!$C$1:$AR$4,MATCH($C$104,'Сводный годовой график'!$B$1:$B$4),MATCH(DATE($AV$1,MONTH($B$104),E$3),'Сводный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график'!$B$1:$B$4),MATCH(DATE($AV$1,MONTH($B$104),E$3),'Сводный годовой график'!$C$15:$AR$15)))</f>
        <v>#N/A</v>
      </c>
      <c r="F104" s="27" t="e">
        <f ca="1">IF(AND(INDEX('Сводный годовой график'!$C$1:$AR$4,MATCH($C$104,'Сводный годовой график'!$B$1:$B$4),MATCH(DATE($AV$1,MONTH($B$104),F$3),'Сводный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график'!$B$1:$B$4),MATCH(DATE($AV$1,MONTH($B$104),F$3),'Сводный годовой график'!$C$15:$AR$15)))</f>
        <v>#N/A</v>
      </c>
      <c r="G104" s="27" t="e">
        <f ca="1">IF(AND(INDEX('Сводный годовой график'!$C$1:$AR$4,MATCH($C$104,'Сводный годовой график'!$B$1:$B$4),MATCH(DATE($AV$1,MONTH($B$104),G$3),'Сводный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график'!$B$1:$B$4),MATCH(DATE($AV$1,MONTH($B$104),G$3),'Сводный годовой график'!$C$15:$AR$15)))</f>
        <v>#N/A</v>
      </c>
      <c r="H104" s="27" t="e">
        <f ca="1">IF(AND(INDEX('Сводный годовой график'!$C$1:$AR$4,MATCH($C$104,'Сводный годовой график'!$B$1:$B$4),MATCH(DATE($AV$1,MONTH($B$104),H$3),'Сводный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график'!$B$1:$B$4),MATCH(DATE($AV$1,MONTH($B$104),H$3),'Сводный годовой график'!$C$15:$AR$15)))</f>
        <v>#N/A</v>
      </c>
      <c r="I104" s="27" t="e">
        <f ca="1">IF(AND(INDEX('Сводный годовой график'!$C$1:$AR$4,MATCH($C$104,'Сводный годовой график'!$B$1:$B$4),MATCH(DATE($AV$1,MONTH($B$104),I$3),'Сводный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график'!$B$1:$B$4),MATCH(DATE($AV$1,MONTH($B$104),I$3),'Сводный годовой график'!$C$15:$AR$15)))</f>
        <v>#N/A</v>
      </c>
      <c r="J104" s="27" t="e">
        <f ca="1">IF(AND(INDEX('Сводный годовой график'!$C$1:$AR$4,MATCH($C$104,'Сводный годовой график'!$B$1:$B$4),MATCH(DATE($AV$1,MONTH($B$104),J$3),'Сводный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график'!$B$1:$B$4),MATCH(DATE($AV$1,MONTH($B$104),J$3),'Сводный годовой график'!$C$15:$AR$15)))</f>
        <v>#N/A</v>
      </c>
      <c r="K104" s="27" t="e">
        <f ca="1">IF(AND(INDEX('Сводный годовой график'!$C$1:$AR$4,MATCH($C$104,'Сводный годовой график'!$B$1:$B$4),MATCH(DATE($AV$1,MONTH($B$104),K$3),'Сводный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график'!$B$1:$B$4),MATCH(DATE($AV$1,MONTH($B$104),K$3),'Сводный годовой график'!$C$15:$AR$15)))</f>
        <v>#N/A</v>
      </c>
      <c r="L104" s="27" t="e">
        <f ca="1">IF(AND(INDEX('Сводный годовой график'!$C$1:$AR$4,MATCH($C$104,'Сводный годовой график'!$B$1:$B$4),MATCH(DATE($AV$1,MONTH($B$104),L$3),'Сводный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график'!$B$1:$B$4),MATCH(DATE($AV$1,MONTH($B$104),L$3),'Сводный годовой график'!$C$15:$AR$15)))</f>
        <v>#N/A</v>
      </c>
      <c r="M104" s="27" t="e">
        <f ca="1">IF(AND(INDEX('Сводный годовой график'!$C$1:$AR$4,MATCH($C$104,'Сводный годовой график'!$B$1:$B$4),MATCH(DATE($AV$1,MONTH($B$104),M$3),'Сводный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график'!$B$1:$B$4),MATCH(DATE($AV$1,MONTH($B$104),M$3),'Сводный годовой график'!$C$15:$AR$15)))</f>
        <v>#N/A</v>
      </c>
      <c r="N104" s="27" t="e">
        <f ca="1">IF(AND(INDEX('Сводный годовой график'!$C$1:$AR$4,MATCH($C$104,'Сводный годовой график'!$B$1:$B$4),MATCH(DATE($AV$1,MONTH($B$104),N$3),'Сводный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график'!$B$1:$B$4),MATCH(DATE($AV$1,MONTH($B$104),N$3),'Сводный годовой график'!$C$15:$AR$15)))</f>
        <v>#N/A</v>
      </c>
      <c r="O104" s="27" t="e">
        <f ca="1">IF(AND(INDEX('Сводный годовой график'!$C$1:$AR$4,MATCH($C$104,'Сводный годовой график'!$B$1:$B$4),MATCH(DATE($AV$1,MONTH($B$104),O$3),'Сводный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график'!$B$1:$B$4),MATCH(DATE($AV$1,MONTH($B$104),O$3),'Сводный годовой график'!$C$15:$AR$15)))</f>
        <v>#N/A</v>
      </c>
      <c r="P104" s="27" t="e">
        <f ca="1">IF(AND(INDEX('Сводный годовой график'!$C$1:$AR$4,MATCH($C$104,'Сводный годовой график'!$B$1:$B$4),MATCH(DATE($AV$1,MONTH($B$104),P$3),'Сводный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график'!$B$1:$B$4),MATCH(DATE($AV$1,MONTH($B$104),P$3),'Сводный годовой график'!$C$15:$AR$15)))</f>
        <v>#N/A</v>
      </c>
      <c r="Q104" s="27" t="e">
        <f ca="1">IF(AND(INDEX('Сводный годовой график'!$C$1:$AR$4,MATCH($C$104,'Сводный годовой график'!$B$1:$B$4),MATCH(DATE($AV$1,MONTH($B$104),Q$3),'Сводный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график'!$B$1:$B$4),MATCH(DATE($AV$1,MONTH($B$104),Q$3),'Сводный годовой график'!$C$15:$AR$15)))</f>
        <v>#N/A</v>
      </c>
      <c r="R104" s="27" t="e">
        <f ca="1">IF(AND(INDEX('Сводный годовой график'!$C$1:$AR$4,MATCH($C$104,'Сводный годовой график'!$B$1:$B$4),MATCH(DATE($AV$1,MONTH($B$104),R$3),'Сводный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график'!$B$1:$B$4),MATCH(DATE($AV$1,MONTH($B$104),R$3),'Сводный годовой график'!$C$15:$AR$15)))</f>
        <v>#N/A</v>
      </c>
      <c r="S104" s="27" t="e">
        <f ca="1">IF(AND(INDEX('Сводный годовой график'!$C$1:$AR$4,MATCH($C$104,'Сводный годовой график'!$B$1:$B$4),MATCH(DATE($AV$1,MONTH($B$104),S$3),'Сводный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график'!$B$1:$B$4),MATCH(DATE($AV$1,MONTH($B$104),S$3),'Сводный годовой график'!$C$15:$AR$15)))</f>
        <v>#N/A</v>
      </c>
      <c r="T104" s="27" t="e">
        <f ca="1">IF(AND(INDEX('Сводный годовой график'!$C$1:$AR$4,MATCH($C$104,'Сводный годовой график'!$B$1:$B$4),MATCH(DATE($AV$1,MONTH($B$104),T$3),'Сводный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график'!$B$1:$B$4),MATCH(DATE($AV$1,MONTH($B$104),T$3),'Сводный годовой график'!$C$15:$AR$15)))</f>
        <v>#N/A</v>
      </c>
      <c r="U104" s="27" t="e">
        <f ca="1">IF(AND(INDEX('Сводный годовой график'!$C$1:$AR$4,MATCH($C$104,'Сводный годовой график'!$B$1:$B$4),MATCH(DATE($AV$1,MONTH($B$104),U$3),'Сводный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график'!$B$1:$B$4),MATCH(DATE($AV$1,MONTH($B$104),U$3),'Сводный годовой график'!$C$15:$AR$15)))</f>
        <v>#N/A</v>
      </c>
      <c r="V104" s="27" t="e">
        <f ca="1">IF(AND(INDEX('Сводный годовой график'!$C$1:$AR$4,MATCH($C$104,'Сводный годовой график'!$B$1:$B$4),MATCH(DATE($AV$1,MONTH($B$104),V$3),'Сводный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график'!$B$1:$B$4),MATCH(DATE($AV$1,MONTH($B$104),V$3),'Сводный годовой график'!$C$15:$AR$15)))</f>
        <v>#N/A</v>
      </c>
      <c r="W104" s="27" t="e">
        <f ca="1">IF(AND(INDEX('Сводный годовой график'!$C$1:$AR$4,MATCH($C$104,'Сводный годовой график'!$B$1:$B$4),MATCH(DATE($AV$1,MONTH($B$104),W$3),'Сводный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график'!$B$1:$B$4),MATCH(DATE($AV$1,MONTH($B$104),W$3),'Сводный годовой график'!$C$15:$AR$15)))</f>
        <v>#N/A</v>
      </c>
      <c r="X104" s="27" t="e">
        <f ca="1">IF(AND(INDEX('Сводный годовой график'!$C$1:$AR$4,MATCH($C$104,'Сводный годовой график'!$B$1:$B$4),MATCH(DATE($AV$1,MONTH($B$104),X$3),'Сводный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график'!$B$1:$B$4),MATCH(DATE($AV$1,MONTH($B$104),X$3),'Сводный годовой график'!$C$15:$AR$15)))</f>
        <v>#N/A</v>
      </c>
      <c r="Y104" s="27" t="e">
        <f ca="1">IF(AND(INDEX('Сводный годовой график'!$C$1:$AR$4,MATCH($C$104,'Сводный годовой график'!$B$1:$B$4),MATCH(DATE($AV$1,MONTH($B$104),Y$3),'Сводный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график'!$B$1:$B$4),MATCH(DATE($AV$1,MONTH($B$104),Y$3),'Сводный годовой график'!$C$15:$AR$15)))</f>
        <v>#N/A</v>
      </c>
      <c r="Z104" s="27" t="e">
        <f ca="1">IF(AND(INDEX('Сводный годовой график'!$C$1:$AR$4,MATCH($C$104,'Сводный годовой график'!$B$1:$B$4),MATCH(DATE($AV$1,MONTH($B$104),Z$3),'Сводный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график'!$B$1:$B$4),MATCH(DATE($AV$1,MONTH($B$104),Z$3),'Сводный годовой график'!$C$15:$AR$15)))</f>
        <v>#N/A</v>
      </c>
      <c r="AA104" s="27" t="e">
        <f ca="1">IF(AND(INDEX('Сводный годовой график'!$C$1:$AR$4,MATCH($C$104,'Сводный годовой график'!$B$1:$B$4),MATCH(DATE($AV$1,MONTH($B$104),AA$3),'Сводный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график'!$B$1:$B$4),MATCH(DATE($AV$1,MONTH($B$104),AA$3),'Сводный годовой график'!$C$15:$AR$15)))</f>
        <v>#N/A</v>
      </c>
      <c r="AB104" s="27" t="e">
        <f ca="1">IF(AND(INDEX('Сводный годовой график'!$C$1:$AR$4,MATCH($C$104,'Сводный годовой график'!$B$1:$B$4),MATCH(DATE($AV$1,MONTH($B$104),AB$3),'Сводный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график'!$B$1:$B$4),MATCH(DATE($AV$1,MONTH($B$104),AB$3),'Сводный годовой график'!$C$15:$AR$15)))</f>
        <v>#N/A</v>
      </c>
      <c r="AC104" s="27" t="e">
        <f ca="1">IF(AND(INDEX('Сводный годовой график'!$C$1:$AR$4,MATCH($C$104,'Сводный годовой график'!$B$1:$B$4),MATCH(DATE($AV$1,MONTH($B$104),AC$3),'Сводный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график'!$B$1:$B$4),MATCH(DATE($AV$1,MONTH($B$104),AC$3),'Сводный годовой график'!$C$15:$AR$15)))</f>
        <v>#N/A</v>
      </c>
      <c r="AD104" s="27" t="e">
        <f ca="1">IF(AND(INDEX('Сводный годовой график'!$C$1:$AR$4,MATCH($C$104,'Сводный годовой график'!$B$1:$B$4),MATCH(DATE($AV$1,MONTH($B$104),AD$3),'Сводный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график'!$B$1:$B$4),MATCH(DATE($AV$1,MONTH($B$104),AD$3),'Сводный годовой график'!$C$15:$AR$15)))</f>
        <v>#N/A</v>
      </c>
      <c r="AE104" s="27" t="e">
        <f ca="1">IF(AND(INDEX('Сводный годовой график'!$C$1:$AR$4,MATCH($C$104,'Сводный годовой график'!$B$1:$B$4),MATCH(DATE($AV$1,MONTH($B$104),AE$3),'Сводный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график'!$B$1:$B$4),MATCH(DATE($AV$1,MONTH($B$104),AE$3),'Сводный годовой график'!$C$15:$AR$15)))</f>
        <v>#N/A</v>
      </c>
      <c r="AF104" s="27" t="e">
        <f ca="1">IF(AND(INDEX('Сводный годовой график'!$C$1:$AR$4,MATCH($C$104,'Сводный годовой график'!$B$1:$B$4),MATCH(DATE($AV$1,MONTH($B$104),AF$3),'Сводный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график'!$B$1:$B$4),MATCH(DATE($AV$1,MONTH($B$104),AF$3),'Сводный годовой график'!$C$15:$AR$15)))</f>
        <v>#N/A</v>
      </c>
      <c r="AG104" s="27" t="e">
        <f ca="1">IF(AND(INDEX('Сводный годовой график'!$C$1:$AR$4,MATCH($C$104,'Сводный годовой график'!$B$1:$B$4),MATCH(DATE($AV$1,MONTH($B$104),AG$3),'Сводный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график'!$B$1:$B$4),MATCH(DATE($AV$1,MONTH($B$104),AG$3),'Сводный годовой график'!$C$15:$AR$15)))</f>
        <v>#N/A</v>
      </c>
      <c r="AH104" s="27" t="e">
        <f ca="1">IF(AND(INDEX('Сводный годовой график'!$C$1:$AR$4,MATCH($C$104,'Сводный годовой график'!$B$1:$B$4),MATCH(DATE($AV$1,MONTH($B$104),AH$3),'Сводный годовой график'!$C$15:$AR$15))&lt;&gt;12,INDIRECT(ADDRESS(ROW()+1,COLUMN()))="СП"),8,INDEX('Сводный годовой график'!$C$1:$AR$4,MATCH($C$104,'Сводный годовой график'!$B$1:$B$4),MATCH(DATE($AV$1,MONTH($B$104),AH$3),'Сводный годовой график'!$C$15:$AR$15)))</f>
        <v>#N/A</v>
      </c>
      <c r="AI104" s="118"/>
      <c r="AJ104" s="205">
        <f>INDEX(Подключения!$D$3:$H$14,MONTH(B104),5)</f>
        <v>151</v>
      </c>
      <c r="AK104" s="216">
        <f>$AJ$104-SUM(AY104:CC105)</f>
        <v>151</v>
      </c>
      <c r="AL104" s="216" t="e">
        <f t="shared" ref="AL104" ca="1" si="179">SUM(E104:AI105)</f>
        <v>#N/A</v>
      </c>
      <c r="AM104" s="216" t="e">
        <f ca="1">SUM(H104)</f>
        <v>#N/A</v>
      </c>
      <c r="AN104" s="218" t="e">
        <f t="shared" ref="AN104" ca="1" si="180">-AM104-AK104+AL104</f>
        <v>#N/A</v>
      </c>
      <c r="AO104" s="218">
        <v>0</v>
      </c>
      <c r="AP104" s="218" t="e">
        <f t="shared" ref="AP104" ca="1" si="181">AN104+AP94</f>
        <v>#N/A</v>
      </c>
      <c r="AQ104" s="216">
        <v>0</v>
      </c>
      <c r="AR104" s="217">
        <v>1</v>
      </c>
      <c r="CK104" s="59"/>
      <c r="CL104" s="59"/>
      <c r="CM104" s="59"/>
      <c r="CN104" s="59"/>
      <c r="CO104" s="59"/>
      <c r="CP104" s="59"/>
      <c r="CQ104" s="59"/>
      <c r="CR104" s="59"/>
      <c r="CS104" s="59"/>
      <c r="CT104" s="59"/>
      <c r="CU104" s="59"/>
      <c r="CV104" s="59"/>
      <c r="CW104" s="59"/>
      <c r="CX104" s="59"/>
      <c r="CY104" s="59"/>
      <c r="CZ104" s="59"/>
      <c r="DA104" s="59"/>
      <c r="DB104" s="59"/>
      <c r="DC104" s="59"/>
      <c r="DD104" s="59"/>
      <c r="DE104" s="59"/>
      <c r="DF104" s="59"/>
      <c r="DG104" s="59"/>
      <c r="DH104" s="59"/>
      <c r="DI104" s="59"/>
      <c r="DJ104" s="59"/>
      <c r="DK104" s="59"/>
      <c r="DL104" s="59"/>
      <c r="DM104" s="59"/>
      <c r="DN104" s="59"/>
      <c r="DO104" s="59"/>
    </row>
    <row r="105" spans="2:119" ht="16.5" thickBot="1" x14ac:dyDescent="0.3">
      <c r="B105" s="201"/>
      <c r="C105" s="197"/>
      <c r="D105" s="82">
        <v>2</v>
      </c>
      <c r="E105" s="92" t="str">
        <f t="shared" ref="E105:AH105" si="182">IF(INDEX($CK$4:$DO$123,ROW()-3,E$3)=0,"","СП")</f>
        <v/>
      </c>
      <c r="F105" s="92" t="str">
        <f t="shared" si="182"/>
        <v/>
      </c>
      <c r="G105" s="92" t="str">
        <f t="shared" si="182"/>
        <v/>
      </c>
      <c r="H105" s="92" t="str">
        <f t="shared" si="182"/>
        <v/>
      </c>
      <c r="I105" s="92" t="str">
        <f t="shared" si="182"/>
        <v/>
      </c>
      <c r="J105" s="92" t="str">
        <f t="shared" si="182"/>
        <v/>
      </c>
      <c r="K105" s="92" t="str">
        <f t="shared" si="182"/>
        <v/>
      </c>
      <c r="L105" s="92" t="str">
        <f t="shared" si="182"/>
        <v/>
      </c>
      <c r="M105" s="92" t="str">
        <f t="shared" si="182"/>
        <v/>
      </c>
      <c r="N105" s="92" t="str">
        <f t="shared" si="182"/>
        <v/>
      </c>
      <c r="O105" s="92" t="str">
        <f t="shared" si="182"/>
        <v>СП</v>
      </c>
      <c r="P105" s="92" t="str">
        <f t="shared" si="182"/>
        <v/>
      </c>
      <c r="Q105" s="92" t="str">
        <f t="shared" si="182"/>
        <v/>
      </c>
      <c r="R105" s="92" t="str">
        <f t="shared" si="182"/>
        <v/>
      </c>
      <c r="S105" s="92" t="str">
        <f t="shared" si="182"/>
        <v/>
      </c>
      <c r="T105" s="92" t="str">
        <f t="shared" si="182"/>
        <v/>
      </c>
      <c r="U105" s="92" t="str">
        <f t="shared" si="182"/>
        <v/>
      </c>
      <c r="V105" s="92" t="str">
        <f t="shared" si="182"/>
        <v/>
      </c>
      <c r="W105" s="92" t="str">
        <f t="shared" si="182"/>
        <v/>
      </c>
      <c r="X105" s="92" t="str">
        <f t="shared" si="182"/>
        <v/>
      </c>
      <c r="Y105" s="92" t="str">
        <f t="shared" si="182"/>
        <v/>
      </c>
      <c r="Z105" s="92" t="str">
        <f t="shared" si="182"/>
        <v/>
      </c>
      <c r="AA105" s="92" t="str">
        <f t="shared" si="182"/>
        <v/>
      </c>
      <c r="AB105" s="92" t="str">
        <f t="shared" si="182"/>
        <v/>
      </c>
      <c r="AC105" s="92" t="str">
        <f t="shared" si="182"/>
        <v/>
      </c>
      <c r="AD105" s="92" t="str">
        <f t="shared" si="182"/>
        <v/>
      </c>
      <c r="AE105" s="92" t="str">
        <f t="shared" si="182"/>
        <v/>
      </c>
      <c r="AF105" s="92" t="str">
        <f t="shared" si="182"/>
        <v/>
      </c>
      <c r="AG105" s="92" t="str">
        <f t="shared" si="182"/>
        <v/>
      </c>
      <c r="AH105" s="92" t="str">
        <f t="shared" si="182"/>
        <v/>
      </c>
      <c r="AI105" s="119"/>
      <c r="AJ105" s="206"/>
      <c r="AK105" s="209"/>
      <c r="AL105" s="209"/>
      <c r="AM105" s="209"/>
      <c r="AN105" s="211"/>
      <c r="AO105" s="211"/>
      <c r="AP105" s="211"/>
      <c r="AQ105" s="209"/>
      <c r="AR105" s="210"/>
      <c r="CK105" s="58">
        <f>IF(DAY(INDEX('Сводный годовой график'!$BA$4:$BL$14,$C104,MONTH($B$104)))=E$3,1,0)</f>
        <v>0</v>
      </c>
      <c r="CL105" s="58">
        <f>IF(DAY(INDEX('Сводный годовой график'!$BA$4:$BL$14,$C104,MONTH($B$104)))=F$3,1,0)</f>
        <v>0</v>
      </c>
      <c r="CM105" s="58">
        <f>IF(DAY(INDEX('Сводный годовой график'!$BA$4:$BL$14,$C104,MONTH($B$104)))=G$3,1,0)</f>
        <v>0</v>
      </c>
      <c r="CN105" s="58">
        <f>IF(DAY(INDEX('Сводный годовой график'!$BA$4:$BL$14,$C104,MONTH($B$104)))=H$3,1,0)</f>
        <v>0</v>
      </c>
      <c r="CO105" s="58">
        <f>IF(DAY(INDEX('Сводный годовой график'!$BA$4:$BL$14,$C104,MONTH($B$104)))=I$3,1,0)</f>
        <v>0</v>
      </c>
      <c r="CP105" s="58">
        <f>IF(DAY(INDEX('Сводный годовой график'!$BA$4:$BL$14,$C104,MONTH($B$104)))=J$3,1,0)</f>
        <v>0</v>
      </c>
      <c r="CQ105" s="58">
        <f>IF(DAY(INDEX('Сводный годовой график'!$BA$4:$BL$14,$C104,MONTH($B$104)))=K$3,1,0)</f>
        <v>0</v>
      </c>
      <c r="CR105" s="58">
        <f>IF(DAY(INDEX('Сводный годовой график'!$BA$4:$BL$14,$C104,MONTH($B$104)))=L$3,1,0)</f>
        <v>0</v>
      </c>
      <c r="CS105" s="58">
        <f>IF(DAY(INDEX('Сводный годовой график'!$BA$4:$BL$14,$C104,MONTH($B$104)))=M$3,1,0)</f>
        <v>0</v>
      </c>
      <c r="CT105" s="58">
        <f>IF(DAY(INDEX('Сводный годовой график'!$BA$4:$BL$14,$C104,MONTH($B$104)))=N$3,1,0)</f>
        <v>0</v>
      </c>
      <c r="CU105" s="58">
        <f>IF(DAY(INDEX('Сводный годовой график'!$BA$4:$BL$14,$C104,MONTH($B$104)))=O$3,1,0)</f>
        <v>1</v>
      </c>
      <c r="CV105" s="58">
        <f>IF(DAY(INDEX('Сводный годовой график'!$BA$4:$BL$14,$C104,MONTH($B$104)))=P$3,1,0)</f>
        <v>0</v>
      </c>
      <c r="CW105" s="58">
        <f>IF(DAY(INDEX('Сводный годовой график'!$BA$4:$BL$14,$C104,MONTH($B$104)))=Q$3,1,0)</f>
        <v>0</v>
      </c>
      <c r="CX105" s="58">
        <f>IF(DAY(INDEX('Сводный годовой график'!$BA$4:$BL$14,$C104,MONTH($B$104)))=R$3,1,0)</f>
        <v>0</v>
      </c>
      <c r="CY105" s="58">
        <f>IF(DAY(INDEX('Сводный годовой график'!$BA$4:$BL$14,$C104,MONTH($B$104)))=S$3,1,0)</f>
        <v>0</v>
      </c>
      <c r="CZ105" s="58">
        <f>IF(DAY(INDEX('Сводный годовой график'!$BA$4:$BL$14,$C104,MONTH($B$104)))=T$3,1,0)</f>
        <v>0</v>
      </c>
      <c r="DA105" s="58">
        <f>IF(DAY(INDEX('Сводный годовой график'!$BA$4:$BL$14,$C104,MONTH($B$104)))=U$3,1,0)</f>
        <v>0</v>
      </c>
      <c r="DB105" s="58">
        <f>IF(DAY(INDEX('Сводный годовой график'!$BA$4:$BL$14,$C104,MONTH($B$104)))=V$3,1,0)</f>
        <v>0</v>
      </c>
      <c r="DC105" s="58">
        <f>IF(DAY(INDEX('Сводный годовой график'!$BA$4:$BL$14,$C104,MONTH($B$104)))=W$3,1,0)</f>
        <v>0</v>
      </c>
      <c r="DD105" s="58">
        <f>IF(DAY(INDEX('Сводный годовой график'!$BA$4:$BL$14,$C104,MONTH($B$104)))=X$3,1,0)</f>
        <v>0</v>
      </c>
      <c r="DE105" s="58">
        <f>IF(DAY(INDEX('Сводный годовой график'!$BA$4:$BL$14,$C104,MONTH($B$104)))=Y$3,1,0)</f>
        <v>0</v>
      </c>
      <c r="DF105" s="58">
        <f>IF(DAY(INDEX('Сводный годовой график'!$BA$4:$BL$14,$C104,MONTH($B$104)))=Z$3,1,0)</f>
        <v>0</v>
      </c>
      <c r="DG105" s="58">
        <f>IF(DAY(INDEX('Сводный годовой график'!$BA$4:$BL$14,$C104,MONTH($B$104)))=AA$3,1,0)</f>
        <v>0</v>
      </c>
      <c r="DH105" s="58">
        <f>IF(DAY(INDEX('Сводный годовой график'!$BA$4:$BL$14,$C104,MONTH($B$104)))=AB$3,1,0)</f>
        <v>0</v>
      </c>
      <c r="DI105" s="58">
        <f>IF(DAY(INDEX('Сводный годовой график'!$BA$4:$BL$14,$C104,MONTH($B$104)))=AC$3,1,0)</f>
        <v>0</v>
      </c>
      <c r="DJ105" s="58">
        <f>IF(DAY(INDEX('Сводный годовой график'!$BA$4:$BL$14,$C104,MONTH($B$104)))=AD$3,1,0)</f>
        <v>0</v>
      </c>
      <c r="DK105" s="58">
        <f>IF(DAY(INDEX('Сводный годовой график'!$BA$4:$BL$14,$C104,MONTH($B$104)))=AE$3,1,0)</f>
        <v>0</v>
      </c>
      <c r="DL105" s="58">
        <f>IF(DAY(INDEX('Сводный годовой график'!$BA$4:$BL$14,$C104,MONTH($B$104)))=AF$3,1,0)</f>
        <v>0</v>
      </c>
      <c r="DM105" s="58">
        <f>IF(DAY(INDEX('Сводный годовой график'!$BA$4:$BL$14,$C104,MONTH($B$104)))=AG$3,1,0)</f>
        <v>0</v>
      </c>
      <c r="DN105" s="58">
        <f>IF(DAY(INDEX('Сводный годовой график'!$BA$4:$BL$14,$C104,MONTH($B$104)))=AH$3,1,0)</f>
        <v>0</v>
      </c>
      <c r="DO105" s="58">
        <f>IF(DAY(INDEX('Сводный годовой график'!$BA$4:$BL$14,$C104,MONTH($B$104)))=AI$3,1,0)</f>
        <v>0</v>
      </c>
    </row>
    <row r="106" spans="2:119" ht="16.5" thickBot="1" x14ac:dyDescent="0.3">
      <c r="B106" s="201"/>
      <c r="C106" s="196">
        <v>2</v>
      </c>
      <c r="D106" s="81">
        <v>3</v>
      </c>
      <c r="E106" s="92" t="e">
        <f ca="1">IF(AND(INDEX('Сводный годовой график'!$C$1:$AR$4,MATCH($C$106,'Сводный годовой график'!$B$1:$B$4),MATCH(DATE($AV$1,MONTH($B$104),E$3),'Сводный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график'!$B$1:$B$4),MATCH(DATE($AV$1,MONTH($B$104),E$3),'Сводный годовой график'!$C$15:$AR$15)))</f>
        <v>#N/A</v>
      </c>
      <c r="F106" s="92" t="e">
        <f ca="1">IF(AND(INDEX('Сводный годовой график'!$C$1:$AR$4,MATCH($C$106,'Сводный годовой график'!$B$1:$B$4),MATCH(DATE($AV$1,MONTH($B$104),F$3),'Сводный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график'!$B$1:$B$4),MATCH(DATE($AV$1,MONTH($B$104),F$3),'Сводный годовой график'!$C$15:$AR$15)))</f>
        <v>#N/A</v>
      </c>
      <c r="G106" s="92" t="e">
        <f ca="1">IF(AND(INDEX('Сводный годовой график'!$C$1:$AR$4,MATCH($C$106,'Сводный годовой график'!$B$1:$B$4),MATCH(DATE($AV$1,MONTH($B$104),G$3),'Сводный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график'!$B$1:$B$4),MATCH(DATE($AV$1,MONTH($B$104),G$3),'Сводный годовой график'!$C$15:$AR$15)))</f>
        <v>#N/A</v>
      </c>
      <c r="H106" s="92" t="e">
        <f ca="1">IF(AND(INDEX('Сводный годовой график'!$C$1:$AR$4,MATCH($C$106,'Сводный годовой график'!$B$1:$B$4),MATCH(DATE($AV$1,MONTH($B$104),H$3),'Сводный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график'!$B$1:$B$4),MATCH(DATE($AV$1,MONTH($B$104),H$3),'Сводный годовой график'!$C$15:$AR$15)))</f>
        <v>#N/A</v>
      </c>
      <c r="I106" s="92" t="e">
        <f ca="1">IF(AND(INDEX('Сводный годовой график'!$C$1:$AR$4,MATCH($C$106,'Сводный годовой график'!$B$1:$B$4),MATCH(DATE($AV$1,MONTH($B$104),I$3),'Сводный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график'!$B$1:$B$4),MATCH(DATE($AV$1,MONTH($B$104),I$3),'Сводный годовой график'!$C$15:$AR$15)))</f>
        <v>#N/A</v>
      </c>
      <c r="J106" s="92" t="e">
        <f ca="1">IF(AND(INDEX('Сводный годовой график'!$C$1:$AR$4,MATCH($C$106,'Сводный годовой график'!$B$1:$B$4),MATCH(DATE($AV$1,MONTH($B$104),J$3),'Сводный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график'!$B$1:$B$4),MATCH(DATE($AV$1,MONTH($B$104),J$3),'Сводный годовой график'!$C$15:$AR$15)))</f>
        <v>#N/A</v>
      </c>
      <c r="K106" s="92" t="e">
        <f ca="1">IF(AND(INDEX('Сводный годовой график'!$C$1:$AR$4,MATCH($C$106,'Сводный годовой график'!$B$1:$B$4),MATCH(DATE($AV$1,MONTH($B$104),K$3),'Сводный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график'!$B$1:$B$4),MATCH(DATE($AV$1,MONTH($B$104),K$3),'Сводный годовой график'!$C$15:$AR$15)))</f>
        <v>#N/A</v>
      </c>
      <c r="L106" s="92" t="e">
        <f ca="1">IF(AND(INDEX('Сводный годовой график'!$C$1:$AR$4,MATCH($C$106,'Сводный годовой график'!$B$1:$B$4),MATCH(DATE($AV$1,MONTH($B$104),L$3),'Сводный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график'!$B$1:$B$4),MATCH(DATE($AV$1,MONTH($B$104),L$3),'Сводный годовой график'!$C$15:$AR$15)))</f>
        <v>#N/A</v>
      </c>
      <c r="M106" s="92" t="e">
        <f ca="1">IF(AND(INDEX('Сводный годовой график'!$C$1:$AR$4,MATCH($C$106,'Сводный годовой график'!$B$1:$B$4),MATCH(DATE($AV$1,MONTH($B$104),M$3),'Сводный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график'!$B$1:$B$4),MATCH(DATE($AV$1,MONTH($B$104),M$3),'Сводный годовой график'!$C$15:$AR$15)))</f>
        <v>#N/A</v>
      </c>
      <c r="N106" s="92" t="e">
        <f ca="1">IF(AND(INDEX('Сводный годовой график'!$C$1:$AR$4,MATCH($C$106,'Сводный годовой график'!$B$1:$B$4),MATCH(DATE($AV$1,MONTH($B$104),N$3),'Сводный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график'!$B$1:$B$4),MATCH(DATE($AV$1,MONTH($B$104),N$3),'Сводный годовой график'!$C$15:$AR$15)))</f>
        <v>#N/A</v>
      </c>
      <c r="O106" s="92" t="e">
        <f ca="1">IF(AND(INDEX('Сводный годовой график'!$C$1:$AR$4,MATCH($C$106,'Сводный годовой график'!$B$1:$B$4),MATCH(DATE($AV$1,MONTH($B$104),O$3),'Сводный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график'!$B$1:$B$4),MATCH(DATE($AV$1,MONTH($B$104),O$3),'Сводный годовой график'!$C$15:$AR$15)))</f>
        <v>#N/A</v>
      </c>
      <c r="P106" s="92" t="e">
        <f ca="1">IF(AND(INDEX('Сводный годовой график'!$C$1:$AR$4,MATCH($C$106,'Сводный годовой график'!$B$1:$B$4),MATCH(DATE($AV$1,MONTH($B$104),P$3),'Сводный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график'!$B$1:$B$4),MATCH(DATE($AV$1,MONTH($B$104),P$3),'Сводный годовой график'!$C$15:$AR$15)))</f>
        <v>#N/A</v>
      </c>
      <c r="Q106" s="92" t="e">
        <f ca="1">IF(AND(INDEX('Сводный годовой график'!$C$1:$AR$4,MATCH($C$106,'Сводный годовой график'!$B$1:$B$4),MATCH(DATE($AV$1,MONTH($B$104),Q$3),'Сводный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график'!$B$1:$B$4),MATCH(DATE($AV$1,MONTH($B$104),Q$3),'Сводный годовой график'!$C$15:$AR$15)))</f>
        <v>#N/A</v>
      </c>
      <c r="R106" s="92" t="e">
        <f ca="1">IF(AND(INDEX('Сводный годовой график'!$C$1:$AR$4,MATCH($C$106,'Сводный годовой график'!$B$1:$B$4),MATCH(DATE($AV$1,MONTH($B$104),R$3),'Сводный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график'!$B$1:$B$4),MATCH(DATE($AV$1,MONTH($B$104),R$3),'Сводный годовой график'!$C$15:$AR$15)))</f>
        <v>#N/A</v>
      </c>
      <c r="S106" s="92" t="e">
        <f ca="1">IF(AND(INDEX('Сводный годовой график'!$C$1:$AR$4,MATCH($C$106,'Сводный годовой график'!$B$1:$B$4),MATCH(DATE($AV$1,MONTH($B$104),S$3),'Сводный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график'!$B$1:$B$4),MATCH(DATE($AV$1,MONTH($B$104),S$3),'Сводный годовой график'!$C$15:$AR$15)))</f>
        <v>#N/A</v>
      </c>
      <c r="T106" s="92" t="e">
        <f ca="1">IF(AND(INDEX('Сводный годовой график'!$C$1:$AR$4,MATCH($C$106,'Сводный годовой график'!$B$1:$B$4),MATCH(DATE($AV$1,MONTH($B$104),T$3),'Сводный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график'!$B$1:$B$4),MATCH(DATE($AV$1,MONTH($B$104),T$3),'Сводный годовой график'!$C$15:$AR$15)))</f>
        <v>#N/A</v>
      </c>
      <c r="U106" s="92" t="e">
        <f ca="1">IF(AND(INDEX('Сводный годовой график'!$C$1:$AR$4,MATCH($C$106,'Сводный годовой график'!$B$1:$B$4),MATCH(DATE($AV$1,MONTH($B$104),U$3),'Сводный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график'!$B$1:$B$4),MATCH(DATE($AV$1,MONTH($B$104),U$3),'Сводный годовой график'!$C$15:$AR$15)))</f>
        <v>#N/A</v>
      </c>
      <c r="V106" s="92" t="e">
        <f ca="1">IF(AND(INDEX('Сводный годовой график'!$C$1:$AR$4,MATCH($C$106,'Сводный годовой график'!$B$1:$B$4),MATCH(DATE($AV$1,MONTH($B$104),V$3),'Сводный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график'!$B$1:$B$4),MATCH(DATE($AV$1,MONTH($B$104),V$3),'Сводный годовой график'!$C$15:$AR$15)))</f>
        <v>#N/A</v>
      </c>
      <c r="W106" s="92" t="e">
        <f ca="1">IF(AND(INDEX('Сводный годовой график'!$C$1:$AR$4,MATCH($C$106,'Сводный годовой график'!$B$1:$B$4),MATCH(DATE($AV$1,MONTH($B$104),W$3),'Сводный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график'!$B$1:$B$4),MATCH(DATE($AV$1,MONTH($B$104),W$3),'Сводный годовой график'!$C$15:$AR$15)))</f>
        <v>#N/A</v>
      </c>
      <c r="X106" s="92" t="e">
        <f ca="1">IF(AND(INDEX('Сводный годовой график'!$C$1:$AR$4,MATCH($C$106,'Сводный годовой график'!$B$1:$B$4),MATCH(DATE($AV$1,MONTH($B$104),X$3),'Сводный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график'!$B$1:$B$4),MATCH(DATE($AV$1,MONTH($B$104),X$3),'Сводный годовой график'!$C$15:$AR$15)))</f>
        <v>#N/A</v>
      </c>
      <c r="Y106" s="92" t="e">
        <f ca="1">IF(AND(INDEX('Сводный годовой график'!$C$1:$AR$4,MATCH($C$106,'Сводный годовой график'!$B$1:$B$4),MATCH(DATE($AV$1,MONTH($B$104),Y$3),'Сводный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график'!$B$1:$B$4),MATCH(DATE($AV$1,MONTH($B$104),Y$3),'Сводный годовой график'!$C$15:$AR$15)))</f>
        <v>#N/A</v>
      </c>
      <c r="Z106" s="92" t="e">
        <f ca="1">IF(AND(INDEX('Сводный годовой график'!$C$1:$AR$4,MATCH($C$106,'Сводный годовой график'!$B$1:$B$4),MATCH(DATE($AV$1,MONTH($B$104),Z$3),'Сводный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график'!$B$1:$B$4),MATCH(DATE($AV$1,MONTH($B$104),Z$3),'Сводный годовой график'!$C$15:$AR$15)))</f>
        <v>#N/A</v>
      </c>
      <c r="AA106" s="92" t="e">
        <f ca="1">IF(AND(INDEX('Сводный годовой график'!$C$1:$AR$4,MATCH($C$106,'Сводный годовой график'!$B$1:$B$4),MATCH(DATE($AV$1,MONTH($B$104),AA$3),'Сводный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график'!$B$1:$B$4),MATCH(DATE($AV$1,MONTH($B$104),AA$3),'Сводный годовой график'!$C$15:$AR$15)))</f>
        <v>#N/A</v>
      </c>
      <c r="AB106" s="92" t="e">
        <f ca="1">IF(AND(INDEX('Сводный годовой график'!$C$1:$AR$4,MATCH($C$106,'Сводный годовой график'!$B$1:$B$4),MATCH(DATE($AV$1,MONTH($B$104),AB$3),'Сводный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график'!$B$1:$B$4),MATCH(DATE($AV$1,MONTH($B$104),AB$3),'Сводный годовой график'!$C$15:$AR$15)))</f>
        <v>#N/A</v>
      </c>
      <c r="AC106" s="92" t="e">
        <f ca="1">IF(AND(INDEX('Сводный годовой график'!$C$1:$AR$4,MATCH($C$106,'Сводный годовой график'!$B$1:$B$4),MATCH(DATE($AV$1,MONTH($B$104),AC$3),'Сводный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график'!$B$1:$B$4),MATCH(DATE($AV$1,MONTH($B$104),AC$3),'Сводный годовой график'!$C$15:$AR$15)))</f>
        <v>#N/A</v>
      </c>
      <c r="AD106" s="92" t="e">
        <f ca="1">IF(AND(INDEX('Сводный годовой график'!$C$1:$AR$4,MATCH($C$106,'Сводный годовой график'!$B$1:$B$4),MATCH(DATE($AV$1,MONTH($B$104),AD$3),'Сводный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график'!$B$1:$B$4),MATCH(DATE($AV$1,MONTH($B$104),AD$3),'Сводный годовой график'!$C$15:$AR$15)))</f>
        <v>#N/A</v>
      </c>
      <c r="AE106" s="92" t="e">
        <f ca="1">IF(AND(INDEX('Сводный годовой график'!$C$1:$AR$4,MATCH($C$106,'Сводный годовой график'!$B$1:$B$4),MATCH(DATE($AV$1,MONTH($B$104),AE$3),'Сводный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график'!$B$1:$B$4),MATCH(DATE($AV$1,MONTH($B$104),AE$3),'Сводный годовой график'!$C$15:$AR$15)))</f>
        <v>#N/A</v>
      </c>
      <c r="AF106" s="92" t="e">
        <f ca="1">IF(AND(INDEX('Сводный годовой график'!$C$1:$AR$4,MATCH($C$106,'Сводный годовой график'!$B$1:$B$4),MATCH(DATE($AV$1,MONTH($B$104),AF$3),'Сводный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график'!$B$1:$B$4),MATCH(DATE($AV$1,MONTH($B$104),AF$3),'Сводный годовой график'!$C$15:$AR$15)))</f>
        <v>#N/A</v>
      </c>
      <c r="AG106" s="92" t="e">
        <f ca="1">IF(AND(INDEX('Сводный годовой график'!$C$1:$AR$4,MATCH($C$106,'Сводный годовой график'!$B$1:$B$4),MATCH(DATE($AV$1,MONTH($B$104),AG$3),'Сводный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график'!$B$1:$B$4),MATCH(DATE($AV$1,MONTH($B$104),AG$3),'Сводный годовой график'!$C$15:$AR$15)))</f>
        <v>#N/A</v>
      </c>
      <c r="AH106" s="92" t="e">
        <f ca="1">IF(AND(INDEX('Сводный годовой график'!$C$1:$AR$4,MATCH($C$106,'Сводный годовой график'!$B$1:$B$4),MATCH(DATE($AV$1,MONTH($B$104),AH$3),'Сводный годовой график'!$C$15:$AR$15))&lt;&gt;12,INDIRECT(ADDRESS(ROW()+1,COLUMN()))="СП"),8,INDEX('Сводный годовой график'!$C$1:$AR$4,MATCH($C$106,'Сводный годовой график'!$B$1:$B$4),MATCH(DATE($AV$1,MONTH($B$104),AH$3),'Сводный годовой график'!$C$15:$AR$15)))</f>
        <v>#N/A</v>
      </c>
      <c r="AI106" s="119"/>
      <c r="AJ106" s="206"/>
      <c r="AK106" s="209">
        <f>$AJ$104-SUM(AY106:CC107)</f>
        <v>151</v>
      </c>
      <c r="AL106" s="209" t="e">
        <f t="shared" ref="AL106" ca="1" si="183">SUM(E106:AI107)</f>
        <v>#N/A</v>
      </c>
      <c r="AM106" s="209" t="e">
        <f t="shared" ref="AM106" ca="1" si="184">SUM(H106)</f>
        <v>#N/A</v>
      </c>
      <c r="AN106" s="211" t="e">
        <f t="shared" ref="AN106" ca="1" si="185">-AM106-AK106+AL106</f>
        <v>#N/A</v>
      </c>
      <c r="AO106" s="211">
        <v>0</v>
      </c>
      <c r="AP106" s="211" t="e">
        <f t="shared" ref="AP106" ca="1" si="186">AN106+AP96</f>
        <v>#N/A</v>
      </c>
      <c r="AQ106" s="209">
        <v>0</v>
      </c>
      <c r="AR106" s="210">
        <v>1</v>
      </c>
      <c r="CK106" s="59"/>
      <c r="CL106" s="59"/>
      <c r="CM106" s="59"/>
      <c r="CN106" s="59"/>
      <c r="CO106" s="59"/>
      <c r="CP106" s="59"/>
      <c r="CQ106" s="59"/>
      <c r="CR106" s="59"/>
      <c r="CS106" s="59"/>
      <c r="CT106" s="59"/>
      <c r="CU106" s="59"/>
      <c r="CV106" s="59"/>
      <c r="CW106" s="59"/>
      <c r="CX106" s="59"/>
      <c r="CY106" s="59"/>
      <c r="CZ106" s="59"/>
      <c r="DA106" s="59"/>
      <c r="DB106" s="59"/>
      <c r="DC106" s="59"/>
      <c r="DD106" s="59"/>
      <c r="DE106" s="59"/>
      <c r="DF106" s="59"/>
      <c r="DG106" s="59"/>
      <c r="DH106" s="59"/>
      <c r="DI106" s="59"/>
      <c r="DJ106" s="59"/>
      <c r="DK106" s="59"/>
      <c r="DL106" s="59"/>
      <c r="DM106" s="59"/>
      <c r="DN106" s="59"/>
      <c r="DO106" s="59"/>
    </row>
    <row r="107" spans="2:119" ht="16.5" thickBot="1" x14ac:dyDescent="0.3">
      <c r="B107" s="201"/>
      <c r="C107" s="197"/>
      <c r="D107" s="82">
        <v>4</v>
      </c>
      <c r="E107" s="92" t="str">
        <f t="shared" ref="E107:AH107" si="187">IF(INDEX($CK$4:$DO$123,ROW()-3,E$3)=0,"","СП")</f>
        <v/>
      </c>
      <c r="F107" s="92" t="str">
        <f t="shared" si="187"/>
        <v/>
      </c>
      <c r="G107" s="92" t="str">
        <f t="shared" si="187"/>
        <v/>
      </c>
      <c r="H107" s="92" t="str">
        <f t="shared" si="187"/>
        <v/>
      </c>
      <c r="I107" s="92" t="str">
        <f t="shared" si="187"/>
        <v/>
      </c>
      <c r="J107" s="92" t="str">
        <f t="shared" si="187"/>
        <v/>
      </c>
      <c r="K107" s="92" t="str">
        <f t="shared" si="187"/>
        <v/>
      </c>
      <c r="L107" s="92" t="str">
        <f t="shared" si="187"/>
        <v/>
      </c>
      <c r="M107" s="92" t="str">
        <f t="shared" si="187"/>
        <v/>
      </c>
      <c r="N107" s="92" t="str">
        <f t="shared" si="187"/>
        <v/>
      </c>
      <c r="O107" s="92" t="str">
        <f t="shared" si="187"/>
        <v/>
      </c>
      <c r="P107" s="92" t="str">
        <f t="shared" si="187"/>
        <v>СП</v>
      </c>
      <c r="Q107" s="92" t="str">
        <f t="shared" si="187"/>
        <v/>
      </c>
      <c r="R107" s="92" t="str">
        <f t="shared" si="187"/>
        <v/>
      </c>
      <c r="S107" s="92" t="str">
        <f t="shared" si="187"/>
        <v/>
      </c>
      <c r="T107" s="92" t="str">
        <f t="shared" si="187"/>
        <v/>
      </c>
      <c r="U107" s="92" t="str">
        <f t="shared" si="187"/>
        <v/>
      </c>
      <c r="V107" s="92" t="str">
        <f t="shared" si="187"/>
        <v/>
      </c>
      <c r="W107" s="92" t="str">
        <f t="shared" si="187"/>
        <v/>
      </c>
      <c r="X107" s="92" t="str">
        <f t="shared" si="187"/>
        <v/>
      </c>
      <c r="Y107" s="92" t="str">
        <f t="shared" si="187"/>
        <v/>
      </c>
      <c r="Z107" s="92" t="str">
        <f t="shared" si="187"/>
        <v/>
      </c>
      <c r="AA107" s="92" t="str">
        <f t="shared" si="187"/>
        <v/>
      </c>
      <c r="AB107" s="92" t="str">
        <f t="shared" si="187"/>
        <v/>
      </c>
      <c r="AC107" s="92" t="str">
        <f t="shared" si="187"/>
        <v/>
      </c>
      <c r="AD107" s="92" t="str">
        <f t="shared" si="187"/>
        <v/>
      </c>
      <c r="AE107" s="92" t="str">
        <f t="shared" si="187"/>
        <v/>
      </c>
      <c r="AF107" s="92" t="str">
        <f t="shared" si="187"/>
        <v/>
      </c>
      <c r="AG107" s="92" t="str">
        <f t="shared" si="187"/>
        <v/>
      </c>
      <c r="AH107" s="92" t="str">
        <f t="shared" si="187"/>
        <v/>
      </c>
      <c r="AI107" s="119"/>
      <c r="AJ107" s="206"/>
      <c r="AK107" s="209"/>
      <c r="AL107" s="209"/>
      <c r="AM107" s="209"/>
      <c r="AN107" s="211"/>
      <c r="AO107" s="211"/>
      <c r="AP107" s="211"/>
      <c r="AQ107" s="209"/>
      <c r="AR107" s="210"/>
      <c r="CK107" s="58">
        <f>IF(DAY(INDEX('Сводный годовой график'!$BA$4:$BL$14,$C106,MONTH($B$104)))=E$3,1,0)</f>
        <v>0</v>
      </c>
      <c r="CL107" s="58">
        <f>IF(DAY(INDEX('Сводный годовой график'!$BA$4:$BL$14,$C106,MONTH($B$104)))=F$3,1,0)</f>
        <v>0</v>
      </c>
      <c r="CM107" s="58">
        <f>IF(DAY(INDEX('Сводный годовой график'!$BA$4:$BL$14,$C106,MONTH($B$104)))=G$3,1,0)</f>
        <v>0</v>
      </c>
      <c r="CN107" s="58">
        <f>IF(DAY(INDEX('Сводный годовой график'!$BA$4:$BL$14,$C106,MONTH($B$104)))=H$3,1,0)</f>
        <v>0</v>
      </c>
      <c r="CO107" s="58">
        <f>IF(DAY(INDEX('Сводный годовой график'!$BA$4:$BL$14,$C106,MONTH($B$104)))=I$3,1,0)</f>
        <v>0</v>
      </c>
      <c r="CP107" s="58">
        <f>IF(DAY(INDEX('Сводный годовой график'!$BA$4:$BL$14,$C106,MONTH($B$104)))=J$3,1,0)</f>
        <v>0</v>
      </c>
      <c r="CQ107" s="58">
        <f>IF(DAY(INDEX('Сводный годовой график'!$BA$4:$BL$14,$C106,MONTH($B$104)))=K$3,1,0)</f>
        <v>0</v>
      </c>
      <c r="CR107" s="58">
        <f>IF(DAY(INDEX('Сводный годовой график'!$BA$4:$BL$14,$C106,MONTH($B$104)))=L$3,1,0)</f>
        <v>0</v>
      </c>
      <c r="CS107" s="58">
        <f>IF(DAY(INDEX('Сводный годовой график'!$BA$4:$BL$14,$C106,MONTH($B$104)))=M$3,1,0)</f>
        <v>0</v>
      </c>
      <c r="CT107" s="58">
        <f>IF(DAY(INDEX('Сводный годовой график'!$BA$4:$BL$14,$C106,MONTH($B$104)))=N$3,1,0)</f>
        <v>0</v>
      </c>
      <c r="CU107" s="58">
        <f>IF(DAY(INDEX('Сводный годовой график'!$BA$4:$BL$14,$C106,MONTH($B$104)))=O$3,1,0)</f>
        <v>0</v>
      </c>
      <c r="CV107" s="58">
        <f>IF(DAY(INDEX('Сводный годовой график'!$BA$4:$BL$14,$C106,MONTH($B$104)))=P$3,1,0)</f>
        <v>1</v>
      </c>
      <c r="CW107" s="58">
        <f>IF(DAY(INDEX('Сводный годовой график'!$BA$4:$BL$14,$C106,MONTH($B$104)))=Q$3,1,0)</f>
        <v>0</v>
      </c>
      <c r="CX107" s="58">
        <f>IF(DAY(INDEX('Сводный годовой график'!$BA$4:$BL$14,$C106,MONTH($B$104)))=R$3,1,0)</f>
        <v>0</v>
      </c>
      <c r="CY107" s="58">
        <f>IF(DAY(INDEX('Сводный годовой график'!$BA$4:$BL$14,$C106,MONTH($B$104)))=S$3,1,0)</f>
        <v>0</v>
      </c>
      <c r="CZ107" s="58">
        <f>IF(DAY(INDEX('Сводный годовой график'!$BA$4:$BL$14,$C106,MONTH($B$104)))=T$3,1,0)</f>
        <v>0</v>
      </c>
      <c r="DA107" s="58">
        <f>IF(DAY(INDEX('Сводный годовой график'!$BA$4:$BL$14,$C106,MONTH($B$104)))=U$3,1,0)</f>
        <v>0</v>
      </c>
      <c r="DB107" s="58">
        <f>IF(DAY(INDEX('Сводный годовой график'!$BA$4:$BL$14,$C106,MONTH($B$104)))=V$3,1,0)</f>
        <v>0</v>
      </c>
      <c r="DC107" s="58">
        <f>IF(DAY(INDEX('Сводный годовой график'!$BA$4:$BL$14,$C106,MONTH($B$104)))=W$3,1,0)</f>
        <v>0</v>
      </c>
      <c r="DD107" s="58">
        <f>IF(DAY(INDEX('Сводный годовой график'!$BA$4:$BL$14,$C106,MONTH($B$104)))=X$3,1,0)</f>
        <v>0</v>
      </c>
      <c r="DE107" s="58">
        <f>IF(DAY(INDEX('Сводный годовой график'!$BA$4:$BL$14,$C106,MONTH($B$104)))=Y$3,1,0)</f>
        <v>0</v>
      </c>
      <c r="DF107" s="58">
        <f>IF(DAY(INDEX('Сводный годовой график'!$BA$4:$BL$14,$C106,MONTH($B$104)))=Z$3,1,0)</f>
        <v>0</v>
      </c>
      <c r="DG107" s="58">
        <f>IF(DAY(INDEX('Сводный годовой график'!$BA$4:$BL$14,$C106,MONTH($B$104)))=AA$3,1,0)</f>
        <v>0</v>
      </c>
      <c r="DH107" s="58">
        <f>IF(DAY(INDEX('Сводный годовой график'!$BA$4:$BL$14,$C106,MONTH($B$104)))=AB$3,1,0)</f>
        <v>0</v>
      </c>
      <c r="DI107" s="58">
        <f>IF(DAY(INDEX('Сводный годовой график'!$BA$4:$BL$14,$C106,MONTH($B$104)))=AC$3,1,0)</f>
        <v>0</v>
      </c>
      <c r="DJ107" s="58">
        <f>IF(DAY(INDEX('Сводный годовой график'!$BA$4:$BL$14,$C106,MONTH($B$104)))=AD$3,1,0)</f>
        <v>0</v>
      </c>
      <c r="DK107" s="58">
        <f>IF(DAY(INDEX('Сводный годовой график'!$BA$4:$BL$14,$C106,MONTH($B$104)))=AE$3,1,0)</f>
        <v>0</v>
      </c>
      <c r="DL107" s="58">
        <f>IF(DAY(INDEX('Сводный годовой график'!$BA$4:$BL$14,$C106,MONTH($B$104)))=AF$3,1,0)</f>
        <v>0</v>
      </c>
      <c r="DM107" s="58">
        <f>IF(DAY(INDEX('Сводный годовой график'!$BA$4:$BL$14,$C106,MONTH($B$104)))=AG$3,1,0)</f>
        <v>0</v>
      </c>
      <c r="DN107" s="58">
        <f>IF(DAY(INDEX('Сводный годовой график'!$BA$4:$BL$14,$C106,MONTH($B$104)))=AH$3,1,0)</f>
        <v>0</v>
      </c>
      <c r="DO107" s="58">
        <f>IF(DAY(INDEX('Сводный годовой график'!$BA$4:$BL$14,$C106,MONTH($B$104)))=AI$3,1,0)</f>
        <v>0</v>
      </c>
    </row>
    <row r="108" spans="2:119" ht="16.5" thickBot="1" x14ac:dyDescent="0.3">
      <c r="B108" s="201"/>
      <c r="C108" s="196">
        <v>3</v>
      </c>
      <c r="D108" s="81">
        <v>5</v>
      </c>
      <c r="E108" s="92" t="e">
        <f ca="1">IF(AND(INDEX('Сводный годовой график'!$C$1:$AR$4,MATCH($C$108,'Сводный годовой график'!$B$1:$B$4),MATCH(DATE($AV$1,MONTH($B$104),E$3),'Сводный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график'!$B$1:$B$4),MATCH(DATE($AV$1,MONTH($B$104),E$3),'Сводный годовой график'!$C$15:$AR$15)))</f>
        <v>#N/A</v>
      </c>
      <c r="F108" s="92" t="e">
        <f ca="1">IF(AND(INDEX('Сводный годовой график'!$C$1:$AR$4,MATCH($C$108,'Сводный годовой график'!$B$1:$B$4),MATCH(DATE($AV$1,MONTH($B$104),F$3),'Сводный годовой график'!$J$15:$AR$15))&lt;&gt;12,INDIRECT(ADDRESS(ROW()+1,COLUMN()))="СП"),8,INDEX('Сводный годовой график'!$C$1:$AR$4,MATCH($C$108,'Сводный годовой график'!$B$1:$B$4),MATCH(DATE($AV$1,MONTH($B$104),F$3),'Сводный годовой график'!$J$15:$AR$15)))</f>
        <v>#N/A</v>
      </c>
      <c r="G108" s="92" t="e">
        <f ca="1">IF(AND(INDEX('Сводный годовой график'!$C$1:$AR$4,MATCH($C$108,'Сводный годовой график'!$B$1:$B$4),MATCH(DATE($AV$1,MONTH($B$104),G$3),'Сводный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график'!$B$1:$B$4),MATCH(DATE($AV$1,MONTH($B$104),G$3),'Сводный годовой график'!$C$15:$AR$15)))</f>
        <v>#N/A</v>
      </c>
      <c r="H108" s="92" t="e">
        <f ca="1">IF(AND(INDEX('Сводный годовой график'!$C$1:$AR$4,MATCH($C$108,'Сводный годовой график'!$B$1:$B$4),MATCH(DATE($AV$1,MONTH($B$104),H$3),'Сводный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график'!$B$1:$B$4),MATCH(DATE($AV$1,MONTH($B$104),H$3),'Сводный годовой график'!$C$15:$AR$15)))</f>
        <v>#N/A</v>
      </c>
      <c r="I108" s="92" t="e">
        <f ca="1">IF(AND(INDEX('Сводный годовой график'!$C$1:$AR$4,MATCH($C$108,'Сводный годовой график'!$B$1:$B$4),MATCH(DATE($AV$1,MONTH($B$104),I$3),'Сводный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график'!$B$1:$B$4),MATCH(DATE($AV$1,MONTH($B$104),I$3),'Сводный годовой график'!$C$15:$AR$15)))</f>
        <v>#N/A</v>
      </c>
      <c r="J108" s="92" t="e">
        <f ca="1">IF(AND(INDEX('Сводный годовой график'!$C$1:$AR$4,MATCH($C$108,'Сводный годовой график'!$B$1:$B$4),MATCH(DATE($AV$1,MONTH($B$104),J$3),'Сводный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график'!$B$1:$B$4),MATCH(DATE($AV$1,MONTH($B$104),J$3),'Сводный годовой график'!$C$15:$AR$15)))</f>
        <v>#N/A</v>
      </c>
      <c r="K108" s="92" t="e">
        <f ca="1">IF(AND(INDEX('Сводный годовой график'!$C$1:$AR$4,MATCH($C$108,'Сводный годовой график'!$B$1:$B$4),MATCH(DATE($AV$1,MONTH($B$104),K$3),'Сводный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график'!$B$1:$B$4),MATCH(DATE($AV$1,MONTH($B$104),K$3),'Сводный годовой график'!$C$15:$AR$15)))</f>
        <v>#N/A</v>
      </c>
      <c r="L108" s="92" t="e">
        <f ca="1">IF(AND(INDEX('Сводный годовой график'!$C$1:$AR$4,MATCH($C$108,'Сводный годовой график'!$B$1:$B$4),MATCH(DATE($AV$1,MONTH($B$104),L$3),'Сводный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график'!$B$1:$B$4),MATCH(DATE($AV$1,MONTH($B$104),L$3),'Сводный годовой график'!$C$15:$AR$15)))</f>
        <v>#N/A</v>
      </c>
      <c r="M108" s="92" t="e">
        <f ca="1">IF(AND(INDEX('Сводный годовой график'!$C$1:$AR$4,MATCH($C$108,'Сводный годовой график'!$B$1:$B$4),MATCH(DATE($AV$1,MONTH($B$104),M$3),'Сводный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график'!$B$1:$B$4),MATCH(DATE($AV$1,MONTH($B$104),M$3),'Сводный годовой график'!$C$15:$AR$15)))</f>
        <v>#N/A</v>
      </c>
      <c r="N108" s="92" t="e">
        <f ca="1">IF(AND(INDEX('Сводный годовой график'!$C$1:$AR$4,MATCH($C$108,'Сводный годовой график'!$B$1:$B$4),MATCH(DATE($AV$1,MONTH($B$104),N$3),'Сводный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график'!$B$1:$B$4),MATCH(DATE($AV$1,MONTH($B$104),N$3),'Сводный годовой график'!$C$15:$AR$15)))</f>
        <v>#N/A</v>
      </c>
      <c r="O108" s="92" t="e">
        <f ca="1">IF(AND(INDEX('Сводный годовой график'!$C$1:$AR$4,MATCH($C$108,'Сводный годовой график'!$B$1:$B$4),MATCH(DATE($AV$1,MONTH($B$104),O$3),'Сводный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график'!$B$1:$B$4),MATCH(DATE($AV$1,MONTH($B$104),O$3),'Сводный годовой график'!$C$15:$AR$15)))</f>
        <v>#N/A</v>
      </c>
      <c r="P108" s="92" t="e">
        <f ca="1">IF(AND(INDEX('Сводный годовой график'!$C$1:$AR$4,MATCH($C$108,'Сводный годовой график'!$B$1:$B$4),MATCH(DATE($AV$1,MONTH($B$104),P$3),'Сводный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график'!$B$1:$B$4),MATCH(DATE($AV$1,MONTH($B$104),P$3),'Сводный годовой график'!$C$15:$AR$15)))</f>
        <v>#N/A</v>
      </c>
      <c r="Q108" s="92" t="e">
        <f ca="1">IF(AND(INDEX('Сводный годовой график'!$C$1:$AR$4,MATCH($C$108,'Сводный годовой график'!$B$1:$B$4),MATCH(DATE($AV$1,MONTH($B$104),Q$3),'Сводный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график'!$B$1:$B$4),MATCH(DATE($AV$1,MONTH($B$104),Q$3),'Сводный годовой график'!$C$15:$AR$15)))</f>
        <v>#N/A</v>
      </c>
      <c r="R108" s="92" t="e">
        <f ca="1">IF(AND(INDEX('Сводный годовой график'!$C$1:$AR$4,MATCH($C$108,'Сводный годовой график'!$B$1:$B$4),MATCH(DATE($AV$1,MONTH($B$104),R$3),'Сводный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график'!$B$1:$B$4),MATCH(DATE($AV$1,MONTH($B$104),R$3),'Сводный годовой график'!$C$15:$AR$15)))</f>
        <v>#N/A</v>
      </c>
      <c r="S108" s="92" t="e">
        <f ca="1">IF(AND(INDEX('Сводный годовой график'!$C$1:$AR$4,MATCH($C$108,'Сводный годовой график'!$B$1:$B$4),MATCH(DATE($AV$1,MONTH($B$104),S$3),'Сводный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график'!$B$1:$B$4),MATCH(DATE($AV$1,MONTH($B$104),S$3),'Сводный годовой график'!$C$15:$AR$15)))</f>
        <v>#N/A</v>
      </c>
      <c r="T108" s="92" t="e">
        <f ca="1">IF(AND(INDEX('Сводный годовой график'!$C$1:$AR$4,MATCH($C$108,'Сводный годовой график'!$B$1:$B$4),MATCH(DATE($AV$1,MONTH($B$104),T$3),'Сводный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график'!$B$1:$B$4),MATCH(DATE($AV$1,MONTH($B$104),T$3),'Сводный годовой график'!$C$15:$AR$15)))</f>
        <v>#N/A</v>
      </c>
      <c r="U108" s="92" t="e">
        <f ca="1">IF(AND(INDEX('Сводный годовой график'!$C$1:$AR$4,MATCH($C$108,'Сводный годовой график'!$B$1:$B$4),MATCH(DATE($AV$1,MONTH($B$104),U$3),'Сводный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график'!$B$1:$B$4),MATCH(DATE($AV$1,MONTH($B$104),U$3),'Сводный годовой график'!$C$15:$AR$15)))</f>
        <v>#N/A</v>
      </c>
      <c r="V108" s="92" t="e">
        <f ca="1">IF(AND(INDEX('Сводный годовой график'!$C$1:$AR$4,MATCH($C$108,'Сводный годовой график'!$B$1:$B$4),MATCH(DATE($AV$1,MONTH($B$104),V$3),'Сводный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график'!$B$1:$B$4),MATCH(DATE($AV$1,MONTH($B$104),V$3),'Сводный годовой график'!$C$15:$AR$15)))</f>
        <v>#N/A</v>
      </c>
      <c r="W108" s="92" t="e">
        <f ca="1">IF(AND(INDEX('Сводный годовой график'!$C$1:$AR$4,MATCH($C$108,'Сводный годовой график'!$B$1:$B$4),MATCH(DATE($AV$1,MONTH($B$104),W$3),'Сводный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график'!$B$1:$B$4),MATCH(DATE($AV$1,MONTH($B$104),W$3),'Сводный годовой график'!$C$15:$AR$15)))</f>
        <v>#N/A</v>
      </c>
      <c r="X108" s="92" t="e">
        <f ca="1">IF(AND(INDEX('Сводный годовой график'!$C$1:$AR$4,MATCH($C$108,'Сводный годовой график'!$B$1:$B$4),MATCH(DATE($AV$1,MONTH($B$104),X$3),'Сводный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график'!$B$1:$B$4),MATCH(DATE($AV$1,MONTH($B$104),X$3),'Сводный годовой график'!$C$15:$AR$15)))</f>
        <v>#N/A</v>
      </c>
      <c r="Y108" s="92" t="e">
        <f ca="1">IF(AND(INDEX('Сводный годовой график'!$C$1:$AR$4,MATCH($C$108,'Сводный годовой график'!$B$1:$B$4),MATCH(DATE($AV$1,MONTH($B$104),Y$3),'Сводный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график'!$B$1:$B$4),MATCH(DATE($AV$1,MONTH($B$104),Y$3),'Сводный годовой график'!$C$15:$AR$15)))</f>
        <v>#N/A</v>
      </c>
      <c r="Z108" s="92" t="e">
        <f ca="1">IF(AND(INDEX('Сводный годовой график'!$C$1:$AR$4,MATCH($C$108,'Сводный годовой график'!$B$1:$B$4),MATCH(DATE($AV$1,MONTH($B$104),Z$3),'Сводный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график'!$B$1:$B$4),MATCH(DATE($AV$1,MONTH($B$104),Z$3),'Сводный годовой график'!$C$15:$AR$15)))</f>
        <v>#N/A</v>
      </c>
      <c r="AA108" s="92" t="e">
        <f ca="1">IF(AND(INDEX('Сводный годовой график'!$C$1:$AR$4,MATCH($C$108,'Сводный годовой график'!$B$1:$B$4),MATCH(DATE($AV$1,MONTH($B$104),AA$3),'Сводный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график'!$B$1:$B$4),MATCH(DATE($AV$1,MONTH($B$104),AA$3),'Сводный годовой график'!$C$15:$AR$15)))</f>
        <v>#N/A</v>
      </c>
      <c r="AB108" s="92" t="e">
        <f ca="1">IF(AND(INDEX('Сводный годовой график'!$C$1:$AR$4,MATCH($C$108,'Сводный годовой график'!$B$1:$B$4),MATCH(DATE($AV$1,MONTH($B$104),AB$3),'Сводный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график'!$B$1:$B$4),MATCH(DATE($AV$1,MONTH($B$104),AB$3),'Сводный годовой график'!$C$15:$AR$15)))</f>
        <v>#N/A</v>
      </c>
      <c r="AC108" s="92" t="e">
        <f ca="1">IF(AND(INDEX('Сводный годовой график'!$C$1:$AR$4,MATCH($C$108,'Сводный годовой график'!$B$1:$B$4),MATCH(DATE($AV$1,MONTH($B$104),AC$3),'Сводный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график'!$B$1:$B$4),MATCH(DATE($AV$1,MONTH($B$104),AC$3),'Сводный годовой график'!$C$15:$AR$15)))</f>
        <v>#N/A</v>
      </c>
      <c r="AD108" s="92" t="e">
        <f ca="1">IF(AND(INDEX('Сводный годовой график'!$C$1:$AR$4,MATCH($C$108,'Сводный годовой график'!$B$1:$B$4),MATCH(DATE($AV$1,MONTH($B$104),AD$3),'Сводный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график'!$B$1:$B$4),MATCH(DATE($AV$1,MONTH($B$104),AD$3),'Сводный годовой график'!$C$15:$AR$15)))</f>
        <v>#N/A</v>
      </c>
      <c r="AE108" s="92" t="e">
        <f ca="1">IF(AND(INDEX('Сводный годовой график'!$C$1:$AR$4,MATCH($C$108,'Сводный годовой график'!$B$1:$B$4),MATCH(DATE($AV$1,MONTH($B$104),AE$3),'Сводный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график'!$B$1:$B$4),MATCH(DATE($AV$1,MONTH($B$104),AE$3),'Сводный годовой график'!$C$15:$AR$15)))</f>
        <v>#N/A</v>
      </c>
      <c r="AF108" s="92" t="e">
        <f ca="1">IF(AND(INDEX('Сводный годовой график'!$C$1:$AR$4,MATCH($C$108,'Сводный годовой график'!$B$1:$B$4),MATCH(DATE($AV$1,MONTH($B$104),AF$3),'Сводный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график'!$B$1:$B$4),MATCH(DATE($AV$1,MONTH($B$104),AF$3),'Сводный годовой график'!$C$15:$AR$15)))</f>
        <v>#N/A</v>
      </c>
      <c r="AG108" s="92" t="e">
        <f ca="1">IF(AND(INDEX('Сводный годовой график'!$C$1:$AR$4,MATCH($C$108,'Сводный годовой график'!$B$1:$B$4),MATCH(DATE($AV$1,MONTH($B$104),AG$3),'Сводный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график'!$B$1:$B$4),MATCH(DATE($AV$1,MONTH($B$104),AG$3),'Сводный годовой график'!$C$15:$AR$15)))</f>
        <v>#N/A</v>
      </c>
      <c r="AH108" s="92" t="e">
        <f ca="1">IF(AND(INDEX('Сводный годовой график'!$C$1:$AR$4,MATCH($C$108,'Сводный годовой график'!$B$1:$B$4),MATCH(DATE($AV$1,MONTH($B$104),AH$3),'Сводный годовой график'!$C$15:$AR$15))&lt;&gt;12,INDIRECT(ADDRESS(ROW()+1,COLUMN()))="СП"),8,INDEX('Сводный годовой график'!$C$1:$AR$4,MATCH($C$108,'Сводный годовой график'!$B$1:$B$4),MATCH(DATE($AV$1,MONTH($B$104),AH$3),'Сводный годовой график'!$C$15:$AR$15)))</f>
        <v>#N/A</v>
      </c>
      <c r="AI108" s="119"/>
      <c r="AJ108" s="206"/>
      <c r="AK108" s="209">
        <f>$AJ$104-SUM(AY108:CC109)</f>
        <v>151</v>
      </c>
      <c r="AL108" s="209" t="e">
        <f t="shared" ref="AL108" ca="1" si="188">SUM(E108:AI109)</f>
        <v>#N/A</v>
      </c>
      <c r="AM108" s="209" t="e">
        <f t="shared" ref="AM108" ca="1" si="189">SUM(H108)</f>
        <v>#N/A</v>
      </c>
      <c r="AN108" s="211" t="e">
        <f t="shared" ref="AN108" ca="1" si="190">-AM108-AK108+AL108</f>
        <v>#N/A</v>
      </c>
      <c r="AO108" s="211">
        <v>0</v>
      </c>
      <c r="AP108" s="211" t="e">
        <f t="shared" ref="AP108" ca="1" si="191">AN108+AP98</f>
        <v>#N/A</v>
      </c>
      <c r="AQ108" s="209">
        <v>0</v>
      </c>
      <c r="AR108" s="210">
        <v>1</v>
      </c>
      <c r="CK108" s="59"/>
      <c r="CL108" s="59"/>
      <c r="CM108" s="59"/>
      <c r="CN108" s="59"/>
      <c r="CO108" s="59"/>
      <c r="CP108" s="59"/>
      <c r="CQ108" s="59"/>
      <c r="CR108" s="59"/>
      <c r="CS108" s="59"/>
      <c r="CT108" s="59"/>
      <c r="CU108" s="59"/>
      <c r="CV108" s="59"/>
      <c r="CW108" s="59"/>
      <c r="CX108" s="59"/>
      <c r="CY108" s="59"/>
      <c r="CZ108" s="59"/>
      <c r="DA108" s="59"/>
      <c r="DB108" s="59"/>
      <c r="DC108" s="59"/>
      <c r="DD108" s="59"/>
      <c r="DE108" s="59"/>
      <c r="DF108" s="59"/>
      <c r="DG108" s="59"/>
      <c r="DH108" s="59"/>
      <c r="DI108" s="59"/>
      <c r="DJ108" s="59"/>
      <c r="DK108" s="59"/>
      <c r="DL108" s="59"/>
      <c r="DM108" s="59"/>
      <c r="DN108" s="59"/>
      <c r="DO108" s="59"/>
    </row>
    <row r="109" spans="2:119" ht="16.5" thickBot="1" x14ac:dyDescent="0.3">
      <c r="B109" s="201"/>
      <c r="C109" s="197"/>
      <c r="D109" s="82">
        <v>6</v>
      </c>
      <c r="E109" s="92" t="str">
        <f t="shared" ref="E109:AH109" si="192">IF(INDEX($CK$4:$DO$123,ROW()-3,E$3)=0,"","СП")</f>
        <v/>
      </c>
      <c r="F109" s="92" t="str">
        <f t="shared" si="192"/>
        <v/>
      </c>
      <c r="G109" s="92" t="str">
        <f t="shared" si="192"/>
        <v/>
      </c>
      <c r="H109" s="92" t="str">
        <f t="shared" si="192"/>
        <v/>
      </c>
      <c r="I109" s="92" t="str">
        <f t="shared" si="192"/>
        <v/>
      </c>
      <c r="J109" s="92" t="str">
        <f t="shared" si="192"/>
        <v/>
      </c>
      <c r="K109" s="92" t="str">
        <f t="shared" si="192"/>
        <v/>
      </c>
      <c r="L109" s="92" t="str">
        <f t="shared" si="192"/>
        <v/>
      </c>
      <c r="M109" s="92" t="str">
        <f t="shared" si="192"/>
        <v/>
      </c>
      <c r="N109" s="92" t="str">
        <f t="shared" si="192"/>
        <v/>
      </c>
      <c r="O109" s="92" t="str">
        <f t="shared" si="192"/>
        <v/>
      </c>
      <c r="P109" s="92" t="str">
        <f t="shared" si="192"/>
        <v/>
      </c>
      <c r="Q109" s="92" t="str">
        <f t="shared" si="192"/>
        <v>СП</v>
      </c>
      <c r="R109" s="92" t="str">
        <f t="shared" si="192"/>
        <v/>
      </c>
      <c r="S109" s="92" t="str">
        <f t="shared" si="192"/>
        <v/>
      </c>
      <c r="T109" s="92" t="str">
        <f t="shared" si="192"/>
        <v/>
      </c>
      <c r="U109" s="92" t="str">
        <f t="shared" si="192"/>
        <v/>
      </c>
      <c r="V109" s="92" t="str">
        <f t="shared" si="192"/>
        <v/>
      </c>
      <c r="W109" s="92" t="str">
        <f t="shared" si="192"/>
        <v/>
      </c>
      <c r="X109" s="92" t="str">
        <f t="shared" si="192"/>
        <v/>
      </c>
      <c r="Y109" s="92" t="str">
        <f t="shared" si="192"/>
        <v/>
      </c>
      <c r="Z109" s="92" t="str">
        <f t="shared" si="192"/>
        <v/>
      </c>
      <c r="AA109" s="92" t="str">
        <f t="shared" si="192"/>
        <v/>
      </c>
      <c r="AB109" s="92" t="str">
        <f t="shared" si="192"/>
        <v/>
      </c>
      <c r="AC109" s="92" t="str">
        <f t="shared" si="192"/>
        <v/>
      </c>
      <c r="AD109" s="92" t="str">
        <f t="shared" si="192"/>
        <v/>
      </c>
      <c r="AE109" s="92" t="str">
        <f t="shared" si="192"/>
        <v/>
      </c>
      <c r="AF109" s="92" t="str">
        <f t="shared" si="192"/>
        <v/>
      </c>
      <c r="AG109" s="92" t="str">
        <f t="shared" si="192"/>
        <v/>
      </c>
      <c r="AH109" s="92" t="str">
        <f t="shared" si="192"/>
        <v/>
      </c>
      <c r="AI109" s="119"/>
      <c r="AJ109" s="206"/>
      <c r="AK109" s="209"/>
      <c r="AL109" s="209"/>
      <c r="AM109" s="209"/>
      <c r="AN109" s="211"/>
      <c r="AO109" s="211"/>
      <c r="AP109" s="211"/>
      <c r="AQ109" s="209"/>
      <c r="AR109" s="210"/>
      <c r="CK109" s="58">
        <f>IF(DAY(INDEX('Сводный годовой график'!$BA$4:$BL$14,$C108,MONTH($B$104)))=E$3,1,0)</f>
        <v>0</v>
      </c>
      <c r="CL109" s="58">
        <f>IF(DAY(INDEX('Сводный годовой график'!$BA$4:$BL$14,$C108,MONTH($B$104)))=F$3,1,0)</f>
        <v>0</v>
      </c>
      <c r="CM109" s="58">
        <f>IF(DAY(INDEX('Сводный годовой график'!$BA$4:$BL$14,$C108,MONTH($B$104)))=G$3,1,0)</f>
        <v>0</v>
      </c>
      <c r="CN109" s="58">
        <f>IF(DAY(INDEX('Сводный годовой график'!$BA$4:$BL$14,$C108,MONTH($B$104)))=H$3,1,0)</f>
        <v>0</v>
      </c>
      <c r="CO109" s="58">
        <f>IF(DAY(INDEX('Сводный годовой график'!$BA$4:$BL$14,$C108,MONTH($B$104)))=I$3,1,0)</f>
        <v>0</v>
      </c>
      <c r="CP109" s="58">
        <f>IF(DAY(INDEX('Сводный годовой график'!$BA$4:$BL$14,$C108,MONTH($B$104)))=J$3,1,0)</f>
        <v>0</v>
      </c>
      <c r="CQ109" s="58">
        <f>IF(DAY(INDEX('Сводный годовой график'!$BA$4:$BL$14,$C108,MONTH($B$104)))=K$3,1,0)</f>
        <v>0</v>
      </c>
      <c r="CR109" s="58">
        <f>IF(DAY(INDEX('Сводный годовой график'!$BA$4:$BL$14,$C108,MONTH($B$104)))=L$3,1,0)</f>
        <v>0</v>
      </c>
      <c r="CS109" s="58">
        <f>IF(DAY(INDEX('Сводный годовой график'!$BA$4:$BL$14,$C108,MONTH($B$104)))=M$3,1,0)</f>
        <v>0</v>
      </c>
      <c r="CT109" s="58">
        <f>IF(DAY(INDEX('Сводный годовой график'!$BA$4:$BL$14,$C108,MONTH($B$104)))=N$3,1,0)</f>
        <v>0</v>
      </c>
      <c r="CU109" s="58">
        <f>IF(DAY(INDEX('Сводный годовой график'!$BA$4:$BL$14,$C108,MONTH($B$104)))=O$3,1,0)</f>
        <v>0</v>
      </c>
      <c r="CV109" s="58">
        <f>IF(DAY(INDEX('Сводный годовой график'!$BA$4:$BL$14,$C108,MONTH($B$104)))=P$3,1,0)</f>
        <v>0</v>
      </c>
      <c r="CW109" s="58">
        <f>IF(DAY(INDEX('Сводный годовой график'!$BA$4:$BL$14,$C108,MONTH($B$104)))=Q$3,1,0)</f>
        <v>1</v>
      </c>
      <c r="CX109" s="58">
        <f>IF(DAY(INDEX('Сводный годовой график'!$BA$4:$BL$14,$C108,MONTH($B$104)))=R$3,1,0)</f>
        <v>0</v>
      </c>
      <c r="CY109" s="58">
        <f>IF(DAY(INDEX('Сводный годовой график'!$BA$4:$BL$14,$C108,MONTH($B$104)))=S$3,1,0)</f>
        <v>0</v>
      </c>
      <c r="CZ109" s="58">
        <f>IF(DAY(INDEX('Сводный годовой график'!$BA$4:$BL$14,$C108,MONTH($B$104)))=T$3,1,0)</f>
        <v>0</v>
      </c>
      <c r="DA109" s="58">
        <f>IF(DAY(INDEX('Сводный годовой график'!$BA$4:$BL$14,$C108,MONTH($B$104)))=U$3,1,0)</f>
        <v>0</v>
      </c>
      <c r="DB109" s="58">
        <f>IF(DAY(INDEX('Сводный годовой график'!$BA$4:$BL$14,$C108,MONTH($B$104)))=V$3,1,0)</f>
        <v>0</v>
      </c>
      <c r="DC109" s="58">
        <f>IF(DAY(INDEX('Сводный годовой график'!$BA$4:$BL$14,$C108,MONTH($B$104)))=W$3,1,0)</f>
        <v>0</v>
      </c>
      <c r="DD109" s="58">
        <f>IF(DAY(INDEX('Сводный годовой график'!$BA$4:$BL$14,$C108,MONTH($B$104)))=X$3,1,0)</f>
        <v>0</v>
      </c>
      <c r="DE109" s="58">
        <f>IF(DAY(INDEX('Сводный годовой график'!$BA$4:$BL$14,$C108,MONTH($B$104)))=Y$3,1,0)</f>
        <v>0</v>
      </c>
      <c r="DF109" s="58">
        <f>IF(DAY(INDEX('Сводный годовой график'!$BA$4:$BL$14,$C108,MONTH($B$104)))=Z$3,1,0)</f>
        <v>0</v>
      </c>
      <c r="DG109" s="58">
        <f>IF(DAY(INDEX('Сводный годовой график'!$BA$4:$BL$14,$C108,MONTH($B$104)))=AA$3,1,0)</f>
        <v>0</v>
      </c>
      <c r="DH109" s="58">
        <f>IF(DAY(INDEX('Сводный годовой график'!$BA$4:$BL$14,$C108,MONTH($B$104)))=AB$3,1,0)</f>
        <v>0</v>
      </c>
      <c r="DI109" s="58">
        <f>IF(DAY(INDEX('Сводный годовой график'!$BA$4:$BL$14,$C108,MONTH($B$104)))=AC$3,1,0)</f>
        <v>0</v>
      </c>
      <c r="DJ109" s="58">
        <f>IF(DAY(INDEX('Сводный годовой график'!$BA$4:$BL$14,$C108,MONTH($B$104)))=AD$3,1,0)</f>
        <v>0</v>
      </c>
      <c r="DK109" s="58">
        <f>IF(DAY(INDEX('Сводный годовой график'!$BA$4:$BL$14,$C108,MONTH($B$104)))=AE$3,1,0)</f>
        <v>0</v>
      </c>
      <c r="DL109" s="58">
        <f>IF(DAY(INDEX('Сводный годовой график'!$BA$4:$BL$14,$C108,MONTH($B$104)))=AF$3,1,0)</f>
        <v>0</v>
      </c>
      <c r="DM109" s="58">
        <f>IF(DAY(INDEX('Сводный годовой график'!$BA$4:$BL$14,$C108,MONTH($B$104)))=AG$3,1,0)</f>
        <v>0</v>
      </c>
      <c r="DN109" s="58">
        <f>IF(DAY(INDEX('Сводный годовой график'!$BA$4:$BL$14,$C108,MONTH($B$104)))=AH$3,1,0)</f>
        <v>0</v>
      </c>
      <c r="DO109" s="58">
        <f>IF(DAY(INDEX('Сводный годовой график'!$BA$4:$BL$14,$C108,MONTH($B$104)))=AI$3,1,0)</f>
        <v>0</v>
      </c>
    </row>
    <row r="110" spans="2:119" ht="16.5" thickBot="1" x14ac:dyDescent="0.3">
      <c r="B110" s="201"/>
      <c r="C110" s="196">
        <v>4</v>
      </c>
      <c r="D110" s="81">
        <v>7</v>
      </c>
      <c r="E110" s="92" t="e">
        <f ca="1">IF(AND(INDEX('Сводный годовой график'!$C$1:$AR$4,MATCH($C$110,'Сводный годовой график'!$B$1:$B$4),MATCH(DATE($AV$1,MONTH($B$104),E$3),'Сводный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график'!$B$1:$B$4),MATCH(DATE($AV$1,MONTH($B$104),E$3),'Сводный годовой график'!$C$15:$AR$15)))</f>
        <v>#N/A</v>
      </c>
      <c r="F110" s="92" t="e">
        <f ca="1">IF(AND(INDEX('Сводный годовой график'!$C$1:$AR$4,MATCH($C$110,'Сводный годовой график'!$B$1:$B$4),MATCH(DATE($AV$1,MONTH($B$104),F$3),'Сводный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график'!$B$1:$B$4),MATCH(DATE($AV$1,MONTH($B$104),F$3),'Сводный годовой график'!$C$15:$AR$15)))</f>
        <v>#N/A</v>
      </c>
      <c r="G110" s="92" t="e">
        <f ca="1">IF(AND(INDEX('Сводный годовой график'!$C$1:$AR$4,MATCH($C$110,'Сводный годовой график'!$B$1:$B$4),MATCH(DATE($AV$1,MONTH($B$104),G$3),'Сводный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график'!$B$1:$B$4),MATCH(DATE($AV$1,MONTH($B$104),G$3),'Сводный годовой график'!$C$15:$AR$15)))</f>
        <v>#N/A</v>
      </c>
      <c r="H110" s="92" t="e">
        <f ca="1">IF(AND(INDEX('Сводный годовой график'!$C$1:$AR$4,MATCH($C$110,'Сводный годовой график'!$B$1:$B$4),MATCH(DATE($AV$1,MONTH($B$104),H$3),'Сводный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график'!$B$1:$B$4),MATCH(DATE($AV$1,MONTH($B$104),H$3),'Сводный годовой график'!$C$15:$AR$15)))</f>
        <v>#N/A</v>
      </c>
      <c r="I110" s="92" t="e">
        <f ca="1">IF(AND(INDEX('Сводный годовой график'!$C$1:$AR$4,MATCH($C$110,'Сводный годовой график'!$B$1:$B$4),MATCH(DATE($AV$1,MONTH($B$104),I$3),'Сводный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график'!$B$1:$B$4),MATCH(DATE($AV$1,MONTH($B$104),I$3),'Сводный годовой график'!$C$15:$AR$15)))</f>
        <v>#N/A</v>
      </c>
      <c r="J110" s="92" t="e">
        <f ca="1">IF(AND(INDEX('Сводный годовой график'!$C$1:$AR$4,MATCH($C$110,'Сводный годовой график'!$B$1:$B$4),MATCH(DATE($AV$1,MONTH($B$104),J$3),'Сводный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график'!$B$1:$B$4),MATCH(DATE($AV$1,MONTH($B$104),J$3),'Сводный годовой график'!$C$15:$AR$15)))</f>
        <v>#N/A</v>
      </c>
      <c r="K110" s="92" t="e">
        <f ca="1">IF(AND(INDEX('Сводный годовой график'!$C$1:$AR$4,MATCH($C$110,'Сводный годовой график'!$B$1:$B$4),MATCH(DATE($AV$1,MONTH($B$104),K$3),'Сводный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график'!$B$1:$B$4),MATCH(DATE($AV$1,MONTH($B$104),K$3),'Сводный годовой график'!$C$15:$AR$15)))</f>
        <v>#N/A</v>
      </c>
      <c r="L110" s="92" t="e">
        <f ca="1">IF(AND(INDEX('Сводный годовой график'!$C$1:$AR$4,MATCH($C$110,'Сводный годовой график'!$B$1:$B$4),MATCH(DATE($AV$1,MONTH($B$104),L$3),'Сводный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график'!$B$1:$B$4),MATCH(DATE($AV$1,MONTH($B$104),L$3),'Сводный годовой график'!$C$15:$AR$15)))</f>
        <v>#N/A</v>
      </c>
      <c r="M110" s="92" t="e">
        <f ca="1">IF(AND(INDEX('Сводный годовой график'!$C$1:$AR$4,MATCH($C$110,'Сводный годовой график'!$B$1:$B$4),MATCH(DATE($AV$1,MONTH($B$104),M$3),'Сводный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график'!$B$1:$B$4),MATCH(DATE($AV$1,MONTH($B$104),M$3),'Сводный годовой график'!$C$15:$AR$15)))</f>
        <v>#N/A</v>
      </c>
      <c r="N110" s="92" t="e">
        <f ca="1">IF(AND(INDEX('Сводный годовой график'!$C$1:$AR$4,MATCH($C$110,'Сводный годовой график'!$B$1:$B$4),MATCH(DATE($AV$1,MONTH($B$104),N$3),'Сводный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график'!$B$1:$B$4),MATCH(DATE($AV$1,MONTH($B$104),N$3),'Сводный годовой график'!$C$15:$AR$15)))</f>
        <v>#N/A</v>
      </c>
      <c r="O110" s="92" t="e">
        <f ca="1">IF(AND(INDEX('Сводный годовой график'!$C$1:$AR$4,MATCH($C$110,'Сводный годовой график'!$B$1:$B$4),MATCH(DATE($AV$1,MONTH($B$104),O$3),'Сводный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график'!$B$1:$B$4),MATCH(DATE($AV$1,MONTH($B$104),O$3),'Сводный годовой график'!$C$15:$AR$15)))</f>
        <v>#N/A</v>
      </c>
      <c r="P110" s="92" t="e">
        <f ca="1">IF(AND(INDEX('Сводный годовой график'!$C$1:$AR$4,MATCH($C$110,'Сводный годовой график'!$B$1:$B$4),MATCH(DATE($AV$1,MONTH($B$104),P$3),'Сводный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график'!$B$1:$B$4),MATCH(DATE($AV$1,MONTH($B$104),P$3),'Сводный годовой график'!$C$15:$AR$15)))</f>
        <v>#N/A</v>
      </c>
      <c r="Q110" s="92" t="e">
        <f ca="1">IF(AND(INDEX('Сводный годовой график'!$C$1:$AR$4,MATCH($C$110,'Сводный годовой график'!$B$1:$B$4),MATCH(DATE($AV$1,MONTH($B$104),Q$3),'Сводный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график'!$B$1:$B$4),MATCH(DATE($AV$1,MONTH($B$104),Q$3),'Сводный годовой график'!$C$15:$AR$15)))</f>
        <v>#N/A</v>
      </c>
      <c r="R110" s="92" t="e">
        <f ca="1">IF(AND(INDEX('Сводный годовой график'!$C$1:$AR$4,MATCH($C$110,'Сводный годовой график'!$B$1:$B$4),MATCH(DATE($AV$1,MONTH($B$104),R$3),'Сводный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график'!$B$1:$B$4),MATCH(DATE($AV$1,MONTH($B$104),R$3),'Сводный годовой график'!$C$15:$AR$15)))</f>
        <v>#N/A</v>
      </c>
      <c r="S110" s="92" t="e">
        <f ca="1">IF(AND(INDEX('Сводный годовой график'!$C$1:$AR$4,MATCH($C$110,'Сводный годовой график'!$B$1:$B$4),MATCH(DATE($AV$1,MONTH($B$104),S$3),'Сводный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график'!$B$1:$B$4),MATCH(DATE($AV$1,MONTH($B$104),S$3),'Сводный годовой график'!$C$15:$AR$15)))</f>
        <v>#N/A</v>
      </c>
      <c r="T110" s="92" t="e">
        <f ca="1">IF(AND(INDEX('Сводный годовой график'!$C$1:$AR$4,MATCH($C$110,'Сводный годовой график'!$B$1:$B$4),MATCH(DATE($AV$1,MONTH($B$104),T$3),'Сводный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график'!$B$1:$B$4),MATCH(DATE($AV$1,MONTH($B$104),T$3),'Сводный годовой график'!$C$15:$AR$15)))</f>
        <v>#N/A</v>
      </c>
      <c r="U110" s="92" t="e">
        <f ca="1">IF(AND(INDEX('Сводный годовой график'!$C$1:$AR$4,MATCH($C$110,'Сводный годовой график'!$B$1:$B$4),MATCH(DATE($AV$1,MONTH($B$104),U$3),'Сводный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график'!$B$1:$B$4),MATCH(DATE($AV$1,MONTH($B$104),U$3),'Сводный годовой график'!$C$15:$AR$15)))</f>
        <v>#N/A</v>
      </c>
      <c r="V110" s="92" t="e">
        <f ca="1">IF(AND(INDEX('Сводный годовой график'!$C$1:$AR$4,MATCH($C$110,'Сводный годовой график'!$B$1:$B$4),MATCH(DATE($AV$1,MONTH($B$104),V$3),'Сводный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график'!$B$1:$B$4),MATCH(DATE($AV$1,MONTH($B$104),V$3),'Сводный годовой график'!$C$15:$AR$15)))</f>
        <v>#N/A</v>
      </c>
      <c r="W110" s="92" t="e">
        <f ca="1">IF(AND(INDEX('Сводный годовой график'!$C$1:$AR$4,MATCH($C$110,'Сводный годовой график'!$B$1:$B$4),MATCH(DATE($AV$1,MONTH($B$104),W$3),'Сводный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график'!$B$1:$B$4),MATCH(DATE($AV$1,MONTH($B$104),W$3),'Сводный годовой график'!$C$15:$AR$15)))</f>
        <v>#N/A</v>
      </c>
      <c r="X110" s="92" t="e">
        <f ca="1">IF(AND(INDEX('Сводный годовой график'!$C$1:$AR$4,MATCH($C$110,'Сводный годовой график'!$B$1:$B$4),MATCH(DATE($AV$1,MONTH($B$104),X$3),'Сводный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график'!$B$1:$B$4),MATCH(DATE($AV$1,MONTH($B$104),X$3),'Сводный годовой график'!$C$15:$AR$15)))</f>
        <v>#N/A</v>
      </c>
      <c r="Y110" s="92" t="e">
        <f ca="1">IF(AND(INDEX('Сводный годовой график'!$C$1:$AR$4,MATCH($C$110,'Сводный годовой график'!$B$1:$B$4),MATCH(DATE($AV$1,MONTH($B$104),Y$3),'Сводный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график'!$B$1:$B$4),MATCH(DATE($AV$1,MONTH($B$104),Y$3),'Сводный годовой график'!$C$15:$AR$15)))</f>
        <v>#N/A</v>
      </c>
      <c r="Z110" s="92" t="e">
        <f ca="1">IF(AND(INDEX('Сводный годовой график'!$C$1:$AR$4,MATCH($C$110,'Сводный годовой график'!$B$1:$B$4),MATCH(DATE($AV$1,MONTH($B$104),Z$3),'Сводный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график'!$B$1:$B$4),MATCH(DATE($AV$1,MONTH($B$104),Z$3),'Сводный годовой график'!$C$15:$AR$15)))</f>
        <v>#N/A</v>
      </c>
      <c r="AA110" s="92" t="e">
        <f ca="1">IF(AND(INDEX('Сводный годовой график'!$C$1:$AR$4,MATCH($C$110,'Сводный годовой график'!$B$1:$B$4),MATCH(DATE($AV$1,MONTH($B$104),AA$3),'Сводный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график'!$B$1:$B$4),MATCH(DATE($AV$1,MONTH($B$104),AA$3),'Сводный годовой график'!$C$15:$AR$15)))</f>
        <v>#N/A</v>
      </c>
      <c r="AB110" s="92" t="e">
        <f ca="1">IF(AND(INDEX('Сводный годовой график'!$C$1:$AR$4,MATCH($C$110,'Сводный годовой график'!$B$1:$B$4),MATCH(DATE($AV$1,MONTH($B$104),AB$3),'Сводный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график'!$B$1:$B$4),MATCH(DATE($AV$1,MONTH($B$104),AB$3),'Сводный годовой график'!$C$15:$AR$15)))</f>
        <v>#N/A</v>
      </c>
      <c r="AC110" s="92" t="e">
        <f ca="1">IF(AND(INDEX('Сводный годовой график'!$C$1:$AR$4,MATCH($C$110,'Сводный годовой график'!$B$1:$B$4),MATCH(DATE($AV$1,MONTH($B$104),AC$3),'Сводный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график'!$B$1:$B$4),MATCH(DATE($AV$1,MONTH($B$104),AC$3),'Сводный годовой график'!$C$15:$AR$15)))</f>
        <v>#N/A</v>
      </c>
      <c r="AD110" s="92" t="e">
        <f ca="1">IF(AND(INDEX('Сводный годовой график'!$C$1:$AR$4,MATCH($C$110,'Сводный годовой график'!$B$1:$B$4),MATCH(DATE($AV$1,MONTH($B$104),AD$3),'Сводный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график'!$B$1:$B$4),MATCH(DATE($AV$1,MONTH($B$104),AD$3),'Сводный годовой график'!$C$15:$AR$15)))</f>
        <v>#N/A</v>
      </c>
      <c r="AE110" s="92" t="e">
        <f ca="1">IF(AND(INDEX('Сводный годовой график'!$C$1:$AR$4,MATCH($C$110,'Сводный годовой график'!$B$1:$B$4),MATCH(DATE($AV$1,MONTH($B$104),AE$3),'Сводный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график'!$B$1:$B$4),MATCH(DATE($AV$1,MONTH($B$104),AE$3),'Сводный годовой график'!$C$15:$AR$15)))</f>
        <v>#N/A</v>
      </c>
      <c r="AF110" s="92" t="e">
        <f ca="1">IF(AND(INDEX('Сводный годовой график'!$C$1:$AR$4,MATCH($C$110,'Сводный годовой график'!$B$1:$B$4),MATCH(DATE($AV$1,MONTH($B$104),AF$3),'Сводный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график'!$B$1:$B$4),MATCH(DATE($AV$1,MONTH($B$104),AF$3),'Сводный годовой график'!$C$15:$AR$15)))</f>
        <v>#N/A</v>
      </c>
      <c r="AG110" s="92" t="e">
        <f ca="1">IF(AND(INDEX('Сводный годовой график'!$C$1:$AR$4,MATCH($C$110,'Сводный годовой график'!$B$1:$B$4),MATCH(DATE($AV$1,MONTH($B$104),AG$3),'Сводный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график'!$B$1:$B$4),MATCH(DATE($AV$1,MONTH($B$104),AG$3),'Сводный годовой график'!$C$15:$AR$15)))</f>
        <v>#N/A</v>
      </c>
      <c r="AH110" s="92" t="e">
        <f ca="1">IF(AND(INDEX('Сводный годовой график'!$C$1:$AR$4,MATCH($C$110,'Сводный годовой график'!$B$1:$B$4),MATCH(DATE($AV$1,MONTH($B$104),AH$3),'Сводный годовой график'!$C$15:$AR$15))&lt;&gt;12,INDIRECT(ADDRESS(ROW()+1,COLUMN()))="СП"),8,INDEX('Сводный годовой график'!$C$1:$AR$4,MATCH($C$110,'Сводный годовой график'!$B$1:$B$4),MATCH(DATE($AV$1,MONTH($B$104),AH$3),'Сводный годовой график'!$C$15:$AR$15)))</f>
        <v>#N/A</v>
      </c>
      <c r="AI110" s="119"/>
      <c r="AJ110" s="206"/>
      <c r="AK110" s="209">
        <f>$AJ$104-SUM(AY110:CC111)</f>
        <v>151</v>
      </c>
      <c r="AL110" s="209" t="e">
        <f t="shared" ref="AL110" ca="1" si="193">SUM(E110:AI111)</f>
        <v>#N/A</v>
      </c>
      <c r="AM110" s="209" t="e">
        <f t="shared" ref="AM110" ca="1" si="194">SUM(H110)</f>
        <v>#N/A</v>
      </c>
      <c r="AN110" s="211" t="e">
        <f t="shared" ref="AN110" ca="1" si="195">-AM110-AK110+AL110</f>
        <v>#N/A</v>
      </c>
      <c r="AO110" s="211">
        <v>0</v>
      </c>
      <c r="AP110" s="211" t="e">
        <f t="shared" ref="AP110" ca="1" si="196">AN110+AP100</f>
        <v>#N/A</v>
      </c>
      <c r="AQ110" s="209">
        <v>0</v>
      </c>
      <c r="AR110" s="210">
        <v>1</v>
      </c>
      <c r="CK110" s="59"/>
      <c r="CL110" s="59"/>
      <c r="CM110" s="59"/>
      <c r="CN110" s="59"/>
      <c r="CO110" s="59"/>
      <c r="CP110" s="59"/>
      <c r="CQ110" s="59"/>
      <c r="CR110" s="59"/>
      <c r="CS110" s="59"/>
      <c r="CT110" s="59"/>
      <c r="CU110" s="59"/>
      <c r="CV110" s="59"/>
      <c r="CW110" s="59"/>
      <c r="CX110" s="59"/>
      <c r="CY110" s="59"/>
      <c r="CZ110" s="59"/>
      <c r="DA110" s="59"/>
      <c r="DB110" s="59"/>
      <c r="DC110" s="59"/>
      <c r="DD110" s="59"/>
      <c r="DE110" s="59"/>
      <c r="DF110" s="59"/>
      <c r="DG110" s="59"/>
      <c r="DH110" s="59"/>
      <c r="DI110" s="59"/>
      <c r="DJ110" s="59"/>
      <c r="DK110" s="59"/>
      <c r="DL110" s="59"/>
      <c r="DM110" s="59"/>
      <c r="DN110" s="59"/>
      <c r="DO110" s="59"/>
    </row>
    <row r="111" spans="2:119" ht="16.5" thickBot="1" x14ac:dyDescent="0.3">
      <c r="B111" s="201"/>
      <c r="C111" s="197"/>
      <c r="D111" s="82">
        <v>8</v>
      </c>
      <c r="E111" s="92" t="str">
        <f t="shared" ref="E111:AH111" si="197">IF(INDEX($CK$4:$DO$123,ROW()-3,E$3)=0,"","СП")</f>
        <v/>
      </c>
      <c r="F111" s="92" t="str">
        <f t="shared" si="197"/>
        <v/>
      </c>
      <c r="G111" s="92" t="str">
        <f t="shared" si="197"/>
        <v/>
      </c>
      <c r="H111" s="92" t="str">
        <f t="shared" si="197"/>
        <v/>
      </c>
      <c r="I111" s="92" t="str">
        <f t="shared" si="197"/>
        <v/>
      </c>
      <c r="J111" s="92" t="str">
        <f t="shared" si="197"/>
        <v/>
      </c>
      <c r="K111" s="92" t="str">
        <f t="shared" si="197"/>
        <v/>
      </c>
      <c r="L111" s="92" t="str">
        <f t="shared" si="197"/>
        <v/>
      </c>
      <c r="M111" s="92" t="str">
        <f t="shared" si="197"/>
        <v/>
      </c>
      <c r="N111" s="92" t="str">
        <f t="shared" si="197"/>
        <v/>
      </c>
      <c r="O111" s="92" t="str">
        <f t="shared" si="197"/>
        <v/>
      </c>
      <c r="P111" s="92" t="str">
        <f t="shared" si="197"/>
        <v/>
      </c>
      <c r="Q111" s="92" t="str">
        <f t="shared" si="197"/>
        <v/>
      </c>
      <c r="R111" s="92" t="str">
        <f t="shared" si="197"/>
        <v>СП</v>
      </c>
      <c r="S111" s="92" t="str">
        <f t="shared" si="197"/>
        <v/>
      </c>
      <c r="T111" s="92" t="str">
        <f t="shared" si="197"/>
        <v/>
      </c>
      <c r="U111" s="92" t="str">
        <f t="shared" si="197"/>
        <v/>
      </c>
      <c r="V111" s="92" t="str">
        <f t="shared" si="197"/>
        <v/>
      </c>
      <c r="W111" s="92" t="str">
        <f t="shared" si="197"/>
        <v/>
      </c>
      <c r="X111" s="92" t="str">
        <f t="shared" si="197"/>
        <v/>
      </c>
      <c r="Y111" s="92" t="str">
        <f t="shared" si="197"/>
        <v/>
      </c>
      <c r="Z111" s="92" t="str">
        <f t="shared" si="197"/>
        <v/>
      </c>
      <c r="AA111" s="92" t="str">
        <f t="shared" si="197"/>
        <v/>
      </c>
      <c r="AB111" s="92" t="str">
        <f t="shared" si="197"/>
        <v/>
      </c>
      <c r="AC111" s="92" t="str">
        <f t="shared" si="197"/>
        <v/>
      </c>
      <c r="AD111" s="92" t="str">
        <f t="shared" si="197"/>
        <v/>
      </c>
      <c r="AE111" s="92" t="str">
        <f t="shared" si="197"/>
        <v/>
      </c>
      <c r="AF111" s="92" t="str">
        <f t="shared" si="197"/>
        <v/>
      </c>
      <c r="AG111" s="92" t="str">
        <f t="shared" si="197"/>
        <v/>
      </c>
      <c r="AH111" s="92" t="str">
        <f t="shared" si="197"/>
        <v/>
      </c>
      <c r="AI111" s="119"/>
      <c r="AJ111" s="206"/>
      <c r="AK111" s="209"/>
      <c r="AL111" s="209"/>
      <c r="AM111" s="209"/>
      <c r="AN111" s="211"/>
      <c r="AO111" s="211"/>
      <c r="AP111" s="211"/>
      <c r="AQ111" s="209"/>
      <c r="AR111" s="210"/>
      <c r="CK111" s="58">
        <f>IF(DAY(INDEX('Сводный годовой график'!$BA$4:$BL$14,$C110,MONTH($B$104)))=E$3,1,0)</f>
        <v>0</v>
      </c>
      <c r="CL111" s="58">
        <f>IF(DAY(INDEX('Сводный годовой график'!$BA$4:$BL$14,$C110,MONTH($B$104)))=F$3,1,0)</f>
        <v>0</v>
      </c>
      <c r="CM111" s="58">
        <f>IF(DAY(INDEX('Сводный годовой график'!$BA$4:$BL$14,$C110,MONTH($B$104)))=G$3,1,0)</f>
        <v>0</v>
      </c>
      <c r="CN111" s="58">
        <f>IF(DAY(INDEX('Сводный годовой график'!$BA$4:$BL$14,$C110,MONTH($B$104)))=H$3,1,0)</f>
        <v>0</v>
      </c>
      <c r="CO111" s="58">
        <f>IF(DAY(INDEX('Сводный годовой график'!$BA$4:$BL$14,$C110,MONTH($B$104)))=I$3,1,0)</f>
        <v>0</v>
      </c>
      <c r="CP111" s="58">
        <f>IF(DAY(INDEX('Сводный годовой график'!$BA$4:$BL$14,$C110,MONTH($B$104)))=J$3,1,0)</f>
        <v>0</v>
      </c>
      <c r="CQ111" s="58">
        <f>IF(DAY(INDEX('Сводный годовой график'!$BA$4:$BL$14,$C110,MONTH($B$104)))=K$3,1,0)</f>
        <v>0</v>
      </c>
      <c r="CR111" s="58">
        <f>IF(DAY(INDEX('Сводный годовой график'!$BA$4:$BL$14,$C110,MONTH($B$104)))=L$3,1,0)</f>
        <v>0</v>
      </c>
      <c r="CS111" s="58">
        <f>IF(DAY(INDEX('Сводный годовой график'!$BA$4:$BL$14,$C110,MONTH($B$104)))=M$3,1,0)</f>
        <v>0</v>
      </c>
      <c r="CT111" s="58">
        <f>IF(DAY(INDEX('Сводный годовой график'!$BA$4:$BL$14,$C110,MONTH($B$104)))=N$3,1,0)</f>
        <v>0</v>
      </c>
      <c r="CU111" s="58">
        <f>IF(DAY(INDEX('Сводный годовой график'!$BA$4:$BL$14,$C110,MONTH($B$104)))=O$3,1,0)</f>
        <v>0</v>
      </c>
      <c r="CV111" s="58">
        <f>IF(DAY(INDEX('Сводный годовой график'!$BA$4:$BL$14,$C110,MONTH($B$104)))=P$3,1,0)</f>
        <v>0</v>
      </c>
      <c r="CW111" s="58">
        <f>IF(DAY(INDEX('Сводный годовой график'!$BA$4:$BL$14,$C110,MONTH($B$104)))=Q$3,1,0)</f>
        <v>0</v>
      </c>
      <c r="CX111" s="58">
        <f>IF(DAY(INDEX('Сводный годовой график'!$BA$4:$BL$14,$C110,MONTH($B$104)))=R$3,1,0)</f>
        <v>1</v>
      </c>
      <c r="CY111" s="58">
        <f>IF(DAY(INDEX('Сводный годовой график'!$BA$4:$BL$14,$C110,MONTH($B$104)))=S$3,1,0)</f>
        <v>0</v>
      </c>
      <c r="CZ111" s="58">
        <f>IF(DAY(INDEX('Сводный годовой график'!$BA$4:$BL$14,$C110,MONTH($B$104)))=T$3,1,0)</f>
        <v>0</v>
      </c>
      <c r="DA111" s="58">
        <f>IF(DAY(INDEX('Сводный годовой график'!$BA$4:$BL$14,$C110,MONTH($B$104)))=U$3,1,0)</f>
        <v>0</v>
      </c>
      <c r="DB111" s="58">
        <f>IF(DAY(INDEX('Сводный годовой график'!$BA$4:$BL$14,$C110,MONTH($B$104)))=V$3,1,0)</f>
        <v>0</v>
      </c>
      <c r="DC111" s="58">
        <f>IF(DAY(INDEX('Сводный годовой график'!$BA$4:$BL$14,$C110,MONTH($B$104)))=W$3,1,0)</f>
        <v>0</v>
      </c>
      <c r="DD111" s="58">
        <f>IF(DAY(INDEX('Сводный годовой график'!$BA$4:$BL$14,$C110,MONTH($B$104)))=X$3,1,0)</f>
        <v>0</v>
      </c>
      <c r="DE111" s="58">
        <f>IF(DAY(INDEX('Сводный годовой график'!$BA$4:$BL$14,$C110,MONTH($B$104)))=Y$3,1,0)</f>
        <v>0</v>
      </c>
      <c r="DF111" s="58">
        <f>IF(DAY(INDEX('Сводный годовой график'!$BA$4:$BL$14,$C110,MONTH($B$104)))=Z$3,1,0)</f>
        <v>0</v>
      </c>
      <c r="DG111" s="58">
        <f>IF(DAY(INDEX('Сводный годовой график'!$BA$4:$BL$14,$C110,MONTH($B$104)))=AA$3,1,0)</f>
        <v>0</v>
      </c>
      <c r="DH111" s="58">
        <f>IF(DAY(INDEX('Сводный годовой график'!$BA$4:$BL$14,$C110,MONTH($B$104)))=AB$3,1,0)</f>
        <v>0</v>
      </c>
      <c r="DI111" s="58">
        <f>IF(DAY(INDEX('Сводный годовой график'!$BA$4:$BL$14,$C110,MONTH($B$104)))=AC$3,1,0)</f>
        <v>0</v>
      </c>
      <c r="DJ111" s="58">
        <f>IF(DAY(INDEX('Сводный годовой график'!$BA$4:$BL$14,$C110,MONTH($B$104)))=AD$3,1,0)</f>
        <v>0</v>
      </c>
      <c r="DK111" s="58">
        <f>IF(DAY(INDEX('Сводный годовой график'!$BA$4:$BL$14,$C110,MONTH($B$104)))=AE$3,1,0)</f>
        <v>0</v>
      </c>
      <c r="DL111" s="58">
        <f>IF(DAY(INDEX('Сводный годовой график'!$BA$4:$BL$14,$C110,MONTH($B$104)))=AF$3,1,0)</f>
        <v>0</v>
      </c>
      <c r="DM111" s="58">
        <f>IF(DAY(INDEX('Сводный годовой график'!$BA$4:$BL$14,$C110,MONTH($B$104)))=AG$3,1,0)</f>
        <v>0</v>
      </c>
      <c r="DN111" s="58">
        <f>IF(DAY(INDEX('Сводный годовой график'!$BA$4:$BL$14,$C110,MONTH($B$104)))=AH$3,1,0)</f>
        <v>0</v>
      </c>
      <c r="DO111" s="58">
        <f>IF(DAY(INDEX('Сводный годовой график'!$BA$4:$BL$14,$C110,MONTH($B$104)))=AI$3,1,0)</f>
        <v>0</v>
      </c>
    </row>
    <row r="112" spans="2:119" ht="16.5" thickBot="1" x14ac:dyDescent="0.3">
      <c r="B112" s="201"/>
      <c r="C112" s="196">
        <v>5</v>
      </c>
      <c r="D112" s="81">
        <v>9</v>
      </c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119"/>
      <c r="AJ112" s="206"/>
      <c r="AK112" s="209">
        <f>$AJ$104-SUM(AY112:CC113)</f>
        <v>151</v>
      </c>
      <c r="AL112" s="209">
        <f t="shared" ref="AL112" si="198">SUM(E112:AI113)</f>
        <v>0</v>
      </c>
      <c r="AM112" s="209">
        <f t="shared" ref="AM112" si="199">SUM(H112)</f>
        <v>0</v>
      </c>
      <c r="AN112" s="211">
        <f t="shared" ref="AN112" si="200">-AM112-AK112+AL112</f>
        <v>-151</v>
      </c>
      <c r="AO112" s="211">
        <v>0</v>
      </c>
      <c r="AP112" s="211">
        <f t="shared" ref="AP112" si="201">AN112+AP102</f>
        <v>-1868</v>
      </c>
      <c r="AQ112" s="209">
        <v>14</v>
      </c>
      <c r="AR112" s="210">
        <v>1</v>
      </c>
      <c r="CK112" s="59"/>
      <c r="CL112" s="59"/>
      <c r="CM112" s="59"/>
      <c r="CN112" s="59"/>
      <c r="CO112" s="59"/>
      <c r="CP112" s="59"/>
      <c r="CQ112" s="59"/>
      <c r="CR112" s="59"/>
      <c r="CS112" s="59"/>
      <c r="CT112" s="59"/>
      <c r="CU112" s="59"/>
      <c r="CV112" s="59"/>
      <c r="CW112" s="59"/>
      <c r="CX112" s="59"/>
      <c r="CY112" s="59"/>
      <c r="CZ112" s="59"/>
      <c r="DA112" s="59"/>
      <c r="DB112" s="59"/>
      <c r="DC112" s="59"/>
      <c r="DD112" s="59"/>
      <c r="DE112" s="59"/>
      <c r="DF112" s="59"/>
      <c r="DG112" s="59"/>
      <c r="DH112" s="59"/>
      <c r="DI112" s="59"/>
      <c r="DJ112" s="59"/>
      <c r="DK112" s="59"/>
      <c r="DL112" s="59"/>
      <c r="DM112" s="59"/>
      <c r="DN112" s="59"/>
      <c r="DO112" s="59"/>
    </row>
    <row r="113" spans="2:119" ht="16.5" thickBot="1" x14ac:dyDescent="0.3">
      <c r="B113" s="202"/>
      <c r="C113" s="212"/>
      <c r="D113" s="99">
        <v>10</v>
      </c>
      <c r="E113" s="30" t="str">
        <f t="shared" ref="E113:AH113" si="202">IF(INDEX($CK$4:$DO$123,ROW()-3,E$3)=0,"","СП")</f>
        <v/>
      </c>
      <c r="F113" s="30" t="str">
        <f t="shared" si="202"/>
        <v/>
      </c>
      <c r="G113" s="30" t="str">
        <f t="shared" si="202"/>
        <v/>
      </c>
      <c r="H113" s="30" t="str">
        <f t="shared" si="202"/>
        <v/>
      </c>
      <c r="I113" s="30" t="str">
        <f t="shared" si="202"/>
        <v/>
      </c>
      <c r="J113" s="30" t="str">
        <f t="shared" si="202"/>
        <v/>
      </c>
      <c r="K113" s="30" t="str">
        <f t="shared" si="202"/>
        <v/>
      </c>
      <c r="L113" s="30" t="str">
        <f t="shared" si="202"/>
        <v/>
      </c>
      <c r="M113" s="30" t="str">
        <f t="shared" si="202"/>
        <v/>
      </c>
      <c r="N113" s="30" t="str">
        <f t="shared" si="202"/>
        <v/>
      </c>
      <c r="O113" s="30" t="str">
        <f t="shared" si="202"/>
        <v/>
      </c>
      <c r="P113" s="30" t="str">
        <f t="shared" si="202"/>
        <v/>
      </c>
      <c r="Q113" s="30" t="str">
        <f t="shared" si="202"/>
        <v/>
      </c>
      <c r="R113" s="30" t="str">
        <f t="shared" si="202"/>
        <v/>
      </c>
      <c r="S113" s="30" t="str">
        <f t="shared" si="202"/>
        <v>СП</v>
      </c>
      <c r="T113" s="30" t="str">
        <f t="shared" si="202"/>
        <v/>
      </c>
      <c r="U113" s="30" t="str">
        <f t="shared" si="202"/>
        <v/>
      </c>
      <c r="V113" s="30" t="str">
        <f t="shared" si="202"/>
        <v/>
      </c>
      <c r="W113" s="30" t="str">
        <f t="shared" si="202"/>
        <v/>
      </c>
      <c r="X113" s="30" t="str">
        <f t="shared" si="202"/>
        <v/>
      </c>
      <c r="Y113" s="30" t="str">
        <f t="shared" si="202"/>
        <v/>
      </c>
      <c r="Z113" s="30" t="str">
        <f t="shared" si="202"/>
        <v/>
      </c>
      <c r="AA113" s="30" t="str">
        <f t="shared" si="202"/>
        <v/>
      </c>
      <c r="AB113" s="30" t="str">
        <f t="shared" si="202"/>
        <v/>
      </c>
      <c r="AC113" s="30" t="str">
        <f t="shared" si="202"/>
        <v/>
      </c>
      <c r="AD113" s="30" t="str">
        <f t="shared" si="202"/>
        <v/>
      </c>
      <c r="AE113" s="30" t="str">
        <f t="shared" si="202"/>
        <v/>
      </c>
      <c r="AF113" s="30" t="str">
        <f t="shared" si="202"/>
        <v/>
      </c>
      <c r="AG113" s="30" t="str">
        <f t="shared" si="202"/>
        <v/>
      </c>
      <c r="AH113" s="30" t="str">
        <f t="shared" si="202"/>
        <v/>
      </c>
      <c r="AI113" s="120"/>
      <c r="AJ113" s="207"/>
      <c r="AK113" s="213"/>
      <c r="AL113" s="213"/>
      <c r="AM113" s="213"/>
      <c r="AN113" s="214"/>
      <c r="AO113" s="214"/>
      <c r="AP113" s="214"/>
      <c r="AQ113" s="213"/>
      <c r="AR113" s="215"/>
      <c r="CK113" s="58">
        <f>IF(DAY(INDEX('Сводный годовой график'!$BA$4:$BL$14,$C112,MONTH($B$104)))=E$3,1,0)</f>
        <v>0</v>
      </c>
      <c r="CL113" s="58">
        <f>IF(DAY(INDEX('Сводный годовой график'!$BA$4:$BL$14,$C112,MONTH($B$104)))=F$3,1,0)</f>
        <v>0</v>
      </c>
      <c r="CM113" s="58">
        <f>IF(DAY(INDEX('Сводный годовой график'!$BA$4:$BL$14,$C112,MONTH($B$104)))=G$3,1,0)</f>
        <v>0</v>
      </c>
      <c r="CN113" s="58">
        <f>IF(DAY(INDEX('Сводный годовой график'!$BA$4:$BL$14,$C112,MONTH($B$104)))=H$3,1,0)</f>
        <v>0</v>
      </c>
      <c r="CO113" s="58">
        <f>IF(DAY(INDEX('Сводный годовой график'!$BA$4:$BL$14,$C112,MONTH($B$104)))=I$3,1,0)</f>
        <v>0</v>
      </c>
      <c r="CP113" s="58">
        <f>IF(DAY(INDEX('Сводный годовой график'!$BA$4:$BL$14,$C112,MONTH($B$104)))=J$3,1,0)</f>
        <v>0</v>
      </c>
      <c r="CQ113" s="58">
        <f>IF(DAY(INDEX('Сводный годовой график'!$BA$4:$BL$14,$C112,MONTH($B$104)))=K$3,1,0)</f>
        <v>0</v>
      </c>
      <c r="CR113" s="58">
        <f>IF(DAY(INDEX('Сводный годовой график'!$BA$4:$BL$14,$C112,MONTH($B$104)))=L$3,1,0)</f>
        <v>0</v>
      </c>
      <c r="CS113" s="58">
        <f>IF(DAY(INDEX('Сводный годовой график'!$BA$4:$BL$14,$C112,MONTH($B$104)))=M$3,1,0)</f>
        <v>0</v>
      </c>
      <c r="CT113" s="58">
        <f>IF(DAY(INDEX('Сводный годовой график'!$BA$4:$BL$14,$C112,MONTH($B$104)))=N$3,1,0)</f>
        <v>0</v>
      </c>
      <c r="CU113" s="58">
        <f>IF(DAY(INDEX('Сводный годовой график'!$BA$4:$BL$14,$C112,MONTH($B$104)))=O$3,1,0)</f>
        <v>0</v>
      </c>
      <c r="CV113" s="58">
        <f>IF(DAY(INDEX('Сводный годовой график'!$BA$4:$BL$14,$C112,MONTH($B$104)))=P$3,1,0)</f>
        <v>0</v>
      </c>
      <c r="CW113" s="58">
        <f>IF(DAY(INDEX('Сводный годовой график'!$BA$4:$BL$14,$C112,MONTH($B$104)))=Q$3,1,0)</f>
        <v>0</v>
      </c>
      <c r="CX113" s="58">
        <f>IF(DAY(INDEX('Сводный годовой график'!$BA$4:$BL$14,$C112,MONTH($B$104)))=R$3,1,0)</f>
        <v>0</v>
      </c>
      <c r="CY113" s="58">
        <f>IF(DAY(INDEX('Сводный годовой график'!$BA$4:$BL$14,$C112,MONTH($B$104)))=S$3,1,0)</f>
        <v>1</v>
      </c>
      <c r="CZ113" s="58">
        <f>IF(DAY(INDEX('Сводный годовой график'!$BA$4:$BL$14,$C112,MONTH($B$104)))=T$3,1,0)</f>
        <v>0</v>
      </c>
      <c r="DA113" s="58">
        <f>IF(DAY(INDEX('Сводный годовой график'!$BA$4:$BL$14,$C112,MONTH($B$104)))=U$3,1,0)</f>
        <v>0</v>
      </c>
      <c r="DB113" s="58">
        <f>IF(DAY(INDEX('Сводный годовой график'!$BA$4:$BL$14,$C112,MONTH($B$104)))=V$3,1,0)</f>
        <v>0</v>
      </c>
      <c r="DC113" s="58">
        <f>IF(DAY(INDEX('Сводный годовой график'!$BA$4:$BL$14,$C112,MONTH($B$104)))=W$3,1,0)</f>
        <v>0</v>
      </c>
      <c r="DD113" s="58">
        <f>IF(DAY(INDEX('Сводный годовой график'!$BA$4:$BL$14,$C112,MONTH($B$104)))=X$3,1,0)</f>
        <v>0</v>
      </c>
      <c r="DE113" s="58">
        <f>IF(DAY(INDEX('Сводный годовой график'!$BA$4:$BL$14,$C112,MONTH($B$104)))=Y$3,1,0)</f>
        <v>0</v>
      </c>
      <c r="DF113" s="58">
        <f>IF(DAY(INDEX('Сводный годовой график'!$BA$4:$BL$14,$C112,MONTH($B$104)))=Z$3,1,0)</f>
        <v>0</v>
      </c>
      <c r="DG113" s="58">
        <f>IF(DAY(INDEX('Сводный годовой график'!$BA$4:$BL$14,$C112,MONTH($B$104)))=AA$3,1,0)</f>
        <v>0</v>
      </c>
      <c r="DH113" s="58">
        <f>IF(DAY(INDEX('Сводный годовой график'!$BA$4:$BL$14,$C112,MONTH($B$104)))=AB$3,1,0)</f>
        <v>0</v>
      </c>
      <c r="DI113" s="58">
        <f>IF(DAY(INDEX('Сводный годовой график'!$BA$4:$BL$14,$C112,MONTH($B$104)))=AC$3,1,0)</f>
        <v>0</v>
      </c>
      <c r="DJ113" s="58">
        <f>IF(DAY(INDEX('Сводный годовой график'!$BA$4:$BL$14,$C112,MONTH($B$104)))=AD$3,1,0)</f>
        <v>0</v>
      </c>
      <c r="DK113" s="58">
        <f>IF(DAY(INDEX('Сводный годовой график'!$BA$4:$BL$14,$C112,MONTH($B$104)))=AE$3,1,0)</f>
        <v>0</v>
      </c>
      <c r="DL113" s="58">
        <f>IF(DAY(INDEX('Сводный годовой график'!$BA$4:$BL$14,$C112,MONTH($B$104)))=AF$3,1,0)</f>
        <v>0</v>
      </c>
      <c r="DM113" s="58">
        <f>IF(DAY(INDEX('Сводный годовой график'!$BA$4:$BL$14,$C112,MONTH($B$104)))=AG$3,1,0)</f>
        <v>0</v>
      </c>
      <c r="DN113" s="58">
        <f>IF(DAY(INDEX('Сводный годовой график'!$BA$4:$BL$14,$C112,MONTH($B$104)))=AH$3,1,0)</f>
        <v>0</v>
      </c>
      <c r="DO113" s="58">
        <f>IF(DAY(INDEX('Сводный годовой график'!$BA$4:$BL$14,$C112,MONTH($B$104)))=AI$3,1,0)</f>
        <v>0</v>
      </c>
    </row>
    <row r="114" spans="2:119" ht="17.25" customHeight="1" thickTop="1" thickBot="1" x14ac:dyDescent="0.3">
      <c r="B114" s="252">
        <f>DATE($AV$1,12,1)</f>
        <v>45992</v>
      </c>
      <c r="C114" s="196">
        <v>1</v>
      </c>
      <c r="D114" s="81">
        <v>1</v>
      </c>
      <c r="E114" s="28" t="e">
        <f ca="1">IF(AND(INDEX('Сводный годовой график'!$C$1:$AR$4,MATCH($C$114,'Сводный годовой график'!$B$1:$B$4),MATCH(DATE($AV$1,MONTH($B$114),E$3),'Сводный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график'!$B$1:$B$4),MATCH(DATE($AV$1,MONTH($B$114),E$3),'Сводный годовой график'!$C$16:$AR$16)))</f>
        <v>#N/A</v>
      </c>
      <c r="F114" s="28" t="e">
        <f ca="1">IF(AND(INDEX('Сводный годовой график'!$C$1:$AR$4,MATCH($C$114,'Сводный годовой график'!$B$1:$B$4),MATCH(DATE($AV$1,MONTH($B$114),F$3),'Сводный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график'!$B$1:$B$4),MATCH(DATE($AV$1,MONTH($B$114),F$3),'Сводный годовой график'!$C$16:$AR$16)))</f>
        <v>#N/A</v>
      </c>
      <c r="G114" s="28" t="e">
        <f ca="1">IF(AND(INDEX('Сводный годовой график'!$C$1:$AR$4,MATCH($C$114,'Сводный годовой график'!$B$1:$B$4),MATCH(DATE($AV$1,MONTH($B$114),G$3),'Сводный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график'!$B$1:$B$4),MATCH(DATE($AV$1,MONTH($B$114),G$3),'Сводный годовой график'!$C$16:$AR$16)))</f>
        <v>#N/A</v>
      </c>
      <c r="H114" s="28" t="e">
        <f ca="1">IF(AND(INDEX('Сводный годовой график'!$C$1:$AR$4,MATCH($C$114,'Сводный годовой график'!$B$1:$B$4),MATCH(DATE($AV$1,MONTH($B$114),H$3),'Сводный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график'!$B$1:$B$4),MATCH(DATE($AV$1,MONTH($B$114),H$3),'Сводный годовой график'!$C$16:$AR$16)))</f>
        <v>#N/A</v>
      </c>
      <c r="I114" s="28" t="e">
        <f ca="1">IF(AND(INDEX('Сводный годовой график'!$C$1:$AR$4,MATCH($C$114,'Сводный годовой график'!$B$1:$B$4),MATCH(DATE($AV$1,MONTH($B$114),I$3),'Сводный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график'!$B$1:$B$4),MATCH(DATE($AV$1,MONTH($B$114),I$3),'Сводный годовой график'!$C$16:$AR$16)))</f>
        <v>#N/A</v>
      </c>
      <c r="J114" s="28" t="e">
        <f ca="1">IF(AND(INDEX('Сводный годовой график'!$C$1:$AR$4,MATCH($C$114,'Сводный годовой график'!$B$1:$B$4),MATCH(DATE($AV$1,MONTH($B$114),J$3),'Сводный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график'!$B$1:$B$4),MATCH(DATE($AV$1,MONTH($B$114),J$3),'Сводный годовой график'!$C$16:$AR$16)))</f>
        <v>#N/A</v>
      </c>
      <c r="K114" s="28" t="e">
        <f ca="1">IF(AND(INDEX('Сводный годовой график'!$C$1:$AR$4,MATCH($C$114,'Сводный годовой график'!$B$1:$B$4),MATCH(DATE($AV$1,MONTH($B$114),K$3),'Сводный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график'!$B$1:$B$4),MATCH(DATE($AV$1,MONTH($B$114),K$3),'Сводный годовой график'!$C$16:$AR$16)))</f>
        <v>#N/A</v>
      </c>
      <c r="L114" s="28" t="e">
        <f ca="1">IF(AND(INDEX('Сводный годовой график'!$C$1:$AR$4,MATCH($C$114,'Сводный годовой график'!$B$1:$B$4),MATCH(DATE($AV$1,MONTH($B$114),L$3),'Сводный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график'!$B$1:$B$4),MATCH(DATE($AV$1,MONTH($B$114),L$3),'Сводный годовой график'!$C$16:$AR$16)))</f>
        <v>#N/A</v>
      </c>
      <c r="M114" s="28" t="e">
        <f ca="1">IF(AND(INDEX('Сводный годовой график'!$C$1:$AR$4,MATCH($C$114,'Сводный годовой график'!$B$1:$B$4),MATCH(DATE($AV$1,MONTH($B$114),M$3),'Сводный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график'!$B$1:$B$4),MATCH(DATE($AV$1,MONTH($B$114),M$3),'Сводный годовой график'!$C$16:$AR$16)))</f>
        <v>#N/A</v>
      </c>
      <c r="N114" s="28" t="e">
        <f ca="1">IF(AND(INDEX('Сводный годовой график'!$C$1:$AR$4,MATCH($C$114,'Сводный годовой график'!$B$1:$B$4),MATCH(DATE($AV$1,MONTH($B$114),N$3),'Сводный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график'!$B$1:$B$4),MATCH(DATE($AV$1,MONTH($B$114),N$3),'Сводный годовой график'!$C$16:$AR$16)))</f>
        <v>#N/A</v>
      </c>
      <c r="O114" s="28" t="e">
        <f ca="1">IF(AND(INDEX('Сводный годовой график'!$C$1:$AR$4,MATCH($C$114,'Сводный годовой график'!$B$1:$B$4),MATCH(DATE($AV$1,MONTH($B$114),O$3),'Сводный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график'!$B$1:$B$4),MATCH(DATE($AV$1,MONTH($B$114),O$3),'Сводный годовой график'!$C$16:$AR$16)))</f>
        <v>#N/A</v>
      </c>
      <c r="P114" s="28" t="e">
        <f ca="1">IF(AND(INDEX('Сводный годовой график'!$C$1:$AR$4,MATCH($C$114,'Сводный годовой график'!$B$1:$B$4),MATCH(DATE($AV$1,MONTH($B$114),P$3),'Сводный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график'!$B$1:$B$4),MATCH(DATE($AV$1,MONTH($B$114),P$3),'Сводный годовой график'!$C$16:$AR$16)))</f>
        <v>#N/A</v>
      </c>
      <c r="Q114" s="28" t="e">
        <f ca="1">IF(AND(INDEX('Сводный годовой график'!$C$1:$AR$4,MATCH($C$114,'Сводный годовой график'!$B$1:$B$4),MATCH(DATE($AV$1,MONTH($B$114),Q$3),'Сводный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график'!$B$1:$B$4),MATCH(DATE($AV$1,MONTH($B$114),Q$3),'Сводный годовой график'!$C$16:$AR$16)))</f>
        <v>#N/A</v>
      </c>
      <c r="R114" s="28" t="e">
        <f ca="1">IF(AND(INDEX('Сводный годовой график'!$C$1:$AR$4,MATCH($C$114,'Сводный годовой график'!$B$1:$B$4),MATCH(DATE($AV$1,MONTH($B$114),R$3),'Сводный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график'!$B$1:$B$4),MATCH(DATE($AV$1,MONTH($B$114),R$3),'Сводный годовой график'!$C$16:$AR$16)))</f>
        <v>#N/A</v>
      </c>
      <c r="S114" s="28" t="e">
        <f ca="1">IF(AND(INDEX('Сводный годовой график'!$C$1:$AR$4,MATCH($C$114,'Сводный годовой график'!$B$1:$B$4),MATCH(DATE($AV$1,MONTH($B$114),S$3),'Сводный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график'!$B$1:$B$4),MATCH(DATE($AV$1,MONTH($B$114),S$3),'Сводный годовой график'!$C$16:$AR$16)))</f>
        <v>#N/A</v>
      </c>
      <c r="T114" s="28" t="e">
        <f ca="1">IF(AND(INDEX('Сводный годовой график'!$C$1:$AR$4,MATCH($C$114,'Сводный годовой график'!$B$1:$B$4),MATCH(DATE($AV$1,MONTH($B$114),T$3),'Сводный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график'!$B$1:$B$4),MATCH(DATE($AV$1,MONTH($B$114),T$3),'Сводный годовой график'!$C$16:$AR$16)))</f>
        <v>#N/A</v>
      </c>
      <c r="U114" s="28" t="e">
        <f ca="1">IF(AND(INDEX('Сводный годовой график'!$C$1:$AR$4,MATCH($C$114,'Сводный годовой график'!$B$1:$B$4),MATCH(DATE($AV$1,MONTH($B$114),U$3),'Сводный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график'!$B$1:$B$4),MATCH(DATE($AV$1,MONTH($B$114),U$3),'Сводный годовой график'!$C$16:$AR$16)))</f>
        <v>#N/A</v>
      </c>
      <c r="V114" s="28" t="e">
        <f ca="1">IF(AND(INDEX('Сводный годовой график'!$C$1:$AR$4,MATCH($C$114,'Сводный годовой график'!$B$1:$B$4),MATCH(DATE($AV$1,MONTH($B$114),V$3),'Сводный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график'!$B$1:$B$4),MATCH(DATE($AV$1,MONTH($B$114),V$3),'Сводный годовой график'!$C$16:$AR$16)))</f>
        <v>#N/A</v>
      </c>
      <c r="W114" s="28" t="e">
        <f ca="1">IF(AND(INDEX('Сводный годовой график'!$C$1:$AR$4,MATCH($C$114,'Сводный годовой график'!$B$1:$B$4),MATCH(DATE($AV$1,MONTH($B$114),W$3),'Сводный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график'!$B$1:$B$4),MATCH(DATE($AV$1,MONTH($B$114),W$3),'Сводный годовой график'!$C$16:$AR$16)))</f>
        <v>#N/A</v>
      </c>
      <c r="X114" s="28" t="e">
        <f ca="1">IF(AND(INDEX('Сводный годовой график'!$C$1:$AR$4,MATCH($C$114,'Сводный годовой график'!$B$1:$B$4),MATCH(DATE($AV$1,MONTH($B$114),X$3),'Сводный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график'!$B$1:$B$4),MATCH(DATE($AV$1,MONTH($B$114),X$3),'Сводный годовой график'!$C$16:$AR$16)))</f>
        <v>#N/A</v>
      </c>
      <c r="Y114" s="28" t="e">
        <f ca="1">IF(AND(INDEX('Сводный годовой график'!$C$1:$AR$4,MATCH($C$114,'Сводный годовой график'!$B$1:$B$4),MATCH(DATE($AV$1,MONTH($B$114),Y$3),'Сводный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график'!$B$1:$B$4),MATCH(DATE($AV$1,MONTH($B$114),Y$3),'Сводный годовой график'!$C$16:$AR$16)))</f>
        <v>#N/A</v>
      </c>
      <c r="Z114" s="28" t="e">
        <f ca="1">IF(AND(INDEX('Сводный годовой график'!$C$1:$AR$4,MATCH($C$114,'Сводный годовой график'!$B$1:$B$4),MATCH(DATE($AV$1,MONTH($B$114),Z$3),'Сводный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график'!$B$1:$B$4),MATCH(DATE($AV$1,MONTH($B$114),Z$3),'Сводный годовой график'!$C$16:$AR$16)))</f>
        <v>#N/A</v>
      </c>
      <c r="AA114" s="28" t="e">
        <f ca="1">IF(AND(INDEX('Сводный годовой график'!$C$1:$AR$4,MATCH($C$114,'Сводный годовой график'!$B$1:$B$4),MATCH(DATE($AV$1,MONTH($B$114),AA$3),'Сводный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график'!$B$1:$B$4),MATCH(DATE($AV$1,MONTH($B$114),AA$3),'Сводный годовой график'!$C$16:$AR$16)))</f>
        <v>#N/A</v>
      </c>
      <c r="AB114" s="28" t="e">
        <f ca="1">IF(AND(INDEX('Сводный годовой график'!$C$1:$AR$4,MATCH($C$114,'Сводный годовой график'!$B$1:$B$4),MATCH(DATE($AV$1,MONTH($B$114),AB$3),'Сводный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график'!$B$1:$B$4),MATCH(DATE($AV$1,MONTH($B$114),AB$3),'Сводный годовой график'!$C$16:$AR$16)))</f>
        <v>#N/A</v>
      </c>
      <c r="AC114" s="28" t="e">
        <f ca="1">IF(AND(INDEX('Сводный годовой график'!$C$1:$AR$4,MATCH($C$114,'Сводный годовой график'!$B$1:$B$4),MATCH(DATE($AV$1,MONTH($B$114),AC$3),'Сводный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график'!$B$1:$B$4),MATCH(DATE($AV$1,MONTH($B$114),AC$3),'Сводный годовой график'!$C$16:$AR$16)))</f>
        <v>#N/A</v>
      </c>
      <c r="AD114" s="28" t="e">
        <f ca="1">IF(AND(INDEX('Сводный годовой график'!$C$1:$AR$4,MATCH($C$114,'Сводный годовой график'!$B$1:$B$4),MATCH(DATE($AV$1,MONTH($B$114),AD$3),'Сводный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график'!$B$1:$B$4),MATCH(DATE($AV$1,MONTH($B$114),AD$3),'Сводный годовой график'!$C$16:$AR$16)))</f>
        <v>#N/A</v>
      </c>
      <c r="AE114" s="28" t="e">
        <f ca="1">IF(AND(INDEX('Сводный годовой график'!$C$1:$AR$4,MATCH($C$114,'Сводный годовой график'!$B$1:$B$4),MATCH(DATE($AV$1,MONTH($B$114),AE$3),'Сводный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график'!$B$1:$B$4),MATCH(DATE($AV$1,MONTH($B$114),AE$3),'Сводный годовой график'!$C$16:$AR$16)))</f>
        <v>#N/A</v>
      </c>
      <c r="AF114" s="28" t="e">
        <f ca="1">IF(AND(INDEX('Сводный годовой график'!$C$1:$AR$4,MATCH($C$114,'Сводный годовой график'!$B$1:$B$4),MATCH(DATE($AV$1,MONTH($B$114),AF$3),'Сводный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график'!$B$1:$B$4),MATCH(DATE($AV$1,MONTH($B$114),AF$3),'Сводный годовой график'!$C$16:$AR$16)))</f>
        <v>#N/A</v>
      </c>
      <c r="AG114" s="28" t="e">
        <f ca="1">IF(AND(INDEX('Сводный годовой график'!$C$1:$AR$4,MATCH($C$114,'Сводный годовой график'!$B$1:$B$4),MATCH(DATE($AV$1,MONTH($B$114),AG$3),'Сводный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график'!$B$1:$B$4),MATCH(DATE($AV$1,MONTH($B$114),AG$3),'Сводный годовой график'!$C$16:$AR$16)))</f>
        <v>#N/A</v>
      </c>
      <c r="AH114" s="28" t="e">
        <f ca="1">IF(AND(INDEX('Сводный годовой график'!$C$1:$AR$4,MATCH($C$114,'Сводный годовой график'!$B$1:$B$4),MATCH(DATE($AV$1,MONTH($B$114),AH$3),'Сводный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график'!$B$1:$B$4),MATCH(DATE($AV$1,MONTH($B$114),AH$3),'Сводный годовой график'!$C$16:$AR$16)))</f>
        <v>#N/A</v>
      </c>
      <c r="AI114" s="95" t="e">
        <f ca="1">IF(AND(INDEX('Сводный годовой график'!$C$1:$AR$4,MATCH($C$114,'Сводный годовой график'!$B$1:$B$4),MATCH(DATE($AV$1,MONTH($B$114),AI$3),'Сводный годовой график'!$C$16:$AR$16))&lt;&gt;12,INDIRECT(ADDRESS(ROW()+1,COLUMN()))="СП"),8,INDEX('Сводный годовой график'!$C$1:$AR$4,MATCH($C$114,'Сводный годовой график'!$B$1:$B$4),MATCH(DATE($AV$1,MONTH($B$114),AI$3),'Сводный годовой график'!$C$16:$AR$16)))</f>
        <v>#N/A</v>
      </c>
      <c r="AJ114" s="205">
        <f>INDEX(Подключения!$D$3:$H$14,MONTH(B114),5)</f>
        <v>176</v>
      </c>
      <c r="AK114" s="203">
        <f>$AJ$114-SUM(AY114:CC115)</f>
        <v>176</v>
      </c>
      <c r="AL114" s="203" t="e">
        <f t="shared" ref="AL114" ca="1" si="203">SUM(E114:AI115)</f>
        <v>#N/A</v>
      </c>
      <c r="AM114" s="203">
        <v>0</v>
      </c>
      <c r="AN114" s="208" t="e">
        <f t="shared" ref="AN114" ca="1" si="204">-AM114-AK114+AL114</f>
        <v>#N/A</v>
      </c>
      <c r="AO114" s="208">
        <v>0</v>
      </c>
      <c r="AP114" s="208" t="e">
        <f t="shared" ref="AP114" ca="1" si="205">AN114+AP104</f>
        <v>#N/A</v>
      </c>
      <c r="AQ114" s="203">
        <v>0</v>
      </c>
      <c r="AR114" s="204">
        <v>1</v>
      </c>
      <c r="CK114" s="59"/>
      <c r="CL114" s="59"/>
      <c r="CM114" s="59"/>
      <c r="CN114" s="59"/>
      <c r="CO114" s="59"/>
      <c r="CP114" s="59"/>
      <c r="CQ114" s="59"/>
      <c r="CR114" s="59"/>
      <c r="CS114" s="59"/>
      <c r="CT114" s="59"/>
      <c r="CU114" s="59"/>
      <c r="CV114" s="59"/>
      <c r="CW114" s="59"/>
      <c r="CX114" s="59"/>
      <c r="CY114" s="59"/>
      <c r="CZ114" s="59"/>
      <c r="DA114" s="59"/>
      <c r="DB114" s="59"/>
      <c r="DC114" s="59"/>
      <c r="DD114" s="59"/>
      <c r="DE114" s="59"/>
      <c r="DF114" s="59"/>
      <c r="DG114" s="59"/>
      <c r="DH114" s="59"/>
      <c r="DI114" s="59"/>
      <c r="DJ114" s="59"/>
      <c r="DK114" s="59"/>
      <c r="DL114" s="59"/>
      <c r="DM114" s="59"/>
      <c r="DN114" s="59"/>
      <c r="DO114" s="59"/>
    </row>
    <row r="115" spans="2:119" ht="16.5" thickBot="1" x14ac:dyDescent="0.3">
      <c r="B115" s="253"/>
      <c r="C115" s="197"/>
      <c r="D115" s="82">
        <v>2</v>
      </c>
      <c r="E115" s="92" t="str">
        <f t="shared" ref="E115:AI115" si="206">IF(INDEX($CK$4:$DO$123,ROW()-3,E$3)=0,"","СП")</f>
        <v/>
      </c>
      <c r="F115" s="92" t="str">
        <f t="shared" si="206"/>
        <v/>
      </c>
      <c r="G115" s="92" t="str">
        <f t="shared" si="206"/>
        <v/>
      </c>
      <c r="H115" s="92" t="str">
        <f t="shared" si="206"/>
        <v/>
      </c>
      <c r="I115" s="92" t="str">
        <f t="shared" si="206"/>
        <v/>
      </c>
      <c r="J115" s="92" t="str">
        <f t="shared" si="206"/>
        <v/>
      </c>
      <c r="K115" s="92" t="str">
        <f t="shared" si="206"/>
        <v/>
      </c>
      <c r="L115" s="92" t="str">
        <f t="shared" si="206"/>
        <v/>
      </c>
      <c r="M115" s="92" t="str">
        <f t="shared" si="206"/>
        <v/>
      </c>
      <c r="N115" s="92" t="str">
        <f t="shared" si="206"/>
        <v/>
      </c>
      <c r="O115" s="92" t="str">
        <f t="shared" si="206"/>
        <v/>
      </c>
      <c r="P115" s="92" t="str">
        <f t="shared" si="206"/>
        <v>СП</v>
      </c>
      <c r="Q115" s="92" t="str">
        <f t="shared" si="206"/>
        <v/>
      </c>
      <c r="R115" s="92" t="str">
        <f t="shared" si="206"/>
        <v/>
      </c>
      <c r="S115" s="92" t="str">
        <f t="shared" si="206"/>
        <v/>
      </c>
      <c r="T115" s="92" t="str">
        <f t="shared" si="206"/>
        <v/>
      </c>
      <c r="U115" s="92" t="str">
        <f t="shared" si="206"/>
        <v/>
      </c>
      <c r="V115" s="92" t="str">
        <f t="shared" si="206"/>
        <v/>
      </c>
      <c r="W115" s="92" t="str">
        <f t="shared" si="206"/>
        <v/>
      </c>
      <c r="X115" s="92" t="str">
        <f t="shared" si="206"/>
        <v/>
      </c>
      <c r="Y115" s="92" t="str">
        <f t="shared" si="206"/>
        <v/>
      </c>
      <c r="Z115" s="92" t="str">
        <f t="shared" si="206"/>
        <v/>
      </c>
      <c r="AA115" s="92" t="str">
        <f t="shared" si="206"/>
        <v/>
      </c>
      <c r="AB115" s="92" t="str">
        <f t="shared" si="206"/>
        <v/>
      </c>
      <c r="AC115" s="92" t="str">
        <f t="shared" si="206"/>
        <v/>
      </c>
      <c r="AD115" s="92" t="str">
        <f t="shared" si="206"/>
        <v/>
      </c>
      <c r="AE115" s="92" t="str">
        <f t="shared" si="206"/>
        <v/>
      </c>
      <c r="AF115" s="92" t="str">
        <f t="shared" si="206"/>
        <v/>
      </c>
      <c r="AG115" s="92" t="str">
        <f t="shared" si="206"/>
        <v/>
      </c>
      <c r="AH115" s="92" t="str">
        <f t="shared" si="206"/>
        <v/>
      </c>
      <c r="AI115" s="97" t="str">
        <f t="shared" si="206"/>
        <v/>
      </c>
      <c r="AJ115" s="206"/>
      <c r="AK115" s="177"/>
      <c r="AL115" s="177"/>
      <c r="AM115" s="177"/>
      <c r="AN115" s="198"/>
      <c r="AO115" s="198"/>
      <c r="AP115" s="198"/>
      <c r="AQ115" s="177"/>
      <c r="AR115" s="179"/>
      <c r="CK115" s="58">
        <f>IF(DAY(INDEX('Сводный годовой график'!$BA$4:$BL$14,$C114,MONTH($B$114)))=E$3,1,0)</f>
        <v>0</v>
      </c>
      <c r="CL115" s="58">
        <f>IF(DAY(INDEX('Сводный годовой график'!$BA$4:$BL$14,$C114,MONTH($B$114)))=F$3,1,0)</f>
        <v>0</v>
      </c>
      <c r="CM115" s="58">
        <f>IF(DAY(INDEX('Сводный годовой график'!$BA$4:$BL$14,$C114,MONTH($B$114)))=G$3,1,0)</f>
        <v>0</v>
      </c>
      <c r="CN115" s="58">
        <f>IF(DAY(INDEX('Сводный годовой график'!$BA$4:$BL$14,$C114,MONTH($B$114)))=H$3,1,0)</f>
        <v>0</v>
      </c>
      <c r="CO115" s="58">
        <f>IF(DAY(INDEX('Сводный годовой график'!$BA$4:$BL$14,$C114,MONTH($B$114)))=I$3,1,0)</f>
        <v>0</v>
      </c>
      <c r="CP115" s="58">
        <f>IF(DAY(INDEX('Сводный годовой график'!$BA$4:$BL$14,$C114,MONTH($B$114)))=J$3,1,0)</f>
        <v>0</v>
      </c>
      <c r="CQ115" s="58">
        <f>IF(DAY(INDEX('Сводный годовой график'!$BA$4:$BL$14,$C114,MONTH($B$114)))=K$3,1,0)</f>
        <v>0</v>
      </c>
      <c r="CR115" s="58">
        <f>IF(DAY(INDEX('Сводный годовой график'!$BA$4:$BL$14,$C114,MONTH($B$114)))=L$3,1,0)</f>
        <v>0</v>
      </c>
      <c r="CS115" s="58">
        <f>IF(DAY(INDEX('Сводный годовой график'!$BA$4:$BL$14,$C114,MONTH($B$114)))=M$3,1,0)</f>
        <v>0</v>
      </c>
      <c r="CT115" s="58">
        <f>IF(DAY(INDEX('Сводный годовой график'!$BA$4:$BL$14,$C114,MONTH($B$114)))=N$3,1,0)</f>
        <v>0</v>
      </c>
      <c r="CU115" s="58">
        <f>IF(DAY(INDEX('Сводный годовой график'!$BA$4:$BL$14,$C114,MONTH($B$114)))=O$3,1,0)</f>
        <v>0</v>
      </c>
      <c r="CV115" s="58">
        <f>IF(DAY(INDEX('Сводный годовой график'!$BA$4:$BL$14,$C114,MONTH($B$114)))=P$3,1,0)</f>
        <v>1</v>
      </c>
      <c r="CW115" s="58">
        <f>IF(DAY(INDEX('Сводный годовой график'!$BA$4:$BL$14,$C114,MONTH($B$114)))=Q$3,1,0)</f>
        <v>0</v>
      </c>
      <c r="CX115" s="58">
        <f>IF(DAY(INDEX('Сводный годовой график'!$BA$4:$BL$14,$C114,MONTH($B$114)))=R$3,1,0)</f>
        <v>0</v>
      </c>
      <c r="CY115" s="58">
        <f>IF(DAY(INDEX('Сводный годовой график'!$BA$4:$BL$14,$C114,MONTH($B$114)))=S$3,1,0)</f>
        <v>0</v>
      </c>
      <c r="CZ115" s="58">
        <f>IF(DAY(INDEX('Сводный годовой график'!$BA$4:$BL$14,$C114,MONTH($B$114)))=T$3,1,0)</f>
        <v>0</v>
      </c>
      <c r="DA115" s="58">
        <f>IF(DAY(INDEX('Сводный годовой график'!$BA$4:$BL$14,$C114,MONTH($B$114)))=U$3,1,0)</f>
        <v>0</v>
      </c>
      <c r="DB115" s="58">
        <f>IF(DAY(INDEX('Сводный годовой график'!$BA$4:$BL$14,$C114,MONTH($B$114)))=V$3,1,0)</f>
        <v>0</v>
      </c>
      <c r="DC115" s="58">
        <f>IF(DAY(INDEX('Сводный годовой график'!$BA$4:$BL$14,$C114,MONTH($B$114)))=W$3,1,0)</f>
        <v>0</v>
      </c>
      <c r="DD115" s="58">
        <f>IF(DAY(INDEX('Сводный годовой график'!$BA$4:$BL$14,$C114,MONTH($B$114)))=X$3,1,0)</f>
        <v>0</v>
      </c>
      <c r="DE115" s="58">
        <f>IF(DAY(INDEX('Сводный годовой график'!$BA$4:$BL$14,$C114,MONTH($B$114)))=Y$3,1,0)</f>
        <v>0</v>
      </c>
      <c r="DF115" s="58">
        <f>IF(DAY(INDEX('Сводный годовой график'!$BA$4:$BL$14,$C114,MONTH($B$114)))=Z$3,1,0)</f>
        <v>0</v>
      </c>
      <c r="DG115" s="58">
        <f>IF(DAY(INDEX('Сводный годовой график'!$BA$4:$BL$14,$C114,MONTH($B$114)))=AA$3,1,0)</f>
        <v>0</v>
      </c>
      <c r="DH115" s="58">
        <f>IF(DAY(INDEX('Сводный годовой график'!$BA$4:$BL$14,$C114,MONTH($B$114)))=AB$3,1,0)</f>
        <v>0</v>
      </c>
      <c r="DI115" s="58">
        <f>IF(DAY(INDEX('Сводный годовой график'!$BA$4:$BL$14,$C114,MONTH($B$114)))=AC$3,1,0)</f>
        <v>0</v>
      </c>
      <c r="DJ115" s="58">
        <f>IF(DAY(INDEX('Сводный годовой график'!$BA$4:$BL$14,$C114,MONTH($B$114)))=AD$3,1,0)</f>
        <v>0</v>
      </c>
      <c r="DK115" s="58">
        <f>IF(DAY(INDEX('Сводный годовой график'!$BA$4:$BL$14,$C114,MONTH($B$114)))=AE$3,1,0)</f>
        <v>0</v>
      </c>
      <c r="DL115" s="58">
        <f>IF(DAY(INDEX('Сводный годовой график'!$BA$4:$BL$14,$C114,MONTH($B$114)))=AF$3,1,0)</f>
        <v>0</v>
      </c>
      <c r="DM115" s="58">
        <f>IF(DAY(INDEX('Сводный годовой график'!$BA$4:$BL$14,$C114,MONTH($B$114)))=AG$3,1,0)</f>
        <v>0</v>
      </c>
      <c r="DN115" s="58">
        <f>IF(DAY(INDEX('Сводный годовой график'!$BA$4:$BL$14,$C114,MONTH($B$114)))=AH$3,1,0)</f>
        <v>0</v>
      </c>
      <c r="DO115" s="58">
        <f>IF(DAY(INDEX('Сводный годовой график'!$BA$4:$BL$14,$C114,MONTH($B$114)))=AI$3,1,0)</f>
        <v>0</v>
      </c>
    </row>
    <row r="116" spans="2:119" ht="16.5" thickBot="1" x14ac:dyDescent="0.3">
      <c r="B116" s="253"/>
      <c r="C116" s="196">
        <v>2</v>
      </c>
      <c r="D116" s="81">
        <v>3</v>
      </c>
      <c r="E116" s="92" t="e">
        <f ca="1">IF(AND(INDEX('Сводный годовой график'!$C$1:$AR$4,MATCH($C$116,'Сводный годовой график'!$B$1:$B$4),MATCH(DATE($AV$1,MONTH($B$114),E$3),'Сводный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график'!$B$1:$B$4),MATCH(DATE($AV$1,MONTH($B$114),E$3),'Сводный годовой график'!$C$16:$AR$16)))</f>
        <v>#N/A</v>
      </c>
      <c r="F116" s="92" t="e">
        <f ca="1">IF(AND(INDEX('Сводный годовой график'!$C$1:$AR$4,MATCH($C$116,'Сводный годовой график'!$B$1:$B$4),MATCH(DATE($AV$1,MONTH($B$114),F$3),'Сводный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график'!$B$1:$B$4),MATCH(DATE($AV$1,MONTH($B$114),F$3),'Сводный годовой график'!$C$16:$AR$16)))</f>
        <v>#N/A</v>
      </c>
      <c r="G116" s="92" t="e">
        <f ca="1">IF(AND(INDEX('Сводный годовой график'!$C$1:$AR$4,MATCH($C$116,'Сводный годовой график'!$B$1:$B$4),MATCH(DATE($AV$1,MONTH($B$114),G$3),'Сводный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график'!$B$1:$B$4),MATCH(DATE($AV$1,MONTH($B$114),G$3),'Сводный годовой график'!$C$16:$AR$16)))</f>
        <v>#N/A</v>
      </c>
      <c r="H116" s="92" t="e">
        <f ca="1">IF(AND(INDEX('Сводный годовой график'!$C$1:$AR$4,MATCH($C$116,'Сводный годовой график'!$B$1:$B$4),MATCH(DATE($AV$1,MONTH($B$114),H$3),'Сводный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график'!$B$1:$B$4),MATCH(DATE($AV$1,MONTH($B$114),H$3),'Сводный годовой график'!$C$16:$AR$16)))</f>
        <v>#N/A</v>
      </c>
      <c r="I116" s="92" t="e">
        <f ca="1">IF(AND(INDEX('Сводный годовой график'!$C$1:$AR$4,MATCH($C$116,'Сводный годовой график'!$B$1:$B$4),MATCH(DATE($AV$1,MONTH($B$114),I$3),'Сводный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график'!$B$1:$B$4),MATCH(DATE($AV$1,MONTH($B$114),I$3),'Сводный годовой график'!$C$16:$AR$16)))</f>
        <v>#N/A</v>
      </c>
      <c r="J116" s="92" t="e">
        <f ca="1">IF(AND(INDEX('Сводный годовой график'!$C$1:$AR$4,MATCH($C$116,'Сводный годовой график'!$B$1:$B$4),MATCH(DATE($AV$1,MONTH($B$114),J$3),'Сводный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график'!$B$1:$B$4),MATCH(DATE($AV$1,MONTH($B$114),J$3),'Сводный годовой график'!$C$16:$AR$16)))</f>
        <v>#N/A</v>
      </c>
      <c r="K116" s="92" t="e">
        <f ca="1">IF(AND(INDEX('Сводный годовой график'!$C$1:$AR$4,MATCH($C$116,'Сводный годовой график'!$B$1:$B$4),MATCH(DATE($AV$1,MONTH($B$114),K$3),'Сводный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график'!$B$1:$B$4),MATCH(DATE($AV$1,MONTH($B$114),K$3),'Сводный годовой график'!$C$16:$AR$16)))</f>
        <v>#N/A</v>
      </c>
      <c r="L116" s="92" t="e">
        <f ca="1">IF(AND(INDEX('Сводный годовой график'!$C$1:$AR$4,MATCH($C$116,'Сводный годовой график'!$B$1:$B$4),MATCH(DATE($AV$1,MONTH($B$114),L$3),'Сводный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график'!$B$1:$B$4),MATCH(DATE($AV$1,MONTH($B$114),L$3),'Сводный годовой график'!$C$16:$AR$16)))</f>
        <v>#N/A</v>
      </c>
      <c r="M116" s="92" t="e">
        <f ca="1">IF(AND(INDEX('Сводный годовой график'!$C$1:$AR$4,MATCH($C$116,'Сводный годовой график'!$B$1:$B$4),MATCH(DATE($AV$1,MONTH($B$114),M$3),'Сводный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график'!$B$1:$B$4),MATCH(DATE($AV$1,MONTH($B$114),M$3),'Сводный годовой график'!$C$16:$AR$16)))</f>
        <v>#N/A</v>
      </c>
      <c r="N116" s="92" t="e">
        <f ca="1">IF(AND(INDEX('Сводный годовой график'!$C$1:$AR$4,MATCH($C$116,'Сводный годовой график'!$B$1:$B$4),MATCH(DATE($AV$1,MONTH($B$114),N$3),'Сводный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график'!$B$1:$B$4),MATCH(DATE($AV$1,MONTH($B$114),N$3),'Сводный годовой график'!$C$16:$AR$16)))</f>
        <v>#N/A</v>
      </c>
      <c r="O116" s="92" t="e">
        <f ca="1">IF(AND(INDEX('Сводный годовой график'!$C$1:$AR$4,MATCH($C$116,'Сводный годовой график'!$B$1:$B$4),MATCH(DATE($AV$1,MONTH($B$114),O$3),'Сводный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график'!$B$1:$B$4),MATCH(DATE($AV$1,MONTH($B$114),O$3),'Сводный годовой график'!$C$16:$AR$16)))</f>
        <v>#N/A</v>
      </c>
      <c r="P116" s="92" t="e">
        <f ca="1">IF(AND(INDEX('Сводный годовой график'!$C$1:$AR$4,MATCH($C$116,'Сводный годовой график'!$B$1:$B$4),MATCH(DATE($AV$1,MONTH($B$114),P$3),'Сводный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график'!$B$1:$B$4),MATCH(DATE($AV$1,MONTH($B$114),P$3),'Сводный годовой график'!$C$16:$AR$16)))</f>
        <v>#N/A</v>
      </c>
      <c r="Q116" s="92" t="e">
        <f ca="1">IF(AND(INDEX('Сводный годовой график'!$C$1:$AR$4,MATCH($C$116,'Сводный годовой график'!$B$1:$B$4),MATCH(DATE($AV$1,MONTH($B$114),Q$3),'Сводный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график'!$B$1:$B$4),MATCH(DATE($AV$1,MONTH($B$114),Q$3),'Сводный годовой график'!$C$16:$AR$16)))</f>
        <v>#N/A</v>
      </c>
      <c r="R116" s="92" t="e">
        <f ca="1">IF(AND(INDEX('Сводный годовой график'!$C$1:$AR$4,MATCH($C$116,'Сводный годовой график'!$B$1:$B$4),MATCH(DATE($AV$1,MONTH($B$114),R$3),'Сводный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график'!$B$1:$B$4),MATCH(DATE($AV$1,MONTH($B$114),R$3),'Сводный годовой график'!$C$16:$AR$16)))</f>
        <v>#N/A</v>
      </c>
      <c r="S116" s="92" t="e">
        <f ca="1">IF(AND(INDEX('Сводный годовой график'!$C$1:$AR$4,MATCH($C$116,'Сводный годовой график'!$B$1:$B$4),MATCH(DATE($AV$1,MONTH($B$114),S$3),'Сводный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график'!$B$1:$B$4),MATCH(DATE($AV$1,MONTH($B$114),S$3),'Сводный годовой график'!$C$16:$AR$16)))</f>
        <v>#N/A</v>
      </c>
      <c r="T116" s="92" t="e">
        <f ca="1">IF(AND(INDEX('Сводный годовой график'!$C$1:$AR$4,MATCH($C$116,'Сводный годовой график'!$B$1:$B$4),MATCH(DATE($AV$1,MONTH($B$114),T$3),'Сводный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график'!$B$1:$B$4),MATCH(DATE($AV$1,MONTH($B$114),T$3),'Сводный годовой график'!$C$16:$AR$16)))</f>
        <v>#N/A</v>
      </c>
      <c r="U116" s="92" t="e">
        <f ca="1">IF(AND(INDEX('Сводный годовой график'!$C$1:$AR$4,MATCH($C$116,'Сводный годовой график'!$B$1:$B$4),MATCH(DATE($AV$1,MONTH($B$114),U$3),'Сводный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график'!$B$1:$B$4),MATCH(DATE($AV$1,MONTH($B$114),U$3),'Сводный годовой график'!$C$16:$AR$16)))</f>
        <v>#N/A</v>
      </c>
      <c r="V116" s="92" t="e">
        <f ca="1">IF(AND(INDEX('Сводный годовой график'!$C$1:$AR$4,MATCH($C$116,'Сводный годовой график'!$B$1:$B$4),MATCH(DATE($AV$1,MONTH($B$114),V$3),'Сводный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график'!$B$1:$B$4),MATCH(DATE($AV$1,MONTH($B$114),V$3),'Сводный годовой график'!$C$16:$AR$16)))</f>
        <v>#N/A</v>
      </c>
      <c r="W116" s="92" t="e">
        <f ca="1">IF(AND(INDEX('Сводный годовой график'!$C$1:$AR$4,MATCH($C$116,'Сводный годовой график'!$B$1:$B$4),MATCH(DATE($AV$1,MONTH($B$114),W$3),'Сводный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график'!$B$1:$B$4),MATCH(DATE($AV$1,MONTH($B$114),W$3),'Сводный годовой график'!$C$16:$AR$16)))</f>
        <v>#N/A</v>
      </c>
      <c r="X116" s="92" t="e">
        <f ca="1">IF(AND(INDEX('Сводный годовой график'!$C$1:$AR$4,MATCH($C$116,'Сводный годовой график'!$B$1:$B$4),MATCH(DATE($AV$1,MONTH($B$114),X$3),'Сводный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график'!$B$1:$B$4),MATCH(DATE($AV$1,MONTH($B$114),X$3),'Сводный годовой график'!$C$16:$AR$16)))</f>
        <v>#N/A</v>
      </c>
      <c r="Y116" s="92" t="e">
        <f ca="1">IF(AND(INDEX('Сводный годовой график'!$C$1:$AR$4,MATCH($C$116,'Сводный годовой график'!$B$1:$B$4),MATCH(DATE($AV$1,MONTH($B$114),Y$3),'Сводный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график'!$B$1:$B$4),MATCH(DATE($AV$1,MONTH($B$114),Y$3),'Сводный годовой график'!$C$16:$AR$16)))</f>
        <v>#N/A</v>
      </c>
      <c r="Z116" s="92" t="e">
        <f ca="1">IF(AND(INDEX('Сводный годовой график'!$C$1:$AR$4,MATCH($C$116,'Сводный годовой график'!$B$1:$B$4),MATCH(DATE($AV$1,MONTH($B$114),Z$3),'Сводный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график'!$B$1:$B$4),MATCH(DATE($AV$1,MONTH($B$114),Z$3),'Сводный годовой график'!$C$16:$AR$16)))</f>
        <v>#N/A</v>
      </c>
      <c r="AA116" s="92" t="e">
        <f ca="1">IF(AND(INDEX('Сводный годовой график'!$C$1:$AR$4,MATCH($C$116,'Сводный годовой график'!$B$1:$B$4),MATCH(DATE($AV$1,MONTH($B$114),AA$3),'Сводный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график'!$B$1:$B$4),MATCH(DATE($AV$1,MONTH($B$114),AA$3),'Сводный годовой график'!$C$16:$AR$16)))</f>
        <v>#N/A</v>
      </c>
      <c r="AB116" s="92" t="e">
        <f ca="1">IF(AND(INDEX('Сводный годовой график'!$C$1:$AR$4,MATCH($C$116,'Сводный годовой график'!$B$1:$B$4),MATCH(DATE($AV$1,MONTH($B$114),AB$3),'Сводный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график'!$B$1:$B$4),MATCH(DATE($AV$1,MONTH($B$114),AB$3),'Сводный годовой график'!$C$16:$AR$16)))</f>
        <v>#N/A</v>
      </c>
      <c r="AC116" s="92" t="e">
        <f ca="1">IF(AND(INDEX('Сводный годовой график'!$C$1:$AR$4,MATCH($C$116,'Сводный годовой график'!$B$1:$B$4),MATCH(DATE($AV$1,MONTH($B$114),AC$3),'Сводный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график'!$B$1:$B$4),MATCH(DATE($AV$1,MONTH($B$114),AC$3),'Сводный годовой график'!$C$16:$AR$16)))</f>
        <v>#N/A</v>
      </c>
      <c r="AD116" s="92" t="e">
        <f ca="1">IF(AND(INDEX('Сводный годовой график'!$C$1:$AR$4,MATCH($C$116,'Сводный годовой график'!$B$1:$B$4),MATCH(DATE($AV$1,MONTH($B$114),AD$3),'Сводный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график'!$B$1:$B$4),MATCH(DATE($AV$1,MONTH($B$114),AD$3),'Сводный годовой график'!$C$16:$AR$16)))</f>
        <v>#N/A</v>
      </c>
      <c r="AE116" s="92" t="e">
        <f ca="1">IF(AND(INDEX('Сводный годовой график'!$C$1:$AR$4,MATCH($C$116,'Сводный годовой график'!$B$1:$B$4),MATCH(DATE($AV$1,MONTH($B$114),AE$3),'Сводный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график'!$B$1:$B$4),MATCH(DATE($AV$1,MONTH($B$114),AE$3),'Сводный годовой график'!$C$16:$AR$16)))</f>
        <v>#N/A</v>
      </c>
      <c r="AF116" s="92" t="e">
        <f ca="1">IF(AND(INDEX('Сводный годовой график'!$C$1:$AR$4,MATCH($C$116,'Сводный годовой график'!$B$1:$B$4),MATCH(DATE($AV$1,MONTH($B$114),AF$3),'Сводный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график'!$B$1:$B$4),MATCH(DATE($AV$1,MONTH($B$114),AF$3),'Сводный годовой график'!$C$16:$AR$16)))</f>
        <v>#N/A</v>
      </c>
      <c r="AG116" s="92" t="e">
        <f ca="1">IF(AND(INDEX('Сводный годовой график'!$C$1:$AR$4,MATCH($C$116,'Сводный годовой график'!$B$1:$B$4),MATCH(DATE($AV$1,MONTH($B$114),AG$3),'Сводный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график'!$B$1:$B$4),MATCH(DATE($AV$1,MONTH($B$114),AG$3),'Сводный годовой график'!$C$16:$AR$16)))</f>
        <v>#N/A</v>
      </c>
      <c r="AH116" s="92" t="e">
        <f ca="1">IF(AND(INDEX('Сводный годовой график'!$C$1:$AR$4,MATCH($C$116,'Сводный годовой график'!$B$1:$B$4),MATCH(DATE($AV$1,MONTH($B$114),AH$3),'Сводный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график'!$B$1:$B$4),MATCH(DATE($AV$1,MONTH($B$114),AH$3),'Сводный годовой график'!$C$16:$AR$16)))</f>
        <v>#N/A</v>
      </c>
      <c r="AI116" s="97" t="e">
        <f ca="1">IF(AND(INDEX('Сводный годовой график'!$C$1:$AR$4,MATCH($C$116,'Сводный годовой график'!$B$1:$B$4),MATCH(DATE($AV$1,MONTH($B$114),AI$3),'Сводный годовой график'!$C$16:$AR$16))&lt;&gt;12,INDIRECT(ADDRESS(ROW()+1,COLUMN()))="СП"),8,INDEX('Сводный годовой график'!$C$1:$AR$4,MATCH($C$116,'Сводный годовой график'!$B$1:$B$4),MATCH(DATE($AV$1,MONTH($B$114),AI$3),'Сводный годовой график'!$C$16:$AR$16)))</f>
        <v>#N/A</v>
      </c>
      <c r="AJ116" s="206"/>
      <c r="AK116" s="177">
        <f>$AJ$114-SUM(AY116:CC117)</f>
        <v>176</v>
      </c>
      <c r="AL116" s="177" t="e">
        <f t="shared" ref="AL116" ca="1" si="207">SUM(E116:AI117)</f>
        <v>#N/A</v>
      </c>
      <c r="AM116" s="177">
        <v>0</v>
      </c>
      <c r="AN116" s="198" t="e">
        <f t="shared" ref="AN116" ca="1" si="208">-AM116-AK116+AL116</f>
        <v>#N/A</v>
      </c>
      <c r="AO116" s="198">
        <v>0</v>
      </c>
      <c r="AP116" s="198" t="e">
        <f t="shared" ref="AP116" ca="1" si="209">AN116+AP106</f>
        <v>#N/A</v>
      </c>
      <c r="AQ116" s="177">
        <v>7</v>
      </c>
      <c r="AR116" s="179">
        <v>1</v>
      </c>
      <c r="CK116" s="59"/>
      <c r="CL116" s="59"/>
      <c r="CM116" s="59"/>
      <c r="CN116" s="59"/>
      <c r="CO116" s="59"/>
      <c r="CP116" s="59"/>
      <c r="CQ116" s="59"/>
      <c r="CR116" s="59"/>
      <c r="CS116" s="59"/>
      <c r="CT116" s="59"/>
      <c r="CU116" s="59"/>
      <c r="CV116" s="59"/>
      <c r="CW116" s="59"/>
      <c r="CX116" s="59"/>
      <c r="CY116" s="59"/>
      <c r="CZ116" s="59"/>
      <c r="DA116" s="59"/>
      <c r="DB116" s="59"/>
      <c r="DC116" s="59"/>
      <c r="DD116" s="59"/>
      <c r="DE116" s="59"/>
      <c r="DF116" s="59"/>
      <c r="DG116" s="59"/>
      <c r="DH116" s="59"/>
      <c r="DI116" s="59"/>
      <c r="DJ116" s="59"/>
      <c r="DK116" s="59"/>
      <c r="DL116" s="59"/>
      <c r="DM116" s="59"/>
      <c r="DN116" s="59"/>
      <c r="DO116" s="59"/>
    </row>
    <row r="117" spans="2:119" ht="16.5" thickBot="1" x14ac:dyDescent="0.3">
      <c r="B117" s="253"/>
      <c r="C117" s="197"/>
      <c r="D117" s="82">
        <v>4</v>
      </c>
      <c r="E117" s="92" t="str">
        <f t="shared" ref="E117:AI117" si="210">IF(INDEX($CK$4:$DO$123,ROW()-3,E$3)=0,"","СП")</f>
        <v/>
      </c>
      <c r="F117" s="92" t="str">
        <f t="shared" si="210"/>
        <v/>
      </c>
      <c r="G117" s="92" t="str">
        <f t="shared" si="210"/>
        <v/>
      </c>
      <c r="H117" s="92" t="str">
        <f t="shared" si="210"/>
        <v/>
      </c>
      <c r="I117" s="92" t="str">
        <f t="shared" si="210"/>
        <v/>
      </c>
      <c r="J117" s="92" t="str">
        <f t="shared" si="210"/>
        <v/>
      </c>
      <c r="K117" s="92" t="str">
        <f t="shared" si="210"/>
        <v/>
      </c>
      <c r="L117" s="92" t="str">
        <f t="shared" si="210"/>
        <v/>
      </c>
      <c r="M117" s="92" t="str">
        <f t="shared" si="210"/>
        <v/>
      </c>
      <c r="N117" s="92" t="str">
        <f t="shared" si="210"/>
        <v/>
      </c>
      <c r="O117" s="92" t="str">
        <f t="shared" si="210"/>
        <v/>
      </c>
      <c r="P117" s="92" t="str">
        <f t="shared" si="210"/>
        <v/>
      </c>
      <c r="Q117" s="92" t="str">
        <f t="shared" si="210"/>
        <v>СП</v>
      </c>
      <c r="R117" s="92" t="str">
        <f t="shared" si="210"/>
        <v/>
      </c>
      <c r="S117" s="92" t="str">
        <f t="shared" si="210"/>
        <v/>
      </c>
      <c r="T117" s="92" t="str">
        <f t="shared" si="210"/>
        <v/>
      </c>
      <c r="U117" s="92" t="str">
        <f t="shared" si="210"/>
        <v/>
      </c>
      <c r="V117" s="92" t="str">
        <f t="shared" si="210"/>
        <v/>
      </c>
      <c r="W117" s="92" t="str">
        <f t="shared" si="210"/>
        <v/>
      </c>
      <c r="X117" s="92" t="str">
        <f t="shared" si="210"/>
        <v/>
      </c>
      <c r="Y117" s="92" t="str">
        <f t="shared" si="210"/>
        <v/>
      </c>
      <c r="Z117" s="92" t="str">
        <f t="shared" si="210"/>
        <v/>
      </c>
      <c r="AA117" s="92" t="str">
        <f t="shared" si="210"/>
        <v/>
      </c>
      <c r="AB117" s="92" t="str">
        <f t="shared" si="210"/>
        <v/>
      </c>
      <c r="AC117" s="92" t="str">
        <f t="shared" si="210"/>
        <v/>
      </c>
      <c r="AD117" s="92" t="str">
        <f t="shared" si="210"/>
        <v/>
      </c>
      <c r="AE117" s="92" t="str">
        <f t="shared" si="210"/>
        <v/>
      </c>
      <c r="AF117" s="92" t="str">
        <f t="shared" si="210"/>
        <v/>
      </c>
      <c r="AG117" s="92" t="str">
        <f t="shared" si="210"/>
        <v/>
      </c>
      <c r="AH117" s="92" t="str">
        <f t="shared" si="210"/>
        <v/>
      </c>
      <c r="AI117" s="97" t="str">
        <f t="shared" si="210"/>
        <v/>
      </c>
      <c r="AJ117" s="206"/>
      <c r="AK117" s="177"/>
      <c r="AL117" s="177"/>
      <c r="AM117" s="177"/>
      <c r="AN117" s="198"/>
      <c r="AO117" s="198"/>
      <c r="AP117" s="198"/>
      <c r="AQ117" s="177"/>
      <c r="AR117" s="179"/>
      <c r="CK117" s="58">
        <f>IF(DAY(INDEX('Сводный годовой график'!$BA$4:$BL$14,$C116,MONTH($B$114)))=E$3,1,0)</f>
        <v>0</v>
      </c>
      <c r="CL117" s="58">
        <f>IF(DAY(INDEX('Сводный годовой график'!$BA$4:$BL$14,$C116,MONTH($B$114)))=F$3,1,0)</f>
        <v>0</v>
      </c>
      <c r="CM117" s="58">
        <f>IF(DAY(INDEX('Сводный годовой график'!$BA$4:$BL$14,$C116,MONTH($B$114)))=G$3,1,0)</f>
        <v>0</v>
      </c>
      <c r="CN117" s="58">
        <f>IF(DAY(INDEX('Сводный годовой график'!$BA$4:$BL$14,$C116,MONTH($B$114)))=H$3,1,0)</f>
        <v>0</v>
      </c>
      <c r="CO117" s="58">
        <f>IF(DAY(INDEX('Сводный годовой график'!$BA$4:$BL$14,$C116,MONTH($B$114)))=I$3,1,0)</f>
        <v>0</v>
      </c>
      <c r="CP117" s="58">
        <f>IF(DAY(INDEX('Сводный годовой график'!$BA$4:$BL$14,$C116,MONTH($B$114)))=J$3,1,0)</f>
        <v>0</v>
      </c>
      <c r="CQ117" s="58">
        <f>IF(DAY(INDEX('Сводный годовой график'!$BA$4:$BL$14,$C116,MONTH($B$114)))=K$3,1,0)</f>
        <v>0</v>
      </c>
      <c r="CR117" s="58">
        <f>IF(DAY(INDEX('Сводный годовой график'!$BA$4:$BL$14,$C116,MONTH($B$114)))=L$3,1,0)</f>
        <v>0</v>
      </c>
      <c r="CS117" s="58">
        <f>IF(DAY(INDEX('Сводный годовой график'!$BA$4:$BL$14,$C116,MONTH($B$114)))=M$3,1,0)</f>
        <v>0</v>
      </c>
      <c r="CT117" s="58">
        <f>IF(DAY(INDEX('Сводный годовой график'!$BA$4:$BL$14,$C116,MONTH($B$114)))=N$3,1,0)</f>
        <v>0</v>
      </c>
      <c r="CU117" s="58">
        <f>IF(DAY(INDEX('Сводный годовой график'!$BA$4:$BL$14,$C116,MONTH($B$114)))=O$3,1,0)</f>
        <v>0</v>
      </c>
      <c r="CV117" s="58">
        <f>IF(DAY(INDEX('Сводный годовой график'!$BA$4:$BL$14,$C116,MONTH($B$114)))=P$3,1,0)</f>
        <v>0</v>
      </c>
      <c r="CW117" s="58">
        <f>IF(DAY(INDEX('Сводный годовой график'!$BA$4:$BL$14,$C116,MONTH($B$114)))=Q$3,1,0)</f>
        <v>1</v>
      </c>
      <c r="CX117" s="58">
        <f>IF(DAY(INDEX('Сводный годовой график'!$BA$4:$BL$14,$C116,MONTH($B$114)))=R$3,1,0)</f>
        <v>0</v>
      </c>
      <c r="CY117" s="58">
        <f>IF(DAY(INDEX('Сводный годовой график'!$BA$4:$BL$14,$C116,MONTH($B$114)))=S$3,1,0)</f>
        <v>0</v>
      </c>
      <c r="CZ117" s="58">
        <f>IF(DAY(INDEX('Сводный годовой график'!$BA$4:$BL$14,$C116,MONTH($B$114)))=T$3,1,0)</f>
        <v>0</v>
      </c>
      <c r="DA117" s="58">
        <f>IF(DAY(INDEX('Сводный годовой график'!$BA$4:$BL$14,$C116,MONTH($B$114)))=U$3,1,0)</f>
        <v>0</v>
      </c>
      <c r="DB117" s="58">
        <f>IF(DAY(INDEX('Сводный годовой график'!$BA$4:$BL$14,$C116,MONTH($B$114)))=V$3,1,0)</f>
        <v>0</v>
      </c>
      <c r="DC117" s="58">
        <f>IF(DAY(INDEX('Сводный годовой график'!$BA$4:$BL$14,$C116,MONTH($B$114)))=W$3,1,0)</f>
        <v>0</v>
      </c>
      <c r="DD117" s="58">
        <f>IF(DAY(INDEX('Сводный годовой график'!$BA$4:$BL$14,$C116,MONTH($B$114)))=X$3,1,0)</f>
        <v>0</v>
      </c>
      <c r="DE117" s="58">
        <f>IF(DAY(INDEX('Сводный годовой график'!$BA$4:$BL$14,$C116,MONTH($B$114)))=Y$3,1,0)</f>
        <v>0</v>
      </c>
      <c r="DF117" s="58">
        <f>IF(DAY(INDEX('Сводный годовой график'!$BA$4:$BL$14,$C116,MONTH($B$114)))=Z$3,1,0)</f>
        <v>0</v>
      </c>
      <c r="DG117" s="58">
        <f>IF(DAY(INDEX('Сводный годовой график'!$BA$4:$BL$14,$C116,MONTH($B$114)))=AA$3,1,0)</f>
        <v>0</v>
      </c>
      <c r="DH117" s="58">
        <f>IF(DAY(INDEX('Сводный годовой график'!$BA$4:$BL$14,$C116,MONTH($B$114)))=AB$3,1,0)</f>
        <v>0</v>
      </c>
      <c r="DI117" s="58">
        <f>IF(DAY(INDEX('Сводный годовой график'!$BA$4:$BL$14,$C116,MONTH($B$114)))=AC$3,1,0)</f>
        <v>0</v>
      </c>
      <c r="DJ117" s="58">
        <f>IF(DAY(INDEX('Сводный годовой график'!$BA$4:$BL$14,$C116,MONTH($B$114)))=AD$3,1,0)</f>
        <v>0</v>
      </c>
      <c r="DK117" s="58">
        <f>IF(DAY(INDEX('Сводный годовой график'!$BA$4:$BL$14,$C116,MONTH($B$114)))=AE$3,1,0)</f>
        <v>0</v>
      </c>
      <c r="DL117" s="58">
        <f>IF(DAY(INDEX('Сводный годовой график'!$BA$4:$BL$14,$C116,MONTH($B$114)))=AF$3,1,0)</f>
        <v>0</v>
      </c>
      <c r="DM117" s="58">
        <f>IF(DAY(INDEX('Сводный годовой график'!$BA$4:$BL$14,$C116,MONTH($B$114)))=AG$3,1,0)</f>
        <v>0</v>
      </c>
      <c r="DN117" s="58">
        <f>IF(DAY(INDEX('Сводный годовой график'!$BA$4:$BL$14,$C116,MONTH($B$114)))=AH$3,1,0)</f>
        <v>0</v>
      </c>
      <c r="DO117" s="58">
        <f>IF(DAY(INDEX('Сводный годовой график'!$BA$4:$BL$14,$C116,MONTH($B$114)))=AI$3,1,0)</f>
        <v>0</v>
      </c>
    </row>
    <row r="118" spans="2:119" ht="16.5" thickBot="1" x14ac:dyDescent="0.3">
      <c r="B118" s="253"/>
      <c r="C118" s="196">
        <v>3</v>
      </c>
      <c r="D118" s="81">
        <v>5</v>
      </c>
      <c r="E118" s="92" t="e">
        <f ca="1">IF(AND(INDEX('Сводный годовой график'!$C$1:$AR$4,MATCH($C$118,'Сводный годовой график'!$B$1:$B$4),MATCH(DATE($AV$1,MONTH($B$114),E$3),'Сводный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график'!$B$1:$B$4),MATCH(DATE($AV$1,MONTH($B$114),E$3),'Сводный годовой график'!$C$16:$AR$16)))</f>
        <v>#N/A</v>
      </c>
      <c r="F118" s="92" t="e">
        <f ca="1">IF(AND(INDEX('Сводный годовой график'!$C$1:$AR$4,MATCH($C$118,'Сводный годовой график'!$B$1:$B$4),MATCH(DATE($AV$1,MONTH($B$114),F$3),'Сводный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график'!$B$1:$B$4),MATCH(DATE($AV$1,MONTH($B$114),F$3),'Сводный годовой график'!$C$16:$AR$16)))</f>
        <v>#N/A</v>
      </c>
      <c r="G118" s="92" t="e">
        <f ca="1">IF(AND(INDEX('Сводный годовой график'!$C$1:$AR$4,MATCH($C$118,'Сводный годовой график'!$B$1:$B$4),MATCH(DATE($AV$1,MONTH($B$114),G$3),'Сводный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график'!$B$1:$B$4),MATCH(DATE($AV$1,MONTH($B$114),G$3),'Сводный годовой график'!$C$16:$AR$16)))</f>
        <v>#N/A</v>
      </c>
      <c r="H118" s="92" t="e">
        <f ca="1">IF(AND(INDEX('Сводный годовой график'!$C$1:$AR$4,MATCH($C$118,'Сводный годовой график'!$B$1:$B$4),MATCH(DATE($AV$1,MONTH($B$114),H$3),'Сводный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график'!$B$1:$B$4),MATCH(DATE($AV$1,MONTH($B$114),H$3),'Сводный годовой график'!$C$16:$AR$16)))</f>
        <v>#N/A</v>
      </c>
      <c r="I118" s="92" t="e">
        <f ca="1">IF(AND(INDEX('Сводный годовой график'!$C$1:$AR$4,MATCH($C$118,'Сводный годовой график'!$B$1:$B$4),MATCH(DATE($AV$1,MONTH($B$114),I$3),'Сводный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график'!$B$1:$B$4),MATCH(DATE($AV$1,MONTH($B$114),I$3),'Сводный годовой график'!$C$16:$AR$16)))</f>
        <v>#N/A</v>
      </c>
      <c r="J118" s="92" t="e">
        <f ca="1">IF(AND(INDEX('Сводный годовой график'!$C$1:$AR$4,MATCH($C$118,'Сводный годовой график'!$B$1:$B$4),MATCH(DATE($AV$1,MONTH($B$114),J$3),'Сводный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график'!$B$1:$B$4),MATCH(DATE($AV$1,MONTH($B$114),J$3),'Сводный годовой график'!$C$16:$AR$16)))</f>
        <v>#N/A</v>
      </c>
      <c r="K118" s="92" t="e">
        <f ca="1">IF(AND(INDEX('Сводный годовой график'!$C$1:$AR$4,MATCH($C$118,'Сводный годовой график'!$B$1:$B$4),MATCH(DATE($AV$1,MONTH($B$114),K$3),'Сводный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график'!$B$1:$B$4),MATCH(DATE($AV$1,MONTH($B$114),K$3),'Сводный годовой график'!$C$16:$AR$16)))</f>
        <v>#N/A</v>
      </c>
      <c r="L118" s="92" t="e">
        <f ca="1">IF(AND(INDEX('Сводный годовой график'!$C$1:$AR$4,MATCH($C$118,'Сводный годовой график'!$B$1:$B$4),MATCH(DATE($AV$1,MONTH($B$114),L$3),'Сводный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график'!$B$1:$B$4),MATCH(DATE($AV$1,MONTH($B$114),L$3),'Сводный годовой график'!$C$16:$AR$16)))</f>
        <v>#N/A</v>
      </c>
      <c r="M118" s="92" t="e">
        <f ca="1">IF(AND(INDEX('Сводный годовой график'!$C$1:$AR$4,MATCH($C$118,'Сводный годовой график'!$B$1:$B$4),MATCH(DATE($AV$1,MONTH($B$114),M$3),'Сводный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график'!$B$1:$B$4),MATCH(DATE($AV$1,MONTH($B$114),M$3),'Сводный годовой график'!$C$16:$AR$16)))</f>
        <v>#N/A</v>
      </c>
      <c r="N118" s="92" t="e">
        <f ca="1">IF(AND(INDEX('Сводный годовой график'!$C$1:$AR$4,MATCH($C$118,'Сводный годовой график'!$B$1:$B$4),MATCH(DATE($AV$1,MONTH($B$114),N$3),'Сводный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график'!$B$1:$B$4),MATCH(DATE($AV$1,MONTH($B$114),N$3),'Сводный годовой график'!$C$16:$AR$16)))</f>
        <v>#N/A</v>
      </c>
      <c r="O118" s="92" t="e">
        <f ca="1">IF(AND(INDEX('Сводный годовой график'!$C$1:$AR$4,MATCH($C$118,'Сводный годовой график'!$B$1:$B$4),MATCH(DATE($AV$1,MONTH($B$114),O$3),'Сводный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график'!$B$1:$B$4),MATCH(DATE($AV$1,MONTH($B$114),O$3),'Сводный годовой график'!$C$16:$AR$16)))</f>
        <v>#N/A</v>
      </c>
      <c r="P118" s="92" t="e">
        <f ca="1">IF(AND(INDEX('Сводный годовой график'!$C$1:$AR$4,MATCH($C$118,'Сводный годовой график'!$B$1:$B$4),MATCH(DATE($AV$1,MONTH($B$114),P$3),'Сводный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график'!$B$1:$B$4),MATCH(DATE($AV$1,MONTH($B$114),P$3),'Сводный годовой график'!$C$16:$AR$16)))</f>
        <v>#N/A</v>
      </c>
      <c r="Q118" s="92" t="e">
        <f ca="1">IF(AND(INDEX('Сводный годовой график'!$C$1:$AR$4,MATCH($C$118,'Сводный годовой график'!$B$1:$B$4),MATCH(DATE($AV$1,MONTH($B$114),Q$3),'Сводный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график'!$B$1:$B$4),MATCH(DATE($AV$1,MONTH($B$114),Q$3),'Сводный годовой график'!$C$16:$AR$16)))</f>
        <v>#N/A</v>
      </c>
      <c r="R118" s="92" t="e">
        <f ca="1">IF(AND(INDEX('Сводный годовой график'!$C$1:$AR$4,MATCH($C$118,'Сводный годовой график'!$B$1:$B$4),MATCH(DATE($AV$1,MONTH($B$114),R$3),'Сводный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график'!$B$1:$B$4),MATCH(DATE($AV$1,MONTH($B$114),R$3),'Сводный годовой график'!$C$16:$AR$16)))</f>
        <v>#N/A</v>
      </c>
      <c r="S118" s="92" t="e">
        <f ca="1">IF(AND(INDEX('Сводный годовой график'!$C$1:$AR$4,MATCH($C$118,'Сводный годовой график'!$B$1:$B$4),MATCH(DATE($AV$1,MONTH($B$114),S$3),'Сводный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график'!$B$1:$B$4),MATCH(DATE($AV$1,MONTH($B$114),S$3),'Сводный годовой график'!$C$16:$AR$16)))</f>
        <v>#N/A</v>
      </c>
      <c r="T118" s="92" t="e">
        <f ca="1">IF(AND(INDEX('Сводный годовой график'!$C$1:$AR$4,MATCH($C$118,'Сводный годовой график'!$B$1:$B$4),MATCH(DATE($AV$1,MONTH($B$114),T$3),'Сводный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график'!$B$1:$B$4),MATCH(DATE($AV$1,MONTH($B$114),T$3),'Сводный годовой график'!$C$16:$AR$16)))</f>
        <v>#N/A</v>
      </c>
      <c r="U118" s="92" t="e">
        <f ca="1">IF(AND(INDEX('Сводный годовой график'!$C$1:$AR$4,MATCH($C$118,'Сводный годовой график'!$B$1:$B$4),MATCH(DATE($AV$1,MONTH($B$114),U$3),'Сводный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график'!$B$1:$B$4),MATCH(DATE($AV$1,MONTH($B$114),U$3),'Сводный годовой график'!$C$16:$AR$16)))</f>
        <v>#N/A</v>
      </c>
      <c r="V118" s="92" t="e">
        <f ca="1">IF(AND(INDEX('Сводный годовой график'!$C$1:$AR$4,MATCH($C$118,'Сводный годовой график'!$B$1:$B$4),MATCH(DATE($AV$1,MONTH($B$114),V$3),'Сводный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график'!$B$1:$B$4),MATCH(DATE($AV$1,MONTH($B$114),V$3),'Сводный годовой график'!$C$16:$AR$16)))</f>
        <v>#N/A</v>
      </c>
      <c r="W118" s="92" t="e">
        <f ca="1">IF(AND(INDEX('Сводный годовой график'!$C$1:$AR$4,MATCH($C$118,'Сводный годовой график'!$B$1:$B$4),MATCH(DATE($AV$1,MONTH($B$114),W$3),'Сводный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график'!$B$1:$B$4),MATCH(DATE($AV$1,MONTH($B$114),W$3),'Сводный годовой график'!$C$16:$AR$16)))</f>
        <v>#N/A</v>
      </c>
      <c r="X118" s="92" t="e">
        <f ca="1">IF(AND(INDEX('Сводный годовой график'!$C$1:$AR$4,MATCH($C$118,'Сводный годовой график'!$B$1:$B$4),MATCH(DATE($AV$1,MONTH($B$114),X$3),'Сводный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график'!$B$1:$B$4),MATCH(DATE($AV$1,MONTH($B$114),X$3),'Сводный годовой график'!$C$16:$AR$16)))</f>
        <v>#N/A</v>
      </c>
      <c r="Y118" s="92" t="e">
        <f ca="1">IF(AND(INDEX('Сводный годовой график'!$C$1:$AR$4,MATCH($C$118,'Сводный годовой график'!$B$1:$B$4),MATCH(DATE($AV$1,MONTH($B$114),Y$3),'Сводный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график'!$B$1:$B$4),MATCH(DATE($AV$1,MONTH($B$114),Y$3),'Сводный годовой график'!$C$16:$AR$16)))</f>
        <v>#N/A</v>
      </c>
      <c r="Z118" s="92" t="e">
        <f ca="1">IF(AND(INDEX('Сводный годовой график'!$C$1:$AR$4,MATCH($C$118,'Сводный годовой график'!$B$1:$B$4),MATCH(DATE($AV$1,MONTH($B$114),Z$3),'Сводный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график'!$B$1:$B$4),MATCH(DATE($AV$1,MONTH($B$114),Z$3),'Сводный годовой график'!$C$16:$AR$16)))</f>
        <v>#N/A</v>
      </c>
      <c r="AA118" s="92" t="e">
        <f ca="1">IF(AND(INDEX('Сводный годовой график'!$C$1:$AR$4,MATCH($C$118,'Сводный годовой график'!$B$1:$B$4),MATCH(DATE($AV$1,MONTH($B$114),AA$3),'Сводный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график'!$B$1:$B$4),MATCH(DATE($AV$1,MONTH($B$114),AA$3),'Сводный годовой график'!$C$16:$AR$16)))</f>
        <v>#N/A</v>
      </c>
      <c r="AB118" s="92" t="e">
        <f ca="1">IF(AND(INDEX('Сводный годовой график'!$C$1:$AR$4,MATCH($C$118,'Сводный годовой график'!$B$1:$B$4),MATCH(DATE($AV$1,MONTH($B$114),AB$3),'Сводный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график'!$B$1:$B$4),MATCH(DATE($AV$1,MONTH($B$114),AB$3),'Сводный годовой график'!$C$16:$AR$16)))</f>
        <v>#N/A</v>
      </c>
      <c r="AC118" s="92" t="e">
        <f ca="1">IF(AND(INDEX('Сводный годовой график'!$C$1:$AR$4,MATCH($C$118,'Сводный годовой график'!$B$1:$B$4),MATCH(DATE($AV$1,MONTH($B$114),AC$3),'Сводный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график'!$B$1:$B$4),MATCH(DATE($AV$1,MONTH($B$114),AC$3),'Сводный годовой график'!$C$16:$AR$16)))</f>
        <v>#N/A</v>
      </c>
      <c r="AD118" s="92" t="e">
        <f ca="1">IF(AND(INDEX('Сводный годовой график'!$C$1:$AR$4,MATCH($C$118,'Сводный годовой график'!$B$1:$B$4),MATCH(DATE($AV$1,MONTH($B$114),AD$3),'Сводный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график'!$B$1:$B$4),MATCH(DATE($AV$1,MONTH($B$114),AD$3),'Сводный годовой график'!$C$16:$AR$16)))</f>
        <v>#N/A</v>
      </c>
      <c r="AE118" s="92" t="e">
        <f ca="1">IF(AND(INDEX('Сводный годовой график'!$C$1:$AR$4,MATCH($C$118,'Сводный годовой график'!$B$1:$B$4),MATCH(DATE($AV$1,MONTH($B$114),AE$3),'Сводный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график'!$B$1:$B$4),MATCH(DATE($AV$1,MONTH($B$114),AE$3),'Сводный годовой график'!$C$16:$AR$16)))</f>
        <v>#N/A</v>
      </c>
      <c r="AF118" s="92" t="e">
        <f ca="1">IF(AND(INDEX('Сводный годовой график'!$C$1:$AR$4,MATCH($C$118,'Сводный годовой график'!$B$1:$B$4),MATCH(DATE($AV$1,MONTH($B$114),AF$3),'Сводный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график'!$B$1:$B$4),MATCH(DATE($AV$1,MONTH($B$114),AF$3),'Сводный годовой график'!$C$16:$AR$16)))</f>
        <v>#N/A</v>
      </c>
      <c r="AG118" s="92" t="e">
        <f ca="1">IF(AND(INDEX('Сводный годовой график'!$C$1:$AR$4,MATCH($C$118,'Сводный годовой график'!$B$1:$B$4),MATCH(DATE($AV$1,MONTH($B$114),AG$3),'Сводный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график'!$B$1:$B$4),MATCH(DATE($AV$1,MONTH($B$114),AG$3),'Сводный годовой график'!$C$16:$AR$16)))</f>
        <v>#N/A</v>
      </c>
      <c r="AH118" s="92" t="e">
        <f ca="1">IF(AND(INDEX('Сводный годовой график'!$C$1:$AR$4,MATCH($C$118,'Сводный годовой график'!$B$1:$B$4),MATCH(DATE($AV$1,MONTH($B$114),AH$3),'Сводный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график'!$B$1:$B$4),MATCH(DATE($AV$1,MONTH($B$114),AH$3),'Сводный годовой график'!$C$16:$AR$16)))</f>
        <v>#N/A</v>
      </c>
      <c r="AI118" s="97" t="e">
        <f ca="1">IF(AND(INDEX('Сводный годовой график'!$C$1:$AR$4,MATCH($C$118,'Сводный годовой график'!$B$1:$B$4),MATCH(DATE($AV$1,MONTH($B$114),AI$3),'Сводный годовой график'!$C$16:$AR$16))&lt;&gt;12,INDIRECT(ADDRESS(ROW()+1,COLUMN()))="СП"),8,INDEX('Сводный годовой график'!$C$1:$AR$4,MATCH($C$118,'Сводный годовой график'!$B$1:$B$4),MATCH(DATE($AV$1,MONTH($B$114),AI$3),'Сводный годовой график'!$C$16:$AR$16)))</f>
        <v>#N/A</v>
      </c>
      <c r="AJ118" s="206"/>
      <c r="AK118" s="177">
        <f>$AJ$114-SUM(AY118:CC119)</f>
        <v>176</v>
      </c>
      <c r="AL118" s="177" t="e">
        <f t="shared" ref="AL118" ca="1" si="211">SUM(E118:AI119)</f>
        <v>#N/A</v>
      </c>
      <c r="AM118" s="177">
        <v>0</v>
      </c>
      <c r="AN118" s="198" t="e">
        <f t="shared" ref="AN118" ca="1" si="212">-AM118-AK118+AL118</f>
        <v>#N/A</v>
      </c>
      <c r="AO118" s="198">
        <v>0</v>
      </c>
      <c r="AP118" s="198" t="e">
        <f t="shared" ref="AP118" ca="1" si="213">AN118+AP108</f>
        <v>#N/A</v>
      </c>
      <c r="AQ118" s="177">
        <v>0</v>
      </c>
      <c r="AR118" s="179">
        <v>1</v>
      </c>
      <c r="CK118" s="59"/>
      <c r="CL118" s="59"/>
      <c r="CM118" s="59"/>
      <c r="CN118" s="59"/>
      <c r="CO118" s="59"/>
      <c r="CP118" s="59"/>
      <c r="CQ118" s="59"/>
      <c r="CR118" s="59"/>
      <c r="CS118" s="59"/>
      <c r="CT118" s="59"/>
      <c r="CU118" s="59"/>
      <c r="CV118" s="59"/>
      <c r="CW118" s="59"/>
      <c r="CX118" s="59"/>
      <c r="CY118" s="59"/>
      <c r="CZ118" s="59"/>
      <c r="DA118" s="59"/>
      <c r="DB118" s="59"/>
      <c r="DC118" s="59"/>
      <c r="DD118" s="59"/>
      <c r="DE118" s="59"/>
      <c r="DF118" s="59"/>
      <c r="DG118" s="59"/>
      <c r="DH118" s="59"/>
      <c r="DI118" s="59"/>
      <c r="DJ118" s="59"/>
      <c r="DK118" s="59"/>
      <c r="DL118" s="59"/>
      <c r="DM118" s="59"/>
      <c r="DN118" s="59"/>
      <c r="DO118" s="59"/>
    </row>
    <row r="119" spans="2:119" ht="16.5" thickBot="1" x14ac:dyDescent="0.3">
      <c r="B119" s="253"/>
      <c r="C119" s="197"/>
      <c r="D119" s="82">
        <v>6</v>
      </c>
      <c r="E119" s="92" t="str">
        <f t="shared" ref="E119:AI119" si="214">IF(INDEX($CK$4:$DO$123,ROW()-3,E$3)=0,"","СП")</f>
        <v/>
      </c>
      <c r="F119" s="92" t="str">
        <f t="shared" si="214"/>
        <v/>
      </c>
      <c r="G119" s="92" t="str">
        <f t="shared" si="214"/>
        <v/>
      </c>
      <c r="H119" s="92" t="str">
        <f t="shared" si="214"/>
        <v/>
      </c>
      <c r="I119" s="92" t="str">
        <f t="shared" si="214"/>
        <v/>
      </c>
      <c r="J119" s="92" t="str">
        <f t="shared" si="214"/>
        <v/>
      </c>
      <c r="K119" s="92" t="str">
        <f t="shared" si="214"/>
        <v/>
      </c>
      <c r="L119" s="92" t="str">
        <f t="shared" si="214"/>
        <v/>
      </c>
      <c r="M119" s="92" t="str">
        <f t="shared" si="214"/>
        <v/>
      </c>
      <c r="N119" s="92" t="str">
        <f t="shared" si="214"/>
        <v/>
      </c>
      <c r="O119" s="92" t="str">
        <f t="shared" si="214"/>
        <v/>
      </c>
      <c r="P119" s="92" t="str">
        <f t="shared" si="214"/>
        <v/>
      </c>
      <c r="Q119" s="92" t="str">
        <f t="shared" si="214"/>
        <v/>
      </c>
      <c r="R119" s="92" t="str">
        <f t="shared" si="214"/>
        <v>СП</v>
      </c>
      <c r="S119" s="92" t="str">
        <f t="shared" si="214"/>
        <v/>
      </c>
      <c r="T119" s="92" t="str">
        <f t="shared" si="214"/>
        <v/>
      </c>
      <c r="U119" s="92" t="str">
        <f t="shared" si="214"/>
        <v/>
      </c>
      <c r="V119" s="92" t="str">
        <f t="shared" si="214"/>
        <v/>
      </c>
      <c r="W119" s="92" t="str">
        <f t="shared" si="214"/>
        <v/>
      </c>
      <c r="X119" s="92" t="str">
        <f t="shared" si="214"/>
        <v/>
      </c>
      <c r="Y119" s="92" t="str">
        <f t="shared" si="214"/>
        <v/>
      </c>
      <c r="Z119" s="92" t="str">
        <f t="shared" si="214"/>
        <v/>
      </c>
      <c r="AA119" s="92" t="str">
        <f t="shared" si="214"/>
        <v/>
      </c>
      <c r="AB119" s="92" t="str">
        <f t="shared" si="214"/>
        <v/>
      </c>
      <c r="AC119" s="92" t="str">
        <f t="shared" si="214"/>
        <v/>
      </c>
      <c r="AD119" s="92" t="str">
        <f t="shared" si="214"/>
        <v/>
      </c>
      <c r="AE119" s="92" t="str">
        <f t="shared" si="214"/>
        <v/>
      </c>
      <c r="AF119" s="92" t="str">
        <f t="shared" si="214"/>
        <v/>
      </c>
      <c r="AG119" s="92" t="str">
        <f t="shared" si="214"/>
        <v/>
      </c>
      <c r="AH119" s="92" t="str">
        <f t="shared" si="214"/>
        <v/>
      </c>
      <c r="AI119" s="97" t="str">
        <f t="shared" si="214"/>
        <v/>
      </c>
      <c r="AJ119" s="206"/>
      <c r="AK119" s="177"/>
      <c r="AL119" s="177"/>
      <c r="AM119" s="177"/>
      <c r="AN119" s="198"/>
      <c r="AO119" s="198"/>
      <c r="AP119" s="198"/>
      <c r="AQ119" s="177"/>
      <c r="AR119" s="179"/>
      <c r="CK119" s="58">
        <f>IF(DAY(INDEX('Сводный годовой график'!$BA$4:$BL$14,$C118,MONTH($B$114)))=E$3,1,0)</f>
        <v>0</v>
      </c>
      <c r="CL119" s="58">
        <f>IF(DAY(INDEX('Сводный годовой график'!$BA$4:$BL$14,$C118,MONTH($B$114)))=F$3,1,0)</f>
        <v>0</v>
      </c>
      <c r="CM119" s="58">
        <f>IF(DAY(INDEX('Сводный годовой график'!$BA$4:$BL$14,$C118,MONTH($B$114)))=G$3,1,0)</f>
        <v>0</v>
      </c>
      <c r="CN119" s="58">
        <f>IF(DAY(INDEX('Сводный годовой график'!$BA$4:$BL$14,$C118,MONTH($B$114)))=H$3,1,0)</f>
        <v>0</v>
      </c>
      <c r="CO119" s="58">
        <f>IF(DAY(INDEX('Сводный годовой график'!$BA$4:$BL$14,$C118,MONTH($B$114)))=I$3,1,0)</f>
        <v>0</v>
      </c>
      <c r="CP119" s="58">
        <f>IF(DAY(INDEX('Сводный годовой график'!$BA$4:$BL$14,$C118,MONTH($B$114)))=J$3,1,0)</f>
        <v>0</v>
      </c>
      <c r="CQ119" s="58">
        <f>IF(DAY(INDEX('Сводный годовой график'!$BA$4:$BL$14,$C118,MONTH($B$114)))=K$3,1,0)</f>
        <v>0</v>
      </c>
      <c r="CR119" s="58">
        <f>IF(DAY(INDEX('Сводный годовой график'!$BA$4:$BL$14,$C118,MONTH($B$114)))=L$3,1,0)</f>
        <v>0</v>
      </c>
      <c r="CS119" s="58">
        <f>IF(DAY(INDEX('Сводный годовой график'!$BA$4:$BL$14,$C118,MONTH($B$114)))=M$3,1,0)</f>
        <v>0</v>
      </c>
      <c r="CT119" s="58">
        <f>IF(DAY(INDEX('Сводный годовой график'!$BA$4:$BL$14,$C118,MONTH($B$114)))=N$3,1,0)</f>
        <v>0</v>
      </c>
      <c r="CU119" s="58">
        <f>IF(DAY(INDEX('Сводный годовой график'!$BA$4:$BL$14,$C118,MONTH($B$114)))=O$3,1,0)</f>
        <v>0</v>
      </c>
      <c r="CV119" s="58">
        <f>IF(DAY(INDEX('Сводный годовой график'!$BA$4:$BL$14,$C118,MONTH($B$114)))=P$3,1,0)</f>
        <v>0</v>
      </c>
      <c r="CW119" s="58">
        <f>IF(DAY(INDEX('Сводный годовой график'!$BA$4:$BL$14,$C118,MONTH($B$114)))=Q$3,1,0)</f>
        <v>0</v>
      </c>
      <c r="CX119" s="58">
        <f>IF(DAY(INDEX('Сводный годовой график'!$BA$4:$BL$14,$C118,MONTH($B$114)))=R$3,1,0)</f>
        <v>1</v>
      </c>
      <c r="CY119" s="58">
        <f>IF(DAY(INDEX('Сводный годовой график'!$BA$4:$BL$14,$C118,MONTH($B$114)))=S$3,1,0)</f>
        <v>0</v>
      </c>
      <c r="CZ119" s="58">
        <f>IF(DAY(INDEX('Сводный годовой график'!$BA$4:$BL$14,$C118,MONTH($B$114)))=T$3,1,0)</f>
        <v>0</v>
      </c>
      <c r="DA119" s="58">
        <f>IF(DAY(INDEX('Сводный годовой график'!$BA$4:$BL$14,$C118,MONTH($B$114)))=U$3,1,0)</f>
        <v>0</v>
      </c>
      <c r="DB119" s="58">
        <f>IF(DAY(INDEX('Сводный годовой график'!$BA$4:$BL$14,$C118,MONTH($B$114)))=V$3,1,0)</f>
        <v>0</v>
      </c>
      <c r="DC119" s="58">
        <f>IF(DAY(INDEX('Сводный годовой график'!$BA$4:$BL$14,$C118,MONTH($B$114)))=W$3,1,0)</f>
        <v>0</v>
      </c>
      <c r="DD119" s="58">
        <f>IF(DAY(INDEX('Сводный годовой график'!$BA$4:$BL$14,$C118,MONTH($B$114)))=X$3,1,0)</f>
        <v>0</v>
      </c>
      <c r="DE119" s="58">
        <f>IF(DAY(INDEX('Сводный годовой график'!$BA$4:$BL$14,$C118,MONTH($B$114)))=Y$3,1,0)</f>
        <v>0</v>
      </c>
      <c r="DF119" s="58">
        <f>IF(DAY(INDEX('Сводный годовой график'!$BA$4:$BL$14,$C118,MONTH($B$114)))=Z$3,1,0)</f>
        <v>0</v>
      </c>
      <c r="DG119" s="58">
        <f>IF(DAY(INDEX('Сводный годовой график'!$BA$4:$BL$14,$C118,MONTH($B$114)))=AA$3,1,0)</f>
        <v>0</v>
      </c>
      <c r="DH119" s="58">
        <f>IF(DAY(INDEX('Сводный годовой график'!$BA$4:$BL$14,$C118,MONTH($B$114)))=AB$3,1,0)</f>
        <v>0</v>
      </c>
      <c r="DI119" s="58">
        <f>IF(DAY(INDEX('Сводный годовой график'!$BA$4:$BL$14,$C118,MONTH($B$114)))=AC$3,1,0)</f>
        <v>0</v>
      </c>
      <c r="DJ119" s="58">
        <f>IF(DAY(INDEX('Сводный годовой график'!$BA$4:$BL$14,$C118,MONTH($B$114)))=AD$3,1,0)</f>
        <v>0</v>
      </c>
      <c r="DK119" s="58">
        <f>IF(DAY(INDEX('Сводный годовой график'!$BA$4:$BL$14,$C118,MONTH($B$114)))=AE$3,1,0)</f>
        <v>0</v>
      </c>
      <c r="DL119" s="58">
        <f>IF(DAY(INDEX('Сводный годовой график'!$BA$4:$BL$14,$C118,MONTH($B$114)))=AF$3,1,0)</f>
        <v>0</v>
      </c>
      <c r="DM119" s="58">
        <f>IF(DAY(INDEX('Сводный годовой график'!$BA$4:$BL$14,$C118,MONTH($B$114)))=AG$3,1,0)</f>
        <v>0</v>
      </c>
      <c r="DN119" s="58">
        <f>IF(DAY(INDEX('Сводный годовой график'!$BA$4:$BL$14,$C118,MONTH($B$114)))=AH$3,1,0)</f>
        <v>0</v>
      </c>
      <c r="DO119" s="58">
        <f>IF(DAY(INDEX('Сводный годовой график'!$BA$4:$BL$14,$C118,MONTH($B$114)))=AI$3,1,0)</f>
        <v>0</v>
      </c>
    </row>
    <row r="120" spans="2:119" ht="16.5" thickBot="1" x14ac:dyDescent="0.3">
      <c r="B120" s="253"/>
      <c r="C120" s="196">
        <v>4</v>
      </c>
      <c r="D120" s="81">
        <v>7</v>
      </c>
      <c r="E120" s="92" t="e">
        <f ca="1">IF(AND(INDEX('Сводный годовой график'!$C$1:$AR$4,MATCH($C$120,'Сводный годовой график'!$B$1:$B$4),MATCH(DATE($AV$1,MONTH($B$114),E$3),'Сводный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график'!$B$1:$B$4),MATCH(DATE($AV$1,MONTH($B$114),E$3),'Сводный годовой график'!$C$16:$AR$16)))</f>
        <v>#N/A</v>
      </c>
      <c r="F120" s="92" t="e">
        <f ca="1">IF(AND(INDEX('Сводный годовой график'!$C$1:$AR$4,MATCH($C$120,'Сводный годовой график'!$B$1:$B$4),MATCH(DATE($AV$1,MONTH($B$114),F$3),'Сводный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график'!$B$1:$B$4),MATCH(DATE($AV$1,MONTH($B$114),F$3),'Сводный годовой график'!$C$16:$AR$16)))</f>
        <v>#N/A</v>
      </c>
      <c r="G120" s="92" t="e">
        <f ca="1">IF(AND(INDEX('Сводный годовой график'!$C$1:$AR$4,MATCH($C$120,'Сводный годовой график'!$B$1:$B$4),MATCH(DATE($AV$1,MONTH($B$114),G$3),'Сводный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график'!$B$1:$B$4),MATCH(DATE($AV$1,MONTH($B$114),G$3),'Сводный годовой график'!$C$16:$AR$16)))</f>
        <v>#N/A</v>
      </c>
      <c r="H120" s="92" t="e">
        <f ca="1">IF(AND(INDEX('Сводный годовой график'!$C$1:$AR$4,MATCH($C$120,'Сводный годовой график'!$B$1:$B$4),MATCH(DATE($AV$1,MONTH($B$114),H$3),'Сводный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график'!$B$1:$B$4),MATCH(DATE($AV$1,MONTH($B$114),H$3),'Сводный годовой график'!$C$16:$AR$16)))</f>
        <v>#N/A</v>
      </c>
      <c r="I120" s="92" t="e">
        <f ca="1">IF(AND(INDEX('Сводный годовой график'!$C$1:$AR$4,MATCH($C$120,'Сводный годовой график'!$B$1:$B$4),MATCH(DATE($AV$1,MONTH($B$114),I$3),'Сводный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график'!$B$1:$B$4),MATCH(DATE($AV$1,MONTH($B$114),I$3),'Сводный годовой график'!$C$16:$AR$16)))</f>
        <v>#N/A</v>
      </c>
      <c r="J120" s="92" t="e">
        <f ca="1">IF(AND(INDEX('Сводный годовой график'!$C$1:$AR$4,MATCH($C$120,'Сводный годовой график'!$B$1:$B$4),MATCH(DATE($AV$1,MONTH($B$114),J$3),'Сводный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график'!$B$1:$B$4),MATCH(DATE($AV$1,MONTH($B$114),J$3),'Сводный годовой график'!$C$16:$AR$16)))</f>
        <v>#N/A</v>
      </c>
      <c r="K120" s="92" t="e">
        <f ca="1">IF(AND(INDEX('Сводный годовой график'!$C$1:$AR$4,MATCH($C$120,'Сводный годовой график'!$B$1:$B$4),MATCH(DATE($AV$1,MONTH($B$114),K$3),'Сводный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график'!$B$1:$B$4),MATCH(DATE($AV$1,MONTH($B$114),K$3),'Сводный годовой график'!$C$16:$AR$16)))</f>
        <v>#N/A</v>
      </c>
      <c r="L120" s="92" t="e">
        <f ca="1">IF(AND(INDEX('Сводный годовой график'!$C$1:$AR$4,MATCH($C$120,'Сводный годовой график'!$B$1:$B$4),MATCH(DATE($AV$1,MONTH($B$114),L$3),'Сводный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график'!$B$1:$B$4),MATCH(DATE($AV$1,MONTH($B$114),L$3),'Сводный годовой график'!$C$16:$AR$16)))</f>
        <v>#N/A</v>
      </c>
      <c r="M120" s="92" t="e">
        <f ca="1">IF(AND(INDEX('Сводный годовой график'!$C$1:$AR$4,MATCH($C$120,'Сводный годовой график'!$B$1:$B$4),MATCH(DATE($AV$1,MONTH($B$114),M$3),'Сводный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график'!$B$1:$B$4),MATCH(DATE($AV$1,MONTH($B$114),M$3),'Сводный годовой график'!$C$16:$AR$16)))</f>
        <v>#N/A</v>
      </c>
      <c r="N120" s="92" t="e">
        <f ca="1">IF(AND(INDEX('Сводный годовой график'!$C$1:$AR$4,MATCH($C$120,'Сводный годовой график'!$B$1:$B$4),MATCH(DATE($AV$1,MONTH($B$114),N$3),'Сводный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график'!$B$1:$B$4),MATCH(DATE($AV$1,MONTH($B$114),N$3),'Сводный годовой график'!$C$16:$AR$16)))</f>
        <v>#N/A</v>
      </c>
      <c r="O120" s="92" t="e">
        <f ca="1">IF(AND(INDEX('Сводный годовой график'!$C$1:$AR$4,MATCH($C$120,'Сводный годовой график'!$B$1:$B$4),MATCH(DATE($AV$1,MONTH($B$114),O$3),'Сводный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график'!$B$1:$B$4),MATCH(DATE($AV$1,MONTH($B$114),O$3),'Сводный годовой график'!$C$16:$AR$16)))</f>
        <v>#N/A</v>
      </c>
      <c r="P120" s="92" t="e">
        <f ca="1">IF(AND(INDEX('Сводный годовой график'!$C$1:$AR$4,MATCH($C$120,'Сводный годовой график'!$B$1:$B$4),MATCH(DATE($AV$1,MONTH($B$114),P$3),'Сводный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график'!$B$1:$B$4),MATCH(DATE($AV$1,MONTH($B$114),P$3),'Сводный годовой график'!$C$16:$AR$16)))</f>
        <v>#N/A</v>
      </c>
      <c r="Q120" s="92" t="e">
        <f ca="1">IF(AND(INDEX('Сводный годовой график'!$C$1:$AR$4,MATCH($C$120,'Сводный годовой график'!$B$1:$B$4),MATCH(DATE($AV$1,MONTH($B$114),Q$3),'Сводный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график'!$B$1:$B$4),MATCH(DATE($AV$1,MONTH($B$114),Q$3),'Сводный годовой график'!$C$16:$AR$16)))</f>
        <v>#N/A</v>
      </c>
      <c r="R120" s="92" t="e">
        <f ca="1">IF(AND(INDEX('Сводный годовой график'!$C$1:$AR$4,MATCH($C$120,'Сводный годовой график'!$B$1:$B$4),MATCH(DATE($AV$1,MONTH($B$114),R$3),'Сводный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график'!$B$1:$B$4),MATCH(DATE($AV$1,MONTH($B$114),R$3),'Сводный годовой график'!$C$16:$AR$16)))</f>
        <v>#N/A</v>
      </c>
      <c r="S120" s="92" t="e">
        <f ca="1">IF(AND(INDEX('Сводный годовой график'!$C$1:$AR$4,MATCH($C$120,'Сводный годовой график'!$B$1:$B$4),MATCH(DATE($AV$1,MONTH($B$114),S$3),'Сводный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график'!$B$1:$B$4),MATCH(DATE($AV$1,MONTH($B$114),S$3),'Сводный годовой график'!$C$16:$AR$16)))</f>
        <v>#N/A</v>
      </c>
      <c r="T120" s="92" t="e">
        <f ca="1">IF(AND(INDEX('Сводный годовой график'!$C$1:$AR$4,MATCH($C$120,'Сводный годовой график'!$B$1:$B$4),MATCH(DATE($AV$1,MONTH($B$114),T$3),'Сводный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график'!$B$1:$B$4),MATCH(DATE($AV$1,MONTH($B$114),T$3),'Сводный годовой график'!$C$16:$AR$16)))</f>
        <v>#N/A</v>
      </c>
      <c r="U120" s="92" t="e">
        <f ca="1">IF(AND(INDEX('Сводный годовой график'!$C$1:$AR$4,MATCH($C$120,'Сводный годовой график'!$B$1:$B$4),MATCH(DATE($AV$1,MONTH($B$114),U$3),'Сводный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график'!$B$1:$B$4),MATCH(DATE($AV$1,MONTH($B$114),U$3),'Сводный годовой график'!$C$16:$AR$16)))</f>
        <v>#N/A</v>
      </c>
      <c r="V120" s="92" t="e">
        <f ca="1">IF(AND(INDEX('Сводный годовой график'!$C$1:$AR$4,MATCH($C$120,'Сводный годовой график'!$B$1:$B$4),MATCH(DATE($AV$1,MONTH($B$114),V$3),'Сводный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график'!$B$1:$B$4),MATCH(DATE($AV$1,MONTH($B$114),V$3),'Сводный годовой график'!$C$16:$AR$16)))</f>
        <v>#N/A</v>
      </c>
      <c r="W120" s="92" t="e">
        <f ca="1">IF(AND(INDEX('Сводный годовой график'!$C$1:$AR$4,MATCH($C$120,'Сводный годовой график'!$B$1:$B$4),MATCH(DATE($AV$1,MONTH($B$114),W$3),'Сводный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график'!$B$1:$B$4),MATCH(DATE($AV$1,MONTH($B$114),W$3),'Сводный годовой график'!$C$16:$AR$16)))</f>
        <v>#N/A</v>
      </c>
      <c r="X120" s="92" t="e">
        <f ca="1">IF(AND(INDEX('Сводный годовой график'!$C$1:$AR$4,MATCH($C$120,'Сводный годовой график'!$B$1:$B$4),MATCH(DATE($AV$1,MONTH($B$114),X$3),'Сводный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график'!$B$1:$B$4),MATCH(DATE($AV$1,MONTH($B$114),X$3),'Сводный годовой график'!$C$16:$AR$16)))</f>
        <v>#N/A</v>
      </c>
      <c r="Y120" s="92" t="e">
        <f ca="1">IF(AND(INDEX('Сводный годовой график'!$C$1:$AR$4,MATCH($C$120,'Сводный годовой график'!$B$1:$B$4),MATCH(DATE($AV$1,MONTH($B$114),Y$3),'Сводный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график'!$B$1:$B$4),MATCH(DATE($AV$1,MONTH($B$114),Y$3),'Сводный годовой график'!$C$16:$AR$16)))</f>
        <v>#N/A</v>
      </c>
      <c r="Z120" s="92" t="e">
        <f ca="1">IF(AND(INDEX('Сводный годовой график'!$C$1:$AR$4,MATCH($C$120,'Сводный годовой график'!$B$1:$B$4),MATCH(DATE($AV$1,MONTH($B$114),Z$3),'Сводный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график'!$B$1:$B$4),MATCH(DATE($AV$1,MONTH($B$114),Z$3),'Сводный годовой график'!$C$16:$AR$16)))</f>
        <v>#N/A</v>
      </c>
      <c r="AA120" s="92" t="e">
        <f ca="1">IF(AND(INDEX('Сводный годовой график'!$C$1:$AR$4,MATCH($C$120,'Сводный годовой график'!$B$1:$B$4),MATCH(DATE($AV$1,MONTH($B$114),AA$3),'Сводный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график'!$B$1:$B$4),MATCH(DATE($AV$1,MONTH($B$114),AA$3),'Сводный годовой график'!$C$16:$AR$16)))</f>
        <v>#N/A</v>
      </c>
      <c r="AB120" s="92" t="e">
        <f ca="1">IF(AND(INDEX('Сводный годовой график'!$C$1:$AR$4,MATCH($C$120,'Сводный годовой график'!$B$1:$B$4),MATCH(DATE($AV$1,MONTH($B$114),AB$3),'Сводный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график'!$B$1:$B$4),MATCH(DATE($AV$1,MONTH($B$114),AB$3),'Сводный годовой график'!$C$16:$AR$16)))</f>
        <v>#N/A</v>
      </c>
      <c r="AC120" s="92" t="e">
        <f ca="1">IF(AND(INDEX('Сводный годовой график'!$C$1:$AR$4,MATCH($C$120,'Сводный годовой график'!$B$1:$B$4),MATCH(DATE($AV$1,MONTH($B$114),AC$3),'Сводный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график'!$B$1:$B$4),MATCH(DATE($AV$1,MONTH($B$114),AC$3),'Сводный годовой график'!$C$16:$AR$16)))</f>
        <v>#N/A</v>
      </c>
      <c r="AD120" s="92" t="e">
        <f ca="1">IF(AND(INDEX('Сводный годовой график'!$C$1:$AR$4,MATCH($C$120,'Сводный годовой график'!$B$1:$B$4),MATCH(DATE($AV$1,MONTH($B$114),AD$3),'Сводный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график'!$B$1:$B$4),MATCH(DATE($AV$1,MONTH($B$114),AD$3),'Сводный годовой график'!$C$16:$AR$16)))</f>
        <v>#N/A</v>
      </c>
      <c r="AE120" s="92" t="e">
        <f ca="1">IF(AND(INDEX('Сводный годовой график'!$C$1:$AR$4,MATCH($C$120,'Сводный годовой график'!$B$1:$B$4),MATCH(DATE($AV$1,MONTH($B$114),AE$3),'Сводный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график'!$B$1:$B$4),MATCH(DATE($AV$1,MONTH($B$114),AE$3),'Сводный годовой график'!$C$16:$AR$16)))</f>
        <v>#N/A</v>
      </c>
      <c r="AF120" s="92" t="e">
        <f ca="1">IF(AND(INDEX('Сводный годовой график'!$C$1:$AR$4,MATCH($C$120,'Сводный годовой график'!$B$1:$B$4),MATCH(DATE($AV$1,MONTH($B$114),AF$3),'Сводный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график'!$B$1:$B$4),MATCH(DATE($AV$1,MONTH($B$114),AF$3),'Сводный годовой график'!$C$16:$AR$16)))</f>
        <v>#N/A</v>
      </c>
      <c r="AG120" s="92" t="e">
        <f ca="1">IF(AND(INDEX('Сводный годовой график'!$C$1:$AR$4,MATCH($C$120,'Сводный годовой график'!$B$1:$B$4),MATCH(DATE($AV$1,MONTH($B$114),AG$3),'Сводный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график'!$B$1:$B$4),MATCH(DATE($AV$1,MONTH($B$114),AG$3),'Сводный годовой график'!$C$16:$AR$16)))</f>
        <v>#N/A</v>
      </c>
      <c r="AH120" s="92" t="e">
        <f ca="1">IF(AND(INDEX('Сводный годовой график'!$C$1:$AR$4,MATCH($C$120,'Сводный годовой график'!$B$1:$B$4),MATCH(DATE($AV$1,MONTH($B$114),AH$3),'Сводный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график'!$B$1:$B$4),MATCH(DATE($AV$1,MONTH($B$114),AH$3),'Сводный годовой график'!$C$16:$AR$16)))</f>
        <v>#N/A</v>
      </c>
      <c r="AI120" s="97" t="e">
        <f ca="1">IF(AND(INDEX('Сводный годовой график'!$C$1:$AR$4,MATCH($C$120,'Сводный годовой график'!$B$1:$B$4),MATCH(DATE($AV$1,MONTH($B$114),AI$3),'Сводный годовой график'!$C$16:$AR$16))&lt;&gt;12,INDIRECT(ADDRESS(ROW()+1,COLUMN()))="СП"),8,INDEX('Сводный годовой график'!$C$1:$AR$4,MATCH($C$120,'Сводный годовой график'!$B$1:$B$4),MATCH(DATE($AV$1,MONTH($B$114),AI$3),'Сводный годовой график'!$C$16:$AR$16)))</f>
        <v>#N/A</v>
      </c>
      <c r="AJ120" s="206"/>
      <c r="AK120" s="177">
        <f>$AJ$114-SUM(AY120:CC121)</f>
        <v>176</v>
      </c>
      <c r="AL120" s="177" t="e">
        <f t="shared" ref="AL120" ca="1" si="215">SUM(E120:AI121)</f>
        <v>#N/A</v>
      </c>
      <c r="AM120" s="177">
        <v>0</v>
      </c>
      <c r="AN120" s="198" t="e">
        <f t="shared" ref="AN120" ca="1" si="216">-AM120-AK120+AL120</f>
        <v>#N/A</v>
      </c>
      <c r="AO120" s="198">
        <v>0</v>
      </c>
      <c r="AP120" s="198" t="e">
        <f t="shared" ref="AP120:AP122" ca="1" si="217">AN120+AP110</f>
        <v>#N/A</v>
      </c>
      <c r="AQ120" s="177">
        <v>0</v>
      </c>
      <c r="AR120" s="179">
        <v>1</v>
      </c>
      <c r="CK120" s="59"/>
      <c r="CL120" s="59"/>
      <c r="CM120" s="59"/>
      <c r="CN120" s="59"/>
      <c r="CO120" s="59"/>
      <c r="CP120" s="59"/>
      <c r="CQ120" s="59"/>
      <c r="CR120" s="59"/>
      <c r="CS120" s="59"/>
      <c r="CT120" s="59"/>
      <c r="CU120" s="59"/>
      <c r="CV120" s="59"/>
      <c r="CW120" s="59"/>
      <c r="CX120" s="59"/>
      <c r="CY120" s="59"/>
      <c r="CZ120" s="59"/>
      <c r="DA120" s="59"/>
      <c r="DB120" s="59"/>
      <c r="DC120" s="59"/>
      <c r="DD120" s="59"/>
      <c r="DE120" s="59"/>
      <c r="DF120" s="59"/>
      <c r="DG120" s="59"/>
      <c r="DH120" s="59"/>
      <c r="DI120" s="59"/>
      <c r="DJ120" s="59"/>
      <c r="DK120" s="59"/>
      <c r="DL120" s="59"/>
      <c r="DM120" s="59"/>
      <c r="DN120" s="59"/>
      <c r="DO120" s="59"/>
    </row>
    <row r="121" spans="2:119" ht="16.5" thickBot="1" x14ac:dyDescent="0.3">
      <c r="B121" s="253"/>
      <c r="C121" s="197"/>
      <c r="D121" s="82">
        <v>8</v>
      </c>
      <c r="E121" s="92" t="str">
        <f t="shared" ref="E121:AI121" si="218">IF(INDEX($CK$4:$DO$123,ROW()-3,E$3)=0,"","СП")</f>
        <v/>
      </c>
      <c r="F121" s="92" t="str">
        <f t="shared" si="218"/>
        <v/>
      </c>
      <c r="G121" s="92" t="str">
        <f t="shared" si="218"/>
        <v/>
      </c>
      <c r="H121" s="92" t="str">
        <f t="shared" si="218"/>
        <v/>
      </c>
      <c r="I121" s="92" t="str">
        <f t="shared" si="218"/>
        <v/>
      </c>
      <c r="J121" s="92" t="str">
        <f t="shared" si="218"/>
        <v/>
      </c>
      <c r="K121" s="92" t="str">
        <f t="shared" si="218"/>
        <v/>
      </c>
      <c r="L121" s="92" t="str">
        <f t="shared" si="218"/>
        <v/>
      </c>
      <c r="M121" s="92" t="str">
        <f t="shared" si="218"/>
        <v/>
      </c>
      <c r="N121" s="92" t="str">
        <f t="shared" si="218"/>
        <v/>
      </c>
      <c r="O121" s="92" t="str">
        <f t="shared" si="218"/>
        <v/>
      </c>
      <c r="P121" s="92" t="str">
        <f t="shared" si="218"/>
        <v/>
      </c>
      <c r="Q121" s="92" t="str">
        <f t="shared" si="218"/>
        <v/>
      </c>
      <c r="R121" s="92" t="str">
        <f t="shared" si="218"/>
        <v/>
      </c>
      <c r="S121" s="92" t="str">
        <f t="shared" si="218"/>
        <v>СП</v>
      </c>
      <c r="T121" s="92" t="str">
        <f t="shared" si="218"/>
        <v/>
      </c>
      <c r="U121" s="92" t="str">
        <f t="shared" si="218"/>
        <v/>
      </c>
      <c r="V121" s="92" t="str">
        <f t="shared" si="218"/>
        <v/>
      </c>
      <c r="W121" s="92" t="str">
        <f t="shared" si="218"/>
        <v/>
      </c>
      <c r="X121" s="92" t="str">
        <f t="shared" si="218"/>
        <v/>
      </c>
      <c r="Y121" s="92" t="str">
        <f t="shared" si="218"/>
        <v/>
      </c>
      <c r="Z121" s="92" t="str">
        <f t="shared" si="218"/>
        <v/>
      </c>
      <c r="AA121" s="92" t="str">
        <f t="shared" si="218"/>
        <v/>
      </c>
      <c r="AB121" s="92" t="str">
        <f t="shared" si="218"/>
        <v/>
      </c>
      <c r="AC121" s="92" t="str">
        <f t="shared" si="218"/>
        <v/>
      </c>
      <c r="AD121" s="92" t="str">
        <f t="shared" si="218"/>
        <v/>
      </c>
      <c r="AE121" s="92" t="str">
        <f t="shared" si="218"/>
        <v/>
      </c>
      <c r="AF121" s="92" t="str">
        <f t="shared" si="218"/>
        <v/>
      </c>
      <c r="AG121" s="92" t="str">
        <f t="shared" si="218"/>
        <v/>
      </c>
      <c r="AH121" s="92" t="str">
        <f t="shared" si="218"/>
        <v/>
      </c>
      <c r="AI121" s="97" t="str">
        <f t="shared" si="218"/>
        <v/>
      </c>
      <c r="AJ121" s="206"/>
      <c r="AK121" s="177"/>
      <c r="AL121" s="177"/>
      <c r="AM121" s="177"/>
      <c r="AN121" s="198"/>
      <c r="AO121" s="198"/>
      <c r="AP121" s="198"/>
      <c r="AQ121" s="177"/>
      <c r="AR121" s="179"/>
      <c r="CK121" s="58">
        <f>IF(DAY(INDEX('Сводный годовой график'!$BA$4:$BL$14,$C120,MONTH($B$114)))=E$3,1,0)</f>
        <v>0</v>
      </c>
      <c r="CL121" s="58">
        <f>IF(DAY(INDEX('Сводный годовой график'!$BA$4:$BL$14,$C120,MONTH($B$114)))=F$3,1,0)</f>
        <v>0</v>
      </c>
      <c r="CM121" s="58">
        <f>IF(DAY(INDEX('Сводный годовой график'!$BA$4:$BL$14,$C120,MONTH($B$114)))=G$3,1,0)</f>
        <v>0</v>
      </c>
      <c r="CN121" s="58">
        <f>IF(DAY(INDEX('Сводный годовой график'!$BA$4:$BL$14,$C120,MONTH($B$114)))=H$3,1,0)</f>
        <v>0</v>
      </c>
      <c r="CO121" s="58">
        <f>IF(DAY(INDEX('Сводный годовой график'!$BA$4:$BL$14,$C120,MONTH($B$114)))=I$3,1,0)</f>
        <v>0</v>
      </c>
      <c r="CP121" s="58">
        <f>IF(DAY(INDEX('Сводный годовой график'!$BA$4:$BL$14,$C120,MONTH($B$114)))=J$3,1,0)</f>
        <v>0</v>
      </c>
      <c r="CQ121" s="58">
        <f>IF(DAY(INDEX('Сводный годовой график'!$BA$4:$BL$14,$C120,MONTH($B$114)))=K$3,1,0)</f>
        <v>0</v>
      </c>
      <c r="CR121" s="58">
        <f>IF(DAY(INDEX('Сводный годовой график'!$BA$4:$BL$14,$C120,MONTH($B$114)))=L$3,1,0)</f>
        <v>0</v>
      </c>
      <c r="CS121" s="58">
        <f>IF(DAY(INDEX('Сводный годовой график'!$BA$4:$BL$14,$C120,MONTH($B$114)))=M$3,1,0)</f>
        <v>0</v>
      </c>
      <c r="CT121" s="58">
        <f>IF(DAY(INDEX('Сводный годовой график'!$BA$4:$BL$14,$C120,MONTH($B$114)))=N$3,1,0)</f>
        <v>0</v>
      </c>
      <c r="CU121" s="58">
        <f>IF(DAY(INDEX('Сводный годовой график'!$BA$4:$BL$14,$C120,MONTH($B$114)))=O$3,1,0)</f>
        <v>0</v>
      </c>
      <c r="CV121" s="58">
        <f>IF(DAY(INDEX('Сводный годовой график'!$BA$4:$BL$14,$C120,MONTH($B$114)))=P$3,1,0)</f>
        <v>0</v>
      </c>
      <c r="CW121" s="58">
        <f>IF(DAY(INDEX('Сводный годовой график'!$BA$4:$BL$14,$C120,MONTH($B$114)))=Q$3,1,0)</f>
        <v>0</v>
      </c>
      <c r="CX121" s="58">
        <f>IF(DAY(INDEX('Сводный годовой график'!$BA$4:$BL$14,$C120,MONTH($B$114)))=R$3,1,0)</f>
        <v>0</v>
      </c>
      <c r="CY121" s="58">
        <f>IF(DAY(INDEX('Сводный годовой график'!$BA$4:$BL$14,$C120,MONTH($B$114)))=S$3,1,0)</f>
        <v>1</v>
      </c>
      <c r="CZ121" s="58">
        <f>IF(DAY(INDEX('Сводный годовой график'!$BA$4:$BL$14,$C120,MONTH($B$114)))=T$3,1,0)</f>
        <v>0</v>
      </c>
      <c r="DA121" s="58">
        <f>IF(DAY(INDEX('Сводный годовой график'!$BA$4:$BL$14,$C120,MONTH($B$114)))=U$3,1,0)</f>
        <v>0</v>
      </c>
      <c r="DB121" s="58">
        <f>IF(DAY(INDEX('Сводный годовой график'!$BA$4:$BL$14,$C120,MONTH($B$114)))=V$3,1,0)</f>
        <v>0</v>
      </c>
      <c r="DC121" s="58">
        <f>IF(DAY(INDEX('Сводный годовой график'!$BA$4:$BL$14,$C120,MONTH($B$114)))=W$3,1,0)</f>
        <v>0</v>
      </c>
      <c r="DD121" s="58">
        <f>IF(DAY(INDEX('Сводный годовой график'!$BA$4:$BL$14,$C120,MONTH($B$114)))=X$3,1,0)</f>
        <v>0</v>
      </c>
      <c r="DE121" s="58">
        <f>IF(DAY(INDEX('Сводный годовой график'!$BA$4:$BL$14,$C120,MONTH($B$114)))=Y$3,1,0)</f>
        <v>0</v>
      </c>
      <c r="DF121" s="58">
        <f>IF(DAY(INDEX('Сводный годовой график'!$BA$4:$BL$14,$C120,MONTH($B$114)))=Z$3,1,0)</f>
        <v>0</v>
      </c>
      <c r="DG121" s="58">
        <f>IF(DAY(INDEX('Сводный годовой график'!$BA$4:$BL$14,$C120,MONTH($B$114)))=AA$3,1,0)</f>
        <v>0</v>
      </c>
      <c r="DH121" s="58">
        <f>IF(DAY(INDEX('Сводный годовой график'!$BA$4:$BL$14,$C120,MONTH($B$114)))=AB$3,1,0)</f>
        <v>0</v>
      </c>
      <c r="DI121" s="58">
        <f>IF(DAY(INDEX('Сводный годовой график'!$BA$4:$BL$14,$C120,MONTH($B$114)))=AC$3,1,0)</f>
        <v>0</v>
      </c>
      <c r="DJ121" s="58">
        <f>IF(DAY(INDEX('Сводный годовой график'!$BA$4:$BL$14,$C120,MONTH($B$114)))=AD$3,1,0)</f>
        <v>0</v>
      </c>
      <c r="DK121" s="58">
        <f>IF(DAY(INDEX('Сводный годовой график'!$BA$4:$BL$14,$C120,MONTH($B$114)))=AE$3,1,0)</f>
        <v>0</v>
      </c>
      <c r="DL121" s="58">
        <f>IF(DAY(INDEX('Сводный годовой график'!$BA$4:$BL$14,$C120,MONTH($B$114)))=AF$3,1,0)</f>
        <v>0</v>
      </c>
      <c r="DM121" s="58">
        <f>IF(DAY(INDEX('Сводный годовой график'!$BA$4:$BL$14,$C120,MONTH($B$114)))=AG$3,1,0)</f>
        <v>0</v>
      </c>
      <c r="DN121" s="58">
        <f>IF(DAY(INDEX('Сводный годовой график'!$BA$4:$BL$14,$C120,MONTH($B$114)))=AH$3,1,0)</f>
        <v>0</v>
      </c>
      <c r="DO121" s="58">
        <f>IF(DAY(INDEX('Сводный годовой график'!$BA$4:$BL$14,$C120,MONTH($B$114)))=AI$3,1,0)</f>
        <v>0</v>
      </c>
    </row>
    <row r="122" spans="2:119" ht="16.5" thickBot="1" x14ac:dyDescent="0.3">
      <c r="B122" s="253"/>
      <c r="C122" s="196">
        <v>5</v>
      </c>
      <c r="D122" s="81">
        <v>9</v>
      </c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92"/>
      <c r="Y122" s="92"/>
      <c r="Z122" s="92"/>
      <c r="AA122" s="92"/>
      <c r="AB122" s="92"/>
      <c r="AC122" s="92"/>
      <c r="AD122" s="92"/>
      <c r="AE122" s="92"/>
      <c r="AF122" s="92"/>
      <c r="AG122" s="92"/>
      <c r="AH122" s="92"/>
      <c r="AI122" s="97"/>
      <c r="AJ122" s="206"/>
      <c r="AK122" s="177">
        <f>$AJ$114-SUM(AY122:CC123)</f>
        <v>176</v>
      </c>
      <c r="AL122" s="177">
        <f t="shared" ref="AL122" si="219">SUM(E122:AI123)</f>
        <v>0</v>
      </c>
      <c r="AM122" s="177">
        <v>0</v>
      </c>
      <c r="AN122" s="198">
        <f t="shared" ref="AN122" si="220">-AM122-AK122+AL122</f>
        <v>-176</v>
      </c>
      <c r="AO122" s="198">
        <v>0</v>
      </c>
      <c r="AP122" s="198">
        <f t="shared" si="217"/>
        <v>-2044</v>
      </c>
      <c r="AQ122" s="177">
        <v>0</v>
      </c>
      <c r="AR122" s="179">
        <v>1</v>
      </c>
      <c r="CK122" s="59"/>
      <c r="CL122" s="59"/>
      <c r="CM122" s="59"/>
      <c r="CN122" s="59"/>
      <c r="CO122" s="59"/>
      <c r="CP122" s="59"/>
      <c r="CQ122" s="59"/>
      <c r="CR122" s="59"/>
      <c r="CS122" s="59"/>
      <c r="CT122" s="59"/>
      <c r="CU122" s="59"/>
      <c r="CV122" s="59"/>
      <c r="CW122" s="59"/>
      <c r="CX122" s="59"/>
      <c r="CY122" s="59"/>
      <c r="CZ122" s="59"/>
      <c r="DA122" s="59"/>
      <c r="DB122" s="59"/>
      <c r="DC122" s="59"/>
      <c r="DD122" s="59"/>
      <c r="DE122" s="59"/>
      <c r="DF122" s="59"/>
      <c r="DG122" s="59"/>
      <c r="DH122" s="59"/>
      <c r="DI122" s="59"/>
      <c r="DJ122" s="59"/>
      <c r="DK122" s="59"/>
      <c r="DL122" s="59"/>
      <c r="DM122" s="59"/>
      <c r="DN122" s="59"/>
      <c r="DO122" s="59"/>
    </row>
    <row r="123" spans="2:119" ht="16.5" thickBot="1" x14ac:dyDescent="0.3">
      <c r="B123" s="254"/>
      <c r="C123" s="197"/>
      <c r="D123" s="82">
        <v>10</v>
      </c>
      <c r="E123" s="29" t="str">
        <f t="shared" ref="E123:AI123" si="221">IF(INDEX($CK$4:$DO$123,ROW()-3,E$3)=0,"","СП")</f>
        <v/>
      </c>
      <c r="F123" s="29" t="str">
        <f t="shared" si="221"/>
        <v/>
      </c>
      <c r="G123" s="29" t="str">
        <f t="shared" si="221"/>
        <v/>
      </c>
      <c r="H123" s="29" t="str">
        <f t="shared" si="221"/>
        <v/>
      </c>
      <c r="I123" s="29" t="str">
        <f t="shared" si="221"/>
        <v/>
      </c>
      <c r="J123" s="29" t="str">
        <f t="shared" si="221"/>
        <v/>
      </c>
      <c r="K123" s="29" t="str">
        <f t="shared" si="221"/>
        <v/>
      </c>
      <c r="L123" s="29" t="str">
        <f t="shared" si="221"/>
        <v/>
      </c>
      <c r="M123" s="29" t="str">
        <f t="shared" si="221"/>
        <v/>
      </c>
      <c r="N123" s="29" t="str">
        <f t="shared" si="221"/>
        <v/>
      </c>
      <c r="O123" s="29" t="str">
        <f t="shared" si="221"/>
        <v/>
      </c>
      <c r="P123" s="29" t="str">
        <f t="shared" si="221"/>
        <v/>
      </c>
      <c r="Q123" s="29" t="str">
        <f t="shared" si="221"/>
        <v/>
      </c>
      <c r="R123" s="29" t="str">
        <f t="shared" si="221"/>
        <v/>
      </c>
      <c r="S123" s="29" t="str">
        <f t="shared" si="221"/>
        <v/>
      </c>
      <c r="T123" s="29" t="str">
        <f t="shared" si="221"/>
        <v>СП</v>
      </c>
      <c r="U123" s="29" t="str">
        <f t="shared" si="221"/>
        <v/>
      </c>
      <c r="V123" s="29" t="str">
        <f t="shared" si="221"/>
        <v/>
      </c>
      <c r="W123" s="29" t="str">
        <f t="shared" si="221"/>
        <v/>
      </c>
      <c r="X123" s="29" t="str">
        <f t="shared" si="221"/>
        <v/>
      </c>
      <c r="Y123" s="29" t="str">
        <f t="shared" si="221"/>
        <v/>
      </c>
      <c r="Z123" s="29" t="str">
        <f t="shared" si="221"/>
        <v/>
      </c>
      <c r="AA123" s="29" t="str">
        <f t="shared" si="221"/>
        <v/>
      </c>
      <c r="AB123" s="29" t="str">
        <f t="shared" si="221"/>
        <v/>
      </c>
      <c r="AC123" s="29" t="str">
        <f t="shared" si="221"/>
        <v/>
      </c>
      <c r="AD123" s="29" t="str">
        <f t="shared" si="221"/>
        <v/>
      </c>
      <c r="AE123" s="29" t="str">
        <f t="shared" si="221"/>
        <v/>
      </c>
      <c r="AF123" s="29" t="str">
        <f t="shared" si="221"/>
        <v/>
      </c>
      <c r="AG123" s="29" t="str">
        <f t="shared" si="221"/>
        <v/>
      </c>
      <c r="AH123" s="29" t="str">
        <f t="shared" si="221"/>
        <v/>
      </c>
      <c r="AI123" s="85" t="str">
        <f t="shared" si="221"/>
        <v/>
      </c>
      <c r="AJ123" s="207"/>
      <c r="AK123" s="178"/>
      <c r="AL123" s="178"/>
      <c r="AM123" s="178"/>
      <c r="AN123" s="199"/>
      <c r="AO123" s="199"/>
      <c r="AP123" s="199"/>
      <c r="AQ123" s="178"/>
      <c r="AR123" s="180"/>
      <c r="CK123" s="58">
        <f>IF(DAY(INDEX('Сводный годовой график'!$BA$4:$BL$14,$C122,MONTH($B$114)))=E$3,1,0)</f>
        <v>0</v>
      </c>
      <c r="CL123" s="58">
        <f>IF(DAY(INDEX('Сводный годовой график'!$BA$4:$BL$14,$C122,MONTH($B$114)))=F$3,1,0)</f>
        <v>0</v>
      </c>
      <c r="CM123" s="58">
        <f>IF(DAY(INDEX('Сводный годовой график'!$BA$4:$BL$14,$C122,MONTH($B$114)))=G$3,1,0)</f>
        <v>0</v>
      </c>
      <c r="CN123" s="58">
        <f>IF(DAY(INDEX('Сводный годовой график'!$BA$4:$BL$14,$C122,MONTH($B$114)))=H$3,1,0)</f>
        <v>0</v>
      </c>
      <c r="CO123" s="58">
        <f>IF(DAY(INDEX('Сводный годовой график'!$BA$4:$BL$14,$C122,MONTH($B$114)))=I$3,1,0)</f>
        <v>0</v>
      </c>
      <c r="CP123" s="58">
        <f>IF(DAY(INDEX('Сводный годовой график'!$BA$4:$BL$14,$C122,MONTH($B$114)))=J$3,1,0)</f>
        <v>0</v>
      </c>
      <c r="CQ123" s="58">
        <f>IF(DAY(INDEX('Сводный годовой график'!$BA$4:$BL$14,$C122,MONTH($B$114)))=K$3,1,0)</f>
        <v>0</v>
      </c>
      <c r="CR123" s="58">
        <f>IF(DAY(INDEX('Сводный годовой график'!$BA$4:$BL$14,$C122,MONTH($B$114)))=L$3,1,0)</f>
        <v>0</v>
      </c>
      <c r="CS123" s="58">
        <f>IF(DAY(INDEX('Сводный годовой график'!$BA$4:$BL$14,$C122,MONTH($B$114)))=M$3,1,0)</f>
        <v>0</v>
      </c>
      <c r="CT123" s="58">
        <f>IF(DAY(INDEX('Сводный годовой график'!$BA$4:$BL$14,$C122,MONTH($B$114)))=N$3,1,0)</f>
        <v>0</v>
      </c>
      <c r="CU123" s="58">
        <f>IF(DAY(INDEX('Сводный годовой график'!$BA$4:$BL$14,$C122,MONTH($B$114)))=O$3,1,0)</f>
        <v>0</v>
      </c>
      <c r="CV123" s="58">
        <f>IF(DAY(INDEX('Сводный годовой график'!$BA$4:$BL$14,$C122,MONTH($B$114)))=P$3,1,0)</f>
        <v>0</v>
      </c>
      <c r="CW123" s="58">
        <f>IF(DAY(INDEX('Сводный годовой график'!$BA$4:$BL$14,$C122,MONTH($B$114)))=Q$3,1,0)</f>
        <v>0</v>
      </c>
      <c r="CX123" s="58">
        <f>IF(DAY(INDEX('Сводный годовой график'!$BA$4:$BL$14,$C122,MONTH($B$114)))=R$3,1,0)</f>
        <v>0</v>
      </c>
      <c r="CY123" s="58">
        <f>IF(DAY(INDEX('Сводный годовой график'!$BA$4:$BL$14,$C122,MONTH($B$114)))=S$3,1,0)</f>
        <v>0</v>
      </c>
      <c r="CZ123" s="58">
        <f>IF(DAY(INDEX('Сводный годовой график'!$BA$4:$BL$14,$C122,MONTH($B$114)))=T$3,1,0)</f>
        <v>1</v>
      </c>
      <c r="DA123" s="58">
        <f>IF(DAY(INDEX('Сводный годовой график'!$BA$4:$BL$14,$C122,MONTH($B$114)))=U$3,1,0)</f>
        <v>0</v>
      </c>
      <c r="DB123" s="58">
        <f>IF(DAY(INDEX('Сводный годовой график'!$BA$4:$BL$14,$C122,MONTH($B$114)))=V$3,1,0)</f>
        <v>0</v>
      </c>
      <c r="DC123" s="58">
        <f>IF(DAY(INDEX('Сводный годовой график'!$BA$4:$BL$14,$C122,MONTH($B$114)))=W$3,1,0)</f>
        <v>0</v>
      </c>
      <c r="DD123" s="58">
        <f>IF(DAY(INDEX('Сводный годовой график'!$BA$4:$BL$14,$C122,MONTH($B$114)))=X$3,1,0)</f>
        <v>0</v>
      </c>
      <c r="DE123" s="58">
        <f>IF(DAY(INDEX('Сводный годовой график'!$BA$4:$BL$14,$C122,MONTH($B$114)))=Y$3,1,0)</f>
        <v>0</v>
      </c>
      <c r="DF123" s="58">
        <f>IF(DAY(INDEX('Сводный годовой график'!$BA$4:$BL$14,$C122,MONTH($B$114)))=Z$3,1,0)</f>
        <v>0</v>
      </c>
      <c r="DG123" s="58">
        <f>IF(DAY(INDEX('Сводный годовой график'!$BA$4:$BL$14,$C122,MONTH($B$114)))=AA$3,1,0)</f>
        <v>0</v>
      </c>
      <c r="DH123" s="58">
        <f>IF(DAY(INDEX('Сводный годовой график'!$BA$4:$BL$14,$C122,MONTH($B$114)))=AB$3,1,0)</f>
        <v>0</v>
      </c>
      <c r="DI123" s="58">
        <f>IF(DAY(INDEX('Сводный годовой график'!$BA$4:$BL$14,$C122,MONTH($B$114)))=AC$3,1,0)</f>
        <v>0</v>
      </c>
      <c r="DJ123" s="58">
        <f>IF(DAY(INDEX('Сводный годовой график'!$BA$4:$BL$14,$C122,MONTH($B$114)))=AD$3,1,0)</f>
        <v>0</v>
      </c>
      <c r="DK123" s="58">
        <f>IF(DAY(INDEX('Сводный годовой график'!$BA$4:$BL$14,$C122,MONTH($B$114)))=AE$3,1,0)</f>
        <v>0</v>
      </c>
      <c r="DL123" s="58">
        <f>IF(DAY(INDEX('Сводный годовой график'!$BA$4:$BL$14,$C122,MONTH($B$114)))=AF$3,1,0)</f>
        <v>0</v>
      </c>
      <c r="DM123" s="58">
        <f>IF(DAY(INDEX('Сводный годовой график'!$BA$4:$BL$14,$C122,MONTH($B$114)))=AG$3,1,0)</f>
        <v>0</v>
      </c>
      <c r="DN123" s="58">
        <f>IF(DAY(INDEX('Сводный годовой график'!$BA$4:$BL$14,$C122,MONTH($B$114)))=AH$3,1,0)</f>
        <v>0</v>
      </c>
      <c r="DO123" s="58">
        <f>IF(DAY(INDEX('Сводный годовой график'!$BA$4:$BL$14,$C122,MONTH($B$114)))=AI$3,1,0)</f>
        <v>0</v>
      </c>
    </row>
    <row r="124" spans="2:119" ht="24.95" customHeight="1" thickTop="1" thickBot="1" x14ac:dyDescent="0.3">
      <c r="B124" s="181" t="s">
        <v>38</v>
      </c>
      <c r="C124" s="184">
        <v>1</v>
      </c>
      <c r="D124" s="185"/>
      <c r="E124" s="185"/>
      <c r="F124" s="185"/>
      <c r="G124" s="185"/>
      <c r="H124" s="185"/>
      <c r="I124" s="185"/>
      <c r="J124" s="185"/>
      <c r="K124" s="185"/>
      <c r="L124" s="185"/>
      <c r="M124" s="185"/>
      <c r="N124" s="185"/>
      <c r="O124" s="185"/>
      <c r="P124" s="185"/>
      <c r="Q124" s="185"/>
      <c r="R124" s="185"/>
      <c r="S124" s="185"/>
      <c r="T124" s="185"/>
      <c r="U124" s="185"/>
      <c r="V124" s="185"/>
      <c r="W124" s="185"/>
      <c r="X124" s="185"/>
      <c r="Y124" s="185"/>
      <c r="Z124" s="185"/>
      <c r="AA124" s="185"/>
      <c r="AB124" s="185"/>
      <c r="AC124" s="185"/>
      <c r="AD124" s="185"/>
      <c r="AE124" s="185"/>
      <c r="AF124" s="185"/>
      <c r="AG124" s="185"/>
      <c r="AH124" s="185"/>
      <c r="AI124" s="186"/>
      <c r="AJ124" s="187">
        <f>IF(SUM($AJ$4:$AJ$123)=SUM(Подключения!H3:H14),SUM($AJ$4:$AJ$123),"!")</f>
        <v>1972</v>
      </c>
      <c r="AK124" s="36">
        <f t="shared" ref="AK124:AR124" si="222">AK4+AK14+AK24+AK34+AK44+AK54+AK64+AK74+AK84+AK94+AK104+AK114</f>
        <v>1972</v>
      </c>
      <c r="AL124" s="36" t="e">
        <f t="shared" ca="1" si="222"/>
        <v>#N/A</v>
      </c>
      <c r="AM124" s="36" t="e">
        <f t="shared" ca="1" si="222"/>
        <v>#N/A</v>
      </c>
      <c r="AN124" s="36" t="e">
        <f t="shared" ca="1" si="222"/>
        <v>#N/A</v>
      </c>
      <c r="AO124" s="36">
        <f t="shared" si="222"/>
        <v>72</v>
      </c>
      <c r="AP124" s="36" t="e">
        <f ca="1">AP114</f>
        <v>#N/A</v>
      </c>
      <c r="AQ124" s="36">
        <f t="shared" si="222"/>
        <v>30</v>
      </c>
      <c r="AR124" s="37">
        <f t="shared" si="222"/>
        <v>12</v>
      </c>
    </row>
    <row r="125" spans="2:119" ht="24.95" customHeight="1" thickBot="1" x14ac:dyDescent="0.3">
      <c r="B125" s="182"/>
      <c r="C125" s="190">
        <v>2</v>
      </c>
      <c r="D125" s="191"/>
      <c r="E125" s="191"/>
      <c r="F125" s="191"/>
      <c r="G125" s="191"/>
      <c r="H125" s="191"/>
      <c r="I125" s="191"/>
      <c r="J125" s="191"/>
      <c r="K125" s="191"/>
      <c r="L125" s="191"/>
      <c r="M125" s="191"/>
      <c r="N125" s="191"/>
      <c r="O125" s="191"/>
      <c r="P125" s="191"/>
      <c r="Q125" s="191"/>
      <c r="R125" s="191"/>
      <c r="S125" s="191"/>
      <c r="T125" s="191"/>
      <c r="U125" s="191"/>
      <c r="V125" s="191"/>
      <c r="W125" s="191"/>
      <c r="X125" s="191"/>
      <c r="Y125" s="191"/>
      <c r="Z125" s="191"/>
      <c r="AA125" s="191"/>
      <c r="AB125" s="191"/>
      <c r="AC125" s="191"/>
      <c r="AD125" s="191"/>
      <c r="AE125" s="191"/>
      <c r="AF125" s="191"/>
      <c r="AG125" s="191"/>
      <c r="AH125" s="191"/>
      <c r="AI125" s="192"/>
      <c r="AJ125" s="188"/>
      <c r="AK125" s="38">
        <f t="shared" ref="AK125:AR125" si="223">AK6+AK16+AK26+AK36+AK46+AK56+AK66+AK76+AK86+AK96+AK106+AK116</f>
        <v>1972</v>
      </c>
      <c r="AL125" s="38" t="e">
        <f t="shared" ca="1" si="223"/>
        <v>#N/A</v>
      </c>
      <c r="AM125" s="38" t="e">
        <f t="shared" ca="1" si="223"/>
        <v>#N/A</v>
      </c>
      <c r="AN125" s="38" t="e">
        <f t="shared" ca="1" si="223"/>
        <v>#N/A</v>
      </c>
      <c r="AO125" s="38">
        <f t="shared" si="223"/>
        <v>60</v>
      </c>
      <c r="AP125" s="38" t="e">
        <f ca="1">AP116</f>
        <v>#N/A</v>
      </c>
      <c r="AQ125" s="38">
        <f t="shared" si="223"/>
        <v>30</v>
      </c>
      <c r="AR125" s="39">
        <f t="shared" si="223"/>
        <v>12</v>
      </c>
    </row>
    <row r="126" spans="2:119" ht="24.95" customHeight="1" thickBot="1" x14ac:dyDescent="0.3">
      <c r="B126" s="182"/>
      <c r="C126" s="190">
        <v>3</v>
      </c>
      <c r="D126" s="191"/>
      <c r="E126" s="191"/>
      <c r="F126" s="191"/>
      <c r="G126" s="191"/>
      <c r="H126" s="191"/>
      <c r="I126" s="191"/>
      <c r="J126" s="191"/>
      <c r="K126" s="191"/>
      <c r="L126" s="191"/>
      <c r="M126" s="191"/>
      <c r="N126" s="191"/>
      <c r="O126" s="191"/>
      <c r="P126" s="191"/>
      <c r="Q126" s="191"/>
      <c r="R126" s="191"/>
      <c r="S126" s="191"/>
      <c r="T126" s="191"/>
      <c r="U126" s="191"/>
      <c r="V126" s="191"/>
      <c r="W126" s="191"/>
      <c r="X126" s="191"/>
      <c r="Y126" s="191"/>
      <c r="Z126" s="191"/>
      <c r="AA126" s="191"/>
      <c r="AB126" s="191"/>
      <c r="AC126" s="191"/>
      <c r="AD126" s="191"/>
      <c r="AE126" s="191"/>
      <c r="AF126" s="191"/>
      <c r="AG126" s="191"/>
      <c r="AH126" s="191"/>
      <c r="AI126" s="192"/>
      <c r="AJ126" s="188"/>
      <c r="AK126" s="38">
        <f t="shared" ref="AK126:AR126" si="224">AK8+AK18+AK28+AK38+AK48+AK58+AK68+AK78+AK88+AK98+AK108+AK118</f>
        <v>1972</v>
      </c>
      <c r="AL126" s="38" t="e">
        <f t="shared" ca="1" si="224"/>
        <v>#N/A</v>
      </c>
      <c r="AM126" s="38" t="e">
        <f t="shared" ca="1" si="224"/>
        <v>#N/A</v>
      </c>
      <c r="AN126" s="38" t="e">
        <f t="shared" ca="1" si="224"/>
        <v>#N/A</v>
      </c>
      <c r="AO126" s="38">
        <f t="shared" si="224"/>
        <v>42</v>
      </c>
      <c r="AP126" s="38" t="e">
        <f ca="1">AP118</f>
        <v>#N/A</v>
      </c>
      <c r="AQ126" s="38">
        <f t="shared" si="224"/>
        <v>30</v>
      </c>
      <c r="AR126" s="39">
        <f t="shared" si="224"/>
        <v>11</v>
      </c>
    </row>
    <row r="127" spans="2:119" ht="24.95" customHeight="1" thickBot="1" x14ac:dyDescent="0.3">
      <c r="B127" s="182"/>
      <c r="C127" s="190">
        <v>4</v>
      </c>
      <c r="D127" s="191"/>
      <c r="E127" s="191"/>
      <c r="F127" s="191"/>
      <c r="G127" s="191"/>
      <c r="H127" s="191"/>
      <c r="I127" s="191"/>
      <c r="J127" s="191"/>
      <c r="K127" s="191"/>
      <c r="L127" s="191"/>
      <c r="M127" s="191"/>
      <c r="N127" s="191"/>
      <c r="O127" s="191"/>
      <c r="P127" s="191"/>
      <c r="Q127" s="191"/>
      <c r="R127" s="191"/>
      <c r="S127" s="191"/>
      <c r="T127" s="191"/>
      <c r="U127" s="191"/>
      <c r="V127" s="191"/>
      <c r="W127" s="191"/>
      <c r="X127" s="191"/>
      <c r="Y127" s="191"/>
      <c r="Z127" s="191"/>
      <c r="AA127" s="191"/>
      <c r="AB127" s="191"/>
      <c r="AC127" s="191"/>
      <c r="AD127" s="191"/>
      <c r="AE127" s="191"/>
      <c r="AF127" s="191"/>
      <c r="AG127" s="191"/>
      <c r="AH127" s="191"/>
      <c r="AI127" s="192"/>
      <c r="AJ127" s="188"/>
      <c r="AK127" s="38">
        <f t="shared" ref="AK127:AR127" si="225">AK10+AK20+AK30+AK40+AK50+AK60+AK70+AK80+AK90+AK100+AK110+AK120</f>
        <v>1972</v>
      </c>
      <c r="AL127" s="38" t="e">
        <f t="shared" ca="1" si="225"/>
        <v>#N/A</v>
      </c>
      <c r="AM127" s="38" t="e">
        <f t="shared" ca="1" si="225"/>
        <v>#N/A</v>
      </c>
      <c r="AN127" s="38" t="e">
        <f t="shared" ca="1" si="225"/>
        <v>#N/A</v>
      </c>
      <c r="AO127" s="38">
        <f t="shared" si="225"/>
        <v>0</v>
      </c>
      <c r="AP127" s="38" t="e">
        <f ca="1">AP120</f>
        <v>#N/A</v>
      </c>
      <c r="AQ127" s="38">
        <f t="shared" si="225"/>
        <v>30</v>
      </c>
      <c r="AR127" s="39">
        <f t="shared" si="225"/>
        <v>11</v>
      </c>
    </row>
    <row r="128" spans="2:119" ht="24.95" customHeight="1" thickBot="1" x14ac:dyDescent="0.3">
      <c r="B128" s="183"/>
      <c r="C128" s="193">
        <v>5</v>
      </c>
      <c r="D128" s="194"/>
      <c r="E128" s="194"/>
      <c r="F128" s="194"/>
      <c r="G128" s="194"/>
      <c r="H128" s="194"/>
      <c r="I128" s="194"/>
      <c r="J128" s="194"/>
      <c r="K128" s="194"/>
      <c r="L128" s="194"/>
      <c r="M128" s="194"/>
      <c r="N128" s="194"/>
      <c r="O128" s="194"/>
      <c r="P128" s="194"/>
      <c r="Q128" s="194"/>
      <c r="R128" s="194"/>
      <c r="S128" s="194"/>
      <c r="T128" s="194"/>
      <c r="U128" s="194"/>
      <c r="V128" s="194"/>
      <c r="W128" s="194"/>
      <c r="X128" s="194"/>
      <c r="Y128" s="194"/>
      <c r="Z128" s="194"/>
      <c r="AA128" s="194"/>
      <c r="AB128" s="194"/>
      <c r="AC128" s="194"/>
      <c r="AD128" s="194"/>
      <c r="AE128" s="194"/>
      <c r="AF128" s="194"/>
      <c r="AG128" s="194"/>
      <c r="AH128" s="194"/>
      <c r="AI128" s="195"/>
      <c r="AJ128" s="189"/>
      <c r="AK128" s="40">
        <f t="shared" ref="AK128:AR128" si="226">AK12+AK22+AK32+AK42+AK52+AK62+AK72+AK82+AK92+AK102+AK112+AK122</f>
        <v>1972</v>
      </c>
      <c r="AL128" s="40">
        <f t="shared" si="226"/>
        <v>0</v>
      </c>
      <c r="AM128" s="40">
        <f t="shared" si="226"/>
        <v>0</v>
      </c>
      <c r="AN128" s="40">
        <f t="shared" si="226"/>
        <v>-1972</v>
      </c>
      <c r="AO128" s="40">
        <f t="shared" si="226"/>
        <v>72</v>
      </c>
      <c r="AP128" s="40">
        <f>AP122</f>
        <v>-2044</v>
      </c>
      <c r="AQ128" s="40">
        <f t="shared" si="226"/>
        <v>30</v>
      </c>
      <c r="AR128" s="41">
        <f t="shared" si="226"/>
        <v>11</v>
      </c>
    </row>
    <row r="129" spans="3:42" ht="15.75" thickTop="1" x14ac:dyDescent="0.25"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</row>
  </sheetData>
  <mergeCells count="584">
    <mergeCell ref="AM2:AM3"/>
    <mergeCell ref="AN2:AN3"/>
    <mergeCell ref="AO2:AO3"/>
    <mergeCell ref="AP2:AP3"/>
    <mergeCell ref="AQ2:AQ3"/>
    <mergeCell ref="AR2:AR3"/>
    <mergeCell ref="B2:B3"/>
    <mergeCell ref="C2:C3"/>
    <mergeCell ref="E2:AI2"/>
    <mergeCell ref="AJ2:AJ3"/>
    <mergeCell ref="AK2:AK3"/>
    <mergeCell ref="AL2:AL3"/>
    <mergeCell ref="AN4:AN5"/>
    <mergeCell ref="AO4:AO5"/>
    <mergeCell ref="AP4:AP5"/>
    <mergeCell ref="AQ4:AQ5"/>
    <mergeCell ref="AR4:AR5"/>
    <mergeCell ref="C6:C7"/>
    <mergeCell ref="AK6:AK7"/>
    <mergeCell ref="AL6:AL7"/>
    <mergeCell ref="AM6:AM7"/>
    <mergeCell ref="AN6:AN7"/>
    <mergeCell ref="C4:C5"/>
    <mergeCell ref="AJ4:AJ13"/>
    <mergeCell ref="AK4:AK5"/>
    <mergeCell ref="AL4:AL5"/>
    <mergeCell ref="AM4:AM5"/>
    <mergeCell ref="AO6:AO7"/>
    <mergeCell ref="AP6:AP7"/>
    <mergeCell ref="AQ6:AQ7"/>
    <mergeCell ref="AR6:AR7"/>
    <mergeCell ref="C8:C9"/>
    <mergeCell ref="AK8:AK9"/>
    <mergeCell ref="AL8:AL9"/>
    <mergeCell ref="AM8:AM9"/>
    <mergeCell ref="AN8:AN9"/>
    <mergeCell ref="AO8:AO9"/>
    <mergeCell ref="AP8:AP9"/>
    <mergeCell ref="AQ8:AQ9"/>
    <mergeCell ref="AR8:AR9"/>
    <mergeCell ref="C10:C11"/>
    <mergeCell ref="AK10:AK11"/>
    <mergeCell ref="AL10:AL11"/>
    <mergeCell ref="AM10:AM11"/>
    <mergeCell ref="AN10:AN11"/>
    <mergeCell ref="AO10:AO11"/>
    <mergeCell ref="AP10:AP11"/>
    <mergeCell ref="AQ10:AQ11"/>
    <mergeCell ref="AR10:AR11"/>
    <mergeCell ref="C12:C13"/>
    <mergeCell ref="AK12:AK13"/>
    <mergeCell ref="AL12:AL13"/>
    <mergeCell ref="AM12:AM13"/>
    <mergeCell ref="AN12:AN13"/>
    <mergeCell ref="AO12:AO13"/>
    <mergeCell ref="AP12:AP13"/>
    <mergeCell ref="AQ12:AQ13"/>
    <mergeCell ref="AR12:AR13"/>
    <mergeCell ref="B4:B13"/>
    <mergeCell ref="AQ14:AQ15"/>
    <mergeCell ref="AR14:AR15"/>
    <mergeCell ref="C16:C17"/>
    <mergeCell ref="AK16:AK17"/>
    <mergeCell ref="AL16:AL17"/>
    <mergeCell ref="AM16:AM17"/>
    <mergeCell ref="AN16:AN17"/>
    <mergeCell ref="AO16:AO17"/>
    <mergeCell ref="AP16:AP17"/>
    <mergeCell ref="AQ16:AQ17"/>
    <mergeCell ref="AR16:AR17"/>
    <mergeCell ref="B14:B23"/>
    <mergeCell ref="C14:C15"/>
    <mergeCell ref="AJ14:AJ23"/>
    <mergeCell ref="AK14:AK15"/>
    <mergeCell ref="AL14:AL15"/>
    <mergeCell ref="AM14:AM15"/>
    <mergeCell ref="AN14:AN15"/>
    <mergeCell ref="AO14:AO15"/>
    <mergeCell ref="AP14:AP15"/>
    <mergeCell ref="C18:C19"/>
    <mergeCell ref="AK18:AK19"/>
    <mergeCell ref="AL18:AL19"/>
    <mergeCell ref="AQ18:AQ19"/>
    <mergeCell ref="AR18:AR19"/>
    <mergeCell ref="AP20:AP21"/>
    <mergeCell ref="AQ20:AQ21"/>
    <mergeCell ref="AR20:AR21"/>
    <mergeCell ref="C22:C23"/>
    <mergeCell ref="AK22:AK23"/>
    <mergeCell ref="AL22:AL23"/>
    <mergeCell ref="AM22:AM23"/>
    <mergeCell ref="AN22:AN23"/>
    <mergeCell ref="AO22:AO23"/>
    <mergeCell ref="AP22:AP23"/>
    <mergeCell ref="C20:C21"/>
    <mergeCell ref="AK20:AK21"/>
    <mergeCell ref="AL20:AL21"/>
    <mergeCell ref="AM20:AM21"/>
    <mergeCell ref="AN20:AN21"/>
    <mergeCell ref="AO20:AO21"/>
    <mergeCell ref="AQ22:AQ23"/>
    <mergeCell ref="AR22:AR23"/>
    <mergeCell ref="AM18:AM19"/>
    <mergeCell ref="AN18:AN19"/>
    <mergeCell ref="AO18:AO19"/>
    <mergeCell ref="AP18:AP19"/>
    <mergeCell ref="B24:B33"/>
    <mergeCell ref="C24:C25"/>
    <mergeCell ref="AJ24:AJ33"/>
    <mergeCell ref="AK24:AK25"/>
    <mergeCell ref="AL24:AL25"/>
    <mergeCell ref="AM24:AM25"/>
    <mergeCell ref="AN24:AN25"/>
    <mergeCell ref="AO24:AO25"/>
    <mergeCell ref="AP24:AP25"/>
    <mergeCell ref="C28:C29"/>
    <mergeCell ref="AK28:AK29"/>
    <mergeCell ref="AL28:AL29"/>
    <mergeCell ref="AM28:AM29"/>
    <mergeCell ref="AN28:AN29"/>
    <mergeCell ref="AO28:AO29"/>
    <mergeCell ref="AP28:AP29"/>
    <mergeCell ref="AP32:AP33"/>
    <mergeCell ref="AQ24:AQ25"/>
    <mergeCell ref="AR24:AR25"/>
    <mergeCell ref="C26:C27"/>
    <mergeCell ref="AK26:AK27"/>
    <mergeCell ref="AL26:AL27"/>
    <mergeCell ref="AM26:AM27"/>
    <mergeCell ref="AN26:AN27"/>
    <mergeCell ref="AO26:AO27"/>
    <mergeCell ref="AP26:AP27"/>
    <mergeCell ref="AQ26:AQ27"/>
    <mergeCell ref="AR26:AR27"/>
    <mergeCell ref="AQ28:AQ29"/>
    <mergeCell ref="AR28:AR29"/>
    <mergeCell ref="C30:C31"/>
    <mergeCell ref="AK30:AK31"/>
    <mergeCell ref="AL30:AL31"/>
    <mergeCell ref="AM30:AM31"/>
    <mergeCell ref="AN30:AN31"/>
    <mergeCell ref="AO30:AO31"/>
    <mergeCell ref="AP30:AP31"/>
    <mergeCell ref="AQ30:AQ31"/>
    <mergeCell ref="AR30:AR31"/>
    <mergeCell ref="AQ32:AQ33"/>
    <mergeCell ref="AR32:AR33"/>
    <mergeCell ref="B34:B43"/>
    <mergeCell ref="C34:C35"/>
    <mergeCell ref="AJ34:AJ43"/>
    <mergeCell ref="AK34:AK35"/>
    <mergeCell ref="AL34:AL35"/>
    <mergeCell ref="AM34:AM35"/>
    <mergeCell ref="AN34:AN35"/>
    <mergeCell ref="C32:C33"/>
    <mergeCell ref="AK32:AK33"/>
    <mergeCell ref="AL32:AL33"/>
    <mergeCell ref="AM32:AM33"/>
    <mergeCell ref="AN32:AN33"/>
    <mergeCell ref="AO32:AO33"/>
    <mergeCell ref="AO34:AO35"/>
    <mergeCell ref="AP34:AP35"/>
    <mergeCell ref="AQ34:AQ35"/>
    <mergeCell ref="AR34:AR35"/>
    <mergeCell ref="C36:C37"/>
    <mergeCell ref="AK36:AK37"/>
    <mergeCell ref="AL36:AL37"/>
    <mergeCell ref="AM36:AM37"/>
    <mergeCell ref="AN36:AN37"/>
    <mergeCell ref="AO36:AO37"/>
    <mergeCell ref="AP36:AP37"/>
    <mergeCell ref="AQ36:AQ37"/>
    <mergeCell ref="AR36:AR37"/>
    <mergeCell ref="C38:C39"/>
    <mergeCell ref="AK38:AK39"/>
    <mergeCell ref="AL38:AL39"/>
    <mergeCell ref="AM38:AM39"/>
    <mergeCell ref="AN38:AN39"/>
    <mergeCell ref="AO38:AO39"/>
    <mergeCell ref="AP38:AP39"/>
    <mergeCell ref="AQ38:AQ39"/>
    <mergeCell ref="AR38:AR39"/>
    <mergeCell ref="C40:C41"/>
    <mergeCell ref="AK40:AK41"/>
    <mergeCell ref="AL40:AL41"/>
    <mergeCell ref="AM40:AM41"/>
    <mergeCell ref="AN40:AN41"/>
    <mergeCell ref="AO40:AO41"/>
    <mergeCell ref="AP40:AP41"/>
    <mergeCell ref="AQ40:AQ41"/>
    <mergeCell ref="AR40:AR41"/>
    <mergeCell ref="C42:C43"/>
    <mergeCell ref="AK42:AK43"/>
    <mergeCell ref="AL42:AL43"/>
    <mergeCell ref="AM42:AM43"/>
    <mergeCell ref="AN42:AN43"/>
    <mergeCell ref="AO42:AO43"/>
    <mergeCell ref="AP42:AP43"/>
    <mergeCell ref="AQ42:AQ43"/>
    <mergeCell ref="AR42:AR43"/>
    <mergeCell ref="AN44:AN45"/>
    <mergeCell ref="AO44:AO45"/>
    <mergeCell ref="AP44:AP45"/>
    <mergeCell ref="AQ44:AQ45"/>
    <mergeCell ref="AR44:AR45"/>
    <mergeCell ref="C46:C47"/>
    <mergeCell ref="AK46:AK47"/>
    <mergeCell ref="AL46:AL47"/>
    <mergeCell ref="AM46:AM47"/>
    <mergeCell ref="AN46:AN47"/>
    <mergeCell ref="C44:C45"/>
    <mergeCell ref="AJ44:AJ53"/>
    <mergeCell ref="AK44:AK45"/>
    <mergeCell ref="AL44:AL45"/>
    <mergeCell ref="AM44:AM45"/>
    <mergeCell ref="AO46:AO47"/>
    <mergeCell ref="AP46:AP47"/>
    <mergeCell ref="AQ46:AQ47"/>
    <mergeCell ref="AR46:AR47"/>
    <mergeCell ref="C48:C49"/>
    <mergeCell ref="AK48:AK49"/>
    <mergeCell ref="AL48:AL49"/>
    <mergeCell ref="AM48:AM49"/>
    <mergeCell ref="AN48:AN49"/>
    <mergeCell ref="AO48:AO49"/>
    <mergeCell ref="AP48:AP49"/>
    <mergeCell ref="AQ48:AQ49"/>
    <mergeCell ref="AR48:AR49"/>
    <mergeCell ref="C50:C51"/>
    <mergeCell ref="AK50:AK51"/>
    <mergeCell ref="AL50:AL51"/>
    <mergeCell ref="AM50:AM51"/>
    <mergeCell ref="AN50:AN51"/>
    <mergeCell ref="AO50:AO51"/>
    <mergeCell ref="AP50:AP51"/>
    <mergeCell ref="AQ50:AQ51"/>
    <mergeCell ref="AR50:AR51"/>
    <mergeCell ref="C52:C53"/>
    <mergeCell ref="AK52:AK53"/>
    <mergeCell ref="AL52:AL53"/>
    <mergeCell ref="AM52:AM53"/>
    <mergeCell ref="AN52:AN53"/>
    <mergeCell ref="AO52:AO53"/>
    <mergeCell ref="AP52:AP53"/>
    <mergeCell ref="AQ52:AQ53"/>
    <mergeCell ref="AR52:AR53"/>
    <mergeCell ref="B44:B53"/>
    <mergeCell ref="AQ54:AQ55"/>
    <mergeCell ref="AR54:AR55"/>
    <mergeCell ref="C56:C57"/>
    <mergeCell ref="AK56:AK57"/>
    <mergeCell ref="AL56:AL57"/>
    <mergeCell ref="AM56:AM57"/>
    <mergeCell ref="AN56:AN57"/>
    <mergeCell ref="AO56:AO57"/>
    <mergeCell ref="AP56:AP57"/>
    <mergeCell ref="AQ56:AQ57"/>
    <mergeCell ref="AR56:AR57"/>
    <mergeCell ref="B54:B63"/>
    <mergeCell ref="C54:C55"/>
    <mergeCell ref="AJ54:AJ63"/>
    <mergeCell ref="AK54:AK55"/>
    <mergeCell ref="AL54:AL55"/>
    <mergeCell ref="AM54:AM55"/>
    <mergeCell ref="AN54:AN55"/>
    <mergeCell ref="AO54:AO55"/>
    <mergeCell ref="AP54:AP55"/>
    <mergeCell ref="C58:C59"/>
    <mergeCell ref="AK58:AK59"/>
    <mergeCell ref="AL58:AL59"/>
    <mergeCell ref="AQ58:AQ59"/>
    <mergeCell ref="AR58:AR59"/>
    <mergeCell ref="AP60:AP61"/>
    <mergeCell ref="AQ60:AQ61"/>
    <mergeCell ref="AR60:AR61"/>
    <mergeCell ref="C62:C63"/>
    <mergeCell ref="AK62:AK63"/>
    <mergeCell ref="AL62:AL63"/>
    <mergeCell ref="AM62:AM63"/>
    <mergeCell ref="AN62:AN63"/>
    <mergeCell ref="AO62:AO63"/>
    <mergeCell ref="AP62:AP63"/>
    <mergeCell ref="C60:C61"/>
    <mergeCell ref="AK60:AK61"/>
    <mergeCell ref="AL60:AL61"/>
    <mergeCell ref="AM60:AM61"/>
    <mergeCell ref="AN60:AN61"/>
    <mergeCell ref="AO60:AO61"/>
    <mergeCell ref="AQ62:AQ63"/>
    <mergeCell ref="AR62:AR63"/>
    <mergeCell ref="AM58:AM59"/>
    <mergeCell ref="AN58:AN59"/>
    <mergeCell ref="AO58:AO59"/>
    <mergeCell ref="AP58:AP59"/>
    <mergeCell ref="B64:B73"/>
    <mergeCell ref="C64:C65"/>
    <mergeCell ref="AJ64:AJ73"/>
    <mergeCell ref="AK64:AK65"/>
    <mergeCell ref="AL64:AL65"/>
    <mergeCell ref="AM64:AM65"/>
    <mergeCell ref="AN64:AN65"/>
    <mergeCell ref="AO64:AO65"/>
    <mergeCell ref="AP64:AP65"/>
    <mergeCell ref="C68:C69"/>
    <mergeCell ref="AK68:AK69"/>
    <mergeCell ref="AL68:AL69"/>
    <mergeCell ref="AM68:AM69"/>
    <mergeCell ref="AN68:AN69"/>
    <mergeCell ref="AO68:AO69"/>
    <mergeCell ref="AP68:AP69"/>
    <mergeCell ref="AP72:AP73"/>
    <mergeCell ref="AQ64:AQ65"/>
    <mergeCell ref="AR64:AR65"/>
    <mergeCell ref="C66:C67"/>
    <mergeCell ref="AK66:AK67"/>
    <mergeCell ref="AL66:AL67"/>
    <mergeCell ref="AM66:AM67"/>
    <mergeCell ref="AN66:AN67"/>
    <mergeCell ref="AO66:AO67"/>
    <mergeCell ref="AP66:AP67"/>
    <mergeCell ref="AQ66:AQ67"/>
    <mergeCell ref="AR66:AR67"/>
    <mergeCell ref="AQ68:AQ69"/>
    <mergeCell ref="AR68:AR69"/>
    <mergeCell ref="C70:C71"/>
    <mergeCell ref="AK70:AK71"/>
    <mergeCell ref="AL70:AL71"/>
    <mergeCell ref="AM70:AM71"/>
    <mergeCell ref="AN70:AN71"/>
    <mergeCell ref="AO70:AO71"/>
    <mergeCell ref="AP70:AP71"/>
    <mergeCell ref="AQ70:AQ71"/>
    <mergeCell ref="AR70:AR71"/>
    <mergeCell ref="AQ72:AQ73"/>
    <mergeCell ref="AR72:AR73"/>
    <mergeCell ref="B74:B83"/>
    <mergeCell ref="C74:C75"/>
    <mergeCell ref="AJ74:AJ83"/>
    <mergeCell ref="AK74:AK75"/>
    <mergeCell ref="AL74:AL75"/>
    <mergeCell ref="AM74:AM75"/>
    <mergeCell ref="AN74:AN75"/>
    <mergeCell ref="C72:C73"/>
    <mergeCell ref="AK72:AK73"/>
    <mergeCell ref="AL72:AL73"/>
    <mergeCell ref="AM72:AM73"/>
    <mergeCell ref="AN72:AN73"/>
    <mergeCell ref="AO72:AO73"/>
    <mergeCell ref="AO74:AO75"/>
    <mergeCell ref="AP74:AP75"/>
    <mergeCell ref="AQ74:AQ75"/>
    <mergeCell ref="AR74:AR75"/>
    <mergeCell ref="C76:C77"/>
    <mergeCell ref="AK76:AK77"/>
    <mergeCell ref="AL76:AL77"/>
    <mergeCell ref="AM76:AM77"/>
    <mergeCell ref="AN76:AN77"/>
    <mergeCell ref="AO76:AO77"/>
    <mergeCell ref="AP76:AP77"/>
    <mergeCell ref="AQ76:AQ77"/>
    <mergeCell ref="AR76:AR77"/>
    <mergeCell ref="C78:C79"/>
    <mergeCell ref="AK78:AK79"/>
    <mergeCell ref="AL78:AL79"/>
    <mergeCell ref="AM78:AM79"/>
    <mergeCell ref="AN78:AN79"/>
    <mergeCell ref="AO78:AO79"/>
    <mergeCell ref="AP78:AP79"/>
    <mergeCell ref="AQ78:AQ79"/>
    <mergeCell ref="AR78:AR79"/>
    <mergeCell ref="C80:C81"/>
    <mergeCell ref="AK80:AK81"/>
    <mergeCell ref="AL80:AL81"/>
    <mergeCell ref="AM80:AM81"/>
    <mergeCell ref="AN80:AN81"/>
    <mergeCell ref="AO80:AO81"/>
    <mergeCell ref="AP80:AP81"/>
    <mergeCell ref="AQ80:AQ81"/>
    <mergeCell ref="AR80:AR81"/>
    <mergeCell ref="C82:C83"/>
    <mergeCell ref="AK82:AK83"/>
    <mergeCell ref="AL82:AL83"/>
    <mergeCell ref="AM82:AM83"/>
    <mergeCell ref="AN82:AN83"/>
    <mergeCell ref="AO82:AO83"/>
    <mergeCell ref="AP82:AP83"/>
    <mergeCell ref="AQ82:AQ83"/>
    <mergeCell ref="AR82:AR83"/>
    <mergeCell ref="AN84:AN85"/>
    <mergeCell ref="AO84:AO85"/>
    <mergeCell ref="AP84:AP85"/>
    <mergeCell ref="AQ84:AQ85"/>
    <mergeCell ref="AR84:AR85"/>
    <mergeCell ref="C86:C87"/>
    <mergeCell ref="AK86:AK87"/>
    <mergeCell ref="AL86:AL87"/>
    <mergeCell ref="AM86:AM87"/>
    <mergeCell ref="AN86:AN87"/>
    <mergeCell ref="C84:C85"/>
    <mergeCell ref="AJ84:AJ93"/>
    <mergeCell ref="AK84:AK85"/>
    <mergeCell ref="AL84:AL85"/>
    <mergeCell ref="AM84:AM85"/>
    <mergeCell ref="AO86:AO87"/>
    <mergeCell ref="AP86:AP87"/>
    <mergeCell ref="AQ86:AQ87"/>
    <mergeCell ref="AR86:AR87"/>
    <mergeCell ref="C88:C89"/>
    <mergeCell ref="AK88:AK89"/>
    <mergeCell ref="AL88:AL89"/>
    <mergeCell ref="AM88:AM89"/>
    <mergeCell ref="AN88:AN89"/>
    <mergeCell ref="AR92:AR93"/>
    <mergeCell ref="AO88:AO89"/>
    <mergeCell ref="AP88:AP89"/>
    <mergeCell ref="AQ88:AQ89"/>
    <mergeCell ref="AR88:AR89"/>
    <mergeCell ref="C90:C91"/>
    <mergeCell ref="AK90:AK91"/>
    <mergeCell ref="AL90:AL91"/>
    <mergeCell ref="AM90:AM91"/>
    <mergeCell ref="AN90:AN91"/>
    <mergeCell ref="AO90:AO91"/>
    <mergeCell ref="AP90:AP91"/>
    <mergeCell ref="AQ90:AQ91"/>
    <mergeCell ref="AR90:AR91"/>
    <mergeCell ref="C92:C93"/>
    <mergeCell ref="AK92:AK93"/>
    <mergeCell ref="AL92:AL93"/>
    <mergeCell ref="AM92:AM93"/>
    <mergeCell ref="AN92:AN93"/>
    <mergeCell ref="AO92:AO93"/>
    <mergeCell ref="AP92:AP93"/>
    <mergeCell ref="AQ92:AQ93"/>
    <mergeCell ref="AP98:AP99"/>
    <mergeCell ref="B84:B93"/>
    <mergeCell ref="AQ94:AQ95"/>
    <mergeCell ref="AR94:AR95"/>
    <mergeCell ref="C96:C97"/>
    <mergeCell ref="AK96:AK97"/>
    <mergeCell ref="AL96:AL97"/>
    <mergeCell ref="AM96:AM97"/>
    <mergeCell ref="AN96:AN97"/>
    <mergeCell ref="AO96:AO97"/>
    <mergeCell ref="AP96:AP97"/>
    <mergeCell ref="AQ96:AQ97"/>
    <mergeCell ref="AR96:AR97"/>
    <mergeCell ref="B94:B103"/>
    <mergeCell ref="C94:C95"/>
    <mergeCell ref="AJ94:AJ103"/>
    <mergeCell ref="AK94:AK95"/>
    <mergeCell ref="AL94:AL95"/>
    <mergeCell ref="AM94:AM95"/>
    <mergeCell ref="AN94:AN95"/>
    <mergeCell ref="AO94:AO95"/>
    <mergeCell ref="AP94:AP95"/>
    <mergeCell ref="C98:C99"/>
    <mergeCell ref="AK98:AK99"/>
    <mergeCell ref="AL98:AL99"/>
    <mergeCell ref="AQ98:AQ99"/>
    <mergeCell ref="AR98:AR99"/>
    <mergeCell ref="AP100:AP101"/>
    <mergeCell ref="AQ100:AQ101"/>
    <mergeCell ref="AR100:AR101"/>
    <mergeCell ref="C102:C103"/>
    <mergeCell ref="AK102:AK103"/>
    <mergeCell ref="AL102:AL103"/>
    <mergeCell ref="AM102:AM103"/>
    <mergeCell ref="AN102:AN103"/>
    <mergeCell ref="AO102:AO103"/>
    <mergeCell ref="AP102:AP103"/>
    <mergeCell ref="C100:C101"/>
    <mergeCell ref="AK100:AK101"/>
    <mergeCell ref="AL100:AL101"/>
    <mergeCell ref="AM100:AM101"/>
    <mergeCell ref="AN100:AN101"/>
    <mergeCell ref="AO100:AO101"/>
    <mergeCell ref="AQ102:AQ103"/>
    <mergeCell ref="AR102:AR103"/>
    <mergeCell ref="AM98:AM99"/>
    <mergeCell ref="AN98:AN99"/>
    <mergeCell ref="AO98:AO99"/>
    <mergeCell ref="AR106:AR107"/>
    <mergeCell ref="C104:C105"/>
    <mergeCell ref="AJ104:AJ113"/>
    <mergeCell ref="AK104:AK105"/>
    <mergeCell ref="AL104:AL105"/>
    <mergeCell ref="AM104:AM105"/>
    <mergeCell ref="AN104:AN105"/>
    <mergeCell ref="AO104:AO105"/>
    <mergeCell ref="AP104:AP105"/>
    <mergeCell ref="C108:C109"/>
    <mergeCell ref="AK108:AK109"/>
    <mergeCell ref="AL108:AL109"/>
    <mergeCell ref="AM108:AM109"/>
    <mergeCell ref="AN108:AN109"/>
    <mergeCell ref="B104:B113"/>
    <mergeCell ref="AQ108:AQ109"/>
    <mergeCell ref="AR108:AR109"/>
    <mergeCell ref="C110:C111"/>
    <mergeCell ref="AK110:AK111"/>
    <mergeCell ref="AL110:AL111"/>
    <mergeCell ref="AM110:AM111"/>
    <mergeCell ref="AN110:AN111"/>
    <mergeCell ref="AO110:AO111"/>
    <mergeCell ref="AP110:AP111"/>
    <mergeCell ref="AQ110:AQ111"/>
    <mergeCell ref="AR110:AR111"/>
    <mergeCell ref="AO108:AO109"/>
    <mergeCell ref="AP108:AP109"/>
    <mergeCell ref="AQ104:AQ105"/>
    <mergeCell ref="AR104:AR105"/>
    <mergeCell ref="C106:C107"/>
    <mergeCell ref="AK106:AK107"/>
    <mergeCell ref="AL106:AL107"/>
    <mergeCell ref="AM106:AM107"/>
    <mergeCell ref="AN106:AN107"/>
    <mergeCell ref="AO106:AO107"/>
    <mergeCell ref="AP106:AP107"/>
    <mergeCell ref="AQ106:AQ107"/>
    <mergeCell ref="AP112:AP113"/>
    <mergeCell ref="AR112:AR113"/>
    <mergeCell ref="B114:B123"/>
    <mergeCell ref="C114:C115"/>
    <mergeCell ref="AJ114:AJ123"/>
    <mergeCell ref="AK114:AK115"/>
    <mergeCell ref="AL114:AL115"/>
    <mergeCell ref="AM114:AM115"/>
    <mergeCell ref="AN114:AN115"/>
    <mergeCell ref="C112:C113"/>
    <mergeCell ref="AK112:AK113"/>
    <mergeCell ref="AL112:AL113"/>
    <mergeCell ref="AM112:AM113"/>
    <mergeCell ref="AN112:AN113"/>
    <mergeCell ref="AO112:AO113"/>
    <mergeCell ref="AO114:AO115"/>
    <mergeCell ref="AP114:AP115"/>
    <mergeCell ref="AQ114:AQ115"/>
    <mergeCell ref="AR114:AR115"/>
    <mergeCell ref="C116:C117"/>
    <mergeCell ref="AK116:AK117"/>
    <mergeCell ref="AL116:AL117"/>
    <mergeCell ref="AM116:AM117"/>
    <mergeCell ref="AN116:AN117"/>
    <mergeCell ref="B124:B128"/>
    <mergeCell ref="C124:AI124"/>
    <mergeCell ref="AJ124:AJ128"/>
    <mergeCell ref="C125:AI125"/>
    <mergeCell ref="C126:AI126"/>
    <mergeCell ref="C127:AI127"/>
    <mergeCell ref="C128:AI128"/>
    <mergeCell ref="AO116:AO117"/>
    <mergeCell ref="AP116:AP117"/>
    <mergeCell ref="C118:C119"/>
    <mergeCell ref="AK118:AK119"/>
    <mergeCell ref="AL118:AL119"/>
    <mergeCell ref="AM118:AM119"/>
    <mergeCell ref="AN118:AN119"/>
    <mergeCell ref="AO118:AO119"/>
    <mergeCell ref="AP118:AP119"/>
    <mergeCell ref="CK2:DO2"/>
    <mergeCell ref="AR120:AR121"/>
    <mergeCell ref="C122:C123"/>
    <mergeCell ref="AK122:AK123"/>
    <mergeCell ref="AL122:AL123"/>
    <mergeCell ref="AM122:AM123"/>
    <mergeCell ref="AN122:AN123"/>
    <mergeCell ref="AO122:AO123"/>
    <mergeCell ref="AP122:AP123"/>
    <mergeCell ref="AQ122:AQ123"/>
    <mergeCell ref="AR122:AR123"/>
    <mergeCell ref="C120:C121"/>
    <mergeCell ref="AK120:AK121"/>
    <mergeCell ref="AL120:AL121"/>
    <mergeCell ref="AM120:AM121"/>
    <mergeCell ref="AN120:AN121"/>
    <mergeCell ref="AO120:AO121"/>
    <mergeCell ref="AP120:AP121"/>
    <mergeCell ref="AQ120:AQ121"/>
    <mergeCell ref="AQ116:AQ117"/>
    <mergeCell ref="AR116:AR117"/>
    <mergeCell ref="AQ118:AQ119"/>
    <mergeCell ref="AR118:AR119"/>
    <mergeCell ref="AQ112:AQ113"/>
  </mergeCells>
  <conditionalFormatting sqref="E64:AI123">
    <cfRule type="cellIs" dxfId="18" priority="26" operator="equal">
      <formula>"ОТ"</formula>
    </cfRule>
    <cfRule type="cellIs" dxfId="17" priority="27" operator="equal">
      <formula>"СП"</formula>
    </cfRule>
  </conditionalFormatting>
  <conditionalFormatting sqref="E4:AI13 E14:AF23 E24:AI33 E44:AI63 E34:AH43">
    <cfRule type="cellIs" dxfId="16" priority="6" operator="equal">
      <formula>"ОТ"</formula>
    </cfRule>
    <cfRule type="cellIs" dxfId="15" priority="7" operator="equal">
      <formula>"СП"</formula>
    </cfRule>
  </conditionalFormatting>
  <conditionalFormatting sqref="E4:AI13 E14:AF23 AH14:AI23 E24:AI33 E44:AI123 E34:AH43">
    <cfRule type="cellIs" dxfId="14" priority="5" operator="equal">
      <formula>0</formula>
    </cfRule>
  </conditionalFormatting>
  <conditionalFormatting sqref="AG14:AG23">
    <cfRule type="cellIs" dxfId="13" priority="4" operator="equal">
      <formula>0</formula>
    </cfRule>
  </conditionalFormatting>
  <conditionalFormatting sqref="AI34:AI43">
    <cfRule type="cellIs" dxfId="12" priority="1" operator="equal">
      <formula>0</formula>
    </cfRule>
  </conditionalFormatting>
  <pageMargins left="0.7" right="0.7" top="0.75" bottom="0.75" header="0.3" footer="0.3"/>
  <pageSetup paperSize="9" scale="2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77" id="{00000000-000E-0000-0800-000048000000}">
            <xm:f>OR(WEEKDAY(DATE($AV$1,MONTH($B$64),E$3),2)&gt;5,ISNUMBER(MATCH(DATE($AV$1,MONTH($B$64),E$3),Подключения!$A$2:$A$1039,0)))</xm:f>
            <x14:dxf>
              <fill>
                <patternFill>
                  <bgColor theme="4" tint="0.59996337778862885"/>
                </patternFill>
              </fill>
            </x14:dxf>
          </x14:cfRule>
          <xm:sqref>E64:AI73</xm:sqref>
        </x14:conditionalFormatting>
        <x14:conditionalFormatting xmlns:xm="http://schemas.microsoft.com/office/excel/2006/main">
          <x14:cfRule type="expression" priority="278" id="{00000000-000E-0000-0800-000047000000}">
            <xm:f>OR(WEEKDAY(DATE($AV$1,MONTH($B$74),E$3),2)&gt;5,ISNUMBER(MATCH(DATE($AV$1,MONTH($B$74),E$3),Подключения!$A$2:$A$1039,0)))</xm:f>
            <x14:dxf>
              <fill>
                <patternFill>
                  <bgColor theme="4" tint="0.59996337778862885"/>
                </patternFill>
              </fill>
            </x14:dxf>
          </x14:cfRule>
          <xm:sqref>E74:AI83</xm:sqref>
        </x14:conditionalFormatting>
        <x14:conditionalFormatting xmlns:xm="http://schemas.microsoft.com/office/excel/2006/main">
          <x14:cfRule type="expression" priority="279" id="{00000000-000E-0000-0800-000046000000}">
            <xm:f>OR(WEEKDAY(DATE($AV$1,MONTH($B$84),E$3),2)&gt;5,ISNUMBER(MATCH(DATE($AV$1,MONTH($B$84),E$3),Подключения!$A$2:$A$1039,0)))</xm:f>
            <x14:dxf>
              <fill>
                <patternFill>
                  <bgColor theme="4" tint="0.59996337778862885"/>
                </patternFill>
              </fill>
            </x14:dxf>
          </x14:cfRule>
          <xm:sqref>E84:AI93</xm:sqref>
        </x14:conditionalFormatting>
        <x14:conditionalFormatting xmlns:xm="http://schemas.microsoft.com/office/excel/2006/main">
          <x14:cfRule type="expression" priority="280" id="{00000000-000E-0000-0800-000045000000}">
            <xm:f>OR(WEEKDAY(DATE($AV$1,MONTH($B$94),E$3),2)&gt;5,ISNUMBER(MATCH(DATE($AV$1,MONTH($B$94),E$3),Подключения!$A$2:$A$1039,0)))</xm:f>
            <x14:dxf>
              <fill>
                <patternFill>
                  <bgColor theme="4" tint="0.59996337778862885"/>
                </patternFill>
              </fill>
            </x14:dxf>
          </x14:cfRule>
          <xm:sqref>E94:AI103</xm:sqref>
        </x14:conditionalFormatting>
        <x14:conditionalFormatting xmlns:xm="http://schemas.microsoft.com/office/excel/2006/main">
          <x14:cfRule type="expression" priority="281" id="{00000000-000E-0000-0800-000044000000}">
            <xm:f>OR(WEEKDAY(DATE($AV$1,MONTH($B$104),E$3),2)&gt;5,ISNUMBER(MATCH(DATE($AV$1,MONTH($B$104),E$3),Подключения!$A$2:$A$1039,0)))</xm:f>
            <x14:dxf>
              <fill>
                <patternFill>
                  <bgColor theme="4" tint="0.59996337778862885"/>
                </patternFill>
              </fill>
            </x14:dxf>
          </x14:cfRule>
          <xm:sqref>E104:AH113</xm:sqref>
        </x14:conditionalFormatting>
        <x14:conditionalFormatting xmlns:xm="http://schemas.microsoft.com/office/excel/2006/main">
          <x14:cfRule type="expression" priority="282" id="{00000000-000E-0000-0800-000043000000}">
            <xm:f>OR(WEEKDAY(DATE($AV$1,MONTH($B$114),E$3),2)&gt;5,ISNUMBER(MATCH(DATE($AV$1,MONTH($B$114),E$3),Подключения!$A$2:$A$1039,0)))</xm:f>
            <x14:dxf>
              <fill>
                <patternFill>
                  <bgColor theme="4" tint="0.59996337778862885"/>
                </patternFill>
              </fill>
            </x14:dxf>
          </x14:cfRule>
          <xm:sqref>E114:AI123</xm:sqref>
        </x14:conditionalFormatting>
        <x14:conditionalFormatting xmlns:xm="http://schemas.microsoft.com/office/excel/2006/main">
          <x14:cfRule type="expression" priority="283" id="{4A72E54F-1482-4440-859D-761B658CB1ED}">
            <xm:f>OR(WEEKDAY(DATE($AV$1,MONTH($B$4),E$3),2)&gt;5,ISNUMBER(MATCH(DATE($AV$1,MONTH($B$4),E$3),Подключения!$A$2:$A$1039,0)))</xm:f>
            <x14:dxf>
              <fill>
                <patternFill>
                  <bgColor theme="3" tint="0.79998168889431442"/>
                </patternFill>
              </fill>
            </x14:dxf>
          </x14:cfRule>
          <xm:sqref>E4:AI13</xm:sqref>
        </x14:conditionalFormatting>
        <x14:conditionalFormatting xmlns:xm="http://schemas.microsoft.com/office/excel/2006/main">
          <x14:cfRule type="expression" priority="284" id="{24009375-FB70-482A-8A25-F25AFCB89480}">
            <xm:f>OR(WEEKDAY(DATE($AV$1,MONTH($B$14),E$3),2)&gt;5,ISNUMBER(MATCH(DATE($AV$1,MONTH($B$14),E$3),Подключения!$A$2:$A$1039,0)))</xm:f>
            <x14:dxf>
              <fill>
                <patternFill>
                  <bgColor theme="3" tint="0.79998168889431442"/>
                </patternFill>
              </fill>
            </x14:dxf>
          </x14:cfRule>
          <xm:sqref>E14:AF23</xm:sqref>
        </x14:conditionalFormatting>
        <x14:conditionalFormatting xmlns:xm="http://schemas.microsoft.com/office/excel/2006/main">
          <x14:cfRule type="expression" priority="285" id="{3638D300-2FA3-4DCC-AAEA-35A76FFF300D}">
            <xm:f>OR(WEEKDAY(DATE($AV$1,MONTH($B$24),E$3),2)&gt;5,ISNUMBER(MATCH(DATE($AV$1,MONTH($B$24),E$3),Подключения!$A$2:$A$1039,0)))</xm:f>
            <x14:dxf>
              <fill>
                <patternFill>
                  <bgColor theme="3" tint="0.79998168889431442"/>
                </patternFill>
              </fill>
            </x14:dxf>
          </x14:cfRule>
          <xm:sqref>E24:AI33</xm:sqref>
        </x14:conditionalFormatting>
        <x14:conditionalFormatting xmlns:xm="http://schemas.microsoft.com/office/excel/2006/main">
          <x14:cfRule type="expression" priority="286" id="{5DEC74DA-2799-444B-A7A0-F58779970F8D}">
            <xm:f>OR(WEEKDAY(DATE($AV$1,MONTH($B$34),E$3),2)&gt;5,ISNUMBER(MATCH(DATE($AV$1,MONTH($B$34),E$3),Подключения!$A$2:$A$1039,0)))</xm:f>
            <x14:dxf>
              <fill>
                <patternFill>
                  <bgColor theme="3" tint="0.79998168889431442"/>
                </patternFill>
              </fill>
            </x14:dxf>
          </x14:cfRule>
          <xm:sqref>E34:AH43</xm:sqref>
        </x14:conditionalFormatting>
        <x14:conditionalFormatting xmlns:xm="http://schemas.microsoft.com/office/excel/2006/main">
          <x14:cfRule type="expression" priority="287" id="{5DB10284-1B10-46BF-AB2F-5FD0DC71F955}">
            <xm:f>OR(WEEKDAY(DATE($AV$1,MONTH($B$44),E$3),2)&gt;5,ISNUMBER(MATCH(DATE($AV$1,MONTH($B$44),E$3),Подключения!$A$2:$A$1039,0)))</xm:f>
            <x14:dxf>
              <fill>
                <patternFill>
                  <bgColor theme="3" tint="0.79998168889431442"/>
                </patternFill>
              </fill>
            </x14:dxf>
          </x14:cfRule>
          <xm:sqref>E44:AI53</xm:sqref>
        </x14:conditionalFormatting>
        <x14:conditionalFormatting xmlns:xm="http://schemas.microsoft.com/office/excel/2006/main">
          <x14:cfRule type="expression" priority="288" id="{9BF278E8-0B46-4AF6-B8A0-4FA267514575}">
            <xm:f>OR(WEEKDAY(DATE($AV$1,MONTH($B$54),E$3),2)&gt;5,ISNUMBER(MATCH(DATE($AV$1,MONTH($B$54),E$3),Подключения!$A$2:$A$1039,0)))</xm:f>
            <x14:dxf>
              <fill>
                <patternFill>
                  <bgColor theme="3" tint="0.79998168889431442"/>
                </patternFill>
              </fill>
            </x14:dxf>
          </x14:cfRule>
          <xm:sqref>E54:AI63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3">
    <tabColor theme="5"/>
  </sheetPr>
  <dimension ref="A1:BR39"/>
  <sheetViews>
    <sheetView tabSelected="1" zoomScale="115" zoomScaleNormal="115" workbookViewId="0">
      <selection activeCell="I12" sqref="I12"/>
    </sheetView>
  </sheetViews>
  <sheetFormatPr defaultRowHeight="15" x14ac:dyDescent="0.25"/>
  <cols>
    <col min="1" max="1" width="6.42578125" customWidth="1"/>
    <col min="2" max="2" width="10.28515625" customWidth="1"/>
    <col min="3" max="8" width="4.28515625" bestFit="1" customWidth="1"/>
    <col min="9" max="10" width="3.42578125" bestFit="1" customWidth="1"/>
    <col min="11" max="12" width="4.28515625" bestFit="1" customWidth="1"/>
    <col min="13" max="13" width="3.42578125" bestFit="1" customWidth="1"/>
    <col min="14" max="39" width="4.28515625" bestFit="1" customWidth="1"/>
    <col min="40" max="40" width="2.5703125" customWidth="1"/>
    <col min="41" max="41" width="3.7109375" customWidth="1"/>
    <col min="42" max="42" width="3" customWidth="1"/>
    <col min="43" max="43" width="2.140625" customWidth="1"/>
    <col min="44" max="44" width="3" customWidth="1"/>
    <col min="45" max="45" width="1.28515625" customWidth="1"/>
    <col min="46" max="46" width="11.140625" bestFit="1" customWidth="1"/>
    <col min="47" max="47" width="10.5703125" customWidth="1"/>
    <col min="48" max="48" width="3.5703125" customWidth="1"/>
    <col min="49" max="49" width="10.28515625" bestFit="1" customWidth="1"/>
    <col min="50" max="50" width="12.5703125" customWidth="1"/>
    <col min="51" max="51" width="2.42578125" customWidth="1"/>
    <col min="52" max="52" width="9" bestFit="1" customWidth="1"/>
    <col min="53" max="61" width="12.5703125" customWidth="1"/>
    <col min="62" max="62" width="12.140625" customWidth="1"/>
    <col min="63" max="64" width="12" customWidth="1"/>
    <col min="66" max="66" width="34.28515625" customWidth="1"/>
    <col min="67" max="67" width="9.7109375" customWidth="1"/>
    <col min="68" max="68" width="23.28515625" customWidth="1"/>
    <col min="69" max="69" width="18" customWidth="1"/>
  </cols>
  <sheetData>
    <row r="1" spans="1:70" ht="15.75" thickBot="1" x14ac:dyDescent="0.3">
      <c r="A1" s="174" t="s">
        <v>22</v>
      </c>
      <c r="B1" s="34">
        <v>1</v>
      </c>
      <c r="C1" s="117">
        <v>4</v>
      </c>
      <c r="D1" s="117">
        <v>8</v>
      </c>
      <c r="E1" s="117">
        <v>12</v>
      </c>
      <c r="F1" s="117">
        <v>4</v>
      </c>
      <c r="G1" s="117">
        <v>8</v>
      </c>
      <c r="H1" s="117">
        <v>12</v>
      </c>
      <c r="I1" s="117"/>
      <c r="J1" s="117"/>
      <c r="K1" s="117">
        <v>4</v>
      </c>
      <c r="L1" s="117">
        <v>8</v>
      </c>
      <c r="M1" s="117">
        <v>12</v>
      </c>
      <c r="N1" s="117">
        <v>4</v>
      </c>
      <c r="O1" s="117">
        <v>8</v>
      </c>
      <c r="P1" s="117">
        <v>12</v>
      </c>
      <c r="Q1" s="117"/>
      <c r="R1" s="117"/>
      <c r="S1" s="117">
        <v>4</v>
      </c>
      <c r="T1" s="117">
        <v>8</v>
      </c>
      <c r="U1" s="117">
        <v>12</v>
      </c>
      <c r="V1" s="117">
        <v>4</v>
      </c>
      <c r="W1" s="117">
        <v>8</v>
      </c>
      <c r="X1" s="117">
        <v>12</v>
      </c>
      <c r="Y1" s="117"/>
      <c r="Z1" s="117"/>
      <c r="AA1" s="117">
        <v>4</v>
      </c>
      <c r="AB1" s="117">
        <v>8</v>
      </c>
      <c r="AC1" s="117">
        <v>12</v>
      </c>
      <c r="AD1" s="117">
        <v>4</v>
      </c>
      <c r="AE1" s="117">
        <v>8</v>
      </c>
      <c r="AF1" s="117">
        <v>12</v>
      </c>
      <c r="AG1" s="117"/>
      <c r="AH1" s="117"/>
      <c r="AI1" s="117">
        <v>4</v>
      </c>
      <c r="AJ1" s="117">
        <v>8</v>
      </c>
      <c r="AK1" s="117">
        <v>12</v>
      </c>
      <c r="AL1" s="117">
        <v>4</v>
      </c>
      <c r="AM1" s="117">
        <v>8</v>
      </c>
      <c r="AN1" s="116"/>
      <c r="AO1" s="116"/>
      <c r="AR1" s="5"/>
      <c r="AS1" s="5"/>
      <c r="AT1" s="5"/>
      <c r="AU1" s="5"/>
      <c r="AV1" s="5"/>
      <c r="AW1" s="74" t="s">
        <v>39</v>
      </c>
      <c r="AX1" s="75">
        <v>2025</v>
      </c>
      <c r="AY1" s="5"/>
      <c r="AZ1" s="175" t="s">
        <v>70</v>
      </c>
      <c r="BA1" s="175"/>
      <c r="BB1" s="175"/>
      <c r="BC1" s="175"/>
      <c r="BD1" s="175"/>
      <c r="BE1" s="175"/>
      <c r="BF1" s="175"/>
      <c r="BG1" s="175"/>
      <c r="BH1" s="175"/>
      <c r="BI1" s="175"/>
      <c r="BJ1" s="175"/>
      <c r="BK1" s="175"/>
      <c r="BL1" s="175"/>
      <c r="BP1" s="13" t="s">
        <v>124</v>
      </c>
      <c r="BQ1" s="13"/>
      <c r="BR1" s="13"/>
    </row>
    <row r="2" spans="1:70" x14ac:dyDescent="0.25">
      <c r="A2" s="174"/>
      <c r="B2" s="34">
        <v>2</v>
      </c>
      <c r="C2" s="26">
        <v>12</v>
      </c>
      <c r="D2" s="26">
        <v>4</v>
      </c>
      <c r="E2" s="26">
        <v>8</v>
      </c>
      <c r="F2" s="26">
        <v>12</v>
      </c>
      <c r="G2" s="26"/>
      <c r="H2" s="26"/>
      <c r="I2" s="26">
        <v>4</v>
      </c>
      <c r="J2" s="26">
        <v>8</v>
      </c>
      <c r="K2" s="26">
        <v>12</v>
      </c>
      <c r="L2" s="26">
        <v>4</v>
      </c>
      <c r="M2" s="26">
        <v>8</v>
      </c>
      <c r="N2" s="26">
        <v>12</v>
      </c>
      <c r="O2" s="26"/>
      <c r="P2" s="26"/>
      <c r="Q2" s="26">
        <v>4</v>
      </c>
      <c r="R2" s="26">
        <v>8</v>
      </c>
      <c r="S2" s="26">
        <v>12</v>
      </c>
      <c r="T2" s="26">
        <v>4</v>
      </c>
      <c r="U2" s="26">
        <v>8</v>
      </c>
      <c r="V2" s="26">
        <v>12</v>
      </c>
      <c r="W2" s="26"/>
      <c r="X2" s="26"/>
      <c r="Y2" s="26">
        <v>4</v>
      </c>
      <c r="Z2" s="26">
        <v>8</v>
      </c>
      <c r="AA2" s="26">
        <v>12</v>
      </c>
      <c r="AB2" s="26">
        <v>4</v>
      </c>
      <c r="AC2" s="26">
        <v>8</v>
      </c>
      <c r="AD2" s="26">
        <v>12</v>
      </c>
      <c r="AE2" s="26"/>
      <c r="AF2" s="26"/>
      <c r="AG2" s="26">
        <v>4</v>
      </c>
      <c r="AH2" s="26">
        <v>8</v>
      </c>
      <c r="AI2" s="26">
        <v>12</v>
      </c>
      <c r="AJ2" s="26">
        <v>4</v>
      </c>
      <c r="AK2" s="26">
        <v>8</v>
      </c>
      <c r="AL2" s="26">
        <v>12</v>
      </c>
      <c r="AM2" s="26"/>
      <c r="AR2" s="5"/>
      <c r="AS2" s="5"/>
      <c r="AT2" s="5"/>
      <c r="AU2" s="5"/>
      <c r="AZ2" s="90"/>
      <c r="BA2" s="90"/>
      <c r="BB2" s="90"/>
      <c r="BC2" s="90"/>
      <c r="BD2" s="90"/>
      <c r="BE2" s="90"/>
      <c r="BF2" s="90"/>
      <c r="BG2" s="90"/>
      <c r="BH2" s="90"/>
      <c r="BI2" s="90"/>
      <c r="BJ2" s="90"/>
      <c r="BK2" s="90"/>
      <c r="BL2" s="90"/>
      <c r="BO2" s="90"/>
      <c r="BP2" s="13" t="s">
        <v>64</v>
      </c>
      <c r="BQ2" s="13" t="s">
        <v>65</v>
      </c>
      <c r="BR2" s="13" t="s">
        <v>2</v>
      </c>
    </row>
    <row r="3" spans="1:70" ht="15" customHeight="1" x14ac:dyDescent="0.25">
      <c r="A3" s="174"/>
      <c r="B3" s="34">
        <v>3</v>
      </c>
      <c r="C3" s="26"/>
      <c r="D3" s="26"/>
      <c r="E3" s="26">
        <v>4</v>
      </c>
      <c r="F3" s="26">
        <v>8</v>
      </c>
      <c r="G3" s="26">
        <v>12</v>
      </c>
      <c r="H3" s="26">
        <v>4</v>
      </c>
      <c r="I3" s="26">
        <v>8</v>
      </c>
      <c r="J3" s="26">
        <v>12</v>
      </c>
      <c r="K3" s="26"/>
      <c r="L3" s="26"/>
      <c r="M3" s="26">
        <v>4</v>
      </c>
      <c r="N3" s="26">
        <v>8</v>
      </c>
      <c r="O3" s="26">
        <v>12</v>
      </c>
      <c r="P3" s="26">
        <v>4</v>
      </c>
      <c r="Q3" s="26">
        <v>8</v>
      </c>
      <c r="R3" s="26">
        <v>12</v>
      </c>
      <c r="S3" s="26"/>
      <c r="T3" s="26"/>
      <c r="U3" s="26">
        <v>4</v>
      </c>
      <c r="V3" s="26">
        <v>8</v>
      </c>
      <c r="W3" s="26">
        <v>12</v>
      </c>
      <c r="X3" s="26">
        <v>4</v>
      </c>
      <c r="Y3" s="26">
        <v>8</v>
      </c>
      <c r="Z3" s="26">
        <v>12</v>
      </c>
      <c r="AA3" s="26"/>
      <c r="AB3" s="26"/>
      <c r="AC3" s="26">
        <v>4</v>
      </c>
      <c r="AD3" s="26">
        <v>8</v>
      </c>
      <c r="AE3" s="26">
        <v>12</v>
      </c>
      <c r="AF3" s="26">
        <v>4</v>
      </c>
      <c r="AG3" s="26">
        <v>8</v>
      </c>
      <c r="AH3" s="26">
        <v>12</v>
      </c>
      <c r="AI3" s="26"/>
      <c r="AJ3" s="26"/>
      <c r="AK3" s="26">
        <v>4</v>
      </c>
      <c r="AL3" s="26">
        <v>8</v>
      </c>
      <c r="AM3" s="26">
        <v>12</v>
      </c>
      <c r="AR3" s="5"/>
      <c r="AS3" s="5"/>
      <c r="AT3" s="5"/>
      <c r="AU3" s="5"/>
      <c r="AV3" s="5"/>
      <c r="AW3" s="21"/>
      <c r="AX3" s="21"/>
      <c r="AY3" s="21"/>
      <c r="AZ3" s="76" t="s">
        <v>58</v>
      </c>
      <c r="BA3" s="77" t="s">
        <v>40</v>
      </c>
      <c r="BB3" s="77" t="s">
        <v>41</v>
      </c>
      <c r="BC3" s="77" t="s">
        <v>42</v>
      </c>
      <c r="BD3" s="77" t="s">
        <v>43</v>
      </c>
      <c r="BE3" s="77" t="s">
        <v>44</v>
      </c>
      <c r="BF3" s="77" t="s">
        <v>45</v>
      </c>
      <c r="BG3" s="77" t="s">
        <v>46</v>
      </c>
      <c r="BH3" s="77" t="s">
        <v>47</v>
      </c>
      <c r="BI3" s="77" t="s">
        <v>48</v>
      </c>
      <c r="BJ3" s="77" t="s">
        <v>49</v>
      </c>
      <c r="BK3" s="77" t="s">
        <v>50</v>
      </c>
      <c r="BL3" s="77" t="s">
        <v>51</v>
      </c>
      <c r="BO3" s="90"/>
      <c r="BP3" s="129" t="s">
        <v>100</v>
      </c>
      <c r="BQ3" s="129" t="s">
        <v>104</v>
      </c>
      <c r="BR3" s="129">
        <v>1</v>
      </c>
    </row>
    <row r="4" spans="1:70" ht="15" customHeight="1" x14ac:dyDescent="0.25">
      <c r="A4" s="174"/>
      <c r="B4" s="34">
        <v>4</v>
      </c>
      <c r="C4" s="26">
        <v>8</v>
      </c>
      <c r="D4" s="26">
        <v>12</v>
      </c>
      <c r="E4" s="26"/>
      <c r="F4" s="26"/>
      <c r="G4" s="26">
        <v>4</v>
      </c>
      <c r="H4" s="26">
        <v>8</v>
      </c>
      <c r="I4" s="26">
        <v>12</v>
      </c>
      <c r="J4" s="26">
        <v>4</v>
      </c>
      <c r="K4" s="26">
        <v>8</v>
      </c>
      <c r="L4" s="26">
        <v>12</v>
      </c>
      <c r="M4" s="26"/>
      <c r="N4" s="26"/>
      <c r="O4" s="26">
        <v>4</v>
      </c>
      <c r="P4" s="26">
        <v>8</v>
      </c>
      <c r="Q4" s="26">
        <v>12</v>
      </c>
      <c r="R4" s="26">
        <v>4</v>
      </c>
      <c r="S4" s="26">
        <v>8</v>
      </c>
      <c r="T4" s="26">
        <v>12</v>
      </c>
      <c r="U4" s="26"/>
      <c r="V4" s="26"/>
      <c r="W4" s="26">
        <v>4</v>
      </c>
      <c r="X4" s="26">
        <v>8</v>
      </c>
      <c r="Y4" s="26">
        <v>12</v>
      </c>
      <c r="Z4" s="26">
        <v>4</v>
      </c>
      <c r="AA4" s="26">
        <v>8</v>
      </c>
      <c r="AB4" s="26">
        <v>12</v>
      </c>
      <c r="AC4" s="26"/>
      <c r="AD4" s="26"/>
      <c r="AE4" s="26">
        <v>4</v>
      </c>
      <c r="AF4" s="26">
        <v>8</v>
      </c>
      <c r="AG4" s="26">
        <v>12</v>
      </c>
      <c r="AH4" s="26">
        <v>4</v>
      </c>
      <c r="AI4" s="26">
        <v>8</v>
      </c>
      <c r="AJ4" s="26">
        <v>12</v>
      </c>
      <c r="AK4" s="26"/>
      <c r="AL4" s="26"/>
      <c r="AM4" s="26">
        <v>4</v>
      </c>
      <c r="AR4" s="5"/>
      <c r="AS4" s="5"/>
      <c r="AW4" s="21"/>
      <c r="AX4" s="21"/>
      <c r="AY4" s="21" t="str">
        <f>RIGHT(AZ4,1)</f>
        <v>1</v>
      </c>
      <c r="AZ4" s="72" t="s">
        <v>59</v>
      </c>
      <c r="BA4" s="73">
        <v>45658</v>
      </c>
      <c r="BB4" s="73">
        <v>45690</v>
      </c>
      <c r="BC4" s="73">
        <v>45719</v>
      </c>
      <c r="BD4" s="73">
        <v>45751</v>
      </c>
      <c r="BE4" s="73">
        <v>45782</v>
      </c>
      <c r="BF4" s="73">
        <v>45814</v>
      </c>
      <c r="BG4" s="73">
        <v>45845</v>
      </c>
      <c r="BH4" s="73">
        <v>45877</v>
      </c>
      <c r="BI4" s="73">
        <v>45909</v>
      </c>
      <c r="BJ4" s="73">
        <v>45940</v>
      </c>
      <c r="BK4" s="73">
        <v>45972</v>
      </c>
      <c r="BL4" s="73">
        <v>46003</v>
      </c>
      <c r="BO4" s="90"/>
      <c r="BP4" s="129" t="s">
        <v>100</v>
      </c>
      <c r="BQ4" s="129" t="s">
        <v>106</v>
      </c>
      <c r="BR4" s="129">
        <v>2</v>
      </c>
    </row>
    <row r="5" spans="1:70" ht="15" customHeight="1" x14ac:dyDescent="0.25">
      <c r="A5" s="35"/>
      <c r="B5" s="128">
        <f>DATE($AX$1,1,1)</f>
        <v>45658</v>
      </c>
      <c r="C5" s="129"/>
      <c r="D5" s="129"/>
      <c r="E5" s="129"/>
      <c r="F5" s="129"/>
      <c r="G5" s="129"/>
      <c r="H5" s="130"/>
      <c r="I5" s="130">
        <f>$B$5</f>
        <v>45658</v>
      </c>
      <c r="J5" s="130">
        <f>DATE(YEAR($B$5),MONTH($B$5),DAY(I$5)+1)</f>
        <v>45659</v>
      </c>
      <c r="K5" s="130">
        <f t="shared" ref="K5:AM5" si="0">DATE(YEAR($B$5),MONTH($B$5),DAY(J$5)+1)</f>
        <v>45660</v>
      </c>
      <c r="L5" s="130">
        <f t="shared" si="0"/>
        <v>45661</v>
      </c>
      <c r="M5" s="130">
        <f t="shared" si="0"/>
        <v>45662</v>
      </c>
      <c r="N5" s="130">
        <f t="shared" si="0"/>
        <v>45663</v>
      </c>
      <c r="O5" s="130">
        <f t="shared" si="0"/>
        <v>45664</v>
      </c>
      <c r="P5" s="130">
        <f t="shared" si="0"/>
        <v>45665</v>
      </c>
      <c r="Q5" s="130">
        <f t="shared" si="0"/>
        <v>45666</v>
      </c>
      <c r="R5" s="130">
        <f t="shared" si="0"/>
        <v>45667</v>
      </c>
      <c r="S5" s="130">
        <f t="shared" si="0"/>
        <v>45668</v>
      </c>
      <c r="T5" s="130">
        <f>DATE(YEAR($B$5),MONTH($B$5),DAY(S$5)+1)</f>
        <v>45669</v>
      </c>
      <c r="U5" s="130">
        <f t="shared" si="0"/>
        <v>45670</v>
      </c>
      <c r="V5" s="130">
        <f t="shared" si="0"/>
        <v>45671</v>
      </c>
      <c r="W5" s="130">
        <f t="shared" si="0"/>
        <v>45672</v>
      </c>
      <c r="X5" s="130">
        <f t="shared" si="0"/>
        <v>45673</v>
      </c>
      <c r="Y5" s="130">
        <f t="shared" si="0"/>
        <v>45674</v>
      </c>
      <c r="Z5" s="130">
        <f t="shared" si="0"/>
        <v>45675</v>
      </c>
      <c r="AA5" s="130">
        <f t="shared" si="0"/>
        <v>45676</v>
      </c>
      <c r="AB5" s="130">
        <f t="shared" si="0"/>
        <v>45677</v>
      </c>
      <c r="AC5" s="130">
        <f t="shared" si="0"/>
        <v>45678</v>
      </c>
      <c r="AD5" s="130">
        <f t="shared" si="0"/>
        <v>45679</v>
      </c>
      <c r="AE5" s="130">
        <f t="shared" si="0"/>
        <v>45680</v>
      </c>
      <c r="AF5" s="130">
        <f t="shared" si="0"/>
        <v>45681</v>
      </c>
      <c r="AG5" s="130">
        <f t="shared" si="0"/>
        <v>45682</v>
      </c>
      <c r="AH5" s="130">
        <f t="shared" si="0"/>
        <v>45683</v>
      </c>
      <c r="AI5" s="130">
        <f t="shared" si="0"/>
        <v>45684</v>
      </c>
      <c r="AJ5" s="130">
        <f t="shared" si="0"/>
        <v>45685</v>
      </c>
      <c r="AK5" s="130">
        <f t="shared" si="0"/>
        <v>45686</v>
      </c>
      <c r="AL5" s="130">
        <f t="shared" si="0"/>
        <v>45687</v>
      </c>
      <c r="AM5" s="130">
        <f t="shared" si="0"/>
        <v>45688</v>
      </c>
      <c r="AR5" s="93"/>
      <c r="AS5" s="89"/>
      <c r="AW5" s="21"/>
      <c r="AX5" s="21"/>
      <c r="AY5" s="21" t="str">
        <f t="shared" ref="AY5:AY8" si="1">RIGHT(AZ5,1)</f>
        <v>2</v>
      </c>
      <c r="AZ5" s="72" t="s">
        <v>60</v>
      </c>
      <c r="BA5" s="73">
        <v>45659</v>
      </c>
      <c r="BB5" s="73">
        <v>45691</v>
      </c>
      <c r="BC5" s="73">
        <v>45720</v>
      </c>
      <c r="BD5" s="73">
        <v>45752</v>
      </c>
      <c r="BE5" s="73">
        <v>45783</v>
      </c>
      <c r="BF5" s="73">
        <v>45815</v>
      </c>
      <c r="BG5" s="73">
        <v>45846</v>
      </c>
      <c r="BH5" s="73">
        <v>45878</v>
      </c>
      <c r="BI5" s="73">
        <v>45910</v>
      </c>
      <c r="BJ5" s="73">
        <v>45941</v>
      </c>
      <c r="BK5" s="73">
        <v>45973</v>
      </c>
      <c r="BL5" s="73">
        <v>46004</v>
      </c>
      <c r="BO5" s="90"/>
      <c r="BP5" s="129" t="s">
        <v>100</v>
      </c>
      <c r="BQ5" s="129" t="s">
        <v>107</v>
      </c>
      <c r="BR5" s="129">
        <v>3</v>
      </c>
    </row>
    <row r="6" spans="1:70" ht="15" customHeight="1" x14ac:dyDescent="0.25">
      <c r="A6" s="35"/>
      <c r="B6" s="128">
        <f>DATE($AX$1,2,1)</f>
        <v>45689</v>
      </c>
      <c r="C6" s="130"/>
      <c r="D6" s="130"/>
      <c r="E6" s="130"/>
      <c r="F6" s="130"/>
      <c r="G6" s="130"/>
      <c r="H6" s="130">
        <f>$B$6</f>
        <v>45689</v>
      </c>
      <c r="I6" s="130">
        <f>DATE(YEAR($B$6),MONTH($B$6),DAY(H$6)+1)</f>
        <v>45690</v>
      </c>
      <c r="J6" s="130">
        <f t="shared" ref="J6:AI6" si="2">DATE(YEAR($B$6),MONTH($B$6),DAY(I$6)+1)</f>
        <v>45691</v>
      </c>
      <c r="K6" s="130">
        <f t="shared" si="2"/>
        <v>45692</v>
      </c>
      <c r="L6" s="130">
        <f t="shared" si="2"/>
        <v>45693</v>
      </c>
      <c r="M6" s="130">
        <f t="shared" si="2"/>
        <v>45694</v>
      </c>
      <c r="N6" s="130">
        <f t="shared" si="2"/>
        <v>45695</v>
      </c>
      <c r="O6" s="130">
        <f t="shared" si="2"/>
        <v>45696</v>
      </c>
      <c r="P6" s="130">
        <f t="shared" si="2"/>
        <v>45697</v>
      </c>
      <c r="Q6" s="130">
        <f t="shared" si="2"/>
        <v>45698</v>
      </c>
      <c r="R6" s="130">
        <f t="shared" si="2"/>
        <v>45699</v>
      </c>
      <c r="S6" s="130">
        <f t="shared" si="2"/>
        <v>45700</v>
      </c>
      <c r="T6" s="130">
        <f t="shared" si="2"/>
        <v>45701</v>
      </c>
      <c r="U6" s="130">
        <f t="shared" si="2"/>
        <v>45702</v>
      </c>
      <c r="V6" s="130">
        <f t="shared" si="2"/>
        <v>45703</v>
      </c>
      <c r="W6" s="130">
        <f t="shared" si="2"/>
        <v>45704</v>
      </c>
      <c r="X6" s="130">
        <f t="shared" si="2"/>
        <v>45705</v>
      </c>
      <c r="Y6" s="130">
        <f t="shared" si="2"/>
        <v>45706</v>
      </c>
      <c r="Z6" s="130">
        <f t="shared" si="2"/>
        <v>45707</v>
      </c>
      <c r="AA6" s="130">
        <f t="shared" si="2"/>
        <v>45708</v>
      </c>
      <c r="AB6" s="130">
        <f t="shared" si="2"/>
        <v>45709</v>
      </c>
      <c r="AC6" s="130">
        <f t="shared" si="2"/>
        <v>45710</v>
      </c>
      <c r="AD6" s="130">
        <f t="shared" si="2"/>
        <v>45711</v>
      </c>
      <c r="AE6" s="130">
        <f t="shared" si="2"/>
        <v>45712</v>
      </c>
      <c r="AF6" s="130">
        <f t="shared" si="2"/>
        <v>45713</v>
      </c>
      <c r="AG6" s="130">
        <f t="shared" si="2"/>
        <v>45714</v>
      </c>
      <c r="AH6" s="130">
        <f t="shared" si="2"/>
        <v>45715</v>
      </c>
      <c r="AI6" s="130">
        <f t="shared" si="2"/>
        <v>45716</v>
      </c>
      <c r="AJ6" s="129"/>
      <c r="AK6" s="129"/>
      <c r="AL6" s="130"/>
      <c r="AM6" s="130"/>
      <c r="AR6" s="93"/>
      <c r="AS6" s="89"/>
      <c r="AW6" s="21"/>
      <c r="AX6" s="21"/>
      <c r="AY6" s="21" t="str">
        <f t="shared" si="1"/>
        <v>3</v>
      </c>
      <c r="AZ6" s="72" t="s">
        <v>61</v>
      </c>
      <c r="BA6" s="73">
        <v>45660</v>
      </c>
      <c r="BB6" s="73">
        <v>45692</v>
      </c>
      <c r="BC6" s="73">
        <v>45721</v>
      </c>
      <c r="BD6" s="73">
        <v>45753</v>
      </c>
      <c r="BE6" s="73">
        <v>45784</v>
      </c>
      <c r="BF6" s="73">
        <v>45816</v>
      </c>
      <c r="BG6" s="73">
        <v>45847</v>
      </c>
      <c r="BH6" s="73">
        <v>45879</v>
      </c>
      <c r="BI6" s="73">
        <v>45911</v>
      </c>
      <c r="BJ6" s="73">
        <v>45942</v>
      </c>
      <c r="BK6" s="73">
        <v>45974</v>
      </c>
      <c r="BL6" s="73">
        <v>46005</v>
      </c>
      <c r="BO6" s="90"/>
      <c r="BP6" s="129" t="s">
        <v>100</v>
      </c>
      <c r="BQ6" s="129" t="s">
        <v>108</v>
      </c>
      <c r="BR6" s="129">
        <v>4</v>
      </c>
    </row>
    <row r="7" spans="1:70" ht="15" customHeight="1" x14ac:dyDescent="0.25">
      <c r="A7" s="35"/>
      <c r="B7" s="128">
        <f>DATE($AX$1,3,1)</f>
        <v>45717</v>
      </c>
      <c r="C7" s="130"/>
      <c r="D7" s="130">
        <f>$B$7</f>
        <v>45717</v>
      </c>
      <c r="E7" s="130">
        <f>DATE(YEAR($B$7),MONTH($B$7),DAY(D$7)+1)</f>
        <v>45718</v>
      </c>
      <c r="F7" s="130">
        <f t="shared" ref="F7:AH7" si="3">DATE(YEAR($B$7),MONTH($B$7),DAY(E$7)+1)</f>
        <v>45719</v>
      </c>
      <c r="G7" s="130">
        <f t="shared" si="3"/>
        <v>45720</v>
      </c>
      <c r="H7" s="130">
        <f t="shared" si="3"/>
        <v>45721</v>
      </c>
      <c r="I7" s="130">
        <f t="shared" si="3"/>
        <v>45722</v>
      </c>
      <c r="J7" s="130">
        <f t="shared" si="3"/>
        <v>45723</v>
      </c>
      <c r="K7" s="130">
        <f t="shared" si="3"/>
        <v>45724</v>
      </c>
      <c r="L7" s="130">
        <f t="shared" si="3"/>
        <v>45725</v>
      </c>
      <c r="M7" s="130">
        <f t="shared" si="3"/>
        <v>45726</v>
      </c>
      <c r="N7" s="130">
        <f t="shared" si="3"/>
        <v>45727</v>
      </c>
      <c r="O7" s="130">
        <f t="shared" si="3"/>
        <v>45728</v>
      </c>
      <c r="P7" s="130">
        <f t="shared" si="3"/>
        <v>45729</v>
      </c>
      <c r="Q7" s="130">
        <f t="shared" si="3"/>
        <v>45730</v>
      </c>
      <c r="R7" s="130">
        <f t="shared" si="3"/>
        <v>45731</v>
      </c>
      <c r="S7" s="130">
        <f t="shared" si="3"/>
        <v>45732</v>
      </c>
      <c r="T7" s="130">
        <f t="shared" si="3"/>
        <v>45733</v>
      </c>
      <c r="U7" s="130">
        <f t="shared" si="3"/>
        <v>45734</v>
      </c>
      <c r="V7" s="130">
        <f t="shared" si="3"/>
        <v>45735</v>
      </c>
      <c r="W7" s="130">
        <f t="shared" si="3"/>
        <v>45736</v>
      </c>
      <c r="X7" s="130">
        <f t="shared" si="3"/>
        <v>45737</v>
      </c>
      <c r="Y7" s="130">
        <f t="shared" si="3"/>
        <v>45738</v>
      </c>
      <c r="Z7" s="130">
        <f t="shared" si="3"/>
        <v>45739</v>
      </c>
      <c r="AA7" s="130">
        <f t="shared" si="3"/>
        <v>45740</v>
      </c>
      <c r="AB7" s="130">
        <f t="shared" si="3"/>
        <v>45741</v>
      </c>
      <c r="AC7" s="130">
        <f t="shared" si="3"/>
        <v>45742</v>
      </c>
      <c r="AD7" s="130">
        <f t="shared" si="3"/>
        <v>45743</v>
      </c>
      <c r="AE7" s="130">
        <f t="shared" si="3"/>
        <v>45744</v>
      </c>
      <c r="AF7" s="130">
        <f t="shared" si="3"/>
        <v>45745</v>
      </c>
      <c r="AG7" s="130">
        <f t="shared" si="3"/>
        <v>45746</v>
      </c>
      <c r="AH7" s="130">
        <f t="shared" si="3"/>
        <v>45747</v>
      </c>
      <c r="AI7" s="130"/>
      <c r="AJ7" s="130"/>
      <c r="AK7" s="130"/>
      <c r="AL7" s="130"/>
      <c r="AM7" s="130"/>
      <c r="AR7" s="93"/>
      <c r="AS7" s="89"/>
      <c r="AW7" s="21"/>
      <c r="AX7" s="21"/>
      <c r="AY7" s="21" t="str">
        <f t="shared" si="1"/>
        <v>4</v>
      </c>
      <c r="AZ7" s="72" t="s">
        <v>62</v>
      </c>
      <c r="BA7" s="73">
        <v>45661</v>
      </c>
      <c r="BB7" s="73">
        <v>45693</v>
      </c>
      <c r="BC7" s="73">
        <v>45722</v>
      </c>
      <c r="BD7" s="73">
        <v>45754</v>
      </c>
      <c r="BE7" s="73">
        <v>45785</v>
      </c>
      <c r="BF7" s="73">
        <v>45817</v>
      </c>
      <c r="BG7" s="73">
        <v>45848</v>
      </c>
      <c r="BH7" s="73">
        <v>45880</v>
      </c>
      <c r="BI7" s="73">
        <v>45912</v>
      </c>
      <c r="BJ7" s="73">
        <v>45943</v>
      </c>
      <c r="BK7" s="73">
        <v>45975</v>
      </c>
      <c r="BL7" s="73">
        <v>46006</v>
      </c>
      <c r="BO7" s="90"/>
      <c r="BP7" s="129" t="s">
        <v>100</v>
      </c>
      <c r="BQ7" s="129" t="s">
        <v>105</v>
      </c>
      <c r="BR7" s="129">
        <v>5</v>
      </c>
    </row>
    <row r="8" spans="1:70" ht="15" customHeight="1" x14ac:dyDescent="0.25">
      <c r="A8" s="35"/>
      <c r="B8" s="128">
        <f>DATE($AX$1,4,1)</f>
        <v>45748</v>
      </c>
      <c r="C8" s="130">
        <f>$B$8</f>
        <v>45748</v>
      </c>
      <c r="D8" s="130">
        <f>DATE(YEAR($B$8),MONTH($B$8),DAY(C$8)+1)</f>
        <v>45749</v>
      </c>
      <c r="E8" s="130">
        <f t="shared" ref="E8:AF8" si="4">DATE(YEAR($B$8),MONTH($B$8),DAY(D$8)+1)</f>
        <v>45750</v>
      </c>
      <c r="F8" s="130">
        <f t="shared" si="4"/>
        <v>45751</v>
      </c>
      <c r="G8" s="130">
        <f t="shared" si="4"/>
        <v>45752</v>
      </c>
      <c r="H8" s="130">
        <f t="shared" si="4"/>
        <v>45753</v>
      </c>
      <c r="I8" s="130">
        <f t="shared" si="4"/>
        <v>45754</v>
      </c>
      <c r="J8" s="130">
        <f t="shared" si="4"/>
        <v>45755</v>
      </c>
      <c r="K8" s="130">
        <f t="shared" si="4"/>
        <v>45756</v>
      </c>
      <c r="L8" s="130">
        <f t="shared" si="4"/>
        <v>45757</v>
      </c>
      <c r="M8" s="130">
        <f t="shared" si="4"/>
        <v>45758</v>
      </c>
      <c r="N8" s="130">
        <f t="shared" si="4"/>
        <v>45759</v>
      </c>
      <c r="O8" s="130">
        <f t="shared" si="4"/>
        <v>45760</v>
      </c>
      <c r="P8" s="130">
        <f t="shared" si="4"/>
        <v>45761</v>
      </c>
      <c r="Q8" s="130">
        <f t="shared" si="4"/>
        <v>45762</v>
      </c>
      <c r="R8" s="130">
        <f t="shared" si="4"/>
        <v>45763</v>
      </c>
      <c r="S8" s="130">
        <f t="shared" si="4"/>
        <v>45764</v>
      </c>
      <c r="T8" s="130">
        <f t="shared" si="4"/>
        <v>45765</v>
      </c>
      <c r="U8" s="130">
        <f t="shared" si="4"/>
        <v>45766</v>
      </c>
      <c r="V8" s="130">
        <f t="shared" si="4"/>
        <v>45767</v>
      </c>
      <c r="W8" s="130">
        <f t="shared" si="4"/>
        <v>45768</v>
      </c>
      <c r="X8" s="130">
        <f t="shared" si="4"/>
        <v>45769</v>
      </c>
      <c r="Y8" s="130">
        <f t="shared" si="4"/>
        <v>45770</v>
      </c>
      <c r="Z8" s="130">
        <f t="shared" si="4"/>
        <v>45771</v>
      </c>
      <c r="AA8" s="130">
        <f t="shared" si="4"/>
        <v>45772</v>
      </c>
      <c r="AB8" s="130">
        <f t="shared" si="4"/>
        <v>45773</v>
      </c>
      <c r="AC8" s="130">
        <f t="shared" si="4"/>
        <v>45774</v>
      </c>
      <c r="AD8" s="130">
        <f t="shared" si="4"/>
        <v>45775</v>
      </c>
      <c r="AE8" s="130">
        <f t="shared" si="4"/>
        <v>45776</v>
      </c>
      <c r="AF8" s="130">
        <f t="shared" si="4"/>
        <v>45777</v>
      </c>
      <c r="AI8" s="130"/>
      <c r="AJ8" s="130"/>
      <c r="AK8" s="130"/>
      <c r="AL8" s="130"/>
      <c r="AM8" s="130"/>
      <c r="AR8" s="93"/>
      <c r="AS8" s="89"/>
      <c r="AW8" s="21"/>
      <c r="AX8" s="21"/>
      <c r="AY8" s="21" t="str">
        <f t="shared" si="1"/>
        <v>5</v>
      </c>
      <c r="AZ8" s="72" t="s">
        <v>63</v>
      </c>
      <c r="BA8" s="73">
        <v>45662</v>
      </c>
      <c r="BB8" s="73">
        <v>45694</v>
      </c>
      <c r="BC8" s="73">
        <v>45723</v>
      </c>
      <c r="BD8" s="73">
        <v>45755</v>
      </c>
      <c r="BE8" s="73">
        <v>45786</v>
      </c>
      <c r="BF8" s="73">
        <v>45818</v>
      </c>
      <c r="BG8" s="73">
        <v>45849</v>
      </c>
      <c r="BH8" s="73">
        <v>45881</v>
      </c>
      <c r="BI8" s="73">
        <v>45913</v>
      </c>
      <c r="BJ8" s="73">
        <v>45944</v>
      </c>
      <c r="BK8" s="73">
        <v>45976</v>
      </c>
      <c r="BL8" s="73">
        <v>46007</v>
      </c>
      <c r="BO8" s="90"/>
      <c r="BP8" s="129" t="s">
        <v>101</v>
      </c>
      <c r="BQ8" s="129" t="s">
        <v>109</v>
      </c>
      <c r="BR8" s="129">
        <v>1</v>
      </c>
    </row>
    <row r="9" spans="1:70" ht="15" customHeight="1" x14ac:dyDescent="0.25">
      <c r="A9" s="35"/>
      <c r="B9" s="128">
        <f>DATE($AX$1,5,1)</f>
        <v>45778</v>
      </c>
      <c r="C9" s="129"/>
      <c r="D9" s="129"/>
      <c r="E9" s="129"/>
      <c r="F9" s="129"/>
      <c r="G9" s="129"/>
      <c r="H9" s="129"/>
      <c r="I9" s="130">
        <f>$B$9</f>
        <v>45778</v>
      </c>
      <c r="J9" s="130">
        <f>DATE(YEAR($B$9),MONTH($B$9),DAY(I$9)+1)</f>
        <v>45779</v>
      </c>
      <c r="K9" s="130">
        <f t="shared" ref="K9:AM9" si="5">DATE(YEAR($B$9),MONTH($B$9),DAY(J$9)+1)</f>
        <v>45780</v>
      </c>
      <c r="L9" s="130">
        <f t="shared" si="5"/>
        <v>45781</v>
      </c>
      <c r="M9" s="130">
        <f t="shared" si="5"/>
        <v>45782</v>
      </c>
      <c r="N9" s="130">
        <f t="shared" si="5"/>
        <v>45783</v>
      </c>
      <c r="O9" s="130">
        <f t="shared" si="5"/>
        <v>45784</v>
      </c>
      <c r="P9" s="130">
        <f t="shared" si="5"/>
        <v>45785</v>
      </c>
      <c r="Q9" s="130">
        <f t="shared" si="5"/>
        <v>45786</v>
      </c>
      <c r="R9" s="130">
        <f t="shared" si="5"/>
        <v>45787</v>
      </c>
      <c r="S9" s="130">
        <f t="shared" si="5"/>
        <v>45788</v>
      </c>
      <c r="T9" s="130">
        <f t="shared" si="5"/>
        <v>45789</v>
      </c>
      <c r="U9" s="130">
        <f t="shared" si="5"/>
        <v>45790</v>
      </c>
      <c r="V9" s="130">
        <f t="shared" si="5"/>
        <v>45791</v>
      </c>
      <c r="W9" s="130">
        <f t="shared" si="5"/>
        <v>45792</v>
      </c>
      <c r="X9" s="130">
        <f t="shared" si="5"/>
        <v>45793</v>
      </c>
      <c r="Y9" s="130">
        <f t="shared" si="5"/>
        <v>45794</v>
      </c>
      <c r="Z9" s="130">
        <f t="shared" si="5"/>
        <v>45795</v>
      </c>
      <c r="AA9" s="130">
        <f t="shared" si="5"/>
        <v>45796</v>
      </c>
      <c r="AB9" s="130">
        <f t="shared" si="5"/>
        <v>45797</v>
      </c>
      <c r="AC9" s="130">
        <f t="shared" si="5"/>
        <v>45798</v>
      </c>
      <c r="AD9" s="130">
        <f t="shared" si="5"/>
        <v>45799</v>
      </c>
      <c r="AE9" s="130">
        <f t="shared" si="5"/>
        <v>45800</v>
      </c>
      <c r="AF9" s="130">
        <f t="shared" si="5"/>
        <v>45801</v>
      </c>
      <c r="AG9" s="130">
        <f t="shared" si="5"/>
        <v>45802</v>
      </c>
      <c r="AH9" s="130">
        <f t="shared" si="5"/>
        <v>45803</v>
      </c>
      <c r="AI9" s="130">
        <f t="shared" si="5"/>
        <v>45804</v>
      </c>
      <c r="AJ9" s="130">
        <f t="shared" si="5"/>
        <v>45805</v>
      </c>
      <c r="AK9" s="130">
        <f t="shared" si="5"/>
        <v>45806</v>
      </c>
      <c r="AL9" s="130">
        <f t="shared" si="5"/>
        <v>45807</v>
      </c>
      <c r="AM9" s="130">
        <f t="shared" si="5"/>
        <v>45808</v>
      </c>
      <c r="AR9" s="93"/>
      <c r="AS9" s="89"/>
      <c r="AW9" s="21"/>
      <c r="AX9" s="21"/>
      <c r="AY9" s="21"/>
      <c r="AZ9" s="79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O9" s="90"/>
      <c r="BP9" s="129" t="s">
        <v>101</v>
      </c>
      <c r="BQ9" s="129" t="s">
        <v>110</v>
      </c>
      <c r="BR9" s="129">
        <v>2</v>
      </c>
    </row>
    <row r="10" spans="1:70" ht="15" customHeight="1" x14ac:dyDescent="0.25">
      <c r="A10" s="35"/>
      <c r="B10" s="128">
        <f>DATE($AX$1,6,1)</f>
        <v>45809</v>
      </c>
      <c r="C10" s="130"/>
      <c r="D10" s="130"/>
      <c r="E10" s="130"/>
      <c r="F10" s="130"/>
      <c r="G10" s="130"/>
      <c r="H10" s="130">
        <f>$B$10</f>
        <v>45809</v>
      </c>
      <c r="I10" s="130">
        <f>DATE(YEAR($B$10),MONTH($B$10),DAY(H$10)+1)</f>
        <v>45810</v>
      </c>
      <c r="J10" s="130">
        <f t="shared" ref="J10:AK10" si="6">DATE(YEAR($B$10),MONTH($B$10),DAY(I$10)+1)</f>
        <v>45811</v>
      </c>
      <c r="K10" s="130">
        <f t="shared" si="6"/>
        <v>45812</v>
      </c>
      <c r="L10" s="130">
        <f t="shared" si="6"/>
        <v>45813</v>
      </c>
      <c r="M10" s="130">
        <f t="shared" si="6"/>
        <v>45814</v>
      </c>
      <c r="N10" s="130">
        <f t="shared" si="6"/>
        <v>45815</v>
      </c>
      <c r="O10" s="130">
        <f t="shared" si="6"/>
        <v>45816</v>
      </c>
      <c r="P10" s="130">
        <f t="shared" si="6"/>
        <v>45817</v>
      </c>
      <c r="Q10" s="130">
        <f t="shared" si="6"/>
        <v>45818</v>
      </c>
      <c r="R10" s="130">
        <f t="shared" si="6"/>
        <v>45819</v>
      </c>
      <c r="S10" s="130">
        <f t="shared" si="6"/>
        <v>45820</v>
      </c>
      <c r="T10" s="130">
        <f t="shared" si="6"/>
        <v>45821</v>
      </c>
      <c r="U10" s="130">
        <f t="shared" si="6"/>
        <v>45822</v>
      </c>
      <c r="V10" s="130">
        <f t="shared" si="6"/>
        <v>45823</v>
      </c>
      <c r="W10" s="130">
        <f t="shared" si="6"/>
        <v>45824</v>
      </c>
      <c r="X10" s="130">
        <f t="shared" si="6"/>
        <v>45825</v>
      </c>
      <c r="Y10" s="130">
        <f t="shared" si="6"/>
        <v>45826</v>
      </c>
      <c r="Z10" s="130">
        <f t="shared" si="6"/>
        <v>45827</v>
      </c>
      <c r="AA10" s="130">
        <f t="shared" si="6"/>
        <v>45828</v>
      </c>
      <c r="AB10" s="130">
        <f t="shared" si="6"/>
        <v>45829</v>
      </c>
      <c r="AC10" s="130">
        <f t="shared" si="6"/>
        <v>45830</v>
      </c>
      <c r="AD10" s="130">
        <f t="shared" si="6"/>
        <v>45831</v>
      </c>
      <c r="AE10" s="130">
        <f t="shared" si="6"/>
        <v>45832</v>
      </c>
      <c r="AF10" s="130">
        <f t="shared" si="6"/>
        <v>45833</v>
      </c>
      <c r="AG10" s="130">
        <f t="shared" si="6"/>
        <v>45834</v>
      </c>
      <c r="AH10" s="130">
        <f t="shared" si="6"/>
        <v>45835</v>
      </c>
      <c r="AI10" s="130">
        <f t="shared" si="6"/>
        <v>45836</v>
      </c>
      <c r="AJ10" s="130">
        <f t="shared" si="6"/>
        <v>45837</v>
      </c>
      <c r="AK10" s="130">
        <f t="shared" si="6"/>
        <v>45838</v>
      </c>
      <c r="AL10" s="129"/>
      <c r="AM10" s="129"/>
      <c r="AR10" s="93"/>
      <c r="AS10" s="89"/>
      <c r="AW10" s="21"/>
      <c r="AX10" s="21"/>
      <c r="AY10" s="21"/>
      <c r="AZ10" s="79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O10" s="90"/>
      <c r="BP10" s="129" t="s">
        <v>101</v>
      </c>
      <c r="BQ10" s="129" t="s">
        <v>111</v>
      </c>
      <c r="BR10" s="129">
        <v>3</v>
      </c>
    </row>
    <row r="11" spans="1:70" ht="15.75" x14ac:dyDescent="0.25">
      <c r="A11" s="35"/>
      <c r="B11" s="128">
        <f>DATE($AX$1,7,1)</f>
        <v>45839</v>
      </c>
      <c r="C11" s="130"/>
      <c r="D11" s="130"/>
      <c r="E11" s="130"/>
      <c r="F11" s="130"/>
      <c r="G11" s="130"/>
      <c r="H11" s="130"/>
      <c r="I11" s="130"/>
      <c r="J11" s="130"/>
      <c r="K11" s="130"/>
      <c r="L11" s="130"/>
      <c r="M11" s="130"/>
      <c r="N11" s="130"/>
      <c r="O11" s="130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29"/>
      <c r="AL11" s="129"/>
      <c r="AM11" s="130"/>
      <c r="AR11" s="93"/>
      <c r="AS11" s="90"/>
      <c r="AW11" s="21"/>
      <c r="AX11" s="21"/>
      <c r="AY11" s="21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O11" s="90"/>
      <c r="BP11" s="129" t="s">
        <v>101</v>
      </c>
      <c r="BQ11" s="129" t="s">
        <v>112</v>
      </c>
      <c r="BR11" s="129">
        <v>4</v>
      </c>
    </row>
    <row r="12" spans="1:70" ht="15.75" x14ac:dyDescent="0.25">
      <c r="A12" s="35"/>
      <c r="B12" s="128">
        <f>DATE($AX$1,8,1)</f>
        <v>45870</v>
      </c>
      <c r="C12" s="130"/>
      <c r="D12" s="130"/>
      <c r="E12" s="130"/>
      <c r="F12" s="130"/>
      <c r="G12" s="130"/>
      <c r="H12" s="130"/>
      <c r="I12" s="130"/>
      <c r="J12" s="130"/>
      <c r="K12" s="130"/>
      <c r="L12" s="130"/>
      <c r="M12" s="130"/>
      <c r="N12" s="130"/>
      <c r="O12" s="130"/>
      <c r="P12" s="130"/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30"/>
      <c r="AC12" s="130"/>
      <c r="AD12" s="130"/>
      <c r="AE12" s="130"/>
      <c r="AF12" s="130"/>
      <c r="AG12" s="130"/>
      <c r="AH12" s="130"/>
      <c r="AI12" s="130"/>
      <c r="AJ12" s="129"/>
      <c r="AK12" s="129"/>
      <c r="AL12" s="129"/>
      <c r="AM12" s="129"/>
      <c r="AS12" s="90"/>
      <c r="AW12" s="21"/>
      <c r="AX12" s="21"/>
      <c r="AY12" s="21"/>
      <c r="AZ12" s="79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O12" s="90"/>
      <c r="BP12" s="129" t="s">
        <v>101</v>
      </c>
      <c r="BQ12" s="129" t="s">
        <v>113</v>
      </c>
      <c r="BR12" s="129">
        <v>5</v>
      </c>
    </row>
    <row r="13" spans="1:70" ht="15.75" x14ac:dyDescent="0.25">
      <c r="A13" s="35"/>
      <c r="B13" s="128">
        <f>DATE($AX$1,9,1)</f>
        <v>45901</v>
      </c>
      <c r="C13" s="130"/>
      <c r="D13" s="130"/>
      <c r="E13" s="130"/>
      <c r="F13" s="130"/>
      <c r="G13" s="130"/>
      <c r="H13" s="130"/>
      <c r="I13" s="130"/>
      <c r="J13" s="130"/>
      <c r="K13" s="130"/>
      <c r="L13" s="130"/>
      <c r="M13" s="130"/>
      <c r="N13" s="130"/>
      <c r="O13" s="130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29"/>
      <c r="AK13" s="129"/>
      <c r="AL13" s="129"/>
      <c r="AM13" s="129"/>
      <c r="AS13" s="90"/>
      <c r="AW13" s="21"/>
      <c r="AX13" s="21"/>
      <c r="AY13" s="21"/>
      <c r="AZ13" s="79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O13" s="90"/>
      <c r="BP13" s="129" t="s">
        <v>102</v>
      </c>
      <c r="BQ13" s="129" t="s">
        <v>114</v>
      </c>
      <c r="BR13" s="129">
        <v>1</v>
      </c>
    </row>
    <row r="14" spans="1:70" ht="15.75" x14ac:dyDescent="0.25">
      <c r="A14" s="35"/>
      <c r="B14" s="128">
        <f>DATE($AX$1,10,1)</f>
        <v>45931</v>
      </c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93"/>
      <c r="AO14" s="93"/>
      <c r="AR14" s="93"/>
      <c r="AS14" s="90"/>
      <c r="AW14" s="21"/>
      <c r="AX14" s="21"/>
      <c r="AY14" s="21"/>
      <c r="AZ14" s="79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O14" s="90"/>
      <c r="BP14" s="129" t="s">
        <v>102</v>
      </c>
      <c r="BQ14" s="129" t="s">
        <v>115</v>
      </c>
      <c r="BR14" s="129">
        <v>2</v>
      </c>
    </row>
    <row r="15" spans="1:70" x14ac:dyDescent="0.25">
      <c r="A15" s="35"/>
      <c r="B15" s="128">
        <f>DATE($AX$1,11,1)</f>
        <v>45962</v>
      </c>
      <c r="C15" s="129"/>
      <c r="D15" s="129"/>
      <c r="E15" s="129"/>
      <c r="F15" s="129"/>
      <c r="G15" s="129"/>
      <c r="H15" s="129"/>
      <c r="J15" s="130"/>
      <c r="K15" s="130"/>
      <c r="L15" s="130"/>
      <c r="M15" s="130"/>
      <c r="N15" s="130"/>
      <c r="O15" s="130"/>
      <c r="P15" s="130"/>
      <c r="Q15" s="130"/>
      <c r="R15" s="130"/>
      <c r="S15" s="130"/>
      <c r="T15" s="130"/>
      <c r="U15" s="130"/>
      <c r="V15" s="130"/>
      <c r="W15" s="130"/>
      <c r="X15" s="130"/>
      <c r="Y15" s="130"/>
      <c r="Z15" s="130"/>
      <c r="AA15" s="130"/>
      <c r="AB15" s="130"/>
      <c r="AC15" s="130"/>
      <c r="AD15" s="130"/>
      <c r="AE15" s="130"/>
      <c r="AF15" s="130"/>
      <c r="AG15" s="130"/>
      <c r="AH15" s="130"/>
      <c r="AI15" s="130"/>
      <c r="AJ15" s="130"/>
      <c r="AK15" s="130"/>
      <c r="AL15" s="130"/>
      <c r="AM15" s="130"/>
      <c r="AR15" s="93"/>
      <c r="AS15" s="90"/>
      <c r="AW15" s="21"/>
      <c r="AX15" s="21"/>
      <c r="BO15" s="90"/>
      <c r="BP15" s="129" t="s">
        <v>102</v>
      </c>
      <c r="BQ15" s="129" t="s">
        <v>116</v>
      </c>
      <c r="BR15" s="129">
        <v>3</v>
      </c>
    </row>
    <row r="16" spans="1:70" ht="14.25" customHeight="1" x14ac:dyDescent="0.25">
      <c r="A16" s="35"/>
      <c r="B16" s="128">
        <f>DATE($AX$1,12,1)</f>
        <v>45992</v>
      </c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  <c r="T16" s="130"/>
      <c r="U16" s="130"/>
      <c r="V16" s="130"/>
      <c r="W16" s="130"/>
      <c r="X16" s="130"/>
      <c r="Y16" s="130"/>
      <c r="Z16" s="130"/>
      <c r="AA16" s="130"/>
      <c r="AB16" s="130"/>
      <c r="AC16" s="130"/>
      <c r="AD16" s="130"/>
      <c r="AE16" s="130"/>
      <c r="AF16" s="130"/>
      <c r="AG16" s="130"/>
      <c r="AH16" s="130"/>
      <c r="AI16" s="130"/>
      <c r="AJ16" s="130"/>
      <c r="AK16" s="130"/>
      <c r="AL16" s="129"/>
      <c r="AM16" s="129"/>
      <c r="AR16" s="93"/>
      <c r="AS16" s="90"/>
      <c r="AW16" s="21"/>
      <c r="AX16" s="21"/>
      <c r="AY16" s="21"/>
      <c r="AZ16" s="21"/>
      <c r="BA16" s="21"/>
      <c r="BB16" s="21"/>
      <c r="BO16" s="90"/>
      <c r="BP16" s="129" t="s">
        <v>102</v>
      </c>
      <c r="BQ16" s="129" t="s">
        <v>117</v>
      </c>
      <c r="BR16" s="129">
        <v>4</v>
      </c>
    </row>
    <row r="17" spans="1:70" x14ac:dyDescent="0.25">
      <c r="C17">
        <v>1</v>
      </c>
      <c r="D17">
        <v>2</v>
      </c>
      <c r="E17">
        <v>3</v>
      </c>
      <c r="F17">
        <v>4</v>
      </c>
      <c r="G17">
        <v>5</v>
      </c>
      <c r="H17">
        <v>6</v>
      </c>
      <c r="I17">
        <v>7</v>
      </c>
      <c r="J17">
        <v>8</v>
      </c>
      <c r="K17">
        <v>9</v>
      </c>
      <c r="L17">
        <v>10</v>
      </c>
      <c r="M17">
        <v>11</v>
      </c>
      <c r="N17">
        <v>12</v>
      </c>
      <c r="O17">
        <v>13</v>
      </c>
      <c r="P17">
        <v>14</v>
      </c>
      <c r="Q17">
        <v>15</v>
      </c>
      <c r="R17">
        <v>16</v>
      </c>
      <c r="S17">
        <v>17</v>
      </c>
      <c r="T17">
        <v>18</v>
      </c>
      <c r="U17">
        <v>19</v>
      </c>
      <c r="V17">
        <v>20</v>
      </c>
      <c r="W17">
        <v>21</v>
      </c>
      <c r="X17">
        <v>22</v>
      </c>
      <c r="Y17">
        <v>23</v>
      </c>
      <c r="Z17">
        <v>24</v>
      </c>
      <c r="AA17">
        <v>25</v>
      </c>
      <c r="AB17">
        <v>26</v>
      </c>
      <c r="AC17">
        <v>27</v>
      </c>
      <c r="AD17">
        <v>28</v>
      </c>
      <c r="AE17">
        <v>29</v>
      </c>
      <c r="AF17">
        <v>30</v>
      </c>
      <c r="AG17">
        <v>31</v>
      </c>
      <c r="AH17">
        <v>32</v>
      </c>
      <c r="AI17">
        <v>33</v>
      </c>
      <c r="AJ17">
        <v>34</v>
      </c>
      <c r="AK17">
        <v>35</v>
      </c>
      <c r="AL17">
        <v>36</v>
      </c>
      <c r="AM17">
        <v>37</v>
      </c>
      <c r="AS17" s="90"/>
      <c r="AT17" s="21"/>
      <c r="AU17" s="21"/>
      <c r="AV17" s="21"/>
      <c r="AW17" s="21"/>
      <c r="AX17" s="21"/>
      <c r="AY17" s="21"/>
      <c r="BO17" s="90"/>
      <c r="BP17" s="129" t="s">
        <v>102</v>
      </c>
      <c r="BQ17" s="129" t="s">
        <v>118</v>
      </c>
      <c r="BR17" s="129">
        <v>5</v>
      </c>
    </row>
    <row r="18" spans="1:70" x14ac:dyDescent="0.25">
      <c r="AT18" s="21"/>
      <c r="AU18" s="21"/>
      <c r="AV18" s="21"/>
      <c r="AW18" s="21"/>
      <c r="AX18" s="21"/>
      <c r="AY18" s="21"/>
      <c r="BO18" s="90"/>
      <c r="BP18" s="129" t="s">
        <v>103</v>
      </c>
      <c r="BQ18" s="129" t="s">
        <v>119</v>
      </c>
      <c r="BR18" s="129">
        <v>1</v>
      </c>
    </row>
    <row r="19" spans="1:70" x14ac:dyDescent="0.25">
      <c r="BO19" s="90"/>
      <c r="BP19" s="129" t="s">
        <v>103</v>
      </c>
      <c r="BQ19" s="129" t="s">
        <v>120</v>
      </c>
      <c r="BR19" s="129">
        <v>2</v>
      </c>
    </row>
    <row r="20" spans="1:70" x14ac:dyDescent="0.25">
      <c r="AT20" s="133"/>
      <c r="BO20" s="90"/>
      <c r="BP20" s="129" t="s">
        <v>103</v>
      </c>
      <c r="BQ20" s="129" t="s">
        <v>121</v>
      </c>
      <c r="BR20" s="129">
        <v>3</v>
      </c>
    </row>
    <row r="21" spans="1:70" x14ac:dyDescent="0.25">
      <c r="BO21" s="90"/>
      <c r="BP21" s="129" t="s">
        <v>103</v>
      </c>
      <c r="BQ21" s="129" t="s">
        <v>122</v>
      </c>
      <c r="BR21" s="129">
        <v>4</v>
      </c>
    </row>
    <row r="22" spans="1:70" x14ac:dyDescent="0.25">
      <c r="BO22" s="90"/>
      <c r="BP22" s="129" t="s">
        <v>103</v>
      </c>
      <c r="BQ22" s="129" t="s">
        <v>123</v>
      </c>
      <c r="BR22" s="129">
        <v>5</v>
      </c>
    </row>
    <row r="23" spans="1:70" x14ac:dyDescent="0.25">
      <c r="J23" s="21"/>
      <c r="BO23" s="88"/>
    </row>
    <row r="24" spans="1:70" ht="19.5" hidden="1" customHeight="1" x14ac:dyDescent="0.25">
      <c r="A24" t="s">
        <v>67</v>
      </c>
      <c r="C24" s="114">
        <v>4</v>
      </c>
      <c r="D24" s="114">
        <v>8</v>
      </c>
      <c r="E24" s="114">
        <v>12</v>
      </c>
      <c r="F24" s="114" t="s">
        <v>23</v>
      </c>
      <c r="G24" s="114" t="s">
        <v>23</v>
      </c>
      <c r="H24" s="114">
        <v>4</v>
      </c>
      <c r="I24" s="114"/>
      <c r="J24" s="114"/>
      <c r="K24" s="114"/>
      <c r="L24" s="114"/>
      <c r="M24" s="114"/>
      <c r="N24" s="114"/>
      <c r="O24" s="114"/>
      <c r="P24" s="114">
        <v>4</v>
      </c>
      <c r="Q24" s="114">
        <v>8</v>
      </c>
      <c r="R24" s="114">
        <v>12</v>
      </c>
      <c r="S24" s="114">
        <v>4</v>
      </c>
      <c r="T24" s="114">
        <v>8</v>
      </c>
      <c r="U24" s="114">
        <v>12</v>
      </c>
      <c r="V24" s="114" t="s">
        <v>23</v>
      </c>
      <c r="W24" s="114" t="s">
        <v>23</v>
      </c>
      <c r="X24" s="114">
        <v>4</v>
      </c>
      <c r="Y24" s="114">
        <v>8</v>
      </c>
      <c r="Z24" s="114">
        <v>12</v>
      </c>
      <c r="AA24" s="114">
        <v>4</v>
      </c>
      <c r="AB24" s="114">
        <v>8</v>
      </c>
      <c r="AC24" s="114">
        <v>12</v>
      </c>
      <c r="AD24" s="114" t="s">
        <v>23</v>
      </c>
      <c r="AE24" s="114" t="s">
        <v>23</v>
      </c>
      <c r="AF24" s="114">
        <v>4</v>
      </c>
      <c r="AG24" s="114">
        <v>8</v>
      </c>
      <c r="AH24" s="114">
        <v>12</v>
      </c>
      <c r="AI24" s="114">
        <v>4</v>
      </c>
      <c r="AJ24" s="114">
        <v>8</v>
      </c>
      <c r="AK24" s="114">
        <v>12</v>
      </c>
      <c r="AL24" s="114" t="s">
        <v>23</v>
      </c>
      <c r="AM24" s="13" t="s">
        <v>23</v>
      </c>
      <c r="AN24" s="13"/>
      <c r="AO24" s="13"/>
      <c r="AP24" s="176" t="s">
        <v>68</v>
      </c>
      <c r="BO24" s="88"/>
    </row>
    <row r="25" spans="1:70" hidden="1" x14ac:dyDescent="0.25">
      <c r="A25" s="35"/>
      <c r="B25" s="113">
        <f>DATE($AX$1,1,1)</f>
        <v>45658</v>
      </c>
      <c r="C25" s="115"/>
      <c r="D25" s="115"/>
      <c r="E25" s="115"/>
      <c r="F25" s="115"/>
      <c r="G25" s="115"/>
      <c r="H25" s="115">
        <v>1</v>
      </c>
      <c r="I25" s="115"/>
      <c r="J25" s="115"/>
      <c r="K25" s="115"/>
      <c r="L25" s="115"/>
      <c r="M25" s="115"/>
      <c r="N25" s="115"/>
      <c r="O25" s="115"/>
      <c r="P25" s="115">
        <v>9</v>
      </c>
      <c r="Q25" s="115">
        <v>10</v>
      </c>
      <c r="R25" s="115">
        <v>11</v>
      </c>
      <c r="S25" s="115">
        <v>12</v>
      </c>
      <c r="T25" s="115">
        <v>13</v>
      </c>
      <c r="U25" s="115">
        <v>14</v>
      </c>
      <c r="V25" s="115">
        <v>15</v>
      </c>
      <c r="W25" s="115">
        <v>16</v>
      </c>
      <c r="X25" s="115">
        <v>17</v>
      </c>
      <c r="Y25" s="115">
        <v>18</v>
      </c>
      <c r="Z25" s="115">
        <v>19</v>
      </c>
      <c r="AA25" s="115">
        <v>20</v>
      </c>
      <c r="AB25" s="115">
        <v>21</v>
      </c>
      <c r="AC25" s="115">
        <v>22</v>
      </c>
      <c r="AD25" s="115">
        <v>23</v>
      </c>
      <c r="AE25" s="115">
        <v>24</v>
      </c>
      <c r="AF25" s="115">
        <v>25</v>
      </c>
      <c r="AG25" s="115">
        <v>26</v>
      </c>
      <c r="AH25" s="115">
        <v>27</v>
      </c>
      <c r="AI25" s="115">
        <v>28</v>
      </c>
      <c r="AJ25" s="115">
        <v>29</v>
      </c>
      <c r="AK25" s="115">
        <v>30</v>
      </c>
      <c r="AL25" s="115">
        <v>31</v>
      </c>
      <c r="AP25" s="176"/>
      <c r="BO25" s="88"/>
    </row>
    <row r="26" spans="1:70" hidden="1" x14ac:dyDescent="0.25">
      <c r="A26" s="35"/>
      <c r="B26" s="113">
        <f>DATE($AX$1,2,1)</f>
        <v>45689</v>
      </c>
      <c r="C26" s="115"/>
      <c r="D26" s="115"/>
      <c r="E26" s="115"/>
      <c r="F26" s="115"/>
      <c r="G26" s="115">
        <v>1</v>
      </c>
      <c r="H26" s="115">
        <v>2</v>
      </c>
      <c r="I26" s="115"/>
      <c r="J26" s="115"/>
      <c r="K26" s="115"/>
      <c r="L26" s="115"/>
      <c r="M26" s="115"/>
      <c r="N26" s="115"/>
      <c r="O26" s="115"/>
      <c r="P26" s="115">
        <v>10</v>
      </c>
      <c r="Q26" s="115">
        <v>11</v>
      </c>
      <c r="R26" s="115">
        <v>12</v>
      </c>
      <c r="S26" s="115">
        <v>13</v>
      </c>
      <c r="T26" s="115">
        <v>14</v>
      </c>
      <c r="U26" s="115">
        <v>15</v>
      </c>
      <c r="V26" s="115">
        <v>16</v>
      </c>
      <c r="W26" s="115">
        <v>17</v>
      </c>
      <c r="X26" s="115">
        <v>18</v>
      </c>
      <c r="Y26" s="115">
        <v>19</v>
      </c>
      <c r="Z26" s="115">
        <v>20</v>
      </c>
      <c r="AA26" s="115">
        <v>21</v>
      </c>
      <c r="AB26" s="115">
        <v>22</v>
      </c>
      <c r="AC26" s="115">
        <v>23</v>
      </c>
      <c r="AD26" s="115">
        <v>24</v>
      </c>
      <c r="AE26" s="115">
        <v>25</v>
      </c>
      <c r="AF26" s="115">
        <v>26</v>
      </c>
      <c r="AG26" s="115">
        <v>27</v>
      </c>
      <c r="AH26" s="115">
        <v>28</v>
      </c>
      <c r="AI26" s="115">
        <v>29</v>
      </c>
      <c r="AJ26" s="115"/>
      <c r="AK26" s="115"/>
      <c r="AL26" s="115"/>
      <c r="AP26" s="176"/>
    </row>
    <row r="27" spans="1:70" hidden="1" x14ac:dyDescent="0.25">
      <c r="A27" s="35"/>
      <c r="B27" s="113">
        <f>DATE($AX$1,3,1)</f>
        <v>45717</v>
      </c>
      <c r="C27" s="115"/>
      <c r="D27" s="115">
        <v>1</v>
      </c>
      <c r="E27" s="115">
        <v>2</v>
      </c>
      <c r="F27" s="115">
        <v>3</v>
      </c>
      <c r="G27" s="115">
        <v>4</v>
      </c>
      <c r="H27" s="115">
        <v>5</v>
      </c>
      <c r="I27" s="115"/>
      <c r="J27" s="115"/>
      <c r="K27" s="115"/>
      <c r="L27" s="115"/>
      <c r="M27" s="115"/>
      <c r="N27" s="115"/>
      <c r="O27" s="115"/>
      <c r="P27" s="115">
        <v>13</v>
      </c>
      <c r="Q27" s="115">
        <v>14</v>
      </c>
      <c r="R27" s="115">
        <v>15</v>
      </c>
      <c r="S27" s="115">
        <v>16</v>
      </c>
      <c r="T27" s="115">
        <v>17</v>
      </c>
      <c r="U27" s="115">
        <v>18</v>
      </c>
      <c r="V27" s="115">
        <v>19</v>
      </c>
      <c r="W27" s="115">
        <v>20</v>
      </c>
      <c r="X27" s="115">
        <v>21</v>
      </c>
      <c r="Y27" s="115">
        <v>22</v>
      </c>
      <c r="Z27" s="115">
        <v>23</v>
      </c>
      <c r="AA27" s="115">
        <v>24</v>
      </c>
      <c r="AB27" s="115">
        <v>25</v>
      </c>
      <c r="AC27" s="115">
        <v>26</v>
      </c>
      <c r="AD27" s="115">
        <v>27</v>
      </c>
      <c r="AE27" s="115">
        <v>28</v>
      </c>
      <c r="AF27" s="115">
        <v>29</v>
      </c>
      <c r="AG27" s="115">
        <v>30</v>
      </c>
      <c r="AH27" s="115">
        <v>31</v>
      </c>
      <c r="AI27" s="115"/>
      <c r="AJ27" s="115"/>
      <c r="AK27" s="115"/>
      <c r="AL27" s="115"/>
      <c r="AP27" s="176"/>
    </row>
    <row r="28" spans="1:70" hidden="1" x14ac:dyDescent="0.25">
      <c r="A28" s="35"/>
      <c r="B28" s="113">
        <f>DATE($AX$1,4,1)</f>
        <v>45748</v>
      </c>
      <c r="C28" s="115">
        <v>1</v>
      </c>
      <c r="D28" s="115">
        <v>2</v>
      </c>
      <c r="E28" s="115">
        <v>3</v>
      </c>
      <c r="F28" s="115">
        <v>4</v>
      </c>
      <c r="G28" s="115">
        <v>5</v>
      </c>
      <c r="H28" s="115">
        <v>6</v>
      </c>
      <c r="I28" s="115"/>
      <c r="J28" s="115"/>
      <c r="K28" s="115"/>
      <c r="L28" s="115"/>
      <c r="M28" s="115"/>
      <c r="N28" s="115"/>
      <c r="O28" s="115"/>
      <c r="P28" s="115">
        <v>14</v>
      </c>
      <c r="Q28" s="115">
        <v>15</v>
      </c>
      <c r="R28" s="115">
        <v>16</v>
      </c>
      <c r="S28" s="115">
        <v>17</v>
      </c>
      <c r="T28" s="115">
        <v>18</v>
      </c>
      <c r="U28" s="115">
        <v>19</v>
      </c>
      <c r="V28" s="115">
        <v>20</v>
      </c>
      <c r="W28" s="115">
        <v>21</v>
      </c>
      <c r="X28" s="115">
        <v>22</v>
      </c>
      <c r="Y28" s="115">
        <v>23</v>
      </c>
      <c r="Z28" s="115">
        <v>24</v>
      </c>
      <c r="AA28" s="115">
        <v>25</v>
      </c>
      <c r="AB28" s="115">
        <v>26</v>
      </c>
      <c r="AC28" s="115">
        <v>27</v>
      </c>
      <c r="AD28" s="115">
        <v>28</v>
      </c>
      <c r="AE28" s="115">
        <v>29</v>
      </c>
      <c r="AF28" s="115">
        <v>30</v>
      </c>
      <c r="AG28" s="115"/>
      <c r="AH28" s="115"/>
      <c r="AI28" s="115"/>
      <c r="AJ28" s="115"/>
      <c r="AK28" s="115"/>
      <c r="AL28" s="115"/>
      <c r="AP28" s="176"/>
    </row>
    <row r="29" spans="1:70" hidden="1" x14ac:dyDescent="0.25">
      <c r="A29" s="35"/>
      <c r="B29" s="113">
        <f>DATE($AX$1,5,1)</f>
        <v>45778</v>
      </c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>
        <v>8</v>
      </c>
      <c r="Q29" s="115">
        <v>9</v>
      </c>
      <c r="R29" s="115">
        <v>10</v>
      </c>
      <c r="S29" s="115">
        <v>11</v>
      </c>
      <c r="T29" s="115">
        <v>12</v>
      </c>
      <c r="U29" s="115">
        <v>13</v>
      </c>
      <c r="V29" s="115">
        <v>14</v>
      </c>
      <c r="W29" s="115">
        <v>15</v>
      </c>
      <c r="X29" s="115">
        <v>16</v>
      </c>
      <c r="Y29" s="115">
        <v>17</v>
      </c>
      <c r="Z29" s="115">
        <v>18</v>
      </c>
      <c r="AA29" s="115">
        <v>19</v>
      </c>
      <c r="AB29" s="115">
        <v>20</v>
      </c>
      <c r="AC29" s="115">
        <v>21</v>
      </c>
      <c r="AD29" s="115">
        <v>22</v>
      </c>
      <c r="AE29" s="115">
        <v>23</v>
      </c>
      <c r="AF29" s="115">
        <v>24</v>
      </c>
      <c r="AG29" s="115">
        <v>25</v>
      </c>
      <c r="AH29" s="115">
        <v>26</v>
      </c>
      <c r="AI29" s="115">
        <v>27</v>
      </c>
      <c r="AJ29" s="115">
        <v>28</v>
      </c>
      <c r="AK29" s="115">
        <v>29</v>
      </c>
      <c r="AL29" s="115">
        <v>30</v>
      </c>
      <c r="AM29" s="115">
        <v>31</v>
      </c>
      <c r="AP29" s="176"/>
    </row>
    <row r="30" spans="1:70" hidden="1" x14ac:dyDescent="0.25">
      <c r="A30" s="35"/>
      <c r="B30" s="113">
        <f>DATE($AX$1,6,1)</f>
        <v>45809</v>
      </c>
      <c r="C30" s="115"/>
      <c r="D30" s="115"/>
      <c r="E30" s="115"/>
      <c r="F30" s="115"/>
      <c r="G30" s="115"/>
      <c r="H30" s="115">
        <v>1</v>
      </c>
      <c r="I30" s="115"/>
      <c r="J30" s="115"/>
      <c r="K30" s="115"/>
      <c r="L30" s="115"/>
      <c r="M30" s="115"/>
      <c r="N30" s="115"/>
      <c r="O30" s="115"/>
      <c r="P30" s="115">
        <v>9</v>
      </c>
      <c r="Q30" s="115">
        <v>10</v>
      </c>
      <c r="R30" s="115">
        <v>11</v>
      </c>
      <c r="S30" s="115">
        <v>12</v>
      </c>
      <c r="T30" s="115">
        <v>13</v>
      </c>
      <c r="U30" s="115">
        <v>14</v>
      </c>
      <c r="V30" s="115">
        <v>15</v>
      </c>
      <c r="W30" s="115">
        <v>16</v>
      </c>
      <c r="X30" s="115">
        <v>17</v>
      </c>
      <c r="Y30" s="115">
        <v>18</v>
      </c>
      <c r="Z30" s="115">
        <v>19</v>
      </c>
      <c r="AA30" s="115">
        <v>20</v>
      </c>
      <c r="AB30" s="115">
        <v>21</v>
      </c>
      <c r="AC30" s="115">
        <v>22</v>
      </c>
      <c r="AD30" s="115">
        <v>23</v>
      </c>
      <c r="AE30" s="115">
        <v>24</v>
      </c>
      <c r="AF30" s="115">
        <v>25</v>
      </c>
      <c r="AG30" s="115">
        <v>26</v>
      </c>
      <c r="AH30" s="115">
        <v>27</v>
      </c>
      <c r="AI30" s="115">
        <v>28</v>
      </c>
      <c r="AJ30" s="115">
        <v>29</v>
      </c>
      <c r="AK30" s="115">
        <v>30</v>
      </c>
      <c r="AL30" s="115"/>
      <c r="AP30" s="176"/>
    </row>
    <row r="31" spans="1:70" hidden="1" x14ac:dyDescent="0.25">
      <c r="A31" s="35"/>
      <c r="B31" s="113">
        <f>DATE($AX$1,7,1)</f>
        <v>45839</v>
      </c>
      <c r="C31" s="115"/>
      <c r="D31" s="115"/>
      <c r="E31" s="115"/>
      <c r="F31" s="115">
        <v>1</v>
      </c>
      <c r="G31" s="115">
        <v>2</v>
      </c>
      <c r="H31" s="115">
        <v>3</v>
      </c>
      <c r="I31" s="115"/>
      <c r="J31" s="115"/>
      <c r="K31" s="115"/>
      <c r="L31" s="115"/>
      <c r="M31" s="115"/>
      <c r="N31" s="115"/>
      <c r="O31" s="115"/>
      <c r="P31" s="115">
        <v>11</v>
      </c>
      <c r="Q31" s="115">
        <v>12</v>
      </c>
      <c r="R31" s="115">
        <v>13</v>
      </c>
      <c r="S31" s="115">
        <v>14</v>
      </c>
      <c r="T31" s="115">
        <v>15</v>
      </c>
      <c r="U31" s="115">
        <v>16</v>
      </c>
      <c r="V31" s="115">
        <v>17</v>
      </c>
      <c r="W31" s="115">
        <v>18</v>
      </c>
      <c r="X31" s="115">
        <v>19</v>
      </c>
      <c r="Y31" s="115">
        <v>20</v>
      </c>
      <c r="Z31" s="115">
        <v>21</v>
      </c>
      <c r="AA31" s="115">
        <v>22</v>
      </c>
      <c r="AB31" s="115">
        <v>23</v>
      </c>
      <c r="AC31" s="115">
        <v>24</v>
      </c>
      <c r="AD31" s="115">
        <v>25</v>
      </c>
      <c r="AE31" s="115">
        <v>26</v>
      </c>
      <c r="AF31" s="115">
        <v>27</v>
      </c>
      <c r="AG31" s="115">
        <v>28</v>
      </c>
      <c r="AH31" s="115">
        <v>29</v>
      </c>
      <c r="AI31" s="115">
        <v>30</v>
      </c>
      <c r="AJ31" s="115">
        <v>31</v>
      </c>
      <c r="AK31" s="115"/>
      <c r="AL31" s="115"/>
      <c r="AP31" s="176"/>
    </row>
    <row r="32" spans="1:70" hidden="1" x14ac:dyDescent="0.25">
      <c r="A32" s="35"/>
      <c r="B32" s="113">
        <f>DATE($AX$1,8,1)</f>
        <v>45870</v>
      </c>
      <c r="C32" s="115"/>
      <c r="D32" s="115"/>
      <c r="E32" s="115">
        <v>1</v>
      </c>
      <c r="F32" s="115">
        <v>2</v>
      </c>
      <c r="G32" s="115">
        <v>3</v>
      </c>
      <c r="H32" s="115">
        <v>4</v>
      </c>
      <c r="I32" s="115"/>
      <c r="J32" s="115"/>
      <c r="K32" s="115"/>
      <c r="L32" s="115"/>
      <c r="M32" s="115"/>
      <c r="N32" s="115"/>
      <c r="O32" s="115"/>
      <c r="P32" s="115">
        <v>12</v>
      </c>
      <c r="Q32" s="115">
        <v>13</v>
      </c>
      <c r="R32" s="115">
        <v>14</v>
      </c>
      <c r="S32" s="115">
        <v>15</v>
      </c>
      <c r="T32" s="115">
        <v>16</v>
      </c>
      <c r="U32" s="115">
        <v>17</v>
      </c>
      <c r="V32" s="115">
        <v>18</v>
      </c>
      <c r="W32" s="115">
        <v>19</v>
      </c>
      <c r="X32" s="115">
        <v>20</v>
      </c>
      <c r="Y32" s="115">
        <v>21</v>
      </c>
      <c r="Z32" s="115">
        <v>22</v>
      </c>
      <c r="AA32" s="115">
        <v>23</v>
      </c>
      <c r="AB32" s="115">
        <v>24</v>
      </c>
      <c r="AC32" s="115">
        <v>25</v>
      </c>
      <c r="AD32" s="115">
        <v>26</v>
      </c>
      <c r="AE32" s="115">
        <v>27</v>
      </c>
      <c r="AF32" s="115">
        <v>28</v>
      </c>
      <c r="AG32" s="115">
        <v>29</v>
      </c>
      <c r="AH32" s="115">
        <v>30</v>
      </c>
      <c r="AI32" s="115">
        <v>31</v>
      </c>
      <c r="AJ32" s="115"/>
      <c r="AK32" s="115"/>
      <c r="AL32" s="115"/>
      <c r="AP32" s="176"/>
    </row>
    <row r="33" spans="1:42" hidden="1" x14ac:dyDescent="0.25">
      <c r="A33" s="35"/>
      <c r="B33" s="113">
        <f>DATE($AX$1,9,1)</f>
        <v>45901</v>
      </c>
      <c r="C33" s="115"/>
      <c r="D33" s="115">
        <v>1</v>
      </c>
      <c r="E33" s="115">
        <v>2</v>
      </c>
      <c r="F33" s="115">
        <v>3</v>
      </c>
      <c r="G33" s="115">
        <v>4</v>
      </c>
      <c r="H33" s="115">
        <v>5</v>
      </c>
      <c r="I33" s="115"/>
      <c r="J33" s="115"/>
      <c r="K33" s="115"/>
      <c r="L33" s="115"/>
      <c r="M33" s="115"/>
      <c r="N33" s="115"/>
      <c r="O33" s="115"/>
      <c r="P33" s="115">
        <v>13</v>
      </c>
      <c r="Q33" s="115">
        <v>14</v>
      </c>
      <c r="R33" s="115">
        <v>15</v>
      </c>
      <c r="S33" s="115">
        <v>16</v>
      </c>
      <c r="T33" s="115">
        <v>17</v>
      </c>
      <c r="U33" s="115">
        <v>18</v>
      </c>
      <c r="V33" s="115">
        <v>19</v>
      </c>
      <c r="W33" s="115">
        <v>20</v>
      </c>
      <c r="X33" s="115">
        <v>21</v>
      </c>
      <c r="Y33" s="115">
        <v>22</v>
      </c>
      <c r="Z33" s="115">
        <v>23</v>
      </c>
      <c r="AA33" s="115">
        <v>24</v>
      </c>
      <c r="AB33" s="115">
        <v>25</v>
      </c>
      <c r="AC33" s="115">
        <v>26</v>
      </c>
      <c r="AD33" s="115">
        <v>27</v>
      </c>
      <c r="AE33" s="115">
        <v>28</v>
      </c>
      <c r="AF33" s="115">
        <v>29</v>
      </c>
      <c r="AG33" s="115">
        <v>30</v>
      </c>
      <c r="AH33" s="115"/>
      <c r="AI33" s="115"/>
      <c r="AJ33" s="115"/>
      <c r="AK33" s="115"/>
      <c r="AL33" s="115"/>
      <c r="AP33" s="176"/>
    </row>
    <row r="34" spans="1:42" hidden="1" x14ac:dyDescent="0.25">
      <c r="A34" s="35"/>
      <c r="B34" s="113">
        <f>DATE($AX$1,10,1)</f>
        <v>45931</v>
      </c>
      <c r="C34" s="115"/>
      <c r="D34" s="115"/>
      <c r="E34" s="115"/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>
        <v>7</v>
      </c>
      <c r="Q34" s="115">
        <v>8</v>
      </c>
      <c r="R34" s="115">
        <v>9</v>
      </c>
      <c r="S34" s="115">
        <v>10</v>
      </c>
      <c r="T34" s="115">
        <v>11</v>
      </c>
      <c r="U34" s="115">
        <v>12</v>
      </c>
      <c r="V34" s="115">
        <v>13</v>
      </c>
      <c r="W34" s="115">
        <v>14</v>
      </c>
      <c r="X34" s="115">
        <v>15</v>
      </c>
      <c r="Y34" s="115">
        <v>16</v>
      </c>
      <c r="Z34" s="115">
        <v>17</v>
      </c>
      <c r="AA34" s="115">
        <v>18</v>
      </c>
      <c r="AB34" s="115">
        <v>19</v>
      </c>
      <c r="AC34" s="115">
        <v>20</v>
      </c>
      <c r="AD34" s="115">
        <v>21</v>
      </c>
      <c r="AE34" s="115">
        <v>22</v>
      </c>
      <c r="AF34" s="115">
        <v>23</v>
      </c>
      <c r="AG34" s="115">
        <v>24</v>
      </c>
      <c r="AH34" s="115">
        <v>25</v>
      </c>
      <c r="AI34" s="115">
        <v>26</v>
      </c>
      <c r="AJ34" s="115">
        <v>27</v>
      </c>
      <c r="AK34" s="115">
        <v>28</v>
      </c>
      <c r="AL34" s="115">
        <v>29</v>
      </c>
      <c r="AM34" s="115">
        <v>30</v>
      </c>
      <c r="AP34" s="176"/>
    </row>
    <row r="35" spans="1:42" hidden="1" x14ac:dyDescent="0.25">
      <c r="A35" s="35"/>
      <c r="B35" s="113">
        <f>DATE($AX$1,11,1)</f>
        <v>45962</v>
      </c>
      <c r="C35" s="115"/>
      <c r="D35" s="115"/>
      <c r="E35" s="115"/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>
        <v>8</v>
      </c>
      <c r="Q35" s="115">
        <v>9</v>
      </c>
      <c r="R35" s="115">
        <v>10</v>
      </c>
      <c r="S35" s="115">
        <v>11</v>
      </c>
      <c r="T35" s="115">
        <v>12</v>
      </c>
      <c r="U35" s="115">
        <v>13</v>
      </c>
      <c r="V35" s="115">
        <v>14</v>
      </c>
      <c r="W35" s="115">
        <v>15</v>
      </c>
      <c r="X35" s="115">
        <v>16</v>
      </c>
      <c r="Y35" s="115">
        <v>17</v>
      </c>
      <c r="Z35" s="115">
        <v>18</v>
      </c>
      <c r="AA35" s="115">
        <v>19</v>
      </c>
      <c r="AB35" s="115">
        <v>20</v>
      </c>
      <c r="AC35" s="115">
        <v>21</v>
      </c>
      <c r="AD35" s="115">
        <v>22</v>
      </c>
      <c r="AE35" s="115">
        <v>23</v>
      </c>
      <c r="AF35" s="115">
        <v>24</v>
      </c>
      <c r="AG35" s="115">
        <v>25</v>
      </c>
      <c r="AH35" s="115">
        <v>26</v>
      </c>
      <c r="AI35" s="115">
        <v>27</v>
      </c>
      <c r="AJ35" s="115">
        <v>28</v>
      </c>
      <c r="AK35" s="115">
        <v>29</v>
      </c>
      <c r="AL35" s="115">
        <v>30</v>
      </c>
      <c r="AP35" s="176"/>
    </row>
    <row r="36" spans="1:42" hidden="1" x14ac:dyDescent="0.25">
      <c r="A36" s="35"/>
      <c r="B36" s="113">
        <f>DATE($AX$1,12,1)</f>
        <v>45992</v>
      </c>
      <c r="C36" s="115"/>
      <c r="D36" s="115"/>
      <c r="E36" s="115"/>
      <c r="F36" s="115"/>
      <c r="G36" s="115"/>
      <c r="H36" s="115">
        <v>1</v>
      </c>
      <c r="I36" s="115"/>
      <c r="J36" s="115"/>
      <c r="K36" s="115"/>
      <c r="L36" s="115"/>
      <c r="M36" s="115"/>
      <c r="N36" s="115"/>
      <c r="O36" s="115"/>
      <c r="P36" s="115">
        <v>9</v>
      </c>
      <c r="Q36" s="115">
        <v>10</v>
      </c>
      <c r="R36" s="115">
        <v>11</v>
      </c>
      <c r="S36" s="115">
        <v>12</v>
      </c>
      <c r="T36" s="115">
        <v>13</v>
      </c>
      <c r="U36" s="115">
        <v>14</v>
      </c>
      <c r="V36" s="115">
        <v>15</v>
      </c>
      <c r="W36" s="115">
        <v>16</v>
      </c>
      <c r="X36" s="115">
        <v>17</v>
      </c>
      <c r="Y36" s="115">
        <v>18</v>
      </c>
      <c r="Z36" s="115">
        <v>19</v>
      </c>
      <c r="AA36" s="115">
        <v>20</v>
      </c>
      <c r="AB36" s="115">
        <v>21</v>
      </c>
      <c r="AC36" s="115">
        <v>22</v>
      </c>
      <c r="AD36" s="115">
        <v>23</v>
      </c>
      <c r="AE36" s="115">
        <v>24</v>
      </c>
      <c r="AF36" s="115">
        <v>25</v>
      </c>
      <c r="AG36" s="115">
        <v>26</v>
      </c>
      <c r="AH36" s="115">
        <v>27</v>
      </c>
      <c r="AI36" s="115">
        <v>28</v>
      </c>
      <c r="AJ36" s="115">
        <v>29</v>
      </c>
      <c r="AK36" s="115">
        <v>30</v>
      </c>
      <c r="AL36" s="115">
        <v>31</v>
      </c>
      <c r="AM36" s="115"/>
      <c r="AP36" s="176"/>
    </row>
    <row r="37" spans="1:42" hidden="1" x14ac:dyDescent="0.25">
      <c r="A37" s="125"/>
      <c r="B37" s="126"/>
      <c r="AP37" s="176"/>
    </row>
    <row r="38" spans="1:42" hidden="1" x14ac:dyDescent="0.25">
      <c r="C38">
        <f>COUNTIF(C25:C36,1)</f>
        <v>1</v>
      </c>
      <c r="D38">
        <f t="shared" ref="D38:AM38" si="7">COUNTIF(D25:D36,1)</f>
        <v>2</v>
      </c>
      <c r="E38">
        <f t="shared" si="7"/>
        <v>1</v>
      </c>
      <c r="F38">
        <f t="shared" si="7"/>
        <v>1</v>
      </c>
      <c r="G38">
        <f t="shared" si="7"/>
        <v>1</v>
      </c>
      <c r="H38">
        <f t="shared" si="7"/>
        <v>3</v>
      </c>
      <c r="P38">
        <f t="shared" si="7"/>
        <v>0</v>
      </c>
      <c r="Q38">
        <f t="shared" si="7"/>
        <v>0</v>
      </c>
      <c r="R38">
        <f t="shared" si="7"/>
        <v>0</v>
      </c>
      <c r="S38">
        <f t="shared" si="7"/>
        <v>0</v>
      </c>
      <c r="T38">
        <f t="shared" si="7"/>
        <v>0</v>
      </c>
      <c r="U38">
        <f t="shared" si="7"/>
        <v>0</v>
      </c>
      <c r="V38">
        <f t="shared" si="7"/>
        <v>0</v>
      </c>
      <c r="W38">
        <f t="shared" si="7"/>
        <v>0</v>
      </c>
      <c r="X38">
        <f t="shared" si="7"/>
        <v>0</v>
      </c>
      <c r="Y38">
        <f t="shared" si="7"/>
        <v>0</v>
      </c>
      <c r="Z38">
        <f t="shared" si="7"/>
        <v>0</v>
      </c>
      <c r="AA38">
        <f t="shared" si="7"/>
        <v>0</v>
      </c>
      <c r="AB38">
        <f t="shared" si="7"/>
        <v>0</v>
      </c>
      <c r="AC38">
        <f t="shared" si="7"/>
        <v>0</v>
      </c>
      <c r="AD38">
        <f t="shared" si="7"/>
        <v>0</v>
      </c>
      <c r="AE38">
        <f t="shared" si="7"/>
        <v>0</v>
      </c>
      <c r="AF38">
        <f t="shared" si="7"/>
        <v>0</v>
      </c>
      <c r="AG38">
        <f t="shared" si="7"/>
        <v>0</v>
      </c>
      <c r="AH38">
        <f t="shared" si="7"/>
        <v>0</v>
      </c>
      <c r="AI38">
        <f t="shared" si="7"/>
        <v>0</v>
      </c>
      <c r="AJ38">
        <f t="shared" si="7"/>
        <v>0</v>
      </c>
      <c r="AK38">
        <f t="shared" si="7"/>
        <v>0</v>
      </c>
      <c r="AL38">
        <f t="shared" si="7"/>
        <v>0</v>
      </c>
      <c r="AM38">
        <f t="shared" si="7"/>
        <v>0</v>
      </c>
      <c r="AP38" s="176"/>
    </row>
    <row r="39" spans="1:42" x14ac:dyDescent="0.25">
      <c r="M39" s="21"/>
    </row>
  </sheetData>
  <mergeCells count="3">
    <mergeCell ref="A1:A4"/>
    <mergeCell ref="AZ1:BL1"/>
    <mergeCell ref="AP24:AP38"/>
  </mergeCells>
  <phoneticPr fontId="24" type="noConversion"/>
  <conditionalFormatting sqref="AZ1">
    <cfRule type="expression" dxfId="81" priority="4">
      <formula>IF((AZ1)="","",OR(WEEKDAY(AZ1)=1,WEEKDAY(AZ1)=7))</formula>
    </cfRule>
  </conditionalFormatting>
  <conditionalFormatting sqref="C1:AM4">
    <cfRule type="containsBlanks" dxfId="80" priority="2">
      <formula>LEN(TRIM(C1))=0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19" id="{00000000-000E-0000-0300-000007000000}">
            <xm:f>IF((C5)="","",OR(WEEKDAY(C5,2)&gt;5,ISNUMBER(MATCH(C5,Подключения!$A$2:$A$1039,0))))</xm:f>
            <x14:dxf>
              <fill>
                <patternFill>
                  <bgColor theme="6" tint="0.59996337778862885"/>
                </patternFill>
              </fill>
            </x14:dxf>
          </x14:cfRule>
          <xm:sqref>AR5:AR16 C18:AM176 C5:AM13 C16:AM16 J15:AM15 C14:AO14</xm:sqref>
        </x14:conditionalFormatting>
        <x14:conditionalFormatting xmlns:xm="http://schemas.microsoft.com/office/excel/2006/main">
          <x14:cfRule type="expression" priority="1" id="{313CCEB9-3410-4EE7-BE81-D266DA333ADF}">
            <xm:f>IF((AT20)="","",OR(WEEKDAY(AT20,2)&gt;5,ISNUMBER(MATCH(AT20,Подключения!$A$2:$A$1039,0))))</xm:f>
            <x14:dxf>
              <fill>
                <patternFill>
                  <bgColor theme="6" tint="0.59996337778862885"/>
                </patternFill>
              </fill>
            </x14:dxf>
          </x14:cfRule>
          <xm:sqref>AT20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D5B46-405A-4EB5-9470-4E13002F0283}">
  <sheetPr>
    <tabColor theme="0" tint="-0.34998626667073579"/>
  </sheetPr>
  <dimension ref="A1:I106"/>
  <sheetViews>
    <sheetView zoomScaleNormal="100" workbookViewId="0">
      <selection activeCell="D20" sqref="D20"/>
    </sheetView>
  </sheetViews>
  <sheetFormatPr defaultRowHeight="15" x14ac:dyDescent="0.25"/>
  <cols>
    <col min="1" max="1" width="17.85546875" customWidth="1"/>
    <col min="2" max="2" width="3" customWidth="1"/>
    <col min="3" max="3" width="12.28515625" bestFit="1" customWidth="1"/>
    <col min="4" max="4" width="11.5703125" bestFit="1" customWidth="1"/>
    <col min="5" max="5" width="35.140625" bestFit="1" customWidth="1"/>
    <col min="6" max="6" width="29.7109375" bestFit="1" customWidth="1"/>
    <col min="7" max="7" width="32.140625" bestFit="1" customWidth="1"/>
    <col min="8" max="8" width="35.140625" bestFit="1" customWidth="1"/>
    <col min="9" max="9" width="22.28515625" customWidth="1"/>
    <col min="10" max="10" width="6.140625" customWidth="1"/>
    <col min="11" max="11" width="10" customWidth="1"/>
    <col min="12" max="12" width="14.7109375" customWidth="1"/>
    <col min="13" max="13" width="21.42578125" bestFit="1" customWidth="1"/>
    <col min="14" max="14" width="12.42578125" customWidth="1"/>
    <col min="15" max="15" width="12.28515625" customWidth="1"/>
  </cols>
  <sheetData>
    <row r="1" spans="1:9" x14ac:dyDescent="0.25">
      <c r="A1" s="13" t="s">
        <v>57</v>
      </c>
      <c r="D1" s="231" t="s">
        <v>69</v>
      </c>
      <c r="E1" s="231"/>
      <c r="F1" s="231"/>
      <c r="G1" s="231"/>
      <c r="H1" s="231"/>
      <c r="I1" s="112"/>
    </row>
    <row r="2" spans="1:9" s="70" customFormat="1" x14ac:dyDescent="0.25">
      <c r="A2" s="70" t="s">
        <v>52</v>
      </c>
      <c r="D2" s="127" t="s">
        <v>15</v>
      </c>
      <c r="E2" s="127" t="s">
        <v>53</v>
      </c>
      <c r="F2" s="127" t="s">
        <v>54</v>
      </c>
      <c r="G2" s="127" t="s">
        <v>55</v>
      </c>
      <c r="H2" s="127" t="s">
        <v>56</v>
      </c>
    </row>
    <row r="3" spans="1:9" x14ac:dyDescent="0.25">
      <c r="A3" s="21">
        <v>46022</v>
      </c>
      <c r="C3" s="69"/>
      <c r="D3" s="127" t="s">
        <v>40</v>
      </c>
      <c r="E3" s="127">
        <v>31</v>
      </c>
      <c r="F3" s="127">
        <v>17</v>
      </c>
      <c r="G3" s="127">
        <v>14</v>
      </c>
      <c r="H3" s="127">
        <v>136</v>
      </c>
    </row>
    <row r="4" spans="1:9" x14ac:dyDescent="0.25">
      <c r="A4" s="21">
        <v>45965</v>
      </c>
      <c r="D4" s="127" t="s">
        <v>41</v>
      </c>
      <c r="E4" s="127">
        <v>28</v>
      </c>
      <c r="F4" s="127">
        <v>20</v>
      </c>
      <c r="G4" s="127">
        <v>8</v>
      </c>
      <c r="H4" s="127">
        <v>160</v>
      </c>
    </row>
    <row r="5" spans="1:9" x14ac:dyDescent="0.25">
      <c r="A5" s="21">
        <v>45964</v>
      </c>
      <c r="D5" s="127" t="s">
        <v>42</v>
      </c>
      <c r="E5" s="127">
        <v>31</v>
      </c>
      <c r="F5" s="127">
        <v>21</v>
      </c>
      <c r="G5" s="127">
        <v>10</v>
      </c>
      <c r="H5" s="127">
        <v>167</v>
      </c>
    </row>
    <row r="6" spans="1:9" x14ac:dyDescent="0.25">
      <c r="A6" s="21">
        <v>45821</v>
      </c>
      <c r="D6" s="127" t="s">
        <v>43</v>
      </c>
      <c r="E6" s="127">
        <v>30</v>
      </c>
      <c r="F6" s="127">
        <v>22</v>
      </c>
      <c r="G6" s="127">
        <v>8</v>
      </c>
      <c r="H6" s="127">
        <v>175</v>
      </c>
    </row>
    <row r="7" spans="1:9" x14ac:dyDescent="0.25">
      <c r="A7" s="21">
        <v>45820</v>
      </c>
      <c r="D7" s="127" t="s">
        <v>44</v>
      </c>
      <c r="E7" s="127">
        <v>31</v>
      </c>
      <c r="F7" s="127">
        <v>18</v>
      </c>
      <c r="G7" s="127">
        <v>13</v>
      </c>
      <c r="H7" s="127">
        <v>144</v>
      </c>
    </row>
    <row r="8" spans="1:9" x14ac:dyDescent="0.25">
      <c r="A8" s="21">
        <v>45786</v>
      </c>
      <c r="D8" s="127" t="s">
        <v>45</v>
      </c>
      <c r="E8" s="127">
        <v>30</v>
      </c>
      <c r="F8" s="127">
        <v>19</v>
      </c>
      <c r="G8" s="127">
        <v>11</v>
      </c>
      <c r="H8" s="127">
        <v>151</v>
      </c>
    </row>
    <row r="9" spans="1:9" x14ac:dyDescent="0.25">
      <c r="A9" s="21">
        <v>45785</v>
      </c>
      <c r="D9" s="127" t="s">
        <v>46</v>
      </c>
      <c r="E9" s="127">
        <v>31</v>
      </c>
      <c r="F9" s="127">
        <v>23</v>
      </c>
      <c r="G9" s="127">
        <v>8</v>
      </c>
      <c r="H9" s="127">
        <v>184</v>
      </c>
    </row>
    <row r="10" spans="1:9" x14ac:dyDescent="0.25">
      <c r="A10" s="21">
        <v>45779</v>
      </c>
      <c r="D10" s="127" t="s">
        <v>47</v>
      </c>
      <c r="E10" s="127">
        <v>31</v>
      </c>
      <c r="F10" s="127">
        <v>21</v>
      </c>
      <c r="G10" s="127">
        <v>10</v>
      </c>
      <c r="H10" s="127">
        <v>168</v>
      </c>
    </row>
    <row r="11" spans="1:9" x14ac:dyDescent="0.25">
      <c r="A11" s="21">
        <v>45778</v>
      </c>
      <c r="D11" s="127" t="s">
        <v>48</v>
      </c>
      <c r="E11" s="127">
        <v>30</v>
      </c>
      <c r="F11" s="127">
        <v>22</v>
      </c>
      <c r="G11" s="127">
        <v>8</v>
      </c>
      <c r="H11" s="127">
        <v>176</v>
      </c>
    </row>
    <row r="12" spans="1:9" x14ac:dyDescent="0.25">
      <c r="A12" s="21">
        <v>45725</v>
      </c>
      <c r="D12" s="127" t="s">
        <v>49</v>
      </c>
      <c r="E12" s="127">
        <v>31</v>
      </c>
      <c r="F12" s="127">
        <v>23</v>
      </c>
      <c r="G12" s="127">
        <v>8</v>
      </c>
      <c r="H12" s="127">
        <v>184</v>
      </c>
    </row>
    <row r="13" spans="1:9" x14ac:dyDescent="0.25">
      <c r="A13" s="21">
        <v>45724</v>
      </c>
      <c r="D13" s="127" t="s">
        <v>50</v>
      </c>
      <c r="E13" s="127">
        <v>30</v>
      </c>
      <c r="F13" s="127">
        <v>19</v>
      </c>
      <c r="G13" s="127">
        <v>11</v>
      </c>
      <c r="H13" s="127">
        <v>151</v>
      </c>
    </row>
    <row r="14" spans="1:9" x14ac:dyDescent="0.25">
      <c r="A14" s="21">
        <v>45711</v>
      </c>
      <c r="D14" s="127" t="s">
        <v>51</v>
      </c>
      <c r="E14" s="127">
        <v>31</v>
      </c>
      <c r="F14" s="127">
        <v>22</v>
      </c>
      <c r="G14" s="127">
        <v>9</v>
      </c>
      <c r="H14" s="127">
        <v>176</v>
      </c>
    </row>
    <row r="15" spans="1:9" x14ac:dyDescent="0.25">
      <c r="A15" s="21">
        <v>45665</v>
      </c>
      <c r="C15" s="71"/>
    </row>
    <row r="16" spans="1:9" x14ac:dyDescent="0.25">
      <c r="A16" s="21">
        <v>45664</v>
      </c>
    </row>
    <row r="17" spans="1:1" x14ac:dyDescent="0.25">
      <c r="A17" s="21">
        <v>45663</v>
      </c>
    </row>
    <row r="18" spans="1:1" x14ac:dyDescent="0.25">
      <c r="A18" s="21">
        <v>45662</v>
      </c>
    </row>
    <row r="19" spans="1:1" x14ac:dyDescent="0.25">
      <c r="A19" s="21">
        <v>45661</v>
      </c>
    </row>
    <row r="20" spans="1:1" x14ac:dyDescent="0.25">
      <c r="A20" s="21">
        <v>45660</v>
      </c>
    </row>
    <row r="21" spans="1:1" x14ac:dyDescent="0.25">
      <c r="A21" s="21">
        <v>45659</v>
      </c>
    </row>
    <row r="22" spans="1:1" x14ac:dyDescent="0.25">
      <c r="A22" s="21">
        <v>45658</v>
      </c>
    </row>
    <row r="23" spans="1:1" x14ac:dyDescent="0.25">
      <c r="A23" s="21">
        <v>45657</v>
      </c>
    </row>
    <row r="24" spans="1:1" x14ac:dyDescent="0.25">
      <c r="A24" s="21">
        <v>45656</v>
      </c>
    </row>
    <row r="25" spans="1:1" x14ac:dyDescent="0.25">
      <c r="A25" s="21">
        <v>45600</v>
      </c>
    </row>
    <row r="26" spans="1:1" x14ac:dyDescent="0.25">
      <c r="A26" s="21">
        <v>45455</v>
      </c>
    </row>
    <row r="27" spans="1:1" x14ac:dyDescent="0.25">
      <c r="A27" s="21">
        <v>45422</v>
      </c>
    </row>
    <row r="28" spans="1:1" x14ac:dyDescent="0.25">
      <c r="A28" s="21">
        <v>45421</v>
      </c>
    </row>
    <row r="29" spans="1:1" x14ac:dyDescent="0.25">
      <c r="A29" s="21">
        <v>45413</v>
      </c>
    </row>
    <row r="30" spans="1:1" x14ac:dyDescent="0.25">
      <c r="A30" s="21">
        <v>45412</v>
      </c>
    </row>
    <row r="31" spans="1:1" x14ac:dyDescent="0.25">
      <c r="A31" s="21">
        <v>45411</v>
      </c>
    </row>
    <row r="32" spans="1:1" x14ac:dyDescent="0.25">
      <c r="A32" s="21">
        <v>45359</v>
      </c>
    </row>
    <row r="33" spans="1:1" x14ac:dyDescent="0.25">
      <c r="A33" s="21">
        <v>45345</v>
      </c>
    </row>
    <row r="34" spans="1:1" x14ac:dyDescent="0.25">
      <c r="A34" s="21">
        <v>45299</v>
      </c>
    </row>
    <row r="35" spans="1:1" x14ac:dyDescent="0.25">
      <c r="A35" s="21">
        <v>45298</v>
      </c>
    </row>
    <row r="36" spans="1:1" x14ac:dyDescent="0.25">
      <c r="A36" s="21">
        <v>45297</v>
      </c>
    </row>
    <row r="37" spans="1:1" x14ac:dyDescent="0.25">
      <c r="A37" s="21">
        <v>45296</v>
      </c>
    </row>
    <row r="38" spans="1:1" x14ac:dyDescent="0.25">
      <c r="A38" s="21">
        <v>45295</v>
      </c>
    </row>
    <row r="39" spans="1:1" x14ac:dyDescent="0.25">
      <c r="A39" s="21">
        <v>45294</v>
      </c>
    </row>
    <row r="40" spans="1:1" x14ac:dyDescent="0.25">
      <c r="A40" s="21">
        <v>45293</v>
      </c>
    </row>
    <row r="41" spans="1:1" x14ac:dyDescent="0.25">
      <c r="A41" s="21">
        <v>45292</v>
      </c>
    </row>
    <row r="42" spans="1:1" x14ac:dyDescent="0.25">
      <c r="A42" s="21">
        <v>45236</v>
      </c>
    </row>
    <row r="43" spans="1:1" x14ac:dyDescent="0.25">
      <c r="A43" s="21">
        <v>45234</v>
      </c>
    </row>
    <row r="44" spans="1:1" x14ac:dyDescent="0.25">
      <c r="A44" s="21">
        <v>45089</v>
      </c>
    </row>
    <row r="45" spans="1:1" x14ac:dyDescent="0.25">
      <c r="A45" s="21">
        <v>45055</v>
      </c>
    </row>
    <row r="46" spans="1:1" x14ac:dyDescent="0.25">
      <c r="A46" s="21">
        <v>45054</v>
      </c>
    </row>
    <row r="47" spans="1:1" x14ac:dyDescent="0.25">
      <c r="A47" s="21">
        <v>45047</v>
      </c>
    </row>
    <row r="48" spans="1:1" x14ac:dyDescent="0.25">
      <c r="A48" s="21">
        <v>44993</v>
      </c>
    </row>
    <row r="49" spans="1:1" x14ac:dyDescent="0.25">
      <c r="A49" s="21">
        <v>44981</v>
      </c>
    </row>
    <row r="50" spans="1:1" x14ac:dyDescent="0.25">
      <c r="A50" s="21">
        <v>44980</v>
      </c>
    </row>
    <row r="51" spans="1:1" x14ac:dyDescent="0.25">
      <c r="A51" s="21">
        <v>44934</v>
      </c>
    </row>
    <row r="52" spans="1:1" x14ac:dyDescent="0.25">
      <c r="A52" s="21">
        <v>44933</v>
      </c>
    </row>
    <row r="53" spans="1:1" x14ac:dyDescent="0.25">
      <c r="A53" s="21">
        <v>44932</v>
      </c>
    </row>
    <row r="54" spans="1:1" x14ac:dyDescent="0.25">
      <c r="A54" s="21">
        <v>44931</v>
      </c>
    </row>
    <row r="55" spans="1:1" x14ac:dyDescent="0.25">
      <c r="A55" s="21">
        <v>44930</v>
      </c>
    </row>
    <row r="56" spans="1:1" x14ac:dyDescent="0.25">
      <c r="A56" s="21">
        <v>44929</v>
      </c>
    </row>
    <row r="57" spans="1:1" x14ac:dyDescent="0.25">
      <c r="A57" s="21">
        <v>44928</v>
      </c>
    </row>
    <row r="58" spans="1:1" x14ac:dyDescent="0.25">
      <c r="A58" s="21">
        <v>44927</v>
      </c>
    </row>
    <row r="59" spans="1:1" x14ac:dyDescent="0.25">
      <c r="A59" s="21">
        <v>44869</v>
      </c>
    </row>
    <row r="60" spans="1:1" x14ac:dyDescent="0.25">
      <c r="A60" s="21">
        <v>44725</v>
      </c>
    </row>
    <row r="61" spans="1:1" x14ac:dyDescent="0.25">
      <c r="A61" s="21">
        <v>44724</v>
      </c>
    </row>
    <row r="62" spans="1:1" x14ac:dyDescent="0.25">
      <c r="A62" s="21">
        <v>44691</v>
      </c>
    </row>
    <row r="63" spans="1:1" x14ac:dyDescent="0.25">
      <c r="A63" s="21">
        <v>44690</v>
      </c>
    </row>
    <row r="64" spans="1:1" x14ac:dyDescent="0.25">
      <c r="A64" s="21">
        <v>44684</v>
      </c>
    </row>
    <row r="65" spans="1:1" x14ac:dyDescent="0.25">
      <c r="A65" s="21">
        <v>44683</v>
      </c>
    </row>
    <row r="66" spans="1:1" x14ac:dyDescent="0.25">
      <c r="A66" s="21">
        <v>44682</v>
      </c>
    </row>
    <row r="67" spans="1:1" x14ac:dyDescent="0.25">
      <c r="A67" s="21">
        <v>44628</v>
      </c>
    </row>
    <row r="68" spans="1:1" x14ac:dyDescent="0.25">
      <c r="A68" s="21">
        <v>44627</v>
      </c>
    </row>
    <row r="69" spans="1:1" x14ac:dyDescent="0.25">
      <c r="A69" s="21">
        <v>44615</v>
      </c>
    </row>
    <row r="70" spans="1:1" x14ac:dyDescent="0.25">
      <c r="A70" s="21">
        <v>44569</v>
      </c>
    </row>
    <row r="71" spans="1:1" x14ac:dyDescent="0.25">
      <c r="A71" s="21">
        <v>44568</v>
      </c>
    </row>
    <row r="72" spans="1:1" x14ac:dyDescent="0.25">
      <c r="A72" s="21">
        <v>44567</v>
      </c>
    </row>
    <row r="73" spans="1:1" x14ac:dyDescent="0.25">
      <c r="A73" s="21">
        <v>44566</v>
      </c>
    </row>
    <row r="74" spans="1:1" x14ac:dyDescent="0.25">
      <c r="A74" s="21">
        <v>44565</v>
      </c>
    </row>
    <row r="75" spans="1:1" x14ac:dyDescent="0.25">
      <c r="A75" s="21">
        <v>44564</v>
      </c>
    </row>
    <row r="76" spans="1:1" x14ac:dyDescent="0.25">
      <c r="A76" s="21">
        <v>44563</v>
      </c>
    </row>
    <row r="77" spans="1:1" x14ac:dyDescent="0.25">
      <c r="A77" s="21">
        <v>44562</v>
      </c>
    </row>
    <row r="78" spans="1:1" x14ac:dyDescent="0.25">
      <c r="A78" s="21">
        <v>44561</v>
      </c>
    </row>
    <row r="79" spans="1:1" x14ac:dyDescent="0.25">
      <c r="A79" s="21">
        <v>44505</v>
      </c>
    </row>
    <row r="80" spans="1:1" x14ac:dyDescent="0.25">
      <c r="A80" s="21">
        <v>44504</v>
      </c>
    </row>
    <row r="81" spans="1:1" x14ac:dyDescent="0.25">
      <c r="A81" s="21">
        <v>44503</v>
      </c>
    </row>
    <row r="82" spans="1:1" x14ac:dyDescent="0.25">
      <c r="A82" s="21">
        <v>44502</v>
      </c>
    </row>
    <row r="83" spans="1:1" x14ac:dyDescent="0.25">
      <c r="A83" s="21">
        <v>44501</v>
      </c>
    </row>
    <row r="84" spans="1:1" x14ac:dyDescent="0.25">
      <c r="A84" s="21">
        <v>44500</v>
      </c>
    </row>
    <row r="85" spans="1:1" x14ac:dyDescent="0.25">
      <c r="A85" s="21">
        <v>44499</v>
      </c>
    </row>
    <row r="86" spans="1:1" x14ac:dyDescent="0.25">
      <c r="A86" s="21">
        <v>44361</v>
      </c>
    </row>
    <row r="87" spans="1:1" x14ac:dyDescent="0.25">
      <c r="A87" s="21">
        <v>44359</v>
      </c>
    </row>
    <row r="88" spans="1:1" x14ac:dyDescent="0.25">
      <c r="A88" s="21">
        <v>44326</v>
      </c>
    </row>
    <row r="89" spans="1:1" x14ac:dyDescent="0.25">
      <c r="A89" s="21">
        <v>44325</v>
      </c>
    </row>
    <row r="90" spans="1:1" x14ac:dyDescent="0.25">
      <c r="A90" s="21">
        <v>44323</v>
      </c>
    </row>
    <row r="91" spans="1:1" x14ac:dyDescent="0.25">
      <c r="A91" s="21">
        <v>44322</v>
      </c>
    </row>
    <row r="92" spans="1:1" x14ac:dyDescent="0.25">
      <c r="A92" s="21">
        <v>44321</v>
      </c>
    </row>
    <row r="93" spans="1:1" x14ac:dyDescent="0.25">
      <c r="A93" s="21">
        <v>44320</v>
      </c>
    </row>
    <row r="94" spans="1:1" x14ac:dyDescent="0.25">
      <c r="A94" s="21">
        <v>44319</v>
      </c>
    </row>
    <row r="95" spans="1:1" x14ac:dyDescent="0.25">
      <c r="A95" s="21">
        <v>44317</v>
      </c>
    </row>
    <row r="96" spans="1:1" x14ac:dyDescent="0.25">
      <c r="A96" s="21">
        <v>44263</v>
      </c>
    </row>
    <row r="97" spans="1:1" x14ac:dyDescent="0.25">
      <c r="A97" s="21">
        <v>44250</v>
      </c>
    </row>
    <row r="98" spans="1:1" x14ac:dyDescent="0.25">
      <c r="A98" s="21">
        <v>44249</v>
      </c>
    </row>
    <row r="99" spans="1:1" x14ac:dyDescent="0.25">
      <c r="A99" s="21">
        <v>44204</v>
      </c>
    </row>
    <row r="100" spans="1:1" x14ac:dyDescent="0.25">
      <c r="A100" s="21">
        <v>44203</v>
      </c>
    </row>
    <row r="101" spans="1:1" x14ac:dyDescent="0.25">
      <c r="A101" s="21">
        <v>44202</v>
      </c>
    </row>
    <row r="102" spans="1:1" x14ac:dyDescent="0.25">
      <c r="A102" s="21">
        <v>44201</v>
      </c>
    </row>
    <row r="103" spans="1:1" x14ac:dyDescent="0.25">
      <c r="A103" s="21">
        <v>44200</v>
      </c>
    </row>
    <row r="104" spans="1:1" x14ac:dyDescent="0.25">
      <c r="A104" s="21">
        <v>44199</v>
      </c>
    </row>
    <row r="105" spans="1:1" x14ac:dyDescent="0.25">
      <c r="A105" s="21">
        <v>44198</v>
      </c>
    </row>
    <row r="106" spans="1:1" x14ac:dyDescent="0.25">
      <c r="A106" s="21">
        <v>44197</v>
      </c>
    </row>
  </sheetData>
  <mergeCells count="1">
    <mergeCell ref="D1:H1"/>
  </mergeCells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8005D2-4853-412C-BE54-DEF97D0D73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Январь</vt:lpstr>
      <vt:lpstr>Февраль</vt:lpstr>
      <vt:lpstr>Март</vt:lpstr>
      <vt:lpstr>Апрель</vt:lpstr>
      <vt:lpstr>Май</vt:lpstr>
      <vt:lpstr>Июнь</vt:lpstr>
      <vt:lpstr>Д1</vt:lpstr>
      <vt:lpstr>Д2</vt:lpstr>
      <vt:lpstr>Д3</vt:lpstr>
      <vt:lpstr>Д4</vt:lpstr>
      <vt:lpstr>Сводный годовой график</vt:lpstr>
      <vt:lpstr>Подключения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Vэл</dc:creator>
  <cp:lastModifiedBy>Валентин Валентин</cp:lastModifiedBy>
  <cp:lastPrinted>2023-05-19T20:58:41Z</cp:lastPrinted>
  <dcterms:created xsi:type="dcterms:W3CDTF">2023-04-17T05:39:51Z</dcterms:created>
  <dcterms:modified xsi:type="dcterms:W3CDTF">2025-07-15T12:37:31Z</dcterms:modified>
</cp:coreProperties>
</file>